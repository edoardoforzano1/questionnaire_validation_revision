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1"/>
  <workbookPr codeName="ThisWorkbook" defaultThemeVersion="166925"/>
  <mc:AlternateContent xmlns:mc="http://schemas.openxmlformats.org/markup-compatibility/2006">
    <mc:Choice Requires="x15">
      <x15ac:absPath xmlns:x15ac="http://schemas.microsoft.com/office/spreadsheetml/2010/11/ac" url="https://unfao.sharepoint.com/sites/OER/Evidence for programming/Needs Assessments/01. DIEM Monitoring/03. Toolbox/02. Questionnaires/"/>
    </mc:Choice>
  </mc:AlternateContent>
  <xr:revisionPtr revIDLastSave="4" documentId="8_{2A3AACF1-4881-EC40-8A2D-6B5061741088}" xr6:coauthVersionLast="47" xr6:coauthVersionMax="47" xr10:uidLastSave="{56FFD429-A081-2645-BB02-41A5375CFD3B}"/>
  <bookViews>
    <workbookView xWindow="0" yWindow="500" windowWidth="28800" windowHeight="14980" activeTab="1" xr2:uid="{00000000-000D-0000-FFFF-FFFF00000000}"/>
  </bookViews>
  <sheets>
    <sheet name="New Durations" sheetId="12" state="hidden" r:id="rId1"/>
    <sheet name="survey" sheetId="20" r:id="rId2"/>
    <sheet name="Crop list" sheetId="10" r:id="rId3"/>
    <sheet name="Additional information" sheetId="22" r:id="rId4"/>
  </sheets>
  <definedNames>
    <definedName name="_xlnm._FilterDatabase" localSheetId="1" hidden="1">survey!$A$3:$P$145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9" i="22" l="1"/>
  <c r="G146" i="20" l="1"/>
  <c r="G145" i="20"/>
  <c r="G144" i="20"/>
  <c r="S243" i="20"/>
  <c r="S242" i="20"/>
  <c r="S241" i="20"/>
  <c r="S240" i="20"/>
  <c r="S239" i="20"/>
  <c r="S238" i="20"/>
  <c r="S237" i="20"/>
  <c r="S236" i="20"/>
  <c r="S235" i="20"/>
  <c r="S234" i="20"/>
  <c r="S232" i="20"/>
  <c r="S231" i="20"/>
  <c r="S230" i="20"/>
  <c r="S229" i="20"/>
  <c r="S228" i="20"/>
  <c r="S227" i="20"/>
  <c r="S225" i="20"/>
  <c r="S224" i="20"/>
  <c r="S223" i="20"/>
  <c r="S222" i="20"/>
  <c r="S221" i="20"/>
  <c r="S220" i="20"/>
  <c r="S219" i="20"/>
  <c r="S218" i="20"/>
  <c r="S217" i="20"/>
  <c r="S216" i="20"/>
  <c r="S215" i="20"/>
  <c r="S214" i="20"/>
  <c r="S213" i="20"/>
  <c r="S212" i="20"/>
  <c r="S211" i="20"/>
  <c r="S210" i="20"/>
  <c r="S209" i="20"/>
  <c r="S208" i="20"/>
  <c r="S207" i="20"/>
  <c r="S206" i="20"/>
  <c r="S205" i="20"/>
  <c r="S204" i="20"/>
  <c r="S203" i="20"/>
  <c r="S202" i="20"/>
  <c r="S201" i="20"/>
  <c r="S200" i="20"/>
  <c r="S199" i="20"/>
  <c r="S198" i="20"/>
  <c r="S197" i="20"/>
  <c r="S196" i="20"/>
  <c r="S195" i="20"/>
  <c r="S194" i="20"/>
  <c r="S193" i="20"/>
  <c r="S192" i="20"/>
  <c r="S191" i="20"/>
  <c r="S190" i="20"/>
  <c r="S189" i="20"/>
  <c r="S188" i="20"/>
  <c r="S187" i="20"/>
  <c r="S186" i="20"/>
  <c r="S185" i="20"/>
  <c r="S184" i="20"/>
  <c r="S183" i="20"/>
  <c r="S182" i="20"/>
  <c r="S181" i="20"/>
  <c r="S180" i="20"/>
  <c r="S179" i="20"/>
  <c r="S178" i="20"/>
  <c r="S177" i="20"/>
  <c r="S176" i="20"/>
  <c r="R98" i="20"/>
  <c r="S98" i="20" s="1"/>
  <c r="R97" i="20"/>
  <c r="S97" i="20" s="1"/>
  <c r="R96" i="20"/>
  <c r="S96" i="20" s="1"/>
  <c r="S95" i="20"/>
  <c r="R95" i="20"/>
  <c r="S94" i="20"/>
  <c r="R94" i="20"/>
  <c r="R93" i="20"/>
  <c r="S93" i="20" s="1"/>
  <c r="R92" i="20"/>
  <c r="S92" i="20" s="1"/>
  <c r="S91" i="20"/>
  <c r="R91" i="20"/>
  <c r="S90" i="20"/>
  <c r="R90" i="20"/>
  <c r="R89" i="20"/>
  <c r="S89" i="20" s="1"/>
  <c r="R88" i="20"/>
  <c r="S88" i="20" s="1"/>
  <c r="S87" i="20"/>
  <c r="R87" i="20"/>
  <c r="S86" i="20"/>
  <c r="R86" i="20"/>
  <c r="R85" i="20"/>
  <c r="S85" i="20" s="1"/>
  <c r="R84" i="20"/>
  <c r="S84" i="20" s="1"/>
  <c r="S83" i="20"/>
  <c r="R83" i="20"/>
  <c r="S82" i="20"/>
  <c r="R82" i="20"/>
  <c r="R81" i="20"/>
  <c r="S81" i="20" s="1"/>
  <c r="R80" i="20"/>
  <c r="S80" i="20" s="1"/>
  <c r="S79" i="20"/>
  <c r="R79" i="20"/>
  <c r="S78" i="20"/>
  <c r="R78" i="20"/>
  <c r="R77" i="20"/>
  <c r="S77" i="20" s="1"/>
  <c r="R76" i="20"/>
  <c r="S76" i="20" s="1"/>
  <c r="S75" i="20"/>
  <c r="R75" i="20"/>
  <c r="S74" i="20"/>
  <c r="R74" i="20"/>
  <c r="R73" i="20"/>
  <c r="S73" i="20" s="1"/>
  <c r="R72" i="20"/>
  <c r="S72" i="20" s="1"/>
  <c r="S71" i="20"/>
  <c r="R71" i="20"/>
  <c r="S70" i="20"/>
  <c r="R70" i="20"/>
  <c r="R69" i="20"/>
  <c r="S69" i="20" s="1"/>
  <c r="R68" i="20"/>
  <c r="S68" i="20" s="1"/>
  <c r="S67" i="20"/>
  <c r="R67" i="20"/>
  <c r="S66" i="20"/>
  <c r="R66" i="20"/>
  <c r="R65" i="20"/>
  <c r="S65" i="20" s="1"/>
  <c r="R64" i="20"/>
  <c r="S64" i="20" s="1"/>
  <c r="S63" i="20"/>
  <c r="R63" i="20"/>
  <c r="S62" i="20"/>
  <c r="R62" i="20"/>
  <c r="R61" i="20"/>
  <c r="S61" i="20" s="1"/>
  <c r="R60" i="20"/>
  <c r="S60" i="20" s="1"/>
  <c r="S59" i="20"/>
  <c r="R59" i="20"/>
  <c r="S57" i="20"/>
  <c r="R57" i="20"/>
  <c r="R56" i="20"/>
  <c r="S56" i="20" s="1"/>
  <c r="R55" i="20"/>
  <c r="S55" i="20" s="1"/>
  <c r="S54" i="20"/>
  <c r="R54" i="20"/>
  <c r="S53" i="20"/>
  <c r="R53" i="20"/>
  <c r="R52" i="20"/>
  <c r="S52" i="20" s="1"/>
  <c r="R51" i="20"/>
  <c r="S51" i="20" s="1"/>
  <c r="S50" i="20"/>
  <c r="R50" i="20"/>
  <c r="S49" i="20"/>
  <c r="R49" i="20"/>
  <c r="R48" i="20"/>
  <c r="S48" i="20" s="1"/>
  <c r="R47" i="20"/>
  <c r="S47" i="20" s="1"/>
  <c r="S46" i="20"/>
  <c r="R46" i="20"/>
  <c r="S45" i="20"/>
  <c r="R45" i="20"/>
  <c r="R44" i="20"/>
  <c r="S44" i="20" s="1"/>
  <c r="R43" i="20"/>
  <c r="S43" i="20" s="1"/>
  <c r="S41" i="20"/>
  <c r="R41" i="20"/>
  <c r="S40" i="20"/>
  <c r="R40" i="20"/>
  <c r="R39" i="20"/>
  <c r="S39" i="20" s="1"/>
  <c r="R38" i="20"/>
  <c r="S38" i="20" s="1"/>
  <c r="S37" i="20"/>
  <c r="R37" i="20"/>
  <c r="S36" i="20"/>
  <c r="R36" i="20"/>
  <c r="R35" i="20"/>
  <c r="S35" i="20" s="1"/>
  <c r="R34" i="20"/>
  <c r="S34" i="20" s="1"/>
  <c r="S33" i="20"/>
  <c r="R33" i="20"/>
  <c r="S32" i="20"/>
  <c r="R32" i="20"/>
  <c r="R31" i="20"/>
  <c r="S31" i="20" s="1"/>
  <c r="R30" i="20"/>
  <c r="S30" i="20" s="1"/>
  <c r="S29" i="20"/>
  <c r="R29" i="20"/>
  <c r="S28" i="20"/>
  <c r="R28" i="20"/>
  <c r="R27" i="20"/>
  <c r="S27" i="20" s="1"/>
  <c r="R26" i="20"/>
  <c r="S26" i="20" s="1"/>
  <c r="S25" i="20"/>
  <c r="R25" i="20"/>
  <c r="S24" i="20"/>
  <c r="R24" i="20"/>
  <c r="R23" i="20"/>
  <c r="S23" i="20" s="1"/>
  <c r="R22" i="20"/>
  <c r="S22" i="20" s="1"/>
  <c r="S20" i="20"/>
  <c r="S19" i="20"/>
  <c r="S18" i="20"/>
  <c r="S17" i="20"/>
  <c r="S16" i="20"/>
  <c r="S15" i="20"/>
  <c r="S14" i="20"/>
  <c r="S13" i="20"/>
  <c r="S12" i="20"/>
  <c r="S11" i="20"/>
  <c r="S10" i="20"/>
  <c r="S9" i="20"/>
  <c r="S8" i="20"/>
  <c r="S7" i="20"/>
  <c r="S6" i="20"/>
  <c r="S5" i="20"/>
  <c r="E48" i="20" l="1"/>
  <c r="G48" i="20"/>
  <c r="E49" i="20"/>
  <c r="G49" i="20"/>
  <c r="E50" i="20"/>
  <c r="G50" i="20"/>
  <c r="D13" i="22"/>
  <c r="D12" i="22"/>
  <c r="D11" i="22"/>
  <c r="D10" i="22"/>
  <c r="D7" i="22" l="1"/>
  <c r="D17" i="22"/>
  <c r="D18" i="22"/>
  <c r="D19" i="22"/>
  <c r="R169" i="20" l="1"/>
  <c r="S169" i="20" s="1"/>
  <c r="R160" i="20"/>
  <c r="S160" i="20" s="1"/>
  <c r="R174" i="20"/>
  <c r="S174" i="20" s="1"/>
  <c r="R173" i="20"/>
  <c r="S173" i="20" s="1"/>
  <c r="R168" i="20"/>
  <c r="S168" i="20" s="1"/>
  <c r="R159" i="20"/>
  <c r="S159" i="20" s="1"/>
  <c r="R166" i="20"/>
  <c r="S166" i="20" s="1"/>
  <c r="R158" i="20"/>
  <c r="S158" i="20" s="1"/>
  <c r="R157" i="20"/>
  <c r="S157" i="20" s="1"/>
  <c r="R172" i="20"/>
  <c r="S172" i="20" s="1"/>
  <c r="R163" i="20"/>
  <c r="S163" i="20" s="1"/>
  <c r="R164" i="20"/>
  <c r="S164" i="20" s="1"/>
  <c r="R171" i="20"/>
  <c r="S171" i="20" s="1"/>
  <c r="R162" i="20"/>
  <c r="S162" i="20" s="1"/>
  <c r="R170" i="20"/>
  <c r="S170" i="20" s="1"/>
  <c r="R161" i="20"/>
  <c r="S161" i="20" s="1"/>
  <c r="R165" i="20"/>
  <c r="S165" i="20" s="1"/>
  <c r="R128" i="20"/>
  <c r="S128" i="20" s="1"/>
  <c r="R102" i="20"/>
  <c r="S102" i="20" s="1"/>
  <c r="R110" i="20"/>
  <c r="S110" i="20" s="1"/>
  <c r="R118" i="20"/>
  <c r="S118" i="20" s="1"/>
  <c r="R100" i="20"/>
  <c r="S100" i="20" s="1"/>
  <c r="R113" i="20"/>
  <c r="S113" i="20" s="1"/>
  <c r="R114" i="20"/>
  <c r="S114" i="20" s="1"/>
  <c r="R129" i="20"/>
  <c r="S129" i="20" s="1"/>
  <c r="R103" i="20"/>
  <c r="S103" i="20" s="1"/>
  <c r="R111" i="20"/>
  <c r="S111" i="20" s="1"/>
  <c r="R119" i="20"/>
  <c r="S119" i="20" s="1"/>
  <c r="R121" i="20"/>
  <c r="S121" i="20" s="1"/>
  <c r="R106" i="20"/>
  <c r="S106" i="20" s="1"/>
  <c r="R130" i="20"/>
  <c r="S130" i="20" s="1"/>
  <c r="R104" i="20"/>
  <c r="S104" i="20" s="1"/>
  <c r="R112" i="20"/>
  <c r="S112" i="20" s="1"/>
  <c r="R120" i="20"/>
  <c r="S120" i="20" s="1"/>
  <c r="R132" i="20"/>
  <c r="S132" i="20" s="1"/>
  <c r="R122" i="20"/>
  <c r="S122" i="20" s="1"/>
  <c r="R133" i="20"/>
  <c r="S133" i="20" s="1"/>
  <c r="R107" i="20"/>
  <c r="S107" i="20" s="1"/>
  <c r="R115" i="20"/>
  <c r="S115" i="20" s="1"/>
  <c r="R123" i="20"/>
  <c r="S123" i="20" s="1"/>
  <c r="R131" i="20"/>
  <c r="S131" i="20" s="1"/>
  <c r="R127" i="20"/>
  <c r="S127" i="20" s="1"/>
  <c r="R108" i="20"/>
  <c r="S108" i="20" s="1"/>
  <c r="R116" i="20"/>
  <c r="S116" i="20" s="1"/>
  <c r="R124" i="20"/>
  <c r="S124" i="20" s="1"/>
  <c r="R101" i="20"/>
  <c r="S101" i="20" s="1"/>
  <c r="R109" i="20"/>
  <c r="S109" i="20" s="1"/>
  <c r="R117" i="20"/>
  <c r="S117" i="20" s="1"/>
  <c r="R125" i="20"/>
  <c r="S125" i="20" s="1"/>
  <c r="R105" i="20"/>
  <c r="S105" i="20" s="1"/>
  <c r="R154" i="20"/>
  <c r="S154" i="20" s="1"/>
  <c r="R141" i="20"/>
  <c r="S141" i="20" s="1"/>
  <c r="R155" i="20"/>
  <c r="S155" i="20" s="1"/>
  <c r="R142" i="20"/>
  <c r="S142" i="20" s="1"/>
  <c r="R136" i="20"/>
  <c r="S136" i="20" s="1"/>
  <c r="R137" i="20"/>
  <c r="S137" i="20" s="1"/>
  <c r="R149" i="20"/>
  <c r="S149" i="20" s="1"/>
  <c r="R143" i="20"/>
  <c r="S143" i="20" s="1"/>
  <c r="R151" i="20"/>
  <c r="S151" i="20" s="1"/>
  <c r="R138" i="20"/>
  <c r="S138" i="20" s="1"/>
  <c r="R146" i="20"/>
  <c r="S146" i="20" s="1"/>
  <c r="R152" i="20"/>
  <c r="S152" i="20" s="1"/>
  <c r="R139" i="20"/>
  <c r="S139" i="20" s="1"/>
  <c r="R147" i="20"/>
  <c r="S147" i="20" s="1"/>
  <c r="R144" i="20"/>
  <c r="S144" i="20" s="1"/>
  <c r="R145" i="20"/>
  <c r="S145" i="20" s="1"/>
  <c r="R153" i="20"/>
  <c r="S153" i="20" s="1"/>
  <c r="R140" i="20"/>
  <c r="S140" i="20" s="1"/>
  <c r="R135" i="20"/>
  <c r="S135" i="20" s="1"/>
  <c r="R150" i="20"/>
  <c r="S150" i="20" s="1"/>
  <c r="E188" i="20"/>
  <c r="G188" i="20"/>
  <c r="E189" i="20"/>
  <c r="G189" i="20"/>
  <c r="E190" i="20"/>
  <c r="G190" i="20"/>
  <c r="E191" i="20"/>
  <c r="G191" i="20"/>
  <c r="E192" i="20"/>
  <c r="G192" i="20"/>
  <c r="E193" i="20"/>
  <c r="G193" i="20"/>
  <c r="E194" i="20"/>
  <c r="G194" i="20"/>
  <c r="E195" i="20"/>
  <c r="G195" i="20"/>
  <c r="E196" i="20"/>
  <c r="G196" i="20"/>
  <c r="E197" i="20"/>
  <c r="G197" i="20"/>
  <c r="E198" i="20"/>
  <c r="G198" i="20"/>
  <c r="E199" i="20"/>
  <c r="G199" i="20"/>
  <c r="E200" i="20"/>
  <c r="G200" i="20"/>
  <c r="E201" i="20"/>
  <c r="G201" i="20"/>
  <c r="E202" i="20"/>
  <c r="G202" i="20"/>
  <c r="E203" i="20"/>
  <c r="G203" i="20"/>
  <c r="E204" i="20"/>
  <c r="G204" i="20"/>
  <c r="E205" i="20"/>
  <c r="G205" i="20"/>
  <c r="E206" i="20"/>
  <c r="G206" i="20"/>
  <c r="E207" i="20"/>
  <c r="G207" i="20"/>
  <c r="S246" i="20" l="1"/>
  <c r="S248" i="20"/>
  <c r="S247" i="20"/>
  <c r="G106" i="20"/>
  <c r="G105" i="20"/>
  <c r="G108" i="20"/>
  <c r="G112" i="20"/>
  <c r="G114" i="20"/>
  <c r="G120" i="20"/>
  <c r="G121" i="20"/>
  <c r="G124" i="20"/>
  <c r="G123" i="20"/>
  <c r="G110" i="20"/>
  <c r="G118" i="20"/>
  <c r="G117" i="20"/>
  <c r="G115" i="20"/>
  <c r="G116" i="20"/>
  <c r="G89" i="20"/>
  <c r="G88" i="20"/>
  <c r="G87" i="20"/>
  <c r="G93" i="20"/>
  <c r="G97" i="20"/>
  <c r="G95" i="20"/>
  <c r="G91" i="20"/>
  <c r="G85" i="20"/>
  <c r="G84" i="20"/>
  <c r="G83" i="20"/>
  <c r="G82" i="20"/>
  <c r="G80" i="20"/>
  <c r="G77" i="20"/>
  <c r="G78" i="20"/>
  <c r="G76" i="20"/>
  <c r="G72" i="20"/>
  <c r="G73" i="20"/>
  <c r="G74" i="20"/>
  <c r="G71" i="20"/>
  <c r="G69" i="20"/>
  <c r="G66" i="20"/>
  <c r="G67" i="20"/>
  <c r="G65" i="20"/>
  <c r="G53" i="20"/>
  <c r="G54" i="20"/>
  <c r="G55" i="20"/>
  <c r="G56" i="20"/>
  <c r="G57" i="20"/>
  <c r="G52" i="20"/>
  <c r="G96" i="20"/>
  <c r="G243" i="20"/>
  <c r="G242" i="20"/>
  <c r="G240" i="20"/>
  <c r="G239" i="20"/>
  <c r="G238" i="20"/>
  <c r="G237" i="20"/>
  <c r="G236" i="20"/>
  <c r="G235" i="20"/>
  <c r="G234" i="20"/>
  <c r="G231" i="20"/>
  <c r="G230" i="20"/>
  <c r="G228" i="20"/>
  <c r="G227" i="20"/>
  <c r="G225" i="20"/>
  <c r="G224" i="20"/>
  <c r="G223" i="20"/>
  <c r="G222" i="20"/>
  <c r="G221" i="20"/>
  <c r="G220" i="20"/>
  <c r="G219" i="20"/>
  <c r="G218" i="20"/>
  <c r="G217" i="20"/>
  <c r="G216" i="20"/>
  <c r="G215" i="20"/>
  <c r="G214" i="20"/>
  <c r="G213" i="20"/>
  <c r="G212" i="20"/>
  <c r="G211" i="20"/>
  <c r="G210" i="20"/>
  <c r="G209" i="20"/>
  <c r="G208" i="20"/>
  <c r="G187" i="20"/>
  <c r="G186" i="20"/>
  <c r="G185" i="20"/>
  <c r="G184" i="20"/>
  <c r="G183" i="20"/>
  <c r="G182" i="20"/>
  <c r="G181" i="20"/>
  <c r="G180" i="20"/>
  <c r="G179" i="20"/>
  <c r="G178" i="20"/>
  <c r="G177" i="20"/>
  <c r="G176" i="20"/>
  <c r="G173" i="20"/>
  <c r="G171" i="20"/>
  <c r="G170" i="20"/>
  <c r="G168" i="20"/>
  <c r="G165" i="20"/>
  <c r="G164" i="20"/>
  <c r="G163" i="20"/>
  <c r="G161" i="20"/>
  <c r="G159" i="20"/>
  <c r="G157" i="20"/>
  <c r="G154" i="20"/>
  <c r="G152" i="20"/>
  <c r="G151" i="20"/>
  <c r="G149" i="20"/>
  <c r="G142" i="20"/>
  <c r="G141" i="20"/>
  <c r="G140" i="20"/>
  <c r="G139" i="20"/>
  <c r="G137" i="20"/>
  <c r="G135" i="20"/>
  <c r="G132" i="20"/>
  <c r="G130" i="20"/>
  <c r="G129" i="20"/>
  <c r="G127" i="20"/>
  <c r="G103" i="20"/>
  <c r="G102" i="20"/>
  <c r="G100" i="20"/>
  <c r="G63" i="20"/>
  <c r="G62" i="20"/>
  <c r="G61" i="20"/>
  <c r="G60" i="20"/>
  <c r="G46" i="20"/>
  <c r="G44" i="20"/>
  <c r="G40" i="20"/>
  <c r="G39" i="20"/>
  <c r="G38" i="20"/>
  <c r="G37" i="20"/>
  <c r="G36" i="20"/>
  <c r="G34" i="20"/>
  <c r="G33" i="20"/>
  <c r="G32" i="20"/>
  <c r="G31" i="20"/>
  <c r="G30" i="20"/>
  <c r="G29" i="20"/>
  <c r="G28" i="20"/>
  <c r="G27" i="20"/>
  <c r="G25" i="20"/>
  <c r="G24" i="20"/>
  <c r="G23" i="20"/>
  <c r="G22" i="20"/>
  <c r="G20" i="20"/>
  <c r="G19" i="20"/>
  <c r="G18" i="20"/>
  <c r="G17" i="20"/>
  <c r="G16" i="20"/>
  <c r="G15" i="20"/>
  <c r="G14" i="20"/>
  <c r="G13" i="20"/>
  <c r="G12" i="20"/>
  <c r="G11" i="20"/>
  <c r="G10" i="20"/>
  <c r="G9" i="20"/>
  <c r="G8" i="20"/>
  <c r="G7" i="20"/>
  <c r="G6" i="20"/>
  <c r="G5" i="20"/>
  <c r="E243" i="20"/>
  <c r="E242" i="20"/>
  <c r="E240" i="20"/>
  <c r="E239" i="20"/>
  <c r="E238" i="20"/>
  <c r="E237" i="20"/>
  <c r="E236" i="20"/>
  <c r="E235" i="20"/>
  <c r="E234" i="20"/>
  <c r="E231" i="20"/>
  <c r="E230" i="20"/>
  <c r="E228" i="20"/>
  <c r="E227" i="20"/>
  <c r="E225" i="20"/>
  <c r="E224" i="20"/>
  <c r="E223" i="20"/>
  <c r="E222" i="20"/>
  <c r="E221" i="20"/>
  <c r="E220" i="20"/>
  <c r="E219" i="20"/>
  <c r="E218" i="20"/>
  <c r="E217" i="20"/>
  <c r="E216" i="20"/>
  <c r="E215" i="20"/>
  <c r="E214" i="20"/>
  <c r="E213" i="20"/>
  <c r="E212" i="20"/>
  <c r="E211" i="20"/>
  <c r="E210" i="20"/>
  <c r="E209" i="20"/>
  <c r="E208" i="20"/>
  <c r="E187" i="20"/>
  <c r="E186" i="20"/>
  <c r="E185" i="20"/>
  <c r="E184" i="20"/>
  <c r="E183" i="20"/>
  <c r="E182" i="20"/>
  <c r="E181" i="20"/>
  <c r="E180" i="20"/>
  <c r="E179" i="20"/>
  <c r="E178" i="20"/>
  <c r="E177" i="20"/>
  <c r="E176" i="20"/>
  <c r="E173" i="20"/>
  <c r="E171" i="20"/>
  <c r="E170" i="20"/>
  <c r="E168" i="20"/>
  <c r="E165" i="20"/>
  <c r="E164" i="20"/>
  <c r="E163" i="20"/>
  <c r="E161" i="20"/>
  <c r="E159" i="20"/>
  <c r="E157" i="20"/>
  <c r="E154" i="20"/>
  <c r="E152" i="20"/>
  <c r="E151" i="20"/>
  <c r="E149" i="20"/>
  <c r="E146" i="20"/>
  <c r="E145" i="20"/>
  <c r="E144" i="20"/>
  <c r="A144" i="20"/>
  <c r="E142" i="20"/>
  <c r="E141" i="20"/>
  <c r="E140" i="20"/>
  <c r="E139" i="20"/>
  <c r="E137" i="20"/>
  <c r="E135" i="20"/>
  <c r="E132" i="20"/>
  <c r="E130" i="20"/>
  <c r="E129" i="20"/>
  <c r="E127" i="20"/>
  <c r="E124" i="20"/>
  <c r="E123" i="20"/>
  <c r="E121" i="20"/>
  <c r="E120" i="20"/>
  <c r="E118" i="20"/>
  <c r="E117" i="20"/>
  <c r="E116" i="20"/>
  <c r="E115" i="20"/>
  <c r="E114" i="20"/>
  <c r="E112" i="20"/>
  <c r="E110" i="20"/>
  <c r="E108" i="20"/>
  <c r="E106" i="20"/>
  <c r="E105" i="20"/>
  <c r="E103" i="20"/>
  <c r="E102" i="20"/>
  <c r="E100" i="20"/>
  <c r="A100" i="20"/>
  <c r="A105" i="20" s="1"/>
  <c r="A108" i="20" s="1"/>
  <c r="A110" i="20" s="1"/>
  <c r="A112" i="20" s="1"/>
  <c r="A114" i="20" s="1"/>
  <c r="A115" i="20" s="1"/>
  <c r="A116" i="20" s="1"/>
  <c r="A117" i="20" s="1"/>
  <c r="A118" i="20" s="1"/>
  <c r="A120" i="20" s="1"/>
  <c r="E97" i="20"/>
  <c r="E96" i="20"/>
  <c r="E95" i="20"/>
  <c r="E93" i="20"/>
  <c r="E91" i="20"/>
  <c r="E89" i="20"/>
  <c r="E88" i="20"/>
  <c r="E87" i="20"/>
  <c r="E85" i="20"/>
  <c r="E84" i="20"/>
  <c r="E83" i="20"/>
  <c r="E82" i="20"/>
  <c r="E80" i="20"/>
  <c r="A80" i="20"/>
  <c r="A82" i="20" s="1"/>
  <c r="A88" i="20" s="1"/>
  <c r="A89" i="20" s="1"/>
  <c r="A91" i="20" s="1"/>
  <c r="A97" i="20" s="1"/>
  <c r="A95" i="20" s="1"/>
  <c r="E78" i="20"/>
  <c r="A78" i="20"/>
  <c r="E77" i="20"/>
  <c r="E76" i="20"/>
  <c r="E74" i="20"/>
  <c r="E73" i="20"/>
  <c r="E72" i="20"/>
  <c r="E71" i="20"/>
  <c r="E69" i="20"/>
  <c r="A69" i="20"/>
  <c r="A71" i="20" s="1"/>
  <c r="E67" i="20"/>
  <c r="E66" i="20"/>
  <c r="E65" i="20"/>
  <c r="E63" i="20"/>
  <c r="E62" i="20"/>
  <c r="E61" i="20"/>
  <c r="E60" i="20"/>
  <c r="E57" i="20"/>
  <c r="E56" i="20"/>
  <c r="E55" i="20"/>
  <c r="E54" i="20"/>
  <c r="E53" i="20"/>
  <c r="E52" i="20"/>
  <c r="A52" i="20"/>
  <c r="A53" i="20" s="1"/>
  <c r="A54" i="20" s="1"/>
  <c r="A55" i="20" s="1"/>
  <c r="A56" i="20" s="1"/>
  <c r="A57" i="20" s="1"/>
  <c r="A60" i="20" s="1"/>
  <c r="E46" i="20"/>
  <c r="E44" i="20"/>
  <c r="E40" i="20"/>
  <c r="E39" i="20"/>
  <c r="A39" i="20"/>
  <c r="A40" i="20" s="1"/>
  <c r="A44" i="20" s="1"/>
  <c r="A46" i="20" s="1"/>
  <c r="E38" i="20"/>
  <c r="E37" i="20"/>
  <c r="A37" i="20"/>
  <c r="E36" i="20"/>
  <c r="E34" i="20"/>
  <c r="E33" i="20"/>
  <c r="E32" i="20"/>
  <c r="E31" i="20"/>
  <c r="E30" i="20"/>
  <c r="E29" i="20"/>
  <c r="E28" i="20"/>
  <c r="E27" i="20"/>
  <c r="E25" i="20"/>
  <c r="A25" i="20"/>
  <c r="E24" i="20"/>
  <c r="E23" i="20"/>
  <c r="E22" i="20"/>
  <c r="E20" i="20"/>
  <c r="E19" i="20"/>
  <c r="E18" i="20"/>
  <c r="E17" i="20"/>
  <c r="E16" i="20"/>
  <c r="E15" i="20"/>
  <c r="E14" i="20"/>
  <c r="E13" i="20"/>
  <c r="E12" i="20"/>
  <c r="E11" i="20"/>
  <c r="E10" i="20"/>
  <c r="E9" i="20"/>
  <c r="E8" i="20"/>
  <c r="E7" i="20"/>
  <c r="E6" i="20"/>
  <c r="E5" i="20"/>
  <c r="A145" i="20" l="1"/>
  <c r="A121" i="20"/>
  <c r="A149" i="20" l="1"/>
  <c r="A129" i="20"/>
  <c r="A130" i="20" s="1"/>
  <c r="A132" i="20" s="1"/>
  <c r="A135" i="20" s="1"/>
  <c r="A137" i="20" s="1"/>
  <c r="A139" i="20" s="1"/>
  <c r="A140" i="20" s="1"/>
  <c r="A123" i="20"/>
  <c r="A151" i="20" l="1"/>
  <c r="A152" i="20" l="1"/>
  <c r="A154" i="20" l="1"/>
  <c r="A157" i="20" l="1"/>
  <c r="A159" i="20" l="1"/>
  <c r="A161" i="20" l="1"/>
  <c r="A163" i="20" l="1"/>
  <c r="A164" i="20" l="1"/>
  <c r="A165" i="20" l="1"/>
  <c r="A168" i="20" l="1"/>
  <c r="A170" i="20" l="1"/>
  <c r="A171" i="20" l="1"/>
  <c r="A173" i="20" l="1"/>
  <c r="A176" i="20" l="1"/>
  <c r="A177" i="20" l="1"/>
  <c r="A178" i="20" l="1"/>
  <c r="A179" i="20" l="1"/>
  <c r="A180" i="20" l="1"/>
  <c r="A181" i="20" l="1"/>
  <c r="A182" i="20" l="1"/>
  <c r="A183" i="20" l="1"/>
  <c r="A184" i="20" l="1"/>
  <c r="A185" i="20" l="1"/>
  <c r="A186" i="20" l="1"/>
  <c r="A187" i="20" l="1"/>
  <c r="A188" i="20" s="1"/>
  <c r="A189" i="20" l="1"/>
  <c r="A190" i="20" l="1"/>
  <c r="A191" i="20" l="1"/>
  <c r="A192" i="20" l="1"/>
  <c r="A193" i="20" l="1"/>
  <c r="A194" i="20" l="1"/>
  <c r="A195" i="20" l="1"/>
  <c r="A196" i="20" l="1"/>
  <c r="A197" i="20" l="1"/>
  <c r="A198" i="20" l="1"/>
  <c r="A199" i="20" l="1"/>
  <c r="A200" i="20" l="1"/>
  <c r="A201" i="20" l="1"/>
  <c r="A202" i="20" l="1"/>
  <c r="A203" i="20" l="1"/>
  <c r="A204" i="20" l="1"/>
  <c r="A205" i="20" l="1"/>
  <c r="A206" i="20" l="1"/>
  <c r="A207" i="20" l="1"/>
  <c r="I3" i="10"/>
  <c r="A208" i="20" l="1"/>
  <c r="A209" i="20" l="1"/>
  <c r="A210" i="20" l="1"/>
  <c r="A211" i="20" l="1"/>
  <c r="A212" i="20" l="1"/>
  <c r="A213" i="20" l="1"/>
  <c r="A214" i="20" l="1"/>
  <c r="A215" i="20" l="1"/>
  <c r="A216" i="20" l="1"/>
  <c r="A217" i="20" l="1"/>
  <c r="A218" i="20" l="1"/>
  <c r="A220" i="20" l="1"/>
  <c r="A221" i="20" l="1"/>
  <c r="A222" i="20" l="1"/>
  <c r="A223" i="20" l="1"/>
  <c r="A224" i="20" l="1"/>
  <c r="A225" i="20" l="1"/>
  <c r="A227" i="20" l="1"/>
  <c r="A228" i="20" l="1"/>
  <c r="A230" i="20" l="1"/>
  <c r="A231" i="20" l="1"/>
</calcChain>
</file>

<file path=xl/sharedStrings.xml><?xml version="1.0" encoding="utf-8"?>
<sst xmlns="http://schemas.openxmlformats.org/spreadsheetml/2006/main" count="2838" uniqueCount="1470">
  <si>
    <t>question</t>
  </si>
  <si>
    <t>duration</t>
  </si>
  <si>
    <t>responded %</t>
  </si>
  <si>
    <t>weighted time</t>
  </si>
  <si>
    <t>introduction</t>
  </si>
  <si>
    <t>agree</t>
  </si>
  <si>
    <t>resp_age</t>
  </si>
  <si>
    <t>resp_gender</t>
  </si>
  <si>
    <t>quotareached</t>
  </si>
  <si>
    <t>hh_agricactivity</t>
  </si>
  <si>
    <t>hh_milieu</t>
  </si>
  <si>
    <t>hh_gender</t>
  </si>
  <si>
    <t>hh_education</t>
  </si>
  <si>
    <t>hh_wealth_water</t>
  </si>
  <si>
    <t>hh_wealth_toilet</t>
  </si>
  <si>
    <t>hh_wealthwall</t>
  </si>
  <si>
    <t>hh_size</t>
  </si>
  <si>
    <t>hh_reprwomen</t>
  </si>
  <si>
    <t>income_main</t>
  </si>
  <si>
    <t>income_main_amount</t>
  </si>
  <si>
    <t>income_main_amount_conf</t>
  </si>
  <si>
    <t>income_main_comp</t>
  </si>
  <si>
    <t>income_sec</t>
  </si>
  <si>
    <t>income_sec_amount</t>
  </si>
  <si>
    <t>income_sec_amount_conf</t>
  </si>
  <si>
    <t>income_sec_comp</t>
  </si>
  <si>
    <t>income_third</t>
  </si>
  <si>
    <t>income_third_amount</t>
  </si>
  <si>
    <t>income_third_amount_conf</t>
  </si>
  <si>
    <t>income_third_comp</t>
  </si>
  <si>
    <t>covid_policy</t>
  </si>
  <si>
    <t>wagecompar</t>
  </si>
  <si>
    <t>hh_explanation</t>
  </si>
  <si>
    <t>crp_main</t>
  </si>
  <si>
    <t>crp_landsize</t>
  </si>
  <si>
    <t>crp_landsmall</t>
  </si>
  <si>
    <t>crp_landmedium</t>
  </si>
  <si>
    <t>crp_irrigation</t>
  </si>
  <si>
    <t>crp_seed_supply</t>
  </si>
  <si>
    <t>crp_area_change</t>
  </si>
  <si>
    <t>crp_harv_change</t>
  </si>
  <si>
    <t>crp_proddif_1</t>
  </si>
  <si>
    <t>crp_proddif_2</t>
  </si>
  <si>
    <t>crp_salesdif_1</t>
  </si>
  <si>
    <t>crp_salesdif_2</t>
  </si>
  <si>
    <t>crp_salesprice</t>
  </si>
  <si>
    <t>mrk_inno</t>
  </si>
  <si>
    <t>crp_proc</t>
  </si>
  <si>
    <t>crp_proc_mach</t>
  </si>
  <si>
    <t>crp_proc_owner</t>
  </si>
  <si>
    <t>crp_proc_state</t>
  </si>
  <si>
    <t>ls_main</t>
  </si>
  <si>
    <t>ls_num_lastyr</t>
  </si>
  <si>
    <t>ls_num_now</t>
  </si>
  <si>
    <t>ls_num_change</t>
  </si>
  <si>
    <t>ls_food_supply</t>
  </si>
  <si>
    <t>ls_proddif_1</t>
  </si>
  <si>
    <t>ls_proddif_2</t>
  </si>
  <si>
    <t>ls_salesmain</t>
  </si>
  <si>
    <t>ls_salesdif_1</t>
  </si>
  <si>
    <t>ls_salesdif_2</t>
  </si>
  <si>
    <t>ls_salesprice</t>
  </si>
  <si>
    <t>ls_proc_1</t>
  </si>
  <si>
    <t>ls_proc_2</t>
  </si>
  <si>
    <t>ls_proc_fac</t>
  </si>
  <si>
    <t>ls_proc_fac_statedairyprocess</t>
  </si>
  <si>
    <t>ls_proc_fac_statecoldtranspor</t>
  </si>
  <si>
    <t>ls_proc_fac_statedontknow</t>
  </si>
  <si>
    <t>cg</t>
  </si>
  <si>
    <t>ls_proc_fac_statepurchasepriv</t>
  </si>
  <si>
    <t>fish_main</t>
  </si>
  <si>
    <t>fish_change</t>
  </si>
  <si>
    <t>fish_proddif_1</t>
  </si>
  <si>
    <t>fish_proddif_2</t>
  </si>
  <si>
    <t>fish_inputdif</t>
  </si>
  <si>
    <t>fish_salesmain</t>
  </si>
  <si>
    <t>fish_salesdif_1</t>
  </si>
  <si>
    <t>fish_salesdif</t>
  </si>
  <si>
    <t>fish_salesprice</t>
  </si>
  <si>
    <t>fies</t>
  </si>
  <si>
    <t>fies_worried</t>
  </si>
  <si>
    <t>fies_healthy</t>
  </si>
  <si>
    <t>fies_fewfoods</t>
  </si>
  <si>
    <t>fies_skipped</t>
  </si>
  <si>
    <t>fies_ateless</t>
  </si>
  <si>
    <t>fies_ranout</t>
  </si>
  <si>
    <t>fies_ranout_hhs</t>
  </si>
  <si>
    <t>fies_hungry</t>
  </si>
  <si>
    <t>fies_hungry_hhs</t>
  </si>
  <si>
    <t>fies_whlday</t>
  </si>
  <si>
    <t>fies_whlday_hhs</t>
  </si>
  <si>
    <t>copingstrategies</t>
  </si>
  <si>
    <t>cs_stress_hh_assets</t>
  </si>
  <si>
    <t>cs_stress_spent_savings</t>
  </si>
  <si>
    <t>cs_stress_credit</t>
  </si>
  <si>
    <t>cs_stress_borrowed_money</t>
  </si>
  <si>
    <t>cs_crisis_sold_productive_asset</t>
  </si>
  <si>
    <t>cs_crisis_reduced_health_exp</t>
  </si>
  <si>
    <t>cs_crisis_consumed_seed_stocks</t>
  </si>
  <si>
    <t>cs_emergency_sold_house</t>
  </si>
  <si>
    <t>cs_emergency_begged</t>
  </si>
  <si>
    <t>cs_emergency_illegal</t>
  </si>
  <si>
    <t>cs_emergency_sold_last_female</t>
  </si>
  <si>
    <t>cs_emergency_sold_till</t>
  </si>
  <si>
    <t>cs_emergency_hh_migration</t>
  </si>
  <si>
    <t>food_exp</t>
  </si>
  <si>
    <t>hdds</t>
  </si>
  <si>
    <t>hdds_confirmation</t>
  </si>
  <si>
    <t>mdds_w</t>
  </si>
  <si>
    <t>mdds_w1</t>
  </si>
  <si>
    <t>mdds_w2</t>
  </si>
  <si>
    <t>mdds_w3</t>
  </si>
  <si>
    <t>mdds_w4</t>
  </si>
  <si>
    <t>mdds_w5</t>
  </si>
  <si>
    <t>mdds_w6</t>
  </si>
  <si>
    <t>mdds_w7</t>
  </si>
  <si>
    <t>mdds_w8</t>
  </si>
  <si>
    <t>mdds_w9</t>
  </si>
  <si>
    <t>mdds_w10</t>
  </si>
  <si>
    <t>mdds_w11</t>
  </si>
  <si>
    <t>need_1</t>
  </si>
  <si>
    <t>need_2</t>
  </si>
  <si>
    <t>info_needs</t>
  </si>
  <si>
    <t>info_needstype</t>
  </si>
  <si>
    <t>info_needsmedium</t>
  </si>
  <si>
    <t>need_received</t>
  </si>
  <si>
    <t>callback</t>
  </si>
  <si>
    <t>hh_wealth_light</t>
  </si>
  <si>
    <t>cs_stress_sold_more_animals</t>
  </si>
  <si>
    <t>cs_stress_eat_elsewhere</t>
  </si>
  <si>
    <t>cs_crisis_decr_agric_input_exp</t>
  </si>
  <si>
    <t>covid_assistance</t>
  </si>
  <si>
    <t>what_covid_assistance</t>
  </si>
  <si>
    <t>resp_language</t>
  </si>
  <si>
    <t>ruralurban</t>
  </si>
  <si>
    <t>formal_informal</t>
  </si>
  <si>
    <t>hh_residencetype</t>
  </si>
  <si>
    <t>hhsize04</t>
  </si>
  <si>
    <t>hhdisability</t>
  </si>
  <si>
    <t>hh_age</t>
  </si>
  <si>
    <t>hhincearners</t>
  </si>
  <si>
    <t>incomechangereduced</t>
  </si>
  <si>
    <t>hhexptotal30d</t>
  </si>
  <si>
    <t>expensefood30d</t>
  </si>
  <si>
    <t>cropdifficultyunrest</t>
  </si>
  <si>
    <t>cropsalesdifficultyunrest</t>
  </si>
  <si>
    <t>lsdifficultyunrest</t>
  </si>
  <si>
    <t>ls_salesdifficultyunrest</t>
  </si>
  <si>
    <t>cs_crisis_no_school</t>
  </si>
  <si>
    <t>cs_emergency_sold_last_drought</t>
  </si>
  <si>
    <t>cs_emergency_hh_risk</t>
  </si>
  <si>
    <t>wheremigration</t>
  </si>
  <si>
    <t>meals</t>
  </si>
  <si>
    <t>fcsstap</t>
  </si>
  <si>
    <t>fcspulse</t>
  </si>
  <si>
    <t>fcsdairy</t>
  </si>
  <si>
    <t>fcspr</t>
  </si>
  <si>
    <t>fcsveg</t>
  </si>
  <si>
    <t>fcsfruit</t>
  </si>
  <si>
    <t>fcsfat</t>
  </si>
  <si>
    <t>fcssugar</t>
  </si>
  <si>
    <t>accessmarket</t>
  </si>
  <si>
    <t>sourcewater</t>
  </si>
  <si>
    <t>othersourcewater</t>
  </si>
  <si>
    <t>language2</t>
  </si>
  <si>
    <t>resp_agree</t>
  </si>
  <si>
    <t>adm1_name</t>
  </si>
  <si>
    <t>adm2_name</t>
  </si>
  <si>
    <t>covid</t>
  </si>
  <si>
    <t>crp_landright</t>
  </si>
  <si>
    <t>crp_seed</t>
  </si>
  <si>
    <t>crp_proddif</t>
  </si>
  <si>
    <t>crp_salesdif</t>
  </si>
  <si>
    <t>crp_saledif_2</t>
  </si>
  <si>
    <t>ls_proddif</t>
  </si>
  <si>
    <t>ls_salesdif</t>
  </si>
  <si>
    <t>ls_proc</t>
  </si>
  <si>
    <t>ls_proc_fac_state</t>
  </si>
  <si>
    <t>fish_proddif</t>
  </si>
  <si>
    <t>cs_spentsavings</t>
  </si>
  <si>
    <t>cs_borrowmoney</t>
  </si>
  <si>
    <t>cs_purchasedfoodcredit</t>
  </si>
  <si>
    <t>cs_soldhhassetsgoods</t>
  </si>
  <si>
    <t>cs_soldprodassets</t>
  </si>
  <si>
    <t>cs_eatplantingseeds</t>
  </si>
  <si>
    <t>cs_withdrewchild</t>
  </si>
  <si>
    <t>cs_soldlandhouse</t>
  </si>
  <si>
    <t>cs_begging</t>
  </si>
  <si>
    <t>cs_soldfemanimals</t>
  </si>
  <si>
    <t>need</t>
  </si>
  <si>
    <t>cs_stress_borrowed_or_helped</t>
  </si>
  <si>
    <t>shock</t>
  </si>
  <si>
    <t>reasonsmigration</t>
  </si>
  <si>
    <t>need_received_agent</t>
  </si>
  <si>
    <t>crp_area_change_covid19</t>
  </si>
  <si>
    <t>ls_proddif_2_covid19</t>
  </si>
  <si>
    <t>GeoPoll Submission Form</t>
  </si>
  <si>
    <t xml:space="preserve">Change made </t>
  </si>
  <si>
    <t>FAO - Household Questionnaire</t>
  </si>
  <si>
    <t>Additional notes</t>
  </si>
  <si>
    <t>Q #</t>
  </si>
  <si>
    <t>Q Name</t>
  </si>
  <si>
    <t>Suggested Qname</t>
  </si>
  <si>
    <t>English</t>
  </si>
  <si>
    <t>Length</t>
  </si>
  <si>
    <t>French</t>
  </si>
  <si>
    <t>Q Type</t>
  </si>
  <si>
    <t>Randomize</t>
  </si>
  <si>
    <t>Conditional</t>
  </si>
  <si>
    <t>Programming Instructions</t>
  </si>
  <si>
    <t>Skip Pattern</t>
  </si>
  <si>
    <t xml:space="preserve">Default skip patterns &amp; conditional </t>
  </si>
  <si>
    <t>Specify skip pattern variable (from blue text)</t>
  </si>
  <si>
    <t>UNIVERSE</t>
  </si>
  <si>
    <t>Duration average (sec)</t>
  </si>
  <si>
    <t>Estimated percentage of repondents</t>
  </si>
  <si>
    <t>Weighted Duration</t>
  </si>
  <si>
    <t>Mandatory</t>
  </si>
  <si>
    <t>A. PRESENTATION OF THE SURVEY AND ELIGIBILITY CRITERIA SELECTION</t>
  </si>
  <si>
    <t>no</t>
  </si>
  <si>
    <t>NA</t>
  </si>
  <si>
    <t>Optin</t>
  </si>
  <si>
    <t>Open Ended</t>
  </si>
  <si>
    <t>Form Type - TextBox</t>
  </si>
  <si>
    <t>Any Response = phone_number</t>
  </si>
  <si>
    <t>ALL</t>
  </si>
  <si>
    <t>phone_number</t>
  </si>
  <si>
    <t xml:space="preserve">Input the phone number that you are contacting: </t>
  </si>
  <si>
    <t xml:space="preserve">Saisir le numéro de téléphone que vous chercher à contacter: </t>
  </si>
  <si>
    <t>Any Response = hh_id</t>
  </si>
  <si>
    <t>yes</t>
  </si>
  <si>
    <t>New question</t>
  </si>
  <si>
    <t>hh_id</t>
  </si>
  <si>
    <t>Input the household ID, if applicable:</t>
  </si>
  <si>
    <t>Le cas échéant, saisir l'identifiant du ménage:</t>
  </si>
  <si>
    <t>Any Response = calldispo</t>
  </si>
  <si>
    <t>calldispo</t>
  </si>
  <si>
    <t>Phone number: #CATI_MOBILENUMBER#
1)Someone answers
2)Answering machine
3)No answer
4)Hang up or refusal
5)Call back
6)Under review
7)Disconnected</t>
  </si>
  <si>
    <t>Numéro de téléphone: #CATI_MOBILENUMBER#
1)Quelqu’un répond
2)Répondeur
3)Pas de réponse
4)Raccroche/Refuse
5)Doit être rappeler
6)À l’étude
7)Déconnecté</t>
  </si>
  <si>
    <t>Single Choice</t>
  </si>
  <si>
    <t>Form Type - Buttons</t>
  </si>
  <si>
    <t>1 = resp_language
2 = AnsweringMachine
3 = NoAnswer
4 = Refusal
5 = WhenCallBack
6 = UnderReview
7 = Disconnected</t>
  </si>
  <si>
    <t>AnsweringMachine</t>
  </si>
  <si>
    <t>calldispo_answeringmachine</t>
  </si>
  <si>
    <t>Reached an answering machine.</t>
  </si>
  <si>
    <t>L'appel a abouti sur un répondeur.</t>
  </si>
  <si>
    <t>End Poll AnsweringMachine</t>
  </si>
  <si>
    <t>calldispo = 2</t>
  </si>
  <si>
    <t>NoAnswer</t>
  </si>
  <si>
    <t>calldispo_noanswer</t>
  </si>
  <si>
    <t>Phone rang and no one answered.</t>
  </si>
  <si>
    <t>Le téléphone a sonné et personne n'a répondu.</t>
  </si>
  <si>
    <t>End Poll NoAnswer</t>
  </si>
  <si>
    <t>calldispo = 3</t>
  </si>
  <si>
    <t>UnderReview</t>
  </si>
  <si>
    <t>calldispo_underreview</t>
  </si>
  <si>
    <t>Case needs review by a supervisor.</t>
  </si>
  <si>
    <t>Le cas doit être examiné par un superviseur.</t>
  </si>
  <si>
    <t>End Poll UnderReview</t>
  </si>
  <si>
    <t>calldispo = 6</t>
  </si>
  <si>
    <t>Disconnected</t>
  </si>
  <si>
    <t>calldispo_disconnected</t>
  </si>
  <si>
    <t>Phone was disconnected or out of service.</t>
  </si>
  <si>
    <t>Le téléphone est déconnecté ou hors service.</t>
  </si>
  <si>
    <t>End Poll Disconnected</t>
  </si>
  <si>
    <t>calldispo = 7</t>
  </si>
  <si>
    <r>
      <t xml:space="preserve">Which language do you wish to proceed with?
[OPERATOR: READ ANSWER CHOICES. SINGLE RESPONSE.]
</t>
    </r>
    <r>
      <rPr>
        <sz val="12"/>
        <color theme="1"/>
        <rFont val="Calibri"/>
        <family val="2"/>
        <scheme val="minor"/>
      </rPr>
      <t>1)English</t>
    </r>
    <r>
      <rPr>
        <b/>
        <sz val="12"/>
        <color theme="1"/>
        <rFont val="Calibri"/>
        <family val="2"/>
        <scheme val="minor"/>
      </rPr>
      <t xml:space="preserve">
</t>
    </r>
    <r>
      <rPr>
        <sz val="12"/>
        <rFont val="Calibri"/>
        <family val="2"/>
        <scheme val="minor"/>
      </rPr>
      <t>2)</t>
    </r>
    <r>
      <rPr>
        <b/>
        <sz val="12"/>
        <color theme="4"/>
        <rFont val="Calibri"/>
        <family val="2"/>
        <scheme val="minor"/>
      </rPr>
      <t>other options [add as many as necessary]</t>
    </r>
  </si>
  <si>
    <r>
      <t xml:space="preserve">Dans quelle langue souhaitez-vous que nous parlions?
[OPÉRATEUR/OPÉRATRICE: LISEZ LES CHOIX, RÉPONSE UNIQUE]
</t>
    </r>
    <r>
      <rPr>
        <sz val="12"/>
        <color rgb="FF0070C0"/>
        <rFont val="Calibri"/>
        <family val="2"/>
        <scheme val="minor"/>
      </rPr>
      <t xml:space="preserve">
</t>
    </r>
    <r>
      <rPr>
        <sz val="12"/>
        <color theme="1"/>
        <rFont val="Calibri"/>
        <family val="2"/>
        <scheme val="minor"/>
      </rPr>
      <t>1)</t>
    </r>
    <r>
      <rPr>
        <sz val="12"/>
        <color rgb="FF0070C0"/>
        <rFont val="Calibri"/>
        <family val="2"/>
        <scheme val="minor"/>
      </rPr>
      <t xml:space="preserve">Français
</t>
    </r>
    <r>
      <rPr>
        <sz val="12"/>
        <color theme="1"/>
        <rFont val="Calibri"/>
        <family val="2"/>
        <scheme val="minor"/>
      </rPr>
      <t>2)</t>
    </r>
    <r>
      <rPr>
        <sz val="12"/>
        <color rgb="FF0070C0"/>
        <rFont val="Calibri"/>
        <family val="2"/>
        <scheme val="minor"/>
      </rPr>
      <t>autre [ajouter autant d'options que nécessaire]</t>
    </r>
  </si>
  <si>
    <r>
      <t xml:space="preserve">1 = introduction [English]
2 = introduction </t>
    </r>
    <r>
      <rPr>
        <sz val="12"/>
        <color rgb="FF0070C0"/>
        <rFont val="Calibri"/>
        <family val="2"/>
        <scheme val="minor"/>
      </rPr>
      <t>[</t>
    </r>
    <r>
      <rPr>
        <b/>
        <sz val="12"/>
        <color rgb="FF0070C0"/>
        <rFont val="Calibri"/>
        <family val="2"/>
        <scheme val="minor"/>
      </rPr>
      <t>languages &amp; add more if needed</t>
    </r>
    <r>
      <rPr>
        <sz val="12"/>
        <color rgb="FF0070C0"/>
        <rFont val="Calibri"/>
        <family val="2"/>
        <scheme val="minor"/>
      </rPr>
      <t>]</t>
    </r>
  </si>
  <si>
    <r>
      <rPr>
        <sz val="12"/>
        <rFont val="Calibri"/>
        <family val="2"/>
        <scheme val="minor"/>
      </rPr>
      <t>For any response, go to</t>
    </r>
    <r>
      <rPr>
        <i/>
        <sz val="12"/>
        <rFont val="Calibri"/>
        <family val="2"/>
        <scheme val="minor"/>
      </rPr>
      <t xml:space="preserve"> introduction</t>
    </r>
  </si>
  <si>
    <t>Insert most common national languages here [max 4 for translation with GeoPoll].
Insérer ici les langues nationales les plus courantes [4 maximum pour la traduction avec GeoPoll].</t>
  </si>
  <si>
    <r>
      <t xml:space="preserve">Hello sir/ma'am, my name is #OPERATOR#, and I am calling from GeoPoll Polling Agency on behalf of the humanitarian organization called Food and Agriculture Organization of the United Nations (FAO). We are conducting a survey on households' ability to access food in your area and the impact of COVID-19 pandemic. I would like to ask you some questions about your household.
The survey usually takes </t>
    </r>
    <r>
      <rPr>
        <b/>
        <sz val="12"/>
        <color rgb="FF0070C0"/>
        <rFont val="Calibri"/>
        <family val="2"/>
        <scheme val="minor"/>
      </rPr>
      <t>15/20 minutes</t>
    </r>
    <r>
      <rPr>
        <sz val="12"/>
        <rFont val="Calibri"/>
        <family val="2"/>
        <scheme val="minor"/>
      </rPr>
      <t xml:space="preserve"> to complete. Any information that you provide will be kept strictly confidential, only used for the purpose of the survey and will not be shown to other people. No personal identifying information will be collected.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t>
    </r>
    <r>
      <rPr>
        <b/>
        <sz val="12"/>
        <color rgb="FF0070C0"/>
        <rFont val="Calibri"/>
        <family val="2"/>
        <scheme val="minor"/>
      </rPr>
      <t>You will receive #TOPUP#! of communication credit as an incentive for the participation of the survey.</t>
    </r>
    <r>
      <rPr>
        <sz val="12"/>
        <color rgb="FF0070C0"/>
        <rFont val="Calibri"/>
        <family val="2"/>
        <scheme val="minor"/>
      </rPr>
      <t xml:space="preserve">
</t>
    </r>
    <r>
      <rPr>
        <sz val="12"/>
        <color theme="4"/>
        <rFont val="Calibri"/>
        <family val="2"/>
        <scheme val="minor"/>
      </rPr>
      <t xml:space="preserve">
</t>
    </r>
    <r>
      <rPr>
        <b/>
        <sz val="12"/>
        <color rgb="FF0070C0"/>
        <rFont val="Calibri"/>
        <family val="2"/>
        <scheme val="minor"/>
      </rPr>
      <t xml:space="preserve">Please note that this call may be recorded for quality purposes.
</t>
    </r>
    <r>
      <rPr>
        <sz val="12"/>
        <rFont val="Calibri"/>
        <family val="2"/>
        <scheme val="minor"/>
      </rPr>
      <t xml:space="preserve">
Do you have any questions?
[OPERATOR: ADDRESS QUESTIONS FROM RESPONDENT, IF ANY.]
1)CONTINUE</t>
    </r>
  </si>
  <si>
    <r>
      <t xml:space="preserve">Bonjour Monsieur/Madame, mon nom est #OPERATOR#. Je vous appelle de la part de l'agence de sondage GeoPoll pour le compte de l'organisation humanitaire appelée l'Organisation des Nations Unies pour l'alimentation et l'agriculture (la FAO). Nous menons une enquête sur la capacité des ménages à accéder à la nourriture dans votre région et sur l'impact de la pandémie de covid-19. J'aimerais vous poser quelques questions sur votre ménage.
L'enquête dure généralement entre </t>
    </r>
    <r>
      <rPr>
        <b/>
        <sz val="12"/>
        <color rgb="FF0070C0"/>
        <rFont val="Calibri"/>
        <family val="2"/>
        <scheme val="minor"/>
      </rPr>
      <t>15 et 20 minutes</t>
    </r>
    <r>
      <rPr>
        <sz val="12"/>
        <rFont val="Calibri"/>
        <family val="2"/>
        <scheme val="minor"/>
      </rPr>
      <t xml:space="preserve">. Toutes les informations que vous fournirez resteront strictement confidentielles; elles ne seront utilisées que pour cette enquête et ne seront pas communiquées à d'autres personnes. Aucune information permettant de vous identifier personnellement ne sera recueillie.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t>
    </r>
    <r>
      <rPr>
        <b/>
        <sz val="12"/>
        <color rgb="FF0070C0"/>
        <rFont val="Calibri"/>
        <family val="2"/>
        <scheme val="minor"/>
      </rPr>
      <t xml:space="preserve">Vous recevrez #TOPUP#! de crédit téléphonique comme incitation à participer à l'enquête.
Veuillez noter que cet appel peut être enregistré à des fins de contrôle de la qualité.
</t>
    </r>
    <r>
      <rPr>
        <sz val="12"/>
        <rFont val="Calibri"/>
        <family val="2"/>
        <scheme val="minor"/>
      </rPr>
      <t xml:space="preserve">
Avez-vous des questions?
[OPÉRATEUR/OPÉRATRICE: RÉPONDRE, LE CAS ÉCHÉANT, AUX QUESTIONS DE LA PERSONNE INTERROGÉE.]
1)CONTINUER</t>
    </r>
  </si>
  <si>
    <t>1 = Agree</t>
  </si>
  <si>
    <r>
      <rPr>
        <sz val="12"/>
        <rFont val="Calibri"/>
        <family val="2"/>
        <scheme val="minor"/>
      </rPr>
      <t xml:space="preserve">For any response, go to </t>
    </r>
    <r>
      <rPr>
        <i/>
        <sz val="12"/>
        <rFont val="Calibri"/>
        <family val="2"/>
        <scheme val="minor"/>
      </rPr>
      <t>Agree</t>
    </r>
  </si>
  <si>
    <t>Set the amount of incentive here, if any.
Le cas échéant, définir ici le montant de l'incitation.</t>
  </si>
  <si>
    <t>Agree</t>
  </si>
  <si>
    <t xml:space="preserve">Are you interested in participating in this survey?
[OPERATOR: SINGLE RESPONSE]
1)Yes 
2)Not now but another time in the week 
3)No </t>
  </si>
  <si>
    <t xml:space="preserve">Souhaitez-vous participer à cette enquête?
[OPÉRATEUR/OPÉRATRICE: RÉPONSE UNIQUE]
1)Oui
2)Pas maintenant, mais à un autre moment de la semaine 
3)Non </t>
  </si>
  <si>
    <t>StartRecording</t>
  </si>
  <si>
    <t>1 = resp_firstname
2 = WhenCallBack
3 = resp_refusalwhy</t>
  </si>
  <si>
    <r>
      <t xml:space="preserve">if Agree = 1, go to </t>
    </r>
    <r>
      <rPr>
        <i/>
        <sz val="12"/>
        <rFont val="Calibri"/>
        <family val="2"/>
        <scheme val="minor"/>
      </rPr>
      <t xml:space="preserve">resp_firstname
</t>
    </r>
    <r>
      <rPr>
        <sz val="12"/>
        <rFont val="Calibri"/>
        <family val="2"/>
        <scheme val="minor"/>
      </rPr>
      <t>if</t>
    </r>
    <r>
      <rPr>
        <i/>
        <sz val="12"/>
        <rFont val="Calibri"/>
        <family val="2"/>
        <scheme val="minor"/>
      </rPr>
      <t xml:space="preserve"> Agree</t>
    </r>
    <r>
      <rPr>
        <sz val="12"/>
        <rFont val="Calibri"/>
        <family val="2"/>
        <scheme val="minor"/>
      </rPr>
      <t xml:space="preserve"> = 2, go to </t>
    </r>
    <r>
      <rPr>
        <i/>
        <sz val="12"/>
        <rFont val="Calibri"/>
        <family val="2"/>
        <scheme val="minor"/>
      </rPr>
      <t>WhenCallBack</t>
    </r>
    <r>
      <rPr>
        <sz val="12"/>
        <rFont val="Calibri"/>
        <family val="2"/>
        <scheme val="minor"/>
      </rPr>
      <t xml:space="preserve">
if </t>
    </r>
    <r>
      <rPr>
        <i/>
        <sz val="12"/>
        <rFont val="Calibri"/>
        <family val="2"/>
        <scheme val="minor"/>
      </rPr>
      <t>Agree</t>
    </r>
    <r>
      <rPr>
        <sz val="12"/>
        <rFont val="Calibri"/>
        <family val="2"/>
        <scheme val="minor"/>
      </rPr>
      <t xml:space="preserve"> = 3, go to </t>
    </r>
    <r>
      <rPr>
        <i/>
        <sz val="12"/>
        <rFont val="Calibri"/>
        <family val="2"/>
        <scheme val="minor"/>
      </rPr>
      <t>resp_refusalwhy</t>
    </r>
  </si>
  <si>
    <t>resp_refusalwhy</t>
  </si>
  <si>
    <t>Please let us know why you have REFUSED to take the survey.
[OPERATOR: SINGLE RESPONSE]
1)Not interested
2)Do not want to be recorded
3)Other [specify]</t>
  </si>
  <si>
    <t xml:space="preserve">Pourriez-vous m'indiquer pourquoi vous refusez de répondre à l'enquête.
[OPÉRATEUR/OPÉRATRICE: RÉPONSE UNIQUE]
1)Pas intéressé
2)Ne veut pas être enregistré
3)Autre [préciser] </t>
  </si>
  <si>
    <t>Open Ended - Single Choice</t>
  </si>
  <si>
    <t>Form Type - RadioList</t>
  </si>
  <si>
    <t>Any Response = Refusal</t>
  </si>
  <si>
    <r>
      <t xml:space="preserve">For any response, go to </t>
    </r>
    <r>
      <rPr>
        <i/>
        <sz val="12"/>
        <rFont val="Calibri"/>
        <family val="2"/>
        <scheme val="minor"/>
      </rPr>
      <t>Refusal</t>
    </r>
  </si>
  <si>
    <t>resp_agree = 3</t>
  </si>
  <si>
    <t>WhenCallBack</t>
  </si>
  <si>
    <t>resp_whencallback</t>
  </si>
  <si>
    <t>When would it be a good time to call you back?
[RECORD HH/MM/DD/MM OF CALLBACK]</t>
  </si>
  <si>
    <t>À quel moment pourrais-je vous rappeler?
[ENREGISTRER HH/MM/JJ/MM DU RAPPEL]</t>
  </si>
  <si>
    <t>Form Type - TextBox
set as demographic</t>
  </si>
  <si>
    <t>Any Response = CallbackMessageEN</t>
  </si>
  <si>
    <r>
      <t xml:space="preserve">For any response, go to </t>
    </r>
    <r>
      <rPr>
        <i/>
        <sz val="12"/>
        <rFont val="Calibri"/>
        <family val="2"/>
        <scheme val="minor"/>
      </rPr>
      <t>CallbackMessageEN</t>
    </r>
  </si>
  <si>
    <t>resp_agree = 2</t>
  </si>
  <si>
    <t>CallbackMessageEN</t>
  </si>
  <si>
    <t>callbackmessage_en</t>
  </si>
  <si>
    <t>Thank you, we will call you back at #WhenCallBack# you requested. Thank you again and have a great day!
[OPERATOR: ENTER CALL NOTES BELOW, WHO YOU SPOKE TO AND WHAT THEY SAID]</t>
  </si>
  <si>
    <t>Merci, nous vous rappellerons à #WhenCallBack#. Merci encore et bonne journée!
[OPÉRATEUR/OPÉRATRICE: SAISIR LES DONNÉES D'APPEL CI-DESSOUS, LE NOM DE LA PERSONNE À LAQUELLE VOUS AVEZ PARLÉ ET CE QU'ELLE A DIT]</t>
  </si>
  <si>
    <t>End poll callback</t>
  </si>
  <si>
    <t>Ineligible</t>
  </si>
  <si>
    <t>You are ineligible for this survey. Thank you for your time and please look out for future GeoPoll surveys! For more information visit GeoPoll.com</t>
  </si>
  <si>
    <r>
      <rPr>
        <sz val="12"/>
        <rFont val="Calibri"/>
        <family val="2"/>
        <scheme val="minor"/>
      </rPr>
      <t>Vous ne pouvez être retenu pour cette enqu</t>
    </r>
    <r>
      <rPr>
        <sz val="12"/>
        <color theme="1"/>
        <rFont val="Calibri"/>
        <family val="2"/>
        <scheme val="minor"/>
      </rPr>
      <t>ête. Merci pour votre temps et renseignez-vous sur les prochains sondages GeoPoll! Pour plus d'informations, consultez GeoPoll.com</t>
    </r>
  </si>
  <si>
    <t>End Poll Ineligible</t>
  </si>
  <si>
    <t>Refusal</t>
  </si>
  <si>
    <t>NA </t>
  </si>
  <si>
    <t>Thank you for your time, you will be removed from today's survey.</t>
  </si>
  <si>
    <t>Merci pour votre temps. Vous serez écarté de l'enquête d'aujourd'hui.</t>
  </si>
  <si>
    <t>End poll declined</t>
  </si>
  <si>
    <t>calldispo = 4</t>
  </si>
  <si>
    <t>B. GENERAL INFORMATION &amp; ELIGIBILITY CRITERIA</t>
  </si>
  <si>
    <t>resp_firstname</t>
  </si>
  <si>
    <t>What is your first name?
[OPERATOR: RECORD THE RESPONDENT'S FIRST NAME. ENTER 999 FOR REFUSED.]</t>
  </si>
  <si>
    <t>Quel est votre prénom ?
[OPÉRATEUR/OPÉRATRICE: ENREGISTRER LE PRÉNOM DE LA PERSONNE INTÉRROGÉE. SAISIR  999 POUR REFUSÉ.]</t>
  </si>
  <si>
    <t>Any Response = resp_lastname</t>
  </si>
  <si>
    <r>
      <t xml:space="preserve">For any response, go to </t>
    </r>
    <r>
      <rPr>
        <i/>
        <sz val="12"/>
        <rFont val="Calibri"/>
        <family val="2"/>
        <scheme val="minor"/>
      </rPr>
      <t>resp_lastname</t>
    </r>
  </si>
  <si>
    <t>resp_agree = 1</t>
  </si>
  <si>
    <t>new question</t>
  </si>
  <si>
    <t>resp_lastname</t>
  </si>
  <si>
    <t>What is your last name? 
[OPERATOR: RECORD THE RESPONDENT'S LAST NAME. ENTER 999 FOR REFUSED.]</t>
  </si>
  <si>
    <t>Quel est votre nom de famille ?
[OPÉRATEUR/OPÉRATRICE: ENREGISTRER LE NOM DE FAMILLE DE LA PERSONNE INTÉRROGÉE. SAISIR  999 POUR REFUSÉ.]</t>
  </si>
  <si>
    <t>Any Response = resp_age</t>
  </si>
  <si>
    <r>
      <t xml:space="preserve">For any response, go to </t>
    </r>
    <r>
      <rPr>
        <i/>
        <sz val="12"/>
        <rFont val="Calibri"/>
        <family val="2"/>
        <scheme val="minor"/>
      </rPr>
      <t>resp_age</t>
    </r>
  </si>
  <si>
    <t>How old are you? 
[OPERATOR: RECORD AGE IN NUMBER OF YEARS. ROUND UP TO NEAREST WHOLE NUMBER. IF THE RESPONDENT GIVES BIRTH YEAR, REPEAT THE QUESTION. ENTER 00 FOR DON'T KNOW.]</t>
  </si>
  <si>
    <t>Quel âge avez-vous (en années) ?
[OPÉRATEUR/OPÉRATRICE: ENREGISTRER L'ÂGE EN ANNÉES. ARRONDIR AU NOMBRE ENTIER LE PLUS PROCHE. SI LE RÉPONDANT DONNE SON ANNÉE DE NAISSANCE, RÉPÉTER LA QUESTION. SAISIR 00 pour JE NE SAIS PAS.]</t>
  </si>
  <si>
    <t>Range</t>
  </si>
  <si>
    <r>
      <t>0-</t>
    </r>
    <r>
      <rPr>
        <b/>
        <sz val="12"/>
        <color rgb="FF0070C0"/>
        <rFont val="Calibri"/>
        <family val="2"/>
        <scheme val="minor"/>
      </rPr>
      <t>17</t>
    </r>
    <r>
      <rPr>
        <sz val="12"/>
        <rFont val="Calibri"/>
        <family val="2"/>
        <scheme val="minor"/>
      </rPr>
      <t xml:space="preserve"> = Ineligible
</t>
    </r>
    <r>
      <rPr>
        <b/>
        <sz val="12"/>
        <color rgb="FF0070C0"/>
        <rFont val="Calibri"/>
        <family val="2"/>
        <scheme val="minor"/>
      </rPr>
      <t>18</t>
    </r>
    <r>
      <rPr>
        <sz val="12"/>
        <rFont val="Calibri"/>
        <family val="2"/>
        <scheme val="minor"/>
      </rPr>
      <t>-100 = resp_gender
00 = Ineligible</t>
    </r>
  </si>
  <si>
    <t>Only respondents from 18-100 will be eligible for the surve.</t>
  </si>
  <si>
    <t>What is the gender of the respondent?
[OPERATOR: DO NOT ASK THIS QUESTIONNAIRE. LISTEN TO THE VOICE AND CHECK THE CORRECT BOX.]
1)Male
2)Female
3)DON'T KNOW
4)REFUSED</t>
  </si>
  <si>
    <t>Quel est le sexe du répondant ?  
[OPÉRATEUR/OPÉRATRICE: ÉCOUTER LA VOIX ET DÉTERMINER SI LE RÉPONDANT EST UN HOMME OU UNE FEMME.]
1)Homme
2)Femme
3)NE SAIT PAS
4)REFUSÉ</t>
  </si>
  <si>
    <t>resp_agree = 1 
resp_age = 18-100</t>
  </si>
  <si>
    <t>phone_number_conf</t>
  </si>
  <si>
    <r>
      <t xml:space="preserve">Is the </t>
    </r>
    <r>
      <rPr>
        <b/>
        <sz val="12"/>
        <color theme="9" tint="-0.499984740745262"/>
        <rFont val="Calibri (Body)"/>
      </rPr>
      <t>phone number</t>
    </r>
    <r>
      <rPr>
        <sz val="12"/>
        <color theme="9" tint="-0.499984740745262"/>
        <rFont val="Calibri (Body)"/>
      </rPr>
      <t xml:space="preserve"> I am calling you on yours or a household member's?
[OPERATOR: SINGLE RESPONSE.]
1)YES
2)NO
3)DON'T KNOW
4)REFUSED</t>
    </r>
  </si>
  <si>
    <r>
      <t xml:space="preserve">Le </t>
    </r>
    <r>
      <rPr>
        <b/>
        <sz val="12"/>
        <color theme="9" tint="-0.499984740745262"/>
        <rFont val="Calibri"/>
        <family val="2"/>
        <scheme val="minor"/>
      </rPr>
      <t>numéro de téléphone</t>
    </r>
    <r>
      <rPr>
        <sz val="12"/>
        <color theme="9" tint="-0.499984740745262"/>
        <rFont val="Calibri"/>
        <family val="2"/>
        <scheme val="minor"/>
      </rPr>
      <t xml:space="preserve"> sur lequel je vous appelle est-il le vôtre ou celui d'un membre de votre famille ?
[OPÉRATEUR/OPÉRATRICE: RÉPONSE UNIQUE.]
1)Oui
2)Non
3)NE SAIT PAS
4)REFUSÉ</t>
    </r>
  </si>
  <si>
    <t>1 = contact_2
2 = phone_number_personal
3-4 = contact_2</t>
  </si>
  <si>
    <r>
      <t>if</t>
    </r>
    <r>
      <rPr>
        <i/>
        <sz val="12"/>
        <color theme="9" tint="-0.499984740745262"/>
        <rFont val="Calibri (Body)"/>
      </rPr>
      <t xml:space="preserve"> phone_number_conf </t>
    </r>
    <r>
      <rPr>
        <sz val="12"/>
        <color theme="9" tint="-0.499984740745262"/>
        <rFont val="Calibri (Body)"/>
      </rPr>
      <t xml:space="preserve">= 1, go to </t>
    </r>
    <r>
      <rPr>
        <i/>
        <sz val="12"/>
        <color theme="9" tint="-0.499984740745262"/>
        <rFont val="Calibri (Body)"/>
      </rPr>
      <t>contact_2</t>
    </r>
    <r>
      <rPr>
        <sz val="12"/>
        <color theme="9" tint="-0.499984740745262"/>
        <rFont val="Calibri (Body)"/>
      </rPr>
      <t xml:space="preserve">
if </t>
    </r>
    <r>
      <rPr>
        <i/>
        <sz val="12"/>
        <color theme="9" tint="-0.499984740745262"/>
        <rFont val="Calibri (Body)"/>
      </rPr>
      <t xml:space="preserve">phone_number_conf </t>
    </r>
    <r>
      <rPr>
        <sz val="12"/>
        <color theme="9" tint="-0.499984740745262"/>
        <rFont val="Calibri (Body)"/>
      </rPr>
      <t xml:space="preserve">= 2, go to </t>
    </r>
    <r>
      <rPr>
        <i/>
        <sz val="12"/>
        <color theme="9" tint="-0.499984740745262"/>
        <rFont val="Calibri (Body)"/>
      </rPr>
      <t>phone_number_personal</t>
    </r>
    <r>
      <rPr>
        <sz val="12"/>
        <color theme="9" tint="-0.499984740745262"/>
        <rFont val="Calibri (Body)"/>
      </rPr>
      <t xml:space="preserve">
if </t>
    </r>
    <r>
      <rPr>
        <i/>
        <sz val="12"/>
        <color theme="9" tint="-0.499984740745262"/>
        <rFont val="Calibri (Body)"/>
      </rPr>
      <t xml:space="preserve">phone_number_conf </t>
    </r>
    <r>
      <rPr>
        <sz val="12"/>
        <color theme="9" tint="-0.499984740745262"/>
        <rFont val="Calibri (Body)"/>
      </rPr>
      <t xml:space="preserve">= 3-4, go to </t>
    </r>
    <r>
      <rPr>
        <i/>
        <sz val="12"/>
        <color theme="9" tint="-0.499984740745262"/>
        <rFont val="Calibri (Body)"/>
      </rPr>
      <t>contact_2</t>
    </r>
  </si>
  <si>
    <t>yes - panel</t>
  </si>
  <si>
    <t>phone_number_personal</t>
  </si>
  <si>
    <t>phone_number_pers</t>
  </si>
  <si>
    <r>
      <t xml:space="preserve">What is your </t>
    </r>
    <r>
      <rPr>
        <b/>
        <sz val="12"/>
        <color theme="9" tint="-0.499984740745262"/>
        <rFont val="Calibri (Body)"/>
      </rPr>
      <t>phone number</t>
    </r>
    <r>
      <rPr>
        <sz val="12"/>
        <color theme="9" tint="-0.499984740745262"/>
        <rFont val="Calibri (Body)"/>
      </rPr>
      <t>?</t>
    </r>
  </si>
  <si>
    <r>
      <t xml:space="preserve">Quel est votre </t>
    </r>
    <r>
      <rPr>
        <b/>
        <sz val="12"/>
        <color theme="9" tint="-0.499984740745262"/>
        <rFont val="Calibri"/>
        <family val="2"/>
        <scheme val="minor"/>
      </rPr>
      <t xml:space="preserve">numéro de téléphone </t>
    </r>
    <r>
      <rPr>
        <sz val="12"/>
        <color theme="9" tint="-0.499984740745262"/>
        <rFont val="Calibri"/>
        <family val="2"/>
        <scheme val="minor"/>
      </rPr>
      <t>?</t>
    </r>
  </si>
  <si>
    <t>Any Response = contact_2</t>
  </si>
  <si>
    <t>For any response, go to contact_2</t>
  </si>
  <si>
    <t>resp_agree = 1 
resp_age = 18-100
phone_number_conf = 2</t>
  </si>
  <si>
    <t>contact_2</t>
  </si>
  <si>
    <r>
      <t xml:space="preserve">Can you give me an additonal </t>
    </r>
    <r>
      <rPr>
        <b/>
        <sz val="12"/>
        <color theme="9" tint="-0.499984740745262"/>
        <rFont val="Calibri (Body)"/>
      </rPr>
      <t xml:space="preserve">phone number </t>
    </r>
    <r>
      <rPr>
        <sz val="12"/>
        <color theme="9" tint="-0.499984740745262"/>
        <rFont val="Calibri (Body)"/>
      </rPr>
      <t>belonging to you, a relative or a friend at which you can be reached?
[OPERATOR: SINGLE RESPONSE.]
1)YES - mine 
2)YES - friend or relative
3)NO
4)DON'T KNOW
5)REFUSED</t>
    </r>
  </si>
  <si>
    <r>
      <t xml:space="preserve">Pouvez-vous me donner un autre </t>
    </r>
    <r>
      <rPr>
        <b/>
        <sz val="12"/>
        <color theme="9" tint="-0.499984740745262"/>
        <rFont val="Calibri"/>
        <family val="2"/>
        <scheme val="minor"/>
      </rPr>
      <t>numéro de téléphone</t>
    </r>
    <r>
      <rPr>
        <sz val="12"/>
        <color theme="9" tint="-0.499984740745262"/>
        <rFont val="Calibri"/>
        <family val="2"/>
        <scheme val="minor"/>
      </rPr>
      <t>, le vôtre, celui d'un parent ou d'un ami, auquel vous pouvez être joint ?
[OPÉRATEUR/OPÉRATRICE: RÉPONSE UNIQUE.]
1)Oui - le mien
2)Oui - celui d'un ami ou d'un parent
3)Non
4)NE SAIT PAS
5)REFUSÉ</t>
    </r>
  </si>
  <si>
    <t>1-2 = phone_number_2
3-5 = hh_admin1</t>
  </si>
  <si>
    <t>if contact_2 = 1-2, go to phone_number_2
if contact_2 = 3-5, go to contact_3</t>
  </si>
  <si>
    <t>phone_number_2</t>
  </si>
  <si>
    <r>
      <t xml:space="preserve">What is the additional </t>
    </r>
    <r>
      <rPr>
        <b/>
        <sz val="12"/>
        <color theme="9" tint="-0.499984740745262"/>
        <rFont val="Calibri (Body)"/>
      </rPr>
      <t>phone number</t>
    </r>
    <r>
      <rPr>
        <sz val="12"/>
        <color theme="9" tint="-0.499984740745262"/>
        <rFont val="Calibri (Body)"/>
      </rPr>
      <t>?</t>
    </r>
  </si>
  <si>
    <r>
      <t xml:space="preserve">Quel est cet autre </t>
    </r>
    <r>
      <rPr>
        <b/>
        <sz val="12"/>
        <color theme="9" tint="-0.499984740745262"/>
        <rFont val="Calibri"/>
        <family val="2"/>
        <scheme val="minor"/>
      </rPr>
      <t xml:space="preserve">numéro de téléphone </t>
    </r>
    <r>
      <rPr>
        <sz val="12"/>
        <color theme="9" tint="-0.499984740745262"/>
        <rFont val="Calibri"/>
        <family val="2"/>
        <scheme val="minor"/>
      </rPr>
      <t>?</t>
    </r>
  </si>
  <si>
    <t>Any Response = contact_2_name</t>
  </si>
  <si>
    <t>For any response, go to contact_2_name</t>
  </si>
  <si>
    <t>resp_agree = 1 
resp_age = 18-100
contact_2 = 1 | 2</t>
  </si>
  <si>
    <t>contact_2_name</t>
  </si>
  <si>
    <t>What is the name of the contact?</t>
  </si>
  <si>
    <t>Quel est le nom du contact associé à ce numéro de téléphone ?</t>
  </si>
  <si>
    <t>Send if "contact_2" "Equals" "YES - friend or relative", if not satisfied go to "contact_3"</t>
  </si>
  <si>
    <t>Any Response = contact_3</t>
  </si>
  <si>
    <t>Asked if "contact_2" "Equals" "YES - friend or relative". Otherwise, it skips to "contact_3".
For any response, go to contact_3</t>
  </si>
  <si>
    <t>resp_agree = 1 
resp_age = 18-100
contact_2 = 2</t>
  </si>
  <si>
    <t>contact_3</t>
  </si>
  <si>
    <t>1-2= phone_number_3
3-5 = hh_admin1</t>
  </si>
  <si>
    <t>if contact_3 = 1-2, go to phone_number_3
if contact_3 = 3-5, go to hh_admin1</t>
  </si>
  <si>
    <t>phone_number_3</t>
  </si>
  <si>
    <t>Any Response = contact_3_name</t>
  </si>
  <si>
    <t>For any response, go to contact_3_name</t>
  </si>
  <si>
    <t>resp_agree = 1 
resp_age = 18-100
contact_3 = 1 | 2</t>
  </si>
  <si>
    <t>contact_3_name</t>
  </si>
  <si>
    <t>phone_number_3_name</t>
  </si>
  <si>
    <t>Send if "contact_3" "Equals" "YES - friend or relative", if not satisfied go to "hh_admin1"</t>
  </si>
  <si>
    <t>Any Response = hh_admin1</t>
  </si>
  <si>
    <t>Asked if "contact_3" "Equals" "YES - friend or relative". Otherwise, it skips to "hh_admin1".
For any response, go to hh_admin1</t>
  </si>
  <si>
    <t>resp_agree = 1 
resp_age = 18-100
contact_3 = 2</t>
  </si>
  <si>
    <t>hh_admin1</t>
  </si>
  <si>
    <r>
      <t xml:space="preserve">Currently, in which </t>
    </r>
    <r>
      <rPr>
        <b/>
        <sz val="12"/>
        <color rgb="FF7030A0"/>
        <rFont val="Calibri"/>
        <family val="2"/>
        <scheme val="minor"/>
      </rPr>
      <t>$ADMIN1$</t>
    </r>
    <r>
      <rPr>
        <sz val="12"/>
        <rFont val="Calibri"/>
        <family val="2"/>
        <scheme val="minor"/>
      </rPr>
      <t xml:space="preserve"> does your household reside?
[OPERATOR: SINGLE SELECTION.]
[HINT: HOUSEHOLD CONSISTS OF ALL MEMBERS LIVING TOGETHER, SHARING RESOURCES &amp; EATING FROM THE SAME POT.]
</t>
    </r>
    <r>
      <rPr>
        <b/>
        <sz val="12"/>
        <color theme="4"/>
        <rFont val="Calibri"/>
        <family val="2"/>
        <scheme val="minor"/>
      </rPr>
      <t xml:space="preserve">1) … 
2) … 
</t>
    </r>
    <r>
      <rPr>
        <sz val="12"/>
        <rFont val="Calibri"/>
        <family val="2"/>
        <scheme val="minor"/>
      </rPr>
      <t xml:space="preserve">3)DON'T KNOW
4)REFUSED </t>
    </r>
  </si>
  <si>
    <r>
      <t xml:space="preserve">Actuellement, dans quel </t>
    </r>
    <r>
      <rPr>
        <b/>
        <sz val="12"/>
        <color rgb="FF7030A0"/>
        <rFont val="Calibri"/>
        <family val="2"/>
        <scheme val="minor"/>
      </rPr>
      <t>$ADMIN1$</t>
    </r>
    <r>
      <rPr>
        <sz val="12"/>
        <rFont val="Calibri"/>
        <family val="2"/>
        <scheme val="minor"/>
      </rPr>
      <t xml:space="preserve"> votre ménage vit-il ?
[OPÉRATEUR/OPÉRATRICE: RÉPONSE UNIQUE.]
[CONSEIL: LE MÉNAGE EST COMPOSÉ DE TOUTES LES PERSONNES VIVANT ENSEMBLE, PARTAGEANT LEURS RESSOURCES ET MANGEANT DANS UNE MARMITE COMMUNE.]
</t>
    </r>
    <r>
      <rPr>
        <b/>
        <sz val="12"/>
        <color theme="4"/>
        <rFont val="Calibri"/>
        <family val="2"/>
        <scheme val="minor"/>
      </rPr>
      <t xml:space="preserve">1)... 
2)... 
</t>
    </r>
    <r>
      <rPr>
        <sz val="12"/>
        <rFont val="Calibri"/>
        <family val="2"/>
        <scheme val="minor"/>
      </rPr>
      <t>3)NE SAIT PAS
4)REFUSÉ</t>
    </r>
  </si>
  <si>
    <t>Form Type - Buttons
set Demographic - ADM1</t>
  </si>
  <si>
    <t>1 = hh_admin2_1
2 = hh_admin2_2
[…]
3-4 = Ineligible</t>
  </si>
  <si>
    <t xml:space="preserve">The administrative information will be updated by GeoPoll based on the sample design document and the administrative boundaries provided by the dashboard team after the questionnaire validation. </t>
  </si>
  <si>
    <t>hh_admin2_1</t>
  </si>
  <si>
    <r>
      <t xml:space="preserve">Currently, in which </t>
    </r>
    <r>
      <rPr>
        <b/>
        <sz val="12"/>
        <color rgb="FF7030A0"/>
        <rFont val="Calibri"/>
        <family val="2"/>
        <scheme val="minor"/>
      </rPr>
      <t>$ADMIN2$</t>
    </r>
    <r>
      <rPr>
        <sz val="12"/>
        <rFont val="Calibri"/>
        <family val="2"/>
        <scheme val="minor"/>
      </rPr>
      <t xml:space="preserve"> does your household reside?
[OPERATOR: SINGLE RESPONSE.]
</t>
    </r>
    <r>
      <rPr>
        <sz val="12"/>
        <color theme="4"/>
        <rFont val="Calibri"/>
        <family val="2"/>
        <scheme val="minor"/>
      </rPr>
      <t xml:space="preserve">
</t>
    </r>
    <r>
      <rPr>
        <b/>
        <sz val="12"/>
        <color theme="4"/>
        <rFont val="Calibri"/>
        <family val="2"/>
        <scheme val="minor"/>
      </rPr>
      <t xml:space="preserve">1) … 
2) … 
</t>
    </r>
    <r>
      <rPr>
        <sz val="12"/>
        <rFont val="Calibri"/>
        <family val="2"/>
        <scheme val="minor"/>
      </rPr>
      <t xml:space="preserve">3)DON'T KNOW
4)REFUSED </t>
    </r>
  </si>
  <si>
    <r>
      <t xml:space="preserve">Actuellement, dans quel </t>
    </r>
    <r>
      <rPr>
        <b/>
        <sz val="12"/>
        <color rgb="FF7030A0"/>
        <rFont val="Calibri"/>
        <family val="2"/>
        <scheme val="minor"/>
      </rPr>
      <t>$ADMIN2$</t>
    </r>
    <r>
      <rPr>
        <sz val="12"/>
        <rFont val="Calibri"/>
        <family val="2"/>
        <scheme val="minor"/>
      </rPr>
      <t xml:space="preserve"> votre ménage vit-il ?
[OPÉRATEUR/OPÉRATRICE: RÉPONSE UNIQUE.]
</t>
    </r>
    <r>
      <rPr>
        <b/>
        <sz val="12"/>
        <color theme="4"/>
        <rFont val="Calibri"/>
        <family val="2"/>
        <scheme val="minor"/>
      </rPr>
      <t xml:space="preserve">1)... 
2)... </t>
    </r>
    <r>
      <rPr>
        <sz val="12"/>
        <rFont val="Calibri"/>
        <family val="2"/>
        <scheme val="minor"/>
      </rPr>
      <t xml:space="preserve"> 
3)NE SAIT PAS
4)REFUSÉ</t>
    </r>
  </si>
  <si>
    <t>Form Type - Buttons
set Demographic - ADM2</t>
  </si>
  <si>
    <t>1-2 = quotareached
3-4 = Ineligible</t>
  </si>
  <si>
    <t>resp_agree = 1 
resp_age = 18-100
hh_admin1 = 1</t>
  </si>
  <si>
    <t>hh_admin2_2</t>
  </si>
  <si>
    <r>
      <t xml:space="preserve">Currently, in which </t>
    </r>
    <r>
      <rPr>
        <b/>
        <sz val="12"/>
        <color rgb="FF7030A0"/>
        <rFont val="Calibri"/>
        <family val="2"/>
        <scheme val="minor"/>
      </rPr>
      <t>$ADMIN2$</t>
    </r>
    <r>
      <rPr>
        <sz val="12"/>
        <rFont val="Calibri"/>
        <family val="2"/>
        <scheme val="minor"/>
      </rPr>
      <t xml:space="preserve"> does your household reside?
[OPERATOR: SINGLE RESPONSE.]
</t>
    </r>
    <r>
      <rPr>
        <b/>
        <sz val="12"/>
        <rFont val="Calibri"/>
        <family val="2"/>
        <scheme val="minor"/>
      </rPr>
      <t xml:space="preserve">
</t>
    </r>
    <r>
      <rPr>
        <b/>
        <sz val="12"/>
        <color theme="4"/>
        <rFont val="Calibri"/>
        <family val="2"/>
        <scheme val="minor"/>
      </rPr>
      <t xml:space="preserve">1) … 
2) … 
</t>
    </r>
    <r>
      <rPr>
        <sz val="12"/>
        <rFont val="Calibri"/>
        <family val="2"/>
        <scheme val="minor"/>
      </rPr>
      <t xml:space="preserve">3) DON'T KNOW
4) REFUSED </t>
    </r>
  </si>
  <si>
    <r>
      <t xml:space="preserve">Actuellement, dans quel </t>
    </r>
    <r>
      <rPr>
        <b/>
        <sz val="12"/>
        <color rgb="FF7030A0"/>
        <rFont val="Calibri"/>
        <family val="2"/>
        <scheme val="minor"/>
      </rPr>
      <t>$ADMIN2$</t>
    </r>
    <r>
      <rPr>
        <sz val="12"/>
        <rFont val="Calibri"/>
        <family val="2"/>
        <scheme val="minor"/>
      </rPr>
      <t xml:space="preserve"> votre ménage vit-il ?
[OPÉRATEUR/OPÉRATRICE: RÉPONSE UNIQUE.]
</t>
    </r>
    <r>
      <rPr>
        <b/>
        <sz val="12"/>
        <color theme="4"/>
        <rFont val="Calibri"/>
        <family val="2"/>
        <scheme val="minor"/>
      </rPr>
      <t>1) ... 
2) ...</t>
    </r>
    <r>
      <rPr>
        <sz val="12"/>
        <rFont val="Calibri"/>
        <family val="2"/>
        <scheme val="minor"/>
      </rPr>
      <t xml:space="preserve"> 
3)NE SAIT PAS
4)REFUSÉ</t>
    </r>
  </si>
  <si>
    <t>resp_agree = 1 
resp_age = 18-100
hh_admin1 = 2</t>
  </si>
  <si>
    <t>[OPERATOR: DO NOT READ. ANSWER QUESTION BELOW.]
THIS RESPONDENT REPORTED THEY LIVE IN:
#ADM1#
#ADM2#
1)THE GOAL FOR THIS LOCATION HAS BEEN ACHIEVED - END SURVEY
2)THE GOAL FOR THIS LOCATION IS OPEN - CONTINUE SURVEY</t>
  </si>
  <si>
    <t>[OPÉRATEUR/OPÉRATRICE: NE PAS LIRE. RÉPONDRE À LA QUESTION EN DESSOUS.]
CE RÉPONDANT DIT VIVRE À:
#ADM1#
#ADM2#
1)L'OBJECTIF DANS CETTE ZONE A ÉTÉ ATTEINT - FIN DU SONDAGE
2)L'OBJECTIF DANS CETTE ZONE N'EST PAS ENCORE ATTEINT - CONTINUER LE SONDAGE</t>
  </si>
  <si>
    <t>1 = End Poll Quota Reached
2 = hh_agricactivity</t>
  </si>
  <si>
    <t>If the quota has not been reached, continue the questionnaire. If it has, end of survey.</t>
  </si>
  <si>
    <t xml:space="preserve">Has anybody in your household been producing crops or livestock for household consumption or for sale in the past 12 months, including household members currently away for transhumance?
[OPERATOR: SINGLE RESPONSE. THIS IS THE MAIN SCREENING QUESTION. THE RESPONDENT WILL HAVE TO ANSWER. DON'T FORGET TO PROBE ABOUT TRANSHUMANCE.]
[HINT: HOUSEHOLD CONSISTS OF ALL MEMBERS LIVING TOGETHER, SHARING RESOURCES &amp; EATING FROM THE SAME POT.]
1)Yes - crop production 
2)Yes - livestock production
3)Yes - both crop and livestock production 
4)No
5)DON'T KNOW
6)REFUSED </t>
  </si>
  <si>
    <t>Est-ce que quelqu'un dans votre ménage a produit des cultures ou du bétail pour la consommation du ménage ou pour la vente au cours des 12 derniers mois, y compris des membres du ménage actuellement partis pour la transhumance ?
[OPÉRATEUR/OPÉRATRICE: RÉPONSE UNIQUE. IL S'AGIT DE LA PRINCIPALE QUESTION DE SÉLECTION. LA PERSONNE INTERROGÉE DOIT Y RÉPONDRE. NE PAS OUBLIER DE MENTIONNER LA TRANSHUMANCE].
[CONSEIL: LE MÉNAGE EST COMPOSÉ DE TOUTES LES PERSONNES VIVANT ENSEMBLE, PARTAGEANT LEURS RESSOURCES ET MANGEANT DANS UNE MARMITE COMMUNE.]
1)Oui - production végétale 
2)Oui - production animale
3)Oui - production végétale et animale 
4)Non
5)NE SAIT PAS
6)REFUSÉ</t>
  </si>
  <si>
    <t>1-4 = hh_gender
5-6 = Ineligible</t>
  </si>
  <si>
    <r>
      <t xml:space="preserve">if </t>
    </r>
    <r>
      <rPr>
        <i/>
        <sz val="12"/>
        <rFont val="Calibri"/>
        <family val="2"/>
        <scheme val="minor"/>
      </rPr>
      <t xml:space="preserve">hh_agricactivity </t>
    </r>
    <r>
      <rPr>
        <sz val="12"/>
        <rFont val="Calibri"/>
        <family val="2"/>
        <scheme val="minor"/>
      </rPr>
      <t>= 1-4, go to</t>
    </r>
    <r>
      <rPr>
        <i/>
        <sz val="12"/>
        <rFont val="Calibri"/>
        <family val="2"/>
        <scheme val="minor"/>
      </rPr>
      <t xml:space="preserve"> hh_gender</t>
    </r>
    <r>
      <rPr>
        <sz val="12"/>
        <rFont val="Calibri"/>
        <family val="2"/>
        <scheme val="minor"/>
      </rPr>
      <t xml:space="preserve">. Otherwise, the respondent is </t>
    </r>
    <r>
      <rPr>
        <i/>
        <sz val="12"/>
        <rFont val="Calibri"/>
        <family val="2"/>
        <scheme val="minor"/>
      </rPr>
      <t>ineligible</t>
    </r>
    <r>
      <rPr>
        <sz val="12"/>
        <rFont val="Calibri"/>
        <family val="2"/>
        <scheme val="minor"/>
      </rPr>
      <t xml:space="preserve">. </t>
    </r>
  </si>
  <si>
    <t xml:space="preserve">resp_agree = 1 
resp_age = 18-100
quotareached = 2 </t>
  </si>
  <si>
    <t>B. GENERAL HOUSEHOLD INFORMATION</t>
  </si>
  <si>
    <t>Is the head of your household male or female?
[OPERATOR: SINGLE RESPONSE.]
1)Male 
2)Female
3)DON'T KNOW
4)REFUSED</t>
  </si>
  <si>
    <t>Le chef de votre ménage est-il un homme ou une femme ?
[OPÉRATEUR/OPÉRATRICE: RÉPONSE UNIQUE.]
1)Homme
2)Femme
3)NE SAIT PAS
4)REFUSÉ</t>
  </si>
  <si>
    <t>1-4 = hh_education</t>
  </si>
  <si>
    <r>
      <t>if</t>
    </r>
    <r>
      <rPr>
        <i/>
        <sz val="12"/>
        <rFont val="Calibri"/>
        <family val="2"/>
        <scheme val="minor"/>
      </rPr>
      <t xml:space="preserve"> hh_gender</t>
    </r>
    <r>
      <rPr>
        <sz val="12"/>
        <rFont val="Calibri"/>
        <family val="2"/>
        <scheme val="minor"/>
      </rPr>
      <t xml:space="preserve"> = 1-4, go to </t>
    </r>
    <r>
      <rPr>
        <i/>
        <sz val="12"/>
        <rFont val="Calibri"/>
        <family val="2"/>
        <scheme val="minor"/>
      </rPr>
      <t>hh_education</t>
    </r>
    <r>
      <rPr>
        <sz val="12"/>
        <rFont val="Calibri"/>
        <family val="2"/>
        <scheme val="minor"/>
      </rPr>
      <t>.</t>
    </r>
  </si>
  <si>
    <t>resp_age = 18-100
hh_agricactivity = 1 | 2 | 3 | 4
quotareached = 2</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</si>
  <si>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</si>
  <si>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Quel est le niveau d'éducation du chef de votre ménage ?
[OPÉRATEUR/OPÉRATRICE: RÉPONSE UNIQUE.]
1)Aucun ou n'a pas terminé l'école primaire
2)A terminé l'école primaire
3)A terminé l'école secondaire
4)Diplôme de l'enseignement supérieur [Université]
5)Enseignement religieux ou informel uniquement
6)NE SAIT PAS
7)REFUSÉ</t>
  </si>
  <si>
    <t>1-7 = hh_wealth</t>
  </si>
  <si>
    <r>
      <t xml:space="preserve">if </t>
    </r>
    <r>
      <rPr>
        <i/>
        <sz val="12"/>
        <rFont val="Calibri"/>
        <family val="2"/>
        <scheme val="minor"/>
      </rPr>
      <t>hh_education</t>
    </r>
    <r>
      <rPr>
        <sz val="12"/>
        <rFont val="Calibri"/>
        <family val="2"/>
        <scheme val="minor"/>
      </rPr>
      <t xml:space="preserve"> = 1-7, go to </t>
    </r>
    <r>
      <rPr>
        <i/>
        <sz val="12"/>
        <rFont val="Calibri"/>
        <family val="2"/>
        <scheme val="minor"/>
      </rPr>
      <t>hh_wealth</t>
    </r>
    <r>
      <rPr>
        <sz val="12"/>
        <rFont val="Calibri"/>
        <family val="2"/>
        <scheme val="minor"/>
      </rPr>
      <t>.</t>
    </r>
  </si>
  <si>
    <t>Changed answer option 5</t>
  </si>
  <si>
    <t>Where does the water that you drink at home come from?
[OPERATOR: SINGLE CHOICE.]
1)Private tap from piped water
2)Public tap
3)Protected well
4)Bottled water
5)Other safe source
6)River
7)Unprotected well
8)Spring water
9)Canal or other surface water
10)Other unsafe source
11)DON'T KNOW
12)REFUSED</t>
  </si>
  <si>
    <t>Où procurez-vous habituellement l'eau l'eau que vous buvez dans votre foyer ?
[OPÉRATEUR/OPÉRATRICE: RÉPONSE UNIQUE.]
1)Robinet privé avec eau courante
2)Robinet public
3)Puits protégé
4)Eau en bouteille
5)Autre source sûre
6)Rivière
7)Puits non protégé
8)Eau de source
9)Canal ou autre eau de surface
10)Autre source non sûre
11)NE SAIT PAS
12)REFUSÉ</t>
  </si>
  <si>
    <r>
      <t xml:space="preserve">
</t>
    </r>
    <r>
      <rPr>
        <sz val="12"/>
        <rFont val="Calibri"/>
        <family val="2"/>
        <scheme val="minor"/>
      </rPr>
      <t>1-12 =</t>
    </r>
    <r>
      <rPr>
        <b/>
        <sz val="12"/>
        <color theme="4"/>
        <rFont val="Calibri"/>
        <family val="2"/>
        <scheme val="minor"/>
      </rPr>
      <t xml:space="preserve"> [income_main OR other optional question]</t>
    </r>
  </si>
  <si>
    <r>
      <t>For any response, go to</t>
    </r>
    <r>
      <rPr>
        <sz val="12"/>
        <color theme="4"/>
        <rFont val="Calibri"/>
        <family val="2"/>
        <scheme val="minor"/>
      </rPr>
      <t xml:space="preserve"> [income_main OR other optional question]</t>
    </r>
  </si>
  <si>
    <t xml:space="preserve">Choose one of three of the wealth indicators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
Choisir un des trois indicateurs de richesse (supprimer ceux qui ne sont pas utilisés). 
Si aucun de ces indicateurs n'est adapté au contexte de votre pays, se reporter aux autres indicateurs de richesse proposés dans les questions facultatives ci-dessous. Ne pas oublier que des données de base seront nécessaires, et que la variable doit être définie correctement dans la "weight_input_table".
 </t>
  </si>
  <si>
    <t xml:space="preserve">Change in question text </t>
  </si>
  <si>
    <t>Where do household members typically go to use a toilet?
[OPERATOR: SINGLE CHOICE.]
1)Flush latrine [toilet with water]
2)Traditional pit latrine [no water]
3)Open pit [whole in the ground for excrement without water, roof or wall]
4)Communal latrine [with or without water]
5)None – bush
6)DON'T KNOW
7)REFUSED</t>
  </si>
  <si>
    <t>Où vous rendez-vous généralement, vous et les membres de votre ménage, pour aller aux toilettes ?
[OPÉRATEUR/OPÉRATRICE: RÉPONSE UNIQUE.]
1)Latrines à chasse d'eau [toilettes avec eau]
2)Latrines traditionnelles à fosse [sans eau]
3)Fosse ouverte [trou dans le sol pour les excréments, sans eau, toit ni mur]
4)Latrines communautaires [avec ou sans eau]
5)Aucune – brousse
6)NE SAIT PAS
7)REFUSÉ</t>
  </si>
  <si>
    <r>
      <t xml:space="preserve">
</t>
    </r>
    <r>
      <rPr>
        <sz val="12"/>
        <rFont val="Calibri"/>
        <family val="2"/>
        <scheme val="minor"/>
      </rPr>
      <t>1-7 =</t>
    </r>
    <r>
      <rPr>
        <b/>
        <sz val="12"/>
        <color theme="4"/>
        <rFont val="Calibri"/>
        <family val="2"/>
        <scheme val="minor"/>
      </rPr>
      <t xml:space="preserve"> [income_main OR other optional question]</t>
    </r>
  </si>
  <si>
    <t>What is the main source of light in your dwelling?
[OPERATOR: SINGLE RESPONSE.]
1)Electricity [from generator or electrical grid or solar panel]
2)Candle
3)Petrol lamp
4)Lamp with batteries
5)Other [no electric supply to the house]
6)DON'T KNOW
7)REFUSED</t>
  </si>
  <si>
    <t>Quelle est la principale source de lumière de votre logement ?
[OPÉRATEUR/OPÉRATRICE: RÉPONSE UNIQUE.]
1)Électricité [à partir d'un générateur, du réseau électrique ou de panneaux solaires]
2)Bougie
3)Lampe à pétrole
4)Lampe à piles
5)Autre [pas d'alimentation électrique dans la maison]
6)NE SAIT PAS
7)REFUSÉ</t>
  </si>
  <si>
    <t xml:space="preserve">Change in question text + answer option 1 </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</si>
  <si>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</si>
  <si>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Parmi les propositions suivantes, laquelle décrit le mieux votre résidence ?
[OPÉRATEUR/OPÉRATRICE: LIRE LES OPTIONS, RÉPONSE UNIQUE].
[CONSEIL: SI LA PERSONNE INTERROGÉE N'EST ÉLOIGNÉE DU FOYER QUE POUR UN TRAVAIL SAISONNIER DE COURTE DURÉE (&lt;6 MOIS) OU POUR LA TRANSHUMANCE,  FAIRE RÉFÉRENCE AU FOYER DE RETOUR OÙ ELLE VIT HABITUELLEMENT].
1)Résident permanent - vous vivez dans votre village/ville depuis plus de deux ans et vous le/la considérez comme votre résidence habituelle
2)Migrant récent non déplacé de force - vous vivez dans votre lieu de résidence actuel depuis moins de deux ans et vous vous y êtes déplacé volontairement pour des raisons professionnelles, familiales ou autres qui ne sont pas liées à un conflit ou à une catastrophe naturelle
3)Personne rapatriée - vous êtes revenu dans ce lieu de résidence au cours des deux dernières années après avoir été contraint de vous déplacer pour fuir un conflit ou une catastrophe naturelle [si le retour a eu lieu il y a plus de deux ans, le répondant est considéré comme un résident permanent]
4)Personne déplacée à l'intérieur de son pays - vous avez été forcé de fuir votre village ou votre ville en raison d'un conflit ou d'une catastrophe naturelle et vous êtes une personne déplacée à l'intérieur de son propre pays dans votre lieu de résidence actuel
5)Réfugié - vous avez été forcé de fuir votre pays en raison d'un conflit ou d'une catastrophe naturelle et vous êtes un réfugié dans votre lieu de résidence actuel
6)NE SAIT PAS
7)REFUSÉ</t>
  </si>
  <si>
    <r>
      <t xml:space="preserve">1-8 = </t>
    </r>
    <r>
      <rPr>
        <b/>
        <sz val="12"/>
        <color theme="4"/>
        <rFont val="Calibri"/>
        <family val="2"/>
        <scheme val="minor"/>
      </rPr>
      <t>hh_size</t>
    </r>
  </si>
  <si>
    <t xml:space="preserve"> </t>
  </si>
  <si>
    <t>How many people are part of the household?
[OPERATOR: RECORD NUMBER OF MEMBERS IN HOUSEHOLD. ENTER 88 FOR DON'T KNOW &amp; 99 FOR REFUSED.]</t>
  </si>
  <si>
    <t>De combien de personnes est composé votre ménage ?
[OPÉRATEUR/OPÉRATRICE: ENREGISTRER LE NOMBRE DE MEMBRES DU MÉNAGE. ENTRER 88 POUR «NE SAIT PAS» ET 99 POUR «REFUSÉ».]</t>
  </si>
  <si>
    <r>
      <t xml:space="preserve">1-50 = </t>
    </r>
    <r>
      <rPr>
        <b/>
        <sz val="12"/>
        <color theme="4"/>
        <rFont val="Calibri"/>
        <family val="2"/>
        <scheme val="minor"/>
      </rPr>
      <t xml:space="preserve">hh_asset_prod
</t>
    </r>
    <r>
      <rPr>
        <sz val="12"/>
        <rFont val="Calibri"/>
        <family val="2"/>
        <scheme val="minor"/>
      </rPr>
      <t>88-88</t>
    </r>
    <r>
      <rPr>
        <b/>
        <sz val="12"/>
        <rFont val="Calibri"/>
        <family val="2"/>
        <scheme val="minor"/>
      </rPr>
      <t xml:space="preserve"> =</t>
    </r>
    <r>
      <rPr>
        <b/>
        <sz val="12"/>
        <color theme="4"/>
        <rFont val="Calibri"/>
        <family val="2"/>
        <scheme val="minor"/>
      </rPr>
      <t xml:space="preserve"> hh_asset_prod
</t>
    </r>
    <r>
      <rPr>
        <sz val="12"/>
        <rFont val="Calibri"/>
        <family val="2"/>
        <scheme val="minor"/>
      </rPr>
      <t xml:space="preserve">99-99 </t>
    </r>
    <r>
      <rPr>
        <b/>
        <sz val="12"/>
        <rFont val="Calibri"/>
        <family val="2"/>
        <scheme val="minor"/>
      </rPr>
      <t>=</t>
    </r>
    <r>
      <rPr>
        <b/>
        <sz val="12"/>
        <color theme="4"/>
        <rFont val="Calibri"/>
        <family val="2"/>
        <scheme val="minor"/>
      </rPr>
      <t xml:space="preserve"> hh_asset_prod</t>
    </r>
  </si>
  <si>
    <t>hh_asset_prod</t>
  </si>
  <si>
    <t>hh_asset_prod_
1) hh_asset_prod_taxi
2) hh_asset_prod_truck
3) hh_asset_prod_farmmach
4) hh_asset_prod_sewing
5) hh_asset_prod_other
6) hh_asset_prod_none
7) hh_asset_prod_dk
8) hh_asset_prod_ref</t>
  </si>
  <si>
    <r>
      <t xml:space="preserve">Does your household own any of the following production assets? 
[OPERATOR: MULTIPLE RESPONSES.]
1)Taxi
2)Truck
3)Farm machinery (tractor, other)
4)Sewing machine
</t>
    </r>
    <r>
      <rPr>
        <sz val="12"/>
        <color theme="1"/>
        <rFont val="Calibri"/>
        <family val="2"/>
        <scheme val="minor"/>
      </rPr>
      <t>5)Other productive machines
6)No productive machines</t>
    </r>
    <r>
      <rPr>
        <strike/>
        <sz val="12"/>
        <color theme="1"/>
        <rFont val="Calibri"/>
        <family val="2"/>
        <scheme val="minor"/>
      </rPr>
      <t xml:space="preserve">
</t>
    </r>
    <r>
      <rPr>
        <sz val="12"/>
        <color theme="1"/>
        <rFont val="Calibri"/>
        <family val="2"/>
        <scheme val="minor"/>
      </rPr>
      <t>7)DON'T KNOW
8)REFUSED</t>
    </r>
  </si>
  <si>
    <t>Select All That Apply</t>
  </si>
  <si>
    <t>Form Type - Checklist</t>
  </si>
  <si>
    <r>
      <rPr>
        <sz val="12"/>
        <color theme="1"/>
        <rFont val="Calibri"/>
        <family val="2"/>
        <scheme val="minor"/>
      </rPr>
      <t xml:space="preserve">1-8 </t>
    </r>
    <r>
      <rPr>
        <sz val="12"/>
        <rFont val="Calibri"/>
        <family val="2"/>
        <scheme val="minor"/>
      </rPr>
      <t xml:space="preserve">= </t>
    </r>
    <r>
      <rPr>
        <b/>
        <sz val="12"/>
        <color theme="4"/>
        <rFont val="Calibri"/>
        <family val="2"/>
        <scheme val="minor"/>
      </rPr>
      <t>hh_asset_transp</t>
    </r>
  </si>
  <si>
    <t xml:space="preserve"> 
</t>
  </si>
  <si>
    <t xml:space="preserve">This wealth indicator may be useful to Identify poor households in middle income countries. It could be interesting for F2F surveys, to be used as baseline reference for follow-up surveys. 
Cet indicateur de richesse peut permettre d'identifier les ménages pauvres dans les pays à revenu intermédiaire. Il peut être utile pour les enquêtes en face à face et servir de référence de base pour les enquêtes de suivi. </t>
  </si>
  <si>
    <t>hh_asset_transp</t>
  </si>
  <si>
    <t>hh_asset_transp_
1) hh_asset_transp_bici
2) hh_asset_transp_motorbike
3) hh_asset_transp_car
4) hh_asset_transp_van
5) hh_asset_transp_other
6) hh_asset_transp_none
7) hh_asset_transp_dk
8) hh_asset_transp_ref</t>
  </si>
  <si>
    <t>Does you or anyone in your household own any of the following transportation assets? 
[OPERATOR: MULTIPLE RESPONSES.]
1)Bicycle
2)Motorbike or auto rickshaw
3)Car
4)Van or small truck
5)Other motor vehicle
6)None of the above
7)DON'T KNOW
8)REFUSED</t>
  </si>
  <si>
    <t xml:space="preserve">Est-ce que vous ou un membre de votre ménage possède un des véhicules suivants ? 
[OPÉRATEUR/OPÉRATRICE: PLUSIEURS RÉPONSE POSSIBLES.]
1)Bicyclette
2)Moto ou pousse-pousse
3)Voiture
4)Fourgonnette ou petit camion
5)Autre véhicule motorisé
6)Aucune des propositions citées
7)NE SAIT PAS
8)REFUSÉ
</t>
  </si>
  <si>
    <t>.</t>
  </si>
  <si>
    <r>
      <rPr>
        <sz val="12"/>
        <color theme="1"/>
        <rFont val="Calibri"/>
        <family val="2"/>
        <scheme val="minor"/>
      </rPr>
      <t>1-8</t>
    </r>
    <r>
      <rPr>
        <sz val="12"/>
        <rFont val="Calibri"/>
        <family val="2"/>
        <scheme val="minor"/>
      </rPr>
      <t xml:space="preserve"> = </t>
    </r>
    <r>
      <rPr>
        <b/>
        <sz val="12"/>
        <color theme="4"/>
        <rFont val="Calibri"/>
        <family val="2"/>
        <scheme val="minor"/>
      </rPr>
      <t>hh_maritalstat</t>
    </r>
  </si>
  <si>
    <t>hh_maritalstat</t>
  </si>
  <si>
    <t xml:space="preserve">What is the head of household’s current marital status? 
[OPERATOR: SINGLE RESPONSE.]
1)Single / never married 
2)Married
3)Separated
4)Divorced
5)Widowed
6)DON’T KNOW
7)REFUSED </t>
  </si>
  <si>
    <r>
      <t>1-7 =</t>
    </r>
    <r>
      <rPr>
        <b/>
        <sz val="12"/>
        <color theme="4"/>
        <rFont val="Calibri"/>
        <family val="2"/>
        <scheme val="minor"/>
      </rPr>
      <t xml:space="preserve"> hh_age</t>
    </r>
  </si>
  <si>
    <t>How old is the head of household? 
[OPERATOR: SINGLE RESPONSE.]
1)Under 18
2)18 to 40 
3)41 to 65 
4)Over 65
5)DON'T KNOW
6)REFUSED</t>
  </si>
  <si>
    <t>Quel âge du chef de famille ?
[OPÉRATEUR/OPÉRATRICE: RÉPONSE UNIQUE.]
1)Moins de 18 ans
2)18 à 40 ans 
3)41 à 65 ans
4)Plus de 65 ans
5)NE SAIT PAS
6)REFUSÉ</t>
  </si>
  <si>
    <r>
      <t xml:space="preserve">1-6 = </t>
    </r>
    <r>
      <rPr>
        <b/>
        <sz val="12"/>
        <color theme="4"/>
        <rFont val="Calibri"/>
        <family val="2"/>
        <scheme val="minor"/>
      </rPr>
      <t>income_main</t>
    </r>
  </si>
  <si>
    <t>C. INCOME SOURCES, LIVELIHOOD AND SHOCKS</t>
  </si>
  <si>
    <t>What has been your household's main source of income in the past 3 months?
[OPERATOR: SINGLE RESPONSE. REFUSED OPTION SHOULD BE AVOIDED AS MUCH AS POSSIBLE.]
1)Production and sale of staple crops
2)Production and sale of vegetable or fruit 
3)Production and sale of cashcrops
4)Production and sale of livestock and livestock products 
5)Production and sale of fish 
6)Collection and sale of forestry or bush products 
7)Informal agricultural trade EXCLUDING producers 
8)Formal agricultural trade EXCLUDING producers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20)No income source in the last 3 months and used exclusively debt
21)REFUSED</t>
  </si>
  <si>
    <t>Form Type - Buttons
set demographic</t>
  </si>
  <si>
    <r>
      <t>1-3 = income_main_cropcheck
4 = income_main_lscheck 
5 = income_main_fishcheck 
6-18 =</t>
    </r>
    <r>
      <rPr>
        <sz val="12"/>
        <color theme="4"/>
        <rFont val="Calibri"/>
        <family val="2"/>
        <scheme val="minor"/>
      </rPr>
      <t xml:space="preserve"> income_main_comp OR optional question</t>
    </r>
    <r>
      <rPr>
        <sz val="12"/>
        <rFont val="Calibri"/>
        <family val="2"/>
        <scheme val="minor"/>
      </rPr>
      <t xml:space="preserve">
19-21 = shock</t>
    </r>
  </si>
  <si>
    <r>
      <t>if options #1-3 selected go to income_main_cropcheck 
if options #4 selected go to income_main_lscheck 
if options #5 selected go to income_main_fishcheck 
if options #6-18 selected, go to</t>
    </r>
    <r>
      <rPr>
        <sz val="12"/>
        <color theme="4"/>
        <rFont val="Calibri"/>
        <family val="2"/>
        <scheme val="minor"/>
      </rPr>
      <t xml:space="preserve"> [income_main_comp OR income_main_amount OR income_main_gender] 
</t>
    </r>
    <r>
      <rPr>
        <sz val="12"/>
        <rFont val="Calibri"/>
        <family val="2"/>
        <scheme val="minor"/>
      </rPr>
      <t xml:space="preserve">
if options #19-21 selected, go to shock</t>
    </r>
  </si>
  <si>
    <t>Change in skip pattern (col J)
Change in answer option #1</t>
  </si>
  <si>
    <t>income_main_cropcheck</t>
  </si>
  <si>
    <t>Are the crops that you sell produced by you or anyone in your household? 
[OPERATOR: SINGLE RESPONSE.]
1)YES
2)NO
3)DON'T KNOW
4)REFUSED</t>
  </si>
  <si>
    <t>Les cultures que vous vendez sont-elles produites par vous ou par un des membres de votre ménage ?
[OPÉRATEUR/OPÉRATRICE: RÉPONSE UNIQUE.]
1)Oui
2)Non
3)NE SAIT PAS
4)REFUSÉ</t>
  </si>
  <si>
    <r>
      <t xml:space="preserve">1-4 = </t>
    </r>
    <r>
      <rPr>
        <sz val="12"/>
        <color theme="4"/>
        <rFont val="Calibri"/>
        <family val="2"/>
        <scheme val="minor"/>
      </rPr>
      <t>income_main_comp OR optional question</t>
    </r>
  </si>
  <si>
    <r>
      <t xml:space="preserve">if options #1-4, go to </t>
    </r>
    <r>
      <rPr>
        <sz val="12"/>
        <color theme="4"/>
        <rFont val="Calibri"/>
        <family val="2"/>
        <scheme val="minor"/>
      </rPr>
      <t>[income_main_comp OR income_main_amount OR income_main_gender]</t>
    </r>
  </si>
  <si>
    <t>resp_age = 18-100
hh_agricactivity = 1 | 2 | 3 | 4
quotareached = 2
income_main = 1 | 2 | 3</t>
  </si>
  <si>
    <t>income_main_lscheck</t>
  </si>
  <si>
    <t>Are the livestock and livestock products that you sell produced by you or anyone in your household? 
[OPERATOR: SINGLE RESPONSE.]
1)YES
2)NO
3)DON'T KNOW
4)REFUSED</t>
  </si>
  <si>
    <t xml:space="preserve">Le bétail et les produits du bétail que vous vendez sont-ils produits par vous par un des membres de votre ménage ?
[OPÉRATEUR/OPÉRATRICE: RÉPONSE UNIQUE.]
1)Oui
2)Non
3)NE SAIT PAS
4)REFUSÉ
</t>
  </si>
  <si>
    <t>resp_age = 18-100
hh_agricactivity = 1 | 2 | 3 | 4
quotareached = 2
income_main = 4</t>
  </si>
  <si>
    <t>income_main_fishcheck</t>
  </si>
  <si>
    <t>Are the fish products that you sell produced by you or anyone in your household? 
[OPERATOR: SINGLE RESPONSE.]
1)YES
2)NO
3)DON'T KNOW
4)REFUSED</t>
  </si>
  <si>
    <t>Les produits de la pêche que vous vendez sont-ils produits par vous ou par un membre de votre ménage ? 
[OPÉRATEUR/OPÉRATRICE: RÉPONSE UNIQUE.]
1)Oui
2)Non
3)NE SAIT PAS
4)REFUSÉ</t>
  </si>
  <si>
    <t>resp_age = 18-100
hh_agricactivity = 1 | 2 | 3 | 4
quotareached = 2
income_main = 5</t>
  </si>
  <si>
    <t>income_main_gender</t>
  </si>
  <si>
    <t>Is the person earning from #income_main# male or female? 
[OPERATOR: SINGLE RESPONSE.]
1)Male 
2)Female
3)DON'T KNOW
4)REFUSED</t>
  </si>
  <si>
    <t>La personne qui perçoit #income_main# est-elle un homme ou une femme ?
[OPÉRATEUR/OPÉRATRICE: RÉPONSE UNIQUE.]
1)Homme
2)Femme
3)NE SAIT PAS
4)REFUSÉ</t>
  </si>
  <si>
    <r>
      <t>1-4 =</t>
    </r>
    <r>
      <rPr>
        <sz val="12"/>
        <color theme="4"/>
        <rFont val="Calibri"/>
        <family val="2"/>
        <scheme val="minor"/>
      </rPr>
      <t xml:space="preserve"> income_main_comp OR optional question</t>
    </r>
  </si>
  <si>
    <r>
      <t xml:space="preserve">if options #1-4, go to </t>
    </r>
    <r>
      <rPr>
        <sz val="12"/>
        <color theme="4"/>
        <rFont val="Calibri"/>
        <family val="2"/>
        <scheme val="minor"/>
      </rPr>
      <t>[income_main_comp OR income_main_amount]</t>
    </r>
  </si>
  <si>
    <t>resp_age = 18-100
hh_agricactivity = 1 | 2 | 3 | 4
quotareached = 2
income_main =  1-18</t>
  </si>
  <si>
    <r>
      <t xml:space="preserve">How much was earned (in </t>
    </r>
    <r>
      <rPr>
        <b/>
        <sz val="12"/>
        <color rgb="FF7030A0"/>
        <rFont val="Calibri"/>
        <family val="2"/>
        <scheme val="minor"/>
      </rPr>
      <t>$currency$</t>
    </r>
    <r>
      <rPr>
        <sz val="12"/>
        <rFont val="Calibri"/>
        <family val="2"/>
        <scheme val="minor"/>
      </rPr>
      <t>) from your main income source, #income_main#,</t>
    </r>
    <r>
      <rPr>
        <sz val="12"/>
        <color rgb="FFF504E7"/>
        <rFont val="Calibri"/>
        <family val="2"/>
        <scheme val="minor"/>
      </rPr>
      <t xml:space="preserve"> </t>
    </r>
    <r>
      <rPr>
        <sz val="12"/>
        <rFont val="Calibri"/>
        <family val="2"/>
        <scheme val="minor"/>
      </rPr>
      <t xml:space="preserve">in the past 3 months ?
[OPERATOR: DOUBLE CHECK FOR OUTLIERS &amp;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</si>
  <si>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t xml:space="preserve">Quelle somme (en </t>
    </r>
    <r>
      <rPr>
        <b/>
        <sz val="12"/>
        <color rgb="FF7030A0"/>
        <rFont val="Calibri"/>
        <family val="2"/>
        <scheme val="minor"/>
      </rPr>
      <t>$currency$</t>
    </r>
    <r>
      <rPr>
        <sz val="12"/>
        <rFont val="Calibri"/>
        <family val="2"/>
        <scheme val="minor"/>
      </rPr>
      <t xml:space="preserve">) a rapporté votre principale source de revenu, #income_main#, au cours des trois derniers mois ?
[OPÉRATEUR/OPÉRATRICE: VÉRIFIER QUE LA RÉPONSE N’EST PAS INCOHÉRENTE ET QU'ELLE EST ENREGISTRÉE DANS LA BONNE DEVISE. SAISIR </t>
    </r>
    <r>
      <rPr>
        <sz val="12"/>
        <color theme="4"/>
        <rFont val="Calibri"/>
        <family val="2"/>
        <scheme val="minor"/>
      </rPr>
      <t>8888888</t>
    </r>
    <r>
      <rPr>
        <sz val="12"/>
        <rFont val="Calibri"/>
        <family val="2"/>
        <scheme val="minor"/>
      </rPr>
      <t xml:space="preserve"> POUR «NE SAIT PAS» ET </t>
    </r>
    <r>
      <rPr>
        <sz val="12"/>
        <color theme="4"/>
        <rFont val="Calibri"/>
        <family val="2"/>
        <scheme val="minor"/>
      </rPr>
      <t>9999999</t>
    </r>
    <r>
      <rPr>
        <sz val="12"/>
        <rFont val="Calibri"/>
        <family val="2"/>
        <scheme val="minor"/>
      </rPr>
      <t xml:space="preserve"> POUR «REFUSÉ».]</t>
    </r>
  </si>
  <si>
    <r>
      <rPr>
        <b/>
        <sz val="12"/>
        <color rgb="FF7030A0"/>
        <rFont val="Calibri"/>
        <family val="2"/>
        <scheme val="minor"/>
      </rPr>
      <t>$MIN AMOUNT$</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$THRESHOLD$</t>
    </r>
    <r>
      <rPr>
        <b/>
        <sz val="12"/>
        <rFont val="Calibri"/>
        <family val="2"/>
        <scheme val="minor"/>
      </rPr>
      <t xml:space="preserve"> </t>
    </r>
    <r>
      <rPr>
        <sz val="12"/>
        <rFont val="Calibri"/>
        <family val="2"/>
        <scheme val="minor"/>
      </rPr>
      <t>= income_main_comp</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 xml:space="preserve">$MAX AMOUNT$ </t>
    </r>
    <r>
      <rPr>
        <sz val="12"/>
        <rFont val="Calibri"/>
        <family val="2"/>
        <scheme val="minor"/>
      </rPr>
      <t>=</t>
    </r>
    <r>
      <rPr>
        <sz val="12"/>
        <color rgb="FF7030A0"/>
        <rFont val="Calibri"/>
        <family val="2"/>
        <scheme val="minor"/>
      </rPr>
      <t xml:space="preserve"> </t>
    </r>
    <r>
      <rPr>
        <sz val="12"/>
        <rFont val="Calibri"/>
        <family val="2"/>
        <scheme val="minor"/>
      </rPr>
      <t xml:space="preserve">income_main_amount_conf
</t>
    </r>
    <r>
      <rPr>
        <sz val="12"/>
        <color theme="4"/>
        <rFont val="Calibri"/>
        <family val="2"/>
        <scheme val="minor"/>
      </rPr>
      <t>8888888-8888888</t>
    </r>
    <r>
      <rPr>
        <sz val="12"/>
        <rFont val="Calibri"/>
        <family val="2"/>
        <scheme val="minor"/>
      </rPr>
      <t xml:space="preserve"> = income_main_comp
</t>
    </r>
    <r>
      <rPr>
        <sz val="12"/>
        <color theme="4"/>
        <rFont val="Calibri"/>
        <family val="2"/>
        <scheme val="minor"/>
      </rPr>
      <t>9999999-9999999</t>
    </r>
    <r>
      <rPr>
        <sz val="12"/>
        <rFont val="Calibri"/>
        <family val="2"/>
        <scheme val="minor"/>
      </rPr>
      <t xml:space="preserve"> = income_main_comp</t>
    </r>
  </si>
  <si>
    <t>If the income amount is over the threshold set in "Additional information", the respondent will be asked to confirm with income_main_amount_conf. Otherwise, go to income_main_comp.</t>
  </si>
  <si>
    <t>resp_age = 18-100
hh_agricactivity = 1 | 2 | 3 | 4
quotareached = 2
income_main = 1-18</t>
  </si>
  <si>
    <t>We recommend using this pair of questions together.</t>
  </si>
  <si>
    <t>Change in question text (col D)</t>
  </si>
  <si>
    <r>
      <t xml:space="preserve">Can you confirm the amount of income you just stated is correct?
[OPERATOR: IF THE AMOUNT EARNED FROM THIS INCOME SOURCE OVER THE PAST 3 MONTH IS INDEED OVER </t>
    </r>
    <r>
      <rPr>
        <b/>
        <sz val="12"/>
        <color rgb="FF7030A0"/>
        <rFont val="Calibri"/>
        <family val="2"/>
        <scheme val="minor"/>
      </rPr>
      <t>$THRESHOLD$</t>
    </r>
    <r>
      <rPr>
        <sz val="12"/>
        <rFont val="Calibri"/>
        <family val="2"/>
        <scheme val="minor"/>
      </rPr>
      <t>, CLICK ON CONTINUE. OTHERWISE, GO BACK AND CHANGE THE AMOUNT ENTERED.]
1)CONTINUE</t>
    </r>
  </si>
  <si>
    <r>
      <t xml:space="preserve">Pouvez-vous confirmer que le montant que vous venez de déclarer est correct ?
[OPÉRATEUR/OPÉRATRICE: SI LE MONTANT ISSU DE CETTE SOURCE DE REVENU AU COURS DES TROIS DERNIERS MOIS EST BIEN SUPÉRIEUR AU </t>
    </r>
    <r>
      <rPr>
        <b/>
        <sz val="12"/>
        <color rgb="FF7030A0"/>
        <rFont val="Calibri"/>
        <family val="2"/>
        <scheme val="minor"/>
      </rPr>
      <t>$THRESHOLD$</t>
    </r>
    <r>
      <rPr>
        <sz val="12"/>
        <rFont val="Calibri"/>
        <family val="2"/>
        <scheme val="minor"/>
      </rPr>
      <t>, CLIQUER SUR CONTINUER. SINON, REVENIR EN ARRIÈRE ET MODIFIER LE MONTANT SAISI.]
1)CONTINUER</t>
    </r>
  </si>
  <si>
    <r>
      <t xml:space="preserve">1 = </t>
    </r>
    <r>
      <rPr>
        <sz val="12"/>
        <color theme="4"/>
        <rFont val="Calibri"/>
        <family val="2"/>
        <scheme val="minor"/>
      </rPr>
      <t>income_main_comp</t>
    </r>
  </si>
  <si>
    <r>
      <t xml:space="preserve">if </t>
    </r>
    <r>
      <rPr>
        <i/>
        <sz val="12"/>
        <rFont val="Calibri"/>
        <family val="2"/>
        <scheme val="minor"/>
      </rPr>
      <t>income_main_amount_conf</t>
    </r>
    <r>
      <rPr>
        <sz val="12"/>
        <rFont val="Calibri"/>
        <family val="2"/>
        <scheme val="minor"/>
      </rPr>
      <t xml:space="preserve"> = 1, go to </t>
    </r>
    <r>
      <rPr>
        <i/>
        <sz val="12"/>
        <rFont val="Calibri"/>
        <family val="2"/>
        <scheme val="minor"/>
      </rPr>
      <t>income_main_comp</t>
    </r>
  </si>
  <si>
    <t>1-7= income_sec</t>
  </si>
  <si>
    <r>
      <t xml:space="preserve">if </t>
    </r>
    <r>
      <rPr>
        <i/>
        <sz val="12"/>
        <rFont val="Calibri"/>
        <family val="2"/>
        <scheme val="minor"/>
      </rPr>
      <t>income_main_comp</t>
    </r>
    <r>
      <rPr>
        <sz val="12"/>
        <rFont val="Calibri"/>
        <family val="2"/>
        <scheme val="minor"/>
      </rPr>
      <t xml:space="preserve"> = 1-7, go to </t>
    </r>
    <r>
      <rPr>
        <i/>
        <sz val="12"/>
        <rFont val="Calibri"/>
        <family val="2"/>
        <scheme val="minor"/>
      </rPr>
      <t>income_sec</t>
    </r>
  </si>
  <si>
    <t>Change in options #2,4 + question formulation (col D) + hint</t>
  </si>
  <si>
    <t>What has been your household's second most important source of income in the past 3 months?
[OPERATOR: SINGLE RESPONSE. DON'T KNOW AND REFUSED OPTIONS SHOULD BE AVOIDED AS MUCH AS POSSIBLE.]
1)Production and sale of staple crops
2)Production and sale of vegetable or fruit 
3)Production and sale of cashcrops
4)Production and sale of livestock and livestock products 
5)Production and sale of fish 
6)Collection and sale of forestry or bush products 
7)Informal agricultural trade EXCLUDING producers 
8)Formal agricultural trade EXCLUDING producers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</si>
  <si>
    <t>Form Type - Buttons
Add all options manually
exclude selected "income_main"
set demographic</t>
  </si>
  <si>
    <r>
      <t xml:space="preserve">1-3 = income_sec_cropcheck
4 = income_sec_lscheck 
5 = income_sec_fishcheck 
6-18 = </t>
    </r>
    <r>
      <rPr>
        <sz val="12"/>
        <color theme="4"/>
        <rFont val="Calibri"/>
        <family val="2"/>
        <scheme val="minor"/>
      </rPr>
      <t>income_sec_comp OR optional question</t>
    </r>
    <r>
      <rPr>
        <sz val="12"/>
        <rFont val="Calibri"/>
        <family val="2"/>
        <scheme val="minor"/>
      </rPr>
      <t xml:space="preserve">
19-21 = shock</t>
    </r>
  </si>
  <si>
    <r>
      <t xml:space="preserve"> if options #1-3 selected go to income_sec_cropcheck 
if options #4 selected go to income_sec_lscheck 
if options #5 selected go to income_sec_fishcheck 
if options #6-18 selected, go to </t>
    </r>
    <r>
      <rPr>
        <sz val="12"/>
        <color theme="4"/>
        <rFont val="Calibri"/>
        <family val="2"/>
        <scheme val="minor"/>
      </rPr>
      <t xml:space="preserve">[income_sec_comp OR income_sec_amount OR income_sec_gender] </t>
    </r>
    <r>
      <rPr>
        <sz val="12"/>
        <rFont val="Calibri"/>
        <family val="2"/>
        <scheme val="minor"/>
      </rPr>
      <t xml:space="preserve">
if options #19-21 selected, go to shock</t>
    </r>
  </si>
  <si>
    <t>income_sec_cropcheck</t>
  </si>
  <si>
    <r>
      <t xml:space="preserve">1-4 = </t>
    </r>
    <r>
      <rPr>
        <sz val="12"/>
        <color theme="4"/>
        <rFont val="Calibri"/>
        <family val="2"/>
        <scheme val="minor"/>
      </rPr>
      <t>income_sec_comp OR optional question</t>
    </r>
  </si>
  <si>
    <r>
      <t xml:space="preserve">if options #1-4, go to </t>
    </r>
    <r>
      <rPr>
        <sz val="12"/>
        <color theme="4"/>
        <rFont val="Calibri"/>
        <family val="2"/>
        <scheme val="minor"/>
      </rPr>
      <t>[income_sec_comp OR income_sec_amount OR income_sec_gender]</t>
    </r>
  </si>
  <si>
    <t>resp_age = 18-100
hh_agricactivity = 1 | 2 | 3 | 4
quotareached = 2
income_sec = 1 | 2 | 3</t>
  </si>
  <si>
    <t>income_sec_lscheck</t>
  </si>
  <si>
    <t>resp_age = 18-100
hh_agricactivity = 1 | 2 | 3 | 4
quotareached = 2
income_sec = 4</t>
  </si>
  <si>
    <t>income_sec_fishcheck</t>
  </si>
  <si>
    <t>resp_age = 18-100
hh_agricactivity = 1 | 2 | 3 | 4
quotareached = 2
income_sec = 5</t>
  </si>
  <si>
    <t>income_sec_gender</t>
  </si>
  <si>
    <t>Is the person earning from #income_sec# male or female? 
[OPERATOR: SINGLE RESPONSE.]
1)Male 
2)Female
3)DON'T KNOW
4)REFUSED</t>
  </si>
  <si>
    <t>La personne qui perçoit #income_sec# est-elle un homme ou une femme ?
[OPÉRATEUR/OPÉRATRICE: RÉPONSE UNIQUE.]
1)Homme
2)Femme
3)NE SAIT PAS
4)REFUSÉ</t>
  </si>
  <si>
    <r>
      <t xml:space="preserve">1-4 = </t>
    </r>
    <r>
      <rPr>
        <sz val="12"/>
        <color theme="4"/>
        <rFont val="Calibri"/>
        <family val="2"/>
        <scheme val="minor"/>
      </rPr>
      <t xml:space="preserve">income_sec_comp OR optional question </t>
    </r>
  </si>
  <si>
    <r>
      <t xml:space="preserve">if options #1-4, go to </t>
    </r>
    <r>
      <rPr>
        <sz val="12"/>
        <color theme="4"/>
        <rFont val="Calibri"/>
        <family val="2"/>
        <scheme val="minor"/>
      </rPr>
      <t>[income_sec_comp OR income_sec_amount]</t>
    </r>
  </si>
  <si>
    <t>resp_age = 18-100
hh_agricactivity = 1 | 2 | 3 | 4
quotareached = 2
income_sec =  1-18</t>
  </si>
  <si>
    <r>
      <t xml:space="preserve">How much was earned (in </t>
    </r>
    <r>
      <rPr>
        <b/>
        <sz val="12"/>
        <color rgb="FF7030A0"/>
        <rFont val="Calibri"/>
        <family val="2"/>
        <scheme val="minor"/>
      </rPr>
      <t>$currency$</t>
    </r>
    <r>
      <rPr>
        <sz val="12"/>
        <rFont val="Calibri"/>
        <family val="2"/>
        <scheme val="minor"/>
      </rPr>
      <t>) from your second main income source, #income_sec#,</t>
    </r>
    <r>
      <rPr>
        <sz val="12"/>
        <color rgb="FFF504E7"/>
        <rFont val="Calibri"/>
        <family val="2"/>
        <scheme val="minor"/>
      </rPr>
      <t xml:space="preserve"> </t>
    </r>
    <r>
      <rPr>
        <sz val="12"/>
        <rFont val="Calibri"/>
        <family val="2"/>
        <scheme val="minor"/>
      </rPr>
      <t xml:space="preserve">in the past 3 months ?
[OPERATOR: DOUBLE CHECK FOR OUTLIERS &amp;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</si>
  <si>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t xml:space="preserve">Quelle somme (en </t>
    </r>
    <r>
      <rPr>
        <b/>
        <sz val="12"/>
        <color rgb="FF7030A0"/>
        <rFont val="Calibri"/>
        <family val="2"/>
        <scheme val="minor"/>
      </rPr>
      <t>$currency$</t>
    </r>
    <r>
      <rPr>
        <sz val="12"/>
        <rFont val="Calibri"/>
        <family val="2"/>
        <scheme val="minor"/>
      </rPr>
      <t xml:space="preserve">) a rapporté votre deuxième source de revenu, #income_sec#, au cours des trois derniers mois ?
[OPÉRATEUR/OPÉRATRICE: VÉRIFIER QUE LA RÉPONSE N’EST PAS INCOHÉRENTE ET QU'ELLE EST ENREGISTRÉE DANS LA BONNE DEVISE. SAISIR </t>
    </r>
    <r>
      <rPr>
        <sz val="12"/>
        <color theme="4"/>
        <rFont val="Calibri"/>
        <family val="2"/>
        <scheme val="minor"/>
      </rPr>
      <t>8888888</t>
    </r>
    <r>
      <rPr>
        <sz val="12"/>
        <rFont val="Calibri"/>
        <family val="2"/>
        <scheme val="minor"/>
      </rPr>
      <t xml:space="preserve"> POUR «NE SAIT PAS» ET </t>
    </r>
    <r>
      <rPr>
        <sz val="12"/>
        <color theme="4"/>
        <rFont val="Calibri"/>
        <family val="2"/>
        <scheme val="minor"/>
      </rPr>
      <t>9999999</t>
    </r>
    <r>
      <rPr>
        <sz val="12"/>
        <rFont val="Calibri"/>
        <family val="2"/>
        <scheme val="minor"/>
      </rPr>
      <t xml:space="preserve"> POUR «REFUSÉ».]</t>
    </r>
  </si>
  <si>
    <r>
      <rPr>
        <b/>
        <sz val="12"/>
        <color rgb="FF7030A0"/>
        <rFont val="Calibri"/>
        <family val="2"/>
        <scheme val="minor"/>
      </rPr>
      <t>$MIN AMOUNT$</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$THRESHOLD$</t>
    </r>
    <r>
      <rPr>
        <b/>
        <sz val="12"/>
        <rFont val="Calibri"/>
        <family val="2"/>
        <scheme val="minor"/>
      </rPr>
      <t xml:space="preserve"> </t>
    </r>
    <r>
      <rPr>
        <sz val="12"/>
        <rFont val="Calibri"/>
        <family val="2"/>
        <scheme val="minor"/>
      </rPr>
      <t>= income_sec_comp</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 xml:space="preserve">$MAX AMOUNT$ </t>
    </r>
    <r>
      <rPr>
        <sz val="12"/>
        <rFont val="Calibri"/>
        <family val="2"/>
        <scheme val="minor"/>
      </rPr>
      <t>=</t>
    </r>
    <r>
      <rPr>
        <sz val="12"/>
        <color rgb="FF7030A0"/>
        <rFont val="Calibri"/>
        <family val="2"/>
        <scheme val="minor"/>
      </rPr>
      <t xml:space="preserve"> </t>
    </r>
    <r>
      <rPr>
        <sz val="12"/>
        <rFont val="Calibri"/>
        <family val="2"/>
        <scheme val="minor"/>
      </rPr>
      <t xml:space="preserve">income_sec_amount_conf
</t>
    </r>
    <r>
      <rPr>
        <sz val="12"/>
        <color theme="4"/>
        <rFont val="Calibri"/>
        <family val="2"/>
        <scheme val="minor"/>
      </rPr>
      <t xml:space="preserve">8888888-8888888 </t>
    </r>
    <r>
      <rPr>
        <sz val="12"/>
        <rFont val="Calibri"/>
        <family val="2"/>
        <scheme val="minor"/>
      </rPr>
      <t xml:space="preserve">= income_sec_comp
</t>
    </r>
    <r>
      <rPr>
        <sz val="12"/>
        <color theme="4"/>
        <rFont val="Calibri"/>
        <family val="2"/>
        <scheme val="minor"/>
      </rPr>
      <t>9999999-9999999</t>
    </r>
    <r>
      <rPr>
        <sz val="12"/>
        <rFont val="Calibri"/>
        <family val="2"/>
        <scheme val="minor"/>
      </rPr>
      <t xml:space="preserve"> = income_sec_comp</t>
    </r>
  </si>
  <si>
    <t>If the income amount is over the threshold set in "Additional information", the respondent will be asked to confirm with income_sec_amount_conf. Otherwise, go to income_sec_comp.</t>
  </si>
  <si>
    <t>resp_age = 18-100
hh_agricactivity = 1 | 2 | 3 | 4
quotareached = 2
income_sec = 1-18</t>
  </si>
  <si>
    <t>We recommend using this pair of questions together.
Nous vous recommandons d'utiliser ces deux questions ensemble.</t>
  </si>
  <si>
    <r>
      <t xml:space="preserve">Pouvez-vous confirmer que le montant que vous venez de déclarer est correct ?
[OPÉRATEUR/OPÉRATRICE: SI LE MONTANT ISSU DE CETTE SOURCE DE REVENU AU COURS DES TROIS DERNIERS MOIS EST SUPÉRIEURX </t>
    </r>
    <r>
      <rPr>
        <b/>
        <sz val="12"/>
        <color rgb="FF7030A0"/>
        <rFont val="Calibri"/>
        <family val="2"/>
        <scheme val="minor"/>
      </rPr>
      <t>$THRESHOLD$</t>
    </r>
    <r>
      <rPr>
        <sz val="12"/>
        <rFont val="Calibri"/>
        <family val="2"/>
        <scheme val="minor"/>
      </rPr>
      <t>, CLIQUER SUR CONTINUER. SINON, REVENIR EN ARRIÈRE ET MODIFIER LE MONTANT SAISI.]
1)CONTINUER</t>
    </r>
  </si>
  <si>
    <r>
      <t xml:space="preserve">1 = </t>
    </r>
    <r>
      <rPr>
        <sz val="12"/>
        <color theme="4"/>
        <rFont val="Calibri"/>
        <family val="2"/>
        <scheme val="minor"/>
      </rPr>
      <t>income_sec_comp</t>
    </r>
  </si>
  <si>
    <r>
      <t xml:space="preserve">if </t>
    </r>
    <r>
      <rPr>
        <i/>
        <sz val="12"/>
        <rFont val="Calibri"/>
        <family val="2"/>
        <scheme val="minor"/>
      </rPr>
      <t>income_sec_amount_conf</t>
    </r>
    <r>
      <rPr>
        <sz val="12"/>
        <rFont val="Calibri"/>
        <family val="2"/>
        <scheme val="minor"/>
      </rPr>
      <t xml:space="preserve"> = 1, go to </t>
    </r>
    <r>
      <rPr>
        <i/>
        <sz val="12"/>
        <rFont val="Calibri"/>
        <family val="2"/>
        <scheme val="minor"/>
      </rPr>
      <t>income_sec_comp</t>
    </r>
  </si>
  <si>
    <t>1-7= income_third</t>
  </si>
  <si>
    <r>
      <t xml:space="preserve">if </t>
    </r>
    <r>
      <rPr>
        <i/>
        <sz val="12"/>
        <rFont val="Calibri"/>
        <family val="2"/>
        <scheme val="minor"/>
      </rPr>
      <t>income_sec_comp</t>
    </r>
    <r>
      <rPr>
        <sz val="12"/>
        <rFont val="Calibri"/>
        <family val="2"/>
        <scheme val="minor"/>
      </rPr>
      <t xml:space="preserve"> = 1-7, go to </t>
    </r>
    <r>
      <rPr>
        <i/>
        <sz val="12"/>
        <rFont val="Calibri"/>
        <family val="2"/>
        <scheme val="minor"/>
      </rPr>
      <t>income_third</t>
    </r>
  </si>
  <si>
    <t>resp_age = 18-100
hh_agricactivity = 1 | 2 | 3 | 4
quotareached = 2
income_main = 1-18
income_sec = 1-18</t>
  </si>
  <si>
    <t xml:space="preserve">Change in options #2,4 + question formulation (col D) </t>
  </si>
  <si>
    <t>What has been your household's third most important source of income in the past 3 months?
[OPERATOR: SINGLE RESPONSE. DON'T KNOW AND REFUSED OPTIONS SHOULD RARELY/NOT AVOIDED AS MUCH AS POSSIBLE.]
1)Production and sale of staple crops
2)Production and sale of vegetable or fruit 
3)Production and sale of cashcrops
4)Production and sale of livestock and livestock products 
5)Production and sale of fish 
6)Collection and sale of forestry or bush products 
7)Informal agricultural trade EXCLUDING producers 
8)Formal agricultural trade EXCLUDING producers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</si>
  <si>
    <t>Form Type - Buttons
Add all options manually
exclude selected "income_main"
exclude selected "income_sec"
set demographic</t>
  </si>
  <si>
    <r>
      <t xml:space="preserve">1-3 = income_third_cropcheck
4 = income_third_lscheck 
5 = income_third_fishcheck 
6-18 = </t>
    </r>
    <r>
      <rPr>
        <sz val="12"/>
        <color theme="4"/>
        <rFont val="Calibri"/>
        <family val="2"/>
        <scheme val="minor"/>
      </rPr>
      <t>income_third_comp OR optional question</t>
    </r>
    <r>
      <rPr>
        <sz val="12"/>
        <rFont val="Calibri"/>
        <family val="2"/>
        <scheme val="minor"/>
      </rPr>
      <t xml:space="preserve">
19-21 = shock</t>
    </r>
  </si>
  <si>
    <r>
      <t xml:space="preserve">if options #1-3 selected go to income_third_cropcheck 
if options #4 selected go to income_third_lscheck 
if options #5 selected go to income_third_fishcheck 
if options #6-18 selected, go to </t>
    </r>
    <r>
      <rPr>
        <sz val="12"/>
        <color theme="4"/>
        <rFont val="Calibri"/>
        <family val="2"/>
        <scheme val="minor"/>
      </rPr>
      <t xml:space="preserve">[income_third_comp OR income_third_amount OR income_third_gender] </t>
    </r>
    <r>
      <rPr>
        <sz val="12"/>
        <rFont val="Calibri"/>
        <family val="2"/>
        <scheme val="minor"/>
      </rPr>
      <t xml:space="preserve">
if options #19-21 selected, go to shock</t>
    </r>
  </si>
  <si>
    <t>income_third_cropcheck</t>
  </si>
  <si>
    <r>
      <t xml:space="preserve">1-4 = </t>
    </r>
    <r>
      <rPr>
        <sz val="12"/>
        <color theme="4"/>
        <rFont val="Calibri"/>
        <family val="2"/>
        <scheme val="minor"/>
      </rPr>
      <t>income_third_comp OR optional question</t>
    </r>
  </si>
  <si>
    <r>
      <t>if options #1-4, go to</t>
    </r>
    <r>
      <rPr>
        <sz val="12"/>
        <color theme="4"/>
        <rFont val="Calibri"/>
        <family val="2"/>
        <scheme val="minor"/>
      </rPr>
      <t xml:space="preserve"> [income_third_comp OR income_third_amount OR income_third_gender]</t>
    </r>
  </si>
  <si>
    <t>resp_age = 18-100
hh_agricactivity = 1 | 2 | 3 | 4
quotareached = 2
income_third = 1 | 2 | 3</t>
  </si>
  <si>
    <t>income_third_lscheck</t>
  </si>
  <si>
    <t>resp_age = 18-100
hh_agricactivity = 1 | 2 | 3 | 4
quotareached = 2
income_third = 4</t>
  </si>
  <si>
    <t>income_third_fishcheck</t>
  </si>
  <si>
    <t>resp_age = 18-100
hh_agricactivity = 1 | 2 | 3 | 4
quotareached = 2
income_third = 5</t>
  </si>
  <si>
    <t>income_third_gender</t>
  </si>
  <si>
    <t>Is the person earning from #income_third# male or female? 
[OPERATOR: SINGLE RESPONSE.]
1)Male 
2)Female
3)DON'T KNOW
4)REFUSED</t>
  </si>
  <si>
    <t>La personne qui perçoit #income_third# est-elle un homme ou une femme ?
[OPÉRATEUR/OPÉRATRICE: RÉPONSE UNIQUE.]
1)Homme
2)Femme
3)NE SAIT PAS
4)REFUSÉ</t>
  </si>
  <si>
    <r>
      <t>1-4 =</t>
    </r>
    <r>
      <rPr>
        <sz val="12"/>
        <color theme="4"/>
        <rFont val="Calibri"/>
        <family val="2"/>
        <scheme val="minor"/>
      </rPr>
      <t xml:space="preserve"> income_third_comp OR optional question</t>
    </r>
  </si>
  <si>
    <r>
      <t>if options #1-4, go to</t>
    </r>
    <r>
      <rPr>
        <sz val="12"/>
        <color theme="4"/>
        <rFont val="Calibri"/>
        <family val="2"/>
        <scheme val="minor"/>
      </rPr>
      <t xml:space="preserve"> [income_third_comp OR income_third_amount]</t>
    </r>
  </si>
  <si>
    <t>resp_age = 18-100
hh_agricactivity = 1 | 2 | 3 | 4
quotareached = 2
income_third =  1-18</t>
  </si>
  <si>
    <r>
      <t xml:space="preserve">How much was earned (in </t>
    </r>
    <r>
      <rPr>
        <b/>
        <sz val="12"/>
        <color rgb="FF7030A0"/>
        <rFont val="Calibri"/>
        <family val="2"/>
        <scheme val="minor"/>
      </rPr>
      <t>$currency$</t>
    </r>
    <r>
      <rPr>
        <sz val="12"/>
        <rFont val="Calibri"/>
        <family val="2"/>
        <scheme val="minor"/>
      </rPr>
      <t xml:space="preserve">) from your third main source of income, #income_third#, in the past 3 months ?
[OPERATOR: DOUBLE CHECK FOR OUTLIERS &amp;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</si>
  <si>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t xml:space="preserve">Quelle somme (en </t>
    </r>
    <r>
      <rPr>
        <b/>
        <sz val="12"/>
        <color rgb="FF7030A0"/>
        <rFont val="Calibri"/>
        <family val="2"/>
        <scheme val="minor"/>
      </rPr>
      <t>$currency$</t>
    </r>
    <r>
      <rPr>
        <sz val="12"/>
        <rFont val="Calibri"/>
        <family val="2"/>
        <scheme val="minor"/>
      </rPr>
      <t xml:space="preserve">) a rapporté votre troisième source de revenu, #income_third#, au cours des trois derniers mois ?
[OPÉRATEUR/OPÉRATRICE: VÉRIFIER QUE LA RÉPONSE N’EST PAS INCOHÉRENTE ET QU'ELLE EST ENREGISTRÉE DANS LA BONNE DEVISE. SAISIR </t>
    </r>
    <r>
      <rPr>
        <sz val="12"/>
        <color theme="4"/>
        <rFont val="Calibri"/>
        <family val="2"/>
        <scheme val="minor"/>
      </rPr>
      <t>8888888</t>
    </r>
    <r>
      <rPr>
        <sz val="12"/>
        <rFont val="Calibri"/>
        <family val="2"/>
        <scheme val="minor"/>
      </rPr>
      <t xml:space="preserve"> POUR «NE SAIT PAS» ET </t>
    </r>
    <r>
      <rPr>
        <sz val="12"/>
        <color theme="4"/>
        <rFont val="Calibri"/>
        <family val="2"/>
        <scheme val="minor"/>
      </rPr>
      <t>9999999</t>
    </r>
    <r>
      <rPr>
        <sz val="12"/>
        <rFont val="Calibri"/>
        <family val="2"/>
        <scheme val="minor"/>
      </rPr>
      <t xml:space="preserve"> POUR «REFUSÉ».]</t>
    </r>
  </si>
  <si>
    <r>
      <rPr>
        <b/>
        <sz val="12"/>
        <color rgb="FF7030A0"/>
        <rFont val="Calibri"/>
        <family val="2"/>
        <scheme val="minor"/>
      </rPr>
      <t>$MIN AMOUNT$</t>
    </r>
    <r>
      <rPr>
        <sz val="12"/>
        <color rgb="FF7030A0"/>
        <rFont val="Calibri"/>
        <family val="2"/>
        <scheme val="minor"/>
      </rPr>
      <t xml:space="preserve"> - </t>
    </r>
    <r>
      <rPr>
        <b/>
        <sz val="12"/>
        <color rgb="FF7030A0"/>
        <rFont val="Calibri"/>
        <family val="2"/>
        <scheme val="minor"/>
      </rPr>
      <t>$THRESHOLD$</t>
    </r>
    <r>
      <rPr>
        <sz val="12"/>
        <color rgb="FF7030A0"/>
        <rFont val="Calibri"/>
        <family val="2"/>
        <scheme val="minor"/>
      </rPr>
      <t xml:space="preserve"> =</t>
    </r>
    <r>
      <rPr>
        <sz val="12"/>
        <rFont val="Calibri"/>
        <family val="2"/>
        <scheme val="minor"/>
      </rPr>
      <t xml:space="preserve"> income_third_comp</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b/>
        <sz val="12"/>
        <color rgb="FF7030A0"/>
        <rFont val="Calibri"/>
        <family val="2"/>
        <scheme val="minor"/>
      </rPr>
      <t xml:space="preserve"> $MAX AMOUNT$</t>
    </r>
    <r>
      <rPr>
        <sz val="12"/>
        <color rgb="FF7030A0"/>
        <rFont val="Calibri"/>
        <family val="2"/>
        <scheme val="minor"/>
      </rPr>
      <t xml:space="preserve"> = </t>
    </r>
    <r>
      <rPr>
        <sz val="12"/>
        <rFont val="Calibri"/>
        <family val="2"/>
        <scheme val="minor"/>
      </rPr>
      <t xml:space="preserve">income_third_amount_conf
</t>
    </r>
    <r>
      <rPr>
        <sz val="12"/>
        <color theme="4"/>
        <rFont val="Calibri"/>
        <family val="2"/>
        <scheme val="minor"/>
      </rPr>
      <t>8888888-8888888</t>
    </r>
    <r>
      <rPr>
        <sz val="12"/>
        <rFont val="Calibri"/>
        <family val="2"/>
        <scheme val="minor"/>
      </rPr>
      <t xml:space="preserve"> = income_third_comp
</t>
    </r>
    <r>
      <rPr>
        <sz val="12"/>
        <color theme="4"/>
        <rFont val="Calibri"/>
        <family val="2"/>
        <scheme val="minor"/>
      </rPr>
      <t>9999999-9999999</t>
    </r>
    <r>
      <rPr>
        <sz val="12"/>
        <rFont val="Calibri"/>
        <family val="2"/>
        <scheme val="minor"/>
      </rPr>
      <t xml:space="preserve"> = income_third_comp</t>
    </r>
  </si>
  <si>
    <t>If the income amount is over the threshold set in "Additional information", the respondent will be asked to confirm with income_third_amount_conf. Otherwise, go to income_third_comp.</t>
  </si>
  <si>
    <t>resp_age = 18-100
hh_agricactivity = 1 | 2 | 3 | 4
quotareached = 2
income_main = 1-18
income_sec = 1-18
income_third = 1-18</t>
  </si>
  <si>
    <t>1 = income_third_comp</t>
  </si>
  <si>
    <r>
      <t xml:space="preserve">if </t>
    </r>
    <r>
      <rPr>
        <i/>
        <sz val="12"/>
        <rFont val="Calibri"/>
        <family val="2"/>
        <scheme val="minor"/>
      </rPr>
      <t>income_third_amount_conf</t>
    </r>
    <r>
      <rPr>
        <sz val="12"/>
        <rFont val="Calibri"/>
        <family val="2"/>
        <scheme val="minor"/>
      </rPr>
      <t xml:space="preserve"> = 1, go to </t>
    </r>
    <r>
      <rPr>
        <i/>
        <sz val="12"/>
        <rFont val="Calibri"/>
        <family val="2"/>
        <scheme val="minor"/>
      </rPr>
      <t>income_third_comp</t>
    </r>
  </si>
  <si>
    <r>
      <t xml:space="preserve">1-7= </t>
    </r>
    <r>
      <rPr>
        <sz val="12"/>
        <color theme="4"/>
        <rFont val="Calibri"/>
        <family val="2"/>
        <scheme val="minor"/>
      </rPr>
      <t>shock OR optional question</t>
    </r>
  </si>
  <si>
    <r>
      <t xml:space="preserve">if </t>
    </r>
    <r>
      <rPr>
        <i/>
        <sz val="12"/>
        <rFont val="Calibri"/>
        <family val="2"/>
        <scheme val="minor"/>
      </rPr>
      <t>income_third_comp</t>
    </r>
    <r>
      <rPr>
        <sz val="12"/>
        <rFont val="Calibri"/>
        <family val="2"/>
        <scheme val="minor"/>
      </rPr>
      <t xml:space="preserve"> = 1-7, go to </t>
    </r>
    <r>
      <rPr>
        <i/>
        <sz val="12"/>
        <color theme="4"/>
        <rFont val="Calibri"/>
        <family val="2"/>
        <scheme val="minor"/>
      </rPr>
      <t>shock</t>
    </r>
    <r>
      <rPr>
        <sz val="12"/>
        <color theme="4"/>
        <rFont val="Calibri"/>
        <family val="2"/>
        <scheme val="minor"/>
      </rPr>
      <t xml:space="preserve"> OR </t>
    </r>
    <r>
      <rPr>
        <i/>
        <sz val="12"/>
        <color theme="4"/>
        <rFont val="Calibri"/>
        <family val="2"/>
        <scheme val="minor"/>
      </rPr>
      <t>income_gender_control</t>
    </r>
  </si>
  <si>
    <t>income_gender_control</t>
  </si>
  <si>
    <t>Are women in this household able to decide how to use the income they earn?
[OPERATOR: SINGLE RESPONSE.]
1)YES
2)NO
3)DON'T KNOW
4)REFUSED</t>
  </si>
  <si>
    <t>Les femmes de votre ménage sont-elles en mesure de décider de l'utilisation des revenus qu'elles rapportent ?
[OPÉRATEUR/OPÉRATRICE: RÉPONSE UNIQUE.]
1)Oui
2)Non
3)NE SAIT PAS
4)REFUSÉ</t>
  </si>
  <si>
    <t>Send if "income_main_gender" "Equals" "Female" Or "income_sec_gender" "Equals" "Female" Or "income_third_gender" "Equals" "Female", if not satisfied go to "shock"</t>
  </si>
  <si>
    <t>1-4 = shock</t>
  </si>
  <si>
    <r>
      <rPr>
        <i/>
        <sz val="12"/>
        <rFont val="Calibri"/>
        <family val="2"/>
        <scheme val="minor"/>
      </rPr>
      <t xml:space="preserve">If the respondent indicated that any of the three main income sources is generated by a female household member, this question is asked. Otherwise, go to the next question. </t>
    </r>
    <r>
      <rPr>
        <sz val="12"/>
        <rFont val="Calibri"/>
        <family val="2"/>
        <scheme val="minor"/>
      </rPr>
      <t xml:space="preserve">
if </t>
    </r>
    <r>
      <rPr>
        <i/>
        <sz val="12"/>
        <rFont val="Calibri"/>
        <family val="2"/>
        <scheme val="minor"/>
      </rPr>
      <t>income_gender_control</t>
    </r>
    <r>
      <rPr>
        <sz val="12"/>
        <rFont val="Calibri"/>
        <family val="2"/>
        <scheme val="minor"/>
      </rPr>
      <t xml:space="preserve"> = 1-4, go to </t>
    </r>
    <r>
      <rPr>
        <i/>
        <sz val="12"/>
        <rFont val="Calibri"/>
        <family val="2"/>
        <scheme val="minor"/>
      </rPr>
      <t>shock</t>
    </r>
  </si>
  <si>
    <t>resp_age = 18-100
hh_agricactivity = 1 | 2 | 3 | 4
(income_main_gender = 1) | (income_sec_gender = 1) | (income_third_gender = 1)
quotareached = 2</t>
  </si>
  <si>
    <t>shock_
1) shock_noshock
2) shock_sicknessordeathofhh
3) shock_lostemplorwork
4) shock_otherintrahhshock
5) shock_higherfoodprices
6) shock_higherfuelprices
7) shock_cantworkordobusiness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
25) shock_othermanmadehazard
26) shock_dk
27) shock_ref</t>
  </si>
  <si>
    <t>Has your household faced any particular disaster or crisis affecting your community or your household that affected your ability to raise an income and/or to produce food for self consumption in the last 3 months? 
[OPERATOR: SELECT RELEVANT SHOCKS EXPERIENCED BY THE HOUSEHOLD. MULTIPLE RESPONSES POSSIBLE. REFER TO ECONOMIC SHOCKS, CROP AND LIVESTOCK SHOCKS, INTRA-HOUSEHOLD SHOCK, NATURAL HAZARDS AND MAN-MADE HAZARDS.]
1)No shock
2)Sickness or accident or death of household member[s] [sickness of breadwinner / unusually high medical expenditure / funeral expenses / death of breadwinner]
3)Lost employment or working opportunities [mainly applies for daily work]
4)Other intra household shock
5)Much higher than usual food prices
6)Much higher than usual fuel prices or transport prices 
7)Could not continue business as usual due to external constraints [such as covid restrictions, insecurity, infrastructure damage, etc.]
8)Other economic shock 
9)Pest outbreak
10)Plant disease
11)Animal disease affecting many animals or death of animals 
12)Lack of physical access to pasture [because of conflict / infrastructure damage / COVID-19 restrictions]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man-made disaster
25)Other man-made hazard
26)DON'T KNOW
27)REFUSED</t>
  </si>
  <si>
    <t>Form Type - Checklist
1, 26, 27 = IsNone</t>
  </si>
  <si>
    <r>
      <t>1-27 = [</t>
    </r>
    <r>
      <rPr>
        <sz val="12"/>
        <color theme="4"/>
        <rFont val="Calibri"/>
        <family val="2"/>
        <scheme val="minor"/>
      </rPr>
      <t xml:space="preserve">covid </t>
    </r>
    <r>
      <rPr>
        <sz val="12"/>
        <rFont val="Calibri"/>
        <family val="2"/>
        <scheme val="minor"/>
      </rPr>
      <t xml:space="preserve">or </t>
    </r>
    <r>
      <rPr>
        <sz val="12"/>
        <color theme="4"/>
        <rFont val="Calibri"/>
        <family val="2"/>
        <scheme val="minor"/>
      </rPr>
      <t>optional question</t>
    </r>
    <r>
      <rPr>
        <sz val="12"/>
        <rFont val="Calibri"/>
        <family val="2"/>
        <scheme val="minor"/>
      </rPr>
      <t>]</t>
    </r>
  </si>
  <si>
    <r>
      <t>if shock = 1-27, go to [</t>
    </r>
    <r>
      <rPr>
        <i/>
        <sz val="12"/>
        <color theme="4"/>
        <rFont val="Calibri"/>
        <family val="2"/>
        <scheme val="minor"/>
      </rPr>
      <t>covid</t>
    </r>
    <r>
      <rPr>
        <sz val="12"/>
        <rFont val="Calibri"/>
        <family val="2"/>
        <scheme val="minor"/>
      </rPr>
      <t xml:space="preserve"> or</t>
    </r>
    <r>
      <rPr>
        <sz val="12"/>
        <color theme="4"/>
        <rFont val="Calibri"/>
        <family val="2"/>
        <scheme val="minor"/>
      </rPr>
      <t xml:space="preserve"> </t>
    </r>
    <r>
      <rPr>
        <i/>
        <sz val="12"/>
        <color theme="4"/>
        <rFont val="Calibri"/>
        <family val="2"/>
        <scheme val="minor"/>
      </rPr>
      <t>hh_explanation</t>
    </r>
    <r>
      <rPr>
        <sz val="12"/>
        <rFont val="Calibri"/>
        <family val="2"/>
        <scheme val="minor"/>
      </rPr>
      <t>]</t>
    </r>
  </si>
  <si>
    <t>Changes in options #2, 6, 11, 15, 16, 17
Change in skip pattern</t>
  </si>
  <si>
    <t>If the household was affected by a major recent shock object of this assessment (for example, an earthquake), what do you think are the consequences for your household, in your own words?
[OPERATOR: RECORD IN FEW WORDS THE MAIN CONSEQUENCE OF THE RECENT SHOCKS. ENTER 88 FOR DON'T KNOW AND 99 FOR REFUSED.]</t>
  </si>
  <si>
    <t>Si votre ménage a été concerné par un choc majeur récent objet de cette évaluation (par exemple, un tremblement de terre), quelles en sont, selon vous et dans vos propres mots, les conséquences pour votre ménage ?
[OPÉRATEUR/OPÉRATRICE: SAISIR EN QUELQUES MOTS LA PRINCIPALE CONSÉQUENCE DES RÉCENTS CHOCS. SAISIR 88 POUR «NE SAIT PAS» ET 99 POUR «REFUSÉ»].</t>
  </si>
  <si>
    <t>Any Response = covid</t>
  </si>
  <si>
    <r>
      <t xml:space="preserve">For any response to </t>
    </r>
    <r>
      <rPr>
        <i/>
        <sz val="12"/>
        <rFont val="Calibri"/>
        <family val="2"/>
        <scheme val="minor"/>
      </rPr>
      <t>hh_explanation</t>
    </r>
    <r>
      <rPr>
        <sz val="12"/>
        <rFont val="Calibri"/>
        <family val="2"/>
        <scheme val="minor"/>
      </rPr>
      <t xml:space="preserve">, go to </t>
    </r>
    <r>
      <rPr>
        <i/>
        <sz val="12"/>
        <color theme="4"/>
        <rFont val="Calibri"/>
        <family val="2"/>
        <scheme val="minor"/>
      </rPr>
      <t>covid.</t>
    </r>
  </si>
  <si>
    <t>Change in skip pattern</t>
  </si>
  <si>
    <t>covid_
1) covid_goodstransp
2) covid_marketclosed
3) covid_borderclosed
4) covid_stayhome
5) covid_gatherings
6) covid_processclosed
7) covid_other
8) covid_none
9) covid_dk
10) covid_ref</t>
  </si>
  <si>
    <t>Have you or anyone in your household been affected by movement restrictions or social distancing measures aimed at containing COVID-19 in the last 3 months?
[OPERATOR: MULTIPLE RESPONSES POSSIBLE.]
1)Movement restrictions [sometimes producing product scarcity or price heights]
2)Closure of food markets or other businesses
3)Closure of international borders [affecting the purchase of imported inputs or the sale of goods for export or transhumance]
4)Stay at home order
5)Ban on gatherings
6)Closure of food processors [slaughterhouse / dairy cooperatives / etc] or restaurants
7)Other [specify]
8)Not affected by restrictions
9)DON'T KNOW
10)REFUSED</t>
  </si>
  <si>
    <t xml:space="preserve">Open Ended - Select All That Apply </t>
  </si>
  <si>
    <t>Form Type - Checklist
8,9,10 = IsNone</t>
  </si>
  <si>
    <r>
      <t>1-10 =</t>
    </r>
    <r>
      <rPr>
        <sz val="12"/>
        <color theme="4"/>
        <rFont val="Calibri"/>
        <family val="2"/>
        <scheme val="minor"/>
      </rPr>
      <t xml:space="preserve"> crp_intro</t>
    </r>
  </si>
  <si>
    <t>if covid = 1-10, go to crp_intro</t>
  </si>
  <si>
    <t>Change in question text + options #1, 2
change in skip pattern according to new placement</t>
  </si>
  <si>
    <t>D. CROP PRODUCTION</t>
  </si>
  <si>
    <t>crp_intro</t>
  </si>
  <si>
    <t>Send if "hh_agricactivity" "Equals" "Yes - crop production" Or "hh_agricactivity" "Equals" "Yes - both crop and livestock production" Or "income_main_cropcheck" "Equals" "YES" Or "income_sec_cropcheck" "Equals" "YES" Or "income_third_cropcheck" "Equals" "YES", if not satisfied go to "crp_salesmain"</t>
  </si>
  <si>
    <t>1 = crp_landsize_num</t>
  </si>
  <si>
    <r>
      <t xml:space="preserve">If </t>
    </r>
    <r>
      <rPr>
        <i/>
        <sz val="12"/>
        <rFont val="Calibri"/>
        <family val="2"/>
        <scheme val="minor"/>
      </rPr>
      <t>hh_agricactivity</t>
    </r>
    <r>
      <rPr>
        <sz val="12"/>
        <rFont val="Calibri"/>
        <family val="2"/>
        <scheme val="minor"/>
      </rPr>
      <t xml:space="preserve"> = "Yes - crop production" </t>
    </r>
    <r>
      <rPr>
        <u/>
        <sz val="12"/>
        <rFont val="Calibri"/>
        <family val="2"/>
        <scheme val="minor"/>
      </rPr>
      <t>or</t>
    </r>
    <r>
      <rPr>
        <sz val="12"/>
        <rFont val="Calibri"/>
        <family val="2"/>
        <scheme val="minor"/>
      </rPr>
      <t xml:space="preserve"> "Yes - both crop and livestock production" </t>
    </r>
    <r>
      <rPr>
        <u/>
        <sz val="12"/>
        <rFont val="Calibri"/>
        <family val="2"/>
        <scheme val="minor"/>
      </rPr>
      <t>or</t>
    </r>
    <r>
      <rPr>
        <sz val="12"/>
        <rFont val="Calibri"/>
        <family val="2"/>
        <scheme val="minor"/>
      </rPr>
      <t xml:space="preserve"> if they reported production and sales of crops in one of the three main income sources and confirmed that they are involved in production, then this section will be asked to respondents.
Otherwise, skip to </t>
    </r>
    <r>
      <rPr>
        <i/>
        <sz val="12"/>
        <rFont val="Calibri"/>
        <family val="2"/>
        <scheme val="minor"/>
      </rPr>
      <t>crp_salesmain</t>
    </r>
    <r>
      <rPr>
        <sz val="12"/>
        <rFont val="Calibri"/>
        <family val="2"/>
        <scheme val="minor"/>
      </rPr>
      <t xml:space="preserve">.
Next question is </t>
    </r>
    <r>
      <rPr>
        <i/>
        <sz val="12"/>
        <rFont val="Calibri (Body)"/>
      </rPr>
      <t>c</t>
    </r>
    <r>
      <rPr>
        <i/>
        <sz val="12"/>
        <rFont val="Calibri"/>
        <family val="2"/>
        <scheme val="minor"/>
      </rPr>
      <t>rp_landsize_num</t>
    </r>
  </si>
  <si>
    <t>resp_age = 18-100
(hh_agricactivity = 1 | 3) | (income_main_cropcheck = 1) | (income_sec_cropcheck = 1) | (income_third_cropcheck = 1) 
quotareached = 2</t>
  </si>
  <si>
    <t xml:space="preserve">New question + change in conditional for this section </t>
  </si>
  <si>
    <t>crp_landsize_num</t>
  </si>
  <si>
    <t>What is the total size of the land you can cultivate?
[OPERATOR: RECORD THE TOTAL LAND SIZE PROVIDED BY THE RESPONDENT. WRITE 8888888 FOR DON'T KNOW AND 9999999 FOR REFUSED. MEASUREMENT UNIT WILL BE SPECIFIED IN THE FOLLOWING QUESTION.]</t>
  </si>
  <si>
    <t>Quelle superficie totale pouvez-vous cultiver ?
[OPÉRATEUR/OPÉRATRICE: SAISIR LA TAILLE TOTALE DU TERRAIN ANNONCÉE PAR LE RÉPONDANT. ENTRER 8888888 POUR «NE SAIT PAS» ET 9999999 POUR «REFUSÉ» . L'UNITÉ DE MESURE SERA PRÉCISÉE À LA QUESTION SUIVANTE].</t>
  </si>
  <si>
    <r>
      <t>0-1000000 =</t>
    </r>
    <r>
      <rPr>
        <i/>
        <sz val="12"/>
        <rFont val="Calibri"/>
        <family val="2"/>
        <scheme val="minor"/>
      </rPr>
      <t xml:space="preserve"> crp_landsize_unit
</t>
    </r>
    <r>
      <rPr>
        <sz val="12"/>
        <rFont val="Calibri"/>
        <family val="2"/>
        <scheme val="minor"/>
      </rPr>
      <t xml:space="preserve">8888888-8888888 = </t>
    </r>
    <r>
      <rPr>
        <i/>
        <sz val="12"/>
        <rFont val="Calibri"/>
        <family val="2"/>
        <scheme val="minor"/>
      </rPr>
      <t>crp_main</t>
    </r>
    <r>
      <rPr>
        <sz val="12"/>
        <rFont val="Calibri"/>
        <family val="2"/>
        <scheme val="minor"/>
      </rPr>
      <t xml:space="preserve">
9999999-9999999 = </t>
    </r>
    <r>
      <rPr>
        <i/>
        <sz val="12"/>
        <rFont val="Calibri"/>
        <family val="2"/>
        <scheme val="minor"/>
      </rPr>
      <t>crp_main</t>
    </r>
  </si>
  <si>
    <t>For any response, go to crp_landsize_unit. Range is between 0 and 1000000. For "Don't know" and "Refused", go to crp_main.</t>
  </si>
  <si>
    <t>crp_landsize_unit</t>
  </si>
  <si>
    <r>
      <t>Unit of measurement for land size: 
[OPERATOR: DO NOT READ. SINGLE RESPONSE.]
1)Acres
2)Hectares
3)Square meters
4)Square feet
5)</t>
    </r>
    <r>
      <rPr>
        <b/>
        <sz val="12"/>
        <color rgb="FF7030A0"/>
        <rFont val="Calibri"/>
        <family val="2"/>
        <scheme val="minor"/>
      </rPr>
      <t>$local measurement unit$</t>
    </r>
    <r>
      <rPr>
        <sz val="12"/>
        <rFont val="Calibri"/>
        <family val="2"/>
        <scheme val="minor"/>
      </rPr>
      <t xml:space="preserve">
</t>
    </r>
  </si>
  <si>
    <r>
      <t>Unité de mesure des terrains cultivés :
 [OPÉRATEUR/OPÉRATRICE: RÉPONSE UNIQUE.]
1)Acres
2)Hectares
3)Mètres carrés
4)Pieds carrés
5)</t>
    </r>
    <r>
      <rPr>
        <b/>
        <sz val="12"/>
        <color rgb="FF7030A0"/>
        <rFont val="Calibri"/>
        <family val="2"/>
        <scheme val="minor"/>
      </rPr>
      <t>$unité de mesure locale$</t>
    </r>
  </si>
  <si>
    <t>1-5 = crp_main</t>
  </si>
  <si>
    <t>if crp_landsize_unit = 1-5, go to crp_main</t>
  </si>
  <si>
    <r>
      <t xml:space="preserve">What is the main crop that your household grows for food and income generation in </t>
    </r>
    <r>
      <rPr>
        <b/>
        <sz val="12"/>
        <color rgb="FF7030A0"/>
        <rFont val="Calibri"/>
        <family val="2"/>
        <scheme val="minor"/>
      </rPr>
      <t>$season$</t>
    </r>
    <r>
      <rPr>
        <sz val="12"/>
        <rFont val="Calibri"/>
        <family val="2"/>
        <scheme val="minor"/>
      </rPr>
      <t xml:space="preserve">, if any?
[OPERATOR: SINGLE RESPONSE. "NO CROP PRODUCTION" APPEARS AT THE END OF THE LIST OF OPTIONS.]
</t>
    </r>
    <r>
      <rPr>
        <b/>
        <sz val="12"/>
        <color rgb="FF7030A0"/>
        <rFont val="Calibri"/>
        <family val="2"/>
        <scheme val="minor"/>
      </rPr>
      <t>$TEN MOST COMMON CROP$</t>
    </r>
  </si>
  <si>
    <r>
      <t xml:space="preserve">Quelle est la principale culture pratiquée par votre ménage pour se nourrir et générer des revenus pendant la </t>
    </r>
    <r>
      <rPr>
        <b/>
        <sz val="12"/>
        <color rgb="FF7030A0"/>
        <rFont val="Calibri"/>
        <family val="2"/>
        <scheme val="minor"/>
      </rPr>
      <t>$saison$</t>
    </r>
    <r>
      <rPr>
        <sz val="12"/>
        <rFont val="Calibri"/>
        <family val="2"/>
        <scheme val="minor"/>
      </rPr>
      <t xml:space="preserve">, si applicable ?
[OPÉRATEUR/OPÉRATRICE: RÉPONSE UNIQUE. «AUCUNE PRODUCTION VÉGÉTALE» EST PARMI LES DERNIÈRES OPTIONS, À LA FIN DE LA LISTE.]
</t>
    </r>
    <r>
      <rPr>
        <b/>
        <sz val="12"/>
        <color rgb="FF7030A0"/>
        <rFont val="Calibri"/>
        <family val="2"/>
        <scheme val="minor"/>
      </rPr>
      <t>$TEN MOST COMMON CROP FR$</t>
    </r>
  </si>
  <si>
    <t>Form Type - Dropdown
set demographic</t>
  </si>
  <si>
    <r>
      <rPr>
        <sz val="12"/>
        <color theme="4"/>
        <rFont val="Calibri"/>
        <family val="2"/>
        <scheme val="minor"/>
      </rPr>
      <t>1-90</t>
    </r>
    <r>
      <rPr>
        <sz val="12"/>
        <rFont val="Calibri"/>
        <family val="2"/>
        <scheme val="minor"/>
      </rPr>
      <t xml:space="preserve"> =</t>
    </r>
    <r>
      <rPr>
        <sz val="12"/>
        <color theme="4"/>
        <rFont val="Calibri"/>
        <family val="2"/>
        <scheme val="minor"/>
      </rPr>
      <t xml:space="preserve"> </t>
    </r>
    <r>
      <rPr>
        <sz val="12"/>
        <rFont val="Calibri"/>
        <family val="2"/>
        <scheme val="minor"/>
      </rPr>
      <t>crp_irrigation</t>
    </r>
    <r>
      <rPr>
        <sz val="12"/>
        <color theme="4"/>
        <rFont val="Calibri"/>
        <family val="2"/>
        <scheme val="minor"/>
      </rPr>
      <t xml:space="preserve">
91 </t>
    </r>
    <r>
      <rPr>
        <sz val="12"/>
        <rFont val="Calibri"/>
        <family val="2"/>
        <scheme val="minor"/>
      </rPr>
      <t>= crp_main_check</t>
    </r>
    <r>
      <rPr>
        <sz val="12"/>
        <color theme="4"/>
        <rFont val="Calibri"/>
        <family val="2"/>
        <scheme val="minor"/>
      </rPr>
      <t xml:space="preserve">
92-93 </t>
    </r>
    <r>
      <rPr>
        <sz val="12"/>
        <rFont val="Calibri"/>
        <family val="2"/>
        <scheme val="minor"/>
      </rPr>
      <t>= crp_salesmain</t>
    </r>
  </si>
  <si>
    <r>
      <t>if crp_main = any typ</t>
    </r>
    <r>
      <rPr>
        <sz val="11"/>
        <rFont val="Calibri"/>
        <family val="2"/>
        <scheme val="minor"/>
      </rPr>
      <t>e of crop, go to crp_irrigation;</t>
    </r>
    <r>
      <rPr>
        <sz val="11"/>
        <color theme="1"/>
        <rFont val="Calibri"/>
        <family val="2"/>
        <scheme val="minor"/>
      </rPr>
      <t xml:space="preserve">
if crp_main = "No crop production", go to crp_main_check
if crp_main = "Don't know" or "Refused", go to crp_salesmain</t>
    </r>
  </si>
  <si>
    <r>
      <t xml:space="preserve">Change in column H, J </t>
    </r>
    <r>
      <rPr>
        <sz val="12"/>
        <color rgb="FFFF0000"/>
        <rFont val="Calibri"/>
        <family val="2"/>
        <scheme val="minor"/>
      </rPr>
      <t>&amp; D</t>
    </r>
  </si>
  <si>
    <t>crp_main_check</t>
  </si>
  <si>
    <r>
      <t xml:space="preserve">Why did you not produce any crops in </t>
    </r>
    <r>
      <rPr>
        <b/>
        <sz val="12"/>
        <color rgb="FF7030A0"/>
        <rFont val="Calibri"/>
        <family val="2"/>
        <scheme val="minor"/>
      </rPr>
      <t>$season$</t>
    </r>
    <r>
      <rPr>
        <sz val="12"/>
        <rFont val="Calibri"/>
        <family val="2"/>
        <scheme val="minor"/>
      </rPr>
      <t>?
[OPERATOR: SINGLE RESPONSE.]
1)Don’t usually produce during this season 
2)Wasn't able to produce (e.g. due to difficulties)</t>
    </r>
  </si>
  <si>
    <t>1 = crp_salesmain
2 = crp_proddif_1</t>
  </si>
  <si>
    <t>if crp_main_check = 1, go to crp_salesmain
if crp_main_check = 2, go to crp_proddif_1</t>
  </si>
  <si>
    <t>resp_age = 18-100
(hh_agricactivity = 1 | 3) | (income_main_cropcheck = 1) | (income_sec_cropcheck = 1) | (income_third_cropcheck = 1) 
quotareached = 2crp_main = 91</t>
  </si>
  <si>
    <t>How do you normally access water for #crp_main#? 
[OPERATOR: SINGLE RESPONSE.]
1)Rainfed (no irrigation system)
2)Canal irrigation (using syphon)
3)Sprinkler or drip irrigation (from surface water, groundwater or tap water)
4)Manual irrigation (from surface water, groundwater or tap water)
5)Flood irrigation (by gravity)
6)Other [specify]
7)DON'T KNOW
8)REFUSED</t>
  </si>
  <si>
    <t>Comment accédez-vous normalement à l'eau pour votre principale production végétale #crp_main# ? 
[OPÉRATEUR/OPÉRATRICE: RÉPONSE UNIQUE.]
1)Pluie (pas de système d'irrigation)
2)Irrigation via un canal (avec un siphon)
3)Irrigation par aspersion ou goutte à goutte (à partir d'eau de surface, souterraine ou du robinet)
4)Irrigation manuelle (à partir d'eau de surface, souterraine ou du robinet)
5)Irrigation par inondation (par gravité)
6)Autre [préciser]
7)NE SAIT PAS
8)REFUSÉ</t>
  </si>
  <si>
    <r>
      <t xml:space="preserve">1-8 = </t>
    </r>
    <r>
      <rPr>
        <sz val="12"/>
        <color theme="4"/>
        <rFont val="Calibri"/>
        <family val="2"/>
        <scheme val="minor"/>
      </rPr>
      <t>crp_area_change OR optional question</t>
    </r>
  </si>
  <si>
    <r>
      <t>if crp_irrigation = 1-8, go to</t>
    </r>
    <r>
      <rPr>
        <sz val="11"/>
        <color theme="4"/>
        <rFont val="Calibri"/>
        <family val="2"/>
        <scheme val="minor"/>
      </rPr>
      <t xml:space="preserve"> [crp_area_change or crp_seed_supply]</t>
    </r>
  </si>
  <si>
    <t>resp_age = 18-100
(hh_agricactivity = 1 | 3) | (income_main_cropcheck = 1) | (income_sec_cropcheck = 1) | (income_third_cropcheck = 1) 
quotareached = 2
crp_main = 1-90</t>
  </si>
  <si>
    <t>Made mandatory
Change options #1-6</t>
  </si>
  <si>
    <t>crp_seed_supply
1) crp_seed_ownprod
2) crp_seed_market
3) crp_seed_company
4) crp_seed_freedist
5) crp_seed_bank
6) crp_seed_gov
7) crp_seed_other
8) crp_seed_dk
9) crp_seed_ref</t>
  </si>
  <si>
    <t>Where do you normally procure your seeds? 
[OPERATOR: MULTIPLE RESPONSES POSSIBLE.]
1)Own production
2)Purchased at market or agro-input shop
3)Purchased directly from seed company
4)Free distribution
5)Community seed banks / farmer networks / etc.
6)Government suppliers
7)Other
8)DON'T KNOW
9)REFUSED</t>
  </si>
  <si>
    <t>Où vous procurez-vous habituellement vos semences ?
[OPÉRATEUR/OPÉRATRICE: PLUSIEURS RÉPONSES POSSIBLES.]
1)Propre production
2)Achetées au marché ou dans un magasin d'intrants agricoles
3)Achetées directement à un semencier
4)Distribution gratuite
5)Banques de semences communautaires / réseaux d'agriculteurs / etc.
6)Fournisseurs étatiques 
7)Autre
8)NE SAIT PAS
9)REFUSÉ</t>
  </si>
  <si>
    <t>Form Type - Checklist
8,9 = IsNone</t>
  </si>
  <si>
    <r>
      <t xml:space="preserve">1-9 = </t>
    </r>
    <r>
      <rPr>
        <sz val="12"/>
        <color theme="4"/>
        <rFont val="Calibri"/>
        <family val="2"/>
        <scheme val="minor"/>
      </rPr>
      <t>crp_area_change</t>
    </r>
  </si>
  <si>
    <r>
      <t xml:space="preserve">if crp_seed_supply = 1-9, go to </t>
    </r>
    <r>
      <rPr>
        <i/>
        <sz val="12"/>
        <color theme="4"/>
        <rFont val="Calibri (Body)"/>
      </rPr>
      <t>crp_area_change</t>
    </r>
  </si>
  <si>
    <t>1-7 = crp_harv_change</t>
  </si>
  <si>
    <r>
      <t xml:space="preserve">if </t>
    </r>
    <r>
      <rPr>
        <i/>
        <sz val="12"/>
        <rFont val="Calibri"/>
        <family val="2"/>
        <scheme val="minor"/>
      </rPr>
      <t xml:space="preserve">crp_area_change </t>
    </r>
    <r>
      <rPr>
        <sz val="12"/>
        <rFont val="Calibri"/>
        <family val="2"/>
        <scheme val="minor"/>
      </rPr>
      <t xml:space="preserve">= 1-7, go to </t>
    </r>
    <r>
      <rPr>
        <i/>
        <sz val="12"/>
        <rFont val="Calibri"/>
        <family val="2"/>
        <scheme val="minor"/>
      </rPr>
      <t>crp_harv_change</t>
    </r>
  </si>
  <si>
    <t xml:space="preserve">Change question formulation +&amp; in options #2, 4 (col D) </t>
  </si>
  <si>
    <r>
      <t xml:space="preserve">1-7 = </t>
    </r>
    <r>
      <rPr>
        <sz val="12"/>
        <color theme="4"/>
        <rFont val="Calibri"/>
        <family val="2"/>
        <scheme val="minor"/>
      </rPr>
      <t>crp_proddif_1 OR crp_harv_vol</t>
    </r>
  </si>
  <si>
    <r>
      <t>if crp_harv_change = 1-7, go to</t>
    </r>
    <r>
      <rPr>
        <sz val="12"/>
        <color theme="4"/>
        <rFont val="Calibri"/>
        <family val="2"/>
        <scheme val="minor"/>
      </rPr>
      <t xml:space="preserve"> [crp_proddif_1 or crp_harv_vol]</t>
    </r>
  </si>
  <si>
    <t>yes - unlocked</t>
  </si>
  <si>
    <t xml:space="preserve">Change in question formulation &amp; options #2, 4 (col D) + col J </t>
  </si>
  <si>
    <t>crp_harv_vol</t>
  </si>
  <si>
    <r>
      <t xml:space="preserve">How much (threshed) #crp_main# </t>
    </r>
    <r>
      <rPr>
        <sz val="12"/>
        <color theme="1"/>
        <rFont val="Calibri"/>
        <family val="2"/>
        <scheme val="minor"/>
      </rPr>
      <t xml:space="preserve">did you </t>
    </r>
    <r>
      <rPr>
        <sz val="12"/>
        <rFont val="Calibri"/>
        <family val="2"/>
        <scheme val="minor"/>
      </rPr>
      <t>harvest this</t>
    </r>
    <r>
      <rPr>
        <b/>
        <sz val="12"/>
        <color rgb="FF7030A0"/>
        <rFont val="Calibri"/>
        <family val="2"/>
        <scheme val="minor"/>
      </rPr>
      <t xml:space="preserve"> $season$</t>
    </r>
    <r>
      <rPr>
        <sz val="12"/>
        <rFont val="Calibri"/>
        <family val="2"/>
        <scheme val="minor"/>
      </rPr>
      <t>?</t>
    </r>
    <r>
      <rPr>
        <b/>
        <sz val="12"/>
        <rFont val="Calibri"/>
        <family val="2"/>
        <scheme val="minor"/>
      </rPr>
      <t xml:space="preserve">
</t>
    </r>
    <r>
      <rPr>
        <sz val="12"/>
        <rFont val="Calibri"/>
        <family val="2"/>
        <scheme val="minor"/>
      </rPr>
      <t xml:space="preserve">
[OPERATOR: RECORD THE RESPONSE GIVEN. UNIT OF MEASUREMENT TO BE SPECIFIED IN NEXT QUESTION. ENTER </t>
    </r>
    <r>
      <rPr>
        <b/>
        <sz val="12"/>
        <rFont val="Calibri"/>
        <family val="2"/>
        <scheme val="minor"/>
      </rPr>
      <t>8888888</t>
    </r>
    <r>
      <rPr>
        <sz val="12"/>
        <rFont val="Calibri"/>
        <family val="2"/>
        <scheme val="minor"/>
      </rPr>
      <t xml:space="preserve"> FOR DON'T KNOW &amp; </t>
    </r>
    <r>
      <rPr>
        <b/>
        <sz val="12"/>
        <rFont val="Calibri"/>
        <family val="2"/>
        <scheme val="minor"/>
      </rPr>
      <t>9999999</t>
    </r>
    <r>
      <rPr>
        <sz val="12"/>
        <rFont val="Calibri"/>
        <family val="2"/>
        <scheme val="minor"/>
      </rPr>
      <t xml:space="preserve"> FOR REFUSED, TO BE USED RARELY - PROBE!]</t>
    </r>
  </si>
  <si>
    <r>
      <t xml:space="preserve">Quelle quantité (battue) de #crp_main# avez-vous récoltée cette </t>
    </r>
    <r>
      <rPr>
        <b/>
        <sz val="12"/>
        <color rgb="FF7030A0"/>
        <rFont val="Calibri"/>
        <family val="2"/>
        <scheme val="minor"/>
      </rPr>
      <t xml:space="preserve">$saison$ </t>
    </r>
    <r>
      <rPr>
        <sz val="12"/>
        <rFont val="Calibri"/>
        <family val="2"/>
        <scheme val="minor"/>
      </rPr>
      <t xml:space="preserve">?
[OPÉRATEUR/OPÉRATRICE:  ENREGISTRER LA RÉPONSE DONNÉE. L'UNITÉ DE MESURE DOIT ÊTRE SPÉCIFIÉE À LA QUESTION SUIVANTE. SAISIR </t>
    </r>
    <r>
      <rPr>
        <b/>
        <sz val="12"/>
        <rFont val="Calibri"/>
        <family val="2"/>
        <scheme val="minor"/>
      </rPr>
      <t>8888888</t>
    </r>
    <r>
      <rPr>
        <sz val="12"/>
        <rFont val="Calibri"/>
        <family val="2"/>
        <scheme val="minor"/>
      </rPr>
      <t xml:space="preserve"> POUR «NE SAIT PAS» ET 9999999 POUR «REFUSÉ», À UTILISER LE MOINS POSSIBLE - DEMANDER DES PRÉCISIONS!]</t>
    </r>
  </si>
  <si>
    <t>1-1000000 = crp_harv_unit
8888888-8888888 =  crp_harv_unit
9999999-9999999 =  crp_harv_unit</t>
  </si>
  <si>
    <r>
      <t xml:space="preserve">For any response, go to crp_harv_unit. For "Don't know" or "Refused", go to </t>
    </r>
    <r>
      <rPr>
        <sz val="12"/>
        <color theme="4"/>
        <rFont val="Calibri"/>
        <family val="2"/>
        <scheme val="minor"/>
      </rPr>
      <t>crp_proddif_1</t>
    </r>
  </si>
  <si>
    <t>Keep this block of questions together, if used.
S'il est utilisé, conserver ce bloc de questions ensemble.</t>
  </si>
  <si>
    <t>crp_harv_unit</t>
  </si>
  <si>
    <t>Unit of measurement for harvested #crp_main# :
[OPERATOR: SINGLE SELECTION]
1)Kilograms [kgs]
2)Tons
3)Ounces
4)Pounds
5)Bags
6)Boxes
7)Bundles
8)Packets
9)Other [specify]</t>
  </si>
  <si>
    <t>Unité de mesure pour la/le #crp_main# récolté(e) :
[OPÉRATEUR/OPÉRATRICE: RÉPONSE UNIQUE.]
1)Kilogrammes [kg]
2)Tonnes
3)Onces
4)Livres
5)Sacs
6)Boîtes
7)Fagots
8)Paquets
9)Autre [préciser]</t>
  </si>
  <si>
    <t>1-4 = crp_harv_lastyr
5-9 = crp_harv_unit_kg</t>
  </si>
  <si>
    <t>If crp_harv_unit = 1-4, go to crp_harv_lastyr
If crp_harv_unit = 5-9, go to crp_harv_unit_kg</t>
  </si>
  <si>
    <t>crp_harv_unit_kg</t>
  </si>
  <si>
    <r>
      <t xml:space="preserve">How many kilograms [kgs] in each unit?
[OPERATOR: RECORD THE AMOUNT GIVEN. ENTER </t>
    </r>
    <r>
      <rPr>
        <b/>
        <sz val="12"/>
        <rFont val="Calibri"/>
        <family val="2"/>
        <scheme val="minor"/>
      </rPr>
      <t>88888</t>
    </r>
    <r>
      <rPr>
        <sz val="12"/>
        <rFont val="Calibri"/>
        <family val="2"/>
        <scheme val="minor"/>
      </rPr>
      <t xml:space="preserve"> FOR DON'T KNOW &amp; </t>
    </r>
    <r>
      <rPr>
        <b/>
        <sz val="12"/>
        <rFont val="Calibri"/>
        <family val="2"/>
        <scheme val="minor"/>
      </rPr>
      <t>99999</t>
    </r>
    <r>
      <rPr>
        <sz val="12"/>
        <rFont val="Calibri"/>
        <family val="2"/>
        <scheme val="minor"/>
      </rPr>
      <t xml:space="preserve"> FOR REFUSED]</t>
    </r>
  </si>
  <si>
    <r>
      <t xml:space="preserve">Combien de kilogrammes [kg] chaque unité contient-elle ?
[OPÉRATEUR/OPÉRATRICE:  SAISIR LA QUANTITÉ ANNONCÉE. SAISIR </t>
    </r>
    <r>
      <rPr>
        <b/>
        <sz val="12"/>
        <rFont val="Calibri"/>
        <family val="2"/>
        <scheme val="minor"/>
      </rPr>
      <t>88888</t>
    </r>
    <r>
      <rPr>
        <sz val="12"/>
        <rFont val="Calibri"/>
        <family val="2"/>
        <scheme val="minor"/>
      </rPr>
      <t xml:space="preserve"> POUR «NE SAIT PAS» ET </t>
    </r>
    <r>
      <rPr>
        <b/>
        <sz val="12"/>
        <rFont val="Calibri"/>
        <family val="2"/>
        <scheme val="minor"/>
      </rPr>
      <t>99999</t>
    </r>
    <r>
      <rPr>
        <sz val="12"/>
        <rFont val="Calibri"/>
        <family val="2"/>
        <scheme val="minor"/>
      </rPr>
      <t xml:space="preserve"> POUR «REFUSÉ».]</t>
    </r>
  </si>
  <si>
    <r>
      <t xml:space="preserve">1-10000 = </t>
    </r>
    <r>
      <rPr>
        <sz val="12"/>
        <color theme="4"/>
        <rFont val="Calibri (Body)"/>
      </rPr>
      <t>crp_harv_lastyr</t>
    </r>
    <r>
      <rPr>
        <sz val="12"/>
        <rFont val="Calibri"/>
        <family val="2"/>
        <scheme val="minor"/>
      </rPr>
      <t xml:space="preserve">
88888-88888 =  </t>
    </r>
    <r>
      <rPr>
        <sz val="12"/>
        <color theme="4"/>
        <rFont val="Calibri (Body)"/>
      </rPr>
      <t>crp_harv_lastyr</t>
    </r>
    <r>
      <rPr>
        <sz val="12"/>
        <rFont val="Calibri"/>
        <family val="2"/>
        <scheme val="minor"/>
      </rPr>
      <t xml:space="preserve">
99999-99999 =  </t>
    </r>
    <r>
      <rPr>
        <sz val="12"/>
        <color theme="4"/>
        <rFont val="Calibri (Body)"/>
      </rPr>
      <t>crp_harv_lastyr</t>
    </r>
  </si>
  <si>
    <r>
      <t xml:space="preserve">For any response, go to </t>
    </r>
    <r>
      <rPr>
        <sz val="12"/>
        <color theme="4"/>
        <rFont val="Calibri (Body)"/>
      </rPr>
      <t>crp_harv_lastyr</t>
    </r>
  </si>
  <si>
    <t>resp_age = 18-100
(hh_agricactivity = 1 | 3) | (income_main_cropcheck = 1) | (income_sec_cropcheck = 1) | (income_third_cropcheck = 1) 
quotareached = 2
crp_main = 1-90
crp_harv_unit = 5-9</t>
  </si>
  <si>
    <t>crp_harv_lastyr</t>
  </si>
  <si>
    <t>How many #crp_harv_unit# of (threshed) #crp_main# did you harvest last year during the same season?
[OPERATOR: RECORD THE RESPONSE GIVEN. ENTER 8888888 FOR DON'T KNOW &amp; 9999999 FOR REFUSED, TO BE USED RARELY - PROBE!]</t>
  </si>
  <si>
    <t>Combien de #crp_harv_unit# de #crp_main# (battu) avez-vous récolté l'année dernière au cours de la même saison ?
[OPÉRATEUR/OPÉRATRICE: SAISIR LA RÉPONSE DONNÉE. ENTRER 8888888 POUR «NE SAIT PAS» ET 9999999 POUR «REFUSÉ», À UTILISER LE MOINS POSSIBLE - DEMANDER DES PRÉCISIONS!]</t>
  </si>
  <si>
    <r>
      <t>1-100000 =</t>
    </r>
    <r>
      <rPr>
        <sz val="12"/>
        <color theme="4"/>
        <rFont val="Calibri"/>
        <family val="2"/>
        <scheme val="minor"/>
      </rPr>
      <t xml:space="preserve"> crp_proddif_1</t>
    </r>
    <r>
      <rPr>
        <sz val="12"/>
        <rFont val="Calibri"/>
        <family val="2"/>
        <scheme val="minor"/>
      </rPr>
      <t xml:space="preserve">
8888888-8888888 = </t>
    </r>
    <r>
      <rPr>
        <sz val="12"/>
        <color theme="4"/>
        <rFont val="Calibri"/>
        <family val="2"/>
        <scheme val="minor"/>
      </rPr>
      <t>crp_proddif_1</t>
    </r>
    <r>
      <rPr>
        <sz val="12"/>
        <rFont val="Calibri"/>
        <family val="2"/>
        <scheme val="minor"/>
      </rPr>
      <t xml:space="preserve">
9999999-9999999 = </t>
    </r>
    <r>
      <rPr>
        <sz val="12"/>
        <color theme="4"/>
        <rFont val="Calibri"/>
        <family val="2"/>
        <scheme val="minor"/>
      </rPr>
      <t>crp_proddif_1</t>
    </r>
  </si>
  <si>
    <r>
      <t xml:space="preserve">For any response, go to </t>
    </r>
    <r>
      <rPr>
        <sz val="12"/>
        <color theme="4"/>
        <rFont val="Calibri"/>
        <family val="2"/>
        <scheme val="minor"/>
      </rPr>
      <t>crp_proddif_1</t>
    </r>
  </si>
  <si>
    <t>resp_age = 18-100
(hh_agricactivity = 1 | 3) | (income_main_cropcheck = 1) | (income_sec_cropcheck = 1) | (income_third_cropcheck = 1) 
quotareached = 2
crp_main = 1-66</t>
  </si>
  <si>
    <r>
      <t>Has your household faced any difficulty</t>
    </r>
    <r>
      <rPr>
        <sz val="12"/>
        <color rgb="FF00B050"/>
        <rFont val="Calibri"/>
        <family val="2"/>
        <scheme val="minor"/>
      </rPr>
      <t xml:space="preserve"> </t>
    </r>
    <r>
      <rPr>
        <b/>
        <sz val="12"/>
        <rFont val="Calibri"/>
        <family val="2"/>
        <scheme val="minor"/>
      </rPr>
      <t xml:space="preserve">in terms of crop production </t>
    </r>
    <r>
      <rPr>
        <sz val="12"/>
        <rFont val="Calibri"/>
        <family val="2"/>
        <scheme val="minor"/>
      </rPr>
      <t xml:space="preserve">in </t>
    </r>
    <r>
      <rPr>
        <b/>
        <sz val="12"/>
        <color rgb="FF7030A0"/>
        <rFont val="Calibri"/>
        <family val="2"/>
        <scheme val="minor"/>
      </rPr>
      <t>$season$</t>
    </r>
    <r>
      <rPr>
        <sz val="12"/>
        <rFont val="Calibri"/>
        <family val="2"/>
        <scheme val="minor"/>
      </rPr>
      <t>?
[OPERATOR: SINGLE RESPONSE.]
1)YES
2)NO
3)DON'T KNOW
4)REFUSED</t>
    </r>
  </si>
  <si>
    <r>
      <t>Votre ménage a-t-il rencontré des difficultés en matière de production végétale au cours de</t>
    </r>
    <r>
      <rPr>
        <b/>
        <sz val="12"/>
        <color rgb="FF7030A0"/>
        <rFont val="Calibri"/>
        <family val="2"/>
        <scheme val="minor"/>
      </rPr>
      <t xml:space="preserve"> $saison$ </t>
    </r>
    <r>
      <rPr>
        <sz val="12"/>
        <rFont val="Calibri"/>
        <family val="2"/>
        <scheme val="minor"/>
      </rPr>
      <t>?
[OPÉRATEUR/OPÉRATRICE: RÉPONSE UNIQUE.]
1)Oui
2)Non
3)NE SAIT PAS
4)REFUSÉ</t>
    </r>
  </si>
  <si>
    <r>
      <t>1 = crp_proddif_2
2-4 = [</t>
    </r>
    <r>
      <rPr>
        <sz val="12"/>
        <color theme="4"/>
        <rFont val="Calibri"/>
        <family val="2"/>
        <scheme val="minor"/>
      </rPr>
      <t>crp_salesmain</t>
    </r>
    <r>
      <rPr>
        <sz val="12"/>
        <rFont val="Calibri"/>
        <family val="2"/>
        <scheme val="minor"/>
      </rPr>
      <t xml:space="preserve"> or </t>
    </r>
    <r>
      <rPr>
        <sz val="12"/>
        <color theme="4"/>
        <rFont val="Calibri"/>
        <family val="2"/>
        <scheme val="minor"/>
      </rPr>
      <t>optional question</t>
    </r>
    <r>
      <rPr>
        <sz val="12"/>
        <rFont val="Calibri"/>
        <family val="2"/>
        <scheme val="minor"/>
      </rPr>
      <t>]</t>
    </r>
  </si>
  <si>
    <r>
      <t xml:space="preserve">if crp_proddif_1 = 1, go to crp_proddif_2 ; 
if crp_proddif_1 = 2-4, go to </t>
    </r>
    <r>
      <rPr>
        <sz val="12"/>
        <color theme="4"/>
        <rFont val="Calibri"/>
        <family val="2"/>
        <scheme val="minor"/>
      </rPr>
      <t>[crp_salesmain or crp_storage OR crp_all]</t>
    </r>
  </si>
  <si>
    <t>crp_proddif_
1) crp_proddif_plantdisease
2) crp_proddif_seedquality
3) crp_proddif_lostordamaged
4) crp_proddif_naplot
5) crp_proddif_nafertilizer
6) crp_proddif_naseeds
7) crp_proddif_nainsecticides
8) crp_proddif_nalabour
9) crp_proddif_namachinery
10) crp_proddif_nafuelorelect
11) crp_proddif_soilerosion
12) crp_proddif_irrigation
13) crp_proddif_other
14) crp_proddif_dk
15) crp_proddif_ref</t>
  </si>
  <si>
    <r>
      <t>Which difficulties has your household faced with crop production in</t>
    </r>
    <r>
      <rPr>
        <b/>
        <sz val="12"/>
        <color rgb="FF7030A0"/>
        <rFont val="Calibri"/>
        <family val="2"/>
        <scheme val="minor"/>
      </rPr>
      <t xml:space="preserve"> $season$</t>
    </r>
    <r>
      <rPr>
        <sz val="12"/>
        <rFont val="Calibri"/>
        <family val="2"/>
        <scheme val="minor"/>
      </rPr>
      <t>?
[OPERATOR: MULTIPLE RESPONSES POSSIBLE. SELECT OPTION(S) THAT BEST FIT THE INFORMATION PROVIDED BY THE RESPONDENTS.]
1)Plant disease
2)Low quality of seeds</t>
    </r>
    <r>
      <rPr>
        <sz val="12"/>
        <color theme="1"/>
        <rFont val="Calibri"/>
        <family val="2"/>
        <scheme val="minor"/>
      </rPr>
      <t xml:space="preserve">
3)Crop damage [e.g. by pests, animals or bandits] other than plant disease during growing season
4)Access to plot
5)Access to fertilizer [not available on markets or prices too high]
6)Access to enough seeds [not available on markets or prices too high]</t>
    </r>
    <r>
      <rPr>
        <sz val="12"/>
        <rFont val="Calibri"/>
        <family val="2"/>
        <scheme val="minor"/>
      </rPr>
      <t xml:space="preserve">
7)Access to insecticides 
8)Access to labour or manpower
9)Access to machinery, tools or animals for ploughing
10)Access to fuel or electricity to power agricultural equipment
11)Soil erosion
12)Not enough irrigation or rainfall water
13)Other
14)DON'T KNOW
15)REFUSED</t>
    </r>
  </si>
  <si>
    <r>
      <t xml:space="preserve">Quelles difficultés votre ménage a-t-il rencontrées dans la production végétale au cours de </t>
    </r>
    <r>
      <rPr>
        <b/>
        <sz val="12"/>
        <color rgb="FF7030A0"/>
        <rFont val="Calibri"/>
        <family val="2"/>
        <scheme val="minor"/>
      </rPr>
      <t xml:space="preserve">$saison$ </t>
    </r>
    <r>
      <rPr>
        <sz val="12"/>
        <rFont val="Calibri"/>
        <family val="2"/>
        <scheme val="minor"/>
      </rPr>
      <t>?
[OPÉRATEUR/OPÉRATRICE: PLUSIEURS RÉPONSES POSSIBLES. SÉLECTIONNER LES OPTIONS QUI CORRESPONDENT LE MIEUX AUX INFORMATIONS PROPOSÉES PAR LE RÉPONDANT.]
1)Maladie des plantes
2)Mauvaise qualité des semences
3)Dommages aux cultures [causés par exemple par des parasites, des animaux ou des malfaiteurs] autres que les maladies des plantes pendant la période de végétation
4)Accès à la parcelle
5)Accès aux engrais [non disponibles sur les marchés ou prix trop élevés]
6)Accès à suffisamment de semences [non disponibles sur les marchés ou prix trop élevés]
7)Accès aux insecticides
8)Accès à de la main-d'œuvre supplémentaire
9)Accès aux machines
10)Accès au carburant ou à l'électricité pour alimenter les équipements agricoles
11)Érosion des sols
12)Eau d'irrigation ou pluie insuffisante
13)Autre
14)NE SAIT PAS
15)REFUSÉ</t>
    </r>
  </si>
  <si>
    <t>Form Type - Checklist
14,15 = IsNone</t>
  </si>
  <si>
    <r>
      <t>1-15 = [</t>
    </r>
    <r>
      <rPr>
        <sz val="12"/>
        <color theme="4"/>
        <rFont val="Calibri"/>
        <family val="2"/>
        <scheme val="minor"/>
      </rPr>
      <t xml:space="preserve">crp_salesmain </t>
    </r>
    <r>
      <rPr>
        <sz val="12"/>
        <rFont val="Calibri"/>
        <family val="2"/>
        <scheme val="minor"/>
      </rPr>
      <t>OR</t>
    </r>
    <r>
      <rPr>
        <sz val="12"/>
        <color theme="4"/>
        <rFont val="Calibri"/>
        <family val="2"/>
        <scheme val="minor"/>
      </rPr>
      <t xml:space="preserve"> optional question</t>
    </r>
    <r>
      <rPr>
        <sz val="12"/>
        <rFont val="Calibri"/>
        <family val="2"/>
        <scheme val="minor"/>
      </rPr>
      <t>]</t>
    </r>
  </si>
  <si>
    <r>
      <t>if crp_proddif_2 = 1-15, go to</t>
    </r>
    <r>
      <rPr>
        <sz val="12"/>
        <color theme="4"/>
        <rFont val="Calibri"/>
        <family val="2"/>
        <scheme val="minor"/>
      </rPr>
      <t xml:space="preserve"> [crp_salesmain OR crp_storage OR crp_all]</t>
    </r>
  </si>
  <si>
    <t>resp_age = 18-100
(hh_agricactivity = 1 | 3) | (income_main_cropcheck = 1) | (income_sec_cropcheck = 1) | (income_third_cropcheck = 1) 
quotareached = 2
crp_proddif_1 =  1</t>
  </si>
  <si>
    <t>Change in options #3, 9
Change skip pattern according to new question</t>
  </si>
  <si>
    <t>crp_storage</t>
  </si>
  <si>
    <t xml:space="preserve">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parsley, mint, rocca, other)" Or "crp_main" "Equals" "Cauliflower" Or "crp_main" "Equals" "Other leafy vegetables" Or "crp_main" "Equals" "Tomatoes" Or "crp_main" "Equals" "Cucumber" Or "crp_main" "Equals" "Pumpkin" Or "crp_main" "Equals" "Eggplant/aubergine" Or "crp_main" "Equals" "Zucchini" Or "crp_main" "Equals" "Okra" Or "crp_main" "Equals"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crp_salesmain. </t>
  </si>
  <si>
    <r>
      <t xml:space="preserve">1-8 = </t>
    </r>
    <r>
      <rPr>
        <sz val="12"/>
        <color theme="4"/>
        <rFont val="Calibri"/>
        <family val="2"/>
        <scheme val="minor"/>
      </rPr>
      <t>crp_salesmain</t>
    </r>
    <r>
      <rPr>
        <sz val="12"/>
        <rFont val="Calibri"/>
        <family val="2"/>
        <scheme val="minor"/>
      </rPr>
      <t xml:space="preserve"> or </t>
    </r>
    <r>
      <rPr>
        <sz val="12"/>
        <color theme="4"/>
        <rFont val="Calibri"/>
        <family val="2"/>
        <scheme val="minor"/>
      </rPr>
      <t>crp_all</t>
    </r>
  </si>
  <si>
    <r>
      <rPr>
        <i/>
        <sz val="12"/>
        <rFont val="Calibri"/>
        <family val="2"/>
        <scheme val="minor"/>
      </rPr>
      <t xml:space="preserve">if the respondent has listed any crop as a main crop, they will be administered this question. If not, they will be sent to the crop marketing module, since the rest of the questions reference the main crop specifically in the question text. 
</t>
    </r>
    <r>
      <rPr>
        <sz val="12"/>
        <rFont val="Calibri"/>
        <family val="2"/>
        <scheme val="minor"/>
      </rPr>
      <t xml:space="preserve">
if crp_storage =  1-8, go to </t>
    </r>
    <r>
      <rPr>
        <sz val="12"/>
        <color theme="4"/>
        <rFont val="Calibri"/>
        <family val="2"/>
        <scheme val="minor"/>
      </rPr>
      <t>crp_salesmain or crp_all</t>
    </r>
  </si>
  <si>
    <t>crp_all</t>
  </si>
  <si>
    <r>
      <t>crp_all_</t>
    </r>
    <r>
      <rPr>
        <sz val="12"/>
        <color theme="4"/>
        <rFont val="Calibri"/>
        <family val="2"/>
        <scheme val="minor"/>
      </rPr>
      <t>[name of crop as per crop list]</t>
    </r>
  </si>
  <si>
    <t>Do you cultivate any other crops aside from #crp_main#, and if so which ones?
[OPERATOR: "No other crop" APPEARS AT THE END OF THE LIST OF OPTIONS. SELECT ALL CROPS LISTED BY THE RESPONDENT.]
1)No other crops
2)DON'T KNOW
3)REFUSED</t>
  </si>
  <si>
    <t>Pratiquez-vous d'autres cultures en dehors de #crp_main# , et si oui, lesquelles ?
[OPERATEUR /OPÉRATRICE: "Pas d'autre culture" FIGURE DANS LES DERNIÈRES OPTIONS DE RÉPONSE. SÉLECTIONNER TOUTES LES CULTURES LISTÉES PAR LE RÉPONDANT.]
1)Pas d'autre culture
2)NE SAIT PAS
3)REFUSÉ</t>
  </si>
  <si>
    <t>Form Type - Checklist
Included unselected "crp_main"
Add 1,2&amp;3 manually
1,2,3= IsNone</t>
  </si>
  <si>
    <r>
      <t xml:space="preserve">Dynamics = </t>
    </r>
    <r>
      <rPr>
        <b/>
        <sz val="12"/>
        <color theme="4"/>
        <rFont val="Calibri"/>
        <family val="2"/>
        <scheme val="minor"/>
      </rPr>
      <t xml:space="preserve">crp_salesmain
</t>
    </r>
    <r>
      <rPr>
        <sz val="12"/>
        <rFont val="Calibri"/>
        <family val="2"/>
        <scheme val="minor"/>
      </rPr>
      <t>1-3 =</t>
    </r>
    <r>
      <rPr>
        <b/>
        <sz val="12"/>
        <color theme="4"/>
        <rFont val="Calibri"/>
        <family val="2"/>
        <scheme val="minor"/>
      </rPr>
      <t xml:space="preserve"> crp_salesmain</t>
    </r>
  </si>
  <si>
    <r>
      <rPr>
        <sz val="12"/>
        <rFont val="Calibri"/>
        <family val="2"/>
        <scheme val="minor"/>
      </rPr>
      <t xml:space="preserve">For any response to crp_all, go to </t>
    </r>
    <r>
      <rPr>
        <b/>
        <i/>
        <sz val="12"/>
        <color theme="4"/>
        <rFont val="Calibri"/>
        <family val="2"/>
        <scheme val="minor"/>
      </rPr>
      <t>crp_salesmain</t>
    </r>
  </si>
  <si>
    <t xml:space="preserve">resp_age = 18-100
(hh_agricactivity = 1 | 3) | (income_main_cropcheck = 1) | (income_sec_cropcheck = 1) | (income_third_cropcheck = 1) 
quotareached = 2
crp_all = 1 </t>
  </si>
  <si>
    <t>D. CROP MARKETING</t>
  </si>
  <si>
    <t>crp_salesmain</t>
  </si>
  <si>
    <r>
      <t xml:space="preserve">What has been the main crop that you have sold over the </t>
    </r>
    <r>
      <rPr>
        <b/>
        <sz val="12"/>
        <color theme="1"/>
        <rFont val="Calibri"/>
        <family val="2"/>
        <scheme val="minor"/>
      </rPr>
      <t>last 3 months</t>
    </r>
    <r>
      <rPr>
        <sz val="12"/>
        <color theme="1"/>
        <rFont val="Calibri"/>
        <family val="2"/>
        <scheme val="minor"/>
      </rPr>
      <t xml:space="preserve">?
[OPERATOR: "No crop sold in the last 3 months" APPEARS AT THE END OF THE LIST OF OPTIONS. SELECT ALL CROPS LISTED BY THE RESPONDENT.]
</t>
    </r>
    <r>
      <rPr>
        <b/>
        <sz val="12"/>
        <color rgb="FF7030A0"/>
        <rFont val="Calibri (Body)"/>
      </rPr>
      <t xml:space="preserve">
$CROPS SOLD$</t>
    </r>
  </si>
  <si>
    <r>
      <t xml:space="preserve">Quelle a été la principale récolte que vous avez vendue au cours des </t>
    </r>
    <r>
      <rPr>
        <b/>
        <sz val="12"/>
        <rFont val="Calibri"/>
        <family val="2"/>
        <scheme val="minor"/>
      </rPr>
      <t>3 derniers mois</t>
    </r>
    <r>
      <rPr>
        <sz val="12"/>
        <rFont val="Calibri"/>
        <family val="2"/>
        <scheme val="minor"/>
      </rPr>
      <t xml:space="preserve"> ?
[OPERATEUR /OPÉRATRICE: "Pas de culture vendue sur les 3 derniers mois" FIGURE DANS LES DERNIÈRES OPTIONS DE RÉPONSE. SÉLECTIONNER TOUTES LES CULTURES LISTÉES PAR LE RÉPONDANT.]
</t>
    </r>
    <r>
      <rPr>
        <b/>
        <sz val="12"/>
        <rFont val="Calibri"/>
        <family val="2"/>
        <scheme val="minor"/>
      </rPr>
      <t xml:space="preserve">
</t>
    </r>
    <r>
      <rPr>
        <b/>
        <sz val="12"/>
        <color rgb="FF7030A0"/>
        <rFont val="Calibri (Body)"/>
      </rPr>
      <t>$CROPS SOLD FR$</t>
    </r>
  </si>
  <si>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</si>
  <si>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r>
      <rPr>
        <sz val="12"/>
        <color theme="4"/>
        <rFont val="Calibri (Body)"/>
      </rPr>
      <t xml:space="preserve">1-90 </t>
    </r>
    <r>
      <rPr>
        <sz val="12"/>
        <rFont val="Calibri"/>
        <family val="2"/>
        <scheme val="minor"/>
      </rPr>
      <t xml:space="preserve">= crp_salesdif_1
</t>
    </r>
    <r>
      <rPr>
        <sz val="12"/>
        <color theme="4"/>
        <rFont val="Calibri (Body)"/>
      </rPr>
      <t>91-93</t>
    </r>
    <r>
      <rPr>
        <sz val="12"/>
        <rFont val="Calibri"/>
        <family val="2"/>
        <scheme val="minor"/>
      </rPr>
      <t xml:space="preserve"> = ls_intro</t>
    </r>
  </si>
  <si>
    <r>
      <t xml:space="preserve">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t>
    </r>
    <r>
      <rPr>
        <i/>
        <sz val="12"/>
        <rFont val="Calibri"/>
        <family val="2"/>
        <scheme val="minor"/>
      </rPr>
      <t xml:space="preserve">crp_salesdif_1
</t>
    </r>
    <r>
      <rPr>
        <sz val="12"/>
        <rFont val="Calibri"/>
        <family val="2"/>
        <scheme val="minor"/>
      </rPr>
      <t xml:space="preserve">If "No crop sold" or "Don't know" or "Refused", go to </t>
    </r>
    <r>
      <rPr>
        <i/>
        <sz val="12"/>
        <rFont val="Calibri"/>
        <family val="2"/>
        <scheme val="minor"/>
      </rPr>
      <t>ls_intro</t>
    </r>
  </si>
  <si>
    <t>resp_age = 18-100
hh_agricactivity = 1 | 2 | 3 | 4
(income_main = 1 | 2 | 3) | (income_sec = 1 | 2 | 3) | (income_third =  1 | 2 | 3) 
quotareached = 2</t>
  </si>
  <si>
    <r>
      <t>Has your household faced any difficulty in the last 3 months in</t>
    </r>
    <r>
      <rPr>
        <b/>
        <sz val="12"/>
        <rFont val="Calibri"/>
        <family val="2"/>
        <scheme val="minor"/>
      </rPr>
      <t xml:space="preserve"> selling </t>
    </r>
    <r>
      <rPr>
        <sz val="12"/>
        <rFont val="Calibri"/>
        <family val="2"/>
        <scheme val="minor"/>
      </rPr>
      <t>your #crp_salesmain#?
[OPERATOR: SINGLE RESPONSE.]
1)YES
2)NO
3)DON'T KNOW
4)REFUSED</t>
    </r>
  </si>
  <si>
    <r>
      <t>Au cours des trois derniers mois, votre ménage a-t-il rencontré des difficultés pour</t>
    </r>
    <r>
      <rPr>
        <b/>
        <sz val="12"/>
        <rFont val="Calibri"/>
        <family val="2"/>
        <scheme val="minor"/>
      </rPr>
      <t xml:space="preserve"> vendre</t>
    </r>
    <r>
      <rPr>
        <sz val="12"/>
        <rFont val="Calibri"/>
        <family val="2"/>
        <scheme val="minor"/>
      </rPr>
      <t xml:space="preserve"> ses #crp_salesmain# ?
[OPÉRATEUR/OPÉRATRICE: RÉPONSE UNIQUE.]
1)Oui
2)Non
3)NE SAIT PAS
4)REFUSÉ</t>
    </r>
  </si>
  <si>
    <t>1 = crp_salesdif_2
2-4 = crp_salesprice</t>
  </si>
  <si>
    <r>
      <t xml:space="preserve">if </t>
    </r>
    <r>
      <rPr>
        <i/>
        <sz val="12"/>
        <rFont val="Calibri"/>
        <family val="2"/>
        <scheme val="minor"/>
      </rPr>
      <t>crp_salesdif_1</t>
    </r>
    <r>
      <rPr>
        <sz val="12"/>
        <rFont val="Calibri"/>
        <family val="2"/>
        <scheme val="minor"/>
      </rPr>
      <t xml:space="preserve"> = 1, go to </t>
    </r>
    <r>
      <rPr>
        <i/>
        <sz val="12"/>
        <rFont val="Calibri"/>
        <family val="2"/>
        <scheme val="minor"/>
      </rPr>
      <t>crp_salesdif_2</t>
    </r>
    <r>
      <rPr>
        <sz val="12"/>
        <rFont val="Calibri"/>
        <family val="2"/>
        <scheme val="minor"/>
      </rPr>
      <t xml:space="preserve"> ; 
if </t>
    </r>
    <r>
      <rPr>
        <i/>
        <sz val="12"/>
        <rFont val="Calibri"/>
        <family val="2"/>
        <scheme val="minor"/>
      </rPr>
      <t>crp_salesdif_1</t>
    </r>
    <r>
      <rPr>
        <sz val="12"/>
        <rFont val="Calibri"/>
        <family val="2"/>
        <scheme val="minor"/>
      </rPr>
      <t xml:space="preserve"> = 2-4, go to </t>
    </r>
    <r>
      <rPr>
        <i/>
        <sz val="12"/>
        <rFont val="Calibri"/>
        <family val="2"/>
        <scheme val="minor"/>
      </rPr>
      <t>crp_salesprice</t>
    </r>
  </si>
  <si>
    <t>resp_age = 18-100
hh_agricactivity = 1 | 2 | 3 | 4
(income_main = 1 | 2 | 3) | (income_sec = 1 | 2 | 3) | (income_third =  1 | 2 | 3) 
quotareached = 2
crp_salesmain = 1-90</t>
  </si>
  <si>
    <t>col H conditional</t>
  </si>
  <si>
    <t>crp_saledif_
1) crp_saledif_marketing_cost
2) crp_saledif_damagelosses
3) crp_saledif_lowdemand
4) crp_saledif_lowprice
5) crp_saledif_dif_processing
6) crp_saledif_other
7) crp_saledif_dk
8) crp_saledif_ref</t>
  </si>
  <si>
    <t>Which difficulties has your household faced in the last 3 months when selling your  #crp_salesmain#?
[OPERATOR: MULTIPLE RESPONSES POSSIBLE. SELECT OPTION(S) THAT BEST FIT THE INFORMATION PROVIDED BY THE RESPONDENTS.]
1)High transportation or other marketing costs
2)Difficulty accessing the market [e.g. insecurity, closure due to COVID-19 restrictions, etc.]
3)Usual traders or local customers are not buying as much as usual / payment delays
4)Low selling prices [e.g. compared to input prices / inflation]
5)Difficulty processing product [lack of processing inputs / equipment / etc]
6)Other
7)DON'T KNOW
8)REFUSED</t>
  </si>
  <si>
    <t>Quelles difficultés votre ménage a-t-il rencontrées au cours des trois derniers mois pour vendre ses cultures principales,  #crp_salesmain# ?
[OPÉRATEUR/OPÉRATRICE: PLUSIEURS RÉPONSES POSSIBLES. SÉLECTIONNER LA OU LES OPTIONS QUI CORRESPONDENT LE MIEUX AUX INFORMATIONS PROPOSÉES PAR LE RÉPONDANT.]
1)Coûts de transport ou autres coûts de commercialisation élevés
2)Difficultés d'accès au marché [par exemple, insécurité, fermetures dues aux restrictions liées à la covid-19, etc.]
3)Les commerçants habituels ou les clients locaux n'achètent pas autant que d'habitude / retards de paiement
4)Faible prix de vente [par exemple, par rapport aux prix des intrants / inflation] 
5)Difficulté de transformation de la production [manque d'intrants / d'équipements de transformation / etc.]
6)Autre
7)NE SAIT PAS
8)REFUSÉ</t>
  </si>
  <si>
    <t>Form Type - Checklist
7,8 = IsNone</t>
  </si>
  <si>
    <t>1-8 = crp_salesprice</t>
  </si>
  <si>
    <r>
      <t xml:space="preserve">if </t>
    </r>
    <r>
      <rPr>
        <i/>
        <sz val="12"/>
        <rFont val="Calibri"/>
        <family val="2"/>
        <scheme val="minor"/>
      </rPr>
      <t>crp_salesdif_2</t>
    </r>
    <r>
      <rPr>
        <sz val="12"/>
        <rFont val="Calibri"/>
        <family val="2"/>
        <scheme val="minor"/>
      </rPr>
      <t xml:space="preserve"> = 1-8, go to </t>
    </r>
    <r>
      <rPr>
        <i/>
        <sz val="12"/>
        <rFont val="Calibri"/>
        <family val="2"/>
        <scheme val="minor"/>
      </rPr>
      <t>crp_salesprice</t>
    </r>
  </si>
  <si>
    <t>resp_age = 18-100
hh_agricactivity = 1 | 2 | 3 | 4
(income_main = 1 | 2 | 3) | (income_sec = 1 | 2 | 3) | (income_third =  1 | 2 | 3) 
quotareached = 2
crp_salesmain = 1-90
crp_salesdif = 1</t>
  </si>
  <si>
    <t>Change in options #1, 2, 3, 4 (col D)</t>
  </si>
  <si>
    <r>
      <t xml:space="preserve">1-7 = </t>
    </r>
    <r>
      <rPr>
        <b/>
        <sz val="12"/>
        <color rgb="FF0070C0"/>
        <rFont val="Calibri"/>
        <family val="2"/>
        <scheme val="minor"/>
      </rPr>
      <t xml:space="preserve">ls_intro </t>
    </r>
  </si>
  <si>
    <r>
      <t xml:space="preserve">if </t>
    </r>
    <r>
      <rPr>
        <i/>
        <sz val="12"/>
        <rFont val="Calibri"/>
        <family val="2"/>
        <scheme val="minor"/>
      </rPr>
      <t xml:space="preserve">crp_salesprice </t>
    </r>
    <r>
      <rPr>
        <sz val="12"/>
        <rFont val="Calibri"/>
        <family val="2"/>
        <scheme val="minor"/>
      </rPr>
      <t>= 1-7, go to</t>
    </r>
    <r>
      <rPr>
        <i/>
        <sz val="12"/>
        <color theme="4"/>
        <rFont val="Calibri"/>
        <family val="2"/>
        <scheme val="minor"/>
      </rPr>
      <t xml:space="preserve"> ls_intro</t>
    </r>
  </si>
  <si>
    <t xml:space="preserve">Change in options #2, 4 (col D) </t>
  </si>
  <si>
    <t>E. LIVESTOCK PRODUCTION</t>
  </si>
  <si>
    <t>ls_intro</t>
  </si>
  <si>
    <t>We will now ask you some questions about livestock production which apply to you and anyone in your household that is involved in livestock production or sales. 
1)CONTINUE</t>
  </si>
  <si>
    <t>Nous allons maintenant vous poser quelques questions sur la production animale. Ces questions  s'appliquent à vous et à toute personne de votre ménage impliquée dans la production ou la vente de bétail. 
1)CONTINUER</t>
  </si>
  <si>
    <t>Send if "hh_agricactivity" "Equals" "Yes - livestock production" Or "hh_agricactivity" "Equals" "Yes - both crop and livestock production" Or "income_main_lscheck" "Equals" "YES" Or "income_sec_lscheck" "Equals" "YES Or "income_third_lscheck" "Equals" "YES", if not satisfied go to "ls_salesmain"</t>
  </si>
  <si>
    <t>1 = ls_main</t>
  </si>
  <si>
    <r>
      <t xml:space="preserve">If </t>
    </r>
    <r>
      <rPr>
        <i/>
        <sz val="12"/>
        <rFont val="Calibri"/>
        <family val="2"/>
        <scheme val="minor"/>
      </rPr>
      <t>hh_agricactivity</t>
    </r>
    <r>
      <rPr>
        <sz val="12"/>
        <rFont val="Calibri"/>
        <family val="2"/>
        <scheme val="minor"/>
      </rPr>
      <t xml:space="preserve"> = "Yes - livestock production" </t>
    </r>
    <r>
      <rPr>
        <u/>
        <sz val="12"/>
        <rFont val="Calibri"/>
        <family val="2"/>
        <scheme val="minor"/>
      </rPr>
      <t>or</t>
    </r>
    <r>
      <rPr>
        <sz val="12"/>
        <rFont val="Calibri"/>
        <family val="2"/>
        <scheme val="minor"/>
      </rPr>
      <t xml:space="preserve"> "Yes - both crop and livestock production" </t>
    </r>
    <r>
      <rPr>
        <u/>
        <sz val="12"/>
        <rFont val="Calibri"/>
        <family val="2"/>
        <scheme val="minor"/>
      </rPr>
      <t>or</t>
    </r>
    <r>
      <rPr>
        <sz val="12"/>
        <rFont val="Calibri"/>
        <family val="2"/>
        <scheme val="minor"/>
      </rPr>
      <t xml:space="preserve"> if they reported production and sales of livestocks in one of the three main income sources and confirmed that they are involved in production, then this section will be administered to respondents.
Otherwise, skip to </t>
    </r>
    <r>
      <rPr>
        <i/>
        <sz val="12"/>
        <rFont val="Calibri"/>
        <family val="2"/>
        <scheme val="minor"/>
      </rPr>
      <t>ls_salesmain.</t>
    </r>
  </si>
  <si>
    <t>resp_age = 18-100
(hh_agricactivity = 1 | 3) | (income_main_lscheck = 1) | (income_sec_lscheck = 1) | (income_third_lscheck = 1) 
quotareached = 2</t>
  </si>
  <si>
    <t>What has been the main animal your household raised for food and income generation in the last 12 months?
[OPERATOR: SINGLE RESPONSE. ASK ABOUT THE MOST IMPORTANT ANIMAL ONLY.] [HINT: DON'T FORGET TO PROBE ABOUT TRANSHUMANCE - MOVING LIVESTOCK FROM ONE GRAZING GROUND TO ANOTHER.]
1)Cattle [cow / beef / veal / yak / buffalo]
2)Goats
3)Sheep
4)Swine [pig / boar / hog / etc]
5)Equine [donkey / horse / etc]
6)Small domesticated mammals [rabbits / minks / guinea pigs / etc]
7)Poultry [chicken / guineafowl / duck / quail / turkey / etc]
8)Camelids
9)Other
10)DON'T KNOW
11)REFUSED</t>
  </si>
  <si>
    <t>Quel  animal votre ménage a-t-il principalement élevé pour se nourrir et générer des revenus au cours des 12 derniers mois ?
[OPÉRATEUR/OPÉRATRICE: RÉPONSE UNIQUE. NE RETENIR QUE L'ANIMAL PRINCIPAL.]
[CONSEIL: N'OUBLIEZ PAS DE POSER DES QUESTIONS SUR LA TRANSHUMANCE - LE DÉPLACEMENT DU BÉTAIL D'UN PÂTURAGE À UN AUTRE.]
1)Bovins [vache / bœuf / veau / yak / buffle]
2)Chèvres
3)Moutons
4)Porcins [cochon / sanglier / porc / etc.]
5)Équidés [âne / cheval / etc]
6)Petits mammifères domestiques [lapins / visons / cochons d'Inde / etc.]
7)Volaille [poulets / pintades / canards / cailles / dindes / etc.]
8)Camélidés
9)Autre
10)NE SAIT PAS
11)REFUSÉ</t>
  </si>
  <si>
    <t>Form Type - RadioList
set demographic</t>
  </si>
  <si>
    <t>1-9 = ls_num_lastyr
10-11 = ls_proddif_1</t>
  </si>
  <si>
    <r>
      <t xml:space="preserve">if </t>
    </r>
    <r>
      <rPr>
        <i/>
        <sz val="12"/>
        <rFont val="Calibri"/>
        <family val="2"/>
        <scheme val="minor"/>
      </rPr>
      <t xml:space="preserve">ls_main </t>
    </r>
    <r>
      <rPr>
        <sz val="12"/>
        <rFont val="Calibri"/>
        <family val="2"/>
        <scheme val="minor"/>
      </rPr>
      <t xml:space="preserve">= 1-9, go to </t>
    </r>
    <r>
      <rPr>
        <i/>
        <sz val="12"/>
        <rFont val="Calibri"/>
        <family val="2"/>
        <scheme val="minor"/>
      </rPr>
      <t xml:space="preserve">ls_num_lastyr ; </t>
    </r>
    <r>
      <rPr>
        <sz val="12"/>
        <rFont val="Calibri"/>
        <family val="2"/>
        <scheme val="minor"/>
      </rPr>
      <t xml:space="preserve">
If </t>
    </r>
    <r>
      <rPr>
        <i/>
        <sz val="12"/>
        <rFont val="Calibri"/>
        <family val="2"/>
        <scheme val="minor"/>
      </rPr>
      <t>ls_main</t>
    </r>
    <r>
      <rPr>
        <sz val="12"/>
        <rFont val="Calibri"/>
        <family val="2"/>
        <scheme val="minor"/>
      </rPr>
      <t xml:space="preserve"> = 10-11, go to </t>
    </r>
    <r>
      <rPr>
        <i/>
        <sz val="12"/>
        <rFont val="Calibri"/>
        <family val="2"/>
        <scheme val="minor"/>
      </rPr>
      <t>ls_proddif_1</t>
    </r>
  </si>
  <si>
    <t>Change in option #7 (col D)</t>
  </si>
  <si>
    <t>How many #ls_main# did you have at the same time last year?
[OPERATOR: RECORD THE NUMBER OF ANIMALS. ENTER 88888 FOR DON'T KNOW AND 99999 FOR REFUSED.]</t>
  </si>
  <si>
    <t>Form Type - TextBox
demographic</t>
  </si>
  <si>
    <t>0-10000 = ls_num_now
88888-88888 = ls_num_now
99999-99999 = ls_num_now</t>
  </si>
  <si>
    <r>
      <t xml:space="preserve">answers can range from 0-10000; any response goes to </t>
    </r>
    <r>
      <rPr>
        <i/>
        <sz val="12"/>
        <rFont val="Calibri"/>
        <family val="2"/>
        <scheme val="minor"/>
      </rPr>
      <t>ls_num_now</t>
    </r>
  </si>
  <si>
    <t>resp_age = 18-100
(hh_agricactivity = 1 | 3) | (income_main_lscheck = 1) | (income_sec_lscheck = 1) | (income_third_lscheck = 1) 
quotareached = 2
ls_main = 1-9</t>
  </si>
  <si>
    <t>How many #ls_main# do you have now?
[OPERATOR: RECORD THE NUMBER OF ANIMALS. ENTER 88888 FOR DON'T KNOW AND 99999 FOR REFUSED.]</t>
  </si>
  <si>
    <t>Combien de #ls_main# avez-vous maintenant ?
[OPÉRATEUR/OPÉRATRICE: SAISIR LE NOMBRE D'ANIMAUX. ENTREZ 88888 POUR «NE SAIT PAS» ET 99999 POUR «REFUSÉ».]</t>
  </si>
  <si>
    <t>0-10000 = ls_num_change
88888-88888 = ls_num_change
99999-99999 = ls_num_change</t>
  </si>
  <si>
    <r>
      <t xml:space="preserve">answers can range from 0-10000; any response goes to </t>
    </r>
    <r>
      <rPr>
        <i/>
        <sz val="12"/>
        <rFont val="Calibri"/>
        <family val="2"/>
        <scheme val="minor"/>
      </rPr>
      <t>ls_num_change</t>
    </r>
  </si>
  <si>
    <t>ls_num_
1)ls_num_nochange
2) ls_num_inc_didnotsellasmany
3) ls_num_inc_moreborn
4) ls_num_inc_purchbarterdmore
5) ls_num_inc_receivedfree
6)ls_num_dec_animalsdied
7)ls_num_dec_soldmoregoodprice
8)ls_num_dec_soldmoredistsale
9)ls_num_dec_anmlescloststolen
10)ls_num_dec_killedorgaveanml
11)ls_num_inc_dec_other
12)ls_num_inc_dec_dk
13)ls_num_inc_dec_ref</t>
  </si>
  <si>
    <t>Why did the number of livestock change?
[OPERATOR: MULTIPLE RESPONSES POSSIBLE.] 
1)No significant change in livestock number
2)Did not sell as many
3)Many more born
4)Purchased or bartered more animals this year
5)Received animals for free [restocking / gift]
6)Animals died of poor health / malnutrition or injury
7)Sold more than usual because of good prices
8)Sold more than usual because of distress sales [unable to feed animal / need money urgently for household basic needs even if sales were unsustainable]
9)Animal escaped or was lost or stolen
10)Killed or gave away more animals than usual for household consumption or celebrations [marriage / funerals / etc]
11)Other
12)DON’T KNOW
13)REFUSED</t>
  </si>
  <si>
    <t>Form Type - Checklist
12,13 = IsNone</t>
  </si>
  <si>
    <r>
      <t xml:space="preserve">1-13 = </t>
    </r>
    <r>
      <rPr>
        <sz val="12"/>
        <color rgb="FF0070C0"/>
        <rFont val="Calibri"/>
        <family val="2"/>
        <scheme val="minor"/>
      </rPr>
      <t>[</t>
    </r>
    <r>
      <rPr>
        <b/>
        <sz val="12"/>
        <color rgb="FF0070C0"/>
        <rFont val="Calibri"/>
        <family val="2"/>
        <scheme val="minor"/>
      </rPr>
      <t>ls_proddif_1</t>
    </r>
    <r>
      <rPr>
        <sz val="12"/>
        <color rgb="FF0070C0"/>
        <rFont val="Calibri"/>
        <family val="2"/>
        <scheme val="minor"/>
      </rPr>
      <t xml:space="preserve"> OR</t>
    </r>
    <r>
      <rPr>
        <b/>
        <sz val="12"/>
        <color rgb="FF0070C0"/>
        <rFont val="Calibri"/>
        <family val="2"/>
        <scheme val="minor"/>
      </rPr>
      <t xml:space="preserve"> optional question</t>
    </r>
    <r>
      <rPr>
        <sz val="12"/>
        <color rgb="FF0070C0"/>
        <rFont val="Calibri"/>
        <family val="2"/>
        <scheme val="minor"/>
      </rPr>
      <t>]</t>
    </r>
  </si>
  <si>
    <r>
      <t>If ls_num_change 1-13 =</t>
    </r>
    <r>
      <rPr>
        <sz val="12"/>
        <color theme="4"/>
        <rFont val="Calibri"/>
        <family val="2"/>
        <scheme val="minor"/>
      </rPr>
      <t xml:space="preserve"> [ls_proddif_1 OR ls_food_supply]</t>
    </r>
  </si>
  <si>
    <t>Check if programming change with GP 
Change in option #1</t>
  </si>
  <si>
    <t>ls_food_supply
1) ls_food_supply_openpasture
2) ls_food_supply_commonpasture
3) ls_food_supply_fieldselfprodfod
4) ls_food_supply_purchased
5) ls_food_supply_other
6) ls_food_supply_dk
7) ls_food_supply_ref</t>
  </si>
  <si>
    <t>Where do you usually access food for your #ls_main#?  
[OPERATOR: MULTIPLE RESPONSES POSSIBLE.] 
1)Open pasture
2)Community-managed pasture land
3)Owned or rented field or self-produced fodder
4)Purchase feed or fodder on markets
5)Other
6)DON'T KNOW
7)REFUSED</t>
  </si>
  <si>
    <t>Où vous procurez-vous habituellement l'alimentation pour votre #ls_main# ?
[OPÉRATEUR/OPÉRATRICE: PLUSIEURS RÉPONSES POSSIBLES.] 
1)Pâturages ouverts
2)Pâturages gérés par la communauté
3)Champ possédé ou loué, ou fourrage auto-produit
4)Achat d'aliments/fourrage sur les marchés
5)Autre
6)NE SAIT PAS
7)REFUSÉ</t>
  </si>
  <si>
    <t>Form Type - Checklist
6,7 = IsNone</t>
  </si>
  <si>
    <t>1-7 = ls_proddif_1</t>
  </si>
  <si>
    <t>For any response, go to ls_proddif_1</t>
  </si>
  <si>
    <t>Has your household faced any difficulty with livestock production over the last 3 months?
[OPERATOR: SINGLE RESPONSE.]
1)YES 
2)NO
3)DON'T KNOW
4)REFUSED</t>
  </si>
  <si>
    <t>Votre ménage a-t-il rencontré des difficultés en matière d'élevage au cours des trois derniers mois ?
[OPÉRATEUR/OPÉRATRICE: RÉPONSE UNIQUE.]
1)Oui
2)Non
3)NE SAIT PAS
4)REFUSÉ</t>
  </si>
  <si>
    <r>
      <t>1=ls_proddif_2
2-4= [</t>
    </r>
    <r>
      <rPr>
        <sz val="12"/>
        <color theme="4"/>
        <rFont val="Calibri"/>
        <family val="2"/>
        <scheme val="minor"/>
      </rPr>
      <t xml:space="preserve">ls_salesmain </t>
    </r>
    <r>
      <rPr>
        <sz val="12"/>
        <rFont val="Calibri"/>
        <family val="2"/>
        <scheme val="minor"/>
      </rPr>
      <t>OR</t>
    </r>
    <r>
      <rPr>
        <sz val="12"/>
        <color theme="4"/>
        <rFont val="Calibri"/>
        <family val="2"/>
        <scheme val="minor"/>
      </rPr>
      <t xml:space="preserve"> optional question]</t>
    </r>
  </si>
  <si>
    <r>
      <t xml:space="preserve">if </t>
    </r>
    <r>
      <rPr>
        <i/>
        <sz val="12"/>
        <rFont val="Calibri"/>
        <family val="2"/>
        <scheme val="minor"/>
      </rPr>
      <t>ls_proddif_1</t>
    </r>
    <r>
      <rPr>
        <sz val="12"/>
        <rFont val="Calibri"/>
        <family val="2"/>
        <scheme val="minor"/>
      </rPr>
      <t xml:space="preserve"> = 1, go to </t>
    </r>
    <r>
      <rPr>
        <i/>
        <sz val="12"/>
        <rFont val="Calibri"/>
        <family val="2"/>
        <scheme val="minor"/>
      </rPr>
      <t>ls_proddif_2</t>
    </r>
    <r>
      <rPr>
        <sz val="12"/>
        <rFont val="Calibri"/>
        <family val="2"/>
        <scheme val="minor"/>
      </rPr>
      <t xml:space="preserve"> ; 
if </t>
    </r>
    <r>
      <rPr>
        <i/>
        <sz val="12"/>
        <rFont val="Calibri"/>
        <family val="2"/>
        <scheme val="minor"/>
      </rPr>
      <t>ls_proddif_1</t>
    </r>
    <r>
      <rPr>
        <sz val="12"/>
        <rFont val="Calibri"/>
        <family val="2"/>
        <scheme val="minor"/>
      </rPr>
      <t xml:space="preserve"> = 2-4, go to [</t>
    </r>
    <r>
      <rPr>
        <i/>
        <sz val="12"/>
        <color theme="4"/>
        <rFont val="Calibri"/>
        <family val="2"/>
        <scheme val="minor"/>
      </rPr>
      <t>ls_salesmain</t>
    </r>
    <r>
      <rPr>
        <sz val="12"/>
        <rFont val="Calibri"/>
        <family val="2"/>
        <scheme val="minor"/>
      </rPr>
      <t xml:space="preserve">OR </t>
    </r>
    <r>
      <rPr>
        <i/>
        <sz val="12"/>
        <color theme="4"/>
        <rFont val="Calibri"/>
        <family val="2"/>
        <scheme val="minor"/>
      </rPr>
      <t>ls_all</t>
    </r>
    <r>
      <rPr>
        <sz val="12"/>
        <rFont val="Calibri"/>
        <family val="2"/>
        <scheme val="minor"/>
      </rPr>
      <t>]</t>
    </r>
  </si>
  <si>
    <t>ls_proddif_
1) ls_proddif_diffeedpurchase
2) ls_proddif_constaccesstopasture
3) ls_proddif_constaccesstowater
4) ls_proddif_difaccessvetserv
5) ls_proddif_difaccessvetinp
6) ls_proddif_diseases
7) ls_proddif_theftorinsecurity
8) ls_proddif_pooraccesstolmarket
9) ls_proddif_noaccesstocredit
10) ls_proddif_lackoflabour
11) ls_proddif_other
12) ls_proddif_dk
13) ls_proddif_ref</t>
  </si>
  <si>
    <t>Which difficulties has your household faced with livestock production in the last 3 months?
[OPERATOR: MULTIPLE RESPONSES POSSIBLE. SELECT OPTION(S) THAT BEST FIT THE INFORMATION PROVIDED BY THE RESPONDENTS.]
1)Difficulty to purchase feed [prices or access to market]
2)Access to pasture
3)Access to water
4)Access to veterinary services
5)Access to veterinary inputs [medicine for animals / tools for animal health / etc]
6)Livestock diseases or death
7)Livestock theft
8)Access to livestock market to buy young animals
9)Access to credit
10)Labour too expensive or income insufficient to hire labour or labourers are unavailable  
11)Other
12)DON'T KNOW
13)REFUSED</t>
  </si>
  <si>
    <t>Quelles ont été les principales difficultés rencontrées par votre ménage en matière d'élevage au cours des trois derniers mois ?
[OPÉRATEUR/OPÉRATRICE: PLUSIEURS RÉPONSES POSSIBLES. SÉLECTIONNER LA OU LES OPTIONS QUI CORRESPONDENT LE MIEUX AUX INFORMATIONS PROPOSÉES PAR LES RÉPONDANTS]
1)Difficulté à acheter des aliments pour animaux [prix ou accès au marché]
2)Accès aux pâturages
3)Accès à l'eau
4)Accès aux services vétérinaires
5)Accès aux intrants vétérinaires [médicaments pour animaux / outils pour la santé animale / etc.]
6)Maladies ou mort du bétail
7)Vol de bétail
8)Accès aux marchés de bétail pour acheter de jeunes animaux
9)Accès au crédit
10)Main-d'œuvre trop chère, revenus insuffisants pour engager de la main-d'œuvre ou travailleurs non disponibles
11)Autre
12)NE SAIT PAS
13)REFUS</t>
  </si>
  <si>
    <r>
      <rPr>
        <sz val="12"/>
        <rFont val="Calibri"/>
        <family val="2"/>
        <scheme val="minor"/>
      </rPr>
      <t>1-13 =</t>
    </r>
    <r>
      <rPr>
        <sz val="12"/>
        <color theme="4"/>
        <rFont val="Calibri"/>
        <family val="2"/>
        <scheme val="minor"/>
      </rPr>
      <t xml:space="preserve"> [ls_salesmain </t>
    </r>
    <r>
      <rPr>
        <sz val="12"/>
        <rFont val="Calibri"/>
        <family val="2"/>
        <scheme val="minor"/>
      </rPr>
      <t>OR</t>
    </r>
    <r>
      <rPr>
        <sz val="12"/>
        <color theme="4"/>
        <rFont val="Calibri"/>
        <family val="2"/>
        <scheme val="minor"/>
      </rPr>
      <t xml:space="preserve"> optional question]</t>
    </r>
  </si>
  <si>
    <r>
      <t xml:space="preserve">if </t>
    </r>
    <r>
      <rPr>
        <i/>
        <sz val="12"/>
        <rFont val="Calibri"/>
        <family val="2"/>
        <scheme val="minor"/>
      </rPr>
      <t>ls_proddif_2</t>
    </r>
    <r>
      <rPr>
        <sz val="12"/>
        <rFont val="Calibri"/>
        <family val="2"/>
        <scheme val="minor"/>
      </rPr>
      <t xml:space="preserve"> = 1-13, go to </t>
    </r>
    <r>
      <rPr>
        <i/>
        <sz val="12"/>
        <color theme="4"/>
        <rFont val="Calibri"/>
        <family val="2"/>
        <scheme val="minor"/>
      </rPr>
      <t>ls_salesmain</t>
    </r>
    <r>
      <rPr>
        <sz val="12"/>
        <rFont val="Calibri"/>
        <family val="2"/>
        <scheme val="minor"/>
      </rPr>
      <t xml:space="preserve"> OR </t>
    </r>
    <r>
      <rPr>
        <sz val="12"/>
        <color theme="4"/>
        <rFont val="Calibri"/>
        <family val="2"/>
        <scheme val="minor"/>
      </rPr>
      <t>ls_all</t>
    </r>
  </si>
  <si>
    <t>resp_age = 18-100
(hh_agricactivity = 1 | 3) | (income_main_lscheck = 1) | (income_sec_lscheck = 1) | (income_third_lscheck = 1) 
quotareached = 2
ls_proddif = 1</t>
  </si>
  <si>
    <t>Change in option #6 (col D)</t>
  </si>
  <si>
    <t>ls_all</t>
  </si>
  <si>
    <t>ls_all_
1)ls_all_cattle
2)ls_all_goats
3)ls_all_sheep
4)ls_all_swine
5)ls_all_equine
6)ls_all_smallmammals
7)ls_all_poultry
8)ls_all_camelids
9)ls_all_other
10)ls_all_none
11)ls_all_dk
12)ls_all_ref</t>
  </si>
  <si>
    <t>Do you own any other livestock aside from #ls_main#, and if so which ones?
[OPERATOR: "No other livestock" APPEARS AT THE END OF THE LIST OF OPTIONS. SELECT ALL ANIMALS LISTED BY THE RESPONDENT.]
1)No other livestock
2)DON'T KNOW
3)REFUSED</t>
  </si>
  <si>
    <t>Possédez-vous d'autres animaux d'élevage en dehors de #ls_main#, et si oui, lesquels ?
[OPÉRATEUR/OPÉRATRICE: "Pas d'autres animaux" FIGURE DANS LES DERNIÈRES OPTIONS DE RÉPONSE. SAISIR TOUS LES ANIMAUX ÉNUMÉRÉS PAR LE RÉPONDANT.]
1)Pas d'autres animaux
2)NE SAIT PAS
3)REFUSÉ</t>
  </si>
  <si>
    <t>Form Type - Checklist
Included unselected "ls_main"
Add 1,2&amp;3 manually
1,2,3= IsNone</t>
  </si>
  <si>
    <r>
      <t xml:space="preserve">Dynamic = </t>
    </r>
    <r>
      <rPr>
        <b/>
        <sz val="12"/>
        <color theme="4"/>
        <rFont val="Calibri"/>
        <family val="2"/>
        <scheme val="minor"/>
      </rPr>
      <t xml:space="preserve">ls_salesmain
</t>
    </r>
    <r>
      <rPr>
        <sz val="12"/>
        <rFont val="Calibri"/>
        <family val="2"/>
        <scheme val="minor"/>
      </rPr>
      <t>1-3 =</t>
    </r>
    <r>
      <rPr>
        <b/>
        <sz val="12"/>
        <color theme="4"/>
        <rFont val="Calibri"/>
        <family val="2"/>
        <scheme val="minor"/>
      </rPr>
      <t xml:space="preserve"> ls_salesmain</t>
    </r>
  </si>
  <si>
    <r>
      <rPr>
        <sz val="12"/>
        <rFont val="Calibri"/>
        <family val="2"/>
        <scheme val="minor"/>
      </rPr>
      <t xml:space="preserve">For any response to ls_all, go to </t>
    </r>
    <r>
      <rPr>
        <b/>
        <i/>
        <sz val="12"/>
        <color theme="4"/>
        <rFont val="Calibri"/>
        <family val="2"/>
        <scheme val="minor"/>
      </rPr>
      <t>ls_salesmain</t>
    </r>
  </si>
  <si>
    <t>E. LIVESTOCK MARKETING</t>
  </si>
  <si>
    <t>What has been the main livestock or livestock product sold by your household in the last 3 months?
[OPERATOR: SINGLE RESPONSE. INSIST ON THE MAIN PRODUCT.]
1)Cattle [cow / beef / veal / yak / buffalo]
2)Goats
3)Sheep
4)Swine  [pig / boar / hog / etc]
5)Equine [donkey / horse / etc]
6)Small domesticated mammals [rabbits / minks / guinea pigs / etc]
7)Poultry [chicken / guineafowl / duck / quail / turkey / etc]
8)Camelids
9)Eggs
10)Milk or dairy products
11)Skin or leather or wool
12)DON'T KNOW
13)REFUSED</t>
  </si>
  <si>
    <t>Quel a été le principal animal ou produit animal vendu par votre ménage au cours des trois derniers moi s?
[OPÉRATEUR/OPÉRATRICE: RÉPONSE UNIQUE. INSISTER SUR LE PRODUIT PRINCIPAL.]
1)Bovins [vache / bœuf / veau / yak / buffle]
2)Chèvres
3)Moutons
4)Porcins [cochon / sanglier / porc / etc.]
5)Équidés [âne / cheval / etc.]
6)Petits mammifères domestiques [lapins / visons / cochons d'Inde / etc.]
7)Volailles [poulets / pintades / canards / cailles / dindes / etc.]
8)Camélidés
9)Œufs
10)Lait ou produits laitiers
11)Peau, cuir ou laine
12)NE SAIT PAS
13)REFUSÉ</t>
  </si>
  <si>
    <t>Send if "income_main" "Equals" "Production and sale of livestock and livestock products" Or "income_sec" "Equals" "Production and sale of livestock and livestock products" Or "income_third" "Equals" "Production and sale of livestock and livestock products" if not satisfied go to "fish_intro"</t>
  </si>
  <si>
    <t>Form Type - Buttons
set demographic</t>
  </si>
  <si>
    <t>1-11 = ls_salesdif_1
12-13 = fish_intro</t>
  </si>
  <si>
    <r>
      <t xml:space="preserve">If either </t>
    </r>
    <r>
      <rPr>
        <i/>
        <sz val="12"/>
        <rFont val="Calibri"/>
        <family val="2"/>
        <scheme val="minor"/>
      </rPr>
      <t>income_main</t>
    </r>
    <r>
      <rPr>
        <sz val="12"/>
        <rFont val="Calibri"/>
        <family val="2"/>
        <scheme val="minor"/>
      </rPr>
      <t xml:space="preserve"> </t>
    </r>
    <r>
      <rPr>
        <u/>
        <sz val="12"/>
        <rFont val="Calibri"/>
        <family val="2"/>
        <scheme val="minor"/>
      </rPr>
      <t>or</t>
    </r>
    <r>
      <rPr>
        <sz val="12"/>
        <rFont val="Calibri"/>
        <family val="2"/>
        <scheme val="minor"/>
      </rPr>
      <t xml:space="preserve"> </t>
    </r>
    <r>
      <rPr>
        <i/>
        <sz val="12"/>
        <rFont val="Calibri"/>
        <family val="2"/>
        <scheme val="minor"/>
      </rPr>
      <t>income_sec</t>
    </r>
    <r>
      <rPr>
        <sz val="12"/>
        <rFont val="Calibri"/>
        <family val="2"/>
        <scheme val="minor"/>
      </rPr>
      <t xml:space="preserve"> </t>
    </r>
    <r>
      <rPr>
        <u/>
        <sz val="12"/>
        <rFont val="Calibri"/>
        <family val="2"/>
        <scheme val="minor"/>
      </rPr>
      <t>or</t>
    </r>
    <r>
      <rPr>
        <sz val="12"/>
        <rFont val="Calibri"/>
        <family val="2"/>
        <scheme val="minor"/>
      </rPr>
      <t xml:space="preserve"> </t>
    </r>
    <r>
      <rPr>
        <i/>
        <sz val="12"/>
        <rFont val="Calibri"/>
        <family val="2"/>
        <scheme val="minor"/>
      </rPr>
      <t xml:space="preserve">income_third </t>
    </r>
    <r>
      <rPr>
        <sz val="12"/>
        <rFont val="Calibri"/>
        <family val="2"/>
        <scheme val="minor"/>
      </rPr>
      <t xml:space="preserve">= "Production and sale of livestock and livestock products", then this section will be asked to respondents.
Otherwise, skip to </t>
    </r>
    <r>
      <rPr>
        <i/>
        <sz val="12"/>
        <rFont val="Calibri"/>
        <family val="2"/>
        <scheme val="minor"/>
      </rPr>
      <t>fish_main</t>
    </r>
    <r>
      <rPr>
        <sz val="12"/>
        <rFont val="Calibri"/>
        <family val="2"/>
        <scheme val="minor"/>
      </rPr>
      <t xml:space="preserve">.
if </t>
    </r>
    <r>
      <rPr>
        <i/>
        <sz val="12"/>
        <rFont val="Calibri"/>
        <family val="2"/>
        <scheme val="minor"/>
      </rPr>
      <t>ls_salesmain</t>
    </r>
    <r>
      <rPr>
        <sz val="12"/>
        <rFont val="Calibri"/>
        <family val="2"/>
        <scheme val="minor"/>
      </rPr>
      <t xml:space="preserve"> = 1-11, go to </t>
    </r>
    <r>
      <rPr>
        <i/>
        <sz val="12"/>
        <rFont val="Calibri"/>
        <family val="2"/>
        <scheme val="minor"/>
      </rPr>
      <t>ls_salesdif_1</t>
    </r>
    <r>
      <rPr>
        <sz val="12"/>
        <rFont val="Calibri"/>
        <family val="2"/>
        <scheme val="minor"/>
      </rPr>
      <t xml:space="preserve"> ; 
if </t>
    </r>
    <r>
      <rPr>
        <i/>
        <sz val="12"/>
        <rFont val="Calibri"/>
        <family val="2"/>
        <scheme val="minor"/>
      </rPr>
      <t>ls_salesmain</t>
    </r>
    <r>
      <rPr>
        <sz val="12"/>
        <rFont val="Calibri"/>
        <family val="2"/>
        <scheme val="minor"/>
      </rPr>
      <t xml:space="preserve"> = 12-13, go to</t>
    </r>
    <r>
      <rPr>
        <i/>
        <sz val="12"/>
        <color rgb="FF0070C0"/>
        <rFont val="Calibri"/>
        <family val="2"/>
        <scheme val="minor"/>
      </rPr>
      <t xml:space="preserve"> </t>
    </r>
    <r>
      <rPr>
        <i/>
        <sz val="12"/>
        <rFont val="Calibri"/>
        <family val="2"/>
        <scheme val="minor"/>
      </rPr>
      <t>fish_intro</t>
    </r>
  </si>
  <si>
    <t>resp_age = 18-100
hh_agricactivity = 1 | 2 | 3 | 4
(income_main = 4 | income_sec = 4 | income_third = 4)
quotareached = 2</t>
  </si>
  <si>
    <t>Col H + col J</t>
  </si>
  <si>
    <t>Has your household faced any difficulty in the last 3 months in selling your #ls_salesmain#?
[OPERATOR: SINGLE RESPONSE.]
1)YES
2)NO
3)DON'T KNOW
4)REFUSED</t>
  </si>
  <si>
    <t>Votre ménage a-t-il rencontré des difficultés pour vendre ses #ls_salesmain# au cours des trois derniers mois ?
[OPÉRATEUR/OPÉRATRICE: RÉPONSE UNIQUE.]
1)Oui
2)Non
3)NE SAIT PAS
4)REFUSÉ</t>
  </si>
  <si>
    <t>1 = ls_saledif_2
2-4 = ls_salesprice</t>
  </si>
  <si>
    <r>
      <t xml:space="preserve">if </t>
    </r>
    <r>
      <rPr>
        <i/>
        <sz val="12"/>
        <rFont val="Calibri"/>
        <family val="2"/>
        <scheme val="minor"/>
      </rPr>
      <t>ls_salesdif_1</t>
    </r>
    <r>
      <rPr>
        <sz val="12"/>
        <rFont val="Calibri"/>
        <family val="2"/>
        <scheme val="minor"/>
      </rPr>
      <t xml:space="preserve"> = 1, go to </t>
    </r>
    <r>
      <rPr>
        <i/>
        <sz val="12"/>
        <rFont val="Calibri"/>
        <family val="2"/>
        <scheme val="minor"/>
      </rPr>
      <t>ls_salesdif_2</t>
    </r>
    <r>
      <rPr>
        <sz val="12"/>
        <rFont val="Calibri"/>
        <family val="2"/>
        <scheme val="minor"/>
      </rPr>
      <t xml:space="preserve"> ; 
if </t>
    </r>
    <r>
      <rPr>
        <i/>
        <sz val="12"/>
        <rFont val="Calibri"/>
        <family val="2"/>
        <scheme val="minor"/>
      </rPr>
      <t>ls_salesdif_1</t>
    </r>
    <r>
      <rPr>
        <sz val="12"/>
        <rFont val="Calibri"/>
        <family val="2"/>
        <scheme val="minor"/>
      </rPr>
      <t xml:space="preserve"> = 2-4, go to </t>
    </r>
    <r>
      <rPr>
        <i/>
        <sz val="12"/>
        <rFont val="Calibri"/>
        <family val="2"/>
        <scheme val="minor"/>
      </rPr>
      <t>ls_salesprice</t>
    </r>
  </si>
  <si>
    <t>resp_age = 18-100
hh_agricactivity = 1 | 2 | 3 | 4
(income_main = 4 | income_sec = 4 | income_third = 4)
quotareached = 2
ls_salesmain = 1-11</t>
  </si>
  <si>
    <t>ls_salesdif_
1) ls_salesdif_smallerprofits
2) ls_salesdif_damageandlosses
3) ls_salesdif_lowdemand
4) ls_salesdif_lowprices
5)  ls_salesdif_slaughterhouse
6) ls_salesdif_processing
7) ls_salesdif_other
8) ls_salesdif_dk
9) ls_salesdif_ref</t>
  </si>
  <si>
    <t>Which difficulties has your household faced in the last 3 months in selling your #ls_salesmain#?
[OPERATOR: MULTIPLE RESPONSES POSSIBLE. SELECT OPTION(S) THAT BEST FIT THE INFORMATION PROVIDED BY THE RESPONDENTS.]
1)High transportation or other marketing costs
2)Difficulty accessing the market [e.g. insecurity, closure due to COVID-19 restrictions, etc.]
3)Usual traders or local customers are not buying as much as usual / payment delays
4)Low selling prices [e.g. compared to input prices / inflation]
5)Closure of slaughterhouses or difficulties accessing slaughterhouses
6)Difficulties to process product other than closure of slaughterhouse [lack of access to processing inputs / equipment / etc]
7)Other
8)DON'T KNOW
9)REFUSED</t>
  </si>
  <si>
    <t>Quelles difficultés votre ménage a-t-il rencontrées au cours des trois derniers mois pour vendre sa principale production animale, #ls_salesmain# ?
[OPÉRATEUR/OPÉRATRICE: PLUSIEURS RÉPONSES POSSIBLES. SÉLECTIONNER LA OU LES OPTIONS QUI CORRESPONDENT LE MIEUX AUX INFORMATIONS FOURNIES PAR LES PERSONNES INTERROGÉES.]
1)Coûts de transport ou autres coûts de commercialisation élevés
2)Difficultés d'accès au marché [par exemple, insécurité, fermetures dues aux restrictions liées à la covid-19, etc.]
3)Les commerçants habituels ou les clients locaux n'achètent pas autant que d'habitude / retards de paiement
4)Faibles prix de vente [par exemple, par rapport aux prix des intrants / l'inflation]
5)Fermeture des abattoirs ou difficultés d'accès aux abattoirs
6)Difficultés de transformation du produit autres que la fermeture de l'abattoir [manque d'accès aux intrants de transformation / aux équipements / etc.]
7)Autre
8)NE SAIT PAS
9)REFUSÉ</t>
  </si>
  <si>
    <t>1-9 = ls_salesprice</t>
  </si>
  <si>
    <r>
      <t xml:space="preserve">if </t>
    </r>
    <r>
      <rPr>
        <i/>
        <sz val="12"/>
        <rFont val="Calibri"/>
        <family val="2"/>
        <scheme val="minor"/>
      </rPr>
      <t>ls_salesdif_2</t>
    </r>
    <r>
      <rPr>
        <sz val="12"/>
        <rFont val="Calibri"/>
        <family val="2"/>
        <scheme val="minor"/>
      </rPr>
      <t xml:space="preserve"> = 1-9, go to </t>
    </r>
    <r>
      <rPr>
        <i/>
        <sz val="12"/>
        <rFont val="Calibri"/>
        <family val="2"/>
        <scheme val="minor"/>
      </rPr>
      <t>ls_salesprice</t>
    </r>
  </si>
  <si>
    <t>resp_age = 18-100
hh_agricactivity = 1 | 2 | 3 | 4
(income_main = 4 | income_sec = 4 | income_third = 4)
quotareached = 2
ls_salesmain = 1-11
ls_salesdif = 1</t>
  </si>
  <si>
    <r>
      <t xml:space="preserve">1-7 = </t>
    </r>
    <r>
      <rPr>
        <b/>
        <sz val="12"/>
        <color rgb="FF0070C0"/>
        <rFont val="Calibri"/>
        <family val="2"/>
        <scheme val="minor"/>
      </rPr>
      <t>fish_intro</t>
    </r>
  </si>
  <si>
    <r>
      <t>For options #1-7, go to</t>
    </r>
    <r>
      <rPr>
        <sz val="12"/>
        <color theme="4"/>
        <rFont val="Calibri"/>
        <family val="2"/>
        <scheme val="minor"/>
      </rPr>
      <t xml:space="preserve"> fish_intro</t>
    </r>
  </si>
  <si>
    <t>Change in options #2, 4 (col D) 
+ col J</t>
  </si>
  <si>
    <t>F. FISHERIES PRODUCTION</t>
  </si>
  <si>
    <t>fish_intro</t>
  </si>
  <si>
    <t>We will now ask you some questions about fish and aquaculture production which apply to you and anyone in your household that is involved in the production or sales of fish/aquaculture.
1)CONTINUE</t>
  </si>
  <si>
    <t>Nous allons maintenant vous poser quelques questions sur la production piscicole et aquacole. Ces questions s'appliquent à vous et à toute personne de votre foyer impliquée dans la production ou la vente de poisson/aquaculture.
1)CONTINUER</t>
  </si>
  <si>
    <t>Send if "income_main_fishcheck" "Equals" "YES" Or "income_sec_fishcheck" "Equals" "YES Or "income_third_fishcheck" "Equals" "YES", if not satisfied go to "fies"</t>
  </si>
  <si>
    <t>1 = fish_main</t>
  </si>
  <si>
    <r>
      <t xml:space="preserve">If the respondent reported production and sales of fish in one of the three main income sources and confirmed that they are involved in production, then this section will be administered to respondents. Otherwise, skip to </t>
    </r>
    <r>
      <rPr>
        <i/>
        <sz val="12"/>
        <rFont val="Calibri"/>
        <family val="2"/>
        <scheme val="minor"/>
      </rPr>
      <t>fies</t>
    </r>
  </si>
  <si>
    <t>resp_age = 18-100
hh_agricactivity = 1| 2 | 3 | 4
(income_main_fishcheck = 1) | (income_sec_fishcheck = 1) | (income_third_fishcheck = 1) 
quotareached = 2</t>
  </si>
  <si>
    <t>fish_main_
1) fish_main_coastal
2) fish_main_opensea
3) fish_main_lakespondsrivers
4) fish_main_aquaculture
5) fish_main_dk
6) fish_main_ref</t>
  </si>
  <si>
    <t>What type of fishing activity does your household generally practice?
[OPERATOR: MULTIPLE RESPONSES POSSIBLE.]
1)Coastal fishing
2)Open sea fishing
3)Freshwater fishing [e.g. lakes, ponds, rivers]
4)Aquaculture
5)DON'T KNOW
6)REFUSED</t>
  </si>
  <si>
    <t>Quel type de pêche votre ménage pratique-t-il généralement ?
[OPÉRATEUR/OPÉRATRICE: RÉPONSE MULTIPLE.]
1)Pêche côtière
2)Pêche en haute mer
3)Pêche en eau douce [lacs, étangs, rivières par exemple]
4)Aquaculture
5)NE SAIT PAS
6)REFUSÉ</t>
  </si>
  <si>
    <t>Form Type - Checklist
5,6 = IsNone</t>
  </si>
  <si>
    <t>1-6 = fish_change</t>
  </si>
  <si>
    <r>
      <t xml:space="preserve">if </t>
    </r>
    <r>
      <rPr>
        <i/>
        <sz val="12"/>
        <rFont val="Calibri"/>
        <family val="2"/>
        <scheme val="minor"/>
      </rPr>
      <t xml:space="preserve">fish_main </t>
    </r>
    <r>
      <rPr>
        <sz val="12"/>
        <rFont val="Calibri"/>
        <family val="2"/>
        <scheme val="minor"/>
      </rPr>
      <t xml:space="preserve">= 1-6, go to </t>
    </r>
    <r>
      <rPr>
        <i/>
        <sz val="12"/>
        <rFont val="Calibri"/>
        <family val="2"/>
        <scheme val="minor"/>
      </rPr>
      <t>fish_change</t>
    </r>
  </si>
  <si>
    <t>Change in option #3 (col D)
Change in col. H</t>
  </si>
  <si>
    <t>How does your fish production / catch in the last 3 months compare to the same period last year?
[OPERATOR: SINGLE RESPONSE.]
1)A lot more [increased by more than 50%]
2)Slightly more
3)Same
4)Slightly less
5)A lot less [less than half as much]
6)DON'T KNOW
7)REFUSED</t>
  </si>
  <si>
    <t>Comment évaluez-vous votre production / capture de poissons au cours des trois derniers mois par rapport à la même période de l'année dernière ?
[OPÉRATEUR/OPÉRATRICE: RÉPONSE UNIQUE]
1)Très supérieure [augmentation de plus de 50%]
2)Légèrement supérieure
3)Identique
5)Légèrement inférieure
5)Très inférieure [moins de la moitié]
6)NE SAIT PAS
7)REFUSÉ</t>
  </si>
  <si>
    <t>1-7 = fish_proddif_1</t>
  </si>
  <si>
    <r>
      <t xml:space="preserve">if </t>
    </r>
    <r>
      <rPr>
        <i/>
        <sz val="12"/>
        <rFont val="Calibri"/>
        <family val="2"/>
        <scheme val="minor"/>
      </rPr>
      <t>fish_change</t>
    </r>
    <r>
      <rPr>
        <sz val="12"/>
        <rFont val="Calibri"/>
        <family val="2"/>
        <scheme val="minor"/>
      </rPr>
      <t xml:space="preserve"> = 1-7, go to </t>
    </r>
    <r>
      <rPr>
        <i/>
        <sz val="12"/>
        <rFont val="Calibri"/>
        <family val="2"/>
        <scheme val="minor"/>
      </rPr>
      <t>fish_proddif_1</t>
    </r>
  </si>
  <si>
    <t xml:space="preserve">Change in options 2 and 4 wording (col D) </t>
  </si>
  <si>
    <t>Has your household faced any difficulty with fisheries and aquaculture production in the last 3 months?
[OPERATOR: SINGLE RESPONSE.]
1)YES
2)NO
3)DON'T KNOW
4)REFUSED</t>
  </si>
  <si>
    <t>Votre ménage a-t-il rencontré des difficultés dans ses activités piscicoles et/ou aquacoles au cours des trois derniers mois ?
[OPÉRATEUR/OPÉRATRICE: RÉPONSE UNIQUE.]
1)Oui
2)Non
3)NE SAIT PAS
4)REFUSÉ</t>
  </si>
  <si>
    <r>
      <t xml:space="preserve">1=fish_proddif_2
2-4= </t>
    </r>
    <r>
      <rPr>
        <sz val="12"/>
        <color rgb="FF0070C0"/>
        <rFont val="Calibri"/>
        <family val="2"/>
        <scheme val="minor"/>
      </rPr>
      <t>[</t>
    </r>
    <r>
      <rPr>
        <b/>
        <sz val="12"/>
        <color rgb="FF0070C0"/>
        <rFont val="Calibri"/>
        <family val="2"/>
        <scheme val="minor"/>
      </rPr>
      <t>fish_salesmain</t>
    </r>
    <r>
      <rPr>
        <sz val="12"/>
        <color rgb="FF0070C0"/>
        <rFont val="Calibri"/>
        <family val="2"/>
        <scheme val="minor"/>
      </rPr>
      <t xml:space="preserve"> OR </t>
    </r>
    <r>
      <rPr>
        <b/>
        <sz val="12"/>
        <color rgb="FF0070C0"/>
        <rFont val="Calibri"/>
        <family val="2"/>
        <scheme val="minor"/>
      </rPr>
      <t>optional question</t>
    </r>
    <r>
      <rPr>
        <sz val="12"/>
        <color rgb="FF0070C0"/>
        <rFont val="Calibri"/>
        <family val="2"/>
        <scheme val="minor"/>
      </rPr>
      <t>]</t>
    </r>
  </si>
  <si>
    <r>
      <t xml:space="preserve">if fish_proddif_1 = 1, go to fish_proddif_2 ; 
if fish_proddif_1 = 2-4, go to </t>
    </r>
    <r>
      <rPr>
        <sz val="12"/>
        <color theme="4"/>
        <rFont val="Calibri"/>
        <family val="2"/>
        <scheme val="minor"/>
      </rPr>
      <t>fish_salesmain OR optional question</t>
    </r>
  </si>
  <si>
    <t>fish_proddif_
1) fish_proddif_find
2) fish_proddif_covid
3) fish_proddif_fuel
4) fish_proddif_inputs
5) fish_proddif_labour
6) fish_proddif_other
7) fish_proddif_dk
8) fish_proddif_ref</t>
  </si>
  <si>
    <t>Which difficulties has your household faced with fisheries and aquaculture production in the last 3 months?
[OPERATOR: MULTIPLE RESPONSES POSSIBLE. SELECT OPTION(S) THAT BEST FIT THE INFORMATION PROVIDED BY THE RESPONDENTS.]
1)Fish is more difficult to find than in previous years in the same season
2)Impossible to go out fishing [e.g. due to weather conditions, COVID-19 restrictions]
3)Access to fuel [prices higher or not available]
4)Access to fishing material and-or other inputs [prices higher or not available]
5)Labour too expensive or income insufficient to hire labour
6)Other [specify]
7)DON'T KNOW
8)REFUSED</t>
  </si>
  <si>
    <t>Quelles difficultés votre ménage a-t-il rencontrées en matière de production piscicole et aquacole au cours des trois derniers mois ?
[OPÉRATEUR/OPÉRATRICE: PLUSIEURS RÉPONSES POSSIBLES. SÉLECTIONNER LA OU LES OPTIONS QUI CORRESPONDENT LE MIEUX AUX INFORMATIONS PROPOSÉES PAR LES RÉPONDANTS].
1)Le poisson est plus difficile à trouver que les années précédentes à la même saison
2)Impossible de sortir pêcher [par exemple en raison des conditions météorologiques, des restrictions liées à la covid-19]
3)Accès au carburant [prix plus élevé ou non disponible]
4)Accès au matériel de pêche et/ou à d'autres intrants [prix plus élevé ou non disponibles]
5)Main-d'œuvre trop chère ou revenu insuffisant pour embaucher de la main d'œuvre
6)Autre [préciser]
7)NE SAIT PAS
8)REFUSÉ</t>
  </si>
  <si>
    <r>
      <t>1-8 =</t>
    </r>
    <r>
      <rPr>
        <sz val="12"/>
        <color rgb="FF0070C0"/>
        <rFont val="Calibri"/>
        <family val="2"/>
        <scheme val="minor"/>
      </rPr>
      <t xml:space="preserve"> [</t>
    </r>
    <r>
      <rPr>
        <b/>
        <sz val="12"/>
        <color rgb="FF0070C0"/>
        <rFont val="Calibri"/>
        <family val="2"/>
        <scheme val="minor"/>
      </rPr>
      <t xml:space="preserve">fish_salesmain </t>
    </r>
    <r>
      <rPr>
        <sz val="12"/>
        <color rgb="FF0070C0"/>
        <rFont val="Calibri"/>
        <family val="2"/>
        <scheme val="minor"/>
      </rPr>
      <t>OR</t>
    </r>
    <r>
      <rPr>
        <b/>
        <sz val="12"/>
        <color rgb="FF0070C0"/>
        <rFont val="Calibri"/>
        <family val="2"/>
        <scheme val="minor"/>
      </rPr>
      <t xml:space="preserve"> optional question</t>
    </r>
    <r>
      <rPr>
        <sz val="12"/>
        <color rgb="FF0070C0"/>
        <rFont val="Calibri"/>
        <family val="2"/>
        <scheme val="minor"/>
      </rPr>
      <t>]</t>
    </r>
  </si>
  <si>
    <r>
      <t xml:space="preserve">If fish_proddif_1 = 1-8, go to </t>
    </r>
    <r>
      <rPr>
        <sz val="12"/>
        <color theme="4"/>
        <rFont val="Calibri"/>
        <family val="2"/>
        <scheme val="minor"/>
      </rPr>
      <t>fish_salesmain OR optional question</t>
    </r>
  </si>
  <si>
    <t>resp_age = 18-100
hh_agricactivity = 1| 2 | 3 | 4
(income_main_fishcheck = 1) | (income_sec_fishcheck = 1) | (income_third_fishcheck = 1) 
quotareached = 2
fish_proddif_1 = 1</t>
  </si>
  <si>
    <t>fish_inputdif_
1) fish_inputdif_bait
2)fish_inputdif_net
3) fish_inputdif_gear
4) fish_inputdif_ice
5) fish_inputdif_fuel
6) fish_inputdif_boatrepairs
7) fish_inputdif_other 
8)fish_inputdif_dk
9) fish_inputdif_ref</t>
  </si>
  <si>
    <t>Which fishing material or input has your household been having difficulties to access in the last 3 months?
[OPERATOR: MULTIPLE RESPONSE POSSIBLE.]
1)Feed or bait
2)Net
3)Gear
4)Ice
5)Fuel
6)Boat repairs
7)Other [specify]
8)DON'T KNOW
9)REFUSED</t>
  </si>
  <si>
    <t>Quel matériel ou intrant piscicole votre ménage a-t-il eu des difficultés à se procurer au cours des trois derniers mois ?
[OPÉRATEUR/OPÉRATRICE: PLUSIEURS RÉPONSES POSSIBLES.]
1)Aliments ou appâts
2)Filets
3)Engins de pêche
4)Glace
5)Carburant
6)Réparation des bateaux
7)Autre [préciser]
8)NE SAIT PAS
9)REFUSÉ</t>
  </si>
  <si>
    <t>Send if "fish_proddif_2" "Contains" "Difficulty accessing fishing material and-or other inputs  [prices higher or not available]" if not satisfied go to "fish_salesmain"</t>
  </si>
  <si>
    <t>Form Type - Checklist
8,9= IsNone</t>
  </si>
  <si>
    <t>1-9 = fish_salesmain</t>
  </si>
  <si>
    <t>Asked only to respondents that answered fish_proddif_2 = 4.
if fish_inputdif = 1-9, go to fish_salesmain</t>
  </si>
  <si>
    <t>resp_age = 18-100
hh_agricactivity = 1| 2 | 3 | 4
(income_main_fishcheck = 1) | (income_sec_fishcheck = 1) | (income_third_fishcheck = 1) 
quotareached = 2
fish_proddif_1 = 1
fish_proddif_2 = 4</t>
  </si>
  <si>
    <t>F. FISHERIES MARKETING</t>
  </si>
  <si>
    <t>What has been the main fish product sold by your household in the last 3 months?
[OPERATOR: SINGLE RESPONSE.]
1)Fresh fish [any kind]
2)Dry fish [any kind]
3)Smoked fish
4)Seafood [any kind]
5)Other [specify]
6)DON'T KNOW
7)REFUSED</t>
  </si>
  <si>
    <t>Quel a été le principal produit piscicole vendu par votre ménage au cours des trois derniers mois ?
[OPÉRATEUR/OPÉRATRICE: RÉPONSE UNIQUE.]
1)Poisson frais [toutes sortes]
2)Poisson séché [toutes sortes]
3)Poisson fumé
4)Fruits de mer [toutes sortes]
5)Autre [préciser]
6)NE SAIT PAS
7)REFUSÉ</t>
  </si>
  <si>
    <t>Form Type - RadioList
set demographic</t>
  </si>
  <si>
    <t>1-5 = fish_salesdif_1
6-7 = fies</t>
  </si>
  <si>
    <r>
      <t xml:space="preserve">if </t>
    </r>
    <r>
      <rPr>
        <i/>
        <sz val="12"/>
        <rFont val="Calibri"/>
        <family val="2"/>
        <scheme val="minor"/>
      </rPr>
      <t>fish_salesmain</t>
    </r>
    <r>
      <rPr>
        <sz val="12"/>
        <rFont val="Calibri"/>
        <family val="2"/>
        <scheme val="minor"/>
      </rPr>
      <t xml:space="preserve"> = 1-5, go to </t>
    </r>
    <r>
      <rPr>
        <i/>
        <sz val="12"/>
        <rFont val="Calibri"/>
        <family val="2"/>
        <scheme val="minor"/>
      </rPr>
      <t xml:space="preserve">fish_salesdif_1
</t>
    </r>
    <r>
      <rPr>
        <sz val="12"/>
        <rFont val="Calibri"/>
        <family val="2"/>
        <scheme val="minor"/>
      </rPr>
      <t xml:space="preserve">if </t>
    </r>
    <r>
      <rPr>
        <i/>
        <sz val="12"/>
        <rFont val="Calibri"/>
        <family val="2"/>
        <scheme val="minor"/>
      </rPr>
      <t xml:space="preserve">fish_salesmain </t>
    </r>
    <r>
      <rPr>
        <sz val="12"/>
        <rFont val="Calibri"/>
        <family val="2"/>
        <scheme val="minor"/>
      </rPr>
      <t>= 6-7</t>
    </r>
    <r>
      <rPr>
        <i/>
        <sz val="12"/>
        <rFont val="Calibri"/>
        <family val="2"/>
        <scheme val="minor"/>
      </rPr>
      <t xml:space="preserve">, </t>
    </r>
    <r>
      <rPr>
        <sz val="12"/>
        <rFont val="Calibri"/>
        <family val="2"/>
        <scheme val="minor"/>
      </rPr>
      <t xml:space="preserve">go to </t>
    </r>
    <r>
      <rPr>
        <i/>
        <sz val="12"/>
        <rFont val="Calibri"/>
        <family val="2"/>
        <scheme val="minor"/>
      </rPr>
      <t>fies</t>
    </r>
  </si>
  <si>
    <t>resp_age = 18-100
hh_agricactivity = 1 | 2 | 3 | 4
quotareached = 2
(income_main = 5 | income_sec = 5 | income_third = 5)</t>
  </si>
  <si>
    <t>Has your household faced any difficulty in the last 3 months in selling your #fish_salesmain# ?
[OPERATOR: SINGLE RESPONSE]
1)YES
2)NO
3)DON'T KNOW
4)REFUSED</t>
  </si>
  <si>
    <t>Votre ménage a-t-il rencontré des difficultés pour vendre vos #fish_salesmain# au cours des trois derniers mois ?
[OPÉRATEUR/OPÉRATRICE: RÉPONSE UNIQUE.]
1)Oui
2)Non
3)NE SAIT PAS
4)REFUSÉ</t>
  </si>
  <si>
    <t>1 = fish_salesdif
2-4 = fish_salesprice</t>
  </si>
  <si>
    <r>
      <t xml:space="preserve">if </t>
    </r>
    <r>
      <rPr>
        <i/>
        <sz val="12"/>
        <rFont val="Calibri"/>
        <family val="2"/>
        <scheme val="minor"/>
      </rPr>
      <t>fish_salesdif_1</t>
    </r>
    <r>
      <rPr>
        <sz val="12"/>
        <rFont val="Calibri"/>
        <family val="2"/>
        <scheme val="minor"/>
      </rPr>
      <t xml:space="preserve"> = 1, go to </t>
    </r>
    <r>
      <rPr>
        <i/>
        <sz val="12"/>
        <rFont val="Calibri"/>
        <family val="2"/>
        <scheme val="minor"/>
      </rPr>
      <t xml:space="preserve">fish_salesdif </t>
    </r>
    <r>
      <rPr>
        <sz val="12"/>
        <rFont val="Calibri"/>
        <family val="2"/>
        <scheme val="minor"/>
      </rPr>
      <t xml:space="preserve">;
if </t>
    </r>
    <r>
      <rPr>
        <i/>
        <sz val="12"/>
        <rFont val="Calibri"/>
        <family val="2"/>
        <scheme val="minor"/>
      </rPr>
      <t>fish_salesdif_1</t>
    </r>
    <r>
      <rPr>
        <sz val="12"/>
        <rFont val="Calibri"/>
        <family val="2"/>
        <scheme val="minor"/>
      </rPr>
      <t xml:space="preserve"> = 2-4, go to </t>
    </r>
    <r>
      <rPr>
        <i/>
        <sz val="12"/>
        <rFont val="Calibri"/>
        <family val="2"/>
        <scheme val="minor"/>
      </rPr>
      <t>fish_salesprice</t>
    </r>
  </si>
  <si>
    <t xml:space="preserve">fish_saledif_
1) fish_saledif_smallerprofits
2) fish_saledif_damageandlosses
3) fish_saledif_lowdemand
4) fish_saledif_lowprices
5) fish_saledif_processing
6) fish_saledif_other
7) fish_saledif_dk
8) fish_saledif_ref
</t>
  </si>
  <si>
    <t>Which difficulties has your household faced in the last 3 months in selling your #fish_salesmain# ?
[OPERATOR: MULTIPLE RESPONSES POSSIBLE. SELECT OPTION(S) THAT BEST FIT THE INFORMATION PROVIDED BY THE RESPONDENTS.]
1)High transportation or other marketing costs
2)Damage and losses due to storage dfficulties or delays or inability to physically access markets
3)Usual traders or local customers are not buying as much as usual / payment delays
4)Low selling prices [e.g. compared to input prices / inflation]
5)Difficulties to process product [lack of access to processing inputs / equipment / etc]
6)Other [specify]
7)DON'T KNOW
8)REFUSED</t>
  </si>
  <si>
    <t>Quelles difficultés votre ménage a-t-il rencontrées au cours des trois derniers mois pour vendre le #fish_salesmain# ?
[OPÉRATEUR/OPÉRATRICE: PLUSIEURS RÉPONSES POSSIBLES. SÉLECTIONNEZ LA OU LES OPTIONS QUI CORRESPONDENT LE MIEUX AUX INFORMATIONS FOURNIES PAR LES PERSONNES INTERROGÉES.]
1)Coûts de transport ou autres coûts de commercialisation élevés
2)Difficultés d'accès au marché [par exemple, insécurité, fermetures dues aux restrictions liées à la covid-19, etc.]
3)Les commerçants habituels ou les clients locaux n'achètent pas autant que d'habitude / retards de paiement
4)Faibles prix de vente [par exemple, par rapport aux prix des intrants / l'inflation]
5)Difficultés de transformation du produit [manque d'accès aux intrants de transformation, aux équipements, etc.]
6)Autre [préciser]
7)NE SAIT PAS
8)REFUSÉ</t>
  </si>
  <si>
    <t>1-8 = fish_salesprice</t>
  </si>
  <si>
    <r>
      <t xml:space="preserve">if </t>
    </r>
    <r>
      <rPr>
        <i/>
        <sz val="12"/>
        <rFont val="Calibri"/>
        <family val="2"/>
        <scheme val="minor"/>
      </rPr>
      <t>fish_salesdif</t>
    </r>
    <r>
      <rPr>
        <sz val="12"/>
        <rFont val="Calibri"/>
        <family val="2"/>
        <scheme val="minor"/>
      </rPr>
      <t xml:space="preserve"> = 1-8, go to </t>
    </r>
    <r>
      <rPr>
        <i/>
        <sz val="12"/>
        <rFont val="Calibri"/>
        <family val="2"/>
        <scheme val="minor"/>
      </rPr>
      <t>fish_salesprice</t>
    </r>
  </si>
  <si>
    <t>resp_age = 18-100
hh_agricactivity = 1 | 2 | 3 | 4
quotareached = 2
(income_main = 5 | income_sec = 5 | income_third = 5)
fish_salesdif_1 = 1</t>
  </si>
  <si>
    <t>Change in option 2</t>
  </si>
  <si>
    <t>1-7 = fies</t>
  </si>
  <si>
    <r>
      <t xml:space="preserve">if </t>
    </r>
    <r>
      <rPr>
        <i/>
        <sz val="12"/>
        <rFont val="Calibri"/>
        <family val="2"/>
        <scheme val="minor"/>
      </rPr>
      <t>fish_salesprice</t>
    </r>
    <r>
      <rPr>
        <sz val="12"/>
        <rFont val="Calibri"/>
        <family val="2"/>
        <scheme val="minor"/>
      </rPr>
      <t xml:space="preserve"> = 1-7, go to </t>
    </r>
    <r>
      <rPr>
        <i/>
        <sz val="12"/>
        <rFont val="Calibri"/>
        <family val="2"/>
        <scheme val="minor"/>
      </rPr>
      <t>fies</t>
    </r>
  </si>
  <si>
    <t>G. FOOD SECURITY AND CONSUMPTION</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</si>
  <si>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</si>
  <si>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Je vais maintenant vous poser quelques questions sur votre consommation de nourriture, l'utilisation de la nourriture et les mécanismes d'adaptation. Attention à vous référer à la bonne période pour chaque série de questions. La première série de questions concerne les expériences auxquelles vous ou l'un des membres de votre foyer avez été confrontés au cours des 30 derniers jours. 
[OPÉRATEUR/OPÉRATRICE: RÉPONSE UNIQUE]
1) CONTINUER</t>
  </si>
  <si>
    <t>1 = fies_worried</t>
  </si>
  <si>
    <r>
      <t xml:space="preserve">if </t>
    </r>
    <r>
      <rPr>
        <i/>
        <sz val="12"/>
        <rFont val="Calibri"/>
        <family val="2"/>
        <scheme val="minor"/>
      </rPr>
      <t>fies</t>
    </r>
    <r>
      <rPr>
        <sz val="12"/>
        <rFont val="Calibri"/>
        <family val="2"/>
        <scheme val="minor"/>
      </rPr>
      <t xml:space="preserve"> = 1, go to </t>
    </r>
    <r>
      <rPr>
        <i/>
        <sz val="12"/>
        <rFont val="Calibri"/>
        <family val="2"/>
        <scheme val="minor"/>
      </rPr>
      <t>fies_worried</t>
    </r>
  </si>
  <si>
    <t>Check if the ESS team has an official translation.
Vérifiez si l'équipe ESS dispose d'une traduction officielle.</t>
  </si>
  <si>
    <r>
      <t xml:space="preserve">During the last 30 days, was there a time when you or others in your household were </t>
    </r>
    <r>
      <rPr>
        <u/>
        <sz val="12"/>
        <rFont val="Calibri"/>
        <family val="2"/>
        <scheme val="minor"/>
      </rPr>
      <t>worried about not having enough food to eat</t>
    </r>
    <r>
      <rPr>
        <sz val="12"/>
        <rFont val="Calibri"/>
        <family val="2"/>
        <scheme val="minor"/>
      </rPr>
      <t xml:space="preserve"> because of lack of money or other resources?
[OPERATOR: SINGLE RESPONSE]
1)YES
2)NO
3)DON'T KNOW
4)REFUSED</t>
    </r>
  </si>
  <si>
    <r>
      <t xml:space="preserve">Au cours de ces 30 derniers jours, vous ou un membre de votre ménage avez-vous été </t>
    </r>
    <r>
      <rPr>
        <u/>
        <sz val="12"/>
        <rFont val="Calibri"/>
        <family val="2"/>
        <scheme val="minor"/>
      </rPr>
      <t>inquiets de ne pas avoir suffisamment de nourriture</t>
    </r>
    <r>
      <rPr>
        <sz val="12"/>
        <rFont val="Calibri"/>
        <family val="2"/>
        <scheme val="minor"/>
      </rPr>
      <t xml:space="preserve"> par manque d’argent ou d’autres ressources ?
[OPÉRATEUR/OPÉRATRICE: RÉPONSE UNIQUE.]
1)Oui
2)Non
3)NE SAIT PAS
4)REFUSÉ</t>
    </r>
  </si>
  <si>
    <t>1-4 = fies_healthy</t>
  </si>
  <si>
    <r>
      <t xml:space="preserve">if </t>
    </r>
    <r>
      <rPr>
        <i/>
        <sz val="12"/>
        <rFont val="Calibri"/>
        <family val="2"/>
        <scheme val="minor"/>
      </rPr>
      <t>fies_worried</t>
    </r>
    <r>
      <rPr>
        <sz val="12"/>
        <rFont val="Calibri"/>
        <family val="2"/>
        <scheme val="minor"/>
      </rPr>
      <t xml:space="preserve"> = 1-4, go to </t>
    </r>
    <r>
      <rPr>
        <i/>
        <sz val="12"/>
        <rFont val="Calibri"/>
        <family val="2"/>
        <scheme val="minor"/>
      </rPr>
      <t>fies_healthy</t>
    </r>
  </si>
  <si>
    <r>
      <t xml:space="preserve">During the last 30 days, was there a time when you or others in your household were </t>
    </r>
    <r>
      <rPr>
        <u/>
        <sz val="12"/>
        <rFont val="Calibri"/>
        <family val="2"/>
        <scheme val="minor"/>
      </rPr>
      <t>unable to eat healthy and nutritious food</t>
    </r>
    <r>
      <rPr>
        <sz val="12"/>
        <rFont val="Calibri"/>
        <family val="2"/>
        <scheme val="minor"/>
      </rPr>
      <t xml:space="preserve"> because of lack of money or other resources?
[OPERATOR: SINGLE RESPONSE]
1)YES
2)NO
3)DON'T KNOW
4)REFUSED</t>
    </r>
  </si>
  <si>
    <r>
      <t xml:space="preserve">Au cours des 30 derniers jours, vous ou un autre membre de votre ménage n'avez-vous </t>
    </r>
    <r>
      <rPr>
        <u/>
        <sz val="12"/>
        <rFont val="Calibri"/>
        <family val="2"/>
        <scheme val="minor"/>
      </rPr>
      <t>pas pu manger une nourriture saine et nutritive</t>
    </r>
    <r>
      <rPr>
        <sz val="12"/>
        <rFont val="Calibri"/>
        <family val="2"/>
        <scheme val="minor"/>
      </rPr>
      <t xml:space="preserve"> par manque d’argent ou d’autres ressources ?
[OPÉRATEUR/OPÉRATRICE: RÉPONSE UNIQUE.]
1)Oui
2)Non
3)NE SAIT PAS
4)REFUSÉ</t>
    </r>
  </si>
  <si>
    <t>1-4 = fies_fewfoods</t>
  </si>
  <si>
    <r>
      <t xml:space="preserve">if </t>
    </r>
    <r>
      <rPr>
        <i/>
        <sz val="12"/>
        <rFont val="Calibri"/>
        <family val="2"/>
        <scheme val="minor"/>
      </rPr>
      <t>fies_healthy</t>
    </r>
    <r>
      <rPr>
        <sz val="12"/>
        <rFont val="Calibri"/>
        <family val="2"/>
        <scheme val="minor"/>
      </rPr>
      <t xml:space="preserve"> = 1-4, go to </t>
    </r>
    <r>
      <rPr>
        <i/>
        <sz val="12"/>
        <rFont val="Calibri"/>
        <family val="2"/>
        <scheme val="minor"/>
      </rPr>
      <t>fies_fewfoods</t>
    </r>
  </si>
  <si>
    <r>
      <t xml:space="preserve">During the last 30 days, was there a time when you or others in your household </t>
    </r>
    <r>
      <rPr>
        <u/>
        <sz val="12"/>
        <rFont val="Calibri"/>
        <family val="2"/>
        <scheme val="minor"/>
      </rPr>
      <t>ate only a few kinds of foods</t>
    </r>
    <r>
      <rPr>
        <sz val="12"/>
        <rFont val="Calibri"/>
        <family val="2"/>
        <scheme val="minor"/>
      </rPr>
      <t xml:space="preserve"> because of lack of money or other resources?
[OPERATOR: SINGLE RESPONSE]
1)YES
2)NO
3)DON'T KNOW
4)REFUSED</t>
    </r>
  </si>
  <si>
    <r>
      <t xml:space="preserve">Au cours des 30 derniers jours, vous ou un autre membre de votre ménage avez-vous </t>
    </r>
    <r>
      <rPr>
        <u/>
        <sz val="12"/>
        <rFont val="Calibri"/>
        <family val="2"/>
        <scheme val="minor"/>
      </rPr>
      <t>mangé une nourriture peu variée</t>
    </r>
    <r>
      <rPr>
        <sz val="12"/>
        <rFont val="Calibri"/>
        <family val="2"/>
        <scheme val="minor"/>
      </rPr>
      <t xml:space="preserve"> par manque d’argent ou d’autres ressources ?
[OPÉRATEUR/OPÉRATRICE: RÉPONSE UNIQUE.]
1)Oui
2)Non
3)NE SAIT PAS
4)REFUSÉ</t>
    </r>
  </si>
  <si>
    <t>1-4 = fies_skipped</t>
  </si>
  <si>
    <r>
      <t xml:space="preserve">if </t>
    </r>
    <r>
      <rPr>
        <i/>
        <sz val="12"/>
        <rFont val="Calibri"/>
        <family val="2"/>
        <scheme val="minor"/>
      </rPr>
      <t>fies_fewfoods</t>
    </r>
    <r>
      <rPr>
        <sz val="12"/>
        <rFont val="Calibri"/>
        <family val="2"/>
        <scheme val="minor"/>
      </rPr>
      <t xml:space="preserve"> = 1-4, go to </t>
    </r>
    <r>
      <rPr>
        <i/>
        <sz val="12"/>
        <rFont val="Calibri"/>
        <family val="2"/>
        <scheme val="minor"/>
      </rPr>
      <t>fies_skipped</t>
    </r>
  </si>
  <si>
    <r>
      <t xml:space="preserve">During the last 30 days, was there a time when you or others in your household </t>
    </r>
    <r>
      <rPr>
        <u/>
        <sz val="12"/>
        <rFont val="Calibri"/>
        <family val="2"/>
        <scheme val="minor"/>
      </rPr>
      <t>had to skip a meal</t>
    </r>
    <r>
      <rPr>
        <sz val="12"/>
        <rFont val="Calibri"/>
        <family val="2"/>
        <scheme val="minor"/>
      </rPr>
      <t xml:space="preserve"> because of lack of money or other resources to get food?
[OPERATOR: SINGLE RESPONSE]
1)YES
2)NO
3)DON'T KNOW
4)REFUSED</t>
    </r>
  </si>
  <si>
    <r>
      <t xml:space="preserve">Au cours des 30 derniers jours, vous ou un autre membre de votre ménage avez-vous </t>
    </r>
    <r>
      <rPr>
        <u/>
        <sz val="12"/>
        <rFont val="Calibri"/>
        <family val="2"/>
        <scheme val="minor"/>
      </rPr>
      <t>dû sauter un repas</t>
    </r>
    <r>
      <rPr>
        <sz val="12"/>
        <rFont val="Calibri"/>
        <family val="2"/>
        <scheme val="minor"/>
      </rPr>
      <t xml:space="preserve"> parce que vous n’aviez pas assez d’argent ou d’autres ressources pour vous procurer à manger ?
[OPÉRATEUR/OPÉRATRICE: RÉPONSE UNIQUE.]
1)Oui
2)Non
3)NE SAIT PAS
4)REFUSÉ</t>
    </r>
  </si>
  <si>
    <t>1-4 = fies_ateless</t>
  </si>
  <si>
    <r>
      <t xml:space="preserve">if </t>
    </r>
    <r>
      <rPr>
        <i/>
        <sz val="12"/>
        <rFont val="Calibri"/>
        <family val="2"/>
        <scheme val="minor"/>
      </rPr>
      <t>fies_skipped</t>
    </r>
    <r>
      <rPr>
        <sz val="12"/>
        <rFont val="Calibri"/>
        <family val="2"/>
        <scheme val="minor"/>
      </rPr>
      <t xml:space="preserve"> = 1-4, go to </t>
    </r>
    <r>
      <rPr>
        <i/>
        <sz val="12"/>
        <rFont val="Calibri"/>
        <family val="2"/>
        <scheme val="minor"/>
      </rPr>
      <t>fies_ateless</t>
    </r>
  </si>
  <si>
    <r>
      <t xml:space="preserve">During the last 30 days, was there a time when you or others in your household </t>
    </r>
    <r>
      <rPr>
        <u/>
        <sz val="12"/>
        <rFont val="Calibri"/>
        <family val="2"/>
        <scheme val="minor"/>
      </rPr>
      <t>ate less than you thought you should</t>
    </r>
    <r>
      <rPr>
        <sz val="12"/>
        <rFont val="Calibri"/>
        <family val="2"/>
        <scheme val="minor"/>
      </rPr>
      <t xml:space="preserve"> because of lack of money or other resources?
[OPERATOR: SINGLE RESPONSE]
1)YES
2)NO
3)DON'T KNOW
4)REFUSED</t>
    </r>
  </si>
  <si>
    <r>
      <t xml:space="preserve">Au cours des 30 derniers jours, y-a-t-il eu des moments lors desquels vous ou d'autre membre de votre ménage avez </t>
    </r>
    <r>
      <rPr>
        <u/>
        <sz val="12"/>
        <rFont val="Calibri"/>
        <family val="2"/>
        <scheme val="minor"/>
      </rPr>
      <t>mangé moins que ce que vous pensiez que auriez dû manger</t>
    </r>
    <r>
      <rPr>
        <sz val="12"/>
        <rFont val="Calibri"/>
        <family val="2"/>
        <scheme val="minor"/>
      </rPr>
      <t xml:space="preserve"> à cause d'un manque d'argent ou d'autres ressources ?
[OPÉRATEUR/OPÉRATRICE: RÉPONSE UNIQUE.]
1)Oui
2)Non
3)NE SAIT PAS
4)REFUSÉ</t>
    </r>
  </si>
  <si>
    <t>1-4 = fies_ranout</t>
  </si>
  <si>
    <r>
      <t xml:space="preserve">if </t>
    </r>
    <r>
      <rPr>
        <i/>
        <sz val="12"/>
        <rFont val="Calibri"/>
        <family val="2"/>
        <scheme val="minor"/>
      </rPr>
      <t>fies_ateless</t>
    </r>
    <r>
      <rPr>
        <sz val="12"/>
        <rFont val="Calibri"/>
        <family val="2"/>
        <scheme val="minor"/>
      </rPr>
      <t xml:space="preserve"> = 1-4, go to </t>
    </r>
    <r>
      <rPr>
        <i/>
        <sz val="12"/>
        <rFont val="Calibri"/>
        <family val="2"/>
        <scheme val="minor"/>
      </rPr>
      <t>fies_ranout</t>
    </r>
  </si>
  <si>
    <r>
      <rPr>
        <sz val="12"/>
        <rFont val="Calibri"/>
        <family val="2"/>
        <scheme val="minor"/>
      </rPr>
      <t xml:space="preserve">In the past 30 days, was there ever </t>
    </r>
    <r>
      <rPr>
        <u/>
        <sz val="12"/>
        <rFont val="Calibri"/>
        <family val="2"/>
        <scheme val="minor"/>
      </rPr>
      <t>no food to eat of any kind</t>
    </r>
    <r>
      <rPr>
        <sz val="12"/>
        <rFont val="Calibri"/>
        <family val="2"/>
        <scheme val="minor"/>
      </rPr>
      <t xml:space="preserve"> in your house because of lack of resources to get food?</t>
    </r>
    <r>
      <rPr>
        <sz val="11"/>
        <rFont val="Calibri"/>
        <family val="2"/>
        <scheme val="minor"/>
      </rPr>
      <t xml:space="preserve">
[OPERATOR: SINGLE RESPONSE]
1)YES
2)NO
3)DON'T KNOW
4)REFUSED</t>
    </r>
  </si>
  <si>
    <r>
      <t xml:space="preserve">Au cours des 30 derniers jours, y a-t-il parfois eu plus </t>
    </r>
    <r>
      <rPr>
        <u/>
        <sz val="12"/>
        <rFont val="Calibri"/>
        <family val="2"/>
        <scheme val="minor"/>
      </rPr>
      <t>aucune nourriture à manger</t>
    </r>
    <r>
      <rPr>
        <sz val="12"/>
        <rFont val="Calibri"/>
        <family val="2"/>
        <scheme val="minor"/>
      </rPr>
      <t>, de quelque nature que ce soit, dans votre foyer, en raison du manque de ressources pour se procurer de la nourriture ?
[OPÉRATEUR/OPÉRATRICE: RÉPONSE UNIQUE.]
1)Oui
2)Non
3)NE SAIT PAS
4)REFUSÉ</t>
    </r>
  </si>
  <si>
    <t>1=fies_ranout_hhs
2-4 = fies_hungry</t>
  </si>
  <si>
    <r>
      <t xml:space="preserve">if </t>
    </r>
    <r>
      <rPr>
        <i/>
        <sz val="12"/>
        <rFont val="Calibri"/>
        <family val="2"/>
        <scheme val="minor"/>
      </rPr>
      <t>fies_ranout</t>
    </r>
    <r>
      <rPr>
        <sz val="12"/>
        <rFont val="Calibri"/>
        <family val="2"/>
        <scheme val="minor"/>
      </rPr>
      <t xml:space="preserve"> = 1, go to </t>
    </r>
    <r>
      <rPr>
        <i/>
        <sz val="12"/>
        <rFont val="Calibri"/>
        <family val="2"/>
        <scheme val="minor"/>
      </rPr>
      <t>fies_ranout_hhs</t>
    </r>
    <r>
      <rPr>
        <sz val="12"/>
        <rFont val="Calibri"/>
        <family val="2"/>
        <scheme val="minor"/>
      </rPr>
      <t xml:space="preserve">. Otherwise, go to </t>
    </r>
    <r>
      <rPr>
        <i/>
        <sz val="12"/>
        <rFont val="Calibri"/>
        <family val="2"/>
        <scheme val="minor"/>
      </rPr>
      <t>fies_hungry</t>
    </r>
  </si>
  <si>
    <t>Change question text</t>
  </si>
  <si>
    <r>
      <t>How often did this happen?
[OPERATOR: SINGLE RESPONSE]
1)Rarely</t>
    </r>
    <r>
      <rPr>
        <sz val="12"/>
        <rFont val="Calibri"/>
        <family val="2"/>
        <scheme val="minor"/>
      </rPr>
      <t xml:space="preserve"> (1-2 times in the past 30 days)</t>
    </r>
    <r>
      <rPr>
        <sz val="11"/>
        <rFont val="Calibri"/>
        <family val="2"/>
        <scheme val="minor"/>
      </rPr>
      <t xml:space="preserve">
2)Sometimes </t>
    </r>
    <r>
      <rPr>
        <sz val="12"/>
        <rFont val="Calibri"/>
        <family val="2"/>
        <scheme val="minor"/>
      </rPr>
      <t>(3-10 times in the past 30 days)</t>
    </r>
    <r>
      <rPr>
        <sz val="11"/>
        <rFont val="Calibri"/>
        <family val="2"/>
        <scheme val="minor"/>
      </rPr>
      <t xml:space="preserve">
3)Often</t>
    </r>
    <r>
      <rPr>
        <sz val="12"/>
        <rFont val="Calibri"/>
        <family val="2"/>
        <scheme val="minor"/>
      </rPr>
      <t xml:space="preserve"> (more than 10 times in the last 30 days)</t>
    </r>
    <r>
      <rPr>
        <sz val="11"/>
        <rFont val="Calibri"/>
        <family val="2"/>
        <scheme val="minor"/>
      </rPr>
      <t xml:space="preserve">
4)DON'T KNOW
5)REFUSED</t>
    </r>
  </si>
  <si>
    <t>Combien de fois cela s'est-il produit ?
[OPÉRATEUR/OPÉRATRICE: RÉPONSE UNIQUE]
1)Rarement [1 ou 2 fois au cours des 30 derniers jours]
2)Parfois [entre 3 et 10 fois au cours des 30 derniers jours]
3)Souvent [plus de 10 fois au cours des 30 derniers jours]
4)NE SAIT PAS
5)REFUSÉ</t>
  </si>
  <si>
    <t>Send if "fies_ranout" "Equals" "YES", if not satisfied go to "fies_hungry"</t>
  </si>
  <si>
    <t xml:space="preserve">1-5 = fies_hungry </t>
  </si>
  <si>
    <r>
      <t xml:space="preserve">if </t>
    </r>
    <r>
      <rPr>
        <i/>
        <sz val="12"/>
        <rFont val="Calibri"/>
        <family val="2"/>
        <scheme val="minor"/>
      </rPr>
      <t>fies_ranout_hhs</t>
    </r>
    <r>
      <rPr>
        <sz val="12"/>
        <rFont val="Calibri"/>
        <family val="2"/>
        <scheme val="minor"/>
      </rPr>
      <t xml:space="preserve"> = 1-5, go to </t>
    </r>
    <r>
      <rPr>
        <i/>
        <sz val="12"/>
        <rFont val="Calibri"/>
        <family val="2"/>
        <scheme val="minor"/>
      </rPr>
      <t>fies_hungry</t>
    </r>
  </si>
  <si>
    <t xml:space="preserve">resp_age = 18-100
hh_agricactivity = 1 | 2 | 3 | 4
quotareached = 2
fies_ranout = 1 </t>
  </si>
  <si>
    <t>Change options 1-3</t>
  </si>
  <si>
    <r>
      <rPr>
        <sz val="12"/>
        <rFont val="Calibri"/>
        <family val="2"/>
        <scheme val="minor"/>
      </rPr>
      <t xml:space="preserve">In the past 30 days, did you or any household member ever </t>
    </r>
    <r>
      <rPr>
        <u/>
        <sz val="12"/>
        <rFont val="Calibri"/>
        <family val="2"/>
        <scheme val="minor"/>
      </rPr>
      <t>go to sleep at night hungry</t>
    </r>
    <r>
      <rPr>
        <sz val="12"/>
        <rFont val="Calibri"/>
        <family val="2"/>
        <scheme val="minor"/>
      </rPr>
      <t xml:space="preserve"> because there was not enough food?</t>
    </r>
    <r>
      <rPr>
        <sz val="11"/>
        <rFont val="Calibri"/>
        <family val="2"/>
        <scheme val="minor"/>
      </rPr>
      <t xml:space="preserve">
[OPERATOR: SINGLE RESPONSE]
1)YES
2)NO
3)DON'T KNOW
4)REFUSED</t>
    </r>
  </si>
  <si>
    <r>
      <t xml:space="preserve">Au cours des 30 derniers jours, êtiez-vous ou tout membre de votre ménage </t>
    </r>
    <r>
      <rPr>
        <u/>
        <sz val="12"/>
        <rFont val="Calibri"/>
        <family val="2"/>
        <scheme val="minor"/>
      </rPr>
      <t>obligé de dormir affamé le soir</t>
    </r>
    <r>
      <rPr>
        <sz val="12"/>
        <rFont val="Calibri"/>
        <family val="2"/>
        <scheme val="minor"/>
      </rPr>
      <t xml:space="preserve"> parce qu'il n'y avait pas assez de nourriture ?
[OPÉRATEUR/OPÉRATRICE: RÉPONSE UNIQUE.]
1)Oui
2)Non
3)NE SAIT PAS
4)REFUSÉ</t>
    </r>
  </si>
  <si>
    <t>1=fies_hungry_hhs
2-4 = fies_whlday</t>
  </si>
  <si>
    <r>
      <t xml:space="preserve">if </t>
    </r>
    <r>
      <rPr>
        <i/>
        <sz val="12"/>
        <rFont val="Calibri"/>
        <family val="2"/>
        <scheme val="minor"/>
      </rPr>
      <t>fies_hungry</t>
    </r>
    <r>
      <rPr>
        <sz val="12"/>
        <rFont val="Calibri"/>
        <family val="2"/>
        <scheme val="minor"/>
      </rPr>
      <t xml:space="preserve"> = 1, go to </t>
    </r>
    <r>
      <rPr>
        <i/>
        <sz val="12"/>
        <rFont val="Calibri"/>
        <family val="2"/>
        <scheme val="minor"/>
      </rPr>
      <t>fies_hungry_hhs</t>
    </r>
    <r>
      <rPr>
        <sz val="12"/>
        <rFont val="Calibri"/>
        <family val="2"/>
        <scheme val="minor"/>
      </rPr>
      <t xml:space="preserve">. Otherwise, go to </t>
    </r>
    <r>
      <rPr>
        <i/>
        <sz val="12"/>
        <rFont val="Calibri"/>
        <family val="2"/>
        <scheme val="minor"/>
      </rPr>
      <t>fies_whlday</t>
    </r>
  </si>
  <si>
    <t>Send if "fies_hungry" "Equals" "YES", if not satisfied go to "fies_whlday"</t>
  </si>
  <si>
    <t>1-5 = fies_whlday</t>
  </si>
  <si>
    <r>
      <t xml:space="preserve">if </t>
    </r>
    <r>
      <rPr>
        <i/>
        <sz val="12"/>
        <rFont val="Calibri"/>
        <family val="2"/>
        <scheme val="minor"/>
      </rPr>
      <t>fies_hungry_hhs</t>
    </r>
    <r>
      <rPr>
        <sz val="12"/>
        <rFont val="Calibri"/>
        <family val="2"/>
        <scheme val="minor"/>
      </rPr>
      <t xml:space="preserve"> = 1-5, go to </t>
    </r>
    <r>
      <rPr>
        <i/>
        <sz val="12"/>
        <rFont val="Calibri"/>
        <family val="2"/>
        <scheme val="minor"/>
      </rPr>
      <t>fies_whlday</t>
    </r>
  </si>
  <si>
    <t xml:space="preserve">resp_age = 18-100
hh_agricactivity = 1 | 2 | 3 | 4
quotareached = 2
fies_hungry = 1 </t>
  </si>
  <si>
    <r>
      <rPr>
        <sz val="12"/>
        <rFont val="Calibri"/>
        <family val="2"/>
        <scheme val="minor"/>
      </rPr>
      <t>In the past 30 days, did you or any household member ever</t>
    </r>
    <r>
      <rPr>
        <u/>
        <sz val="12"/>
        <rFont val="Calibri"/>
        <family val="2"/>
        <scheme val="minor"/>
      </rPr>
      <t xml:space="preserve"> go a whole day and night without eating anything at all</t>
    </r>
    <r>
      <rPr>
        <sz val="12"/>
        <rFont val="Calibri"/>
        <family val="2"/>
        <scheme val="minor"/>
      </rPr>
      <t xml:space="preserve"> because there was not enough food?</t>
    </r>
    <r>
      <rPr>
        <sz val="11"/>
        <rFont val="Calibri"/>
        <family val="2"/>
        <scheme val="minor"/>
      </rPr>
      <t xml:space="preserve">
[OPERATOR: SINGLE RESPONSE]
1)YES
2)NO
3)DON'T KNOW
4)REFUSED</t>
    </r>
  </si>
  <si>
    <r>
      <t xml:space="preserve">Au cours des 30 derniers jours, avez-vous ou tout membre de votre ménage passé </t>
    </r>
    <r>
      <rPr>
        <u/>
        <sz val="12"/>
        <rFont val="Calibri"/>
        <family val="2"/>
        <scheme val="minor"/>
      </rPr>
      <t>une journée et une nuit entières sans rien manger</t>
    </r>
    <r>
      <rPr>
        <sz val="12"/>
        <rFont val="Calibri"/>
        <family val="2"/>
        <scheme val="minor"/>
      </rPr>
      <t xml:space="preserve"> parce qu'il n'y avait pas assez de nourriture ?
[OPÉRATEUR/OPÉRATRICE: RÉPONSE UNIQUE.]
1)Oui
2)Non
3)NE SAIT PAS
4)REFUSÉ</t>
    </r>
  </si>
  <si>
    <r>
      <t xml:space="preserve">1=fies_whlday_hhs
2-4 = </t>
    </r>
    <r>
      <rPr>
        <b/>
        <sz val="12"/>
        <color rgb="FF0070C0"/>
        <rFont val="Calibri"/>
        <family val="2"/>
        <scheme val="minor"/>
      </rPr>
      <t>[copingstrategies OR hdds]</t>
    </r>
  </si>
  <si>
    <r>
      <t>if fies_whlday = 1, go to fies_whlday_hhs. Otherwise, go to</t>
    </r>
    <r>
      <rPr>
        <sz val="12"/>
        <color theme="4"/>
        <rFont val="Calibri"/>
        <family val="2"/>
        <scheme val="minor"/>
      </rPr>
      <t xml:space="preserve"> copingstrategies OR hdds</t>
    </r>
  </si>
  <si>
    <t>Send if "fies_whlday" "Equals" "YES", if not satisfied go to "copingstrategies"</t>
  </si>
  <si>
    <r>
      <t xml:space="preserve">1-5 = </t>
    </r>
    <r>
      <rPr>
        <sz val="12"/>
        <color rgb="FF0070C0"/>
        <rFont val="Calibri"/>
        <family val="2"/>
        <scheme val="minor"/>
      </rPr>
      <t>[</t>
    </r>
    <r>
      <rPr>
        <b/>
        <sz val="12"/>
        <color rgb="FF0070C0"/>
        <rFont val="Calibri"/>
        <family val="2"/>
        <scheme val="minor"/>
      </rPr>
      <t xml:space="preserve">copingstrategies </t>
    </r>
    <r>
      <rPr>
        <sz val="12"/>
        <color rgb="FF0070C0"/>
        <rFont val="Calibri"/>
        <family val="2"/>
        <scheme val="minor"/>
      </rPr>
      <t xml:space="preserve">OR </t>
    </r>
    <r>
      <rPr>
        <b/>
        <sz val="12"/>
        <color rgb="FF0070C0"/>
        <rFont val="Calibri"/>
        <family val="2"/>
        <scheme val="minor"/>
      </rPr>
      <t>hdds</t>
    </r>
    <r>
      <rPr>
        <sz val="12"/>
        <color rgb="FF0070C0"/>
        <rFont val="Calibri"/>
        <family val="2"/>
        <scheme val="minor"/>
      </rPr>
      <t>]</t>
    </r>
  </si>
  <si>
    <r>
      <t>if fies_whlday_hhs = 1-5, go to</t>
    </r>
    <r>
      <rPr>
        <sz val="12"/>
        <color theme="4"/>
        <rFont val="Calibri"/>
        <family val="2"/>
        <scheme val="minor"/>
      </rPr>
      <t xml:space="preserve"> copingstrategies OR hdds</t>
    </r>
  </si>
  <si>
    <t xml:space="preserve">resp_age = 18-100
hh_agricactivity = 1 | 2 | 3 | 4
quotareached = 2
fies_whlday = 1 </t>
  </si>
  <si>
    <r>
      <t xml:space="preserve">Now I would like to ask you about the 2nd set of questions on coping strategies, referring to the </t>
    </r>
    <r>
      <rPr>
        <u/>
        <sz val="12"/>
        <rFont val="Calibri"/>
        <family val="2"/>
        <scheme val="minor"/>
      </rPr>
      <t>past 30 days</t>
    </r>
    <r>
      <rPr>
        <sz val="12"/>
        <rFont val="Calibri"/>
        <family val="2"/>
        <scheme val="minor"/>
      </rPr>
      <t>.
[OPERATOR: SINGLE RESPONSE]
1)NEXT</t>
    </r>
  </si>
  <si>
    <r>
      <t xml:space="preserve">Je voudrais maintenant vous poser une deuxième série de questions sur les stratégies d'adaptation que vous avez mises en place </t>
    </r>
    <r>
      <rPr>
        <u/>
        <sz val="12"/>
        <rFont val="Calibri"/>
        <family val="2"/>
        <scheme val="minor"/>
      </rPr>
      <t>au cours des 30 derniers jours</t>
    </r>
    <r>
      <rPr>
        <sz val="12"/>
        <rFont val="Calibri"/>
        <family val="2"/>
        <scheme val="minor"/>
      </rPr>
      <t>.
[OPÉRATEUR/OPÉRATRICE: RÉPONSE UNIQUE]
1)CONTINUER</t>
    </r>
  </si>
  <si>
    <t>1 = cs_spentsavings</t>
  </si>
  <si>
    <t xml:space="preserve">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
Les stratégies d'adaptation doivent être sélectionnées en fonction du contexte local. Dix (10) stratégies d'adaptation doivent être sélectionnées: 4 en situation de stress, 3 en situation de crise et 3 en situation d'urgence. 
Supprimer les stratégies d'adaptation non utilisées dans l'enquête ou proposer des modifications pour la colonne "English" (c'est-à-dire dansle texte), dans la colonne "Additional notes".
</t>
  </si>
  <si>
    <t xml:space="preserve"> cs_stress_hh_assets</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</si>
  <si>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household assets / goods</t>
    </r>
    <r>
      <rPr>
        <sz val="12"/>
        <rFont val="Calibri"/>
        <family val="2"/>
        <scheme val="minor"/>
      </rPr>
      <t xml:space="preserve">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</si>
  <si>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vendre des biens ménagers</t>
    </r>
    <r>
      <rPr>
        <sz val="12"/>
        <rFont val="Calibri"/>
        <family val="2"/>
        <scheme val="minor"/>
      </rPr>
      <t xml:space="preserve"> (radio, meubles, télévision, bijoux, etc.) en raison du manque de nourriture ou d'argent ?
[OPÉRATEUR/OPÉRATRICE: RÉPONSE UNIQUE]
1)Oui
2)Non - parce que ce n'était pas nécessaire
3)Non - parce que vous avez déjà vendu ces biens ou réalisé cette opération au cours des 12 derniers mois et que vous ne pouvez pas continuer à le faire
4)Sans objet
5)NE SAIT PAS 
6)REFUSÉ</t>
    </r>
  </si>
  <si>
    <r>
      <t xml:space="preserve">1-6 = </t>
    </r>
    <r>
      <rPr>
        <b/>
        <sz val="12"/>
        <color rgb="FF0070C0"/>
        <rFont val="Calibri"/>
        <family val="2"/>
        <scheme val="minor"/>
      </rPr>
      <t>[next question]</t>
    </r>
  </si>
  <si>
    <t xml:space="preserve"> cs_stress_spent_savings</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</si>
  <si>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spend savings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</si>
  <si>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dépenser les économies</t>
    </r>
    <r>
      <rPr>
        <sz val="12"/>
        <rFont val="Calibri"/>
        <family val="2"/>
        <scheme val="minor"/>
      </rPr>
      <t xml:space="preserve"> en raison du manque de nourriture ou d'argent ?
[OPÉRATEUR/OPÉRATRICE: RÉPONSE UNIQUE]
1)Oui
2)Non - parce que ce n'était pas nécessaire
3)Non - parce que vous avez déjà vendu ces biens ou fait cette activité au cours des 12 derniers mois et que vous ne pouvez pas continuer à le faire
4)Sans objet
5)NE SAIT PAS 
6)REFUSÉ</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</si>
  <si>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more animals (non-reproductive) than usual</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</si>
  <si>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vendre plus d'animaux (non reproducteurs) que d'habitude</t>
    </r>
    <r>
      <rPr>
        <sz val="12"/>
        <rFont val="Calibri"/>
        <family val="2"/>
        <scheme val="minor"/>
      </rPr>
      <t xml:space="preserve"> en raison du manque de nourriture ou d'argent ?
[OPÉRATEUR/OPÉRATRICE: RÉPONSE UNIQUE]
1)Oui
2)Non - parce que ce n'était pas nécessaire
3)Non - parce que vous avez déjà vendu ces biens ou fait cette activité au cours des 12 derniers mois et que vous ne pouvez pas continuer à le faire
4)Sans objet
5)NE SAIT PAS 
6)REFUSÉ</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</si>
  <si>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send household members to eat elsewhere</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</si>
  <si>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envoyer certains membres du ménage manger ailleurs</t>
    </r>
    <r>
      <rPr>
        <sz val="12"/>
        <rFont val="Calibri"/>
        <family val="2"/>
        <scheme val="minor"/>
      </rPr>
      <t xml:space="preserve"> en raison du manque de nourriture ou d'argent ?
[OPÉRATEUR/OPÉRATRICE: RÉPONSE UNIQUE]
1)Oui
2)Non - parce que ce n'était pas nécessaire
3)Non - parce que vous avez déjà vendu ces biens ou fait cette activité au cours des 12 derniers mois et que vous ne pouvez pas continuer à le faire
4)Sans objet
5)NE SAIT PAS 
6)REFUSÉ</t>
    </r>
  </si>
  <si>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borrow food or rely on help from friends or relatives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</si>
  <si>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emprunter de la nourriture ou compter sur l'aide d'amis ou de parents</t>
    </r>
    <r>
      <rPr>
        <sz val="12"/>
        <rFont val="Calibri"/>
        <family val="2"/>
        <scheme val="minor"/>
      </rPr>
      <t xml:space="preserve"> en raison du manque de nourriture ou d'argent ?
[OPÉRATEUR/OPÉRATRICE: RÉPONSE UNIQUE]
1)Oui
2)Non - parce que ce n'était pas nécessaire
3)Non - parce que vous avez déjà vendu ces biens ou fait cette activité au cours des 12 derniers mois et que vous ne pouvez pas continuer à le faire
4)Sans objet
5)NE SAIT PAS 
6)REFUSÉ</t>
    </r>
  </si>
  <si>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purchase food on credit or borrowed food</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</si>
  <si>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acheter de la nourriture à crédit ou emprunter de la nourriture</t>
    </r>
    <r>
      <rPr>
        <sz val="12"/>
        <rFont val="Calibri"/>
        <family val="2"/>
        <scheme val="minor"/>
      </rPr>
      <t xml:space="preserve"> en raison du manque de nourriture ou d'argent ?
[OPÉRATEUR/OPÉRATRICE: RÉPONSE UNIQUE]
1)Oui
2)Non - parce que ce n'était pas nécessaire
3)Non - parce que vous avez déjà vendu ces biens ou fait cette activité au cours des 12 derniers mois et que vous ne pouvez pas continuer à le faire
4)Sans objet
5)NE SAIT PAS 
6)REFUSÉ</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</si>
  <si>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borrow money</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 DON'T KNOW 
6) 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</si>
  <si>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emprunter de l'argent</t>
    </r>
    <r>
      <rPr>
        <sz val="12"/>
        <rFont val="Calibri"/>
        <family val="2"/>
        <scheme val="minor"/>
      </rPr>
      <t xml:space="preserve"> en raison du manque de nourriture ou d'argent ?
[OPÉRATEUR/OPÉRATRICE: RÉPONSE UNIQUE]
1)Oui
2)Non - parce que ce n'était pas nécessaire
3)Non - parce que vous avez déjà vendu ces biens ou fait cette activité au cours des 12 derniers mois et que vous ne pouvez pas continuer à le faire
4)Sans objet
5)NE SAIT PAS 
6)REFUSÉ</t>
    </r>
  </si>
  <si>
    <t>cs_stress_changed_school</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</si>
  <si>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move children to less expensive school</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</si>
  <si>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transférer les enfants dans une école moins chère</t>
    </r>
    <r>
      <rPr>
        <sz val="12"/>
        <rFont val="Calibri"/>
        <family val="2"/>
        <scheme val="minor"/>
      </rPr>
      <t xml:space="preserve"> en raison du manque de nourriture ou d'argent ?
[OPÉRATEUR/OPÉRATRICE: RÉPONSE UNIQUE]
1)Oui
2)Non - parce que ce n'était pas nécessaire
3)Non - parce que vous avez déjà vendu ces biens ou fait cette activité au cours des 12 derniers mois et que vous ne pouvez pas continuer à le faire
4)Sans objet
5)NE SAIT PAS 
6)REFUSÉ</t>
    </r>
  </si>
  <si>
    <t>cs_crisis_sold_prod_assets</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</si>
  <si>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productive assets or means of transport</t>
    </r>
    <r>
      <rPr>
        <sz val="12"/>
        <rFont val="Calibri"/>
        <family val="2"/>
        <scheme val="minor"/>
      </rPr>
      <t xml:space="preserve">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</si>
  <si>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vendre des actifs productifs ou des véhicules</t>
    </r>
    <r>
      <rPr>
        <sz val="12"/>
        <rFont val="Calibri"/>
        <family val="2"/>
        <scheme val="minor"/>
      </rPr>
      <t xml:space="preserve"> (machine à coudre, brouette, vélo, voiture, etc.) en raison du manque de nourriture ou d'argent ?
[OPÉRATEUR/OPÉRATRICE: RÉPONSE UNIQUE]
1)Oui
2)Non - parce que ce n'était pas nécessaire
3)Non - parce que vous avez déjà vendu ces biens ou fait cette activité au cours des 12 derniers mois et que vous ne pouvez pas continuer à le faire
4)Sans objet
5)NE SAIT PAS 
6)REFUSÉ</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</si>
  <si>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withdraw children from school</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</si>
  <si>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retirer les enfants de l'école</t>
    </r>
    <r>
      <rPr>
        <sz val="12"/>
        <rFont val="Calibri"/>
        <family val="2"/>
        <scheme val="minor"/>
      </rPr>
      <t xml:space="preserve"> en raison du manque de nourriture ou d'argent ?
[OPÉRATEUR/OPÉRATRICE: RÉPONSE UNIQUE]
1)Oui
2)Non - parce que ce n'était pas nécessaire
3)Non - parce que vous avez déjà vendu ces biens ou fait cette activité au cours des 12 derniers mois et que vous ne pouvez pas continuer à le faire
4)Sans objet
5)NE SAIT PAS 
6)REFUSÉ</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</si>
  <si>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reduce expenses on health</t>
    </r>
    <r>
      <rPr>
        <sz val="12"/>
        <rFont val="Calibri"/>
        <family val="2"/>
        <scheme val="minor"/>
      </rPr>
      <t xml:space="preserve"> (including drugs)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</si>
  <si>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réduire les dépenses de santé</t>
    </r>
    <r>
      <rPr>
        <sz val="12"/>
        <rFont val="Calibri"/>
        <family val="2"/>
        <scheme val="minor"/>
      </rPr>
      <t xml:space="preserve"> (y compris les médicaments) en raison du manque de nourriture ou d'argent ?
[OPÉRATEUR/OPÉRATRICE: RÉPONSE UNIQUE]
1)Oui
2)Non - parce que ce n'était pas nécessaire
3)Non - parce que vous avez déjà vendu ces biens ou fait cette activité au cours des 12 derniers mois et que vous ne pouvez pas continuer à le faire
4)Sans objet
5)NE SAIT PAS 
6)REFUSÉ</t>
    </r>
  </si>
  <si>
    <t>cs_crisis_harv_immature_crops</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</si>
  <si>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harvest immature crops (e.g. green maize) to eat</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</si>
  <si>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récolter des cultures immatures (par exemple, le maïs vert) pour les manger</t>
    </r>
    <r>
      <rPr>
        <sz val="12"/>
        <rFont val="Calibri"/>
        <family val="2"/>
        <scheme val="minor"/>
      </rPr>
      <t xml:space="preserve"> en raison du manque de nourriture ou d'argent ?
[OPÉRATEUR/OPÉRATRICE: RÉPONSE UNIQUE]
1)Oui
2)Non - parce que ce n'était pas nécessaire
3)Non - parce que vous avez déjà vendu ces biens ou fait cette activité au cours des 12 derniers mois et que vous ne pouvez pas continuer à le faire
4)Sans objet
5)NE SAIT PAS 
6)REFUSÉ</t>
    </r>
  </si>
  <si>
    <r>
      <t>Over the</t>
    </r>
    <r>
      <rPr>
        <b/>
        <sz val="12"/>
        <rFont val="Calibri"/>
        <family val="2"/>
        <scheme val="minor"/>
      </rPr>
      <t xml:space="preserve"> past 30 days</t>
    </r>
    <r>
      <rPr>
        <sz val="12"/>
        <rFont val="Calibri"/>
        <family val="2"/>
        <scheme val="minor"/>
      </rPr>
      <t xml:space="preserve">, did anyone in your household </t>
    </r>
    <r>
      <rPr>
        <u/>
        <sz val="12"/>
        <rFont val="Calibri"/>
        <family val="2"/>
        <scheme val="minor"/>
      </rPr>
      <t>consume seed stocks that were to be held/saved for the next planting season</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</si>
  <si>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consommer les stocks de semences qui devaient être conservés pour la prochaine campagne de semis</t>
    </r>
    <r>
      <rPr>
        <sz val="12"/>
        <rFont val="Calibri"/>
        <family val="2"/>
        <scheme val="minor"/>
      </rPr>
      <t xml:space="preserve"> en raison du manque de nourriture ou d'argent ?
[OPÉRATEUR/OPÉRATRICE: RÉPONSE UNIQUE]
1)Oui
2)Non - parce que ce n'était pas nécessaire
3)Non - parce que vous avez déjà vendu ces biens ou fait cette activité au cours des 12 derniers mois et que vous ne pouvez pas continuer à le faire
4)Sans objet
5)NE SAIT PAS 
6)REFUSÉ</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</si>
  <si>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decrease expenditures on fertilizer, pesticide, fodder, animal feed, veterinary care, etc.</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</si>
  <si>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diminuer les dépenses d'engrais, pesticides, fourrage, aliments pour animaux, soins vétérinaires, etc</t>
    </r>
    <r>
      <rPr>
        <sz val="12"/>
        <rFont val="Calibri"/>
        <family val="2"/>
        <scheme val="minor"/>
      </rPr>
      <t>. en raison du manque de nourriture ou d'argent ?
[OPÉRATEUR/OPÉRATRICE: RÉPONSE UNIQUE]
1)Oui
2)Non - parce que ce n'était pas nécessaire
3)Non - parce que vous avez déjà vendu ces biens ou fait cette activité au cours des 12 derniers mois et que vous ne pouvez pas continuer à le faire
4)Sans objet
5)NE SAIT PAS 
6)REFUSÉ</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</si>
  <si>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house or land</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</si>
  <si>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vendre sa maison ou ses terres</t>
    </r>
    <r>
      <rPr>
        <sz val="12"/>
        <rFont val="Calibri"/>
        <family val="2"/>
        <scheme val="minor"/>
      </rPr>
      <t xml:space="preserve"> en raison du manque de nourriture ou d'argent ?
[OPÉRATEUR/OPÉRATRICE: RÉPONSE UNIQUE]
1)Oui
2)Non - parce que ce n'était pas nécessaire
3)Non - parce que vous avez déjà vendu ces biens ou fait cette activité au cours des 12 derniers mois et que vous ne pouvez pas continuer à le faire
4)Sans objet
5)NE SAIT PAS 
6)REFUSÉ</t>
    </r>
  </si>
  <si>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beg</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</si>
  <si>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mendier</t>
    </r>
    <r>
      <rPr>
        <sz val="12"/>
        <rFont val="Calibri"/>
        <family val="2"/>
        <scheme val="minor"/>
      </rPr>
      <t xml:space="preserve"> en raison du manque de nourriture ou d'argent ?
[OPÉRATEUR/OPÉRATRICE: RÉPONSE UNIQUE]
1)Oui
2)Non - parce que ce n'était pas nécessaire
3)Non - parce que vous avez déjà vendu ces biens ou fait cette activité au cours des 12 derniers mois et que vous ne pouvez pas continuer à le faire
4)Sans objet
5)NE SAIT PAS 
6)REFUSÉ</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</si>
  <si>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engage in illegal or degrading income activities</t>
    </r>
    <r>
      <rPr>
        <sz val="12"/>
        <rFont val="Calibri"/>
        <family val="2"/>
        <scheme val="minor"/>
      </rPr>
      <t xml:space="preserve"> (theft, prostitution)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</si>
  <si>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s'engager dans des activités illégales ou dégradantes pour obtenir un revenu suplémentaire</t>
    </r>
    <r>
      <rPr>
        <sz val="12"/>
        <rFont val="Calibri"/>
        <family val="2"/>
        <scheme val="minor"/>
      </rPr>
      <t xml:space="preserve"> (vol, prostitution) en raison du manque de nourriture ou d'argent ?
[OPÉRATEUR/OPÉRATRICE: RÉPONSE UNIQUE]
1)Oui
2)Non - parce que ce n'était pas nécessaire
3)Non - parce que vous avez déjà vendu ces biens ou fait cette activité au cours des 12 derniers mois et que vous ne pouvez pas continuer à le faire
4)Sans objet
5)NE SAIT PAS 
6)REFUSÉ</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</si>
  <si>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last female animals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</si>
  <si>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vendre les dernières femelles animales</t>
    </r>
    <r>
      <rPr>
        <sz val="12"/>
        <rFont val="Calibri"/>
        <family val="2"/>
        <scheme val="minor"/>
      </rPr>
      <t xml:space="preserve"> en raison du manque de nourriture ou d'argent ?
[OPÉRATEUR/OPÉRATRICE: RÉPONSE UNIQUE]
1)Oui
2)Non - parce que ce n'était pas nécessaire
3)Non - parce que vous avez déjà vendu ces biens ou fait cette activité au cours des 12 derniers mois et que vous ne pouvez pas continuer à le faire
4)Sans objet
5)NE SAIT PAS 
6)REFUSÉ</t>
    </r>
  </si>
  <si>
    <r>
      <t xml:space="preserve">Over the </t>
    </r>
    <r>
      <rPr>
        <b/>
        <sz val="12"/>
        <rFont val="Calibri"/>
        <family val="2"/>
        <scheme val="minor"/>
      </rPr>
      <t>past 30 days</t>
    </r>
    <r>
      <rPr>
        <sz val="12"/>
        <rFont val="Calibri"/>
        <family val="2"/>
        <scheme val="minor"/>
      </rPr>
      <t xml:space="preserve">, did </t>
    </r>
    <r>
      <rPr>
        <u/>
        <sz val="12"/>
        <rFont val="Calibri (Body)"/>
      </rPr>
      <t>your entire household have to m</t>
    </r>
    <r>
      <rPr>
        <u/>
        <sz val="12"/>
        <rFont val="Calibri"/>
        <family val="2"/>
        <scheme val="minor"/>
      </rPr>
      <t>igrate</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</si>
  <si>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t>
    </r>
    <r>
      <rPr>
        <u/>
        <sz val="12"/>
        <rFont val="Calibri"/>
        <family val="2"/>
        <scheme val="minor"/>
      </rPr>
      <t>votre ménage entier a dû migrer</t>
    </r>
    <r>
      <rPr>
        <sz val="12"/>
        <rFont val="Calibri"/>
        <family val="2"/>
        <scheme val="minor"/>
      </rPr>
      <t xml:space="preserve"> en raison du manque de nourriture ou d'argent ?
[OPÉRATEUR/OPÉRATRICE: RÉPONSE UNIQUE]
1)Oui
2)Non - parce que ce n'était pas nécessaire
3)Non - parce que vous avez déjà vendu ces biens ou fait cette activité au cours des 12 derniers mois et que vous ne pouvez pas continuer à le faire
4)Sans objet
5)NE SAIT PAS 
6)REFUSÉ</t>
    </r>
  </si>
  <si>
    <t>hdds
1) hdds_cereals
2) hdds_rootstubers
3) hdds_vegetables
4) hdds_fruits
5) hdds_meat
6) hdds_eggs
7) hdds_fish
8) hdds_legumes
9) hdds_milkdairy
10) hdds_oils
11)hdds_sugar
12) hdds_condiments</t>
  </si>
  <si>
    <t>1-12 = hdds_confirmation</t>
  </si>
  <si>
    <r>
      <t xml:space="preserve">if </t>
    </r>
    <r>
      <rPr>
        <i/>
        <sz val="12"/>
        <rFont val="Calibri"/>
        <family val="2"/>
        <scheme val="minor"/>
      </rPr>
      <t xml:space="preserve">hdds </t>
    </r>
    <r>
      <rPr>
        <sz val="12"/>
        <rFont val="Calibri"/>
        <family val="2"/>
        <scheme val="minor"/>
      </rPr>
      <t xml:space="preserve">= 1-12, go to </t>
    </r>
    <r>
      <rPr>
        <i/>
        <sz val="12"/>
        <rFont val="Calibri"/>
        <family val="2"/>
        <scheme val="minor"/>
      </rPr>
      <t>hdds_confirmation</t>
    </r>
  </si>
  <si>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</si>
  <si>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[OPÉRATEUR/OPÉRATRICE : N'OUBLIEZ PAS DE DEMANDER DES INFORMATIONS SUR LES COLLATIONS, LES ALIMENTS SPÉCIAUX DONNÉS AUX ENFANTS OU AUX FEMMES ENCEINTES, LES INGRÉDIENTS CONTENUS DANS LES PLATS COMPOSÉS. À LA FIN, RENSEIGNEZ-VOUS SUR LES GROUPES D'ALIMENTS NON CONSOMMÉS. 
SI CES QUESTIONS ONT DÉJÀ ÉTÉ POSÉES, CLIQUER SUR CONTINUER. SINON, REVENEZ EN ARRIÈRE ET ASSUREZ-VOUS QUE TOUS LES GROUPES ALIMENTAIRES CONSOMMÉS AU COURS DES 24 HEURES D'HIER ONT ÉTÉ SÉLECTIONNÉS.]
1)CONTINUER</t>
  </si>
  <si>
    <r>
      <t xml:space="preserve">1 = </t>
    </r>
    <r>
      <rPr>
        <b/>
        <sz val="12"/>
        <color theme="4"/>
        <rFont val="Calibri"/>
        <family val="2"/>
        <scheme val="minor"/>
      </rPr>
      <t>need_1 or next question</t>
    </r>
  </si>
  <si>
    <r>
      <t xml:space="preserve">if </t>
    </r>
    <r>
      <rPr>
        <i/>
        <sz val="12"/>
        <rFont val="Calibri"/>
        <family val="2"/>
        <scheme val="minor"/>
      </rPr>
      <t xml:space="preserve">hdds_confirmation </t>
    </r>
    <r>
      <rPr>
        <sz val="12"/>
        <rFont val="Calibri"/>
        <family val="2"/>
        <scheme val="minor"/>
      </rPr>
      <t xml:space="preserve">= 1, go to </t>
    </r>
    <r>
      <rPr>
        <b/>
        <i/>
        <sz val="12"/>
        <color rgb="FF0070C0"/>
        <rFont val="Calibri"/>
        <family val="2"/>
        <scheme val="minor"/>
      </rPr>
      <t>need</t>
    </r>
    <r>
      <rPr>
        <b/>
        <i/>
        <sz val="12"/>
        <color theme="4"/>
        <rFont val="Calibri"/>
        <family val="2"/>
        <scheme val="minor"/>
      </rPr>
      <t xml:space="preserve">_1 </t>
    </r>
    <r>
      <rPr>
        <sz val="12"/>
        <color theme="4"/>
        <rFont val="Calibri"/>
        <family val="2"/>
        <scheme val="minor"/>
      </rPr>
      <t>or other option if other questions are added</t>
    </r>
  </si>
  <si>
    <t>fcs_intro</t>
  </si>
  <si>
    <r>
      <t xml:space="preserve">Now I would like to ask you about the foods and drinks your household ate or drank in the </t>
    </r>
    <r>
      <rPr>
        <u/>
        <sz val="12"/>
        <color theme="1"/>
        <rFont val="Calibri"/>
        <family val="2"/>
        <scheme val="minor"/>
      </rPr>
      <t>last 7 days</t>
    </r>
    <r>
      <rPr>
        <sz val="12"/>
        <color theme="1"/>
        <rFont val="Calibri"/>
        <family val="2"/>
        <scheme val="minor"/>
      </rPr>
      <t xml:space="preserve"> during the day and at night [breakfast, lunch, dinner, snacks]
1)CONTINUE
</t>
    </r>
  </si>
  <si>
    <r>
      <t xml:space="preserve">Je voudrais maintenant vous interroger sur les aliments et les boissons consommés dans votre ménage au cours des </t>
    </r>
    <r>
      <rPr>
        <u/>
        <sz val="12"/>
        <color theme="1"/>
        <rFont val="Calibri"/>
        <family val="2"/>
        <scheme val="minor"/>
      </rPr>
      <t>7 derniers jours</t>
    </r>
    <r>
      <rPr>
        <sz val="12"/>
        <color theme="1"/>
        <rFont val="Calibri"/>
        <family val="2"/>
        <scheme val="minor"/>
      </rPr>
      <t xml:space="preserve"> pendant la journée et la nuit [petit-déjeuner, déjeuner, dîner, collation].
1)CONTINUER</t>
    </r>
  </si>
  <si>
    <t>1 = fcs_staple_days</t>
  </si>
  <si>
    <t>if fcs_intro = 1, go to fcs_staple_days</t>
  </si>
  <si>
    <t>fcs_staple_days</t>
  </si>
  <si>
    <r>
      <t>How many days over the</t>
    </r>
    <r>
      <rPr>
        <b/>
        <sz val="12"/>
        <color theme="1"/>
        <rFont val="Calibri"/>
        <family val="2"/>
        <scheme val="minor"/>
      </rPr>
      <t xml:space="preserve"> last 7 days</t>
    </r>
    <r>
      <rPr>
        <sz val="12"/>
        <color theme="1"/>
        <rFont val="Calibri"/>
        <family val="2"/>
        <scheme val="minor"/>
      </rPr>
      <t xml:space="preserve">, did members of your household eat </t>
    </r>
    <r>
      <rPr>
        <u/>
        <sz val="12"/>
        <color theme="1"/>
        <rFont val="Calibri"/>
        <family val="2"/>
        <scheme val="minor"/>
      </rPr>
      <t>starches, roots and tubers</t>
    </r>
    <r>
      <rPr>
        <sz val="12"/>
        <color theme="1"/>
        <rFont val="Calibri"/>
        <family val="2"/>
        <scheme val="minor"/>
      </rPr>
      <t xml:space="preserve"> such as rice, maize, pasta, bread, sorghum, millet, potato, yam, cassava, white sweet potato?
[OPERATOR: RECORD NUMBER OF DAYS 0 - 7]</t>
    </r>
  </si>
  <si>
    <r>
      <t xml:space="preserve">Combien de fois (en nombre de jours) au cours des </t>
    </r>
    <r>
      <rPr>
        <b/>
        <sz val="12"/>
        <color theme="1"/>
        <rFont val="Calibri"/>
        <family val="2"/>
        <scheme val="minor"/>
      </rPr>
      <t>7 derniers jours</t>
    </r>
    <r>
      <rPr>
        <sz val="12"/>
        <color theme="1"/>
        <rFont val="Calibri"/>
        <family val="2"/>
        <scheme val="minor"/>
      </rPr>
      <t xml:space="preserve">, les membres de votre foyer ont-ils mangé des </t>
    </r>
    <r>
      <rPr>
        <u/>
        <sz val="12"/>
        <color theme="1"/>
        <rFont val="Calibri"/>
        <family val="2"/>
        <scheme val="minor"/>
      </rPr>
      <t>féculents, racines et tubercules</t>
    </r>
    <r>
      <rPr>
        <sz val="12"/>
        <color theme="1"/>
        <rFont val="Calibri"/>
        <family val="2"/>
        <scheme val="minor"/>
      </rPr>
      <t xml:space="preserve"> tels que du riz, du maïs, des pâtes, du pain, du sorgho, du mil, des pommes de terre, des ignames, du manioc, des patates douces blanches ?
[OPÉRATEUR/OPÉRATRICE: SAISIR LE NOMBRE DE JOURS DE 0 À 7]</t>
    </r>
  </si>
  <si>
    <t>0-7 = fcs_pulses_days</t>
  </si>
  <si>
    <t>For any response, go to fcs_pulses_days</t>
  </si>
  <si>
    <t>fcs_pulses_days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</si>
  <si>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pulses and nuts</t>
    </r>
    <r>
      <rPr>
        <sz val="12"/>
        <color theme="1"/>
        <rFont val="Calibri"/>
        <family val="2"/>
        <scheme val="minor"/>
      </rPr>
      <t xml:space="preserve"> such as beans, lentils, cowpeas, soybean, pigeon peas and peanuts or other nuts?
[OPERATOR: RECORD NUMBER OF DAYS 0 - 7]</t>
    </r>
  </si>
  <si>
    <r>
      <t xml:space="preserve">Combien de fois (en nombre de jours) au cours des </t>
    </r>
    <r>
      <rPr>
        <b/>
        <sz val="12"/>
        <color theme="1"/>
        <rFont val="Calibri"/>
        <family val="2"/>
        <scheme val="minor"/>
      </rPr>
      <t>7 derniers jours</t>
    </r>
    <r>
      <rPr>
        <sz val="12"/>
        <color theme="1"/>
        <rFont val="Calibri"/>
        <family val="2"/>
        <scheme val="minor"/>
      </rPr>
      <t xml:space="preserve">, les membres de votre foyer ont-ils mangé des </t>
    </r>
    <r>
      <rPr>
        <u/>
        <sz val="12"/>
        <color theme="1"/>
        <rFont val="Calibri"/>
        <family val="2"/>
        <scheme val="minor"/>
      </rPr>
      <t>légumineuses et des fruits à coque</t>
    </r>
    <r>
      <rPr>
        <sz val="12"/>
        <color theme="1"/>
        <rFont val="Calibri"/>
        <family val="2"/>
        <scheme val="minor"/>
      </rPr>
      <t xml:space="preserve"> tels que des haricots, des lentilles, du niébé, du soja, des pois cajan, des cacahuètes ou d'autres fruits à coque ?
[OPÉRATEUR/OPÉRATRICE: SAISIR LE NOMBRE DE JOURS DE 0 À 7]</t>
    </r>
  </si>
  <si>
    <t>0-7 = fcs_veg_days</t>
  </si>
  <si>
    <t>For any response, go to fcs_veg_days</t>
  </si>
  <si>
    <t>fcs_veg_days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</si>
  <si>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vegetables or leaves</t>
    </r>
    <r>
      <rPr>
        <sz val="12"/>
        <color theme="1"/>
        <rFont val="Calibri"/>
        <family val="2"/>
        <scheme val="minor"/>
      </rPr>
      <t xml:space="preserve"> such as </t>
    </r>
    <r>
      <rPr>
        <b/>
        <sz val="12"/>
        <color rgb="FF7030A0"/>
        <rFont val="Calibri"/>
        <family val="2"/>
        <scheme val="minor"/>
      </rPr>
      <t xml:space="preserve">$local vegetables$ </t>
    </r>
    <r>
      <rPr>
        <sz val="12"/>
        <color theme="1"/>
        <rFont val="Calibri"/>
        <family val="2"/>
        <scheme val="minor"/>
      </rPr>
      <t xml:space="preserve">and/or other leaves/vegetables?
[OPERATOR: RECORD NUMBER OF DAYS 0 - 7] </t>
    </r>
  </si>
  <si>
    <r>
      <t xml:space="preserve">Combien de fois (en nombre de jours) au cours des </t>
    </r>
    <r>
      <rPr>
        <b/>
        <sz val="12"/>
        <color theme="1"/>
        <rFont val="Calibri"/>
        <family val="2"/>
        <scheme val="minor"/>
      </rPr>
      <t>7 derniers jours</t>
    </r>
    <r>
      <rPr>
        <sz val="12"/>
        <color theme="1"/>
        <rFont val="Calibri"/>
        <family val="2"/>
        <scheme val="minor"/>
      </rPr>
      <t xml:space="preserve">, les membres de votre foyer ont-ils mangé </t>
    </r>
    <r>
      <rPr>
        <u/>
        <sz val="12"/>
        <color theme="1"/>
        <rFont val="Calibri"/>
        <family val="2"/>
        <scheme val="minor"/>
      </rPr>
      <t>des légumes ou des feuilles</t>
    </r>
    <r>
      <rPr>
        <sz val="12"/>
        <color theme="1"/>
        <rFont val="Calibri"/>
        <family val="2"/>
        <scheme val="minor"/>
      </rPr>
      <t xml:space="preserve"> tels que des </t>
    </r>
    <r>
      <rPr>
        <b/>
        <sz val="12"/>
        <color rgb="FF7030A0"/>
        <rFont val="Calibri"/>
        <family val="2"/>
        <scheme val="minor"/>
      </rPr>
      <t>$local vegetables$</t>
    </r>
    <r>
      <rPr>
        <sz val="12"/>
        <color theme="1"/>
        <rFont val="Calibri"/>
        <family val="2"/>
        <scheme val="minor"/>
      </rPr>
      <t xml:space="preserve"> et/ou d'autres feuilles/légumes ?
[OPÉRATEUR/OPÉRATRICE: SAISIR LE NOMBRE DE JOURS DE 0 À 7]</t>
    </r>
  </si>
  <si>
    <t>0-7 = fcs_fruit_days</t>
  </si>
  <si>
    <t>For any response, go to fcs_fruit_days</t>
  </si>
  <si>
    <t>fcs_fruit_days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</si>
  <si>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fruits</t>
    </r>
    <r>
      <rPr>
        <sz val="12"/>
        <color theme="1"/>
        <rFont val="Calibri"/>
        <family val="2"/>
        <scheme val="minor"/>
      </rPr>
      <t xml:space="preserve"> such as</t>
    </r>
    <r>
      <rPr>
        <b/>
        <sz val="12"/>
        <color rgb="FF7030A0"/>
        <rFont val="Calibri"/>
        <family val="2"/>
        <scheme val="minor"/>
      </rPr>
      <t xml:space="preserve"> $local fruits$</t>
    </r>
    <r>
      <rPr>
        <sz val="12"/>
        <color theme="1"/>
        <rFont val="Calibri"/>
        <family val="2"/>
        <scheme val="minor"/>
      </rPr>
      <t xml:space="preserve"> and/or other fruits?
[OPERATOR: RECORD NUMBER OF DAYS 0 - 7]</t>
    </r>
  </si>
  <si>
    <r>
      <t xml:space="preserve">Combien de fois (en nombre de jours) au cours des </t>
    </r>
    <r>
      <rPr>
        <b/>
        <sz val="12"/>
        <color theme="1"/>
        <rFont val="Calibri"/>
        <family val="2"/>
        <scheme val="minor"/>
      </rPr>
      <t>7 derniers jours</t>
    </r>
    <r>
      <rPr>
        <sz val="12"/>
        <color theme="1"/>
        <rFont val="Calibri"/>
        <family val="2"/>
        <scheme val="minor"/>
      </rPr>
      <t xml:space="preserve">, les membres de votre foyer ont-ils mangé des </t>
    </r>
    <r>
      <rPr>
        <u/>
        <sz val="12"/>
        <color theme="1"/>
        <rFont val="Calibri"/>
        <family val="2"/>
        <scheme val="minor"/>
      </rPr>
      <t>fruits</t>
    </r>
    <r>
      <rPr>
        <sz val="12"/>
        <color theme="1"/>
        <rFont val="Calibri"/>
        <family val="2"/>
        <scheme val="minor"/>
      </rPr>
      <t xml:space="preserve"> tels que des </t>
    </r>
    <r>
      <rPr>
        <b/>
        <sz val="12"/>
        <color rgb="FF7030A0"/>
        <rFont val="Calibri"/>
        <family val="2"/>
        <scheme val="minor"/>
      </rPr>
      <t>$local fruits$</t>
    </r>
    <r>
      <rPr>
        <sz val="12"/>
        <color theme="1"/>
        <rFont val="Calibri"/>
        <family val="2"/>
        <scheme val="minor"/>
      </rPr>
      <t xml:space="preserve"> et/ou d'autres fruits ?
[OPÉRATEUR/OPÉRATRICE: SAISIR LE NOMBRE DE JOURS DE 0 À 7]</t>
    </r>
  </si>
  <si>
    <t>0-7 = fcs_meat_fish_days</t>
  </si>
  <si>
    <t>For any response, go to fcs_meat_fish_days</t>
  </si>
  <si>
    <t>fcs_meat_fish_days</t>
  </si>
  <si>
    <t>0-7 = fcs_dairy_days</t>
  </si>
  <si>
    <t>For any response, go to fcs_dairy_days</t>
  </si>
  <si>
    <t>fcs_dairy_days</t>
  </si>
  <si>
    <r>
      <t xml:space="preserve">How many days over the last </t>
    </r>
    <r>
      <rPr>
        <b/>
        <sz val="12"/>
        <color theme="1"/>
        <rFont val="Calibri"/>
        <family val="2"/>
        <scheme val="minor"/>
      </rPr>
      <t>7 days</t>
    </r>
    <r>
      <rPr>
        <sz val="12"/>
        <color theme="1"/>
        <rFont val="Calibri"/>
        <family val="2"/>
        <scheme val="minor"/>
      </rPr>
      <t xml:space="preserve">, did members of your household consume fresh milk, sour milk, yogurt, cheese or other </t>
    </r>
    <r>
      <rPr>
        <u/>
        <sz val="12"/>
        <color theme="1"/>
        <rFont val="Calibri"/>
        <family val="2"/>
        <scheme val="minor"/>
      </rPr>
      <t>dairy products</t>
    </r>
    <r>
      <rPr>
        <sz val="12"/>
        <color theme="1"/>
        <rFont val="Calibri"/>
        <family val="2"/>
        <scheme val="minor"/>
      </rPr>
      <t>? [Excluding margarine/butter or small amounts of milk for tea/ coffee]
[OPERATOR: RECORD NUMBER OF DAYS 0 - 7]</t>
    </r>
  </si>
  <si>
    <r>
      <t xml:space="preserve">
Combien de fois (en nombre de jours) au cours des </t>
    </r>
    <r>
      <rPr>
        <b/>
        <sz val="12"/>
        <color theme="1"/>
        <rFont val="Calibri"/>
        <family val="2"/>
        <scheme val="minor"/>
      </rPr>
      <t>7 derniers jours</t>
    </r>
    <r>
      <rPr>
        <sz val="12"/>
        <color theme="1"/>
        <rFont val="Calibri"/>
        <family val="2"/>
        <scheme val="minor"/>
      </rPr>
      <t xml:space="preserve">, les membres de votre foyer ont-ils consommé du lait frais, du lait aigre, du yaourt, du fromage ou d'autres </t>
    </r>
    <r>
      <rPr>
        <u/>
        <sz val="12"/>
        <color theme="1"/>
        <rFont val="Calibri"/>
        <family val="2"/>
        <scheme val="minor"/>
      </rPr>
      <t>produits laitiers</t>
    </r>
    <r>
      <rPr>
        <sz val="12"/>
        <color theme="1"/>
        <rFont val="Calibri"/>
        <family val="2"/>
        <scheme val="minor"/>
      </rPr>
      <t xml:space="preserve"> [à l'exception de la margarine/du beurre ou de petites quantités de lait pour le thé/café] ?
[OPÉRATEUR/OPÉRATRICE: SAISIR LE NOMBRE DE JOURS DE 0 À 7]</t>
    </r>
  </si>
  <si>
    <t>0-7 = fcs_sugar_days</t>
  </si>
  <si>
    <t>For any response, go to fcs_sugar_days</t>
  </si>
  <si>
    <t>fcs_sugar_days</t>
  </si>
  <si>
    <r>
      <t>How many days over the</t>
    </r>
    <r>
      <rPr>
        <b/>
        <sz val="12"/>
        <color theme="1"/>
        <rFont val="Calibri"/>
        <family val="2"/>
        <scheme val="minor"/>
      </rPr>
      <t xml:space="preserve"> last 7 days</t>
    </r>
    <r>
      <rPr>
        <sz val="12"/>
        <color theme="1"/>
        <rFont val="Calibri"/>
        <family val="2"/>
        <scheme val="minor"/>
      </rPr>
      <t xml:space="preserve">, did members of your household consume </t>
    </r>
    <r>
      <rPr>
        <u/>
        <sz val="12"/>
        <color theme="1"/>
        <rFont val="Calibri"/>
        <family val="2"/>
        <scheme val="minor"/>
      </rPr>
      <t>sugar or swee</t>
    </r>
    <r>
      <rPr>
        <sz val="12"/>
        <color theme="1"/>
        <rFont val="Calibri"/>
        <family val="2"/>
        <scheme val="minor"/>
      </rPr>
      <t>t such as sugar, honey, jam, cakes, candy, cookies, pastries, cakes and other sweets and sugary drinks?
[OPERATOR: RECORD NUMBER OF DAYS 0 - 7]</t>
    </r>
  </si>
  <si>
    <r>
      <t xml:space="preserve">Combien de fois (en nombre de jours) au cours des </t>
    </r>
    <r>
      <rPr>
        <b/>
        <sz val="12"/>
        <color theme="1"/>
        <rFont val="Calibri"/>
        <family val="2"/>
        <scheme val="minor"/>
      </rPr>
      <t>7 derniers jours</t>
    </r>
    <r>
      <rPr>
        <sz val="12"/>
        <color theme="1"/>
        <rFont val="Calibri"/>
        <family val="2"/>
        <scheme val="minor"/>
      </rPr>
      <t xml:space="preserve">, les membres de votre foyer ont-ils consommé du </t>
    </r>
    <r>
      <rPr>
        <u/>
        <sz val="12"/>
        <color theme="1"/>
        <rFont val="Calibri"/>
        <family val="2"/>
        <scheme val="minor"/>
      </rPr>
      <t>sucre ou des produits sucrés</t>
    </r>
    <r>
      <rPr>
        <sz val="12"/>
        <color theme="1"/>
        <rFont val="Calibri"/>
        <family val="2"/>
        <scheme val="minor"/>
      </rPr>
      <t xml:space="preserve"> tels que du sucre, du miel, de la confiture, des gâteaux, des bonbons, des biscuits, des pâtisseries et d'autres sucreries et des boissons sucrées ?
[OPÉRATEUR/OPÉRATRICE: SAISIR LE NOMBRE DE JOURS DE 0 À 7]</t>
    </r>
  </si>
  <si>
    <t>0-7 = fcs_oil_days</t>
  </si>
  <si>
    <t>For any response, go to fcs_oil_days</t>
  </si>
  <si>
    <t>fcs_oil_days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</si>
  <si>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oil/fat/butter</t>
    </r>
    <r>
      <rPr>
        <sz val="12"/>
        <color theme="1"/>
        <rFont val="Calibri"/>
        <family val="2"/>
        <scheme val="minor"/>
      </rPr>
      <t xml:space="preserve"> such as vegetable oil, palm oil, groundnut oil, margarine, other fats / oil?
[OPERATOR: RECORD NUMBER OF DAYS 0 - 7]</t>
    </r>
  </si>
  <si>
    <r>
      <t xml:space="preserve">Combien de fois (en nombre de jours) au cours des </t>
    </r>
    <r>
      <rPr>
        <b/>
        <sz val="12"/>
        <color theme="1"/>
        <rFont val="Calibri"/>
        <family val="2"/>
        <scheme val="minor"/>
      </rPr>
      <t>7 derniers jours</t>
    </r>
    <r>
      <rPr>
        <sz val="12"/>
        <color theme="1"/>
        <rFont val="Calibri"/>
        <family val="2"/>
        <scheme val="minor"/>
      </rPr>
      <t xml:space="preserve">, les membres de votre foyer ont-ils consommé de </t>
    </r>
    <r>
      <rPr>
        <u/>
        <sz val="12"/>
        <color theme="1"/>
        <rFont val="Calibri"/>
        <family val="2"/>
        <scheme val="minor"/>
      </rPr>
      <t>l'huile/de la graisse/du beurre</t>
    </r>
    <r>
      <rPr>
        <sz val="12"/>
        <color theme="1"/>
        <rFont val="Calibri"/>
        <family val="2"/>
        <scheme val="minor"/>
      </rPr>
      <t xml:space="preserve"> tels que des huiles végétales, de l'huile de palme, de l'huile d'arachide, de la margarine, d'autres graisses/huiles ?
[OPÉRATEUR/OPÉRATRICE: SAISIR LE NOMBRE DE JOURS DE 0 À 7]</t>
    </r>
  </si>
  <si>
    <t>0-7 = fcs_condiments_days</t>
  </si>
  <si>
    <t>For any response, go to fcs_condiments_days</t>
  </si>
  <si>
    <t>fcs_condiments_days</t>
  </si>
  <si>
    <r>
      <t xml:space="preserve">How many days over the </t>
    </r>
    <r>
      <rPr>
        <b/>
        <sz val="12"/>
        <color theme="1"/>
        <rFont val="Calibri"/>
        <family val="2"/>
        <scheme val="minor"/>
      </rPr>
      <t>last</t>
    </r>
    <r>
      <rPr>
        <sz val="12"/>
        <color theme="1"/>
        <rFont val="Calibri"/>
        <family val="2"/>
        <scheme val="minor"/>
      </rPr>
      <t xml:space="preserve"> </t>
    </r>
    <r>
      <rPr>
        <b/>
        <sz val="12"/>
        <color theme="1"/>
        <rFont val="Calibri"/>
        <family val="2"/>
        <scheme val="minor"/>
      </rPr>
      <t>7 days</t>
    </r>
    <r>
      <rPr>
        <sz val="12"/>
        <color theme="1"/>
        <rFont val="Calibri"/>
        <family val="2"/>
        <scheme val="minor"/>
      </rPr>
      <t xml:space="preserve">, did members of your household eat </t>
    </r>
    <r>
      <rPr>
        <u/>
        <sz val="12"/>
        <color theme="1"/>
        <rFont val="Calibri"/>
        <family val="2"/>
        <scheme val="minor"/>
      </rPr>
      <t>spices or condiment</t>
    </r>
    <r>
      <rPr>
        <sz val="12"/>
        <color theme="1"/>
        <rFont val="Calibri"/>
        <family val="2"/>
        <scheme val="minor"/>
      </rPr>
      <t>s such as tea, coffee, cocoa, salt, garlic, spices, yeast, meat fish as a condiment or small amounts of milk for tea or coffee?
[OPERATOR: RECORD NUMBER OF DAYS 0 - 7]</t>
    </r>
  </si>
  <si>
    <r>
      <t xml:space="preserve">Combien de fois (en nombre de jours) au cours des </t>
    </r>
    <r>
      <rPr>
        <b/>
        <sz val="12"/>
        <color theme="1"/>
        <rFont val="Calibri"/>
        <family val="2"/>
        <scheme val="minor"/>
      </rPr>
      <t>7 derniers jours</t>
    </r>
    <r>
      <rPr>
        <sz val="12"/>
        <color theme="1"/>
        <rFont val="Calibri"/>
        <family val="2"/>
        <scheme val="minor"/>
      </rPr>
      <t xml:space="preserve">, les membres de votre foyer ont-ils consommé des </t>
    </r>
    <r>
      <rPr>
        <u/>
        <sz val="12"/>
        <color theme="1"/>
        <rFont val="Calibri"/>
        <family val="2"/>
        <scheme val="minor"/>
      </rPr>
      <t>épices ou des condiments</t>
    </r>
    <r>
      <rPr>
        <sz val="12"/>
        <color theme="1"/>
        <rFont val="Calibri"/>
        <family val="2"/>
        <scheme val="minor"/>
      </rPr>
      <t xml:space="preserve"> tels que du thé, du café, du cacao, du sel, de l'ail, des épices, de la levure, de la viande, du poisson comme condiment ou de petites quantités de lait pour le thé ou le café ?
[OPÉRATEUR/OPÉRATRICE: SAISIR LE NOMBRE DE JOURS DE 0 À 7]</t>
    </r>
  </si>
  <si>
    <t>0-7 = rcsi</t>
  </si>
  <si>
    <t>For any response, go to rcsi</t>
  </si>
  <si>
    <t>rcsi</t>
  </si>
  <si>
    <r>
      <t xml:space="preserve">Now I will ask you about the number of days, in the </t>
    </r>
    <r>
      <rPr>
        <u/>
        <sz val="12"/>
        <color theme="1"/>
        <rFont val="Calibri"/>
        <family val="2"/>
        <scheme val="minor"/>
      </rPr>
      <t>last 7 days</t>
    </r>
    <r>
      <rPr>
        <sz val="12"/>
        <color theme="1"/>
        <rFont val="Calibri"/>
        <family val="2"/>
        <scheme val="minor"/>
      </rPr>
      <t>, during which the household has done some of the actions that I will mention to cope with the lack of food or money to buy food.
1)CONTINUE</t>
    </r>
  </si>
  <si>
    <r>
      <t xml:space="preserve">Je vais maintenant vous demander combien de fois (en nombre de jours), au cours des </t>
    </r>
    <r>
      <rPr>
        <u/>
        <sz val="12"/>
        <color theme="1"/>
        <rFont val="Calibri"/>
        <family val="2"/>
        <scheme val="minor"/>
      </rPr>
      <t>7 derniers jours</t>
    </r>
    <r>
      <rPr>
        <sz val="12"/>
        <color theme="1"/>
        <rFont val="Calibri"/>
        <family val="2"/>
        <scheme val="minor"/>
      </rPr>
      <t>, votre ménage a du recourir à certaines mesures pour faire face au manque de nourriture ou d'argent pour acheter de la nourriture.
1)CONTINUER</t>
    </r>
  </si>
  <si>
    <t>1 = rcsi_less_preferred_foods</t>
  </si>
  <si>
    <t>For any response, go to rcsi_less_preferred_foods</t>
  </si>
  <si>
    <t>rcsi_less_preferred_foods</t>
  </si>
  <si>
    <r>
      <t xml:space="preserve">In the </t>
    </r>
    <r>
      <rPr>
        <b/>
        <sz val="12"/>
        <color theme="1"/>
        <rFont val="Calibri"/>
        <family val="2"/>
        <scheme val="minor"/>
      </rPr>
      <t>past 7 days</t>
    </r>
    <r>
      <rPr>
        <sz val="12"/>
        <color theme="1"/>
        <rFont val="Calibri"/>
        <family val="2"/>
        <scheme val="minor"/>
      </rPr>
      <t>, how many days did your household</t>
    </r>
    <r>
      <rPr>
        <u/>
        <sz val="12"/>
        <color theme="1"/>
        <rFont val="Calibri"/>
        <family val="2"/>
        <scheme val="minor"/>
      </rPr>
      <t xml:space="preserve"> rely on less preferred or less expensive food</t>
    </r>
    <r>
      <rPr>
        <sz val="12"/>
        <color theme="1"/>
        <rFont val="Calibri"/>
        <family val="2"/>
        <scheme val="minor"/>
      </rPr>
      <t xml:space="preserve"> due to lack of food/money?  
[OPERATOR: RECORD NUMBER OF DAYS 0 - 7 ]</t>
    </r>
  </si>
  <si>
    <r>
      <t xml:space="preserve">Au cours des </t>
    </r>
    <r>
      <rPr>
        <b/>
        <sz val="12"/>
        <color theme="1"/>
        <rFont val="Calibri"/>
        <family val="2"/>
        <scheme val="minor"/>
      </rPr>
      <t>7 derniers jours</t>
    </r>
    <r>
      <rPr>
        <sz val="12"/>
        <color theme="1"/>
        <rFont val="Calibri"/>
        <family val="2"/>
        <scheme val="minor"/>
      </rPr>
      <t xml:space="preserve">, combien de fois (en nombre de jours) votre ménage s'est-il </t>
    </r>
    <r>
      <rPr>
        <u/>
        <sz val="12"/>
        <color theme="1"/>
        <rFont val="Calibri"/>
        <family val="2"/>
        <scheme val="minor"/>
      </rPr>
      <t>rabattu sur des aliments qu'il aime moins ou moins chers</t>
    </r>
    <r>
      <rPr>
        <sz val="12"/>
        <color theme="1"/>
        <rFont val="Calibri"/>
        <family val="2"/>
        <scheme val="minor"/>
      </rPr>
      <t xml:space="preserve"> par manque de nourriture/argent ?  
[OPÉRATEUR/OPÉRATRICE: SAISIR LE NOMBRE DE JOURS DE 0 À 7]</t>
    </r>
  </si>
  <si>
    <t>0-7 = rcsi_borrowed_food</t>
  </si>
  <si>
    <t>For any response, go to rcsi_borrowed_food</t>
  </si>
  <si>
    <t>rcsi_borrowed_food</t>
  </si>
  <si>
    <r>
      <t xml:space="preserve">In the </t>
    </r>
    <r>
      <rPr>
        <b/>
        <sz val="12"/>
        <color theme="1"/>
        <rFont val="Calibri"/>
        <family val="2"/>
        <scheme val="minor"/>
      </rPr>
      <t>past 7 days</t>
    </r>
    <r>
      <rPr>
        <sz val="12"/>
        <color theme="1"/>
        <rFont val="Calibri"/>
        <family val="2"/>
        <scheme val="minor"/>
      </rPr>
      <t xml:space="preserve">, how many days did your household </t>
    </r>
    <r>
      <rPr>
        <u/>
        <sz val="12"/>
        <color theme="1"/>
        <rFont val="Calibri"/>
        <family val="2"/>
        <scheme val="minor"/>
      </rPr>
      <t>borrow food, or rely on help from a friend or relative</t>
    </r>
    <r>
      <rPr>
        <sz val="12"/>
        <color theme="1"/>
        <rFont val="Calibri"/>
        <family val="2"/>
        <scheme val="minor"/>
      </rPr>
      <t xml:space="preserve"> due to lack of food or money to buy food? 
[OPERATOR: RECORD NUMBER OF DAYS 0 - 7 ]</t>
    </r>
  </si>
  <si>
    <r>
      <t xml:space="preserve">Au cours des </t>
    </r>
    <r>
      <rPr>
        <b/>
        <sz val="12"/>
        <color theme="1"/>
        <rFont val="Calibri"/>
        <family val="2"/>
        <scheme val="minor"/>
      </rPr>
      <t>7 derniers jours</t>
    </r>
    <r>
      <rPr>
        <sz val="12"/>
        <color theme="1"/>
        <rFont val="Calibri"/>
        <family val="2"/>
        <scheme val="minor"/>
      </rPr>
      <t xml:space="preserve">, combien de fois (en nombre de jours) votre ménage a-t-il </t>
    </r>
    <r>
      <rPr>
        <u/>
        <sz val="12"/>
        <color theme="1"/>
        <rFont val="Calibri"/>
        <family val="2"/>
        <scheme val="minor"/>
      </rPr>
      <t>emprunté de la nourriture ou demandé l'aide d'un ami ou d'un parent</t>
    </r>
    <r>
      <rPr>
        <sz val="12"/>
        <color theme="1"/>
        <rFont val="Calibri"/>
        <family val="2"/>
        <scheme val="minor"/>
      </rPr>
      <t xml:space="preserve"> en raison du manque de nourriture ou d'argent pour acheter de la nourriture ?
[OPÉRATEUR/OPÉRATRICE: SAISIR LE NOMBRE DE JOURS DE 0 À 7]</t>
    </r>
  </si>
  <si>
    <t>0-7 = rcsi_reduce_number_meals</t>
  </si>
  <si>
    <t>rcsi_reduce_number_meals</t>
  </si>
  <si>
    <r>
      <t xml:space="preserve">In the </t>
    </r>
    <r>
      <rPr>
        <b/>
        <sz val="12"/>
        <color theme="1"/>
        <rFont val="Calibri"/>
        <family val="2"/>
        <scheme val="minor"/>
      </rPr>
      <t>past 7 days</t>
    </r>
    <r>
      <rPr>
        <sz val="12"/>
        <color theme="1"/>
        <rFont val="Calibri"/>
        <family val="2"/>
        <scheme val="minor"/>
      </rPr>
      <t xml:space="preserve">, how many days did your household </t>
    </r>
    <r>
      <rPr>
        <u/>
        <sz val="12"/>
        <color theme="1"/>
        <rFont val="Calibri"/>
        <family val="2"/>
        <scheme val="minor"/>
      </rPr>
      <t>reduce the number of meals eaten in a day</t>
    </r>
    <r>
      <rPr>
        <sz val="12"/>
        <color theme="1"/>
        <rFont val="Calibri"/>
        <family val="2"/>
        <scheme val="minor"/>
      </rPr>
      <t xml:space="preserve"> due to lack of food or money to buy food?
[OPERATOR: RECORD NUMBER OF DAYS 0 - 7 ]</t>
    </r>
  </si>
  <si>
    <r>
      <t xml:space="preserve">Au cours des </t>
    </r>
    <r>
      <rPr>
        <b/>
        <sz val="12"/>
        <color theme="1"/>
        <rFont val="Calibri"/>
        <family val="2"/>
        <scheme val="minor"/>
      </rPr>
      <t>7 derniers jours</t>
    </r>
    <r>
      <rPr>
        <sz val="12"/>
        <color theme="1"/>
        <rFont val="Calibri"/>
        <family val="2"/>
        <scheme val="minor"/>
      </rPr>
      <t xml:space="preserve">, combien de fois (en nombre de jours) votre ménage a-t-il </t>
    </r>
    <r>
      <rPr>
        <u/>
        <sz val="12"/>
        <color theme="1"/>
        <rFont val="Calibri"/>
        <family val="2"/>
        <scheme val="minor"/>
      </rPr>
      <t>réduit le nombre de repas pris dans une journée</t>
    </r>
    <r>
      <rPr>
        <sz val="12"/>
        <color theme="1"/>
        <rFont val="Calibri"/>
        <family val="2"/>
        <scheme val="minor"/>
      </rPr>
      <t xml:space="preserve"> par manque de nourriture ou d'argent pour acheter de la nourriture ?
[OPÉRATEUR/OPÉRATRICE: SAISIR LE NOMBRE DE JOURS DE 0 À 7]</t>
    </r>
  </si>
  <si>
    <t>0-7 = rcsi_limit_portions</t>
  </si>
  <si>
    <t>rcsi_limit_portions</t>
  </si>
  <si>
    <r>
      <t>In the</t>
    </r>
    <r>
      <rPr>
        <b/>
        <sz val="12"/>
        <color theme="1"/>
        <rFont val="Calibri"/>
        <family val="2"/>
        <scheme val="minor"/>
      </rPr>
      <t xml:space="preserve"> past 7 days</t>
    </r>
    <r>
      <rPr>
        <sz val="12"/>
        <color theme="1"/>
        <rFont val="Calibri"/>
        <family val="2"/>
        <scheme val="minor"/>
      </rPr>
      <t xml:space="preserve">, how many days did your household </t>
    </r>
    <r>
      <rPr>
        <u/>
        <sz val="12"/>
        <color theme="1"/>
        <rFont val="Calibri"/>
        <family val="2"/>
        <scheme val="minor"/>
      </rPr>
      <t>limit portion sizes at mealtime</t>
    </r>
    <r>
      <rPr>
        <sz val="12"/>
        <color theme="1"/>
        <rFont val="Calibri"/>
        <family val="2"/>
        <scheme val="minor"/>
      </rPr>
      <t xml:space="preserve"> due to lack of food or money to buy food? 
[OPERATOR: RECORD NUMBER OF DAYS 0 - 7 ]</t>
    </r>
  </si>
  <si>
    <r>
      <t xml:space="preserve">Au cours des </t>
    </r>
    <r>
      <rPr>
        <b/>
        <sz val="12"/>
        <color theme="1"/>
        <rFont val="Calibri"/>
        <family val="2"/>
        <scheme val="minor"/>
      </rPr>
      <t>7 derniers jours</t>
    </r>
    <r>
      <rPr>
        <sz val="12"/>
        <color theme="1"/>
        <rFont val="Calibri"/>
        <family val="2"/>
        <scheme val="minor"/>
      </rPr>
      <t xml:space="preserve">, combien de fois (en nombre de jours) votre ménage a-t-il </t>
    </r>
    <r>
      <rPr>
        <u/>
        <sz val="12"/>
        <color theme="1"/>
        <rFont val="Calibri"/>
        <family val="2"/>
        <scheme val="minor"/>
      </rPr>
      <t>limité la taille des portions consommées pour le repas</t>
    </r>
    <r>
      <rPr>
        <sz val="12"/>
        <color theme="1"/>
        <rFont val="Calibri"/>
        <family val="2"/>
        <scheme val="minor"/>
      </rPr>
      <t xml:space="preserve"> en raison du manque de nourriture ou d'argent pour acheter de la nourriture ?
[OPÉRATEUR/OPÉRATRICE: SAISIR LE NOMBRE DE JOURS DE 0 À 7]</t>
    </r>
  </si>
  <si>
    <t>0-7 = rcsi_restrict_adult_consumption</t>
  </si>
  <si>
    <t>For any response, go to rcsi_reduce_number_meals</t>
  </si>
  <si>
    <t>rcsi_restrict_adult_consumption</t>
  </si>
  <si>
    <r>
      <t>In the</t>
    </r>
    <r>
      <rPr>
        <b/>
        <sz val="12"/>
        <rFont val="Calibri"/>
        <family val="2"/>
        <scheme val="minor"/>
      </rPr>
      <t xml:space="preserve"> past 7 days</t>
    </r>
    <r>
      <rPr>
        <sz val="12"/>
        <rFont val="Calibri"/>
        <family val="2"/>
        <scheme val="minor"/>
      </rPr>
      <t xml:space="preserve">, how many days did your household </t>
    </r>
    <r>
      <rPr>
        <u/>
        <sz val="12"/>
        <rFont val="Calibri"/>
        <family val="2"/>
        <scheme val="minor"/>
      </rPr>
      <t>restrict consumption by adults so children could eat</t>
    </r>
    <r>
      <rPr>
        <sz val="12"/>
        <rFont val="Calibri"/>
        <family val="2"/>
        <scheme val="minor"/>
      </rPr>
      <t>, due to lack of food or money to buy food?
[OPERATOR: RECORD NUMBER OF DAYS 0 - 7 ]</t>
    </r>
  </si>
  <si>
    <r>
      <t>Au cours des</t>
    </r>
    <r>
      <rPr>
        <b/>
        <sz val="12"/>
        <rFont val="Calibri"/>
        <family val="2"/>
        <scheme val="minor"/>
      </rPr>
      <t xml:space="preserve"> 7 derniers jours</t>
    </r>
    <r>
      <rPr>
        <sz val="12"/>
        <rFont val="Calibri"/>
        <family val="2"/>
        <scheme val="minor"/>
      </rPr>
      <t xml:space="preserve">, combien de fois (en nombre de jours) votre ménage a-t-il </t>
    </r>
    <r>
      <rPr>
        <u/>
        <sz val="12"/>
        <rFont val="Calibri"/>
        <family val="2"/>
        <scheme val="minor"/>
      </rPr>
      <t>limité les quantités consommées par les adultes pour que les enfants puissent manger</t>
    </r>
    <r>
      <rPr>
        <sz val="12"/>
        <rFont val="Calibri"/>
        <family val="2"/>
        <scheme val="minor"/>
      </rPr>
      <t>, par manque de nourriture ou d'argent pour acheter de la nourriture ?
[OPÉRATEUR/OPÉRATRICE: SAISIR LE NOMBRE DE JOURS DE 0 À 7]</t>
    </r>
  </si>
  <si>
    <t>0-7 = need_1</t>
  </si>
  <si>
    <t>For any response, go to need_1</t>
  </si>
  <si>
    <t>H. NEEDS ASSISTANCE</t>
  </si>
  <si>
    <t>Does your household need assistance over the next 3 to 6 months?
[OPERATOR: SINGLE RESPONSE.]
1)YES
2)NO
3)DON'T KNOW
4)REFUSED</t>
  </si>
  <si>
    <t>Votre ménage aura-t-il besoin d'aide / assistance au cours des trois à six prochains mois?
[OPÉRATEUR/OPÉRATRICE: RÉPONSE UNIQUE.]
1)Oui
2)Non
3)NE SAIT PAS
4)REFUSÉ</t>
  </si>
  <si>
    <r>
      <t xml:space="preserve">1 = need_2
2-4= </t>
    </r>
    <r>
      <rPr>
        <sz val="12"/>
        <color rgb="FF0070C0"/>
        <rFont val="Calibri"/>
        <family val="2"/>
        <scheme val="minor"/>
      </rPr>
      <t>[</t>
    </r>
    <r>
      <rPr>
        <b/>
        <sz val="12"/>
        <color rgb="FF0070C0"/>
        <rFont val="Calibri"/>
        <family val="2"/>
        <scheme val="minor"/>
      </rPr>
      <t>callback</t>
    </r>
    <r>
      <rPr>
        <sz val="12"/>
        <color rgb="FF0070C0"/>
        <rFont val="Calibri"/>
        <family val="2"/>
        <scheme val="minor"/>
      </rPr>
      <t xml:space="preserve"> OR </t>
    </r>
    <r>
      <rPr>
        <b/>
        <sz val="12"/>
        <color rgb="FF0070C0"/>
        <rFont val="Calibri"/>
        <family val="2"/>
        <scheme val="minor"/>
      </rPr>
      <t>need_received</t>
    </r>
    <r>
      <rPr>
        <sz val="12"/>
        <color rgb="FF0070C0"/>
        <rFont val="Calibri"/>
        <family val="2"/>
        <scheme val="minor"/>
      </rPr>
      <t>]</t>
    </r>
  </si>
  <si>
    <r>
      <t xml:space="preserve">if need_1 = 1, go to need_2
if need_1 = 2-4, go to </t>
    </r>
    <r>
      <rPr>
        <b/>
        <sz val="12"/>
        <color theme="4"/>
        <rFont val="Calibri"/>
        <family val="2"/>
        <scheme val="minor"/>
      </rPr>
      <t xml:space="preserve">need_received </t>
    </r>
    <r>
      <rPr>
        <sz val="12"/>
        <rFont val="Calibri"/>
        <family val="2"/>
        <scheme val="minor"/>
      </rPr>
      <t>OR</t>
    </r>
    <r>
      <rPr>
        <b/>
        <sz val="12"/>
        <color theme="4"/>
        <rFont val="Calibri"/>
        <family val="2"/>
        <scheme val="minor"/>
      </rPr>
      <t xml:space="preserve"> callback</t>
    </r>
  </si>
  <si>
    <t>need_
1) need_seeds
2) need_fertilizers
3) need_pesticides
4) need_tools
5) need_accesstoirrigationwater
6) need_accesstoland
7) need_animalfeed
8) need_veterinaryservices
9) need_veterinaryinputs
10) need_animalsalemingarantdprice
11) need_restockinganimals
12) need_supportforprocessprod
13) need_supptransofanimalsorprod
14) need_acstomechanisedequipprod
15) need_marketingsupport
16) need_cashassistance
17) need_loans
18) need_storageequipmentorfaci
19) need_techsupporextensionserv
20) need_landrehabilitation
21) need_fishequiorothersuppforfish
22) need_infoonsafetymeasures
23) need_other
24) need_dk
25) need_ref</t>
  </si>
  <si>
    <t>What are your greatest needs for assistance for your household in the next 3 to 6 months?
[OPERATOR: MULTIPLE RESPONSE. DO NOT READ THE OPTIONS IF POSSIBLE.]
1)Seeds
2)Fertilizers
3)Pesticides
4)Tools
5)Access to irrigation water
6)Access to land
7)Animal feed
8)Veterinary services
9)Veterinary inputs
10)Sales of animals with minimum guaranteed price
11)Restocking animals
12)Support for processing product
13)Support for transportation of animals or animal product [e.g. cold chains for milk]
14)Access to tractors
15)Marketing support
16)Cash or food assistance
17)Loans
18)Storage equipment or facility [bags / containers / etc.]
19)Technical support or extension services
20)Land rehabilitation [in case of a disaster]
21)Access to boats (new or repair of existing boats), fishing equipment and supplies
22)Information on safety measures in the context of the COVID-19 epidemic
23)Other [specify]
24)DON'T KNOW
25)REFUSED</t>
  </si>
  <si>
    <t>De quelle aide votre ménage aura-t-il besoin au cours des trois à six prochains mois ?
[OPÉRATEUR/OPÉRATRICE: PLUSIEURS RÉPONSES POSSILES. SI POSSIBLE, NE PAS LIRE LES OPTIONS.]
1)Semences
2)Engrais
3)Pesticides
4)Outils
5)Accès à l'eau d'irrigation
6)Accès à la terre
7)Alimentation animale
8)Services vétérinaires
9)Intrants vétérinaires
10)Vente d'animaux à un prix minimum garanti
11)Reconstitution des stocks d'animaux
12)Aide à la transformation des produits
13)Aide au transport des animaux ou des produits animaux [par exemple, chaînes du froid pour le lait]
14)Accès aux tracteurs
15)Aide à la commercialisation
16)Aide en espèces ou alimentaire
17)Prêts
18)Équipements ou installation de stockage (sacs, conteneurs, etc.)
19)Soutien technique ou services de vulgarisation
20)Remise en état des terres [en cas de catastrophe]
21)Accès à des bateaux (nouveaux bateaux ou réparation de bateaux existants), à l'équipement et aux fournitures de pêche
22)Informations sur les mesures de sécurité dans le cadre de l'épidémie de covid-19
23)Autre [préciser]
24)NE SAIT PAS
25)REFUSÉ</t>
  </si>
  <si>
    <t>Form Type - Checklist
24,25 = IsNone</t>
  </si>
  <si>
    <r>
      <t>1-25 =</t>
    </r>
    <r>
      <rPr>
        <sz val="12"/>
        <color rgb="FF0070C0"/>
        <rFont val="Calibri"/>
        <family val="2"/>
        <scheme val="minor"/>
      </rPr>
      <t xml:space="preserve"> [</t>
    </r>
    <r>
      <rPr>
        <b/>
        <sz val="12"/>
        <color rgb="FF0070C0"/>
        <rFont val="Calibri"/>
        <family val="2"/>
        <scheme val="minor"/>
      </rPr>
      <t>callback</t>
    </r>
    <r>
      <rPr>
        <sz val="12"/>
        <color rgb="FF0070C0"/>
        <rFont val="Calibri"/>
        <family val="2"/>
        <scheme val="minor"/>
      </rPr>
      <t xml:space="preserve"> OR</t>
    </r>
    <r>
      <rPr>
        <b/>
        <sz val="12"/>
        <color rgb="FF0070C0"/>
        <rFont val="Calibri"/>
        <family val="2"/>
        <scheme val="minor"/>
      </rPr>
      <t xml:space="preserve"> need_received</t>
    </r>
    <r>
      <rPr>
        <sz val="12"/>
        <color rgb="FF0070C0"/>
        <rFont val="Calibri"/>
        <family val="2"/>
        <scheme val="minor"/>
      </rPr>
      <t>]</t>
    </r>
  </si>
  <si>
    <r>
      <t xml:space="preserve">if </t>
    </r>
    <r>
      <rPr>
        <i/>
        <sz val="12"/>
        <rFont val="Calibri"/>
        <family val="2"/>
        <scheme val="minor"/>
      </rPr>
      <t>need_2</t>
    </r>
    <r>
      <rPr>
        <sz val="12"/>
        <rFont val="Calibri"/>
        <family val="2"/>
        <scheme val="minor"/>
      </rPr>
      <t xml:space="preserve"> = 1-25, go to </t>
    </r>
    <r>
      <rPr>
        <b/>
        <sz val="12"/>
        <color theme="4"/>
        <rFont val="Calibri"/>
        <family val="2"/>
        <scheme val="minor"/>
      </rPr>
      <t>need_received OR callback</t>
    </r>
  </si>
  <si>
    <t>resp_age = 18-100
hh_agricactivity = 1 | 2 | 3 | 4
quotareached = 2
need = 1</t>
  </si>
  <si>
    <t>Answer option #21, 22 (col D)</t>
  </si>
  <si>
    <t>need_received_
1) need_received_food
2) need_received_cashvouchers
3) need_received_seeds
4) need_received_extensionservices
5) need_received_livestockfeed
6) need_received_other
7) need_received_noassistreceived
8) need_received_dk
9) need_received_ref</t>
  </si>
  <si>
    <t>Form Type - Checklist
7,8,9 = IsNone</t>
  </si>
  <si>
    <r>
      <t xml:space="preserve">1-9 = </t>
    </r>
    <r>
      <rPr>
        <sz val="12"/>
        <color theme="4"/>
        <rFont val="Calibri"/>
        <family val="2"/>
        <scheme val="minor"/>
      </rPr>
      <t>assistance_timeliness</t>
    </r>
    <r>
      <rPr>
        <sz val="12"/>
        <rFont val="Calibri"/>
        <family val="2"/>
        <scheme val="minor"/>
      </rPr>
      <t xml:space="preserve"> OR </t>
    </r>
    <r>
      <rPr>
        <sz val="12"/>
        <color theme="4"/>
        <rFont val="Calibri"/>
        <family val="2"/>
        <scheme val="minor"/>
      </rPr>
      <t>callback</t>
    </r>
  </si>
  <si>
    <r>
      <t>if need_received = 1-9, go to</t>
    </r>
    <r>
      <rPr>
        <sz val="12"/>
        <color theme="4"/>
        <rFont val="Calibri"/>
        <family val="2"/>
        <scheme val="minor"/>
      </rPr>
      <t xml:space="preserve"> assistance_timeliness OR callback</t>
    </r>
  </si>
  <si>
    <t>assistance_timeliness</t>
  </si>
  <si>
    <t xml:space="preserve">Was the assistance received in time for production or sales difficulty to be overcome? 
[OPERATOR: SINGLE RESPONSE.]
1)YES 
2)NO
3)DON'T KNOW
4)REFUSED
</t>
  </si>
  <si>
    <t>Cette aide a-t-elle été reçue à temps pour surmonter les difficultés de production ou de vente ? 
[OPÉRATEUR/OPÉRATRICE: RÉPONSE UNIQUE.]
1)Oui
2)Non
3)NE SAIT PAS
4)REFUSÉ</t>
  </si>
  <si>
    <r>
      <t xml:space="preserve">Send if "need_received" "Contains" "Food" Or "need_received" "Contains" "Cash vouchers" Or "need_received" "Contains" "Seeds" Or "need_received" "Contains" "Extension services" Or "need_received" "Contains" "Livestock feed" Or "need_received" "Contains" "Other [specify]". If not satisfied go to </t>
    </r>
    <r>
      <rPr>
        <sz val="12"/>
        <color theme="4"/>
        <rFont val="Calibri"/>
        <family val="2"/>
        <scheme val="minor"/>
      </rPr>
      <t>"callback"</t>
    </r>
  </si>
  <si>
    <r>
      <t xml:space="preserve">1-9 = </t>
    </r>
    <r>
      <rPr>
        <sz val="12"/>
        <color theme="4"/>
        <rFont val="Calibri"/>
        <family val="2"/>
        <scheme val="minor"/>
      </rPr>
      <t>callback</t>
    </r>
  </si>
  <si>
    <r>
      <t xml:space="preserve">If options #1-6 were selected in need_received, this question will be asked Otherwise go to </t>
    </r>
    <r>
      <rPr>
        <sz val="12"/>
        <color theme="4"/>
        <rFont val="Calibri"/>
        <family val="2"/>
        <scheme val="minor"/>
      </rPr>
      <t>callback.</t>
    </r>
    <r>
      <rPr>
        <sz val="12"/>
        <rFont val="Calibri"/>
        <family val="2"/>
        <scheme val="minor"/>
      </rPr>
      <t xml:space="preserve">
if need_received = 1-9, go to </t>
    </r>
    <r>
      <rPr>
        <sz val="12"/>
        <color theme="4"/>
        <rFont val="Calibri"/>
        <family val="2"/>
        <scheme val="minor"/>
      </rPr>
      <t>callback</t>
    </r>
  </si>
  <si>
    <t xml:space="preserve">new question </t>
  </si>
  <si>
    <t>I. CLOSING</t>
  </si>
  <si>
    <t>Your answers will help us to understand and respond to your community needs. May we call you back again in a few months?
[OPERATOR: SINGLE RESPONSE.]
1)YES
2)NO</t>
  </si>
  <si>
    <t>Vos réponses nous aideront à comprendre les besoins de votre communauté et à y répondre. Pouvons-nous vous rappeler dans quelques mois ?
[OPÉRATEUR/OPÉRATRICE: RÉPONSE UNIQUE.]
1)Oui
2)Non</t>
  </si>
  <si>
    <t>1-2 = language2</t>
  </si>
  <si>
    <r>
      <t xml:space="preserve">if </t>
    </r>
    <r>
      <rPr>
        <i/>
        <sz val="12"/>
        <rFont val="Calibri"/>
        <family val="2"/>
        <scheme val="minor"/>
      </rPr>
      <t>callback</t>
    </r>
    <r>
      <rPr>
        <sz val="12"/>
        <rFont val="Calibri"/>
        <family val="2"/>
        <scheme val="minor"/>
      </rPr>
      <t xml:space="preserve"> = 1
if 2, go to </t>
    </r>
    <r>
      <rPr>
        <i/>
        <sz val="12"/>
        <rFont val="Calibri"/>
        <family val="2"/>
        <scheme val="minor"/>
      </rPr>
      <t>language2</t>
    </r>
  </si>
  <si>
    <t>leader_contact</t>
  </si>
  <si>
    <t>phone_number_leader_yn</t>
  </si>
  <si>
    <r>
      <t xml:space="preserve">Can you provide me with the </t>
    </r>
    <r>
      <rPr>
        <b/>
        <sz val="12"/>
        <color theme="9" tint="-0.499984740745262"/>
        <rFont val="Calibri (Body)"/>
      </rPr>
      <t>contact information</t>
    </r>
    <r>
      <rPr>
        <sz val="12"/>
        <color theme="9" tint="-0.499984740745262"/>
        <rFont val="Calibri (Body)"/>
      </rPr>
      <t xml:space="preserve"> of a leader in your community?
[OPERATOR: SINGLE RESPONSE.]
1)YES 
2)NO
3)DON'T KNOW
4)REFUSED</t>
    </r>
  </si>
  <si>
    <r>
      <t xml:space="preserve">Pouvez-vous me donner les </t>
    </r>
    <r>
      <rPr>
        <b/>
        <sz val="12"/>
        <color theme="9" tint="-0.499984740745262"/>
        <rFont val="Calibri"/>
        <family val="2"/>
        <scheme val="minor"/>
      </rPr>
      <t>coordonnées</t>
    </r>
    <r>
      <rPr>
        <sz val="12"/>
        <color theme="9" tint="-0.499984740745262"/>
        <rFont val="Calibri"/>
        <family val="2"/>
        <scheme val="minor"/>
      </rPr>
      <t xml:space="preserve"> d'une personnalité influente de votre communauté ?
[OPÉRATEUR/OPÉRATRICE: RÉPONSE UNIQUE.]
1)Oui
2)Non
3)NE SAIT PAS
4)REFUSÉ</t>
    </r>
  </si>
  <si>
    <t>1 = leader_type
2-4 = future_int_day</t>
  </si>
  <si>
    <r>
      <t xml:space="preserve">if </t>
    </r>
    <r>
      <rPr>
        <i/>
        <sz val="12"/>
        <color theme="9" tint="-0.499984740745262"/>
        <rFont val="Calibri (Body)"/>
      </rPr>
      <t xml:space="preserve">leader_contact </t>
    </r>
    <r>
      <rPr>
        <sz val="12"/>
        <color theme="9" tint="-0.499984740745262"/>
        <rFont val="Calibri (Body)"/>
      </rPr>
      <t xml:space="preserve">= 1, go to </t>
    </r>
    <r>
      <rPr>
        <i/>
        <sz val="12"/>
        <color theme="9" tint="-0.499984740745262"/>
        <rFont val="Calibri (Body)"/>
      </rPr>
      <t xml:space="preserve">leader_type;
if leader_contact </t>
    </r>
    <r>
      <rPr>
        <sz val="12"/>
        <color theme="9" tint="-0.499984740745262"/>
        <rFont val="Calibri (Body)"/>
      </rPr>
      <t xml:space="preserve">= 2-4, go to </t>
    </r>
    <r>
      <rPr>
        <i/>
        <sz val="12"/>
        <color theme="9" tint="-0.499984740745262"/>
        <rFont val="Calibri (Body)"/>
      </rPr>
      <t>future_int_day</t>
    </r>
  </si>
  <si>
    <t>no - panel</t>
  </si>
  <si>
    <t>new question - optional based on country context (assuming strong community ties in the country)</t>
  </si>
  <si>
    <t>leader_type</t>
  </si>
  <si>
    <t>What type of community leader can you provide information for?
[OPERATOR: SINGLE RESPONSE.]
1)Village/ town administrator
2)Agricultural extension officer
3)Health extension officer
4)Teacher
5)Other (specify)
6)DON'T KNOW
7)REFUSED</t>
  </si>
  <si>
    <t>Pour quel type de personnalité influente pouvez-vous fournir des informations ?
[OPÉRATEUR/OPÉRATRICE: RÉPONSE UNIQUE.]
1)Administrateur du village/de la ville
2)Agent de vulgarisation agricole
3)Agent de vulgarisation sanitaire
4)Enseignant
5)Autre (préciser)
6)NE SAIT PAS
7)REFUSÉ</t>
  </si>
  <si>
    <t>1-7 = phone_number_leader</t>
  </si>
  <si>
    <r>
      <t xml:space="preserve">if </t>
    </r>
    <r>
      <rPr>
        <i/>
        <sz val="12"/>
        <color theme="9" tint="-0.499984740745262"/>
        <rFont val="Calibri (Body)"/>
      </rPr>
      <t xml:space="preserve">leader_type </t>
    </r>
    <r>
      <rPr>
        <sz val="12"/>
        <color theme="9" tint="-0.499984740745262"/>
        <rFont val="Calibri (Body)"/>
      </rPr>
      <t xml:space="preserve">= 1-7, go to </t>
    </r>
    <r>
      <rPr>
        <i/>
        <sz val="12"/>
        <color theme="9" tint="-0.499984740745262"/>
        <rFont val="Calibri (Body)"/>
      </rPr>
      <t>phone_number_leader</t>
    </r>
  </si>
  <si>
    <t>resp_age = 18-100
hh_agricactivity = 1 | 2 | 3 | 4
quotareached = 2
phone_number_leader_yn = 1</t>
  </si>
  <si>
    <t>phone_number_leader</t>
  </si>
  <si>
    <r>
      <t xml:space="preserve">What is the leader's </t>
    </r>
    <r>
      <rPr>
        <b/>
        <sz val="12"/>
        <color theme="9" tint="-0.499984740745262"/>
        <rFont val="Calibri (Body)"/>
      </rPr>
      <t>phone number</t>
    </r>
    <r>
      <rPr>
        <sz val="12"/>
        <color theme="9" tint="-0.499984740745262"/>
        <rFont val="Calibri (Body)"/>
      </rPr>
      <t>?</t>
    </r>
  </si>
  <si>
    <r>
      <t xml:space="preserve">Quel est le </t>
    </r>
    <r>
      <rPr>
        <b/>
        <sz val="12"/>
        <color theme="9" tint="-0.499984740745262"/>
        <rFont val="Calibri"/>
        <family val="2"/>
        <scheme val="minor"/>
      </rPr>
      <t>numéro de téléphone</t>
    </r>
    <r>
      <rPr>
        <sz val="12"/>
        <color theme="9" tint="-0.499984740745262"/>
        <rFont val="Calibri"/>
        <family val="2"/>
        <scheme val="minor"/>
      </rPr>
      <t xml:space="preserve"> de cette personnalité influente ?</t>
    </r>
  </si>
  <si>
    <t>Any Response = leader_name</t>
  </si>
  <si>
    <r>
      <t xml:space="preserve">For any response, go to </t>
    </r>
    <r>
      <rPr>
        <i/>
        <sz val="12"/>
        <color theme="9" tint="-0.499984740745262"/>
        <rFont val="Calibri (Body)"/>
      </rPr>
      <t>leader_name</t>
    </r>
  </si>
  <si>
    <t>leader_name</t>
  </si>
  <si>
    <r>
      <t xml:space="preserve">What is the leader's </t>
    </r>
    <r>
      <rPr>
        <b/>
        <sz val="12"/>
        <color theme="9" tint="-0.499984740745262"/>
        <rFont val="Calibri (Body)"/>
      </rPr>
      <t>name?</t>
    </r>
  </si>
  <si>
    <r>
      <t xml:space="preserve">Quel est le </t>
    </r>
    <r>
      <rPr>
        <b/>
        <sz val="12"/>
        <color theme="9" tint="-0.499984740745262"/>
        <rFont val="Calibri"/>
        <family val="2"/>
        <scheme val="minor"/>
      </rPr>
      <t>nom</t>
    </r>
    <r>
      <rPr>
        <sz val="12"/>
        <color theme="9" tint="-0.499984740745262"/>
        <rFont val="Calibri"/>
        <family val="2"/>
        <scheme val="minor"/>
      </rPr>
      <t xml:space="preserve"> de cette personnalité influente ?</t>
    </r>
  </si>
  <si>
    <t>Any Response = future_int_day</t>
  </si>
  <si>
    <r>
      <t xml:space="preserve">For any response, go to </t>
    </r>
    <r>
      <rPr>
        <i/>
        <sz val="12"/>
        <color theme="9" tint="-0.499984740745262"/>
        <rFont val="Calibri (Body)"/>
      </rPr>
      <t>future_int_day</t>
    </r>
  </si>
  <si>
    <t>future_int_day</t>
  </si>
  <si>
    <t>future_int_day_
1) future_int_day_mon
2) future_int_day_tues
3) future_int_day_wed
4) future_int_day_thurs
5) future_int_day_fri
6) future_int_day_sat
7) future_int_day_sun</t>
  </si>
  <si>
    <r>
      <t xml:space="preserve">For future interviews, in which </t>
    </r>
    <r>
      <rPr>
        <b/>
        <sz val="12"/>
        <color theme="9" tint="-0.499984740745262"/>
        <rFont val="Calibri (Body)"/>
      </rPr>
      <t>day(s)</t>
    </r>
    <r>
      <rPr>
        <sz val="12"/>
        <color theme="9" tint="-0.499984740745262"/>
        <rFont val="Calibri (Body)"/>
      </rPr>
      <t xml:space="preserve"> can I call you?
[OPERATOR: MULTIPLE ANSWERS POSSIBLE.]
1)Monday
2)Tuesday
3)Wednesday
4)Thursday
5)Friday
6)Saturday
7)Sunday</t>
    </r>
  </si>
  <si>
    <t>Pour les prochains entretiens, quel(s) jour(s) puis-je vous appeler ?
[OPÉRATEUR/OPÉRATRICE: PLUSIEURS RÉPONSES POSSIBLES.]
1)Lundi
2)Mardi
3)Mercredi
4)Jeudi
5)Vendredi
6)Samedi
7)Dimanche</t>
  </si>
  <si>
    <t>1-7 = future_int_time</t>
  </si>
  <si>
    <r>
      <t xml:space="preserve">if </t>
    </r>
    <r>
      <rPr>
        <i/>
        <sz val="12"/>
        <color theme="9" tint="-0.499984740745262"/>
        <rFont val="Calibri (Body)"/>
      </rPr>
      <t xml:space="preserve">l_future_int_day </t>
    </r>
    <r>
      <rPr>
        <sz val="12"/>
        <color theme="9" tint="-0.499984740745262"/>
        <rFont val="Calibri (Body)"/>
      </rPr>
      <t xml:space="preserve">= 1-7, go to </t>
    </r>
    <r>
      <rPr>
        <i/>
        <sz val="12"/>
        <color theme="9" tint="-0.499984740745262"/>
        <rFont val="Calibri (Body)"/>
      </rPr>
      <t>future_int_time</t>
    </r>
  </si>
  <si>
    <t>future_int_time</t>
  </si>
  <si>
    <t>future_int_time_ 
1) future_int_time_morn
2) future_int_time_aft
3) future_int_time_eve</t>
  </si>
  <si>
    <r>
      <t xml:space="preserve">For future interviews, at what </t>
    </r>
    <r>
      <rPr>
        <b/>
        <sz val="12"/>
        <color theme="9" tint="-0.499984740745262"/>
        <rFont val="Calibri (Body)"/>
      </rPr>
      <t>time(s)</t>
    </r>
    <r>
      <rPr>
        <sz val="12"/>
        <color theme="9" tint="-0.499984740745262"/>
        <rFont val="Calibri (Body)"/>
      </rPr>
      <t xml:space="preserve"> can I call you?
[OPERATOR: MULTIPLE ANSWERS POSSIBLE.]
1)Mornings
2)Afternoons
3)Evenings</t>
    </r>
  </si>
  <si>
    <t>Pour les prochains entretiens, à quel(s) moment(s) de la journée puis-je vous appeler ?
[OPÉRATEUR/OPÉRATRICE: PLUSIEURS RÉPONSES POSSIBLES.]
1)Le matin
2)L'après-midi
3)Le soir</t>
  </si>
  <si>
    <t>1-3 = language2</t>
  </si>
  <si>
    <r>
      <t xml:space="preserve">if </t>
    </r>
    <r>
      <rPr>
        <i/>
        <sz val="12"/>
        <color theme="9" tint="-0.499984740745262"/>
        <rFont val="Calibri (Body)"/>
      </rPr>
      <t xml:space="preserve">future_int_time </t>
    </r>
    <r>
      <rPr>
        <sz val="12"/>
        <color theme="9" tint="-0.499984740745262"/>
        <rFont val="Calibri (Body)"/>
      </rPr>
      <t xml:space="preserve">= 1-3, go to </t>
    </r>
    <r>
      <rPr>
        <i/>
        <sz val="12"/>
        <color theme="9" tint="-0.499984740745262"/>
        <rFont val="Calibri (Body)"/>
      </rPr>
      <t>language2</t>
    </r>
  </si>
  <si>
    <r>
      <t>Select the language that was mostly used to complete the interview.
[OPERATOR: SINGLE RESPONSE.]
1)English
2)</t>
    </r>
    <r>
      <rPr>
        <b/>
        <sz val="12"/>
        <color theme="4"/>
        <rFont val="Calibri"/>
        <family val="2"/>
        <scheme val="minor"/>
      </rPr>
      <t>other languages [consistent with resp_language]</t>
    </r>
  </si>
  <si>
    <r>
      <t xml:space="preserve">Sélectionner la langue qui a été principalement utilisée pour réaliser l'entretien.
[OPÉRATEUR/OPÉRATRICE: RÉPONSE UNIQUE.]
1)Français
</t>
    </r>
    <r>
      <rPr>
        <b/>
        <sz val="12"/>
        <color rgb="FF0070C0"/>
        <rFont val="Calibri"/>
        <family val="2"/>
        <scheme val="minor"/>
      </rPr>
      <t>2)Autre langue [cohérente avec resp_languague].</t>
    </r>
  </si>
  <si>
    <r>
      <rPr>
        <b/>
        <sz val="12"/>
        <color rgb="FF0070C0"/>
        <rFont val="Calibri"/>
        <family val="2"/>
        <scheme val="minor"/>
      </rPr>
      <t xml:space="preserve">1-2 </t>
    </r>
    <r>
      <rPr>
        <sz val="12"/>
        <rFont val="Calibri"/>
        <family val="2"/>
        <scheme val="minor"/>
      </rPr>
      <t>= closeout</t>
    </r>
  </si>
  <si>
    <t>closeout</t>
  </si>
  <si>
    <r>
      <t xml:space="preserve">Thank you for your time. The interview has come to an end. </t>
    </r>
    <r>
      <rPr>
        <b/>
        <sz val="12"/>
        <color rgb="FF0070C0"/>
        <rFont val="Calibri"/>
        <family val="2"/>
        <scheme val="minor"/>
      </rPr>
      <t>You will receive your #TOPUP# airtime credit on this phone within the next 2 days.</t>
    </r>
  </si>
  <si>
    <r>
      <t xml:space="preserve">Merci de nous avoir accordé votre temps. L'entretien est terminé. </t>
    </r>
    <r>
      <rPr>
        <b/>
        <sz val="12"/>
        <color rgb="FF0070C0"/>
        <rFont val="Calibri"/>
        <family val="2"/>
        <scheme val="minor"/>
      </rPr>
      <t>Vous recevrez votre crédit téléphonique #TOPUP# sur ce téléphone dans les deux prochains jours.</t>
    </r>
  </si>
  <si>
    <t>AVERAGE ESTIMATED DURATION (with fisheries section)</t>
  </si>
  <si>
    <t>AVERAGE ESTIMATED DURATION (without fisheries section)</t>
  </si>
  <si>
    <t>AVERAGE ESTIMATED DURATION (without fisheries section or panel)</t>
  </si>
  <si>
    <t>Dernier numéro</t>
  </si>
  <si>
    <t xml:space="preserve">Select top 10 crops </t>
  </si>
  <si>
    <t>GeoPoll code</t>
  </si>
  <si>
    <t>Dataset code</t>
  </si>
  <si>
    <t>Label (EN)</t>
  </si>
  <si>
    <t>Label (FR)</t>
  </si>
  <si>
    <t>1.1</t>
  </si>
  <si>
    <t>Rice</t>
  </si>
  <si>
    <t>Riz</t>
  </si>
  <si>
    <t>1.2</t>
  </si>
  <si>
    <t>Wheat</t>
  </si>
  <si>
    <t>Blé</t>
  </si>
  <si>
    <t>1.3</t>
  </si>
  <si>
    <t>Millet</t>
  </si>
  <si>
    <t>Mil</t>
  </si>
  <si>
    <t>1.4</t>
  </si>
  <si>
    <t>Sorghum</t>
  </si>
  <si>
    <t>Sorgho</t>
  </si>
  <si>
    <t>1.5</t>
  </si>
  <si>
    <t>Maize</t>
  </si>
  <si>
    <t>Maïs</t>
  </si>
  <si>
    <t>1.6</t>
  </si>
  <si>
    <t>Barley</t>
  </si>
  <si>
    <t>Orge</t>
  </si>
  <si>
    <t>1.99</t>
  </si>
  <si>
    <t>Other Cereal</t>
  </si>
  <si>
    <t>Autres céréales</t>
  </si>
  <si>
    <t>2.1</t>
  </si>
  <si>
    <t>Cassava</t>
  </si>
  <si>
    <t>Manioc</t>
  </si>
  <si>
    <t>2.2</t>
  </si>
  <si>
    <t>Potatoe</t>
  </si>
  <si>
    <t>Pommes de terre</t>
  </si>
  <si>
    <t>2.3</t>
  </si>
  <si>
    <t>Sweet Potatoes</t>
  </si>
  <si>
    <t>Patates douces</t>
  </si>
  <si>
    <t>2.4</t>
  </si>
  <si>
    <t>Yams</t>
  </si>
  <si>
    <t>Ignames</t>
  </si>
  <si>
    <t>2.5</t>
  </si>
  <si>
    <t>Carrots</t>
  </si>
  <si>
    <t>Carottes</t>
  </si>
  <si>
    <t>2.6</t>
  </si>
  <si>
    <t>Cocoyam</t>
  </si>
  <si>
    <t>Chou caraïbe</t>
  </si>
  <si>
    <t>2.99</t>
  </si>
  <si>
    <t>Other tubers</t>
  </si>
  <si>
    <t>Autres tubercules</t>
  </si>
  <si>
    <t>3.1</t>
  </si>
  <si>
    <t>Beans</t>
  </si>
  <si>
    <t>Haricots</t>
  </si>
  <si>
    <t>3.2</t>
  </si>
  <si>
    <t>Lentils</t>
  </si>
  <si>
    <t>Lentilles</t>
  </si>
  <si>
    <t>3.3</t>
  </si>
  <si>
    <t>Peas</t>
  </si>
  <si>
    <t>Pois</t>
  </si>
  <si>
    <t>3.4</t>
  </si>
  <si>
    <t>Soybeans</t>
  </si>
  <si>
    <t>Soja</t>
  </si>
  <si>
    <t>3.5</t>
  </si>
  <si>
    <t>Chickpeas</t>
  </si>
  <si>
    <t>Pois chiches</t>
  </si>
  <si>
    <t>3.6</t>
  </si>
  <si>
    <t>Fava beans</t>
  </si>
  <si>
    <t>Fève</t>
  </si>
  <si>
    <t>3.7</t>
  </si>
  <si>
    <t>Broad beans</t>
  </si>
  <si>
    <t>Fève large</t>
  </si>
  <si>
    <t>3.99</t>
  </si>
  <si>
    <t>Other pulses</t>
  </si>
  <si>
    <t>Autres légumineuses</t>
  </si>
  <si>
    <t>4.1</t>
  </si>
  <si>
    <t>Cabbage</t>
  </si>
  <si>
    <t>Choux</t>
  </si>
  <si>
    <t>4.2</t>
  </si>
  <si>
    <t>Lettuce</t>
  </si>
  <si>
    <t>Laitue</t>
  </si>
  <si>
    <t>4.3</t>
  </si>
  <si>
    <t>Spinach-Amaranth</t>
  </si>
  <si>
    <t>Epinards-Amaranthe</t>
  </si>
  <si>
    <t>4.4</t>
  </si>
  <si>
    <t>Cassava leaves</t>
  </si>
  <si>
    <t>Feuilles de manioc</t>
  </si>
  <si>
    <t>4.5</t>
  </si>
  <si>
    <t>Potatoe leaves</t>
  </si>
  <si>
    <t>Feuilles de pomme de terre</t>
  </si>
  <si>
    <t>4.6</t>
  </si>
  <si>
    <t>Moringa</t>
  </si>
  <si>
    <t>4.7</t>
  </si>
  <si>
    <t>Sorrel Hibiscus / Rosselle</t>
  </si>
  <si>
    <t>Oseille Hibiscus / Rosselle</t>
  </si>
  <si>
    <t>4.9</t>
  </si>
  <si>
    <t>Green salad herbs (thyme, parsley, mint, rocca, other)</t>
  </si>
  <si>
    <t>Herbes aromatiques (thym, persil, menthe, rocca, autres)</t>
  </si>
  <si>
    <t>4.101</t>
  </si>
  <si>
    <t>Cauliflower</t>
  </si>
  <si>
    <t>Choux-fleur</t>
  </si>
  <si>
    <t>4.99</t>
  </si>
  <si>
    <t>Other leafy vegetables</t>
  </si>
  <si>
    <t>Autres légumes à feuilles</t>
  </si>
  <si>
    <t>5.1</t>
  </si>
  <si>
    <t>Tomatoes</t>
  </si>
  <si>
    <t>Tomates</t>
  </si>
  <si>
    <t>5.2</t>
  </si>
  <si>
    <t>Cucumber</t>
  </si>
  <si>
    <t>Concombre</t>
  </si>
  <si>
    <t>5.3</t>
  </si>
  <si>
    <t>Pumpkin</t>
  </si>
  <si>
    <t>Citrouille</t>
  </si>
  <si>
    <t>5.4</t>
  </si>
  <si>
    <t>Eggplant/aubergine</t>
  </si>
  <si>
    <t>Aubergines/aubergines</t>
  </si>
  <si>
    <t>5.5</t>
  </si>
  <si>
    <t>Zucchini</t>
  </si>
  <si>
    <t>Courgettes</t>
  </si>
  <si>
    <t>5.6</t>
  </si>
  <si>
    <t>Okra</t>
  </si>
  <si>
    <t>5.7</t>
  </si>
  <si>
    <t>Bell pepper</t>
  </si>
  <si>
    <t>Poivrons</t>
  </si>
  <si>
    <t>5.8</t>
  </si>
  <si>
    <t>Onions</t>
  </si>
  <si>
    <t>Oignons</t>
  </si>
  <si>
    <t>5.9</t>
  </si>
  <si>
    <t>Haricot</t>
  </si>
  <si>
    <t xml:space="preserve">Haricot </t>
  </si>
  <si>
    <t>5.101</t>
  </si>
  <si>
    <t>Green peas</t>
  </si>
  <si>
    <t>Petit pois</t>
  </si>
  <si>
    <t>5.11</t>
  </si>
  <si>
    <t>Fava beans green</t>
  </si>
  <si>
    <t>Pois fève</t>
  </si>
  <si>
    <t>5.99</t>
  </si>
  <si>
    <t>Other non leafy vegs</t>
  </si>
  <si>
    <t>Autres légumes non feuillus</t>
  </si>
  <si>
    <t>6.1</t>
  </si>
  <si>
    <t>Orange</t>
  </si>
  <si>
    <t>6.2</t>
  </si>
  <si>
    <t>Lemon</t>
  </si>
  <si>
    <t>Citron</t>
  </si>
  <si>
    <t>6.3</t>
  </si>
  <si>
    <t>Grapefruit</t>
  </si>
  <si>
    <t>Pamplemousse</t>
  </si>
  <si>
    <t>6.4</t>
  </si>
  <si>
    <t>Mandarins/clementines</t>
  </si>
  <si>
    <t>Tangerine/clémentine</t>
  </si>
  <si>
    <t>6.99</t>
  </si>
  <si>
    <t>Other citrus fruit</t>
  </si>
  <si>
    <t>Autres agrumes</t>
  </si>
  <si>
    <t>7.1</t>
  </si>
  <si>
    <t>Sweet Banana</t>
  </si>
  <si>
    <t>Banane douce</t>
  </si>
  <si>
    <t>7.2</t>
  </si>
  <si>
    <t>Plantains</t>
  </si>
  <si>
    <t>Banane plantain</t>
  </si>
  <si>
    <t>7.3</t>
  </si>
  <si>
    <t>Papaya</t>
  </si>
  <si>
    <t>Papaye</t>
  </si>
  <si>
    <t>7.4</t>
  </si>
  <si>
    <t>Mango</t>
  </si>
  <si>
    <t>Mangue</t>
  </si>
  <si>
    <t>7.5</t>
  </si>
  <si>
    <t>Guava</t>
  </si>
  <si>
    <t>Goyave</t>
  </si>
  <si>
    <t>7.6</t>
  </si>
  <si>
    <t>Pineapple</t>
  </si>
  <si>
    <t>Ananas</t>
  </si>
  <si>
    <t>7.7</t>
  </si>
  <si>
    <t>Avocado</t>
  </si>
  <si>
    <t>Avocat</t>
  </si>
  <si>
    <t>7.8</t>
  </si>
  <si>
    <t>Water Melon</t>
  </si>
  <si>
    <t>Pastèques</t>
  </si>
  <si>
    <t>7.9</t>
  </si>
  <si>
    <t>Dates</t>
  </si>
  <si>
    <t>Dattes</t>
  </si>
  <si>
    <t>7.101</t>
  </si>
  <si>
    <t>Figs</t>
  </si>
  <si>
    <t>Figues</t>
  </si>
  <si>
    <t>7.11</t>
  </si>
  <si>
    <t>Grapes</t>
  </si>
  <si>
    <t>Raisins</t>
  </si>
  <si>
    <t>7.12</t>
  </si>
  <si>
    <t>Olives</t>
  </si>
  <si>
    <t>7.13</t>
  </si>
  <si>
    <t>Apple</t>
  </si>
  <si>
    <t>Pomme</t>
  </si>
  <si>
    <t>7.14</t>
  </si>
  <si>
    <t>Apricot</t>
  </si>
  <si>
    <t>Abricot</t>
  </si>
  <si>
    <t>7.15</t>
  </si>
  <si>
    <t>Cherries</t>
  </si>
  <si>
    <t>Cerises</t>
  </si>
  <si>
    <t>7.16</t>
  </si>
  <si>
    <t>Peach/nectarine</t>
  </si>
  <si>
    <t>Pêche/nectarine</t>
  </si>
  <si>
    <t>7.17</t>
  </si>
  <si>
    <t>Strawberries</t>
  </si>
  <si>
    <t>Fraises</t>
  </si>
  <si>
    <t>7.18</t>
  </si>
  <si>
    <t>Melon (Cantaloupe)</t>
  </si>
  <si>
    <t>Melon</t>
  </si>
  <si>
    <t>7.99</t>
  </si>
  <si>
    <t>Other fruit</t>
  </si>
  <si>
    <t>Autres fruits</t>
  </si>
  <si>
    <t>8.1</t>
  </si>
  <si>
    <t>Coconuts</t>
  </si>
  <si>
    <t>Noix de coco</t>
  </si>
  <si>
    <t>8.2</t>
  </si>
  <si>
    <t>Groundnut/peanut</t>
  </si>
  <si>
    <t>Arachide / cacahuète</t>
  </si>
  <si>
    <t>8.3</t>
  </si>
  <si>
    <t>Cashew Nut</t>
  </si>
  <si>
    <t>Noix de cajou</t>
  </si>
  <si>
    <t>8.4</t>
  </si>
  <si>
    <t>Kola Nut</t>
  </si>
  <si>
    <t>Noix de kola</t>
  </si>
  <si>
    <t>8.5</t>
  </si>
  <si>
    <t>Sesame</t>
  </si>
  <si>
    <t>Sésame</t>
  </si>
  <si>
    <t>8.6</t>
  </si>
  <si>
    <t>Bambara nut</t>
  </si>
  <si>
    <t>Noix de bambara</t>
  </si>
  <si>
    <t>8.7</t>
  </si>
  <si>
    <t>Almond</t>
  </si>
  <si>
    <t>Amande</t>
  </si>
  <si>
    <t>8.8</t>
  </si>
  <si>
    <t>Walnut</t>
  </si>
  <si>
    <t>Noix</t>
  </si>
  <si>
    <t>8.99</t>
  </si>
  <si>
    <t>Other nuts</t>
  </si>
  <si>
    <t>Autres fruits à coque</t>
  </si>
  <si>
    <t>9.1</t>
  </si>
  <si>
    <t>Cocoa</t>
  </si>
  <si>
    <t>Cacao</t>
  </si>
  <si>
    <t>9.2</t>
  </si>
  <si>
    <t>Coffee</t>
  </si>
  <si>
    <t>Café</t>
  </si>
  <si>
    <t>9.3</t>
  </si>
  <si>
    <t>Tea</t>
  </si>
  <si>
    <t>Thé</t>
  </si>
  <si>
    <t>9.4</t>
  </si>
  <si>
    <t>Sugarcane</t>
  </si>
  <si>
    <t>Canne à sucre</t>
  </si>
  <si>
    <t>9.5</t>
  </si>
  <si>
    <t>Sunflower</t>
  </si>
  <si>
    <t>Tournesol</t>
  </si>
  <si>
    <t>9.99</t>
  </si>
  <si>
    <t>Other food cash crop</t>
  </si>
  <si>
    <t>Autres cultures vivrières de rente</t>
  </si>
  <si>
    <t>10.1</t>
  </si>
  <si>
    <t>Cotton</t>
  </si>
  <si>
    <t>Coton</t>
  </si>
  <si>
    <t>10.2</t>
  </si>
  <si>
    <t>Rubber</t>
  </si>
  <si>
    <t>Caoutchouc</t>
  </si>
  <si>
    <t>10.3</t>
  </si>
  <si>
    <t>Jute</t>
  </si>
  <si>
    <t>10.4</t>
  </si>
  <si>
    <t>Fodder</t>
  </si>
  <si>
    <t>Fourrage</t>
  </si>
  <si>
    <t>10.5</t>
  </si>
  <si>
    <t>Tobacco</t>
  </si>
  <si>
    <t>Tabac</t>
  </si>
  <si>
    <t>10.6</t>
  </si>
  <si>
    <t>Qat</t>
  </si>
  <si>
    <t>10.99</t>
  </si>
  <si>
    <t>Other non-food cash crop</t>
  </si>
  <si>
    <t>Autre culture de rente non alimentaire</t>
  </si>
  <si>
    <r>
      <t xml:space="preserve">Original 
EN / </t>
    </r>
    <r>
      <rPr>
        <b/>
        <i/>
        <sz val="11"/>
        <color rgb="FF000000"/>
        <rFont val="Calibri"/>
        <family val="2"/>
      </rPr>
      <t>FR</t>
    </r>
  </si>
  <si>
    <t>Replacement (EN)</t>
  </si>
  <si>
    <t>Remplacement (FR)</t>
  </si>
  <si>
    <t>Comment (EN)</t>
  </si>
  <si>
    <t>Comment (FR)</t>
  </si>
  <si>
    <t>Example (EN)</t>
  </si>
  <si>
    <t>Exemple (FR)</t>
  </si>
  <si>
    <r>
      <t xml:space="preserve">FOR </t>
    </r>
    <r>
      <rPr>
        <b/>
        <sz val="12"/>
        <color theme="1"/>
        <rFont val="Calibri"/>
        <family val="2"/>
        <scheme val="minor"/>
      </rPr>
      <t xml:space="preserve">CORE QUESTIONS    </t>
    </r>
    <r>
      <rPr>
        <b/>
        <sz val="12"/>
        <color theme="0"/>
        <rFont val="Calibri"/>
        <family val="2"/>
        <scheme val="minor"/>
      </rPr>
      <t>.</t>
    </r>
    <r>
      <rPr>
        <sz val="12"/>
        <color theme="1"/>
        <rFont val="Calibri"/>
        <family val="2"/>
        <scheme val="minor"/>
      </rPr>
      <t xml:space="preserve">
(</t>
    </r>
    <r>
      <rPr>
        <i/>
        <sz val="12"/>
        <color theme="1"/>
        <rFont val="Calibri"/>
        <family val="2"/>
        <scheme val="minor"/>
      </rPr>
      <t xml:space="preserve">Mandatory to fill out)    </t>
    </r>
    <r>
      <rPr>
        <i/>
        <sz val="12"/>
        <color theme="0"/>
        <rFont val="Calibri"/>
        <family val="2"/>
        <scheme val="minor"/>
      </rPr>
      <t>.</t>
    </r>
  </si>
  <si>
    <r>
      <t xml:space="preserve">ADMIN1 / </t>
    </r>
    <r>
      <rPr>
        <i/>
        <sz val="11"/>
        <color rgb="FF000000"/>
        <rFont val="Calibri"/>
        <family val="2"/>
      </rPr>
      <t>ADMIN1</t>
    </r>
  </si>
  <si>
    <t xml:space="preserve">The first subdivision of the country, after national level; region; province; governorate; etc. </t>
  </si>
  <si>
    <t xml:space="preserve">La première subdivision du pays, après le niveau national ; par exemple, région ; province ; gouvernorat ; etc. </t>
  </si>
  <si>
    <t>region</t>
  </si>
  <si>
    <r>
      <t xml:space="preserve">ADMIN2 / </t>
    </r>
    <r>
      <rPr>
        <i/>
        <sz val="11"/>
        <color rgb="FF000000"/>
        <rFont val="Calibri"/>
        <family val="2"/>
      </rPr>
      <t>ADMIN2</t>
    </r>
  </si>
  <si>
    <t xml:space="preserve">The second subdivision of the country; district; municipality; LGA; etc. </t>
  </si>
  <si>
    <t xml:space="preserve">La deuxième subdivision du pays ; par exemple, district, municipalité, LGA, etc. </t>
  </si>
  <si>
    <t>district</t>
  </si>
  <si>
    <r>
      <t xml:space="preserve">season / </t>
    </r>
    <r>
      <rPr>
        <i/>
        <sz val="11"/>
        <color rgb="FF000000"/>
        <rFont val="Calibri"/>
        <family val="2"/>
      </rPr>
      <t>saison</t>
    </r>
  </si>
  <si>
    <t>Name the crop season(s) of interest if there are several cropping seasons in the country (e.g. Meher and Belg in Ethiopia, rainy season / flood-recession cropping / irrigated dry season in the Sahel). You can refer to the “last season” or “ongoing season".</t>
  </si>
  <si>
    <t>Nommez la ou les saisons culturales concernée(s) en ANGLAIS s'il y en a plusieurs dans le pays (par exemple, Meher et Belg en Ethiopie, saison des pluies / cultures de décrue / saison sèche irriguée au Sahel). Vous pouvez vous référer à la "dernière saison" ou "saison actuelle".</t>
  </si>
  <si>
    <t>wet season</t>
  </si>
  <si>
    <t>saison des pluies</t>
  </si>
  <si>
    <r>
      <t xml:space="preserve">season phase / </t>
    </r>
    <r>
      <rPr>
        <i/>
        <sz val="11"/>
        <color rgb="FF000000"/>
        <rFont val="Calibri"/>
        <family val="2"/>
      </rPr>
      <t>phase de la saison</t>
    </r>
  </si>
  <si>
    <r>
      <t xml:space="preserve">Indicate the phase of the season </t>
    </r>
    <r>
      <rPr>
        <b/>
        <sz val="11"/>
        <rFont val="Calibri"/>
        <family val="2"/>
      </rPr>
      <t>at the time of data collection</t>
    </r>
    <r>
      <rPr>
        <sz val="11"/>
        <rFont val="Calibri"/>
        <family val="2"/>
      </rPr>
      <t>. If the harvest from the season has not yet occurred, the question on crop harvest (crp_harv_change) will include the word “expected” (where</t>
    </r>
    <r>
      <rPr>
        <i/>
        <sz val="11"/>
        <rFont val="Calibri"/>
        <family val="2"/>
      </rPr>
      <t xml:space="preserve"> #expected or nothing#</t>
    </r>
    <r>
      <rPr>
        <sz val="11"/>
        <rFont val="Calibri"/>
        <family val="2"/>
      </rPr>
      <t xml:space="preserve"> is located). If the harvest has occured, "expected" will not be inserted in the question.</t>
    </r>
  </si>
  <si>
    <r>
      <t xml:space="preserve">Indiquez le stade de la saison culturale </t>
    </r>
    <r>
      <rPr>
        <b/>
        <sz val="11"/>
        <rFont val="Calibri"/>
        <family val="2"/>
      </rPr>
      <t>au moment de la collecte des données</t>
    </r>
    <r>
      <rPr>
        <sz val="11"/>
        <rFont val="Calibri"/>
        <family val="2"/>
      </rPr>
      <t xml:space="preserve">. Si la récolte de la saison n'a pas encore eu lieu, la question sur la récolte des cultures (crp_harv_change) inclura le mot "attendue" (là où se trouve </t>
    </r>
    <r>
      <rPr>
        <i/>
        <sz val="11"/>
        <rFont val="Calibri"/>
        <family val="2"/>
      </rPr>
      <t>#attendue ou rien#</t>
    </r>
    <r>
      <rPr>
        <sz val="11"/>
        <rFont val="Calibri"/>
        <family val="2"/>
      </rPr>
      <t xml:space="preserve">). Si la récolte a eu lieu, "attendue" ne sera pas inséré dans la question. </t>
    </r>
  </si>
  <si>
    <t>Harvesting</t>
  </si>
  <si>
    <t>Récolte</t>
  </si>
  <si>
    <r>
      <t xml:space="preserve">Specify the local measurement unit for land size, other than </t>
    </r>
    <r>
      <rPr>
        <i/>
        <sz val="11"/>
        <rFont val="Calibri"/>
        <family val="2"/>
      </rPr>
      <t xml:space="preserve">acres, hectares, square meters </t>
    </r>
    <r>
      <rPr>
        <sz val="11"/>
        <rFont val="Calibri"/>
        <family val="2"/>
      </rPr>
      <t xml:space="preserve">and </t>
    </r>
    <r>
      <rPr>
        <i/>
        <sz val="11"/>
        <rFont val="Calibri"/>
        <family val="2"/>
      </rPr>
      <t xml:space="preserve">square feet. </t>
    </r>
    <r>
      <rPr>
        <sz val="11"/>
        <rFont val="Calibri"/>
        <family val="2"/>
      </rPr>
      <t>If no other unit of measurement is needed,</t>
    </r>
    <r>
      <rPr>
        <b/>
        <sz val="11"/>
        <rFont val="Calibri"/>
        <family val="2"/>
      </rPr>
      <t xml:space="preserve"> keep this cell blank. </t>
    </r>
  </si>
  <si>
    <r>
      <t>Indiquez l'unité utilisée localement pour mesurer la taille des terrains, autre que les acres, les hectares, les mètres carrés et les pieds carrés. Si aucune autre unité de mesure n'est nécessaire,</t>
    </r>
    <r>
      <rPr>
        <b/>
        <sz val="11"/>
        <rFont val="Calibri"/>
        <family val="2"/>
      </rPr>
      <t xml:space="preserve"> garder cette cellule vide. </t>
    </r>
  </si>
  <si>
    <t>Jeribs</t>
  </si>
  <si>
    <r>
      <t xml:space="preserve">FOR </t>
    </r>
    <r>
      <rPr>
        <b/>
        <sz val="12"/>
        <color theme="1"/>
        <rFont val="Calibri"/>
        <family val="2"/>
        <scheme val="minor"/>
      </rPr>
      <t xml:space="preserve">OPTIONAL QUESTIONS    </t>
    </r>
    <r>
      <rPr>
        <b/>
        <sz val="12"/>
        <color theme="0"/>
        <rFont val="Calibri"/>
        <family val="2"/>
        <scheme val="minor"/>
      </rPr>
      <t>.</t>
    </r>
    <r>
      <rPr>
        <i/>
        <sz val="12"/>
        <color theme="1"/>
        <rFont val="Calibri"/>
        <family val="2"/>
        <scheme val="minor"/>
      </rPr>
      <t xml:space="preserve">
(Fill out if applicable)    </t>
    </r>
    <r>
      <rPr>
        <i/>
        <sz val="12"/>
        <color theme="0"/>
        <rFont val="Calibri"/>
        <family val="2"/>
        <scheme val="minor"/>
      </rPr>
      <t>.</t>
    </r>
  </si>
  <si>
    <r>
      <t xml:space="preserve">currency / </t>
    </r>
    <r>
      <rPr>
        <i/>
        <sz val="11"/>
        <color rgb="FF000000"/>
        <rFont val="Calibri"/>
        <family val="2"/>
      </rPr>
      <t>devise</t>
    </r>
  </si>
  <si>
    <t xml:space="preserve">The name of the main currency used nationally; USD; Naira; Rial; Pesos; etc. </t>
  </si>
  <si>
    <t xml:space="preserve">Nom de la principale devise utilisée au niveau national; par exemple, USD; Naira; Rial; Pesos; etc. </t>
  </si>
  <si>
    <t>Naira</t>
  </si>
  <si>
    <r>
      <t xml:space="preserve">MIN AMOUNT / </t>
    </r>
    <r>
      <rPr>
        <i/>
        <sz val="11"/>
        <color rgb="FF000000"/>
        <rFont val="Calibri"/>
        <family val="2"/>
      </rPr>
      <t>MIN AMOUNT</t>
    </r>
  </si>
  <si>
    <r>
      <t xml:space="preserve">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t>
    </r>
    <r>
      <rPr>
        <b/>
        <sz val="11"/>
        <rFont val="Calibri"/>
        <family val="2"/>
      </rPr>
      <t>Only digits should be inputted.</t>
    </r>
  </si>
  <si>
    <r>
      <t xml:space="preserve">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t>
    </r>
    <r>
      <rPr>
        <b/>
        <sz val="11"/>
        <rFont val="Calibri"/>
        <family val="2"/>
      </rPr>
      <t>Seuls des chiffres doivent être saisis</t>
    </r>
    <r>
      <rPr>
        <sz val="11"/>
        <rFont val="Calibri"/>
        <family val="2"/>
      </rPr>
      <t>.</t>
    </r>
  </si>
  <si>
    <r>
      <t xml:space="preserve">MAX AMOUNT / </t>
    </r>
    <r>
      <rPr>
        <i/>
        <sz val="11"/>
        <color rgb="FF000000"/>
        <rFont val="Calibri"/>
        <family val="2"/>
      </rPr>
      <t>MAX AMOUNT</t>
    </r>
  </si>
  <si>
    <r>
      <t>Set the maximum amount for an income source over 3 months. It will not be possible for enumerators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t>
    </r>
    <r>
      <rPr>
        <b/>
        <sz val="11"/>
        <rFont val="Calibri"/>
        <family val="2"/>
      </rPr>
      <t> Only digits should be inputted.</t>
    </r>
  </si>
  <si>
    <r>
      <t xml:space="preserve">Fixez le montant maximum pouvant être généré par une source de revenu sur 3 mois. Il ne sera pas possible pour les enquêteurs d'entrer des valeurs supérieures à ce montant dans les questions relatives aux montants des revenus. En vous basant sur des enquêtes précédentes représentatives de cette population, vous pouvez estimer ce montant en utilisant le revenu moyen plus cinq (5) écarts types, sauf si le pays connaît une forte inflation. Dans ce dernier cas, fixez la valeur maximale en fonction du contexte de votre pays (plus élevée que l'approche proposée).  Cette saisie doit être effectuée dans la même devise que celle spécifiée ci-dessus. </t>
    </r>
    <r>
      <rPr>
        <b/>
        <sz val="11"/>
        <rFont val="Calibri"/>
        <family val="2"/>
      </rPr>
      <t>Seuls des chiffres doivent être saisis.</t>
    </r>
  </si>
  <si>
    <r>
      <t xml:space="preserve">THRESHOLD / </t>
    </r>
    <r>
      <rPr>
        <i/>
        <sz val="11"/>
        <color rgb="FF000000"/>
        <rFont val="Calibri"/>
        <family val="2"/>
      </rPr>
      <t>THRESHOLD</t>
    </r>
  </si>
  <si>
    <r>
      <t xml:space="preserve">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t>
    </r>
    <r>
      <rPr>
        <b/>
        <sz val="11"/>
        <rFont val="Calibri"/>
        <family val="2"/>
      </rPr>
      <t>Only digits should be inputted.</t>
    </r>
  </si>
  <si>
    <r>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t>
    </r>
    <r>
      <rPr>
        <b/>
        <sz val="11"/>
        <rFont val="Calibri"/>
        <family val="2"/>
      </rPr>
      <t xml:space="preserve"> Seuls des chiffres doivent être saisis.</t>
    </r>
  </si>
  <si>
    <r>
      <t xml:space="preserve">local vegetables /
</t>
    </r>
    <r>
      <rPr>
        <i/>
        <sz val="11"/>
        <color rgb="FF000000"/>
        <rFont val="Calibri"/>
        <family val="2"/>
      </rPr>
      <t>légumes locaux</t>
    </r>
  </si>
  <si>
    <t>Input some common local vegetables [to be used as examples in the food consumption score indicator].</t>
  </si>
  <si>
    <t>Saisissez quelques légumes locaux courants [à utiliser comme exemples dans l'indicateur de score de consommation alimentaire].</t>
  </si>
  <si>
    <t>eggplants, zucchini, cauliflower</t>
  </si>
  <si>
    <t>aubergines, courgettes, choux-fleurs</t>
  </si>
  <si>
    <r>
      <t xml:space="preserve">local fruits / 
</t>
    </r>
    <r>
      <rPr>
        <i/>
        <sz val="11"/>
        <color rgb="FF000000"/>
        <rFont val="Calibri"/>
        <family val="2"/>
      </rPr>
      <t>fruits locaux</t>
    </r>
  </si>
  <si>
    <t>Input some common local fruits [to be used as examples in the food consumption score indicator].</t>
  </si>
  <si>
    <t>Indiquez quelques fruits locaux courants [à utiliser comme exemples dans l'indicateur de score de consommation alimentaire].</t>
  </si>
  <si>
    <t>apples, bananas, oranges</t>
  </si>
  <si>
    <t>pommes, bananes, oranges</t>
  </si>
  <si>
    <r>
      <t xml:space="preserve">FILL OUT FOR QUESTIONNAIRE DURATION ESTIMATION    </t>
    </r>
    <r>
      <rPr>
        <sz val="12"/>
        <color theme="0"/>
        <rFont val="Calibri"/>
        <family val="2"/>
        <scheme val="minor"/>
      </rPr>
      <t>.</t>
    </r>
  </si>
  <si>
    <t>Expected percentage of respondents cultivating crops</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</si>
  <si>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</si>
  <si>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</si>
  <si>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</si>
  <si>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</si>
  <si>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</si>
  <si>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</si>
  <si>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</si>
  <si>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</si>
  <si>
    <t xml:space="preserve">Comparison questions will need need a reference year. Select whether you want to use "last year" or "a normal year" as a baseline. A "normal year" should refers to an average year from the past 5 years - make sure to train the enumerators accordingly. </t>
  </si>
  <si>
    <t>a normal year</t>
  </si>
  <si>
    <t xml:space="preserve">une année normale </t>
  </si>
  <si>
    <r>
      <t xml:space="preserve">We will now ask you some questions about crop production which apply to you and anyone in your household that is involved in crop production or sales. All questions refer to the crops grown during </t>
    </r>
    <r>
      <rPr>
        <b/>
        <sz val="12"/>
        <color rgb="FF7030A0"/>
        <rFont val="Calibri"/>
        <family val="2"/>
        <scheme val="minor"/>
      </rPr>
      <t>$season$</t>
    </r>
    <r>
      <rPr>
        <sz val="12"/>
        <rFont val="Calibri"/>
        <family val="2"/>
        <scheme val="minor"/>
      </rPr>
      <t>. 
1)CONTINUE</t>
    </r>
  </si>
  <si>
    <r>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t>
    </r>
    <r>
      <rPr>
        <b/>
        <sz val="12"/>
        <color rgb="FF7030A0"/>
        <rFont val="Calibri"/>
        <family val="2"/>
        <scheme val="minor"/>
      </rPr>
      <t>$saison$</t>
    </r>
    <r>
      <rPr>
        <sz val="12"/>
        <rFont val="Calibri"/>
        <family val="2"/>
        <scheme val="minor"/>
      </rPr>
      <t>. 
1)CONTINUER</t>
    </r>
  </si>
  <si>
    <r>
      <t xml:space="preserve">reference year / 
</t>
    </r>
    <r>
      <rPr>
        <i/>
        <sz val="11"/>
        <color rgb="FF000000"/>
        <rFont val="Calibri"/>
        <family val="2"/>
      </rPr>
      <t>reference year FR</t>
    </r>
  </si>
  <si>
    <r>
      <t xml:space="preserve">How does the current price of your household's  #crp_salesmain# compare to the average price in the same period of </t>
    </r>
    <r>
      <rPr>
        <b/>
        <sz val="12"/>
        <color rgb="FF7030A0"/>
        <rFont val="Calibri (Body)"/>
      </rPr>
      <t>$reference year$</t>
    </r>
    <r>
      <rPr>
        <sz val="12"/>
        <rFont val="Calibri"/>
        <family val="2"/>
        <scheme val="minor"/>
      </rPr>
      <t>? 
[OPERATOR: SINGLE RESPONSE. INSIST ON THE MAIN PRODUCT MENTIONED.]
1)A lot more [increased by more than 50%]
2)Slightly more
3)Same
4)Slightly less
5)A lot less [less than half as much]
6)DON'T KNOW
7)REFUSED</t>
    </r>
  </si>
  <si>
    <r>
      <t xml:space="preserve">Comment évaluez-vous le prix actuel de la principale culture vendue par votre ménage,  #crp_salesmain#, par rapport au prix moyen de </t>
    </r>
    <r>
      <rPr>
        <b/>
        <sz val="12"/>
        <color rgb="FF7030A0"/>
        <rFont val="Calibri (Body)"/>
      </rPr>
      <t>$reference year FR$</t>
    </r>
    <r>
      <rPr>
        <sz val="12"/>
        <rFont val="Calibri"/>
        <family val="2"/>
        <scheme val="minor"/>
      </rPr>
      <t>? 
[OPÉRATEUR/OPÉRATRICE: RÉPONSE UNIQUE. INSISTER SUR LA PRINCIPALE CULTURE MENTIONNÉE AUPARAVANT.]
1)Très supérieur [augmentation de plus de 50%]
2)Légèrement supérieur
3)Identique
5)Légèrement inférieur
5)Très inférieur [moins de la moitié]
6)NE SAIT PAS
7)REFUSÉ</t>
    </r>
  </si>
  <si>
    <r>
      <t xml:space="preserve">How does the current price of your household's #ls_salesmain# compare to the average price in the same period of </t>
    </r>
    <r>
      <rPr>
        <b/>
        <sz val="12"/>
        <color rgb="FF7030A0"/>
        <rFont val="Calibri (Body)"/>
      </rPr>
      <t>$reference year$</t>
    </r>
    <r>
      <rPr>
        <sz val="12"/>
        <rFont val="Calibri"/>
        <family val="2"/>
        <scheme val="minor"/>
      </rPr>
      <t>? 
[OPERATOR: SINGLE RESPONSE. INSIST ON THE MAIN PRODUCT MENTIONED.]
1)A lot more [increased by more than 50%]
2)Slightly more
3)Same
4)Slightly less
5)A lot less [less than half as much]
6)DON'T KNOW
7)REFUSED</t>
    </r>
  </si>
  <si>
    <r>
      <t xml:space="preserve">Comment évaluez-vous le prix actuel de vos #ls_salesmain# vendu(e)s par votre ménage par rapport au prix moyen sur la même période de </t>
    </r>
    <r>
      <rPr>
        <b/>
        <sz val="12"/>
        <color rgb="FF7030A0"/>
        <rFont val="Calibri (Body)"/>
      </rPr>
      <t>$reference year FR$</t>
    </r>
    <r>
      <rPr>
        <sz val="12"/>
        <rFont val="Calibri"/>
        <family val="2"/>
        <scheme val="minor"/>
      </rPr>
      <t>?
[OPÉRATEUR/OPÉRATRICE: RÉPONSE UNIQUE. INSISTER SUR LE PRINCIPAL PRODUIT MENTIONNÉ AUPARAVANT.]
1)Très supérieur [augmentation de plus de 50%]
2)Légèrement supérieur
3)Identique
5)Légèrement inférieur
5)Très inférieur [moins de la moitié]
6)NE SAIT PAS
7)REFUSÉ</t>
    </r>
  </si>
  <si>
    <r>
      <t xml:space="preserve">Comment évaluez-vous le prix actuel de vos #fish_salesmain# vendus par votre ménage par rapport au prix moyen sur la même période de </t>
    </r>
    <r>
      <rPr>
        <b/>
        <sz val="12"/>
        <color rgb="FF7030A0"/>
        <rFont val="Calibri (Body)"/>
      </rPr>
      <t>$reference year FR$</t>
    </r>
    <r>
      <rPr>
        <sz val="12"/>
        <rFont val="Calibri"/>
        <family val="2"/>
        <scheme val="minor"/>
      </rPr>
      <t xml:space="preserve"> ? 
[OPÉRATEUR/OPÉRATRICE: RÉPONSE UNIQUE. INSISTER SUR LE PRINCIPAL PRODUIT MENTIONNÉ AUPARAVANT.]
1)Très supérieur [augmentation de plus de 50%]
2)Légèrement supérieur
3)Identique
5)Inférieur
5)Très inférieur [moins de la moitié]
6)NE SAIT PAS
7)REFUSÉ</t>
    </r>
  </si>
  <si>
    <r>
      <t xml:space="preserve">How does the current price of your household's #fish_salesmain# sold compare to the average price in the same period of </t>
    </r>
    <r>
      <rPr>
        <b/>
        <sz val="12"/>
        <color rgb="FF7030A0"/>
        <rFont val="Calibri (Body)"/>
      </rPr>
      <t>$reference year$</t>
    </r>
    <r>
      <rPr>
        <sz val="12"/>
        <rFont val="Calibri"/>
        <family val="2"/>
        <scheme val="minor"/>
      </rPr>
      <t>?
[OPERATOR: SINGLE RESPONSE. INSIST ON THE MAIN PRODUCT MENTIONED.]
1)A lot more [increased by more than 50%]
2)Slightly more
3)Same
4)Slightly less
5)A lot less [less than half as much]
6)DON'T KNOW
7)REFUSED</t>
    </r>
  </si>
  <si>
    <r>
      <t xml:space="preserve">How did the </t>
    </r>
    <r>
      <rPr>
        <b/>
        <sz val="12"/>
        <rFont val="Calibri"/>
        <family val="2"/>
        <scheme val="minor"/>
      </rPr>
      <t>area planted</t>
    </r>
    <r>
      <rPr>
        <sz val="12"/>
        <rFont val="Calibri"/>
        <family val="2"/>
        <scheme val="minor"/>
      </rPr>
      <t xml:space="preserve"> for #crp_main# from </t>
    </r>
    <r>
      <rPr>
        <b/>
        <sz val="12"/>
        <color rgb="FF7030A0"/>
        <rFont val="Calibri"/>
        <family val="2"/>
        <scheme val="minor"/>
      </rPr>
      <t>$season$</t>
    </r>
    <r>
      <rPr>
        <sz val="12"/>
        <rFont val="Calibri"/>
        <family val="2"/>
        <scheme val="minor"/>
      </rPr>
      <t xml:space="preserve"> compare to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</si>
  <si>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Comment estimez-vous la </t>
    </r>
    <r>
      <rPr>
        <b/>
        <sz val="12"/>
        <rFont val="Calibri"/>
        <family val="2"/>
        <scheme val="minor"/>
      </rPr>
      <t>superficie plantée</t>
    </r>
    <r>
      <rPr>
        <sz val="12"/>
        <rFont val="Calibri"/>
        <family val="2"/>
        <scheme val="minor"/>
      </rPr>
      <t xml:space="preserve"> de votre principale production végétale, #crp_main#, pour la </t>
    </r>
    <r>
      <rPr>
        <b/>
        <sz val="12"/>
        <color rgb="FF7030A0"/>
        <rFont val="Calibri"/>
        <family val="2"/>
        <scheme val="minor"/>
      </rPr>
      <t xml:space="preserve">$saison$ </t>
    </r>
    <r>
      <rPr>
        <sz val="12"/>
        <rFont val="Calibri"/>
        <family val="2"/>
        <scheme val="minor"/>
      </rPr>
      <t xml:space="preserve">par rapport à </t>
    </r>
    <r>
      <rPr>
        <b/>
        <sz val="12"/>
        <color rgb="FF7030A0"/>
        <rFont val="Calibri (Body)"/>
      </rPr>
      <t>$reference year FR$</t>
    </r>
    <r>
      <rPr>
        <sz val="12"/>
        <rFont val="Calibri"/>
        <family val="2"/>
        <scheme val="minor"/>
      </rPr>
      <t xml:space="preserve"> ?
[OPÉRATEUR/OPÉRATRICE: RÉPONSE UNIQUE.]
1)Très supérieur [augmentation de plus de 50%]
2)Légèrement supérieur
3)Identique
5)Légèrement inférieur
5)Très inférieur [moins de la moitié]
6)NE SAIT PAS
7)REFUSÉ</t>
    </r>
  </si>
  <si>
    <r>
      <t xml:space="preserve">Comment estimez-vous la </t>
    </r>
    <r>
      <rPr>
        <b/>
        <sz val="12"/>
        <rFont val="Calibri"/>
        <family val="2"/>
        <scheme val="minor"/>
      </rPr>
      <t>récolte</t>
    </r>
    <r>
      <rPr>
        <b/>
        <sz val="12"/>
        <color rgb="FF7030A0"/>
        <rFont val="Calibri"/>
        <family val="2"/>
        <scheme val="minor"/>
      </rPr>
      <t xml:space="preserve"> $attendue ou rien$ </t>
    </r>
    <r>
      <rPr>
        <sz val="12"/>
        <rFont val="Calibri"/>
        <family val="2"/>
        <scheme val="minor"/>
      </rPr>
      <t xml:space="preserve">de votre principale production végétale, #crp_main#, pour la </t>
    </r>
    <r>
      <rPr>
        <b/>
        <sz val="12"/>
        <color rgb="FF7030A0"/>
        <rFont val="Calibri"/>
        <family val="2"/>
        <scheme val="minor"/>
      </rPr>
      <t>$saison$</t>
    </r>
    <r>
      <rPr>
        <sz val="12"/>
        <rFont val="Calibri"/>
        <family val="2"/>
        <scheme val="minor"/>
      </rPr>
      <t xml:space="preserve"> par rapport à </t>
    </r>
    <r>
      <rPr>
        <b/>
        <sz val="12"/>
        <color rgb="FF7030A0"/>
        <rFont val="Calibri (Body)"/>
      </rPr>
      <t>$reference year FR$</t>
    </r>
    <r>
      <rPr>
        <sz val="12"/>
        <rFont val="Calibri"/>
        <family val="2"/>
        <scheme val="minor"/>
      </rPr>
      <t xml:space="preserve"> ?
[OPÉRATEUR/OPÉRATRICE: RÉPONSE UNIQUE.]
1)Très supérieur [augmentation de plus de 50%]
2)Légèrement supérieur
3)Identique
5)Légèrement inférieur
5)Très inférieur [moins de la moitié]
6)NE SAIT PAS
7)REFUSÉ</t>
    </r>
  </si>
  <si>
    <r>
      <t xml:space="preserve">Le revenu de votre ménage provenant de #income_main# aa-t-il changé au cours des trois derniers mois par rapport à la même période de </t>
    </r>
    <r>
      <rPr>
        <b/>
        <sz val="12"/>
        <color rgb="FF7030A0"/>
        <rFont val="Calibri (Body)"/>
      </rPr>
      <t>$reference year FR$</t>
    </r>
    <r>
      <rPr>
        <sz val="12"/>
        <rFont val="Calibri"/>
        <family val="2"/>
        <scheme val="minor"/>
      </rPr>
      <t xml:space="preserve"> ? 
[OPÉRATEUR/OPÉRATRICE: RÉPONSE UNIQUE.]
1)Très supérieur [augmentation de plus de 50%]
2)Légèrement supérieur
3)Identique
5)Légèrement inférieur
5)Très inférieur [moins de la moitié]
6)NE SAIT PAS
7)REFUSÉ</t>
    </r>
  </si>
  <si>
    <r>
      <t xml:space="preserve">Has your household's income from #income_sec# changed in the last 3 months compared to the same period of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</si>
  <si>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Le revenu de votre ménage provenant de #income_sec# a-t-il changé au cours des trois derniers mois par rapport à la même période de </t>
    </r>
    <r>
      <rPr>
        <b/>
        <sz val="12"/>
        <color rgb="FF7030A0"/>
        <rFont val="Calibri (Body)"/>
      </rPr>
      <t>$reference year FR$</t>
    </r>
    <r>
      <rPr>
        <sz val="12"/>
        <rFont val="Calibri"/>
        <family val="2"/>
        <scheme val="minor"/>
      </rPr>
      <t xml:space="preserve"> ?
[OPÉRATEUR/OPÉRATRICE: RÉPONSE UNIQUE.]
1)Très supérieur [augmentation de plus de 50%]
2)Légèrement supérieur
3)Identique
5)Légèrement inférieur
5)Très inférieur [moins de la moitié]
6)NE SAIT PAS
7)REFUSÉ</t>
    </r>
  </si>
  <si>
    <r>
      <t xml:space="preserve">Has your household's income from #income_third# changed in the last 3 months compared to the same period of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</si>
  <si>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Le revenu de votre ménage provenant de #income_third# a-t-il changé au cours des trois derniers mois par rapport à la même période de </t>
    </r>
    <r>
      <rPr>
        <b/>
        <sz val="12"/>
        <color rgb="FF7030A0"/>
        <rFont val="Calibri (Body)"/>
      </rPr>
      <t>$reference year FR$</t>
    </r>
    <r>
      <rPr>
        <sz val="12"/>
        <color rgb="FF7030A0"/>
        <rFont val="Calibri (Body)"/>
      </rPr>
      <t xml:space="preserve"> </t>
    </r>
    <r>
      <rPr>
        <sz val="12"/>
        <rFont val="Calibri"/>
        <family val="2"/>
        <scheme val="minor"/>
      </rPr>
      <t>?
[OPÉRATEUR/OPÉRATRICE: RÉPONSE UNIQUE.]
1)Très supérieur [augmentation de plus de 50%]
2)Légèrement supérieur
3)Identique
5)Légèrement inférieur
5)Très inférieur [moins de la moitié]
6)NE SAIT PAS
7)REFUSÉ</t>
    </r>
  </si>
  <si>
    <r>
      <t xml:space="preserve">How does the </t>
    </r>
    <r>
      <rPr>
        <b/>
        <sz val="12"/>
        <color rgb="FF7030A0"/>
        <rFont val="Calibri"/>
        <family val="2"/>
        <scheme val="minor"/>
      </rPr>
      <t>$expected or nothing$</t>
    </r>
    <r>
      <rPr>
        <b/>
        <sz val="12"/>
        <rFont val="Calibri"/>
        <family val="2"/>
        <scheme val="minor"/>
      </rPr>
      <t xml:space="preserve"> harvest</t>
    </r>
    <r>
      <rPr>
        <sz val="12"/>
        <rFont val="Calibri"/>
        <family val="2"/>
        <scheme val="minor"/>
      </rPr>
      <t xml:space="preserve"> of #crp_main# in the</t>
    </r>
    <r>
      <rPr>
        <b/>
        <sz val="12"/>
        <color rgb="FF7030A0"/>
        <rFont val="Calibri"/>
        <family val="2"/>
        <scheme val="minor"/>
      </rPr>
      <t xml:space="preserve"> $season$</t>
    </r>
    <r>
      <rPr>
        <sz val="12"/>
        <rFont val="Calibri"/>
        <family val="2"/>
        <scheme val="minor"/>
      </rPr>
      <t xml:space="preserve"> compare to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</si>
  <si>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</si>
  <si>
    <r>
      <t xml:space="preserve">Has your household's income from #income_main# changed in the last 3 months compared to the same period in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</si>
  <si>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meat, eggs or fish</t>
    </r>
    <r>
      <rPr>
        <sz val="12"/>
        <color theme="1"/>
        <rFont val="Calibri"/>
        <family val="2"/>
        <scheme val="minor"/>
      </rPr>
      <t xml:space="preserve"> [any type of meat or fish including insects, birds, bush meat, seafood, or organs]?
[OPERATOR: RECORD NUMBER OF DAYS 0 - 7]</t>
    </r>
  </si>
  <si>
    <r>
      <t xml:space="preserve">Combien de fois (en nombre de jours) au cours des </t>
    </r>
    <r>
      <rPr>
        <b/>
        <sz val="12"/>
        <color theme="1"/>
        <rFont val="Calibri"/>
        <family val="2"/>
        <scheme val="minor"/>
      </rPr>
      <t>7 derniers jour</t>
    </r>
    <r>
      <rPr>
        <sz val="12"/>
        <color theme="1"/>
        <rFont val="Calibri"/>
        <family val="2"/>
        <scheme val="minor"/>
      </rPr>
      <t xml:space="preserve">s, les membres de votre foyer ont-ils mangé de la </t>
    </r>
    <r>
      <rPr>
        <u/>
        <sz val="12"/>
        <color theme="1"/>
        <rFont val="Calibri"/>
        <family val="2"/>
        <scheme val="minor"/>
      </rPr>
      <t>viande, des œufs ou du poisson</t>
    </r>
    <r>
      <rPr>
        <sz val="12"/>
        <color theme="1"/>
        <rFont val="Calibri"/>
        <family val="2"/>
        <scheme val="minor"/>
      </rPr>
      <t xml:space="preserve"> [tout type de viande ou  poisson, y compris des insectes, oiseaux, viande de brousse, fruits de mer ou abats] ?
[OPÉRATEUR/OPÉRATRICE: SAISIR LE NOMBRE DE JOURS DE 0 À 7]</t>
    </r>
  </si>
  <si>
    <t xml:space="preserve">Votre ménage possède-t-il l'un des actifs productifs suivants ?
[OPÉRATEUR/OPÉRATRICE: PLUSIEURS RÉPONSE POSSIBLES.] 
1)Taxi
2)Camion
3)Machine agricole (tracteur, autre)
4)Machine à coudre
5)Autre machine productive
6)Pas de machine productive
7)NE SAIT PAS
8)REFUSÉ
</t>
  </si>
  <si>
    <t>Quel est le status marital actuel du chef de ménage ?
[OPÉRATEUR/OPÉRATRICE: RÉPONSE UNIQUE.]
1)Célibataire / jamais marié 
2)Marié(e)
3)Séparé(e)
4)Divorcé(e)
5)Veuf ou veuve
6)NE SAIT PAS
7)REFUSÉ</t>
  </si>
  <si>
    <t>Quelle a été la principale source de revenu de votre ménage au cours des trois derniers mois ?
[OPÉRATEUR/OPÉRATRICE: RÉPONSE UNIQUE. L'OPTION «REFUSÉ» DOIT ÊTRE, AUTANT QUE POSSIBLE, ÉVITÉE.]
1)Production et vente de cultures d'aliments de base
2)Production et vente de légumes ou de fruits 
3)Production et vente de cultures de rente
4)Production et vente de bétail et de produits animaux
5)Production et vente de poisson 
6)Collecte et vente de produits forestiers ou de brousse
7)Commerce agricole informel EXCLUANT les producteurs
8)Commerce agricole formel EXCLUANT les producteurs
9)Salaire journalier dans une exploitation et autres emplois occasionnels dans le secteur agricole
10)Emploi stable dans le secteur agricole 
11)Indépendant non-agricole ou profession libérale / médecin / architecte / avocat / y compris restaurant
12)Salaire journalier et autres emplois occasionnels non agricoles
13)Emploi stable dans le secteur non-agricole
14)Emploi public 
15)Revenu non tiré du travail / Charité
16)Revenu non tiré du travail / Transferts sociaux, pension, aide humanitaire
17)Revenu non tiré du travail / Envoi de fonds des migrants
18)Revenu non tiré du travail / Revenu d'autres loyers
19)Aucune source de revenu au cours des trois derniers mois et utilisation exclusive de l'épargne
20)Aucune source de revenu au cours des trois derniers mois et création de dettes
21)REFUSÉ</t>
  </si>
  <si>
    <t>Quelle a été la deuxième source principale de revenu de votre ménage au cours des trois derniers mois ?
[OPÉRATEUR/OPÉRATRICE: RÉPONSE UNIQUE. LES OPTIONS «NE SAIT PAS» ET «REFUSÉ» DOIVENT ÊTRE ÉVITÉES AUTANT QUE POSSIBLE].
1)Production et vente de cultures d'aliments de base
2)Production et vente de légumes ou de fruits 
3)Production et vente de cultures de rente
4)Production et vente de bétail et de produits du bétail 
5)Production et vente de poisson 
6)Collecte et vente de produits forestiers ou de brousse
7)Commerce agricole informel EXCLUANT les producteurs
8)Commerce agricole formel EXCLUANT les producteurs
9)Salaire journalier dans une exploitation et autres emplois occasionnels dans le secteur agricole
10)Emploi stable dans le secteur agricole 
11)Indépendant non-agricole ou profession libérale / médecin / architecte / avocat / y compris restaurant
12)Salaire journalier et autres emplois occasionnels non agricoles
13)Emploi stable dans le secteur non-agricole
14)Emploi public 
15)Revenu non tiré du travail / Charité
16)Revenu non tiré du travail / Transferts sociaux, pension, aide humanitaire
17)Revenu non tiré du travail / Envoi de fonds des migrants
18)Revenu non tiré du travail / Revenu d'autres loyers
19)Pas de deuxième source principale de revenu
20)NE SAIT PAS
21)REFUSÉ</t>
  </si>
  <si>
    <t>Quelle a été la troisième source principale de revenu de votre ménage au cours des trois derniers mois ?
[OPÉRATEUR/OPÉRATRICE: RÉPONSE UNIQUE. LES OPTIONS «NE SAIT PAS» ET «REFUSÉ» DOIVENT ÊTRE ÉVITÉES AUTANT QUE POSSIBLE.]
1)Production et vente de cultures d'aliments de base
2)Production et vente de légumes ou de fruits 
3)Production et vente de cultures de rente
4)Production et vente de bétail et de produits du bétail 
5)Production et vente de poisson 
6)Collecte et vente de produits forestiers ou de brousse
7)Commerce agricole informel EXCLUANT les producteurs
8)Commerce agricole formel EXCLUANT les producteurs
9)Salaire journalier dans une exploitation et autres emplois occasionnels dans le secteur agricole
10)Emploi stable dans le secteur agricole 
11)Indépendant non-agricole ou profession libérale / médecin / architecte / avocat / y compris restaurant
12)Salaire journalier et autres emplois occasionnels non agricoles
13)Emploi stable dans le secteur non-agricole
14)Emploi public 
15)Revenu non tiré du travail / Charité
16)Revenu non tiré du travail / Transferts sociaux, pension, aide humanitaire
17)Revenu non tiré du travail / Envoi de fonds des migrants
18)Revenu non tiré du travail / Revenu d'autres loyers
19)Pas de troisième source principale de revenu
20)NE SAIT PAS
21)REFUSÉ</t>
  </si>
  <si>
    <t>Au cours des trois derniers mois, votre ménage a-t-il été confronté à une catastrophe ou une crise particulière touchant votre communauté ou votre ménage et qui a atteint votre capacité à dégager un revenu et/ou à produire des aliments pour votre propre consommation ? 
[OPÉRATEUR/OPÉRATRICE: SÉLECTIONNER LES CHOCS PERTINENTS SUBIS PAR LE MÉNAGE. PLUSIEURS RÉPONSES POSSIBLES. SE RÉFÉRER AUX CHOCS ÉCONOMIQUES, AUX CHOCS TOUCHANT LES RÉCOLTES ET LE BÉTAIL, AUX CHOCS INTRA-MÉNAGE, AUX RISQUES NATURELS ET AUX RISQUES D'ORIGINE HUMAINE]
1)Aucun choc
2)Maladie, accident ou décès d'un ou plusieurs membres du ménage [maladie du soutien de famille / dépenses médicales anormalement élevées / frais funéraires / décès du soutien de famille]
3)Perte d'emploi ou de possibilités de travail [principalement travail journalier]
4)Autre choc interne au ménage
5)Prix des denrées alimentaires beaucoup plus élevés que d'habitude
6)Prix des carburants ou des transports beaucoup plus élevés que d'habitude
7)Impossibilité de poursuivre les activités habituelles en raison de contraintes externes [restrictions budgétaires, insécurité, infrastructures endommagées, etc.]
8)Autre choc économique 
9)Invasion d'organismes nuisibles
10)Maladie des plantes
11)Maladie animale touchant de nombreux animaux ou mort d'animaux
12)Accès difficile aux pâturages [en raison de conflits / d'infrastructures endommagées / des restrictions liées à la covid-19]
13)Autres chocs touchant les cultures et le bétail
14)Températures froides / grêle
15)Inondations / érosion des berges
16)Ouragan / cyclone / tornade
17)Sécheresse / stress dû à la chaleur
18)Tremblement de terre
19)Glissement de terrain
20)Incendie dû à une catastrophe naturelle
21)Autres risques naturels
22)Violence et insécurité / conflit
23)Vol d'actifs de production [terres/ bétail/ outils/ etc.]
24)Incendie d'orgine humaine
25)Autre risque d'origine humaine
26)NE SAIT PAS
27)REFUSÉ</t>
  </si>
  <si>
    <t xml:space="preserve">Au cours des trois derniers mois, vez-vous, ou un membre de votre ménage, été touché par des restrictions de mouvement ou des mesures de distanciation sociale visant à contenir la covid-19 ?
[OPÉRATEUR/OPÉRATRICE: PLUSIEURS RÉPONSES POSSIBLES.]
1)Restrictions de mouvement [entraînant parfois une raréfaction des produits ou une forte hausse des prix]
2)Fermeture des marchés alimentaires ou d'autres commerces
3)Fermeture des frontières internationales [ayant un impact sur l'achat d'intrants importés, la vente de marchandises exportées ou la transhumance]
4)Ordre de confinement
5)Interdiction des rassemblements
6)Fermeture des lieux de transformation des aliments (abattoirs, coopératives laitières, etc.) ou des restaurants
7)Autre [préciser]
8)Non touché par les restrictions
9)NE SAIT PAS
10)REFUSÉ
</t>
  </si>
  <si>
    <r>
      <t xml:space="preserve">Pourquoi n'avez-vous pas produit de cultures pendant la </t>
    </r>
    <r>
      <rPr>
        <b/>
        <sz val="12"/>
        <color rgb="FF7030A0"/>
        <rFont val="Calibri"/>
        <family val="2"/>
        <scheme val="minor"/>
      </rPr>
      <t xml:space="preserve">$saison$ </t>
    </r>
    <r>
      <rPr>
        <sz val="12"/>
        <rFont val="Calibri"/>
        <family val="2"/>
        <scheme val="minor"/>
      </rPr>
      <t>?
[OPÉRATEUR/OPÉRATRICE: RÉPONSE UNIQUE.]
1)Ne produit habituellement pas pendant cette saison 
2)N'a pas été en mesure de produire (en raison de difficultés, par exemple)</t>
    </r>
  </si>
  <si>
    <t>Last year, what proportion of your #crp_main# stock did you lose (to pests, rotting, mould, etc.)?
[OPERATOR: SINGLE RESPONSE.]
1)None
2)A little
3)An important part of it, but less than half
4)Most of it [half or more]
5)Almost everything 
6)Everything
7)DON'T KNOW
8)REFUSED</t>
  </si>
  <si>
    <t>L'année dernière, quelle part du stock de votre #crp_main# avez-vous perdue (en raison des parasites, de la pourriture, de la moisissure, etc.) ?
[OPÉRATEUR/OPÉRATRICE: RÉPONSE UNIQUE.]
1)Aucune
2)Une petite part
3)Une part importante, mais moins de la moitié
4)Une grande part [la moitié ou plus]
5)La presque totalité 
6)La totalité
7)NE SAIT PAS
8)REFUSÉ</t>
  </si>
  <si>
    <t>Combien de #ls_main# à la même periode il y a un an ?
[OPÉRATEUR/OPÉRATRICE: SAISIR LE NOMBRE D'ANIMAUX. ENTREZ 88888 POUR «NE SAIT PAS» ET 99999 POUR «REFUSÉ».]</t>
  </si>
  <si>
    <t>Pourquoi le nombre d’animaux que vous possédez a-t-il varié ?
[OPÉRATEUR/OPÉRATRICE: PLUSIEURS RÉPONSES POSSIBLES.] 
1)Pas de changement significatif du nombre de têtes de bétail
2)Les ventes ont été moins importantes
3)Beaucoup plus de naissances
4)Davantage d'animaux achetés ou troqués cette année
5)Animaux reçus gratuitement [réapprovisionnement / cadeau]
6)Animaux morts de problèmes de santé / de malnutrition / de blessures
7)Davantage de ventes en raison de bons prix
8)Davantage de ventes en raison de ventes de détresse [incapacité à nourrir l'animal / besoin urgent d'argent pour les besoins de base du ménage même si les ventes ne sont pas durables]
9)Des animaux se sont échappés, ont été perdus ou volés
10)A tué ou donné plus d'animaux que d'habitude pour la consommation du ménage ou pour des célébrations [mariage / funérailles / etc]
11)Autre
12)NE SAIT PAS
13)REFUSÉ</t>
  </si>
  <si>
    <r>
      <t xml:space="preserve">Include the conversion of the </t>
    </r>
    <r>
      <rPr>
        <i/>
        <sz val="11"/>
        <rFont val="Calibri"/>
        <family val="2"/>
      </rPr>
      <t>local measurement unit</t>
    </r>
    <r>
      <rPr>
        <sz val="11"/>
        <rFont val="Calibri"/>
        <family val="2"/>
      </rPr>
      <t xml:space="preserve"> to hectares. In other words, how many local measurement units are in 1 ha. </t>
    </r>
  </si>
  <si>
    <t xml:space="preserve">Indiquez la conversion de l'unité de mesure locale en hectares. En d'autres termes, indiquez combien d'unités de mesure locales y a-t-il dans 1 ha. </t>
  </si>
  <si>
    <t>Has your household received any assistance in the last 3 months, and if so, which kind?
[OPERATOR: READ OUT ANSWER OPTIONS. MULTIPLE RESPONSE POSSIBLE.]
1)Food
2)Cash vouchers
3)Seeds
4)Extension services
5)Livestock feed
6)Other [specify]
7)No assistance received
8)DON'T KNOW
9)REFUSED</t>
  </si>
  <si>
    <t>Votre ménage a-t-il reçu une aide au cours des 3 derniers mois, et si oui, de quel type ?
[OPÉRATEUR/OPÉRATRICE: LIRE LES OPTIONS À VOIX HAUTE. PLUSIEURS RÉPONSES POSSIBLES.]
1)Nourriture
2)Bons d'achat en espèces
3)Semences
4)Services de vulgarisation
5)Aliment pour bétail
6)Autres 
7)Aucune aide reçue
8)NE SAIT PAS
9)REFUSÉ</t>
  </si>
  <si>
    <r>
      <t xml:space="preserve">Now I would like to ask you about the 3rd set of questions on food consumption, referring to the </t>
    </r>
    <r>
      <rPr>
        <u/>
        <sz val="12"/>
        <color theme="1"/>
        <rFont val="Calibri"/>
        <family val="2"/>
        <scheme val="minor"/>
      </rPr>
      <t>24 hours of yesterday</t>
    </r>
    <r>
      <rPr>
        <sz val="12"/>
        <color theme="1"/>
        <rFont val="Calibri"/>
        <family val="2"/>
        <scheme val="minor"/>
      </rPr>
      <t>.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4)Fruits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r>
  </si>
  <si>
    <t>Je voudrais maintenant vous poser une troisième série de questions sur votre consommation alimentaire, avec comme référence les 24 dernières heures. Veuillez décrire les aliments (repas et collations) que vous ou l'un des membres du ménage avez consommés à la maison au cours de la journée d’hier (dans les 24 dernières heures: petit-déjeuner, déjeuner, dîner et collations).
[OPÉRATEUR/OPÉRATRICE : SÉLECTIONNER TOUS LES GROUPES D'ALIMENTS CONSOMMÉS AU COURS DES 24 HEURES DE LA JOURNÉE PASSÉE DANS LES RÉPONSES DE LA PERSONNE INTERROGÉE. PLUSIEURS RÉPONSES POSSIBLES.]
1)Céréales [sorgho / millet / maïs / blé / riz / spaghettis / pain ou toute autre céréale disponible localement]
2)Racines et tubercules [patate douce blanche / pomme de terre / igname / manioc ou autres tubercules]
3)Légumes [tous]
4)Fruits [tous]
5)Viande, volaille et abats [bœuf / porc / agneau / chèvre/ lapin / gibier / poulet / canard / foie / rein / cœur ou autres abats]
6)Œufs
7)Poissons ou crustacés [poissons frais ou séchés / crustacés]
8)Légumineuses, fruits à coque et graines [haricots / pois / arachides / lentilles / amandes et/ou autres fruits à coque]
9)Lait et autres produits laitiers [lait frais / lait caillé / yaourt / fromage / autres produits laitiers]
10)Huiles et graisses [cuisson / beurre / margarine / graisse / huile / autres huiles]
11)Sucre ou produits sucrés [miel / confiture / beignets / bonbons / chocolat / biscuits / pâtisseries / gâteaux et autres produits sucrés]
12)Condiments [cacao / sel / ail / épices / levure / levure chimique / tomate ou sauce tomate / viande ou poisson comme condiment] et café / thé</t>
  </si>
  <si>
    <t>1-4 = phone_number_conf</t>
  </si>
  <si>
    <r>
      <t xml:space="preserve">For any response, go to </t>
    </r>
    <r>
      <rPr>
        <i/>
        <sz val="12"/>
        <rFont val="Calibri"/>
        <family val="2"/>
        <scheme val="minor"/>
      </rPr>
      <t>phone_number_conf</t>
    </r>
  </si>
  <si>
    <t>For any response, go to rcsi_limit_portions</t>
  </si>
  <si>
    <t>For any response, go to  rcsi_restrict_adult_consumption</t>
  </si>
  <si>
    <t>local measurement unit conversion</t>
  </si>
  <si>
    <t>local measurement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</si>
</sst>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71"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2"/>
      <color theme="1"/>
      <name val="Calibri"/>
      <family val="2"/>
      <scheme val="minor"/>
    </font>
    <font>
      <sz val="10"/>
      <color rgb="FF000000"/>
      <name val="Arial"/>
      <family val="2"/>
    </font>
    <font>
      <sz val="11"/>
      <name val="Calibri"/>
      <family val="2"/>
      <scheme val="minor"/>
    </font>
    <font>
      <sz val="12"/>
      <name val="Calibri"/>
      <family val="2"/>
      <scheme val="minor"/>
    </font>
    <font>
      <b/>
      <sz val="12"/>
      <color theme="0"/>
      <name val="Calibri"/>
      <family val="2"/>
      <scheme val="minor"/>
    </font>
    <font>
      <b/>
      <sz val="12"/>
      <name val="Calibri"/>
      <family val="2"/>
      <scheme val="minor"/>
    </font>
    <font>
      <sz val="12"/>
      <color rgb="FFFF0000"/>
      <name val="Calibri"/>
      <family val="2"/>
      <scheme val="minor"/>
    </font>
    <font>
      <sz val="12"/>
      <color theme="4"/>
      <name val="Calibri"/>
      <family val="2"/>
      <scheme val="minor"/>
    </font>
    <font>
      <b/>
      <sz val="12"/>
      <color rgb="FF0070C0"/>
      <name val="Calibri"/>
      <family val="2"/>
      <scheme val="minor"/>
    </font>
    <font>
      <sz val="12"/>
      <color rgb="FF0070C0"/>
      <name val="Calibri"/>
      <family val="2"/>
      <scheme val="minor"/>
    </font>
    <font>
      <i/>
      <sz val="12"/>
      <name val="Calibri"/>
      <family val="2"/>
      <scheme val="minor"/>
    </font>
    <font>
      <b/>
      <sz val="12"/>
      <color theme="4"/>
      <name val="Calibri"/>
      <family val="2"/>
      <scheme val="minor"/>
    </font>
    <font>
      <b/>
      <i/>
      <sz val="12"/>
      <name val="Calibri"/>
      <family val="2"/>
      <scheme val="minor"/>
    </font>
    <font>
      <b/>
      <sz val="12"/>
      <color rgb="FF7030A0"/>
      <name val="Calibri"/>
      <family val="2"/>
      <scheme val="minor"/>
    </font>
    <font>
      <sz val="12"/>
      <color rgb="FF7030A0"/>
      <name val="Calibri"/>
      <family val="2"/>
      <scheme val="minor"/>
    </font>
    <font>
      <u/>
      <sz val="12"/>
      <name val="Calibri"/>
      <family val="2"/>
      <scheme val="minor"/>
    </font>
    <font>
      <b/>
      <sz val="11"/>
      <color rgb="FF000000"/>
      <name val="Calibri"/>
      <family val="2"/>
    </font>
    <font>
      <sz val="11"/>
      <color rgb="FF000000"/>
      <name val="Calibri"/>
      <family val="2"/>
    </font>
    <font>
      <sz val="11"/>
      <name val="Calibri"/>
      <family val="2"/>
    </font>
    <font>
      <i/>
      <sz val="11"/>
      <color theme="0" tint="-0.499984740745262"/>
      <name val="Calibri"/>
      <family val="2"/>
      <scheme val="minor"/>
    </font>
    <font>
      <sz val="11"/>
      <color theme="0" tint="-0.499984740745262"/>
      <name val="Calibri"/>
      <family val="2"/>
      <scheme val="minor"/>
    </font>
    <font>
      <i/>
      <sz val="11"/>
      <color rgb="FF000000"/>
      <name val="Calibri"/>
      <family val="2"/>
    </font>
    <font>
      <i/>
      <sz val="11"/>
      <name val="Calibri"/>
      <family val="2"/>
    </font>
    <font>
      <sz val="10"/>
      <name val="Calibri"/>
      <family val="2"/>
      <scheme val="minor"/>
    </font>
    <font>
      <b/>
      <sz val="11"/>
      <name val="Calibri"/>
      <family val="2"/>
    </font>
    <font>
      <b/>
      <sz val="11"/>
      <name val="Calibri"/>
      <family val="2"/>
      <scheme val="minor"/>
    </font>
    <font>
      <b/>
      <sz val="12"/>
      <color theme="1"/>
      <name val="Calibri"/>
      <family val="2"/>
      <scheme val="minor"/>
    </font>
    <font>
      <sz val="12"/>
      <color rgb="FF000000"/>
      <name val="Calibri"/>
      <family val="2"/>
      <scheme val="minor"/>
    </font>
    <font>
      <b/>
      <i/>
      <sz val="12"/>
      <color theme="1"/>
      <name val="Calibri"/>
      <family val="2"/>
      <scheme val="minor"/>
    </font>
    <font>
      <sz val="10.5"/>
      <name val="Calibri"/>
      <family val="2"/>
      <scheme val="minor"/>
    </font>
    <font>
      <sz val="12"/>
      <color rgb="FF00B050"/>
      <name val="Calibri"/>
      <family val="2"/>
      <scheme val="minor"/>
    </font>
    <font>
      <sz val="12"/>
      <color rgb="FFF504E7"/>
      <name val="Calibri"/>
      <family val="2"/>
      <scheme val="minor"/>
    </font>
    <font>
      <i/>
      <sz val="12"/>
      <color theme="4"/>
      <name val="Calibri"/>
      <family val="2"/>
      <scheme val="minor"/>
    </font>
    <font>
      <sz val="11"/>
      <color theme="4"/>
      <name val="Calibri"/>
      <family val="2"/>
      <scheme val="minor"/>
    </font>
    <font>
      <b/>
      <i/>
      <sz val="12"/>
      <color theme="4"/>
      <name val="Calibri"/>
      <family val="2"/>
      <scheme val="minor"/>
    </font>
    <font>
      <i/>
      <sz val="12"/>
      <color rgb="FF0070C0"/>
      <name val="Calibri"/>
      <family val="2"/>
      <scheme val="minor"/>
    </font>
    <font>
      <b/>
      <i/>
      <sz val="12"/>
      <color rgb="FF0070C0"/>
      <name val="Calibri"/>
      <family val="2"/>
      <scheme val="minor"/>
    </font>
    <font>
      <strike/>
      <sz val="12"/>
      <color theme="1"/>
      <name val="Calibri"/>
      <family val="2"/>
      <scheme val="minor"/>
    </font>
    <font>
      <u/>
      <sz val="12"/>
      <color theme="1"/>
      <name val="Calibri"/>
      <family val="2"/>
      <scheme val="minor"/>
    </font>
    <font>
      <i/>
      <sz val="12"/>
      <color theme="1"/>
      <name val="Calibri"/>
      <family val="2"/>
      <scheme val="minor"/>
    </font>
    <font>
      <sz val="12"/>
      <color theme="0"/>
      <name val="Calibri"/>
      <family val="2"/>
      <scheme val="minor"/>
    </font>
    <font>
      <i/>
      <sz val="12"/>
      <color theme="0"/>
      <name val="Calibri"/>
      <family val="2"/>
      <scheme val="minor"/>
    </font>
    <font>
      <b/>
      <sz val="12"/>
      <color theme="9" tint="-0.499984740745262"/>
      <name val="Calibri"/>
      <family val="2"/>
      <scheme val="minor"/>
    </font>
    <font>
      <sz val="12"/>
      <color theme="9" tint="-0.499984740745262"/>
      <name val="Calibri"/>
      <family val="2"/>
      <scheme val="minor"/>
    </font>
    <font>
      <i/>
      <sz val="12"/>
      <name val="Calibri (Body)"/>
    </font>
    <font>
      <sz val="12"/>
      <name val="Calibri (Body)"/>
    </font>
    <font>
      <i/>
      <sz val="12"/>
      <color theme="4"/>
      <name val="Calibri (Body)"/>
    </font>
    <font>
      <sz val="12"/>
      <color theme="4"/>
      <name val="Calibri (Body)"/>
    </font>
    <font>
      <u/>
      <sz val="12"/>
      <name val="Calibri (Body)"/>
    </font>
    <font>
      <sz val="12"/>
      <color theme="9" tint="-0.499984740745262"/>
      <name val="Calibri (Body)"/>
    </font>
    <font>
      <b/>
      <sz val="12"/>
      <color theme="9" tint="-0.499984740745262"/>
      <name val="Calibri (Body)"/>
    </font>
    <font>
      <i/>
      <sz val="12"/>
      <color theme="9" tint="-0.499984740745262"/>
      <name val="Calibri (Body)"/>
    </font>
    <font>
      <sz val="11"/>
      <color theme="9" tint="-0.499984740745262"/>
      <name val="Calibri (Body)"/>
    </font>
    <font>
      <i/>
      <sz val="10.5"/>
      <name val="Calibri"/>
      <family val="2"/>
    </font>
    <font>
      <b/>
      <i/>
      <sz val="11"/>
      <color rgb="FF000000"/>
      <name val="Calibri"/>
      <family val="2"/>
    </font>
    <font>
      <sz val="10"/>
      <color theme="4"/>
      <name val="Calibri"/>
      <family val="2"/>
      <scheme val="minor"/>
    </font>
    <font>
      <b/>
      <sz val="12"/>
      <color rgb="FF7030A0"/>
      <name val="Calibri (Body)"/>
    </font>
    <font>
      <sz val="12"/>
      <color rgb="FF7030A0"/>
      <name val="Calibri (Body)"/>
    </font>
  </fonts>
  <fills count="15">
    <fill>
      <patternFill patternType="none"/>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D9D9D9"/>
        <bgColor rgb="FF000000"/>
      </patternFill>
    </fill>
    <fill>
      <patternFill patternType="solid">
        <fgColor rgb="FFA5A5A5"/>
      </patternFill>
    </fill>
    <fill>
      <patternFill patternType="solid">
        <fgColor theme="7" tint="0.79998168889431442"/>
        <bgColor indexed="64"/>
      </patternFill>
    </fill>
    <fill>
      <patternFill patternType="solid">
        <fgColor rgb="FFF6DFDC"/>
        <bgColor indexed="64"/>
      </patternFill>
    </fill>
    <fill>
      <patternFill patternType="solid">
        <fgColor rgb="FFF6DFDC"/>
        <bgColor rgb="FF000000"/>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0" tint="-0.14999847407452621"/>
        <bgColor rgb="FF000000"/>
      </patternFill>
    </fill>
  </fills>
  <borders count="8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thin">
        <color auto="1"/>
      </bottom>
      <diagonal/>
    </border>
    <border>
      <left style="thin">
        <color auto="1"/>
      </left>
      <right style="thin">
        <color auto="1"/>
      </right>
      <top style="thin">
        <color auto="1"/>
      </top>
      <bottom style="medium">
        <color indexed="64"/>
      </bottom>
      <diagonal/>
    </border>
    <border>
      <left style="thin">
        <color auto="1"/>
      </left>
      <right style="medium">
        <color indexed="64"/>
      </right>
      <top/>
      <bottom style="thin">
        <color auto="1"/>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thin">
        <color auto="1"/>
      </left>
      <right style="medium">
        <color indexed="64"/>
      </right>
      <top style="thin">
        <color auto="1"/>
      </top>
      <bottom style="medium">
        <color indexed="64"/>
      </bottom>
      <diagonal/>
    </border>
    <border>
      <left style="thin">
        <color auto="1"/>
      </left>
      <right style="medium">
        <color indexed="64"/>
      </right>
      <top style="thin">
        <color auto="1"/>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auto="1"/>
      </left>
      <right style="medium">
        <color indexed="64"/>
      </right>
      <top/>
      <bottom/>
      <diagonal/>
    </border>
    <border>
      <left style="thin">
        <color theme="1"/>
      </left>
      <right style="thin">
        <color theme="1"/>
      </right>
      <top/>
      <bottom style="thin">
        <color theme="1"/>
      </bottom>
      <diagonal/>
    </border>
    <border>
      <left/>
      <right style="medium">
        <color indexed="64"/>
      </right>
      <top style="medium">
        <color indexed="64"/>
      </top>
      <bottom/>
      <diagonal/>
    </border>
    <border>
      <left/>
      <right/>
      <top style="thin">
        <color auto="1"/>
      </top>
      <bottom/>
      <diagonal/>
    </border>
    <border>
      <left/>
      <right style="thin">
        <color auto="1"/>
      </right>
      <top style="thin">
        <color auto="1"/>
      </top>
      <bottom/>
      <diagonal/>
    </border>
    <border>
      <left style="medium">
        <color indexed="64"/>
      </left>
      <right/>
      <top/>
      <bottom style="medium">
        <color indexed="64"/>
      </bottom>
      <diagonal/>
    </border>
    <border>
      <left/>
      <right/>
      <top/>
      <bottom style="medium">
        <color indexed="64"/>
      </bottom>
      <diagonal/>
    </border>
    <border>
      <left style="thin">
        <color auto="1"/>
      </left>
      <right style="medium">
        <color indexed="64"/>
      </right>
      <top/>
      <bottom style="medium">
        <color indexed="64"/>
      </bottom>
      <diagonal/>
    </border>
    <border>
      <left/>
      <right style="thin">
        <color indexed="64"/>
      </right>
      <top style="thin">
        <color auto="1"/>
      </top>
      <bottom style="medium">
        <color indexed="64"/>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thin">
        <color indexed="64"/>
      </right>
      <top style="thin">
        <color indexed="64"/>
      </top>
      <bottom style="thin">
        <color indexed="64"/>
      </bottom>
      <diagonal/>
    </border>
    <border>
      <left style="thin">
        <color theme="1"/>
      </left>
      <right style="thin">
        <color theme="1"/>
      </right>
      <top style="thin">
        <color auto="1"/>
      </top>
      <bottom style="thin">
        <color auto="1"/>
      </bottom>
      <diagonal/>
    </border>
    <border>
      <left/>
      <right/>
      <top style="thin">
        <color theme="0"/>
      </top>
      <bottom style="thin">
        <color theme="0"/>
      </bottom>
      <diagonal/>
    </border>
    <border>
      <left/>
      <right style="thin">
        <color indexed="64"/>
      </right>
      <top/>
      <bottom style="thin">
        <color indexed="64"/>
      </bottom>
      <diagonal/>
    </border>
    <border>
      <left style="thin">
        <color theme="1"/>
      </left>
      <right style="thin">
        <color theme="1"/>
      </right>
      <top style="medium">
        <color indexed="64"/>
      </top>
      <bottom style="thin">
        <color indexed="64"/>
      </bottom>
      <diagonal/>
    </border>
    <border>
      <left/>
      <right style="thin">
        <color indexed="64"/>
      </right>
      <top style="medium">
        <color indexed="64"/>
      </top>
      <bottom style="medium">
        <color indexed="64"/>
      </bottom>
      <diagonal/>
    </border>
  </borders>
  <cellStyleXfs count="16">
    <xf numFmtId="0" fontId="0" fillId="0" borderId="0"/>
    <xf numFmtId="0" fontId="13" fillId="0" borderId="0"/>
    <xf numFmtId="0" fontId="14" fillId="0" borderId="0"/>
    <xf numFmtId="0" fontId="12" fillId="0" borderId="0"/>
    <xf numFmtId="0" fontId="13" fillId="0" borderId="0"/>
    <xf numFmtId="0" fontId="12" fillId="0" borderId="0"/>
    <xf numFmtId="0" fontId="12" fillId="0" borderId="0"/>
    <xf numFmtId="0" fontId="17" fillId="8" borderId="25" applyNumberFormat="0" applyAlignment="0" applyProtection="0"/>
    <xf numFmtId="0" fontId="11" fillId="0" borderId="0"/>
    <xf numFmtId="0" fontId="11" fillId="0" borderId="0"/>
    <xf numFmtId="0" fontId="10" fillId="0" borderId="0"/>
    <xf numFmtId="9" fontId="12" fillId="0" borderId="0" applyFont="0" applyFill="0" applyBorder="0" applyAlignment="0" applyProtection="0"/>
    <xf numFmtId="0" fontId="9" fillId="0" borderId="0"/>
    <xf numFmtId="0" fontId="8" fillId="0" borderId="0"/>
    <xf numFmtId="0" fontId="8" fillId="0" borderId="0"/>
    <xf numFmtId="0" fontId="7" fillId="0" borderId="0"/>
  </cellStyleXfs>
  <cellXfs count="623">
    <xf numFmtId="0" fontId="0" fillId="0" borderId="0" xfId="0"/>
    <xf numFmtId="0" fontId="0" fillId="0" borderId="26" xfId="0" applyBorder="1"/>
    <xf numFmtId="0" fontId="15" fillId="0" borderId="26" xfId="0" applyFont="1" applyBorder="1" applyAlignment="1">
      <alignment horizontal="center" vertical="center"/>
    </xf>
    <xf numFmtId="0" fontId="0" fillId="0" borderId="27" xfId="0" applyBorder="1"/>
    <xf numFmtId="0" fontId="15" fillId="0" borderId="29" xfId="0" applyFont="1" applyBorder="1" applyAlignment="1">
      <alignment horizontal="center" vertical="center"/>
    </xf>
    <xf numFmtId="0" fontId="0" fillId="0" borderId="29" xfId="0" applyBorder="1"/>
    <xf numFmtId="0" fontId="15" fillId="0" borderId="30" xfId="0" applyFont="1" applyBorder="1" applyAlignment="1">
      <alignment horizontal="center" vertical="center"/>
    </xf>
    <xf numFmtId="0" fontId="0" fillId="0" borderId="30" xfId="0" applyBorder="1"/>
    <xf numFmtId="0" fontId="15" fillId="0" borderId="1" xfId="0" applyFont="1" applyBorder="1"/>
    <xf numFmtId="0" fontId="16" fillId="0" borderId="40" xfId="3" applyFont="1" applyBorder="1" applyAlignment="1" applyProtection="1">
      <alignment horizontal="left" vertical="center" wrapText="1"/>
      <protection locked="0"/>
    </xf>
    <xf numFmtId="0" fontId="16" fillId="0" borderId="41" xfId="3" applyFont="1" applyBorder="1" applyAlignment="1" applyProtection="1">
      <alignment horizontal="left" vertical="center" wrapText="1"/>
      <protection locked="0"/>
    </xf>
    <xf numFmtId="0" fontId="16" fillId="0" borderId="41" xfId="5" applyFont="1" applyBorder="1" applyAlignment="1" applyProtection="1">
      <alignment horizontal="left" vertical="center" wrapText="1"/>
      <protection locked="0"/>
    </xf>
    <xf numFmtId="0" fontId="23" fillId="10" borderId="41" xfId="3" applyFont="1" applyFill="1" applyBorder="1" applyAlignment="1" applyProtection="1">
      <alignment horizontal="left" vertical="center" wrapText="1"/>
      <protection locked="0"/>
    </xf>
    <xf numFmtId="0" fontId="16" fillId="0" borderId="42" xfId="3" applyFont="1" applyBorder="1" applyAlignment="1" applyProtection="1">
      <alignment horizontal="left" vertical="center" wrapText="1"/>
      <protection locked="0"/>
    </xf>
    <xf numFmtId="0" fontId="16" fillId="6" borderId="8" xfId="2" applyFont="1" applyFill="1" applyBorder="1" applyAlignment="1" applyProtection="1">
      <alignment horizontal="center" vertical="center"/>
      <protection locked="0"/>
    </xf>
    <xf numFmtId="0" fontId="16" fillId="6" borderId="15" xfId="0" applyFont="1" applyFill="1" applyBorder="1" applyAlignment="1" applyProtection="1">
      <alignment horizontal="left" vertical="center" wrapText="1"/>
      <protection locked="0"/>
    </xf>
    <xf numFmtId="0" fontId="16" fillId="6" borderId="3" xfId="2" applyFont="1" applyFill="1" applyBorder="1" applyAlignment="1" applyProtection="1">
      <alignment horizontal="center" vertical="center" wrapText="1"/>
      <protection locked="0"/>
    </xf>
    <xf numFmtId="0" fontId="16" fillId="6" borderId="3" xfId="0" applyFont="1" applyFill="1" applyBorder="1" applyAlignment="1" applyProtection="1">
      <alignment horizontal="center" vertical="center" wrapText="1"/>
      <protection locked="0"/>
    </xf>
    <xf numFmtId="0" fontId="16" fillId="6" borderId="3" xfId="3" applyFont="1" applyFill="1" applyBorder="1" applyAlignment="1" applyProtection="1">
      <alignment horizontal="left" vertical="center" wrapText="1"/>
      <protection locked="0"/>
    </xf>
    <xf numFmtId="0" fontId="16" fillId="6" borderId="1" xfId="0" applyFont="1" applyFill="1" applyBorder="1" applyAlignment="1" applyProtection="1">
      <alignment horizontal="left" vertical="center" wrapText="1"/>
      <protection locked="0"/>
    </xf>
    <xf numFmtId="0" fontId="16" fillId="6" borderId="1" xfId="2" applyFont="1" applyFill="1" applyBorder="1" applyAlignment="1" applyProtection="1">
      <alignment horizontal="center" vertical="center" wrapText="1"/>
      <protection locked="0"/>
    </xf>
    <xf numFmtId="0" fontId="16" fillId="6" borderId="1" xfId="0" applyFont="1" applyFill="1" applyBorder="1" applyAlignment="1" applyProtection="1">
      <alignment horizontal="center" vertical="center" wrapText="1"/>
      <protection locked="0"/>
    </xf>
    <xf numFmtId="0" fontId="16" fillId="6" borderId="1" xfId="3" applyFont="1" applyFill="1" applyBorder="1" applyAlignment="1" applyProtection="1">
      <alignment horizontal="left" vertical="center" wrapText="1"/>
      <protection locked="0"/>
    </xf>
    <xf numFmtId="0" fontId="16" fillId="6" borderId="2" xfId="2" applyFont="1" applyFill="1" applyBorder="1" applyAlignment="1" applyProtection="1">
      <alignment horizontal="center" vertical="center" wrapText="1"/>
      <protection locked="0"/>
    </xf>
    <xf numFmtId="0" fontId="16" fillId="6" borderId="15" xfId="2" applyFont="1" applyFill="1" applyBorder="1" applyAlignment="1" applyProtection="1">
      <alignment horizontal="center" vertical="center" wrapText="1"/>
      <protection locked="0"/>
    </xf>
    <xf numFmtId="0" fontId="16" fillId="0" borderId="39" xfId="3" applyFont="1" applyBorder="1" applyAlignment="1" applyProtection="1">
      <alignment horizontal="left" vertical="center" wrapText="1"/>
      <protection locked="0"/>
    </xf>
    <xf numFmtId="0" fontId="16" fillId="6" borderId="21" xfId="2" applyFont="1" applyFill="1" applyBorder="1" applyAlignment="1" applyProtection="1">
      <alignment horizontal="center" vertical="center"/>
      <protection locked="0"/>
    </xf>
    <xf numFmtId="0" fontId="16" fillId="6" borderId="2" xfId="0" applyFont="1" applyFill="1" applyBorder="1" applyAlignment="1" applyProtection="1">
      <alignment horizontal="left" vertical="center" wrapText="1"/>
      <protection locked="0"/>
    </xf>
    <xf numFmtId="0" fontId="16" fillId="6" borderId="15" xfId="0" applyFont="1" applyFill="1" applyBorder="1" applyAlignment="1" applyProtection="1">
      <alignment horizontal="center" vertical="center" wrapText="1"/>
      <protection locked="0"/>
    </xf>
    <xf numFmtId="0" fontId="16" fillId="6" borderId="22" xfId="3" applyFont="1" applyFill="1" applyBorder="1" applyAlignment="1" applyProtection="1">
      <alignment horizontal="left" vertical="center" wrapText="1"/>
      <protection locked="0"/>
    </xf>
    <xf numFmtId="0" fontId="16" fillId="11" borderId="19" xfId="0" applyFont="1" applyFill="1" applyBorder="1" applyAlignment="1" applyProtection="1">
      <alignment horizontal="left" vertical="center" wrapText="1"/>
      <protection locked="0"/>
    </xf>
    <xf numFmtId="0" fontId="16" fillId="6" borderId="16" xfId="3" applyFont="1" applyFill="1" applyBorder="1" applyAlignment="1" applyProtection="1">
      <alignment horizontal="left" vertical="center" wrapText="1"/>
      <protection locked="0"/>
    </xf>
    <xf numFmtId="0" fontId="23" fillId="7" borderId="16" xfId="0" applyFont="1" applyFill="1" applyBorder="1" applyAlignment="1" applyProtection="1">
      <alignment horizontal="left" vertical="center" wrapText="1"/>
      <protection locked="0"/>
    </xf>
    <xf numFmtId="0" fontId="16" fillId="6" borderId="3" xfId="3" applyFont="1" applyFill="1" applyBorder="1" applyAlignment="1" applyProtection="1">
      <alignment horizontal="center" vertical="center" wrapText="1"/>
      <protection locked="0"/>
    </xf>
    <xf numFmtId="0" fontId="16" fillId="6" borderId="19" xfId="3" applyFont="1" applyFill="1" applyBorder="1" applyAlignment="1" applyProtection="1">
      <alignment horizontal="left" vertical="center" wrapText="1"/>
      <protection locked="0"/>
    </xf>
    <xf numFmtId="0" fontId="16" fillId="7" borderId="19" xfId="0" applyFont="1" applyFill="1" applyBorder="1" applyAlignment="1" applyProtection="1">
      <alignment horizontal="left" vertical="center" wrapText="1"/>
      <protection locked="0"/>
    </xf>
    <xf numFmtId="0" fontId="16" fillId="6" borderId="1" xfId="3" applyFont="1" applyFill="1" applyBorder="1" applyAlignment="1" applyProtection="1">
      <alignment horizontal="center" vertical="center" wrapText="1"/>
      <protection locked="0"/>
    </xf>
    <xf numFmtId="0" fontId="27" fillId="7" borderId="16" xfId="0" applyFont="1" applyFill="1" applyBorder="1" applyAlignment="1" applyProtection="1">
      <alignment horizontal="left" vertical="center" wrapText="1"/>
      <protection locked="0"/>
    </xf>
    <xf numFmtId="0" fontId="16" fillId="6" borderId="15" xfId="3" applyFont="1" applyFill="1" applyBorder="1" applyAlignment="1" applyProtection="1">
      <alignment horizontal="left" vertical="center" wrapText="1"/>
      <protection locked="0"/>
    </xf>
    <xf numFmtId="0" fontId="16" fillId="6" borderId="1" xfId="3" applyFont="1" applyFill="1" applyBorder="1" applyAlignment="1" applyProtection="1">
      <alignment vertical="center" wrapText="1"/>
      <protection locked="0"/>
    </xf>
    <xf numFmtId="0" fontId="18" fillId="6" borderId="1" xfId="2" applyFont="1" applyFill="1" applyBorder="1" applyAlignment="1" applyProtection="1">
      <alignment horizontal="center" vertical="center" wrapText="1"/>
      <protection locked="0"/>
    </xf>
    <xf numFmtId="0" fontId="16" fillId="6" borderId="6" xfId="2" applyFont="1" applyFill="1" applyBorder="1" applyAlignment="1" applyProtection="1">
      <alignment horizontal="center" vertical="center"/>
      <protection locked="0"/>
    </xf>
    <xf numFmtId="0" fontId="16" fillId="6" borderId="2" xfId="3" applyFont="1" applyFill="1" applyBorder="1" applyAlignment="1" applyProtection="1">
      <alignment horizontal="left" vertical="center" wrapText="1"/>
      <protection locked="0"/>
    </xf>
    <xf numFmtId="0" fontId="16" fillId="6" borderId="2" xfId="0" applyFont="1" applyFill="1" applyBorder="1" applyAlignment="1" applyProtection="1">
      <alignment horizontal="center" vertical="center" wrapText="1"/>
      <protection locked="0"/>
    </xf>
    <xf numFmtId="0" fontId="16" fillId="6" borderId="17" xfId="3" applyFont="1" applyFill="1" applyBorder="1" applyAlignment="1" applyProtection="1">
      <alignment horizontal="left" vertical="center" wrapText="1"/>
      <protection locked="0"/>
    </xf>
    <xf numFmtId="0" fontId="16" fillId="10" borderId="16" xfId="0" applyFont="1" applyFill="1" applyBorder="1" applyAlignment="1" applyProtection="1">
      <alignment horizontal="left" vertical="center" wrapText="1"/>
      <protection locked="0"/>
    </xf>
    <xf numFmtId="0" fontId="16" fillId="10" borderId="19" xfId="3" applyFont="1" applyFill="1" applyBorder="1" applyAlignment="1" applyProtection="1">
      <alignment horizontal="left" vertical="center" wrapText="1"/>
      <protection locked="0"/>
    </xf>
    <xf numFmtId="0" fontId="33" fillId="0" borderId="43" xfId="0" applyFont="1" applyBorder="1" applyAlignment="1">
      <alignment horizontal="center"/>
    </xf>
    <xf numFmtId="0" fontId="16" fillId="10" borderId="22" xfId="3" applyFont="1" applyFill="1" applyBorder="1" applyAlignment="1" applyProtection="1">
      <alignment horizontal="left" vertical="center" wrapText="1"/>
      <protection locked="0"/>
    </xf>
    <xf numFmtId="0" fontId="16" fillId="0" borderId="8" xfId="2" applyFont="1" applyBorder="1" applyAlignment="1" applyProtection="1">
      <alignment horizontal="center" vertical="center"/>
      <protection locked="0"/>
    </xf>
    <xf numFmtId="0" fontId="16" fillId="0" borderId="1" xfId="0" applyFont="1" applyBorder="1" applyAlignment="1" applyProtection="1">
      <alignment horizontal="left" vertical="center" wrapText="1"/>
      <protection locked="0"/>
    </xf>
    <xf numFmtId="0" fontId="16" fillId="0" borderId="1" xfId="2" applyFont="1" applyBorder="1" applyAlignment="1" applyProtection="1">
      <alignment horizontal="center" vertical="center" wrapText="1"/>
      <protection locked="0"/>
    </xf>
    <xf numFmtId="0" fontId="16" fillId="0" borderId="1" xfId="0" applyFont="1" applyBorder="1" applyAlignment="1" applyProtection="1">
      <alignment horizontal="center" vertical="center" wrapText="1"/>
      <protection locked="0"/>
    </xf>
    <xf numFmtId="0" fontId="38" fillId="0" borderId="1" xfId="0" applyFont="1" applyBorder="1"/>
    <xf numFmtId="0" fontId="18" fillId="13" borderId="1" xfId="7" applyFont="1" applyFill="1" applyBorder="1" applyAlignment="1" applyProtection="1">
      <alignment horizontal="center" vertical="center"/>
      <protection locked="0"/>
    </xf>
    <xf numFmtId="0" fontId="32" fillId="0" borderId="43" xfId="0" applyFont="1" applyBorder="1" applyAlignment="1">
      <alignment horizontal="center" wrapText="1"/>
    </xf>
    <xf numFmtId="0" fontId="16" fillId="0" borderId="54" xfId="3" applyFont="1" applyBorder="1" applyAlignment="1" applyProtection="1">
      <alignment horizontal="left" vertical="center" wrapText="1"/>
      <protection locked="0"/>
    </xf>
    <xf numFmtId="0" fontId="36" fillId="11" borderId="19" xfId="0" applyFont="1" applyFill="1" applyBorder="1" applyAlignment="1" applyProtection="1">
      <alignment horizontal="left" vertical="center" wrapText="1"/>
      <protection locked="0"/>
    </xf>
    <xf numFmtId="0" fontId="18" fillId="6" borderId="53" xfId="0" applyFont="1" applyFill="1" applyBorder="1" applyAlignment="1" applyProtection="1">
      <alignment horizontal="center" vertical="center"/>
      <protection locked="0"/>
    </xf>
    <xf numFmtId="0" fontId="16" fillId="6" borderId="53" xfId="0" applyFont="1" applyFill="1" applyBorder="1" applyAlignment="1" applyProtection="1">
      <alignment horizontal="center" vertical="center"/>
      <protection locked="0"/>
    </xf>
    <xf numFmtId="0" fontId="16" fillId="6" borderId="53" xfId="3" applyFont="1" applyFill="1" applyBorder="1" applyAlignment="1" applyProtection="1">
      <alignment horizontal="center" vertical="center" wrapText="1"/>
      <protection locked="0"/>
    </xf>
    <xf numFmtId="0" fontId="40" fillId="6" borderId="1" xfId="0" applyFont="1" applyFill="1" applyBorder="1" applyAlignment="1" applyProtection="1">
      <alignment horizontal="left" vertical="center" wrapText="1"/>
      <protection locked="0"/>
    </xf>
    <xf numFmtId="0" fontId="16" fillId="6" borderId="53" xfId="3" applyFont="1" applyFill="1" applyBorder="1" applyAlignment="1" applyProtection="1">
      <alignment vertical="center" wrapText="1"/>
      <protection locked="0"/>
    </xf>
    <xf numFmtId="0" fontId="16" fillId="6" borderId="7" xfId="2" applyFont="1" applyFill="1" applyBorder="1" applyAlignment="1" applyProtection="1">
      <alignment horizontal="center" vertical="center"/>
      <protection locked="0"/>
    </xf>
    <xf numFmtId="0" fontId="16" fillId="10" borderId="19" xfId="0" applyFont="1" applyFill="1" applyBorder="1" applyAlignment="1" applyProtection="1">
      <alignment horizontal="left" vertical="center" wrapText="1"/>
      <protection locked="0"/>
    </xf>
    <xf numFmtId="0" fontId="16" fillId="6" borderId="3" xfId="0" applyFont="1" applyFill="1" applyBorder="1" applyAlignment="1" applyProtection="1">
      <alignment horizontal="left" vertical="center" wrapText="1"/>
      <protection locked="0"/>
    </xf>
    <xf numFmtId="0" fontId="16" fillId="0" borderId="16" xfId="2" applyFont="1" applyBorder="1" applyAlignment="1" applyProtection="1">
      <alignment horizontal="left" vertical="center" wrapText="1"/>
      <protection locked="0"/>
    </xf>
    <xf numFmtId="0" fontId="16" fillId="10" borderId="16" xfId="3" applyFont="1" applyFill="1" applyBorder="1" applyAlignment="1" applyProtection="1">
      <alignment horizontal="left" vertical="center" wrapText="1"/>
      <protection locked="0"/>
    </xf>
    <xf numFmtId="0" fontId="16" fillId="14" borderId="19" xfId="0" applyFont="1" applyFill="1" applyBorder="1" applyAlignment="1" applyProtection="1">
      <alignment horizontal="left" vertical="center" wrapText="1"/>
      <protection locked="0"/>
    </xf>
    <xf numFmtId="0" fontId="25" fillId="6" borderId="19" xfId="3" applyFont="1" applyFill="1" applyBorder="1" applyAlignment="1" applyProtection="1">
      <alignment horizontal="center" vertical="center" wrapText="1"/>
      <protection locked="0"/>
    </xf>
    <xf numFmtId="0" fontId="16" fillId="6" borderId="19" xfId="3" applyFont="1" applyFill="1" applyBorder="1" applyAlignment="1" applyProtection="1">
      <alignment horizontal="center" vertical="center" wrapText="1"/>
      <protection locked="0"/>
    </xf>
    <xf numFmtId="0" fontId="25" fillId="14" borderId="19" xfId="0" applyFont="1" applyFill="1" applyBorder="1" applyAlignment="1" applyProtection="1">
      <alignment horizontal="center" vertical="center" wrapText="1"/>
      <protection locked="0"/>
    </xf>
    <xf numFmtId="0" fontId="16" fillId="0" borderId="10" xfId="3" applyFont="1" applyBorder="1" applyAlignment="1" applyProtection="1">
      <alignment horizontal="left" vertical="center" wrapText="1"/>
      <protection locked="0"/>
    </xf>
    <xf numFmtId="0" fontId="25" fillId="6" borderId="19" xfId="3" applyFont="1" applyFill="1" applyBorder="1" applyAlignment="1" applyProtection="1">
      <alignment horizontal="left" vertical="center" wrapText="1"/>
      <protection locked="0"/>
    </xf>
    <xf numFmtId="0" fontId="16" fillId="0" borderId="35" xfId="3" applyFont="1" applyBorder="1" applyAlignment="1" applyProtection="1">
      <alignment horizontal="center" vertical="center" wrapText="1"/>
      <protection locked="0"/>
    </xf>
    <xf numFmtId="1" fontId="0" fillId="0" borderId="0" xfId="0" applyNumberFormat="1"/>
    <xf numFmtId="9" fontId="0" fillId="0" borderId="0" xfId="11" applyFont="1"/>
    <xf numFmtId="0" fontId="16" fillId="10" borderId="16" xfId="3" applyFont="1" applyFill="1" applyBorder="1" applyAlignment="1" applyProtection="1">
      <alignment vertical="center" wrapText="1"/>
      <protection locked="0"/>
    </xf>
    <xf numFmtId="0" fontId="25" fillId="6" borderId="22" xfId="3" applyFont="1" applyFill="1" applyBorder="1" applyAlignment="1" applyProtection="1">
      <alignment horizontal="center" vertical="center" wrapText="1"/>
      <protection locked="0"/>
    </xf>
    <xf numFmtId="0" fontId="40" fillId="6" borderId="16" xfId="0" applyFont="1" applyFill="1" applyBorder="1" applyAlignment="1" applyProtection="1">
      <alignment horizontal="left" vertical="center" wrapText="1"/>
      <protection locked="0"/>
    </xf>
    <xf numFmtId="0" fontId="16" fillId="0" borderId="54" xfId="3" applyFont="1" applyBorder="1" applyAlignment="1" applyProtection="1">
      <alignment horizontal="left" vertical="center"/>
      <protection locked="0"/>
    </xf>
    <xf numFmtId="0" fontId="12" fillId="10" borderId="57" xfId="2" applyFont="1" applyFill="1" applyBorder="1" applyAlignment="1" applyProtection="1">
      <alignment horizontal="left" vertical="center" wrapText="1"/>
      <protection locked="0"/>
    </xf>
    <xf numFmtId="0" fontId="43" fillId="4" borderId="41" xfId="3" applyFont="1" applyFill="1" applyBorder="1" applyAlignment="1" applyProtection="1">
      <alignment horizontal="left" vertical="center" wrapText="1"/>
      <protection locked="0"/>
    </xf>
    <xf numFmtId="0" fontId="23" fillId="0" borderId="41" xfId="3" applyFont="1" applyBorder="1" applyAlignment="1" applyProtection="1">
      <alignment horizontal="left" vertical="center" wrapText="1"/>
      <protection locked="0"/>
    </xf>
    <xf numFmtId="0" fontId="16" fillId="0" borderId="35" xfId="3" applyFont="1" applyBorder="1" applyAlignment="1" applyProtection="1">
      <alignment horizontal="left" vertical="center" wrapText="1"/>
      <protection locked="0"/>
    </xf>
    <xf numFmtId="0" fontId="16" fillId="0" borderId="34" xfId="3" applyFont="1" applyBorder="1" applyAlignment="1" applyProtection="1">
      <alignment horizontal="left" vertical="center" wrapText="1"/>
      <protection locked="0"/>
    </xf>
    <xf numFmtId="0" fontId="43" fillId="4" borderId="7" xfId="2" applyFont="1" applyFill="1" applyBorder="1" applyAlignment="1" applyProtection="1">
      <alignment horizontal="center" vertical="center"/>
      <protection locked="0"/>
    </xf>
    <xf numFmtId="0" fontId="56" fillId="4" borderId="3" xfId="2" applyFont="1" applyFill="1" applyBorder="1" applyAlignment="1" applyProtection="1">
      <alignment horizontal="center" vertical="center" wrapText="1"/>
      <protection locked="0"/>
    </xf>
    <xf numFmtId="0" fontId="56" fillId="4" borderId="3" xfId="3" applyFont="1" applyFill="1" applyBorder="1" applyAlignment="1" applyProtection="1">
      <alignment horizontal="center" vertical="center" wrapText="1"/>
      <protection locked="0"/>
    </xf>
    <xf numFmtId="0" fontId="56" fillId="4" borderId="19" xfId="3" applyFont="1" applyFill="1" applyBorder="1" applyAlignment="1" applyProtection="1">
      <alignment horizontal="left" vertical="center" wrapText="1"/>
      <protection locked="0"/>
    </xf>
    <xf numFmtId="0" fontId="43" fillId="4" borderId="12" xfId="3" applyFont="1" applyFill="1" applyBorder="1" applyAlignment="1" applyProtection="1">
      <alignment horizontal="left" vertical="center" wrapText="1"/>
      <protection locked="0"/>
    </xf>
    <xf numFmtId="49" fontId="56" fillId="4" borderId="64" xfId="0" applyNumberFormat="1" applyFont="1" applyFill="1" applyBorder="1" applyAlignment="1" applyProtection="1">
      <alignment vertical="center" wrapText="1"/>
      <protection locked="0"/>
    </xf>
    <xf numFmtId="0" fontId="56" fillId="4" borderId="3" xfId="3" applyFont="1" applyFill="1" applyBorder="1" applyAlignment="1" applyProtection="1">
      <alignment horizontal="left" vertical="center" wrapText="1"/>
      <protection locked="0"/>
    </xf>
    <xf numFmtId="0" fontId="43" fillId="4" borderId="3" xfId="3" applyFont="1" applyFill="1" applyBorder="1" applyAlignment="1" applyProtection="1">
      <alignment horizontal="left" vertical="center" wrapText="1"/>
      <protection locked="0"/>
    </xf>
    <xf numFmtId="0" fontId="16" fillId="0" borderId="1" xfId="3" applyFont="1" applyBorder="1" applyAlignment="1" applyProtection="1">
      <alignment horizontal="left" vertical="center" wrapText="1"/>
      <protection locked="0"/>
    </xf>
    <xf numFmtId="0" fontId="16" fillId="0" borderId="19" xfId="3" applyFont="1" applyBorder="1" applyAlignment="1" applyProtection="1">
      <alignment horizontal="center" vertical="center" wrapText="1"/>
      <protection locked="0"/>
    </xf>
    <xf numFmtId="0" fontId="16" fillId="0" borderId="16" xfId="3" applyFont="1" applyBorder="1" applyAlignment="1" applyProtection="1">
      <alignment horizontal="center" vertical="center" wrapText="1"/>
      <protection locked="0"/>
    </xf>
    <xf numFmtId="0" fontId="16" fillId="0" borderId="16" xfId="5" applyFont="1" applyBorder="1" applyAlignment="1" applyProtection="1">
      <alignment horizontal="center" vertical="center" wrapText="1"/>
      <protection locked="0"/>
    </xf>
    <xf numFmtId="0" fontId="23" fillId="0" borderId="16" xfId="3" applyFont="1" applyBorder="1" applyAlignment="1" applyProtection="1">
      <alignment horizontal="left" vertical="center" wrapText="1"/>
      <protection locked="0"/>
    </xf>
    <xf numFmtId="0" fontId="16" fillId="0" borderId="16" xfId="3" applyFont="1" applyBorder="1" applyAlignment="1" applyProtection="1">
      <alignment horizontal="left" vertical="center" wrapText="1"/>
      <protection locked="0"/>
    </xf>
    <xf numFmtId="0" fontId="16" fillId="0" borderId="17" xfId="3" applyFont="1" applyBorder="1" applyAlignment="1" applyProtection="1">
      <alignment horizontal="center" vertical="center" wrapText="1"/>
      <protection locked="0"/>
    </xf>
    <xf numFmtId="0" fontId="16" fillId="0" borderId="19" xfId="3" applyFont="1" applyBorder="1" applyAlignment="1" applyProtection="1">
      <alignment horizontal="left" vertical="center" wrapText="1"/>
      <protection locked="0"/>
    </xf>
    <xf numFmtId="0" fontId="16" fillId="0" borderId="22" xfId="3" applyFont="1" applyBorder="1" applyAlignment="1" applyProtection="1">
      <alignment horizontal="left" vertical="center" wrapText="1"/>
      <protection locked="0"/>
    </xf>
    <xf numFmtId="0" fontId="16" fillId="0" borderId="2" xfId="3" applyFont="1" applyBorder="1" applyAlignment="1" applyProtection="1">
      <alignment horizontal="left" vertical="center" wrapText="1"/>
      <protection locked="0"/>
    </xf>
    <xf numFmtId="0" fontId="16" fillId="10" borderId="16" xfId="2" applyFont="1" applyFill="1" applyBorder="1" applyAlignment="1" applyProtection="1">
      <alignment horizontal="left" vertical="center" wrapText="1"/>
      <protection locked="0"/>
    </xf>
    <xf numFmtId="0" fontId="16" fillId="0" borderId="19" xfId="2" applyFont="1" applyBorder="1" applyAlignment="1" applyProtection="1">
      <alignment horizontal="left" vertical="center" wrapText="1"/>
      <protection locked="0"/>
    </xf>
    <xf numFmtId="0" fontId="16" fillId="0" borderId="19" xfId="0" applyFont="1" applyBorder="1" applyAlignment="1" applyProtection="1">
      <alignment vertical="center"/>
      <protection locked="0"/>
    </xf>
    <xf numFmtId="0" fontId="16" fillId="0" borderId="49" xfId="3" applyFont="1" applyBorder="1" applyAlignment="1" applyProtection="1">
      <alignment horizontal="left" vertical="center" wrapText="1"/>
      <protection locked="0"/>
    </xf>
    <xf numFmtId="0" fontId="16" fillId="0" borderId="17" xfId="0" applyFont="1" applyBorder="1" applyAlignment="1" applyProtection="1">
      <alignment horizontal="left" vertical="center" wrapText="1"/>
      <protection locked="0"/>
    </xf>
    <xf numFmtId="0" fontId="16" fillId="0" borderId="17" xfId="3" applyFont="1" applyBorder="1" applyAlignment="1" applyProtection="1">
      <alignment horizontal="left" vertical="center" wrapText="1"/>
      <protection locked="0"/>
    </xf>
    <xf numFmtId="0" fontId="16" fillId="0" borderId="16" xfId="0" applyFont="1" applyBorder="1" applyAlignment="1" applyProtection="1">
      <alignment horizontal="left" vertical="center" wrapText="1"/>
      <protection locked="0"/>
    </xf>
    <xf numFmtId="0" fontId="16" fillId="0" borderId="18" xfId="2" applyFont="1" applyBorder="1" applyAlignment="1" applyProtection="1">
      <alignment horizontal="center" vertical="center" wrapText="1"/>
      <protection locked="0"/>
    </xf>
    <xf numFmtId="0" fontId="16" fillId="0" borderId="32" xfId="3" applyFont="1" applyBorder="1" applyAlignment="1" applyProtection="1">
      <alignment horizontal="left" vertical="center" wrapText="1"/>
      <protection locked="0"/>
    </xf>
    <xf numFmtId="0" fontId="16" fillId="0" borderId="7" xfId="2" applyFont="1" applyBorder="1" applyAlignment="1" applyProtection="1">
      <alignment horizontal="center" vertical="center"/>
      <protection locked="0"/>
    </xf>
    <xf numFmtId="0" fontId="16" fillId="0" borderId="3" xfId="0" applyFont="1" applyBorder="1" applyAlignment="1" applyProtection="1">
      <alignment horizontal="center" vertical="center" wrapText="1"/>
      <protection locked="0"/>
    </xf>
    <xf numFmtId="0" fontId="16" fillId="0" borderId="1" xfId="3" applyFont="1" applyBorder="1" applyAlignment="1" applyProtection="1">
      <alignment horizontal="center" vertical="center" wrapText="1"/>
      <protection locked="0"/>
    </xf>
    <xf numFmtId="0" fontId="16" fillId="0" borderId="2" xfId="2" applyFont="1" applyBorder="1" applyAlignment="1" applyProtection="1">
      <alignment horizontal="center" vertical="center"/>
      <protection locked="0"/>
    </xf>
    <xf numFmtId="0" fontId="16" fillId="0" borderId="2" xfId="2" applyFont="1" applyBorder="1" applyAlignment="1" applyProtection="1">
      <alignment horizontal="center" vertical="center" wrapText="1"/>
      <protection locked="0"/>
    </xf>
    <xf numFmtId="0" fontId="16" fillId="0" borderId="2" xfId="3" applyFont="1" applyBorder="1" applyAlignment="1" applyProtection="1">
      <alignment horizontal="center" vertical="center" wrapText="1"/>
      <protection locked="0"/>
    </xf>
    <xf numFmtId="0" fontId="16" fillId="0" borderId="3" xfId="0" applyFont="1" applyBorder="1" applyAlignment="1" applyProtection="1">
      <alignment horizontal="left" vertical="center" wrapText="1"/>
      <protection locked="0"/>
    </xf>
    <xf numFmtId="0" fontId="16" fillId="0" borderId="3" xfId="2" applyFont="1" applyBorder="1" applyAlignment="1" applyProtection="1">
      <alignment horizontal="center" vertical="center" wrapText="1"/>
      <protection locked="0"/>
    </xf>
    <xf numFmtId="0" fontId="18" fillId="0" borderId="3" xfId="0" applyFont="1" applyBorder="1" applyAlignment="1" applyProtection="1">
      <alignment horizontal="center" vertical="center" wrapText="1"/>
      <protection locked="0"/>
    </xf>
    <xf numFmtId="0" fontId="16" fillId="0" borderId="3" xfId="3" applyFont="1" applyBorder="1" applyAlignment="1" applyProtection="1">
      <alignment vertical="center" wrapText="1"/>
      <protection locked="0"/>
    </xf>
    <xf numFmtId="0" fontId="16" fillId="0" borderId="3" xfId="3" applyFont="1" applyBorder="1" applyAlignment="1" applyProtection="1">
      <alignment horizontal="center" vertical="center" wrapText="1"/>
      <protection locked="0"/>
    </xf>
    <xf numFmtId="0" fontId="16" fillId="6" borderId="1" xfId="2" applyFont="1" applyFill="1" applyBorder="1" applyAlignment="1" applyProtection="1">
      <alignment horizontal="center" vertical="center"/>
      <protection locked="0"/>
    </xf>
    <xf numFmtId="0" fontId="16" fillId="0" borderId="0" xfId="3" applyFont="1" applyAlignment="1" applyProtection="1">
      <alignment horizontal="center" vertical="center"/>
      <protection locked="0"/>
    </xf>
    <xf numFmtId="0" fontId="16" fillId="0" borderId="1" xfId="3" applyFont="1" applyBorder="1" applyAlignment="1" applyProtection="1">
      <alignment horizontal="center" vertical="center"/>
      <protection locked="0"/>
    </xf>
    <xf numFmtId="0" fontId="16" fillId="0" borderId="6" xfId="2" applyFont="1" applyBorder="1" applyAlignment="1" applyProtection="1">
      <alignment horizontal="center" vertical="center"/>
      <protection locked="0"/>
    </xf>
    <xf numFmtId="0" fontId="16" fillId="0" borderId="2" xfId="0" applyFont="1" applyBorder="1" applyAlignment="1" applyProtection="1">
      <alignment horizontal="center" vertical="center" wrapText="1"/>
      <protection locked="0"/>
    </xf>
    <xf numFmtId="0" fontId="16" fillId="0" borderId="15" xfId="0" applyFont="1" applyBorder="1" applyAlignment="1" applyProtection="1">
      <alignment horizontal="center" vertical="center" wrapText="1"/>
      <protection locked="0"/>
    </xf>
    <xf numFmtId="0" fontId="16" fillId="9" borderId="8" xfId="2" applyFont="1" applyFill="1" applyBorder="1" applyAlignment="1" applyProtection="1">
      <alignment horizontal="center" vertical="center"/>
      <protection locked="0"/>
    </xf>
    <xf numFmtId="0" fontId="16" fillId="7" borderId="1" xfId="0" applyFont="1" applyFill="1" applyBorder="1" applyAlignment="1" applyProtection="1">
      <alignment horizontal="center" vertical="center" wrapText="1"/>
      <protection locked="0"/>
    </xf>
    <xf numFmtId="0" fontId="25" fillId="6" borderId="1" xfId="3" applyFont="1" applyFill="1" applyBorder="1" applyAlignment="1" applyProtection="1">
      <alignment horizontal="center" vertical="center" wrapText="1"/>
      <protection locked="0"/>
    </xf>
    <xf numFmtId="9" fontId="31" fillId="0" borderId="47" xfId="11" applyFont="1" applyBorder="1" applyAlignment="1" applyProtection="1">
      <alignment horizontal="center" vertical="center" wrapText="1"/>
    </xf>
    <xf numFmtId="9" fontId="31" fillId="0" borderId="52" xfId="11" applyFont="1" applyBorder="1" applyAlignment="1" applyProtection="1">
      <alignment horizontal="center" vertical="center" wrapText="1"/>
    </xf>
    <xf numFmtId="0" fontId="24" fillId="0" borderId="3" xfId="3" applyFont="1" applyBorder="1" applyAlignment="1" applyProtection="1">
      <alignment vertical="center" wrapText="1"/>
      <protection locked="0"/>
    </xf>
    <xf numFmtId="0" fontId="16" fillId="0" borderId="19" xfId="3" applyFont="1" applyBorder="1" applyAlignment="1" applyProtection="1">
      <alignment vertical="center" wrapText="1"/>
      <protection locked="0"/>
    </xf>
    <xf numFmtId="0" fontId="42" fillId="0" borderId="2" xfId="3" applyFont="1" applyBorder="1" applyAlignment="1" applyProtection="1">
      <alignment horizontal="left" vertical="center" wrapText="1"/>
      <protection locked="0"/>
    </xf>
    <xf numFmtId="0" fontId="16" fillId="0" borderId="22" xfId="3" applyFont="1" applyBorder="1" applyAlignment="1" applyProtection="1">
      <alignment horizontal="center" vertical="center" wrapText="1"/>
      <protection locked="0"/>
    </xf>
    <xf numFmtId="0" fontId="25" fillId="10" borderId="41" xfId="3" applyFont="1" applyFill="1" applyBorder="1" applyAlignment="1" applyProtection="1">
      <alignment horizontal="left" vertical="center" wrapText="1"/>
      <protection locked="0"/>
    </xf>
    <xf numFmtId="0" fontId="23" fillId="14" borderId="19" xfId="0" applyFont="1" applyFill="1" applyBorder="1" applyAlignment="1" applyProtection="1">
      <alignment horizontal="left" vertical="center" wrapText="1"/>
      <protection locked="0"/>
    </xf>
    <xf numFmtId="0" fontId="16" fillId="4" borderId="7" xfId="2" applyFont="1" applyFill="1" applyBorder="1" applyAlignment="1" applyProtection="1">
      <alignment horizontal="center" vertical="center"/>
      <protection locked="0"/>
    </xf>
    <xf numFmtId="0" fontId="16" fillId="6" borderId="19" xfId="2" applyFont="1" applyFill="1" applyBorder="1" applyAlignment="1" applyProtection="1">
      <alignment horizontal="left" vertical="center" wrapText="1"/>
      <protection locked="0"/>
    </xf>
    <xf numFmtId="0" fontId="16" fillId="0" borderId="41" xfId="3" applyFont="1" applyBorder="1" applyAlignment="1" applyProtection="1">
      <alignment horizontal="center" vertical="center" wrapText="1"/>
      <protection locked="0"/>
    </xf>
    <xf numFmtId="0" fontId="16" fillId="0" borderId="0" xfId="3" applyFont="1" applyAlignment="1" applyProtection="1">
      <alignment horizontal="left" vertical="center" wrapText="1"/>
      <protection locked="0"/>
    </xf>
    <xf numFmtId="0" fontId="16" fillId="0" borderId="13" xfId="3" applyFont="1" applyBorder="1" applyAlignment="1" applyProtection="1">
      <alignment horizontal="left" vertical="center" wrapText="1"/>
      <protection locked="0"/>
    </xf>
    <xf numFmtId="0" fontId="16" fillId="0" borderId="24" xfId="3" applyFont="1" applyBorder="1" applyAlignment="1" applyProtection="1">
      <alignment horizontal="left" vertical="center" wrapText="1"/>
      <protection locked="0"/>
    </xf>
    <xf numFmtId="0" fontId="43" fillId="0" borderId="0" xfId="3" applyFont="1" applyProtection="1">
      <protection locked="0"/>
    </xf>
    <xf numFmtId="0" fontId="43" fillId="0" borderId="0" xfId="0" applyFont="1" applyProtection="1">
      <protection locked="0"/>
    </xf>
    <xf numFmtId="0" fontId="55" fillId="0" borderId="0" xfId="3" applyFont="1" applyAlignment="1" applyProtection="1">
      <alignment horizontal="center" vertical="center" wrapText="1"/>
      <protection locked="0"/>
    </xf>
    <xf numFmtId="0" fontId="16" fillId="0" borderId="0" xfId="0" applyFont="1" applyAlignment="1" applyProtection="1">
      <alignment horizontal="center" vertical="center"/>
      <protection locked="0"/>
    </xf>
    <xf numFmtId="0" fontId="16" fillId="0" borderId="0" xfId="0" applyFont="1" applyAlignment="1" applyProtection="1">
      <alignment horizontal="center" vertical="center" wrapText="1"/>
      <protection locked="0"/>
    </xf>
    <xf numFmtId="0" fontId="16" fillId="0" borderId="12" xfId="3" applyFont="1" applyBorder="1" applyAlignment="1" applyProtection="1">
      <alignment horizontal="left" vertical="center" wrapText="1"/>
      <protection locked="0"/>
    </xf>
    <xf numFmtId="0" fontId="16" fillId="0" borderId="0" xfId="3" applyFont="1" applyProtection="1">
      <protection locked="0"/>
    </xf>
    <xf numFmtId="0" fontId="16" fillId="0" borderId="0" xfId="3" applyFont="1" applyAlignment="1" applyProtection="1">
      <alignment vertical="center"/>
      <protection locked="0"/>
    </xf>
    <xf numFmtId="0" fontId="16" fillId="0" borderId="0" xfId="0" applyFont="1" applyProtection="1">
      <protection locked="0"/>
    </xf>
    <xf numFmtId="0" fontId="18" fillId="0" borderId="0" xfId="3" applyFont="1" applyAlignment="1" applyProtection="1">
      <alignment horizontal="center" vertical="center"/>
      <protection locked="0"/>
    </xf>
    <xf numFmtId="0" fontId="16" fillId="0" borderId="0" xfId="3" applyFont="1" applyAlignment="1" applyProtection="1">
      <alignment vertical="center" wrapText="1"/>
      <protection locked="0"/>
    </xf>
    <xf numFmtId="0" fontId="16" fillId="0" borderId="54" xfId="3" applyFont="1" applyBorder="1" applyAlignment="1" applyProtection="1">
      <alignment vertical="center" wrapText="1"/>
      <protection locked="0"/>
    </xf>
    <xf numFmtId="0" fontId="16" fillId="0" borderId="41" xfId="3" applyFont="1" applyBorder="1" applyAlignment="1" applyProtection="1">
      <alignment vertical="center" wrapText="1"/>
      <protection locked="0"/>
    </xf>
    <xf numFmtId="0" fontId="12" fillId="0" borderId="0" xfId="0" applyFont="1" applyProtection="1">
      <protection locked="0"/>
    </xf>
    <xf numFmtId="0" fontId="25" fillId="0" borderId="40" xfId="3" applyFont="1" applyBorder="1" applyAlignment="1" applyProtection="1">
      <alignment horizontal="left" vertical="center" wrapText="1"/>
      <protection locked="0"/>
    </xf>
    <xf numFmtId="0" fontId="16" fillId="0" borderId="10" xfId="0" applyFont="1" applyBorder="1" applyAlignment="1" applyProtection="1">
      <alignment horizontal="left" vertical="center" wrapText="1"/>
      <protection locked="0"/>
    </xf>
    <xf numFmtId="0" fontId="16" fillId="0" borderId="16" xfId="0" applyFont="1" applyBorder="1" applyAlignment="1" applyProtection="1">
      <alignment vertical="center"/>
      <protection locked="0"/>
    </xf>
    <xf numFmtId="0" fontId="16" fillId="0" borderId="3" xfId="0" applyFont="1" applyBorder="1" applyAlignment="1" applyProtection="1">
      <alignment horizontal="center" vertical="center"/>
      <protection locked="0"/>
    </xf>
    <xf numFmtId="0" fontId="16" fillId="0" borderId="3" xfId="3" applyFont="1" applyBorder="1" applyAlignment="1" applyProtection="1">
      <alignment horizontal="left" vertical="center" wrapText="1"/>
      <protection locked="0"/>
    </xf>
    <xf numFmtId="0" fontId="18" fillId="0" borderId="3" xfId="0" applyFont="1" applyBorder="1" applyAlignment="1" applyProtection="1">
      <alignment horizontal="center" vertical="center"/>
      <protection locked="0"/>
    </xf>
    <xf numFmtId="0" fontId="16" fillId="0" borderId="0" xfId="0" applyFont="1" applyAlignment="1" applyProtection="1">
      <alignment vertical="center" wrapText="1"/>
      <protection locked="0"/>
    </xf>
    <xf numFmtId="0" fontId="16" fillId="0" borderId="19" xfId="0" applyFont="1" applyBorder="1" applyAlignment="1" applyProtection="1">
      <alignment horizontal="left" vertical="center" wrapText="1"/>
      <protection locked="0"/>
    </xf>
    <xf numFmtId="0" fontId="40" fillId="10" borderId="0" xfId="0" applyFont="1" applyFill="1" applyAlignment="1" applyProtection="1">
      <alignment horizontal="left" vertical="center" wrapText="1"/>
      <protection locked="0"/>
    </xf>
    <xf numFmtId="0" fontId="16" fillId="0" borderId="1" xfId="2" applyFont="1" applyBorder="1" applyAlignment="1" applyProtection="1">
      <alignment horizontal="left" vertical="center" wrapText="1"/>
      <protection locked="0"/>
    </xf>
    <xf numFmtId="0" fontId="16" fillId="0" borderId="0" xfId="2" applyFont="1" applyAlignment="1" applyProtection="1">
      <alignment horizontal="left" vertical="center" wrapText="1"/>
      <protection locked="0"/>
    </xf>
    <xf numFmtId="0" fontId="16" fillId="0" borderId="1" xfId="3" applyFont="1" applyBorder="1" applyAlignment="1" applyProtection="1">
      <alignment vertical="center" wrapText="1"/>
      <protection locked="0"/>
    </xf>
    <xf numFmtId="0" fontId="16" fillId="0" borderId="1" xfId="14" applyFont="1" applyBorder="1" applyAlignment="1" applyProtection="1">
      <alignment horizontal="center" vertical="center" wrapText="1"/>
      <protection locked="0"/>
    </xf>
    <xf numFmtId="0" fontId="18" fillId="0" borderId="1" xfId="14" applyFont="1" applyBorder="1" applyAlignment="1" applyProtection="1">
      <alignment horizontal="center" vertical="center" wrapText="1"/>
      <protection locked="0"/>
    </xf>
    <xf numFmtId="0" fontId="12" fillId="0" borderId="57" xfId="2" applyFont="1" applyBorder="1" applyAlignment="1" applyProtection="1">
      <alignment horizontal="left" vertical="center" wrapText="1"/>
      <protection locked="0"/>
    </xf>
    <xf numFmtId="0" fontId="23" fillId="0" borderId="54" xfId="3" applyFont="1" applyBorder="1" applyAlignment="1" applyProtection="1">
      <alignment vertical="center" wrapText="1"/>
      <protection locked="0"/>
    </xf>
    <xf numFmtId="0" fontId="16" fillId="0" borderId="64" xfId="0" applyFont="1" applyBorder="1" applyAlignment="1" applyProtection="1">
      <alignment horizontal="left" vertical="center" wrapText="1"/>
      <protection locked="0"/>
    </xf>
    <xf numFmtId="0" fontId="23" fillId="0" borderId="41" xfId="3" applyFont="1" applyBorder="1" applyAlignment="1" applyProtection="1">
      <alignment vertical="center" wrapText="1"/>
      <protection locked="0"/>
    </xf>
    <xf numFmtId="0" fontId="25" fillId="0" borderId="19" xfId="0" applyFont="1" applyBorder="1" applyAlignment="1" applyProtection="1">
      <alignment horizontal="center" vertical="center" wrapText="1"/>
      <protection locked="0"/>
    </xf>
    <xf numFmtId="0" fontId="18" fillId="0" borderId="41" xfId="3" applyFont="1" applyBorder="1" applyAlignment="1" applyProtection="1">
      <alignment horizontal="center" vertical="center" wrapText="1"/>
      <protection locked="0"/>
    </xf>
    <xf numFmtId="0" fontId="16" fillId="0" borderId="3" xfId="2" applyFont="1" applyBorder="1" applyAlignment="1" applyProtection="1">
      <alignment horizontal="center" vertical="center"/>
      <protection locked="0"/>
    </xf>
    <xf numFmtId="0" fontId="18" fillId="0" borderId="0" xfId="0" applyFont="1" applyAlignment="1" applyProtection="1">
      <alignment horizontal="center" vertical="center"/>
      <protection locked="0"/>
    </xf>
    <xf numFmtId="0" fontId="43" fillId="0" borderId="0" xfId="3" applyFont="1" applyAlignment="1" applyProtection="1">
      <alignment vertical="center"/>
      <protection locked="0"/>
    </xf>
    <xf numFmtId="0" fontId="16" fillId="0" borderId="0" xfId="3" applyFont="1" applyAlignment="1" applyProtection="1">
      <alignment horizontal="left" vertical="center"/>
      <protection locked="0"/>
    </xf>
    <xf numFmtId="0" fontId="16" fillId="0" borderId="12" xfId="3" applyFont="1" applyBorder="1" applyAlignment="1" applyProtection="1">
      <alignment horizontal="left" vertical="center"/>
      <protection locked="0"/>
    </xf>
    <xf numFmtId="0" fontId="23" fillId="0" borderId="19" xfId="3" applyFont="1" applyBorder="1" applyAlignment="1" applyProtection="1">
      <alignment horizontal="left" vertical="center"/>
      <protection locked="0"/>
    </xf>
    <xf numFmtId="0" fontId="16" fillId="0" borderId="19" xfId="2" applyFont="1" applyBorder="1" applyAlignment="1" applyProtection="1">
      <alignment horizontal="left" vertical="center"/>
      <protection locked="0"/>
    </xf>
    <xf numFmtId="0" fontId="16" fillId="0" borderId="23" xfId="3" applyFont="1" applyBorder="1" applyAlignment="1" applyProtection="1">
      <alignment horizontal="left" vertical="center" wrapText="1"/>
      <protection locked="0"/>
    </xf>
    <xf numFmtId="0" fontId="16" fillId="0" borderId="10" xfId="5" applyFont="1" applyBorder="1" applyAlignment="1" applyProtection="1">
      <alignment horizontal="left" vertical="center" wrapText="1"/>
      <protection locked="0"/>
    </xf>
    <xf numFmtId="0" fontId="16" fillId="0" borderId="0" xfId="0" applyFont="1" applyAlignment="1" applyProtection="1">
      <alignment vertical="center"/>
      <protection locked="0"/>
    </xf>
    <xf numFmtId="0" fontId="16" fillId="0" borderId="0" xfId="0" applyFont="1" applyAlignment="1" applyProtection="1">
      <alignment wrapText="1"/>
      <protection locked="0"/>
    </xf>
    <xf numFmtId="0" fontId="16" fillId="0" borderId="0" xfId="0" applyFont="1" applyAlignment="1" applyProtection="1">
      <alignment horizontal="center"/>
      <protection locked="0"/>
    </xf>
    <xf numFmtId="0" fontId="18" fillId="0" borderId="0" xfId="0" applyFont="1" applyProtection="1">
      <protection locked="0"/>
    </xf>
    <xf numFmtId="0" fontId="18" fillId="0" borderId="37" xfId="0" applyFont="1" applyBorder="1" applyProtection="1">
      <protection locked="0"/>
    </xf>
    <xf numFmtId="0" fontId="18" fillId="0" borderId="36" xfId="0" applyFont="1" applyBorder="1" applyAlignment="1" applyProtection="1">
      <alignment wrapText="1"/>
      <protection locked="0"/>
    </xf>
    <xf numFmtId="0" fontId="16" fillId="0" borderId="0" xfId="3" applyFont="1" applyAlignment="1" applyProtection="1">
      <alignment wrapText="1"/>
      <protection locked="0"/>
    </xf>
    <xf numFmtId="0" fontId="43" fillId="0" borderId="0" xfId="0" applyFont="1" applyAlignment="1" applyProtection="1">
      <alignment vertical="center"/>
      <protection locked="0"/>
    </xf>
    <xf numFmtId="0" fontId="16" fillId="6" borderId="2" xfId="2" applyFont="1" applyFill="1" applyBorder="1" applyAlignment="1" applyProtection="1">
      <alignment horizontal="left" vertical="center" wrapText="1"/>
      <protection locked="0"/>
    </xf>
    <xf numFmtId="0" fontId="18" fillId="6" borderId="1" xfId="14" applyFont="1" applyFill="1" applyBorder="1" applyAlignment="1" applyProtection="1">
      <alignment horizontal="center" vertical="center" wrapText="1"/>
      <protection locked="0"/>
    </xf>
    <xf numFmtId="0" fontId="16" fillId="6" borderId="1" xfId="2" applyFont="1" applyFill="1" applyBorder="1" applyAlignment="1" applyProtection="1">
      <alignment horizontal="left" vertical="center" wrapText="1"/>
      <protection locked="0"/>
    </xf>
    <xf numFmtId="0" fontId="18" fillId="6" borderId="2" xfId="14" applyFont="1" applyFill="1" applyBorder="1" applyAlignment="1" applyProtection="1">
      <alignment horizontal="center" vertical="center" wrapText="1"/>
      <protection locked="0"/>
    </xf>
    <xf numFmtId="0" fontId="16" fillId="6" borderId="2" xfId="14" applyFont="1" applyFill="1" applyBorder="1" applyAlignment="1" applyProtection="1">
      <alignment horizontal="center" vertical="center" wrapText="1"/>
      <protection locked="0"/>
    </xf>
    <xf numFmtId="0" fontId="16" fillId="7" borderId="1" xfId="0" applyFont="1" applyFill="1" applyBorder="1" applyAlignment="1" applyProtection="1">
      <alignment horizontal="left" vertical="center" wrapText="1"/>
      <protection locked="0"/>
    </xf>
    <xf numFmtId="0" fontId="16" fillId="6" borderId="15" xfId="14" applyFont="1" applyFill="1" applyBorder="1" applyAlignment="1" applyProtection="1">
      <alignment horizontal="center" vertical="center" wrapText="1"/>
      <protection locked="0"/>
    </xf>
    <xf numFmtId="0" fontId="18" fillId="6" borderId="15" xfId="14" applyFont="1" applyFill="1" applyBorder="1" applyAlignment="1" applyProtection="1">
      <alignment horizontal="center" vertical="center" wrapText="1"/>
      <protection locked="0"/>
    </xf>
    <xf numFmtId="0" fontId="18" fillId="0" borderId="1" xfId="2" applyFont="1" applyBorder="1" applyAlignment="1" applyProtection="1">
      <alignment horizontal="center" vertical="center" wrapText="1"/>
      <protection locked="0"/>
    </xf>
    <xf numFmtId="0" fontId="19" fillId="0" borderId="0" xfId="3" applyFont="1" applyProtection="1">
      <protection locked="0"/>
    </xf>
    <xf numFmtId="0" fontId="16" fillId="0" borderId="0" xfId="0" applyFont="1" applyAlignment="1" applyProtection="1">
      <alignment horizontal="left" vertical="center" wrapText="1"/>
      <protection locked="0"/>
    </xf>
    <xf numFmtId="0" fontId="16" fillId="6" borderId="1" xfId="14" applyFont="1" applyFill="1" applyBorder="1" applyAlignment="1" applyProtection="1">
      <alignment horizontal="center" vertical="center" wrapText="1"/>
      <protection locked="0"/>
    </xf>
    <xf numFmtId="0" fontId="16" fillId="6" borderId="3" xfId="2" applyFont="1" applyFill="1" applyBorder="1" applyAlignment="1" applyProtection="1">
      <alignment horizontal="left" vertical="center" wrapText="1"/>
      <protection locked="0"/>
    </xf>
    <xf numFmtId="0" fontId="16" fillId="6" borderId="3" xfId="14" applyFont="1" applyFill="1" applyBorder="1" applyAlignment="1" applyProtection="1">
      <alignment horizontal="center" vertical="center" wrapText="1"/>
      <protection locked="0"/>
    </xf>
    <xf numFmtId="0" fontId="18" fillId="6" borderId="3" xfId="14" applyFont="1" applyFill="1" applyBorder="1" applyAlignment="1" applyProtection="1">
      <alignment horizontal="center" vertical="center" wrapText="1"/>
      <protection locked="0"/>
    </xf>
    <xf numFmtId="0" fontId="16" fillId="6" borderId="15" xfId="2" applyFont="1" applyFill="1" applyBorder="1" applyAlignment="1" applyProtection="1">
      <alignment horizontal="left" vertical="center" wrapText="1"/>
      <protection locked="0"/>
    </xf>
    <xf numFmtId="0" fontId="24" fillId="0" borderId="1" xfId="3" applyFont="1" applyBorder="1" applyAlignment="1" applyProtection="1">
      <alignment vertical="center" wrapText="1"/>
      <protection locked="0"/>
    </xf>
    <xf numFmtId="0" fontId="24" fillId="0" borderId="2" xfId="3" applyFont="1" applyBorder="1" applyAlignment="1" applyProtection="1">
      <alignment vertical="center" wrapText="1"/>
      <protection locked="0"/>
    </xf>
    <xf numFmtId="0" fontId="55" fillId="4" borderId="3" xfId="14" applyFont="1" applyFill="1" applyBorder="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Alignment="1" applyProtection="1">
      <alignment horizontal="center" vertical="center" wrapText="1"/>
      <protection locked="0"/>
    </xf>
    <xf numFmtId="0" fontId="16" fillId="0" borderId="34" xfId="3" applyFont="1" applyBorder="1" applyAlignment="1" applyProtection="1">
      <alignment horizontal="center" vertical="center" wrapText="1"/>
      <protection locked="0"/>
    </xf>
    <xf numFmtId="0" fontId="16" fillId="0" borderId="67" xfId="3" applyFont="1" applyBorder="1" applyAlignment="1" applyProtection="1">
      <alignment horizontal="left" vertical="center" wrapText="1"/>
      <protection locked="0"/>
    </xf>
    <xf numFmtId="0" fontId="43" fillId="0" borderId="41" xfId="3" applyFont="1" applyBorder="1" applyAlignment="1" applyProtection="1">
      <alignment horizontal="left" vertical="center" wrapText="1"/>
      <protection locked="0"/>
    </xf>
    <xf numFmtId="0" fontId="43" fillId="0" borderId="12" xfId="0" applyFont="1" applyBorder="1" applyAlignment="1" applyProtection="1">
      <alignment horizontal="left" vertical="center" wrapText="1"/>
      <protection locked="0"/>
    </xf>
    <xf numFmtId="0" fontId="43" fillId="0" borderId="19" xfId="3" applyFont="1" applyBorder="1" applyAlignment="1" applyProtection="1">
      <alignment horizontal="left" vertical="center" wrapText="1"/>
      <protection locked="0"/>
    </xf>
    <xf numFmtId="0" fontId="56" fillId="0" borderId="16" xfId="3" applyFont="1" applyBorder="1" applyAlignment="1" applyProtection="1">
      <alignment horizontal="left" vertical="center" wrapText="1"/>
      <protection locked="0"/>
    </xf>
    <xf numFmtId="0" fontId="56" fillId="0" borderId="1" xfId="2" applyFont="1" applyBorder="1" applyAlignment="1" applyProtection="1">
      <alignment horizontal="center" vertical="center" wrapText="1"/>
      <protection locked="0"/>
    </xf>
    <xf numFmtId="0" fontId="56" fillId="0" borderId="3" xfId="2" applyFont="1" applyBorder="1" applyAlignment="1" applyProtection="1">
      <alignment horizontal="center" vertical="center" wrapText="1"/>
      <protection locked="0"/>
    </xf>
    <xf numFmtId="49" fontId="56" fillId="0" borderId="64" xfId="0" applyNumberFormat="1" applyFont="1" applyBorder="1" applyAlignment="1" applyProtection="1">
      <alignment horizontal="left" vertical="center" wrapText="1"/>
      <protection locked="0"/>
    </xf>
    <xf numFmtId="0" fontId="56" fillId="0" borderId="3" xfId="0" applyFont="1" applyBorder="1" applyAlignment="1" applyProtection="1">
      <alignment horizontal="center" vertical="center" wrapText="1"/>
      <protection locked="0"/>
    </xf>
    <xf numFmtId="0" fontId="55" fillId="0" borderId="3" xfId="0" applyFont="1" applyBorder="1" applyAlignment="1" applyProtection="1">
      <alignment horizontal="center" vertical="center" wrapText="1"/>
      <protection locked="0"/>
    </xf>
    <xf numFmtId="0" fontId="43" fillId="0" borderId="6" xfId="2" applyFont="1" applyBorder="1" applyAlignment="1" applyProtection="1">
      <alignment horizontal="center" vertical="center"/>
      <protection locked="0"/>
    </xf>
    <xf numFmtId="0" fontId="16" fillId="0" borderId="22" xfId="0" applyFont="1" applyBorder="1" applyAlignment="1" applyProtection="1">
      <alignment horizontal="left" vertical="center" wrapText="1"/>
      <protection locked="0"/>
    </xf>
    <xf numFmtId="0" fontId="18" fillId="0" borderId="3" xfId="14" applyFont="1" applyBorder="1" applyAlignment="1" applyProtection="1">
      <alignment horizontal="center" vertical="center" wrapText="1"/>
      <protection locked="0"/>
    </xf>
    <xf numFmtId="0" fontId="18" fillId="0" borderId="2" xfId="14" applyFont="1" applyBorder="1" applyAlignment="1" applyProtection="1">
      <alignment horizontal="center" vertical="center" wrapText="1"/>
      <protection locked="0"/>
    </xf>
    <xf numFmtId="0" fontId="36" fillId="6" borderId="1" xfId="14" applyFont="1" applyFill="1" applyBorder="1" applyAlignment="1" applyProtection="1">
      <alignment horizontal="center" vertical="center" wrapText="1"/>
      <protection locked="0"/>
    </xf>
    <xf numFmtId="0" fontId="16" fillId="0" borderId="64" xfId="2" applyFont="1" applyBorder="1" applyAlignment="1" applyProtection="1">
      <alignment horizontal="left" vertical="center" wrapText="1"/>
      <protection locked="0"/>
    </xf>
    <xf numFmtId="0" fontId="18" fillId="0" borderId="3" xfId="2" applyFont="1" applyBorder="1" applyAlignment="1" applyProtection="1">
      <alignment horizontal="center" vertical="center" wrapText="1"/>
      <protection locked="0"/>
    </xf>
    <xf numFmtId="0" fontId="16" fillId="0" borderId="1" xfId="0" applyFont="1" applyBorder="1" applyAlignment="1" applyProtection="1">
      <alignment vertical="center" wrapText="1"/>
      <protection locked="0"/>
    </xf>
    <xf numFmtId="0" fontId="16" fillId="0" borderId="3" xfId="14" applyFont="1" applyBorder="1" applyAlignment="1" applyProtection="1">
      <alignment horizontal="center" vertical="center" wrapText="1"/>
      <protection locked="0"/>
    </xf>
    <xf numFmtId="0" fontId="16" fillId="0" borderId="53" xfId="3" applyFont="1" applyBorder="1" applyAlignment="1" applyProtection="1">
      <alignment vertical="center" wrapText="1"/>
      <protection locked="0"/>
    </xf>
    <xf numFmtId="0" fontId="16" fillId="0" borderId="2" xfId="14" applyFont="1" applyBorder="1" applyAlignment="1" applyProtection="1">
      <alignment horizontal="center" vertical="center" wrapText="1"/>
      <protection locked="0"/>
    </xf>
    <xf numFmtId="9" fontId="31" fillId="0" borderId="0" xfId="11" applyFont="1" applyFill="1" applyAlignment="1" applyProtection="1">
      <alignment horizontal="center" vertical="center"/>
    </xf>
    <xf numFmtId="165" fontId="31" fillId="0" borderId="0" xfId="0" applyNumberFormat="1" applyFont="1" applyAlignment="1" applyProtection="1">
      <alignment horizontal="center" vertical="center"/>
      <protection locked="0"/>
    </xf>
    <xf numFmtId="9" fontId="31" fillId="0" borderId="0" xfId="11" applyFont="1" applyFill="1" applyAlignment="1" applyProtection="1">
      <alignment horizontal="center" vertical="center"/>
      <protection locked="0"/>
    </xf>
    <xf numFmtId="0" fontId="31" fillId="0" borderId="0" xfId="0" applyFont="1" applyAlignment="1" applyProtection="1">
      <alignment horizontal="center" vertical="center"/>
      <protection locked="0"/>
    </xf>
    <xf numFmtId="165" fontId="31" fillId="0" borderId="0" xfId="0" applyNumberFormat="1" applyFont="1" applyAlignment="1" applyProtection="1">
      <alignment horizontal="center" vertical="center" wrapText="1"/>
      <protection locked="0"/>
    </xf>
    <xf numFmtId="0" fontId="16" fillId="0" borderId="66" xfId="3" applyFont="1" applyBorder="1" applyAlignment="1" applyProtection="1">
      <alignment horizontal="left" vertical="center" wrapText="1"/>
      <protection locked="0"/>
    </xf>
    <xf numFmtId="0" fontId="18" fillId="6" borderId="1" xfId="0" applyFont="1" applyFill="1" applyBorder="1" applyAlignment="1" applyProtection="1">
      <alignment horizontal="center" vertical="center" wrapText="1"/>
      <protection locked="0"/>
    </xf>
    <xf numFmtId="0" fontId="62" fillId="4" borderId="7" xfId="2" applyFont="1" applyFill="1" applyBorder="1" applyAlignment="1" applyProtection="1">
      <alignment horizontal="center" vertical="center" wrapText="1"/>
      <protection locked="0"/>
    </xf>
    <xf numFmtId="0" fontId="62" fillId="4" borderId="19" xfId="3" applyFont="1" applyFill="1" applyBorder="1" applyAlignment="1" applyProtection="1">
      <alignment horizontal="left" vertical="center" wrapText="1"/>
      <protection locked="0"/>
    </xf>
    <xf numFmtId="0" fontId="62" fillId="4" borderId="12" xfId="3" applyFont="1" applyFill="1" applyBorder="1" applyAlignment="1" applyProtection="1">
      <alignment horizontal="left" vertical="center" wrapText="1"/>
      <protection locked="0"/>
    </xf>
    <xf numFmtId="0" fontId="62" fillId="4" borderId="54" xfId="3" applyFont="1" applyFill="1" applyBorder="1" applyAlignment="1" applyProtection="1">
      <alignment horizontal="left" vertical="center" wrapText="1"/>
      <protection locked="0"/>
    </xf>
    <xf numFmtId="165" fontId="65" fillId="0" borderId="0" xfId="0" applyNumberFormat="1" applyFont="1" applyAlignment="1" applyProtection="1">
      <alignment horizontal="center" vertical="center" wrapText="1"/>
      <protection locked="0"/>
    </xf>
    <xf numFmtId="9" fontId="65" fillId="0" borderId="0" xfId="11" applyFont="1" applyFill="1" applyAlignment="1" applyProtection="1">
      <alignment horizontal="center" vertical="center"/>
    </xf>
    <xf numFmtId="0" fontId="62" fillId="0" borderId="0" xfId="0" applyFont="1" applyAlignment="1" applyProtection="1">
      <alignment horizontal="center" vertical="center" wrapText="1"/>
      <protection locked="0"/>
    </xf>
    <xf numFmtId="0" fontId="62" fillId="0" borderId="0" xfId="3" applyFont="1" applyAlignment="1" applyProtection="1">
      <alignment wrapText="1"/>
      <protection locked="0"/>
    </xf>
    <xf numFmtId="0" fontId="63" fillId="0" borderId="0" xfId="3" applyFont="1" applyAlignment="1" applyProtection="1">
      <alignment horizontal="center" vertical="center" wrapText="1"/>
      <protection locked="0"/>
    </xf>
    <xf numFmtId="0" fontId="62" fillId="0" borderId="0" xfId="0" applyFont="1" applyAlignment="1" applyProtection="1">
      <alignment wrapText="1"/>
      <protection locked="0"/>
    </xf>
    <xf numFmtId="0" fontId="62" fillId="0" borderId="0" xfId="0" applyFont="1" applyAlignment="1" applyProtection="1">
      <alignment vertical="center" wrapText="1"/>
      <protection locked="0"/>
    </xf>
    <xf numFmtId="0" fontId="62" fillId="4" borderId="7" xfId="2" applyFont="1" applyFill="1" applyBorder="1" applyAlignment="1" applyProtection="1">
      <alignment horizontal="center" vertical="center"/>
      <protection locked="0"/>
    </xf>
    <xf numFmtId="165" fontId="65" fillId="0" borderId="0" xfId="0" applyNumberFormat="1" applyFont="1" applyAlignment="1" applyProtection="1">
      <alignment horizontal="center" vertical="center"/>
      <protection locked="0"/>
    </xf>
    <xf numFmtId="0" fontId="62" fillId="0" borderId="0" xfId="0" applyFont="1" applyAlignment="1" applyProtection="1">
      <alignment horizontal="center" vertical="center"/>
      <protection locked="0"/>
    </xf>
    <xf numFmtId="0" fontId="62" fillId="0" borderId="0" xfId="3" applyFont="1" applyProtection="1">
      <protection locked="0"/>
    </xf>
    <xf numFmtId="0" fontId="62" fillId="0" borderId="0" xfId="0" applyFont="1" applyProtection="1">
      <protection locked="0"/>
    </xf>
    <xf numFmtId="0" fontId="62" fillId="4" borderId="12" xfId="0" applyFont="1" applyFill="1" applyBorder="1" applyAlignment="1" applyProtection="1">
      <alignment horizontal="left" vertical="center" wrapText="1"/>
      <protection locked="0"/>
    </xf>
    <xf numFmtId="0" fontId="62" fillId="4" borderId="41" xfId="3" applyFont="1" applyFill="1" applyBorder="1" applyAlignment="1" applyProtection="1">
      <alignment horizontal="left" vertical="center" wrapText="1"/>
      <protection locked="0"/>
    </xf>
    <xf numFmtId="0" fontId="62" fillId="0" borderId="19" xfId="3" applyFont="1" applyBorder="1" applyAlignment="1" applyProtection="1">
      <alignment horizontal="left" vertical="center" wrapText="1"/>
      <protection locked="0"/>
    </xf>
    <xf numFmtId="0" fontId="62" fillId="0" borderId="10" xfId="3" applyFont="1" applyBorder="1" applyAlignment="1" applyProtection="1">
      <alignment horizontal="left" vertical="center" wrapText="1"/>
      <protection locked="0"/>
    </xf>
    <xf numFmtId="0" fontId="62" fillId="0" borderId="41" xfId="3" applyFont="1" applyBorder="1" applyAlignment="1" applyProtection="1">
      <alignment horizontal="left" vertical="center" wrapText="1"/>
      <protection locked="0"/>
    </xf>
    <xf numFmtId="0" fontId="62" fillId="0" borderId="16" xfId="3" applyFont="1" applyBorder="1" applyAlignment="1" applyProtection="1">
      <alignment horizontal="left" vertical="center" wrapText="1"/>
      <protection locked="0"/>
    </xf>
    <xf numFmtId="0" fontId="62" fillId="4" borderId="19" xfId="0" applyFont="1" applyFill="1" applyBorder="1" applyAlignment="1" applyProtection="1">
      <alignment horizontal="left" vertical="center" wrapText="1"/>
      <protection locked="0"/>
    </xf>
    <xf numFmtId="0" fontId="62" fillId="4" borderId="10" xfId="3" applyFont="1" applyFill="1" applyBorder="1" applyAlignment="1" applyProtection="1">
      <alignment horizontal="left" vertical="center" wrapText="1"/>
      <protection locked="0"/>
    </xf>
    <xf numFmtId="0" fontId="62" fillId="4" borderId="16" xfId="3" applyFont="1" applyFill="1" applyBorder="1" applyAlignment="1" applyProtection="1">
      <alignment horizontal="left" vertical="center" wrapText="1"/>
      <protection locked="0"/>
    </xf>
    <xf numFmtId="0" fontId="16" fillId="0" borderId="1" xfId="3" applyFont="1" applyBorder="1" applyProtection="1">
      <protection locked="0"/>
    </xf>
    <xf numFmtId="0" fontId="12" fillId="0" borderId="53" xfId="2" applyFont="1" applyBorder="1" applyAlignment="1" applyProtection="1">
      <alignment horizontal="left" vertical="center" wrapText="1"/>
      <protection locked="0"/>
    </xf>
    <xf numFmtId="0" fontId="16" fillId="0" borderId="1" xfId="2" applyFont="1" applyBorder="1" applyAlignment="1">
      <alignment horizontal="left" vertical="center" wrapText="1"/>
    </xf>
    <xf numFmtId="0" fontId="16" fillId="0" borderId="2" xfId="2" applyFont="1" applyBorder="1" applyAlignment="1" applyProtection="1">
      <alignment horizontal="left" vertical="center" wrapText="1"/>
      <protection locked="0"/>
    </xf>
    <xf numFmtId="0" fontId="25" fillId="0" borderId="54" xfId="3" applyFont="1" applyBorder="1" applyAlignment="1" applyProtection="1">
      <alignment horizontal="center" vertical="center" wrapText="1"/>
      <protection locked="0"/>
    </xf>
    <xf numFmtId="0" fontId="38" fillId="0" borderId="1" xfId="0" applyFont="1" applyBorder="1" applyAlignment="1">
      <alignment horizontal="center" vertical="center"/>
    </xf>
    <xf numFmtId="0" fontId="15" fillId="0" borderId="1" xfId="0" applyFont="1" applyBorder="1" applyAlignment="1">
      <alignment horizontal="center"/>
    </xf>
    <xf numFmtId="0" fontId="15" fillId="0" borderId="29" xfId="0" applyFont="1" applyBorder="1"/>
    <xf numFmtId="0" fontId="38" fillId="0" borderId="1" xfId="0" applyFont="1" applyBorder="1" applyAlignment="1">
      <alignment horizontal="center" vertical="center" wrapText="1"/>
    </xf>
    <xf numFmtId="0" fontId="15" fillId="0" borderId="30" xfId="0" applyFont="1" applyBorder="1"/>
    <xf numFmtId="0" fontId="15" fillId="0" borderId="26" xfId="0" applyFont="1" applyBorder="1"/>
    <xf numFmtId="0" fontId="18" fillId="3" borderId="32" xfId="0" applyFont="1" applyFill="1" applyBorder="1" applyAlignment="1" applyProtection="1">
      <alignment horizontal="center" vertical="center" wrapText="1"/>
      <protection locked="0"/>
    </xf>
    <xf numFmtId="9" fontId="31" fillId="0" borderId="0" xfId="11" applyFont="1" applyFill="1" applyBorder="1" applyAlignment="1" applyProtection="1">
      <alignment horizontal="center" vertical="center"/>
      <protection locked="0"/>
    </xf>
    <xf numFmtId="0" fontId="16" fillId="0" borderId="9" xfId="2" applyFont="1" applyBorder="1" applyAlignment="1" applyProtection="1">
      <alignment horizontal="center" vertical="center"/>
      <protection locked="0"/>
    </xf>
    <xf numFmtId="0" fontId="16" fillId="0" borderId="48" xfId="2" applyFont="1" applyBorder="1" applyAlignment="1" applyProtection="1">
      <alignment horizontal="center" vertical="center"/>
      <protection locked="0"/>
    </xf>
    <xf numFmtId="0" fontId="62" fillId="0" borderId="7" xfId="2" applyFont="1" applyBorder="1" applyAlignment="1" applyProtection="1">
      <alignment horizontal="center" vertical="center"/>
      <protection locked="0"/>
    </xf>
    <xf numFmtId="9" fontId="65" fillId="0" borderId="0" xfId="11" applyFont="1" applyFill="1" applyAlignment="1" applyProtection="1">
      <alignment horizontal="center" vertical="center"/>
      <protection locked="0"/>
    </xf>
    <xf numFmtId="0" fontId="62" fillId="0" borderId="0" xfId="3" applyFont="1" applyAlignment="1" applyProtection="1">
      <alignment vertical="center"/>
      <protection locked="0"/>
    </xf>
    <xf numFmtId="0" fontId="16" fillId="4" borderId="8" xfId="2" applyFont="1" applyFill="1" applyBorder="1" applyAlignment="1" applyProtection="1">
      <alignment horizontal="center" vertical="center"/>
      <protection locked="0"/>
    </xf>
    <xf numFmtId="0" fontId="16" fillId="5" borderId="36" xfId="2" applyFont="1" applyFill="1" applyBorder="1" applyAlignment="1" applyProtection="1">
      <alignment vertical="center"/>
      <protection locked="0"/>
    </xf>
    <xf numFmtId="0" fontId="18" fillId="0" borderId="0" xfId="3" applyFont="1" applyProtection="1">
      <protection locked="0"/>
    </xf>
    <xf numFmtId="0" fontId="16" fillId="0" borderId="21" xfId="2" applyFont="1" applyBorder="1" applyAlignment="1" applyProtection="1">
      <alignment horizontal="center" vertical="center"/>
      <protection locked="0"/>
    </xf>
    <xf numFmtId="0" fontId="16" fillId="0" borderId="7" xfId="2" applyFont="1" applyBorder="1" applyAlignment="1" applyProtection="1">
      <alignment horizontal="center" vertical="center" wrapText="1"/>
      <protection locked="0"/>
    </xf>
    <xf numFmtId="0" fontId="18" fillId="0" borderId="0" xfId="3" applyFont="1" applyAlignment="1" applyProtection="1">
      <alignment horizontal="center" vertical="center" wrapText="1"/>
      <protection locked="0"/>
    </xf>
    <xf numFmtId="0" fontId="62" fillId="4" borderId="8" xfId="2" applyFont="1" applyFill="1" applyBorder="1" applyAlignment="1" applyProtection="1">
      <alignment horizontal="center" vertical="center"/>
      <protection locked="0"/>
    </xf>
    <xf numFmtId="0" fontId="62" fillId="0" borderId="0" xfId="0" applyFont="1" applyAlignment="1" applyProtection="1">
      <alignment vertical="center"/>
      <protection locked="0"/>
    </xf>
    <xf numFmtId="0" fontId="16" fillId="0" borderId="6" xfId="2" applyFont="1" applyBorder="1" applyAlignment="1" applyProtection="1">
      <alignment horizontal="center" vertical="center" wrapText="1"/>
      <protection locked="0"/>
    </xf>
    <xf numFmtId="0" fontId="16" fillId="0" borderId="5" xfId="2" applyFont="1" applyBorder="1" applyAlignment="1" applyProtection="1">
      <alignment horizontal="center" vertical="center"/>
      <protection locked="0"/>
    </xf>
    <xf numFmtId="165" fontId="31" fillId="0" borderId="0" xfId="0" applyNumberFormat="1" applyFont="1" applyAlignment="1" applyProtection="1">
      <alignment horizontal="right" vertical="center"/>
      <protection locked="0"/>
    </xf>
    <xf numFmtId="9" fontId="31" fillId="0" borderId="0" xfId="11" applyFont="1" applyFill="1" applyBorder="1" applyAlignment="1" applyProtection="1">
      <alignment horizontal="right" vertical="center"/>
      <protection locked="0"/>
    </xf>
    <xf numFmtId="0" fontId="31" fillId="0" borderId="0" xfId="0" applyFont="1" applyAlignment="1" applyProtection="1">
      <alignment horizontal="right" vertical="center"/>
      <protection locked="0"/>
    </xf>
    <xf numFmtId="0" fontId="37" fillId="0" borderId="37" xfId="0" applyFont="1" applyBorder="1" applyAlignment="1" applyProtection="1">
      <alignment horizontal="right" vertical="center"/>
      <protection locked="0"/>
    </xf>
    <xf numFmtId="9" fontId="37" fillId="0" borderId="37" xfId="11" applyFont="1" applyFill="1" applyBorder="1" applyAlignment="1" applyProtection="1">
      <alignment horizontal="right" vertical="center"/>
      <protection locked="0"/>
    </xf>
    <xf numFmtId="0" fontId="18" fillId="0" borderId="6" xfId="2" applyFont="1" applyBorder="1" applyAlignment="1">
      <alignment horizontal="center" vertical="center"/>
    </xf>
    <xf numFmtId="0" fontId="18" fillId="3" borderId="2" xfId="2" applyFont="1" applyFill="1" applyBorder="1" applyAlignment="1">
      <alignment horizontal="center" vertical="center" wrapText="1"/>
    </xf>
    <xf numFmtId="0" fontId="18" fillId="0" borderId="2" xfId="2" applyFont="1" applyBorder="1" applyAlignment="1">
      <alignment horizontal="center" vertical="center" wrapText="1"/>
    </xf>
    <xf numFmtId="0" fontId="18" fillId="4" borderId="2" xfId="2" applyFont="1" applyFill="1" applyBorder="1" applyAlignment="1">
      <alignment horizontal="center" vertical="center" wrapText="1"/>
    </xf>
    <xf numFmtId="0" fontId="18" fillId="0" borderId="17" xfId="2" applyFont="1" applyBorder="1" applyAlignment="1">
      <alignment horizontal="center" vertical="center" wrapText="1"/>
    </xf>
    <xf numFmtId="0" fontId="18" fillId="3" borderId="17" xfId="2" applyFont="1" applyFill="1" applyBorder="1" applyAlignment="1">
      <alignment horizontal="center" vertical="center" wrapText="1"/>
    </xf>
    <xf numFmtId="0" fontId="18" fillId="0" borderId="10" xfId="2" applyFont="1" applyBorder="1" applyAlignment="1">
      <alignment horizontal="center" vertical="center" wrapText="1"/>
    </xf>
    <xf numFmtId="0" fontId="37" fillId="3" borderId="4" xfId="2" applyFont="1" applyFill="1" applyBorder="1" applyAlignment="1">
      <alignment horizontal="center" vertical="center" wrapText="1"/>
    </xf>
    <xf numFmtId="0" fontId="37" fillId="3" borderId="38" xfId="2" applyFont="1" applyFill="1" applyBorder="1" applyAlignment="1">
      <alignment horizontal="center" vertical="center" wrapText="1"/>
    </xf>
    <xf numFmtId="0" fontId="16" fillId="0" borderId="1" xfId="2" applyFont="1" applyBorder="1" applyAlignment="1">
      <alignment horizontal="center" vertical="center" wrapText="1"/>
    </xf>
    <xf numFmtId="0" fontId="16" fillId="0" borderId="1" xfId="3" applyFont="1" applyBorder="1" applyAlignment="1">
      <alignment horizontal="center" vertical="center" wrapText="1"/>
    </xf>
    <xf numFmtId="0" fontId="16" fillId="0" borderId="16" xfId="3" applyFont="1" applyBorder="1" applyAlignment="1">
      <alignment horizontal="left" vertical="center" wrapText="1"/>
    </xf>
    <xf numFmtId="0" fontId="23" fillId="0" borderId="16" xfId="3" applyFont="1" applyBorder="1" applyAlignment="1">
      <alignment horizontal="left" vertical="center" wrapText="1"/>
    </xf>
    <xf numFmtId="0" fontId="18" fillId="0" borderId="1" xfId="14" applyFont="1" applyBorder="1" applyAlignment="1">
      <alignment horizontal="center" vertical="center" wrapText="1"/>
    </xf>
    <xf numFmtId="0" fontId="16" fillId="0" borderId="3" xfId="0" applyFont="1" applyBorder="1" applyAlignment="1">
      <alignment horizontal="center" vertical="center" wrapText="1"/>
    </xf>
    <xf numFmtId="0" fontId="18" fillId="0" borderId="3" xfId="14" applyFont="1" applyBorder="1" applyAlignment="1">
      <alignment horizontal="center" vertical="center" wrapText="1"/>
    </xf>
    <xf numFmtId="0" fontId="16" fillId="0" borderId="3" xfId="14" applyFont="1" applyBorder="1" applyAlignment="1">
      <alignment horizontal="center" vertical="center" wrapText="1"/>
    </xf>
    <xf numFmtId="0" fontId="16" fillId="0" borderId="3" xfId="3" applyFont="1" applyBorder="1" applyAlignment="1">
      <alignment horizontal="left" vertical="center" wrapText="1"/>
    </xf>
    <xf numFmtId="0" fontId="16" fillId="0" borderId="3" xfId="2" applyFont="1" applyBorder="1" applyAlignment="1">
      <alignment horizontal="center" vertical="center" wrapText="1"/>
    </xf>
    <xf numFmtId="0" fontId="16" fillId="0" borderId="19" xfId="3" applyFont="1" applyBorder="1" applyAlignment="1">
      <alignment horizontal="left" vertical="center" wrapText="1"/>
    </xf>
    <xf numFmtId="0" fontId="16" fillId="0" borderId="19" xfId="3" applyFont="1" applyBorder="1" applyAlignment="1">
      <alignment horizontal="center" vertical="center" wrapText="1"/>
    </xf>
    <xf numFmtId="0" fontId="18" fillId="0" borderId="3" xfId="0" applyFont="1" applyBorder="1" applyAlignment="1">
      <alignment horizontal="center" vertical="center" wrapText="1"/>
    </xf>
    <xf numFmtId="0" fontId="16" fillId="0" borderId="1" xfId="3" applyFont="1" applyBorder="1" applyAlignment="1">
      <alignment horizontal="left" vertical="center" wrapText="1"/>
    </xf>
    <xf numFmtId="0" fontId="16" fillId="0" borderId="16" xfId="3" applyFont="1" applyBorder="1" applyAlignment="1">
      <alignment horizontal="center" vertical="center" wrapText="1"/>
    </xf>
    <xf numFmtId="0" fontId="16" fillId="0" borderId="1" xfId="5" applyFont="1" applyBorder="1" applyAlignment="1">
      <alignment horizontal="left" vertical="center" wrapText="1"/>
    </xf>
    <xf numFmtId="0" fontId="16" fillId="0" borderId="16" xfId="5" applyFont="1" applyBorder="1" applyAlignment="1">
      <alignment horizontal="left" vertical="center" wrapText="1"/>
    </xf>
    <xf numFmtId="0" fontId="16" fillId="0" borderId="16" xfId="5" applyFont="1" applyBorder="1" applyAlignment="1">
      <alignment horizontal="center" vertical="center" wrapText="1"/>
    </xf>
    <xf numFmtId="0" fontId="12" fillId="0" borderId="53" xfId="3" applyBorder="1" applyAlignment="1">
      <alignment horizontal="left" vertical="center" wrapText="1"/>
    </xf>
    <xf numFmtId="0" fontId="16" fillId="0" borderId="1" xfId="0" applyFont="1" applyBorder="1" applyAlignment="1">
      <alignment horizontal="left" vertical="center" wrapText="1"/>
    </xf>
    <xf numFmtId="0" fontId="18" fillId="0" borderId="11" xfId="14" applyFont="1" applyBorder="1" applyAlignment="1">
      <alignment horizontal="center" vertical="center" wrapText="1"/>
    </xf>
    <xf numFmtId="0" fontId="16" fillId="0" borderId="14" xfId="0" applyFont="1" applyBorder="1" applyAlignment="1">
      <alignment horizontal="center" vertical="center" wrapText="1"/>
    </xf>
    <xf numFmtId="0" fontId="16" fillId="0" borderId="11" xfId="3" applyFont="1" applyBorder="1" applyAlignment="1">
      <alignment horizontal="left" vertical="center" wrapText="1"/>
    </xf>
    <xf numFmtId="0" fontId="16" fillId="0" borderId="11" xfId="2" applyFont="1" applyBorder="1" applyAlignment="1">
      <alignment horizontal="center" vertical="center" wrapText="1"/>
    </xf>
    <xf numFmtId="0" fontId="16" fillId="0" borderId="11" xfId="3" applyFont="1" applyBorder="1" applyAlignment="1">
      <alignment horizontal="center" vertical="center" wrapText="1"/>
    </xf>
    <xf numFmtId="0" fontId="16" fillId="0" borderId="20" xfId="3" applyFont="1" applyBorder="1" applyAlignment="1">
      <alignment horizontal="left" vertical="center" wrapText="1"/>
    </xf>
    <xf numFmtId="0" fontId="18" fillId="0" borderId="3" xfId="2" applyFont="1" applyBorder="1" applyAlignment="1">
      <alignment horizontal="center" vertical="center"/>
    </xf>
    <xf numFmtId="0" fontId="16" fillId="0" borderId="3" xfId="2" applyFont="1" applyBorder="1" applyAlignment="1">
      <alignment horizontal="center" vertical="center"/>
    </xf>
    <xf numFmtId="0" fontId="16" fillId="0" borderId="3" xfId="2" applyFont="1" applyBorder="1" applyAlignment="1">
      <alignment horizontal="left" vertical="center" wrapText="1"/>
    </xf>
    <xf numFmtId="0" fontId="16" fillId="0" borderId="1" xfId="2" applyFont="1" applyBorder="1" applyAlignment="1">
      <alignment horizontal="center" vertical="center"/>
    </xf>
    <xf numFmtId="0" fontId="16" fillId="0" borderId="1" xfId="3" applyFont="1" applyBorder="1" applyAlignment="1">
      <alignment horizontal="center" vertical="center"/>
    </xf>
    <xf numFmtId="0" fontId="16" fillId="0" borderId="19" xfId="2" applyFont="1" applyBorder="1" applyAlignment="1">
      <alignment horizontal="left" vertical="center"/>
    </xf>
    <xf numFmtId="0" fontId="16" fillId="0" borderId="19" xfId="2" applyFont="1" applyBorder="1" applyAlignment="1">
      <alignment horizontal="left" vertical="center" wrapText="1"/>
    </xf>
    <xf numFmtId="0" fontId="18" fillId="0" borderId="3" xfId="14" applyFont="1" applyBorder="1" applyAlignment="1">
      <alignment horizontal="center" vertical="center"/>
    </xf>
    <xf numFmtId="0" fontId="16" fillId="0" borderId="3" xfId="0" applyFont="1" applyBorder="1" applyAlignment="1">
      <alignment horizontal="center" vertical="center"/>
    </xf>
    <xf numFmtId="0" fontId="23" fillId="0" borderId="19" xfId="3" applyFont="1" applyBorder="1" applyAlignment="1">
      <alignment horizontal="left" vertical="center" wrapText="1"/>
    </xf>
    <xf numFmtId="165" fontId="31" fillId="0" borderId="0" xfId="0" applyNumberFormat="1" applyFont="1" applyAlignment="1">
      <alignment horizontal="center" vertical="center"/>
    </xf>
    <xf numFmtId="0" fontId="63" fillId="0" borderId="3" xfId="14" applyFont="1" applyBorder="1" applyAlignment="1">
      <alignment horizontal="center" vertical="center" wrapText="1"/>
    </xf>
    <xf numFmtId="0" fontId="62" fillId="0" borderId="3" xfId="14" applyFont="1" applyBorder="1" applyAlignment="1">
      <alignment horizontal="center" vertical="center" wrapText="1"/>
    </xf>
    <xf numFmtId="49" fontId="62" fillId="0" borderId="43" xfId="0" applyNumberFormat="1" applyFont="1" applyBorder="1" applyAlignment="1">
      <alignment vertical="center" wrapText="1"/>
    </xf>
    <xf numFmtId="0" fontId="62" fillId="0" borderId="1" xfId="2" applyFont="1" applyBorder="1" applyAlignment="1">
      <alignment horizontal="center" vertical="center" wrapText="1"/>
    </xf>
    <xf numFmtId="0" fontId="62" fillId="0" borderId="1" xfId="3" applyFont="1" applyBorder="1" applyAlignment="1">
      <alignment horizontal="center" vertical="center" wrapText="1"/>
    </xf>
    <xf numFmtId="0" fontId="62" fillId="0" borderId="19" xfId="3" applyFont="1" applyBorder="1" applyAlignment="1">
      <alignment horizontal="left" vertical="center" wrapText="1"/>
    </xf>
    <xf numFmtId="49" fontId="56" fillId="0" borderId="43" xfId="0" applyNumberFormat="1" applyFont="1" applyBorder="1" applyAlignment="1">
      <alignment vertical="center" wrapText="1"/>
    </xf>
    <xf numFmtId="0" fontId="62" fillId="0" borderId="1" xfId="3" applyFont="1" applyBorder="1" applyAlignment="1">
      <alignment horizontal="left" vertical="center" wrapText="1"/>
    </xf>
    <xf numFmtId="0" fontId="63" fillId="4" borderId="3" xfId="14" applyFont="1" applyFill="1" applyBorder="1" applyAlignment="1">
      <alignment horizontal="center" vertical="center" wrapText="1"/>
    </xf>
    <xf numFmtId="0" fontId="62" fillId="4" borderId="3" xfId="14" applyFont="1" applyFill="1" applyBorder="1" applyAlignment="1">
      <alignment horizontal="center" vertical="center" wrapText="1"/>
    </xf>
    <xf numFmtId="49" fontId="62" fillId="4" borderId="43" xfId="0" applyNumberFormat="1" applyFont="1" applyFill="1" applyBorder="1" applyAlignment="1">
      <alignment vertical="center" wrapText="1"/>
    </xf>
    <xf numFmtId="0" fontId="62" fillId="4" borderId="1" xfId="2" applyFont="1" applyFill="1" applyBorder="1" applyAlignment="1">
      <alignment horizontal="center" vertical="center" wrapText="1"/>
    </xf>
    <xf numFmtId="49" fontId="56" fillId="4" borderId="43" xfId="0" applyNumberFormat="1" applyFont="1" applyFill="1" applyBorder="1" applyAlignment="1">
      <alignment vertical="center" wrapText="1"/>
    </xf>
    <xf numFmtId="0" fontId="62" fillId="4" borderId="1" xfId="3" applyFont="1" applyFill="1" applyBorder="1" applyAlignment="1">
      <alignment horizontal="center" vertical="center" wrapText="1"/>
    </xf>
    <xf numFmtId="0" fontId="62" fillId="4" borderId="19" xfId="3" applyFont="1" applyFill="1" applyBorder="1" applyAlignment="1">
      <alignment horizontal="left" vertical="center" wrapText="1"/>
    </xf>
    <xf numFmtId="0" fontId="62" fillId="4" borderId="19" xfId="0" applyFont="1" applyFill="1" applyBorder="1" applyAlignment="1">
      <alignment horizontal="left" vertical="center" wrapText="1"/>
    </xf>
    <xf numFmtId="0" fontId="62" fillId="4" borderId="1" xfId="3" applyFont="1" applyFill="1" applyBorder="1" applyAlignment="1">
      <alignment horizontal="left" vertical="center" wrapText="1"/>
    </xf>
    <xf numFmtId="165" fontId="65" fillId="0" borderId="0" xfId="0" applyNumberFormat="1" applyFont="1" applyAlignment="1">
      <alignment horizontal="center" vertical="center"/>
    </xf>
    <xf numFmtId="0" fontId="16" fillId="0" borderId="3" xfId="3" applyFont="1" applyBorder="1" applyAlignment="1">
      <alignment horizontal="center" vertical="center" wrapText="1"/>
    </xf>
    <xf numFmtId="0" fontId="21" fillId="0" borderId="19" xfId="3" applyFont="1" applyBorder="1" applyAlignment="1">
      <alignment horizontal="left" vertical="center" wrapText="1"/>
    </xf>
    <xf numFmtId="0" fontId="16" fillId="0" borderId="2" xfId="0" applyFont="1" applyBorder="1" applyAlignment="1">
      <alignment horizontal="left" vertical="center" wrapText="1"/>
    </xf>
    <xf numFmtId="0" fontId="24" fillId="0" borderId="16" xfId="3" applyFont="1" applyBorder="1" applyAlignment="1">
      <alignment horizontal="left" vertical="center" wrapText="1"/>
    </xf>
    <xf numFmtId="0" fontId="18" fillId="0" borderId="2" xfId="14" applyFont="1" applyBorder="1" applyAlignment="1">
      <alignment horizontal="center" vertical="center" wrapText="1"/>
    </xf>
    <xf numFmtId="0" fontId="16" fillId="0" borderId="2" xfId="14" applyFont="1" applyBorder="1" applyAlignment="1">
      <alignment horizontal="center" vertical="center" wrapText="1"/>
    </xf>
    <xf numFmtId="0" fontId="16" fillId="0" borderId="2" xfId="3" applyFont="1" applyBorder="1" applyAlignment="1">
      <alignment horizontal="left" vertical="center" wrapText="1"/>
    </xf>
    <xf numFmtId="0" fontId="16" fillId="0" borderId="2" xfId="2" applyFont="1" applyBorder="1" applyAlignment="1">
      <alignment horizontal="center" vertical="center" wrapText="1"/>
    </xf>
    <xf numFmtId="0" fontId="16" fillId="0" borderId="2" xfId="2" applyFont="1" applyBorder="1" applyAlignment="1">
      <alignment horizontal="left" vertical="center" wrapText="1"/>
    </xf>
    <xf numFmtId="0" fontId="16" fillId="0" borderId="2" xfId="3" applyFont="1" applyBorder="1" applyAlignment="1">
      <alignment horizontal="center" vertical="center" wrapText="1"/>
    </xf>
    <xf numFmtId="0" fontId="16" fillId="0" borderId="17" xfId="3" applyFont="1" applyBorder="1" applyAlignment="1">
      <alignment horizontal="left" vertical="center" wrapText="1"/>
    </xf>
    <xf numFmtId="0" fontId="16" fillId="0" borderId="22" xfId="3" applyFont="1" applyBorder="1" applyAlignment="1">
      <alignment horizontal="left" vertical="center" wrapText="1"/>
    </xf>
    <xf numFmtId="0" fontId="16" fillId="0" borderId="3" xfId="0" applyFont="1" applyBorder="1" applyAlignment="1">
      <alignment horizontal="left" vertical="center" wrapText="1"/>
    </xf>
    <xf numFmtId="0" fontId="16" fillId="0" borderId="1" xfId="0" applyFont="1" applyBorder="1" applyAlignment="1">
      <alignment horizontal="center" vertical="center" wrapText="1"/>
    </xf>
    <xf numFmtId="0" fontId="16" fillId="0" borderId="19" xfId="0" applyFont="1" applyBorder="1" applyAlignment="1">
      <alignment horizontal="left" vertical="center" wrapText="1"/>
    </xf>
    <xf numFmtId="0" fontId="16" fillId="0" borderId="53" xfId="3" applyFont="1" applyBorder="1" applyAlignment="1">
      <alignment vertical="center" wrapText="1"/>
    </xf>
    <xf numFmtId="0" fontId="16" fillId="0" borderId="1" xfId="3" applyFont="1" applyBorder="1" applyAlignment="1">
      <alignment vertical="center" wrapText="1"/>
    </xf>
    <xf numFmtId="0" fontId="16" fillId="0" borderId="16" xfId="2" applyFont="1" applyBorder="1" applyAlignment="1">
      <alignment horizontal="left" vertical="center" wrapText="1"/>
    </xf>
    <xf numFmtId="0" fontId="16" fillId="0" borderId="1" xfId="0" applyFont="1" applyBorder="1" applyAlignment="1">
      <alignment vertical="center" wrapText="1"/>
    </xf>
    <xf numFmtId="0" fontId="36" fillId="0" borderId="3" xfId="0" applyFont="1" applyBorder="1" applyAlignment="1">
      <alignment horizontal="center" vertical="center" wrapText="1"/>
    </xf>
    <xf numFmtId="0" fontId="15" fillId="0" borderId="1" xfId="3" applyFont="1" applyBorder="1" applyAlignment="1">
      <alignment vertical="top" wrapText="1"/>
    </xf>
    <xf numFmtId="0" fontId="16" fillId="0" borderId="1" xfId="3" applyFont="1" applyBorder="1" applyAlignment="1">
      <alignment vertical="top" wrapText="1"/>
    </xf>
    <xf numFmtId="0" fontId="16" fillId="0" borderId="3" xfId="3" applyFont="1" applyBorder="1" applyAlignment="1">
      <alignment vertical="center" wrapText="1"/>
    </xf>
    <xf numFmtId="0" fontId="18" fillId="0" borderId="1" xfId="2" applyFont="1" applyBorder="1" applyAlignment="1">
      <alignment horizontal="center" vertical="center" wrapText="1"/>
    </xf>
    <xf numFmtId="0" fontId="0" fillId="0" borderId="53" xfId="2" applyFont="1" applyBorder="1" applyAlignment="1">
      <alignment horizontal="left" vertical="center" wrapText="1"/>
    </xf>
    <xf numFmtId="0" fontId="12" fillId="0" borderId="53" xfId="2" applyFont="1" applyBorder="1" applyAlignment="1">
      <alignment horizontal="left" vertical="center" wrapText="1"/>
    </xf>
    <xf numFmtId="0" fontId="16" fillId="0" borderId="1" xfId="14" applyFont="1" applyBorder="1" applyAlignment="1">
      <alignment horizontal="center" vertical="center" wrapText="1"/>
    </xf>
    <xf numFmtId="0" fontId="40" fillId="0" borderId="55" xfId="0" applyFont="1" applyBorder="1" applyAlignment="1">
      <alignment horizontal="left" vertical="center" wrapText="1"/>
    </xf>
    <xf numFmtId="0" fontId="16" fillId="0" borderId="2" xfId="0" applyFont="1" applyBorder="1" applyAlignment="1">
      <alignment horizontal="center" vertical="center" wrapText="1"/>
    </xf>
    <xf numFmtId="0" fontId="18" fillId="0" borderId="3" xfId="2" applyFont="1" applyBorder="1" applyAlignment="1">
      <alignment horizontal="center" vertical="center" wrapText="1"/>
    </xf>
    <xf numFmtId="0" fontId="39" fillId="0" borderId="53" xfId="0" applyFont="1" applyBorder="1" applyAlignment="1">
      <alignment horizontal="center" vertical="center"/>
    </xf>
    <xf numFmtId="0" fontId="16" fillId="0" borderId="15" xfId="0" applyFont="1" applyBorder="1" applyAlignment="1">
      <alignment horizontal="center" vertical="center" wrapText="1"/>
    </xf>
    <xf numFmtId="0" fontId="20" fillId="0" borderId="1" xfId="3" applyFont="1" applyBorder="1" applyAlignment="1">
      <alignment horizontal="left" vertical="center" wrapText="1"/>
    </xf>
    <xf numFmtId="0" fontId="16" fillId="0" borderId="53" xfId="3" applyFont="1" applyBorder="1" applyAlignment="1">
      <alignment horizontal="left" vertical="center" wrapText="1"/>
    </xf>
    <xf numFmtId="0" fontId="18" fillId="0" borderId="1" xfId="0" applyFont="1" applyBorder="1" applyAlignment="1">
      <alignment horizontal="center" vertical="center"/>
    </xf>
    <xf numFmtId="0" fontId="16" fillId="0" borderId="1" xfId="0" applyFont="1" applyBorder="1" applyAlignment="1">
      <alignment horizontal="center" vertical="center"/>
    </xf>
    <xf numFmtId="0" fontId="16" fillId="0" borderId="16" xfId="0" applyFont="1" applyBorder="1" applyAlignment="1">
      <alignment vertical="center"/>
    </xf>
    <xf numFmtId="0" fontId="16" fillId="0" borderId="15" xfId="3" applyFont="1" applyBorder="1" applyAlignment="1">
      <alignment horizontal="left" vertical="center" wrapText="1"/>
    </xf>
    <xf numFmtId="0" fontId="16" fillId="0" borderId="17" xfId="0" applyFont="1" applyBorder="1" applyAlignment="1">
      <alignment horizontal="left" vertical="center" wrapText="1"/>
    </xf>
    <xf numFmtId="0" fontId="16" fillId="0" borderId="16" xfId="0" applyFont="1" applyBorder="1" applyAlignment="1">
      <alignment horizontal="left" vertical="center" wrapText="1"/>
    </xf>
    <xf numFmtId="0" fontId="15" fillId="0" borderId="53" xfId="6" applyFont="1" applyBorder="1" applyAlignment="1">
      <alignment vertical="center" wrapText="1"/>
    </xf>
    <xf numFmtId="0" fontId="15" fillId="0" borderId="53" xfId="3" applyFont="1" applyBorder="1" applyAlignment="1">
      <alignment vertical="center" wrapText="1"/>
    </xf>
    <xf numFmtId="0" fontId="16" fillId="0" borderId="15" xfId="3" applyFont="1" applyBorder="1" applyAlignment="1">
      <alignment horizontal="center" vertical="center" wrapText="1"/>
    </xf>
    <xf numFmtId="0" fontId="16" fillId="0" borderId="15" xfId="2" applyFont="1" applyBorder="1" applyAlignment="1">
      <alignment horizontal="center" vertical="center" wrapText="1"/>
    </xf>
    <xf numFmtId="165" fontId="31" fillId="0" borderId="0" xfId="0" applyNumberFormat="1" applyFont="1" applyAlignment="1">
      <alignment horizontal="center" vertical="center" wrapText="1"/>
    </xf>
    <xf numFmtId="0" fontId="16" fillId="0" borderId="49" xfId="2" applyFont="1" applyBorder="1" applyAlignment="1">
      <alignment horizontal="left" vertical="center" wrapText="1"/>
    </xf>
    <xf numFmtId="0" fontId="63" fillId="4" borderId="1" xfId="0" applyFont="1" applyFill="1" applyBorder="1" applyAlignment="1">
      <alignment horizontal="center" vertical="center" wrapText="1"/>
    </xf>
    <xf numFmtId="0" fontId="62" fillId="4" borderId="1" xfId="0" applyFont="1" applyFill="1" applyBorder="1" applyAlignment="1">
      <alignment horizontal="center" vertical="center" wrapText="1"/>
    </xf>
    <xf numFmtId="49" fontId="62" fillId="4" borderId="43" xfId="0" applyNumberFormat="1" applyFont="1" applyFill="1" applyBorder="1" applyAlignment="1">
      <alignment horizontal="left" vertical="center" wrapText="1"/>
    </xf>
    <xf numFmtId="0" fontId="62" fillId="4" borderId="3" xfId="2" applyFont="1" applyFill="1" applyBorder="1" applyAlignment="1">
      <alignment horizontal="center" vertical="center" wrapText="1"/>
    </xf>
    <xf numFmtId="49" fontId="56" fillId="4" borderId="43" xfId="0" applyNumberFormat="1" applyFont="1" applyFill="1" applyBorder="1" applyAlignment="1">
      <alignment horizontal="left" vertical="center" wrapText="1"/>
    </xf>
    <xf numFmtId="0" fontId="62" fillId="4" borderId="16" xfId="3" applyFont="1" applyFill="1" applyBorder="1" applyAlignment="1">
      <alignment horizontal="left" vertical="center" wrapText="1"/>
    </xf>
    <xf numFmtId="165" fontId="65" fillId="0" borderId="0" xfId="0" applyNumberFormat="1" applyFont="1" applyAlignment="1">
      <alignment horizontal="center" vertical="center" wrapText="1"/>
    </xf>
    <xf numFmtId="165" fontId="31" fillId="0" borderId="0" xfId="0" applyNumberFormat="1" applyFont="1" applyAlignment="1">
      <alignment horizontal="right" vertical="center"/>
    </xf>
    <xf numFmtId="0" fontId="18" fillId="0" borderId="15" xfId="14" applyFont="1" applyBorder="1" applyAlignment="1">
      <alignment horizontal="center" vertical="center" wrapText="1"/>
    </xf>
    <xf numFmtId="0" fontId="16" fillId="0" borderId="22" xfId="3" applyFont="1" applyBorder="1" applyAlignment="1">
      <alignment horizontal="center" vertical="center" wrapText="1"/>
    </xf>
    <xf numFmtId="0" fontId="18" fillId="0" borderId="4" xfId="14" applyFont="1" applyBorder="1" applyAlignment="1">
      <alignment horizontal="center" vertical="center" wrapText="1"/>
    </xf>
    <xf numFmtId="0" fontId="16" fillId="0" borderId="4" xfId="0" applyFont="1" applyBorder="1" applyAlignment="1">
      <alignment horizontal="center" vertical="center" wrapText="1"/>
    </xf>
    <xf numFmtId="0" fontId="16" fillId="0" borderId="4" xfId="3" applyFont="1" applyBorder="1" applyAlignment="1">
      <alignment horizontal="left" vertical="center" wrapText="1"/>
    </xf>
    <xf numFmtId="0" fontId="16" fillId="0" borderId="4" xfId="2" applyFont="1" applyBorder="1" applyAlignment="1">
      <alignment horizontal="center" vertical="center" wrapText="1"/>
    </xf>
    <xf numFmtId="0" fontId="16" fillId="0" borderId="18" xfId="2" applyFont="1" applyBorder="1" applyAlignment="1">
      <alignment horizontal="left" vertical="center" wrapText="1"/>
    </xf>
    <xf numFmtId="0" fontId="16" fillId="0" borderId="18" xfId="2" applyFont="1" applyBorder="1" applyAlignment="1">
      <alignment horizontal="center" vertical="center" wrapText="1"/>
    </xf>
    <xf numFmtId="2" fontId="37" fillId="0" borderId="13" xfId="0" applyNumberFormat="1" applyFont="1" applyBorder="1" applyAlignment="1" applyProtection="1">
      <alignment horizontal="right" vertical="center"/>
      <protection locked="0"/>
    </xf>
    <xf numFmtId="0" fontId="18" fillId="0" borderId="72" xfId="0" applyFont="1" applyBorder="1" applyAlignment="1" applyProtection="1">
      <alignment wrapText="1"/>
      <protection locked="0"/>
    </xf>
    <xf numFmtId="0" fontId="18" fillId="0" borderId="73" xfId="0" applyFont="1" applyBorder="1" applyProtection="1">
      <protection locked="0"/>
    </xf>
    <xf numFmtId="0" fontId="37" fillId="0" borderId="73" xfId="0" applyFont="1" applyBorder="1" applyAlignment="1" applyProtection="1">
      <alignment horizontal="right" vertical="center"/>
      <protection locked="0"/>
    </xf>
    <xf numFmtId="9" fontId="37" fillId="0" borderId="73" xfId="11" applyFont="1" applyFill="1" applyBorder="1" applyAlignment="1" applyProtection="1">
      <alignment horizontal="right" vertical="center"/>
      <protection locked="0"/>
    </xf>
    <xf numFmtId="2" fontId="37" fillId="0" borderId="74" xfId="0" applyNumberFormat="1" applyFont="1" applyBorder="1" applyAlignment="1" applyProtection="1">
      <alignment horizontal="right" vertical="center"/>
      <protection locked="0"/>
    </xf>
    <xf numFmtId="0" fontId="18" fillId="0" borderId="37" xfId="0" applyFont="1" applyBorder="1" applyAlignment="1" applyProtection="1">
      <alignment wrapText="1"/>
      <protection locked="0"/>
    </xf>
    <xf numFmtId="2" fontId="37" fillId="0" borderId="38" xfId="0" applyNumberFormat="1" applyFont="1" applyBorder="1" applyAlignment="1" applyProtection="1">
      <alignment horizontal="right" vertical="center"/>
      <protection locked="0"/>
    </xf>
    <xf numFmtId="9" fontId="31" fillId="0" borderId="11" xfId="11" applyFont="1" applyBorder="1" applyAlignment="1" applyProtection="1">
      <alignment horizontal="center" vertical="center" wrapText="1"/>
    </xf>
    <xf numFmtId="9" fontId="31" fillId="0" borderId="2" xfId="11" applyFont="1" applyBorder="1" applyAlignment="1" applyProtection="1">
      <alignment horizontal="center" vertical="center" wrapText="1"/>
    </xf>
    <xf numFmtId="9" fontId="31" fillId="0" borderId="69" xfId="11" applyFont="1" applyBorder="1" applyAlignment="1" applyProtection="1">
      <alignment horizontal="center" vertical="center" wrapText="1"/>
    </xf>
    <xf numFmtId="9" fontId="31" fillId="0" borderId="76" xfId="11" applyFont="1" applyBorder="1" applyAlignment="1" applyProtection="1">
      <alignment horizontal="center" vertical="center" wrapText="1"/>
    </xf>
    <xf numFmtId="0" fontId="7" fillId="10" borderId="20" xfId="15" applyFill="1" applyBorder="1" applyAlignment="1" applyProtection="1">
      <alignment horizontal="center" vertical="center"/>
      <protection locked="0"/>
    </xf>
    <xf numFmtId="0" fontId="7" fillId="10" borderId="11" xfId="15" applyFill="1" applyBorder="1" applyAlignment="1" applyProtection="1">
      <alignment horizontal="center" vertical="center"/>
      <protection locked="0"/>
    </xf>
    <xf numFmtId="0" fontId="7" fillId="10" borderId="16" xfId="15" applyFill="1" applyBorder="1" applyAlignment="1" applyProtection="1">
      <alignment horizontal="center" vertical="center"/>
      <protection locked="0"/>
    </xf>
    <xf numFmtId="0" fontId="7" fillId="10" borderId="1" xfId="15" applyFill="1" applyBorder="1" applyAlignment="1" applyProtection="1">
      <alignment horizontal="center" vertical="center"/>
      <protection locked="0"/>
    </xf>
    <xf numFmtId="0" fontId="7" fillId="10" borderId="49" xfId="15" applyFill="1" applyBorder="1" applyAlignment="1" applyProtection="1">
      <alignment horizontal="center" vertical="center"/>
      <protection locked="0"/>
    </xf>
    <xf numFmtId="0" fontId="0" fillId="0" borderId="26" xfId="0" applyBorder="1" applyAlignment="1">
      <alignment wrapText="1"/>
    </xf>
    <xf numFmtId="0" fontId="0" fillId="0" borderId="30" xfId="0" applyBorder="1" applyAlignment="1">
      <alignment wrapText="1"/>
    </xf>
    <xf numFmtId="0" fontId="38" fillId="0" borderId="1" xfId="0" applyFont="1" applyBorder="1" applyAlignment="1">
      <alignment wrapText="1"/>
    </xf>
    <xf numFmtId="0" fontId="15" fillId="0" borderId="1" xfId="0" applyFont="1" applyBorder="1" applyAlignment="1">
      <alignment wrapText="1"/>
    </xf>
    <xf numFmtId="0" fontId="0" fillId="0" borderId="29" xfId="0" applyBorder="1" applyAlignment="1">
      <alignment wrapText="1"/>
    </xf>
    <xf numFmtId="164" fontId="7" fillId="10" borderId="49" xfId="15" applyNumberFormat="1" applyFill="1" applyBorder="1" applyAlignment="1" applyProtection="1">
      <alignment horizontal="center" vertical="center"/>
      <protection locked="0"/>
    </xf>
    <xf numFmtId="164" fontId="7" fillId="10" borderId="1" xfId="15" applyNumberFormat="1" applyFill="1" applyBorder="1" applyAlignment="1" applyProtection="1">
      <alignment horizontal="center" vertical="center"/>
      <protection locked="0"/>
    </xf>
    <xf numFmtId="164" fontId="7" fillId="10" borderId="11" xfId="15" applyNumberFormat="1" applyFill="1" applyBorder="1" applyAlignment="1" applyProtection="1">
      <alignment horizontal="center" vertical="center"/>
      <protection locked="0"/>
    </xf>
    <xf numFmtId="4" fontId="7" fillId="10" borderId="1" xfId="15" applyNumberFormat="1" applyFill="1" applyBorder="1" applyAlignment="1" applyProtection="1">
      <alignment horizontal="center" vertical="center"/>
      <protection locked="0"/>
    </xf>
    <xf numFmtId="0" fontId="7" fillId="0" borderId="26" xfId="15" applyBorder="1"/>
    <xf numFmtId="0" fontId="7" fillId="0" borderId="29" xfId="15" applyBorder="1"/>
    <xf numFmtId="0" fontId="7" fillId="0" borderId="29" xfId="15" applyBorder="1" applyAlignment="1">
      <alignment vertical="center"/>
    </xf>
    <xf numFmtId="0" fontId="7" fillId="0" borderId="27" xfId="15" applyBorder="1" applyAlignment="1">
      <alignment vertical="center"/>
    </xf>
    <xf numFmtId="0" fontId="7" fillId="0" borderId="59" xfId="15" applyBorder="1" applyAlignment="1">
      <alignment vertical="center"/>
    </xf>
    <xf numFmtId="0" fontId="29" fillId="0" borderId="5" xfId="15" applyFont="1" applyBorder="1" applyAlignment="1">
      <alignment horizontal="center" vertical="center" wrapText="1"/>
    </xf>
    <xf numFmtId="0" fontId="29" fillId="0" borderId="4" xfId="15" applyFont="1" applyBorder="1" applyAlignment="1">
      <alignment horizontal="center" vertical="center"/>
    </xf>
    <xf numFmtId="0" fontId="29" fillId="0" borderId="18" xfId="15" applyFont="1" applyBorder="1" applyAlignment="1">
      <alignment horizontal="center" vertical="center"/>
    </xf>
    <xf numFmtId="0" fontId="29" fillId="0" borderId="44" xfId="15" applyFont="1" applyBorder="1" applyAlignment="1">
      <alignment horizontal="center" vertical="center"/>
    </xf>
    <xf numFmtId="0" fontId="29" fillId="0" borderId="85" xfId="15" applyFont="1" applyBorder="1" applyAlignment="1">
      <alignment horizontal="center" vertical="center"/>
    </xf>
    <xf numFmtId="0" fontId="29" fillId="0" borderId="38" xfId="15" applyFont="1" applyBorder="1" applyAlignment="1">
      <alignment horizontal="center" vertical="center"/>
    </xf>
    <xf numFmtId="0" fontId="7" fillId="0" borderId="28" xfId="15" applyBorder="1" applyAlignment="1">
      <alignment vertical="center"/>
    </xf>
    <xf numFmtId="0" fontId="7" fillId="0" borderId="26" xfId="15" applyBorder="1" applyAlignment="1">
      <alignment vertical="center"/>
    </xf>
    <xf numFmtId="0" fontId="7" fillId="0" borderId="27" xfId="15" applyBorder="1"/>
    <xf numFmtId="0" fontId="30" fillId="0" borderId="83" xfId="15" applyFont="1" applyBorder="1" applyAlignment="1">
      <alignment horizontal="left" vertical="center"/>
    </xf>
    <xf numFmtId="0" fontId="7" fillId="4" borderId="1" xfId="15" applyFill="1" applyBorder="1" applyAlignment="1">
      <alignment horizontal="center" vertical="center"/>
    </xf>
    <xf numFmtId="0" fontId="30" fillId="0" borderId="64" xfId="15" applyFont="1" applyBorder="1" applyAlignment="1">
      <alignment vertical="center" wrapText="1"/>
    </xf>
    <xf numFmtId="0" fontId="30" fillId="0" borderId="1" xfId="15" applyFont="1" applyBorder="1" applyAlignment="1">
      <alignment vertical="center" wrapText="1"/>
    </xf>
    <xf numFmtId="0" fontId="30" fillId="0" borderId="3" xfId="15" applyFont="1" applyBorder="1" applyAlignment="1">
      <alignment horizontal="center" vertical="center" wrapText="1"/>
    </xf>
    <xf numFmtId="0" fontId="30" fillId="0" borderId="62" xfId="15" applyFont="1" applyBorder="1" applyAlignment="1">
      <alignment horizontal="center" vertical="center" wrapText="1"/>
    </xf>
    <xf numFmtId="0" fontId="7" fillId="0" borderId="28" xfId="15" applyBorder="1"/>
    <xf numFmtId="0" fontId="30" fillId="0" borderId="80" xfId="15" applyFont="1" applyBorder="1" applyAlignment="1">
      <alignment horizontal="left" vertical="center"/>
    </xf>
    <xf numFmtId="0" fontId="30" fillId="0" borderId="66" xfId="15" applyFont="1" applyBorder="1" applyAlignment="1">
      <alignment vertical="center" wrapText="1"/>
    </xf>
    <xf numFmtId="0" fontId="30" fillId="0" borderId="1" xfId="15" applyFont="1" applyBorder="1" applyAlignment="1">
      <alignment horizontal="center" vertical="center" wrapText="1"/>
    </xf>
    <xf numFmtId="0" fontId="30" fillId="0" borderId="45" xfId="15" applyFont="1" applyBorder="1" applyAlignment="1">
      <alignment horizontal="center" vertical="center" wrapText="1"/>
    </xf>
    <xf numFmtId="0" fontId="31" fillId="0" borderId="16" xfId="15" applyFont="1" applyBorder="1" applyAlignment="1">
      <alignment vertical="center" wrapText="1"/>
    </xf>
    <xf numFmtId="0" fontId="31" fillId="0" borderId="1" xfId="15" applyFont="1" applyBorder="1" applyAlignment="1">
      <alignment vertical="center" wrapText="1"/>
    </xf>
    <xf numFmtId="0" fontId="31" fillId="0" borderId="1" xfId="15" applyFont="1" applyBorder="1" applyAlignment="1">
      <alignment horizontal="center" vertical="center" wrapText="1"/>
    </xf>
    <xf numFmtId="0" fontId="31" fillId="0" borderId="45" xfId="15" applyFont="1" applyBorder="1" applyAlignment="1">
      <alignment horizontal="center" vertical="center" wrapText="1"/>
    </xf>
    <xf numFmtId="0" fontId="7" fillId="0" borderId="1" xfId="15" applyBorder="1" applyAlignment="1">
      <alignment horizontal="center" vertical="center"/>
    </xf>
    <xf numFmtId="0" fontId="31" fillId="0" borderId="46" xfId="15" applyFont="1" applyBorder="1" applyAlignment="1">
      <alignment vertical="center" wrapText="1"/>
    </xf>
    <xf numFmtId="0" fontId="31" fillId="0" borderId="80" xfId="15" applyFont="1" applyBorder="1" applyAlignment="1">
      <alignment vertical="center" wrapText="1"/>
    </xf>
    <xf numFmtId="0" fontId="30" fillId="0" borderId="8" xfId="15" applyFont="1" applyBorder="1" applyAlignment="1">
      <alignment horizontal="left" vertical="center" wrapText="1"/>
    </xf>
    <xf numFmtId="0" fontId="7" fillId="0" borderId="27" xfId="15" applyBorder="1" applyAlignment="1">
      <alignment wrapText="1"/>
    </xf>
    <xf numFmtId="0" fontId="7" fillId="0" borderId="28" xfId="15" applyBorder="1" applyAlignment="1">
      <alignment wrapText="1"/>
    </xf>
    <xf numFmtId="0" fontId="7" fillId="0" borderId="26" xfId="15" applyBorder="1" applyAlignment="1">
      <alignment wrapText="1"/>
    </xf>
    <xf numFmtId="0" fontId="30" fillId="0" borderId="8" xfId="15" applyFont="1" applyBorder="1" applyAlignment="1">
      <alignment horizontal="left" vertical="center"/>
    </xf>
    <xf numFmtId="4" fontId="7" fillId="4" borderId="1" xfId="15" applyNumberFormat="1" applyFill="1" applyBorder="1" applyAlignment="1">
      <alignment horizontal="center" vertical="center"/>
    </xf>
    <xf numFmtId="0" fontId="31" fillId="0" borderId="81" xfId="15" applyFont="1" applyBorder="1" applyAlignment="1">
      <alignment vertical="center" wrapText="1"/>
    </xf>
    <xf numFmtId="0" fontId="7" fillId="0" borderId="82" xfId="15" applyBorder="1"/>
    <xf numFmtId="0" fontId="7" fillId="4" borderId="28" xfId="15" applyFill="1" applyBorder="1"/>
    <xf numFmtId="0" fontId="30" fillId="0" borderId="9" xfId="15" applyFont="1" applyBorder="1" applyAlignment="1">
      <alignment horizontal="left" vertical="center" wrapText="1"/>
    </xf>
    <xf numFmtId="0" fontId="31" fillId="0" borderId="58" xfId="15" applyFont="1" applyBorder="1" applyAlignment="1">
      <alignment vertical="center" wrapText="1"/>
    </xf>
    <xf numFmtId="0" fontId="31" fillId="0" borderId="75" xfId="15" applyFont="1" applyBorder="1" applyAlignment="1">
      <alignment vertical="center" wrapText="1"/>
    </xf>
    <xf numFmtId="0" fontId="31" fillId="0" borderId="11" xfId="15" applyFont="1" applyBorder="1" applyAlignment="1">
      <alignment horizontal="center" vertical="center" wrapText="1"/>
    </xf>
    <xf numFmtId="0" fontId="31" fillId="0" borderId="52" xfId="15" applyFont="1" applyBorder="1" applyAlignment="1">
      <alignment horizontal="center" vertical="center" wrapText="1"/>
    </xf>
    <xf numFmtId="0" fontId="7" fillId="4" borderId="27" xfId="15" applyFill="1" applyBorder="1"/>
    <xf numFmtId="0" fontId="7" fillId="4" borderId="32" xfId="15" applyFill="1" applyBorder="1" applyAlignment="1">
      <alignment wrapText="1"/>
    </xf>
    <xf numFmtId="0" fontId="30" fillId="4" borderId="60" xfId="15" applyFont="1" applyFill="1" applyBorder="1" applyAlignment="1">
      <alignment vertical="center"/>
    </xf>
    <xf numFmtId="0" fontId="7" fillId="4" borderId="14" xfId="15" applyFill="1" applyBorder="1" applyAlignment="1">
      <alignment horizontal="center" vertical="center"/>
    </xf>
    <xf numFmtId="0" fontId="7" fillId="4" borderId="79" xfId="15" applyFill="1" applyBorder="1" applyAlignment="1">
      <alignment horizontal="center" vertical="center"/>
    </xf>
    <xf numFmtId="0" fontId="31" fillId="4" borderId="61" xfId="15" applyFont="1" applyFill="1" applyBorder="1" applyAlignment="1">
      <alignment vertical="center" wrapText="1"/>
    </xf>
    <xf numFmtId="0" fontId="31" fillId="4" borderId="78" xfId="15" applyFont="1" applyFill="1" applyBorder="1" applyAlignment="1">
      <alignment vertical="center" wrapText="1"/>
    </xf>
    <xf numFmtId="0" fontId="31" fillId="4" borderId="14" xfId="15" applyFont="1" applyFill="1" applyBorder="1" applyAlignment="1">
      <alignment horizontal="center" vertical="center" wrapText="1"/>
    </xf>
    <xf numFmtId="0" fontId="31" fillId="4" borderId="56" xfId="15" applyFont="1" applyFill="1" applyBorder="1" applyAlignment="1">
      <alignment horizontal="center" vertical="center" wrapText="1"/>
    </xf>
    <xf numFmtId="0" fontId="7" fillId="4" borderId="26" xfId="15" applyFill="1" applyBorder="1"/>
    <xf numFmtId="0" fontId="34" fillId="0" borderId="48" xfId="15" applyFont="1" applyBorder="1" applyAlignment="1">
      <alignment horizontal="center" vertical="center" wrapText="1"/>
    </xf>
    <xf numFmtId="164" fontId="7" fillId="0" borderId="49" xfId="15" applyNumberFormat="1" applyBorder="1" applyAlignment="1">
      <alignment horizontal="center" vertical="center"/>
    </xf>
    <xf numFmtId="0" fontId="66" fillId="0" borderId="49" xfId="15" applyFont="1" applyBorder="1" applyAlignment="1">
      <alignment vertical="center" wrapText="1"/>
    </xf>
    <xf numFmtId="0" fontId="66" fillId="0" borderId="77" xfId="15" applyFont="1" applyBorder="1" applyAlignment="1">
      <alignment vertical="center" wrapText="1"/>
    </xf>
    <xf numFmtId="0" fontId="34" fillId="0" borderId="8" xfId="15" applyFont="1" applyBorder="1" applyAlignment="1">
      <alignment horizontal="center" vertical="center" wrapText="1"/>
    </xf>
    <xf numFmtId="164" fontId="7" fillId="0" borderId="1" xfId="15" applyNumberFormat="1" applyBorder="1" applyAlignment="1">
      <alignment horizontal="center" vertical="center"/>
    </xf>
    <xf numFmtId="0" fontId="66" fillId="0" borderId="1" xfId="15" applyFont="1" applyBorder="1" applyAlignment="1">
      <alignment vertical="center" wrapText="1"/>
    </xf>
    <xf numFmtId="0" fontId="66" fillId="0" borderId="71" xfId="15" applyFont="1" applyBorder="1" applyAlignment="1">
      <alignment vertical="center" wrapText="1"/>
    </xf>
    <xf numFmtId="0" fontId="34" fillId="0" borderId="9" xfId="15" applyFont="1" applyBorder="1" applyAlignment="1">
      <alignment horizontal="center" vertical="center" wrapText="1"/>
    </xf>
    <xf numFmtId="164" fontId="7" fillId="0" borderId="11" xfId="15" applyNumberFormat="1" applyBorder="1" applyAlignment="1">
      <alignment horizontal="center" vertical="center"/>
    </xf>
    <xf numFmtId="0" fontId="66" fillId="0" borderId="11" xfId="15" applyFont="1" applyBorder="1" applyAlignment="1">
      <alignment vertical="center" wrapText="1"/>
    </xf>
    <xf numFmtId="0" fontId="66" fillId="0" borderId="75" xfId="15" applyFont="1" applyBorder="1" applyAlignment="1">
      <alignment vertical="center" wrapText="1"/>
    </xf>
    <xf numFmtId="0" fontId="7" fillId="0" borderId="30" xfId="15" applyBorder="1"/>
    <xf numFmtId="0" fontId="7" fillId="0" borderId="30" xfId="15" applyBorder="1" applyAlignment="1">
      <alignment vertical="center"/>
    </xf>
    <xf numFmtId="0" fontId="31" fillId="0" borderId="46" xfId="15" applyFont="1" applyBorder="1" applyAlignment="1">
      <alignment horizontal="left" vertical="center" wrapText="1"/>
    </xf>
    <xf numFmtId="0" fontId="31" fillId="0" borderId="81" xfId="15" applyFont="1" applyBorder="1" applyAlignment="1">
      <alignment wrapText="1"/>
    </xf>
    <xf numFmtId="0" fontId="30" fillId="0" borderId="48" xfId="15" applyFont="1" applyBorder="1" applyAlignment="1">
      <alignment horizontal="left" vertical="center"/>
    </xf>
    <xf numFmtId="0" fontId="7" fillId="4" borderId="49" xfId="15" applyFill="1" applyBorder="1" applyAlignment="1">
      <alignment horizontal="center" vertical="center"/>
    </xf>
    <xf numFmtId="0" fontId="30" fillId="0" borderId="50" xfId="15" applyFont="1" applyBorder="1" applyAlignment="1">
      <alignment vertical="center" wrapText="1"/>
    </xf>
    <xf numFmtId="0" fontId="30" fillId="0" borderId="84" xfId="15" applyFont="1" applyBorder="1" applyAlignment="1">
      <alignment vertical="center" wrapText="1"/>
    </xf>
    <xf numFmtId="0" fontId="30" fillId="0" borderId="49" xfId="15" applyFont="1" applyBorder="1" applyAlignment="1">
      <alignment horizontal="center" vertical="center" wrapText="1"/>
    </xf>
    <xf numFmtId="0" fontId="30" fillId="0" borderId="51" xfId="15" applyFont="1" applyBorder="1" applyAlignment="1">
      <alignment horizontal="center" vertical="center" wrapText="1"/>
    </xf>
    <xf numFmtId="4" fontId="7" fillId="4" borderId="10" xfId="15" applyNumberFormat="1" applyFill="1" applyBorder="1" applyAlignment="1">
      <alignment horizontal="center" vertical="center"/>
    </xf>
    <xf numFmtId="0" fontId="25" fillId="6" borderId="2" xfId="3" applyFont="1" applyFill="1" applyBorder="1" applyAlignment="1" applyProtection="1">
      <alignment vertical="center" wrapText="1"/>
      <protection locked="0"/>
    </xf>
    <xf numFmtId="0" fontId="25" fillId="6" borderId="17" xfId="3" applyFont="1" applyFill="1" applyBorder="1" applyAlignment="1" applyProtection="1">
      <alignment vertical="center" wrapText="1"/>
      <protection locked="0"/>
    </xf>
    <xf numFmtId="0" fontId="18" fillId="6" borderId="3" xfId="0" applyFont="1" applyFill="1" applyBorder="1" applyAlignment="1" applyProtection="1">
      <alignment horizontal="center" vertical="center" wrapText="1"/>
      <protection locked="0"/>
    </xf>
    <xf numFmtId="0" fontId="16" fillId="6" borderId="1" xfId="3" applyFont="1" applyFill="1" applyBorder="1" applyProtection="1">
      <protection locked="0"/>
    </xf>
    <xf numFmtId="0" fontId="16" fillId="6" borderId="16" xfId="3" applyFont="1" applyFill="1" applyBorder="1" applyProtection="1">
      <protection locked="0"/>
    </xf>
    <xf numFmtId="0" fontId="25" fillId="6" borderId="1" xfId="3" applyFont="1" applyFill="1" applyBorder="1" applyAlignment="1" applyProtection="1">
      <alignment vertical="center" wrapText="1"/>
      <protection locked="0"/>
    </xf>
    <xf numFmtId="0" fontId="25" fillId="6" borderId="16" xfId="3" applyFont="1" applyFill="1" applyBorder="1" applyAlignment="1" applyProtection="1">
      <alignment vertical="center" wrapText="1"/>
      <protection locked="0"/>
    </xf>
    <xf numFmtId="0" fontId="31" fillId="0" borderId="16" xfId="12" applyFont="1" applyBorder="1" applyAlignment="1">
      <alignment vertical="center" wrapText="1"/>
    </xf>
    <xf numFmtId="0" fontId="31" fillId="0" borderId="1" xfId="12" applyFont="1" applyBorder="1" applyAlignment="1">
      <alignment vertical="center" wrapText="1"/>
    </xf>
    <xf numFmtId="0" fontId="31" fillId="0" borderId="61" xfId="12" applyFont="1" applyBorder="1" applyAlignment="1">
      <alignment vertical="center" wrapText="1"/>
    </xf>
    <xf numFmtId="0" fontId="31" fillId="0" borderId="78" xfId="12" applyFont="1" applyBorder="1" applyAlignment="1">
      <alignment vertical="center" wrapText="1"/>
    </xf>
    <xf numFmtId="0" fontId="16" fillId="0" borderId="12" xfId="0" applyFont="1" applyBorder="1" applyAlignment="1" applyProtection="1">
      <alignment horizontal="left" vertical="center" wrapText="1"/>
      <protection locked="0"/>
    </xf>
    <xf numFmtId="0" fontId="23" fillId="0" borderId="54" xfId="3" applyFont="1" applyBorder="1" applyAlignment="1" applyProtection="1">
      <alignment horizontal="center" vertical="center" wrapText="1"/>
      <protection locked="0"/>
    </xf>
    <xf numFmtId="0" fontId="16" fillId="0" borderId="54" xfId="3" applyFont="1" applyBorder="1" applyAlignment="1" applyProtection="1">
      <alignment horizontal="center" vertical="center" wrapText="1"/>
      <protection locked="0"/>
    </xf>
    <xf numFmtId="0" fontId="16" fillId="0" borderId="0" xfId="0" applyFont="1" applyAlignment="1">
      <alignment horizontal="left" vertical="center" wrapText="1"/>
    </xf>
    <xf numFmtId="0" fontId="16" fillId="0" borderId="63" xfId="3" applyFont="1" applyBorder="1" applyAlignment="1">
      <alignment horizontal="left" vertical="center" wrapText="1"/>
    </xf>
    <xf numFmtId="0" fontId="68" fillId="14" borderId="1" xfId="0" applyFont="1" applyFill="1" applyBorder="1" applyAlignment="1" applyProtection="1">
      <alignment horizontal="center" vertical="center"/>
      <protection locked="0"/>
    </xf>
    <xf numFmtId="0" fontId="18" fillId="0" borderId="1" xfId="7" applyFont="1" applyFill="1" applyBorder="1" applyAlignment="1" applyProtection="1">
      <alignment horizontal="center" vertical="center"/>
    </xf>
    <xf numFmtId="0" fontId="6" fillId="0" borderId="1" xfId="0" applyFont="1" applyBorder="1" applyAlignment="1">
      <alignment horizontal="left" vertical="center" wrapText="1"/>
    </xf>
    <xf numFmtId="0" fontId="6" fillId="0" borderId="1" xfId="2" applyFont="1" applyBorder="1" applyAlignment="1">
      <alignment horizontal="left" vertical="center" wrapText="1"/>
    </xf>
    <xf numFmtId="0" fontId="6" fillId="0" borderId="11" xfId="2" applyFont="1" applyBorder="1" applyAlignment="1">
      <alignment horizontal="left" vertical="center" wrapText="1"/>
    </xf>
    <xf numFmtId="0" fontId="6" fillId="4" borderId="1" xfId="0" applyFont="1" applyFill="1" applyBorder="1" applyAlignment="1">
      <alignment horizontal="left" vertical="center" wrapText="1"/>
    </xf>
    <xf numFmtId="0" fontId="6" fillId="0" borderId="1" xfId="0" applyFont="1" applyBorder="1" applyAlignment="1" applyProtection="1">
      <alignment horizontal="left" vertical="center" wrapText="1"/>
      <protection locked="0"/>
    </xf>
    <xf numFmtId="0" fontId="6" fillId="6" borderId="1" xfId="0" applyFont="1" applyFill="1" applyBorder="1" applyAlignment="1" applyProtection="1">
      <alignment horizontal="left" vertical="center" wrapText="1"/>
      <protection locked="0"/>
    </xf>
    <xf numFmtId="0" fontId="6" fillId="0" borderId="3" xfId="3" applyFont="1" applyBorder="1" applyAlignment="1">
      <alignment horizontal="left" vertical="center" wrapText="1"/>
    </xf>
    <xf numFmtId="0" fontId="6" fillId="0" borderId="1" xfId="3" applyFont="1" applyBorder="1" applyAlignment="1">
      <alignment vertical="center" wrapText="1"/>
    </xf>
    <xf numFmtId="0" fontId="6" fillId="0" borderId="0" xfId="0" applyFont="1" applyAlignment="1" applyProtection="1">
      <alignment horizontal="left" vertical="center"/>
      <protection locked="0"/>
    </xf>
    <xf numFmtId="0" fontId="6" fillId="0" borderId="0" xfId="0" applyFont="1" applyAlignment="1">
      <alignment horizontal="left" vertical="center" wrapText="1"/>
    </xf>
    <xf numFmtId="0" fontId="6" fillId="0" borderId="1" xfId="3" applyFont="1" applyBorder="1" applyAlignment="1" applyProtection="1">
      <alignment horizontal="left" vertical="center" wrapText="1"/>
      <protection locked="0"/>
    </xf>
    <xf numFmtId="0" fontId="6" fillId="0" borderId="1" xfId="3" applyFont="1" applyBorder="1" applyAlignment="1">
      <alignment horizontal="left" vertical="center" wrapText="1"/>
    </xf>
    <xf numFmtId="0" fontId="6" fillId="0" borderId="53" xfId="0" applyFont="1" applyBorder="1" applyAlignment="1">
      <alignment horizontal="center" vertical="center"/>
    </xf>
    <xf numFmtId="0" fontId="6" fillId="0" borderId="53" xfId="0" applyFont="1" applyBorder="1" applyAlignment="1">
      <alignment vertical="center" wrapText="1"/>
    </xf>
    <xf numFmtId="0" fontId="6" fillId="0" borderId="3" xfId="3" applyFont="1" applyBorder="1" applyAlignment="1" applyProtection="1">
      <alignment horizontal="left" vertical="center" wrapText="1"/>
      <protection locked="0"/>
    </xf>
    <xf numFmtId="0" fontId="6" fillId="0" borderId="2" xfId="3" applyFont="1" applyBorder="1" applyAlignment="1" applyProtection="1">
      <alignment horizontal="left" vertical="center" wrapText="1"/>
      <protection locked="0"/>
    </xf>
    <xf numFmtId="0" fontId="6" fillId="6" borderId="1" xfId="3" applyFont="1" applyFill="1" applyBorder="1" applyAlignment="1" applyProtection="1">
      <alignment vertical="center" wrapText="1"/>
      <protection locked="0"/>
    </xf>
    <xf numFmtId="0" fontId="6" fillId="0" borderId="68" xfId="3" applyFont="1" applyBorder="1" applyAlignment="1">
      <alignment horizontal="left" vertical="center" wrapText="1"/>
    </xf>
    <xf numFmtId="0" fontId="6" fillId="0" borderId="53" xfId="3" applyFont="1" applyBorder="1" applyAlignment="1">
      <alignment horizontal="left" vertical="center" wrapText="1"/>
    </xf>
    <xf numFmtId="0" fontId="30" fillId="0" borderId="80" xfId="15" applyFont="1" applyBorder="1" applyAlignment="1">
      <alignment horizontal="left" vertical="center" wrapText="1"/>
    </xf>
    <xf numFmtId="0" fontId="30" fillId="0" borderId="46" xfId="10" applyFont="1" applyBorder="1" applyAlignment="1">
      <alignment horizontal="left" vertical="center" wrapText="1"/>
    </xf>
    <xf numFmtId="0" fontId="41" fillId="0" borderId="54" xfId="3" applyFont="1" applyBorder="1" applyAlignment="1" applyProtection="1">
      <alignment vertical="center" wrapText="1"/>
      <protection locked="0"/>
    </xf>
    <xf numFmtId="0" fontId="30" fillId="0" borderId="1" xfId="10" applyFont="1" applyBorder="1" applyAlignment="1">
      <alignment vertical="center" wrapText="1"/>
    </xf>
    <xf numFmtId="0" fontId="5" fillId="6" borderId="1" xfId="3" applyFont="1" applyFill="1" applyBorder="1" applyAlignment="1" applyProtection="1">
      <alignment vertical="center" wrapText="1"/>
      <protection locked="0"/>
    </xf>
    <xf numFmtId="0" fontId="4" fillId="0" borderId="3" xfId="3" applyFont="1" applyBorder="1" applyAlignment="1">
      <alignment horizontal="left" vertical="center" wrapText="1"/>
    </xf>
    <xf numFmtId="0" fontId="7" fillId="10" borderId="1" xfId="15" applyFill="1" applyBorder="1" applyAlignment="1" applyProtection="1">
      <alignment horizontal="center" vertical="center" wrapText="1"/>
      <protection locked="0"/>
    </xf>
    <xf numFmtId="0" fontId="31" fillId="0" borderId="46" xfId="12" applyFont="1" applyBorder="1" applyAlignment="1">
      <alignment vertical="center" wrapText="1"/>
    </xf>
    <xf numFmtId="0" fontId="31" fillId="0" borderId="80" xfId="12" applyFont="1" applyBorder="1" applyAlignment="1">
      <alignment vertical="center" wrapText="1"/>
    </xf>
    <xf numFmtId="2" fontId="7" fillId="10" borderId="79" xfId="15" applyNumberFormat="1" applyFill="1" applyBorder="1" applyAlignment="1" applyProtection="1">
      <alignment horizontal="center" vertical="center" wrapText="1"/>
      <protection locked="0"/>
    </xf>
    <xf numFmtId="2" fontId="31" fillId="0" borderId="14" xfId="15" applyNumberFormat="1" applyFont="1" applyBorder="1" applyAlignment="1">
      <alignment horizontal="center" vertical="center" wrapText="1"/>
    </xf>
    <xf numFmtId="2" fontId="31" fillId="0" borderId="56" xfId="15" applyNumberFormat="1" applyFont="1" applyBorder="1" applyAlignment="1">
      <alignment horizontal="center" vertical="center" wrapText="1"/>
    </xf>
    <xf numFmtId="0" fontId="3" fillId="0" borderId="1" xfId="3" applyFont="1" applyBorder="1" applyAlignment="1">
      <alignment vertical="center" wrapText="1"/>
    </xf>
    <xf numFmtId="0" fontId="30" fillId="0" borderId="6" xfId="15" applyFont="1" applyBorder="1" applyAlignment="1">
      <alignment vertical="center" wrapText="1"/>
    </xf>
    <xf numFmtId="0" fontId="30" fillId="0" borderId="60" xfId="15" applyFont="1" applyBorder="1" applyAlignment="1">
      <alignment vertical="center" wrapText="1"/>
    </xf>
    <xf numFmtId="0" fontId="2" fillId="10" borderId="16" xfId="15" applyFont="1" applyFill="1" applyBorder="1" applyAlignment="1" applyProtection="1">
      <alignment horizontal="center" vertical="center" wrapText="1"/>
      <protection locked="0"/>
    </xf>
    <xf numFmtId="2" fontId="7" fillId="4" borderId="1" xfId="15" applyNumberFormat="1" applyFill="1" applyBorder="1" applyAlignment="1">
      <alignment horizontal="center" vertical="center"/>
    </xf>
    <xf numFmtId="0" fontId="16" fillId="5" borderId="36" xfId="2" applyFont="1" applyFill="1" applyBorder="1" applyAlignment="1">
      <alignment horizontal="center" vertical="center"/>
    </xf>
    <xf numFmtId="0" fontId="16" fillId="5" borderId="37" xfId="2" applyFont="1" applyFill="1" applyBorder="1" applyAlignment="1">
      <alignment horizontal="center" vertical="center"/>
    </xf>
    <xf numFmtId="0" fontId="16" fillId="5" borderId="38" xfId="2" applyFont="1" applyFill="1" applyBorder="1" applyAlignment="1">
      <alignment horizontal="center" vertical="center"/>
    </xf>
    <xf numFmtId="0" fontId="58" fillId="5" borderId="37" xfId="2" applyFont="1" applyFill="1" applyBorder="1" applyAlignment="1">
      <alignment horizontal="center" vertical="center"/>
    </xf>
    <xf numFmtId="0" fontId="41" fillId="10" borderId="39" xfId="3" applyFont="1" applyFill="1" applyBorder="1" applyAlignment="1" applyProtection="1">
      <alignment horizontal="center" vertical="center" wrapText="1"/>
      <protection locked="0"/>
    </xf>
    <xf numFmtId="0" fontId="41" fillId="10" borderId="34" xfId="3" applyFont="1" applyFill="1" applyBorder="1" applyAlignment="1" applyProtection="1">
      <alignment horizontal="center" vertical="center" wrapText="1"/>
      <protection locked="0"/>
    </xf>
    <xf numFmtId="0" fontId="41" fillId="10" borderId="54" xfId="3" applyFont="1" applyFill="1" applyBorder="1" applyAlignment="1" applyProtection="1">
      <alignment horizontal="center" vertical="center" wrapText="1"/>
      <protection locked="0"/>
    </xf>
    <xf numFmtId="0" fontId="25" fillId="10" borderId="39" xfId="3" applyFont="1" applyFill="1" applyBorder="1" applyAlignment="1" applyProtection="1">
      <alignment horizontal="center" vertical="center" wrapText="1"/>
      <protection locked="0"/>
    </xf>
    <xf numFmtId="0" fontId="25" fillId="10" borderId="34" xfId="3" applyFont="1" applyFill="1" applyBorder="1" applyAlignment="1" applyProtection="1">
      <alignment horizontal="center" vertical="center" wrapText="1"/>
      <protection locked="0"/>
    </xf>
    <xf numFmtId="0" fontId="25" fillId="10" borderId="54" xfId="3" applyFont="1" applyFill="1" applyBorder="1" applyAlignment="1" applyProtection="1">
      <alignment horizontal="center" vertical="center" wrapText="1"/>
      <protection locked="0"/>
    </xf>
    <xf numFmtId="0" fontId="23" fillId="0" borderId="39" xfId="3" applyFont="1" applyBorder="1" applyAlignment="1" applyProtection="1">
      <alignment horizontal="center" vertical="center" wrapText="1"/>
      <protection locked="0"/>
    </xf>
    <xf numFmtId="0" fontId="23" fillId="0" borderId="54" xfId="3" applyFont="1" applyBorder="1" applyAlignment="1" applyProtection="1">
      <alignment horizontal="center" vertical="center" wrapText="1"/>
      <protection locked="0"/>
    </xf>
    <xf numFmtId="0" fontId="16" fillId="2" borderId="31" xfId="14" applyFont="1" applyFill="1" applyBorder="1" applyAlignment="1">
      <alignment horizontal="center" vertical="center" wrapText="1"/>
    </xf>
    <xf numFmtId="0" fontId="16" fillId="2" borderId="0" xfId="14" applyFont="1" applyFill="1" applyAlignment="1">
      <alignment horizontal="center" vertical="center" wrapText="1"/>
    </xf>
    <xf numFmtId="0" fontId="16" fillId="3" borderId="65" xfId="14" applyFont="1" applyFill="1" applyBorder="1" applyAlignment="1">
      <alignment horizontal="center" vertical="center" wrapText="1"/>
    </xf>
    <xf numFmtId="0" fontId="16" fillId="3" borderId="66" xfId="14" applyFont="1" applyFill="1" applyBorder="1" applyAlignment="1">
      <alignment horizontal="center" vertical="center" wrapText="1"/>
    </xf>
    <xf numFmtId="0" fontId="16" fillId="3" borderId="45" xfId="14" applyFont="1" applyFill="1" applyBorder="1" applyAlignment="1">
      <alignment horizontal="center" vertical="center" wrapText="1"/>
    </xf>
    <xf numFmtId="0" fontId="18" fillId="3" borderId="33" xfId="2" applyFont="1" applyFill="1" applyBorder="1" applyAlignment="1">
      <alignment horizontal="center" vertical="center" wrapText="1"/>
    </xf>
    <xf numFmtId="0" fontId="18" fillId="3" borderId="35" xfId="2" applyFont="1" applyFill="1" applyBorder="1" applyAlignment="1">
      <alignment horizontal="center" vertical="center" wrapText="1"/>
    </xf>
    <xf numFmtId="0" fontId="23" fillId="12" borderId="2" xfId="3" applyFont="1" applyFill="1" applyBorder="1" applyAlignment="1">
      <alignment horizontal="center" vertical="center" wrapText="1"/>
    </xf>
    <xf numFmtId="0" fontId="23" fillId="12" borderId="15" xfId="3" applyFont="1" applyFill="1" applyBorder="1" applyAlignment="1">
      <alignment horizontal="center" vertical="center" wrapText="1"/>
    </xf>
    <xf numFmtId="0" fontId="23" fillId="12" borderId="3" xfId="3" applyFont="1" applyFill="1" applyBorder="1" applyAlignment="1">
      <alignment horizontal="center" vertical="center" wrapText="1"/>
    </xf>
    <xf numFmtId="0" fontId="16" fillId="0" borderId="70" xfId="3" applyFont="1" applyBorder="1" applyAlignment="1" applyProtection="1">
      <alignment horizontal="center" vertical="center" wrapText="1"/>
      <protection locked="0"/>
    </xf>
    <xf numFmtId="0" fontId="16" fillId="0" borderId="64" xfId="3" applyFont="1" applyBorder="1" applyAlignment="1" applyProtection="1">
      <alignment horizontal="center" vertical="center" wrapText="1"/>
      <protection locked="0"/>
    </xf>
    <xf numFmtId="0" fontId="16" fillId="0" borderId="39" xfId="3" applyFont="1" applyBorder="1" applyAlignment="1" applyProtection="1">
      <alignment horizontal="center" vertical="center" wrapText="1"/>
      <protection locked="0"/>
    </xf>
    <xf numFmtId="0" fontId="16" fillId="0" borderId="54" xfId="3" applyFont="1" applyBorder="1" applyAlignment="1" applyProtection="1">
      <alignment horizontal="center" vertical="center" wrapText="1"/>
      <protection locked="0"/>
    </xf>
    <xf numFmtId="0" fontId="7" fillId="0" borderId="33" xfId="15" applyBorder="1" applyAlignment="1">
      <alignment horizontal="center" vertical="top" textRotation="90" wrapText="1"/>
    </xf>
    <xf numFmtId="0" fontId="7" fillId="0" borderId="34" xfId="15" applyBorder="1" applyAlignment="1">
      <alignment horizontal="center" vertical="top" textRotation="90" wrapText="1"/>
    </xf>
    <xf numFmtId="0" fontId="7" fillId="0" borderId="35" xfId="15" applyBorder="1" applyAlignment="1">
      <alignment horizontal="center" vertical="top" textRotation="90" wrapText="1"/>
    </xf>
    <xf numFmtId="0" fontId="7" fillId="0" borderId="33" xfId="15" applyBorder="1" applyAlignment="1">
      <alignment horizontal="center" vertical="top" textRotation="90"/>
    </xf>
    <xf numFmtId="0" fontId="7" fillId="0" borderId="34" xfId="15" applyBorder="1" applyAlignment="1">
      <alignment horizontal="center" vertical="top" textRotation="90"/>
    </xf>
    <xf numFmtId="0" fontId="7" fillId="0" borderId="35" xfId="15" applyBorder="1" applyAlignment="1">
      <alignment horizontal="center" vertical="top" textRotation="90"/>
    </xf>
  </cellXfs>
  <cellStyles count="16">
    <cellStyle name="Check Cell" xfId="7" builtinId="23"/>
    <cellStyle name="Normal" xfId="0" builtinId="0"/>
    <cellStyle name="Normal 2" xfId="1" xr:uid="{00000000-0005-0000-0000-000002000000}"/>
    <cellStyle name="Normal 2 2" xfId="4" xr:uid="{00000000-0005-0000-0000-000003000000}"/>
    <cellStyle name="Normal 2 2 2" xfId="9" xr:uid="{00000000-0005-0000-0000-000004000000}"/>
    <cellStyle name="Normal 2 2 3" xfId="14" xr:uid="{059B3C44-50EC-7949-B487-6D2F87A76CE9}"/>
    <cellStyle name="Normal 2 3" xfId="8" xr:uid="{00000000-0005-0000-0000-000005000000}"/>
    <cellStyle name="Normal 2 4" xfId="13" xr:uid="{3F9D0DEB-C138-7A4E-9062-3B1E2BF6C109}"/>
    <cellStyle name="Normal 3" xfId="3" xr:uid="{00000000-0005-0000-0000-000006000000}"/>
    <cellStyle name="Normal 3 2" xfId="6" xr:uid="{00000000-0005-0000-0000-000007000000}"/>
    <cellStyle name="Normal 4" xfId="5" xr:uid="{00000000-0005-0000-0000-000008000000}"/>
    <cellStyle name="Normal 4 2" xfId="10" xr:uid="{00000000-0005-0000-0000-000009000000}"/>
    <cellStyle name="Normal 4 2 2" xfId="12" xr:uid="{7EB7595C-3AC2-944C-910C-5A9004966DBF}"/>
    <cellStyle name="Normal 4 2 2 2" xfId="15" xr:uid="{D847CB3B-8873-4E41-A66B-F39D2E213C52}"/>
    <cellStyle name="Normal 5" xfId="2" xr:uid="{00000000-0005-0000-0000-00000A000000}"/>
    <cellStyle name="Per cent" xfId="11" builtinId="5"/>
  </cellStyles>
  <dxfs count="21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6DFDC"/>
      <color rgb="FF4398B6"/>
      <color rgb="FFFFB4B2"/>
      <color rgb="FFBCBBEF"/>
      <color rgb="FFF504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28916</xdr:rowOff>
    </xdr:from>
    <xdr:ext cx="935182" cy="411480"/>
    <xdr:pic>
      <xdr:nvPicPr>
        <xdr:cNvPr id="2" name="Picture 4">
          <a:extLst>
            <a:ext uri="{FF2B5EF4-FFF2-40B4-BE49-F238E27FC236}">
              <a16:creationId xmlns:a16="http://schemas.microsoft.com/office/drawing/2014/main" id="{E15E5EA3-4020-B443-9361-82FAA1B873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26785" b="35417"/>
        <a:stretch>
          <a:fillRect/>
        </a:stretch>
      </xdr:blipFill>
      <xdr:spPr bwMode="auto">
        <a:xfrm>
          <a:off x="0" y="28916"/>
          <a:ext cx="935182" cy="411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D193"/>
  <sheetViews>
    <sheetView topLeftCell="A113" workbookViewId="0">
      <selection activeCell="A124" sqref="A124"/>
    </sheetView>
  </sheetViews>
  <sheetFormatPr baseColWidth="10" defaultColWidth="11.5" defaultRowHeight="15" x14ac:dyDescent="0.2"/>
  <sheetData>
    <row r="1" spans="1:4" x14ac:dyDescent="0.2">
      <c r="A1" t="s">
        <v>0</v>
      </c>
      <c r="B1" t="s">
        <v>1</v>
      </c>
      <c r="C1" t="s">
        <v>2</v>
      </c>
      <c r="D1" t="s">
        <v>3</v>
      </c>
    </row>
    <row r="2" spans="1:4" x14ac:dyDescent="0.2">
      <c r="A2" t="s">
        <v>4</v>
      </c>
      <c r="B2" s="75">
        <v>50.822540283203125</v>
      </c>
      <c r="C2" s="76">
        <v>1</v>
      </c>
      <c r="D2" s="75">
        <v>50.822540283203125</v>
      </c>
    </row>
    <row r="3" spans="1:4" x14ac:dyDescent="0.2">
      <c r="A3" t="s">
        <v>5</v>
      </c>
      <c r="B3" s="75">
        <v>3.4964737892150879</v>
      </c>
      <c r="C3" s="76">
        <v>0.7969874100719424</v>
      </c>
      <c r="D3" s="75">
        <v>2.7866455896509637</v>
      </c>
    </row>
    <row r="4" spans="1:4" x14ac:dyDescent="0.2">
      <c r="A4" t="s">
        <v>6</v>
      </c>
      <c r="B4" s="75">
        <v>13.753072738647461</v>
      </c>
      <c r="C4" s="76">
        <v>1</v>
      </c>
      <c r="D4" s="75">
        <v>13.753072738647461</v>
      </c>
    </row>
    <row r="5" spans="1:4" x14ac:dyDescent="0.2">
      <c r="A5" t="s">
        <v>7</v>
      </c>
      <c r="B5" s="75">
        <v>2.1173560619354248</v>
      </c>
      <c r="C5" s="76">
        <v>1</v>
      </c>
      <c r="D5" s="75">
        <v>2.1173560619354248</v>
      </c>
    </row>
    <row r="6" spans="1:4" x14ac:dyDescent="0.2">
      <c r="A6" t="s">
        <v>8</v>
      </c>
      <c r="B6" s="75">
        <v>2.284250020980835</v>
      </c>
      <c r="C6" s="76">
        <v>0.7969874100719424</v>
      </c>
      <c r="D6" s="75">
        <v>1.8205185081782957</v>
      </c>
    </row>
    <row r="7" spans="1:4" x14ac:dyDescent="0.2">
      <c r="A7" t="s">
        <v>9</v>
      </c>
      <c r="B7" s="75">
        <v>31.372377395629883</v>
      </c>
      <c r="C7" s="76">
        <v>1</v>
      </c>
      <c r="D7" s="75">
        <v>31.372377395629883</v>
      </c>
    </row>
    <row r="8" spans="1:4" x14ac:dyDescent="0.2">
      <c r="A8" t="s">
        <v>10</v>
      </c>
      <c r="B8" s="75">
        <v>7.9225454330444336</v>
      </c>
      <c r="C8" s="76">
        <v>0.15190347721822542</v>
      </c>
      <c r="D8" s="75">
        <v>1.2034621996988208</v>
      </c>
    </row>
    <row r="9" spans="1:4" x14ac:dyDescent="0.2">
      <c r="A9" t="s">
        <v>11</v>
      </c>
      <c r="B9" s="75">
        <v>10.085731506347656</v>
      </c>
      <c r="C9" s="76">
        <v>1</v>
      </c>
      <c r="D9" s="75">
        <v>10.085731506347656</v>
      </c>
    </row>
    <row r="10" spans="1:4" x14ac:dyDescent="0.2">
      <c r="A10" t="s">
        <v>12</v>
      </c>
      <c r="B10" s="75">
        <v>12.894034385681152</v>
      </c>
      <c r="C10" s="76">
        <v>1</v>
      </c>
      <c r="D10" s="75">
        <v>12.894034385681152</v>
      </c>
    </row>
    <row r="11" spans="1:4" x14ac:dyDescent="0.2">
      <c r="A11" t="s">
        <v>13</v>
      </c>
      <c r="B11" s="75">
        <v>15.265829086303711</v>
      </c>
      <c r="C11" s="76">
        <v>0.63796462829736211</v>
      </c>
      <c r="D11" s="75">
        <v>9.7390589786948052</v>
      </c>
    </row>
    <row r="12" spans="1:4" x14ac:dyDescent="0.2">
      <c r="A12" t="s">
        <v>14</v>
      </c>
      <c r="B12" s="75">
        <v>15.12371826171875</v>
      </c>
      <c r="C12" s="76">
        <v>0.59180155875299756</v>
      </c>
      <c r="D12" s="75">
        <v>8.9502400414263317</v>
      </c>
    </row>
    <row r="13" spans="1:4" x14ac:dyDescent="0.2">
      <c r="A13" t="s">
        <v>15</v>
      </c>
      <c r="B13" s="75">
        <v>12.8214111328125</v>
      </c>
      <c r="C13" s="76">
        <v>0.15190347721822542</v>
      </c>
      <c r="D13" s="75">
        <v>1.9476169339186853</v>
      </c>
    </row>
    <row r="14" spans="1:4" x14ac:dyDescent="0.2">
      <c r="A14" t="s">
        <v>16</v>
      </c>
      <c r="B14" s="75">
        <v>15.211848258972168</v>
      </c>
      <c r="C14" s="76">
        <v>0.51611211031175064</v>
      </c>
      <c r="D14" s="75">
        <v>7.8510191066802557</v>
      </c>
    </row>
    <row r="15" spans="1:4" x14ac:dyDescent="0.2">
      <c r="A15" t="s">
        <v>17</v>
      </c>
      <c r="B15" s="75">
        <v>19.310310363769531</v>
      </c>
      <c r="C15" s="76">
        <v>0.15190347721822542</v>
      </c>
      <c r="D15" s="75">
        <v>2.9333032904197274</v>
      </c>
    </row>
    <row r="16" spans="1:4" x14ac:dyDescent="0.2">
      <c r="A16" t="s">
        <v>18</v>
      </c>
      <c r="B16" s="75">
        <v>36.928733825683594</v>
      </c>
      <c r="C16" s="76">
        <v>1</v>
      </c>
      <c r="D16" s="75">
        <v>36.928733825683594</v>
      </c>
    </row>
    <row r="17" spans="1:4" x14ac:dyDescent="0.2">
      <c r="A17" t="s">
        <v>19</v>
      </c>
      <c r="B17" s="75">
        <v>40.047317504882812</v>
      </c>
      <c r="C17" s="76">
        <v>0.75547062350119909</v>
      </c>
      <c r="D17" s="75">
        <v>30.254571924964303</v>
      </c>
    </row>
    <row r="18" spans="1:4" x14ac:dyDescent="0.2">
      <c r="A18" t="s">
        <v>20</v>
      </c>
      <c r="B18" s="75">
        <v>3.6870110034942627</v>
      </c>
      <c r="C18" s="76">
        <v>4.7886690647482015E-2</v>
      </c>
      <c r="D18" s="75">
        <v>0.17655875533819199</v>
      </c>
    </row>
    <row r="19" spans="1:4" x14ac:dyDescent="0.2">
      <c r="A19" t="s">
        <v>21</v>
      </c>
      <c r="B19" s="75">
        <v>27.242166519165039</v>
      </c>
      <c r="C19" s="76">
        <v>0.94476918465227822</v>
      </c>
      <c r="D19" s="75">
        <v>25.737559450473146</v>
      </c>
    </row>
    <row r="20" spans="1:4" x14ac:dyDescent="0.2">
      <c r="A20" t="s">
        <v>22</v>
      </c>
      <c r="B20" s="75">
        <v>25.308004379272461</v>
      </c>
      <c r="C20" s="76">
        <v>0.94476918465227822</v>
      </c>
      <c r="D20" s="75">
        <v>23.910222662581528</v>
      </c>
    </row>
    <row r="21" spans="1:4" x14ac:dyDescent="0.2">
      <c r="A21" t="s">
        <v>23</v>
      </c>
      <c r="B21" s="75">
        <v>30.828470230102539</v>
      </c>
      <c r="C21" s="76">
        <v>0.33902877697841727</v>
      </c>
      <c r="D21" s="75">
        <v>10.451738558227209</v>
      </c>
    </row>
    <row r="22" spans="1:4" x14ac:dyDescent="0.2">
      <c r="A22" t="s">
        <v>24</v>
      </c>
      <c r="B22" s="75">
        <v>2.2941176891326904</v>
      </c>
      <c r="C22" s="76">
        <v>1.1465827338129496E-2</v>
      </c>
      <c r="D22" s="75">
        <v>2.6303957316944068E-2</v>
      </c>
    </row>
    <row r="23" spans="1:4" x14ac:dyDescent="0.2">
      <c r="A23" t="s">
        <v>25</v>
      </c>
      <c r="B23" s="75">
        <v>21.193256378173828</v>
      </c>
      <c r="C23" s="76">
        <v>0.43120503597122301</v>
      </c>
      <c r="D23" s="75">
        <v>9.1386388788977975</v>
      </c>
    </row>
    <row r="24" spans="1:4" x14ac:dyDescent="0.2">
      <c r="A24" t="s">
        <v>26</v>
      </c>
      <c r="B24" s="75">
        <v>20.229927062988281</v>
      </c>
      <c r="C24" s="76">
        <v>0.43120503597122301</v>
      </c>
      <c r="D24" s="75">
        <v>8.7232464268910803</v>
      </c>
    </row>
    <row r="25" spans="1:4" x14ac:dyDescent="0.2">
      <c r="A25" t="s">
        <v>27</v>
      </c>
      <c r="B25" s="75">
        <v>29.429832458496094</v>
      </c>
      <c r="C25" s="76">
        <v>7.6363908872901676E-2</v>
      </c>
      <c r="D25" s="75">
        <v>2.2473770440053595</v>
      </c>
    </row>
    <row r="26" spans="1:4" x14ac:dyDescent="0.2">
      <c r="A26" t="s">
        <v>28</v>
      </c>
      <c r="B26" s="75">
        <v>1.5555555820465088</v>
      </c>
      <c r="C26" s="76">
        <v>2.0233812949640288E-3</v>
      </c>
      <c r="D26" s="75">
        <v>3.1474820679897883E-3</v>
      </c>
    </row>
    <row r="27" spans="1:4" x14ac:dyDescent="0.2">
      <c r="A27" t="s">
        <v>29</v>
      </c>
      <c r="B27" s="75">
        <v>16.348396301269531</v>
      </c>
      <c r="C27" s="76">
        <v>0.11443345323741007</v>
      </c>
      <c r="D27" s="75">
        <v>1.8708034436479746</v>
      </c>
    </row>
    <row r="28" spans="1:4" x14ac:dyDescent="0.2">
      <c r="A28" t="s">
        <v>30</v>
      </c>
      <c r="B28" s="75">
        <v>39.025390625</v>
      </c>
      <c r="C28" s="76">
        <v>0.7969124700239808</v>
      </c>
      <c r="D28" s="75">
        <v>31.099820436619453</v>
      </c>
    </row>
    <row r="29" spans="1:4" x14ac:dyDescent="0.2">
      <c r="A29" t="s">
        <v>31</v>
      </c>
      <c r="B29" s="75">
        <v>10.040084838867188</v>
      </c>
      <c r="C29" s="76">
        <v>3.5521582733812951E-2</v>
      </c>
      <c r="D29" s="75">
        <v>0.35663970425832187</v>
      </c>
    </row>
    <row r="30" spans="1:4" x14ac:dyDescent="0.2">
      <c r="A30" t="s">
        <v>32</v>
      </c>
      <c r="B30" s="75">
        <v>26.118782043457031</v>
      </c>
      <c r="C30" s="76">
        <v>0.35708932853717024</v>
      </c>
      <c r="D30" s="75">
        <v>9.3267383421067702</v>
      </c>
    </row>
    <row r="31" spans="1:4" x14ac:dyDescent="0.2">
      <c r="A31" t="s">
        <v>33</v>
      </c>
      <c r="B31" s="75">
        <v>27.057552337646484</v>
      </c>
      <c r="C31" s="76">
        <v>0.50651978417266186</v>
      </c>
      <c r="D31" s="75">
        <v>13.705185570305199</v>
      </c>
    </row>
    <row r="32" spans="1:4" x14ac:dyDescent="0.2">
      <c r="A32" t="s">
        <v>34</v>
      </c>
      <c r="B32" s="75">
        <v>15.983505249023438</v>
      </c>
      <c r="C32" s="76">
        <v>0.37709832134292565</v>
      </c>
      <c r="D32" s="75">
        <v>6.0273529985825789</v>
      </c>
    </row>
    <row r="33" spans="1:4" x14ac:dyDescent="0.2">
      <c r="A33" t="s">
        <v>35</v>
      </c>
      <c r="B33" s="75">
        <v>3.4111571311950684</v>
      </c>
      <c r="C33" s="76">
        <v>3.6270983213429253E-2</v>
      </c>
      <c r="D33" s="75">
        <v>0.12372602304394581</v>
      </c>
    </row>
    <row r="34" spans="1:4" x14ac:dyDescent="0.2">
      <c r="A34" t="s">
        <v>36</v>
      </c>
      <c r="B34" s="75">
        <v>5.6326532363891602</v>
      </c>
      <c r="C34" s="76">
        <v>3.6720623501199042E-3</v>
      </c>
      <c r="D34" s="75">
        <v>2.0683453880625664E-2</v>
      </c>
    </row>
    <row r="35" spans="1:4" x14ac:dyDescent="0.2">
      <c r="A35" t="s">
        <v>37</v>
      </c>
      <c r="B35" s="75">
        <v>15.95429515838623</v>
      </c>
      <c r="C35" s="76">
        <v>0.25906774580335734</v>
      </c>
      <c r="D35" s="75">
        <v>4.1332432825645391</v>
      </c>
    </row>
    <row r="36" spans="1:4" x14ac:dyDescent="0.2">
      <c r="A36" t="s">
        <v>38</v>
      </c>
      <c r="B36" s="75">
        <v>17.928909301757812</v>
      </c>
      <c r="C36" s="76">
        <v>0.14231115107913669</v>
      </c>
      <c r="D36" s="75">
        <v>2.5514837203265954</v>
      </c>
    </row>
    <row r="37" spans="1:4" x14ac:dyDescent="0.2">
      <c r="A37" t="s">
        <v>39</v>
      </c>
      <c r="B37" s="75">
        <v>25.436874389648438</v>
      </c>
      <c r="C37" s="76">
        <v>0.49385491606714627</v>
      </c>
      <c r="D37" s="75">
        <v>12.562125466710372</v>
      </c>
    </row>
    <row r="38" spans="1:4" x14ac:dyDescent="0.2">
      <c r="A38" t="s">
        <v>40</v>
      </c>
      <c r="B38" s="75">
        <v>19.364946365356445</v>
      </c>
      <c r="C38" s="76">
        <v>0.49385491606714627</v>
      </c>
      <c r="D38" s="75">
        <v>9.5634739619078957</v>
      </c>
    </row>
    <row r="39" spans="1:4" x14ac:dyDescent="0.2">
      <c r="A39" t="s">
        <v>41</v>
      </c>
      <c r="B39" s="75">
        <v>13.458864212036133</v>
      </c>
      <c r="C39" s="76">
        <v>0.38803956834532372</v>
      </c>
      <c r="D39" s="75">
        <v>5.222571859256826</v>
      </c>
    </row>
    <row r="40" spans="1:4" x14ac:dyDescent="0.2">
      <c r="A40" t="s">
        <v>42</v>
      </c>
      <c r="B40" s="75">
        <v>37.523288726806641</v>
      </c>
      <c r="C40" s="76">
        <v>0.30732913669064749</v>
      </c>
      <c r="D40" s="75">
        <v>11.531999930203391</v>
      </c>
    </row>
    <row r="41" spans="1:4" x14ac:dyDescent="0.2">
      <c r="A41" t="s">
        <v>43</v>
      </c>
      <c r="B41" s="75">
        <v>12.681487083435059</v>
      </c>
      <c r="C41" s="76">
        <v>0.2983363309352518</v>
      </c>
      <c r="D41" s="75">
        <v>3.783348327274803</v>
      </c>
    </row>
    <row r="42" spans="1:4" x14ac:dyDescent="0.2">
      <c r="A42" t="s">
        <v>44</v>
      </c>
      <c r="B42" s="75">
        <v>22.613609313964844</v>
      </c>
      <c r="C42" s="76">
        <v>0.12335131894484412</v>
      </c>
      <c r="D42" s="75">
        <v>2.789418534980975</v>
      </c>
    </row>
    <row r="43" spans="1:4" x14ac:dyDescent="0.2">
      <c r="A43" t="s">
        <v>45</v>
      </c>
      <c r="B43" s="75">
        <v>21.701908111572266</v>
      </c>
      <c r="C43" s="76">
        <v>0.38489208633093525</v>
      </c>
      <c r="D43" s="75">
        <v>8.3528926904252963</v>
      </c>
    </row>
    <row r="44" spans="1:4" x14ac:dyDescent="0.2">
      <c r="A44" t="s">
        <v>46</v>
      </c>
      <c r="B44" s="75">
        <v>12.125755310058594</v>
      </c>
      <c r="C44" s="76">
        <v>6.1975419664268588E-2</v>
      </c>
      <c r="D44" s="75">
        <v>0.75149877408711463</v>
      </c>
    </row>
    <row r="45" spans="1:4" x14ac:dyDescent="0.2">
      <c r="A45" t="s">
        <v>47</v>
      </c>
      <c r="B45" s="75">
        <v>13.560262680053711</v>
      </c>
      <c r="C45" s="76">
        <v>0.14860611510791366</v>
      </c>
      <c r="D45" s="75">
        <v>2.0151379567256074</v>
      </c>
    </row>
    <row r="46" spans="1:4" x14ac:dyDescent="0.2">
      <c r="A46" t="s">
        <v>48</v>
      </c>
      <c r="B46" s="75">
        <v>14.065656661987305</v>
      </c>
      <c r="C46" s="76">
        <v>1.4838129496402877E-2</v>
      </c>
      <c r="D46" s="75">
        <v>0.20870803500250945</v>
      </c>
    </row>
    <row r="47" spans="1:4" x14ac:dyDescent="0.2">
      <c r="A47" t="s">
        <v>49</v>
      </c>
      <c r="B47" s="75">
        <v>11.010929107666016</v>
      </c>
      <c r="C47" s="76">
        <v>1.3714028776978417E-2</v>
      </c>
      <c r="D47" s="75">
        <v>0.15100419864380102</v>
      </c>
    </row>
    <row r="48" spans="1:4" x14ac:dyDescent="0.2">
      <c r="A48" t="s">
        <v>50</v>
      </c>
      <c r="B48" s="75">
        <v>4.8961749076843262</v>
      </c>
      <c r="C48" s="76">
        <v>1.3714028776978417E-2</v>
      </c>
      <c r="D48" s="75">
        <v>6.7146283581102487E-2</v>
      </c>
    </row>
    <row r="49" spans="1:4" x14ac:dyDescent="0.2">
      <c r="A49" t="s">
        <v>51</v>
      </c>
      <c r="B49" s="75">
        <v>20.294422149658203</v>
      </c>
      <c r="C49" s="76">
        <v>0.40572541966426856</v>
      </c>
      <c r="D49" s="75">
        <v>8.2339629435139017</v>
      </c>
    </row>
    <row r="50" spans="1:4" x14ac:dyDescent="0.2">
      <c r="A50" t="s">
        <v>52</v>
      </c>
      <c r="B50" s="75">
        <v>18.539077758789062</v>
      </c>
      <c r="C50" s="76">
        <v>0.40272781774580335</v>
      </c>
      <c r="D50" s="75">
        <v>7.4662023288168777</v>
      </c>
    </row>
    <row r="51" spans="1:4" x14ac:dyDescent="0.2">
      <c r="A51" t="s">
        <v>53</v>
      </c>
      <c r="B51" s="75">
        <v>8.9158916473388672</v>
      </c>
      <c r="C51" s="76">
        <v>0.40272781774580335</v>
      </c>
      <c r="D51" s="75">
        <v>3.5906775863908176</v>
      </c>
    </row>
    <row r="52" spans="1:4" x14ac:dyDescent="0.2">
      <c r="A52" t="s">
        <v>54</v>
      </c>
      <c r="B52" s="75">
        <v>25.81001091003418</v>
      </c>
      <c r="C52" s="76">
        <v>0.40272781774580335</v>
      </c>
      <c r="D52" s="75">
        <v>10.394409369793442</v>
      </c>
    </row>
    <row r="53" spans="1:4" x14ac:dyDescent="0.2">
      <c r="A53" t="s">
        <v>55</v>
      </c>
      <c r="B53" s="75">
        <v>19.553197860717773</v>
      </c>
      <c r="C53" s="76">
        <v>0.29301558752997603</v>
      </c>
      <c r="D53" s="75">
        <v>5.729391759248089</v>
      </c>
    </row>
    <row r="54" spans="1:4" x14ac:dyDescent="0.2">
      <c r="A54" t="s">
        <v>56</v>
      </c>
      <c r="B54" s="75">
        <v>13.613316535949707</v>
      </c>
      <c r="C54" s="76">
        <v>0.3038818944844125</v>
      </c>
      <c r="D54" s="75">
        <v>4.1368404191603769</v>
      </c>
    </row>
    <row r="55" spans="1:4" x14ac:dyDescent="0.2">
      <c r="A55" t="s">
        <v>57</v>
      </c>
      <c r="B55" s="75">
        <v>27.754648208618164</v>
      </c>
      <c r="C55" s="76">
        <v>0.205560551558753</v>
      </c>
      <c r="D55" s="75">
        <v>5.7052607940827054</v>
      </c>
    </row>
    <row r="56" spans="1:4" x14ac:dyDescent="0.2">
      <c r="A56" t="s">
        <v>58</v>
      </c>
      <c r="B56" s="75">
        <v>13.999390602111816</v>
      </c>
      <c r="C56" s="76">
        <v>0.24602817745803357</v>
      </c>
      <c r="D56" s="75">
        <v>3.4442445553606933</v>
      </c>
    </row>
    <row r="57" spans="1:4" x14ac:dyDescent="0.2">
      <c r="A57" t="s">
        <v>59</v>
      </c>
      <c r="B57" s="75">
        <v>10.25279426574707</v>
      </c>
      <c r="C57" s="76">
        <v>0.174310551558753</v>
      </c>
      <c r="D57" s="75">
        <v>1.7871702234807918</v>
      </c>
    </row>
    <row r="58" spans="1:4" x14ac:dyDescent="0.2">
      <c r="A58" t="s">
        <v>60</v>
      </c>
      <c r="B58" s="75">
        <v>24.194343566894531</v>
      </c>
      <c r="C58" s="76">
        <v>0.10334232613908872</v>
      </c>
      <c r="D58" s="75">
        <v>2.500299743611178</v>
      </c>
    </row>
    <row r="59" spans="1:4" x14ac:dyDescent="0.2">
      <c r="A59" t="s">
        <v>61</v>
      </c>
      <c r="B59" s="75">
        <v>19.321737289428711</v>
      </c>
      <c r="C59" s="76">
        <v>0.23478717026378898</v>
      </c>
      <c r="D59" s="75">
        <v>4.5364960227652995</v>
      </c>
    </row>
    <row r="60" spans="1:4" x14ac:dyDescent="0.2">
      <c r="A60" t="s">
        <v>62</v>
      </c>
      <c r="B60" s="75">
        <v>6.0948905944824219</v>
      </c>
      <c r="C60" s="76">
        <v>1.0266786570743406E-2</v>
      </c>
      <c r="D60" s="75">
        <v>6.2574940905582424E-2</v>
      </c>
    </row>
    <row r="61" spans="1:4" x14ac:dyDescent="0.2">
      <c r="A61" t="s">
        <v>63</v>
      </c>
      <c r="B61" s="75">
        <v>17.534246444702148</v>
      </c>
      <c r="C61" s="76">
        <v>1.6411870503597121E-2</v>
      </c>
      <c r="D61" s="75">
        <v>0.28776978202860987</v>
      </c>
    </row>
    <row r="62" spans="1:4" x14ac:dyDescent="0.2">
      <c r="A62" t="s">
        <v>64</v>
      </c>
      <c r="B62" s="75">
        <v>31.458333969116211</v>
      </c>
      <c r="C62" s="76">
        <v>1.7985611510791368E-3</v>
      </c>
      <c r="D62" s="75">
        <v>5.657973735452556E-2</v>
      </c>
    </row>
    <row r="63" spans="1:4" x14ac:dyDescent="0.2">
      <c r="A63" t="s">
        <v>65</v>
      </c>
      <c r="B63" s="75">
        <v>2.5</v>
      </c>
      <c r="C63" s="76">
        <v>1.4988009592326138E-4</v>
      </c>
      <c r="D63" s="75">
        <v>3.7470023980815342E-4</v>
      </c>
    </row>
    <row r="64" spans="1:4" x14ac:dyDescent="0.2">
      <c r="A64" t="s">
        <v>66</v>
      </c>
      <c r="B64" s="75">
        <v>5.75</v>
      </c>
      <c r="C64" s="76">
        <v>2.9976019184652276E-4</v>
      </c>
      <c r="D64" s="75">
        <v>1.7236211031175059E-3</v>
      </c>
    </row>
    <row r="65" spans="1:4" x14ac:dyDescent="0.2">
      <c r="A65" t="s">
        <v>67</v>
      </c>
      <c r="B65" s="75">
        <v>4.5</v>
      </c>
      <c r="C65" s="76">
        <v>1.4988009592326138E-4</v>
      </c>
      <c r="D65" s="75">
        <v>6.7446043165467619E-4</v>
      </c>
    </row>
    <row r="66" spans="1:4" x14ac:dyDescent="0.2">
      <c r="A66" t="s">
        <v>68</v>
      </c>
      <c r="B66" s="75">
        <v>3</v>
      </c>
      <c r="C66" s="76">
        <v>7.494004796163069E-5</v>
      </c>
      <c r="D66" s="75">
        <v>2.2482014388489207E-4</v>
      </c>
    </row>
    <row r="67" spans="1:4" x14ac:dyDescent="0.2">
      <c r="A67" t="s">
        <v>69</v>
      </c>
      <c r="B67" s="75">
        <v>2</v>
      </c>
      <c r="C67" s="76">
        <v>7.494004796163069E-5</v>
      </c>
      <c r="D67" s="75">
        <v>1.4988009592326138E-4</v>
      </c>
    </row>
    <row r="68" spans="1:4" x14ac:dyDescent="0.2">
      <c r="A68" t="s">
        <v>70</v>
      </c>
      <c r="B68" s="75">
        <v>19.090116500854492</v>
      </c>
      <c r="C68" s="76">
        <v>2.5779376498800959E-2</v>
      </c>
      <c r="D68" s="75">
        <v>0.49213130068150068</v>
      </c>
    </row>
    <row r="69" spans="1:4" x14ac:dyDescent="0.2">
      <c r="A69" t="s">
        <v>71</v>
      </c>
      <c r="B69" s="75">
        <v>17.656976699829102</v>
      </c>
      <c r="C69" s="76">
        <v>2.5779376498800959E-2</v>
      </c>
      <c r="D69" s="75">
        <v>0.45518585017545043</v>
      </c>
    </row>
    <row r="70" spans="1:4" x14ac:dyDescent="0.2">
      <c r="A70" t="s">
        <v>72</v>
      </c>
      <c r="B70" s="75">
        <v>8.7647056579589844</v>
      </c>
      <c r="C70" s="76">
        <v>2.4205635491606713E-2</v>
      </c>
      <c r="D70" s="75">
        <v>0.21215527034777817</v>
      </c>
    </row>
    <row r="71" spans="1:4" x14ac:dyDescent="0.2">
      <c r="A71" t="s">
        <v>73</v>
      </c>
      <c r="B71" s="75">
        <v>27.953845977783203</v>
      </c>
      <c r="C71" s="76">
        <v>9.7422062350119906E-3</v>
      </c>
      <c r="D71" s="75">
        <v>0.27233213257732436</v>
      </c>
    </row>
    <row r="72" spans="1:4" x14ac:dyDescent="0.2">
      <c r="A72" t="s">
        <v>74</v>
      </c>
      <c r="B72" s="75">
        <v>21.25</v>
      </c>
      <c r="C72" s="76">
        <v>1.7985611510791368E-3</v>
      </c>
      <c r="D72" s="75">
        <v>3.821942446043166E-2</v>
      </c>
    </row>
    <row r="73" spans="1:4" x14ac:dyDescent="0.2">
      <c r="A73" t="s">
        <v>75</v>
      </c>
      <c r="B73" s="75">
        <v>14.384955406188965</v>
      </c>
      <c r="C73" s="76">
        <v>3.3872901678657072E-2</v>
      </c>
      <c r="D73" s="75">
        <v>0.48726018012570532</v>
      </c>
    </row>
    <row r="74" spans="1:4" x14ac:dyDescent="0.2">
      <c r="A74" t="s">
        <v>76</v>
      </c>
      <c r="B74" s="75">
        <v>9.4380531311035156</v>
      </c>
      <c r="C74" s="76">
        <v>3.3872901678657072E-2</v>
      </c>
      <c r="D74" s="75">
        <v>0.31969424574781091</v>
      </c>
    </row>
    <row r="75" spans="1:4" x14ac:dyDescent="0.2">
      <c r="A75" t="s">
        <v>77</v>
      </c>
      <c r="B75" s="75">
        <v>27.766990661621094</v>
      </c>
      <c r="C75" s="76">
        <v>7.7188249400479613E-3</v>
      </c>
      <c r="D75" s="75">
        <v>0.21432854002899973</v>
      </c>
    </row>
    <row r="76" spans="1:4" x14ac:dyDescent="0.2">
      <c r="A76" t="s">
        <v>78</v>
      </c>
      <c r="B76" s="75">
        <v>13.705752372741699</v>
      </c>
      <c r="C76" s="76">
        <v>3.3872901678657072E-2</v>
      </c>
      <c r="D76" s="75">
        <v>0.46425360255390047</v>
      </c>
    </row>
    <row r="77" spans="1:4" x14ac:dyDescent="0.2">
      <c r="A77" t="s">
        <v>79</v>
      </c>
      <c r="B77" s="75">
        <v>12.77690315246582</v>
      </c>
      <c r="C77" s="76">
        <v>1</v>
      </c>
      <c r="D77" s="75">
        <v>12.77690315246582</v>
      </c>
    </row>
    <row r="78" spans="1:4" x14ac:dyDescent="0.2">
      <c r="A78" t="s">
        <v>80</v>
      </c>
      <c r="B78" s="75">
        <v>21.398605346679688</v>
      </c>
      <c r="C78" s="76">
        <v>1</v>
      </c>
      <c r="D78" s="75">
        <v>21.398605346679688</v>
      </c>
    </row>
    <row r="79" spans="1:4" x14ac:dyDescent="0.2">
      <c r="A79" t="s">
        <v>81</v>
      </c>
      <c r="B79" s="75">
        <v>14.980740547180176</v>
      </c>
      <c r="C79" s="76">
        <v>1</v>
      </c>
      <c r="D79" s="75">
        <v>14.980740547180176</v>
      </c>
    </row>
    <row r="80" spans="1:4" x14ac:dyDescent="0.2">
      <c r="A80" t="s">
        <v>82</v>
      </c>
      <c r="B80" s="75">
        <v>13.723021507263184</v>
      </c>
      <c r="C80" s="76">
        <v>1</v>
      </c>
      <c r="D80" s="75">
        <v>13.723021507263184</v>
      </c>
    </row>
    <row r="81" spans="1:4" x14ac:dyDescent="0.2">
      <c r="A81" t="s">
        <v>83</v>
      </c>
      <c r="B81" s="75">
        <v>13.062200546264648</v>
      </c>
      <c r="C81" s="76">
        <v>1</v>
      </c>
      <c r="D81" s="75">
        <v>13.062200546264648</v>
      </c>
    </row>
    <row r="82" spans="1:4" x14ac:dyDescent="0.2">
      <c r="A82" t="s">
        <v>84</v>
      </c>
      <c r="B82" s="75">
        <v>13.09532356262207</v>
      </c>
      <c r="C82" s="76">
        <v>1</v>
      </c>
      <c r="D82" s="75">
        <v>13.09532356262207</v>
      </c>
    </row>
    <row r="83" spans="1:4" x14ac:dyDescent="0.2">
      <c r="A83" t="s">
        <v>85</v>
      </c>
      <c r="B83" s="75">
        <v>16.101019184652277</v>
      </c>
      <c r="C83" s="76">
        <v>1</v>
      </c>
      <c r="D83" s="75">
        <v>16.101019184652277</v>
      </c>
    </row>
    <row r="84" spans="1:4" x14ac:dyDescent="0.2">
      <c r="A84" t="s">
        <v>86</v>
      </c>
      <c r="B84" s="75">
        <v>11.765043258666992</v>
      </c>
      <c r="C84" s="76">
        <v>0.32628896882494007</v>
      </c>
      <c r="D84" s="75">
        <v>3.8388038330512657</v>
      </c>
    </row>
    <row r="85" spans="1:4" x14ac:dyDescent="0.2">
      <c r="A85" t="s">
        <v>87</v>
      </c>
      <c r="B85" s="75">
        <v>12.432478904724121</v>
      </c>
      <c r="C85" s="76">
        <v>1</v>
      </c>
      <c r="D85" s="75">
        <v>12.432478904724121</v>
      </c>
    </row>
    <row r="86" spans="1:4" x14ac:dyDescent="0.2">
      <c r="A86" t="s">
        <v>88</v>
      </c>
      <c r="B86" s="75">
        <v>8.9801836013793945</v>
      </c>
      <c r="C86" s="76">
        <v>0.25337230215827339</v>
      </c>
      <c r="D86" s="75">
        <v>2.2753297928854717</v>
      </c>
    </row>
    <row r="87" spans="1:4" x14ac:dyDescent="0.2">
      <c r="A87" t="s">
        <v>89</v>
      </c>
      <c r="B87" s="75">
        <v>11.089328765869141</v>
      </c>
      <c r="C87" s="76">
        <v>1</v>
      </c>
      <c r="D87" s="75">
        <v>11.089328765869141</v>
      </c>
    </row>
    <row r="88" spans="1:4" x14ac:dyDescent="0.2">
      <c r="A88" t="s">
        <v>90</v>
      </c>
      <c r="B88" s="75">
        <v>8.0683355331420898</v>
      </c>
      <c r="C88" s="76">
        <v>0.14366007194244604</v>
      </c>
      <c r="D88" s="75">
        <v>1.1590976631469863</v>
      </c>
    </row>
    <row r="89" spans="1:4" x14ac:dyDescent="0.2">
      <c r="A89" t="s">
        <v>91</v>
      </c>
      <c r="B89" s="75">
        <v>5.7112536430358887</v>
      </c>
      <c r="C89" s="76">
        <v>0.80508093525179858</v>
      </c>
      <c r="D89" s="75">
        <v>4.5980214243955748</v>
      </c>
    </row>
    <row r="90" spans="1:4" x14ac:dyDescent="0.2">
      <c r="A90" t="s">
        <v>92</v>
      </c>
      <c r="B90" s="75">
        <v>19.851530075073242</v>
      </c>
      <c r="C90" s="76">
        <v>0.31092625899280574</v>
      </c>
      <c r="D90" s="75">
        <v>6.1723619815256949</v>
      </c>
    </row>
    <row r="91" spans="1:4" x14ac:dyDescent="0.2">
      <c r="A91" t="s">
        <v>93</v>
      </c>
      <c r="B91" s="75">
        <v>15.436671257019043</v>
      </c>
      <c r="C91" s="76">
        <v>0.7969874100719424</v>
      </c>
      <c r="D91" s="75">
        <v>12.302832645263603</v>
      </c>
    </row>
    <row r="92" spans="1:4" x14ac:dyDescent="0.2">
      <c r="A92" t="s">
        <v>94</v>
      </c>
      <c r="B92" s="75">
        <v>12.408086776733398</v>
      </c>
      <c r="C92" s="76">
        <v>0.7969874100719424</v>
      </c>
      <c r="D92" s="75">
        <v>9.8890889441366667</v>
      </c>
    </row>
    <row r="93" spans="1:4" x14ac:dyDescent="0.2">
      <c r="A93" t="s">
        <v>95</v>
      </c>
      <c r="B93" s="75">
        <v>9.2894678115844727</v>
      </c>
      <c r="C93" s="76">
        <v>0.31092625899280574</v>
      </c>
      <c r="D93" s="75">
        <v>2.8883394746900461</v>
      </c>
    </row>
    <row r="94" spans="1:4" x14ac:dyDescent="0.2">
      <c r="A94" t="s">
        <v>96</v>
      </c>
      <c r="B94" s="75">
        <v>15.059520721435547</v>
      </c>
      <c r="C94" s="76">
        <v>0.7969874100719424</v>
      </c>
      <c r="D94" s="75">
        <v>12.002248416701667</v>
      </c>
    </row>
    <row r="95" spans="1:4" x14ac:dyDescent="0.2">
      <c r="A95" t="s">
        <v>97</v>
      </c>
      <c r="B95" s="75">
        <v>15.543986320495605</v>
      </c>
      <c r="C95" s="76">
        <v>0.31092625899280574</v>
      </c>
      <c r="D95" s="75">
        <v>4.8330335164670464</v>
      </c>
    </row>
    <row r="96" spans="1:4" x14ac:dyDescent="0.2">
      <c r="A96" t="s">
        <v>98</v>
      </c>
      <c r="B96" s="75">
        <v>12.996181488037109</v>
      </c>
      <c r="C96" s="76">
        <v>0.78507194244604317</v>
      </c>
      <c r="D96" s="75">
        <v>10.202937445194602</v>
      </c>
    </row>
    <row r="97" spans="1:4" x14ac:dyDescent="0.2">
      <c r="A97" t="s">
        <v>99</v>
      </c>
      <c r="B97" s="75">
        <v>10.668112754821777</v>
      </c>
      <c r="C97" s="76">
        <v>0.31092625899280574</v>
      </c>
      <c r="D97" s="75">
        <v>3.3169963893701704</v>
      </c>
    </row>
    <row r="98" spans="1:4" x14ac:dyDescent="0.2">
      <c r="A98" t="s">
        <v>100</v>
      </c>
      <c r="B98" s="75">
        <v>9.716710090637207</v>
      </c>
      <c r="C98" s="76">
        <v>0.43277877697841727</v>
      </c>
      <c r="D98" s="75">
        <v>4.2051859092798161</v>
      </c>
    </row>
    <row r="99" spans="1:4" x14ac:dyDescent="0.2">
      <c r="A99" t="s">
        <v>101</v>
      </c>
      <c r="B99" s="75">
        <v>10.953365325927734</v>
      </c>
      <c r="C99" s="76">
        <v>0.63796462829736211</v>
      </c>
      <c r="D99" s="75">
        <v>6.9878596387607015</v>
      </c>
    </row>
    <row r="100" spans="1:4" x14ac:dyDescent="0.2">
      <c r="A100" t="s">
        <v>102</v>
      </c>
      <c r="B100" s="75">
        <v>10.114131927490234</v>
      </c>
      <c r="C100" s="76">
        <v>0.23703537170263789</v>
      </c>
      <c r="D100" s="75">
        <v>2.3974070208821652</v>
      </c>
    </row>
    <row r="101" spans="1:4" x14ac:dyDescent="0.2">
      <c r="A101" t="s">
        <v>103</v>
      </c>
      <c r="B101" s="75">
        <v>3.6575121879577637</v>
      </c>
      <c r="C101" s="76">
        <v>4.6387889688249404E-2</v>
      </c>
      <c r="D101" s="75">
        <v>0.16966427190841246</v>
      </c>
    </row>
    <row r="102" spans="1:4" x14ac:dyDescent="0.2">
      <c r="A102" t="s">
        <v>104</v>
      </c>
      <c r="B102" s="75">
        <v>10.867705345153809</v>
      </c>
      <c r="C102" s="76">
        <v>0.79361510791366907</v>
      </c>
      <c r="D102" s="75">
        <v>8.6247751502681975</v>
      </c>
    </row>
    <row r="103" spans="1:4" x14ac:dyDescent="0.2">
      <c r="A103" t="s">
        <v>105</v>
      </c>
      <c r="B103" s="75">
        <v>21.533300399780273</v>
      </c>
      <c r="C103" s="76">
        <v>0.15190347721822542</v>
      </c>
      <c r="D103" s="75">
        <v>3.270983206711227</v>
      </c>
    </row>
    <row r="104" spans="1:4" x14ac:dyDescent="0.2">
      <c r="A104" t="s">
        <v>106</v>
      </c>
      <c r="B104" s="75">
        <v>72.295135498046875</v>
      </c>
      <c r="C104" s="76">
        <v>0.84097721822541971</v>
      </c>
      <c r="D104" s="75">
        <v>60.798561942377255</v>
      </c>
    </row>
    <row r="105" spans="1:4" x14ac:dyDescent="0.2">
      <c r="A105" t="s">
        <v>107</v>
      </c>
      <c r="B105" s="75">
        <v>3.7052218914031982</v>
      </c>
      <c r="C105" s="76">
        <v>0.84097721822541971</v>
      </c>
      <c r="D105" s="75">
        <v>3.1160071991401899</v>
      </c>
    </row>
    <row r="106" spans="1:4" x14ac:dyDescent="0.2">
      <c r="A106" t="s">
        <v>108</v>
      </c>
      <c r="B106" s="75">
        <v>2.7029058933258057</v>
      </c>
      <c r="C106" s="76">
        <v>0.14958033573141488</v>
      </c>
      <c r="D106" s="75">
        <v>0.40430157097409386</v>
      </c>
    </row>
    <row r="107" spans="1:4" x14ac:dyDescent="0.2">
      <c r="A107" t="s">
        <v>109</v>
      </c>
      <c r="B107" s="75">
        <v>18.146602630615234</v>
      </c>
      <c r="C107" s="76">
        <v>6.2874700239808151E-2</v>
      </c>
      <c r="D107" s="75">
        <v>1.1409622007708469</v>
      </c>
    </row>
    <row r="108" spans="1:4" x14ac:dyDescent="0.2">
      <c r="A108" t="s">
        <v>110</v>
      </c>
      <c r="B108" s="75">
        <v>14.324113845825195</v>
      </c>
      <c r="C108" s="76">
        <v>8.6705635491606717E-2</v>
      </c>
      <c r="D108" s="75">
        <v>1.2419813938563962</v>
      </c>
    </row>
    <row r="109" spans="1:4" x14ac:dyDescent="0.2">
      <c r="A109" t="s">
        <v>111</v>
      </c>
      <c r="B109" s="75">
        <v>7.9697494506835938</v>
      </c>
      <c r="C109" s="76">
        <v>8.6705635491606717E-2</v>
      </c>
      <c r="D109" s="75">
        <v>0.6910221908304045</v>
      </c>
    </row>
    <row r="110" spans="1:4" x14ac:dyDescent="0.2">
      <c r="A110" t="s">
        <v>112</v>
      </c>
      <c r="B110" s="75">
        <v>7.6092715263366699</v>
      </c>
      <c r="C110" s="76">
        <v>3.3947841726618702E-2</v>
      </c>
      <c r="D110" s="75">
        <v>0.25831834543094356</v>
      </c>
    </row>
    <row r="111" spans="1:4" x14ac:dyDescent="0.2">
      <c r="A111" t="s">
        <v>113</v>
      </c>
      <c r="B111" s="75">
        <v>7.3416147232055664</v>
      </c>
      <c r="C111" s="76">
        <v>1.2065347721822542E-2</v>
      </c>
      <c r="D111" s="75">
        <v>8.8579134475127108E-2</v>
      </c>
    </row>
    <row r="112" spans="1:4" x14ac:dyDescent="0.2">
      <c r="A112" t="s">
        <v>114</v>
      </c>
      <c r="B112" s="75">
        <v>7.5166668891906738</v>
      </c>
      <c r="C112" s="76">
        <v>4.4964028776978415E-3</v>
      </c>
      <c r="D112" s="75">
        <v>3.379796263125303E-2</v>
      </c>
    </row>
    <row r="113" spans="1:4" x14ac:dyDescent="0.2">
      <c r="A113" t="s">
        <v>115</v>
      </c>
      <c r="B113" s="75">
        <v>8.3076925277709961</v>
      </c>
      <c r="C113" s="76">
        <v>1.9484412470023981E-3</v>
      </c>
      <c r="D113" s="75">
        <v>1.6187050788522624E-2</v>
      </c>
    </row>
    <row r="114" spans="1:4" x14ac:dyDescent="0.2">
      <c r="A114" t="s">
        <v>116</v>
      </c>
      <c r="B114" s="75">
        <v>7.769230842590332</v>
      </c>
      <c r="C114" s="76">
        <v>9.7422062350119906E-4</v>
      </c>
      <c r="D114" s="75">
        <v>7.5689449155930998E-3</v>
      </c>
    </row>
    <row r="115" spans="1:4" x14ac:dyDescent="0.2">
      <c r="A115" t="s">
        <v>117</v>
      </c>
      <c r="B115" s="75">
        <v>9.3333330154418945</v>
      </c>
      <c r="C115" s="76">
        <v>4.496402877697842E-4</v>
      </c>
      <c r="D115" s="75">
        <v>4.1966425429145211E-3</v>
      </c>
    </row>
    <row r="116" spans="1:4" x14ac:dyDescent="0.2">
      <c r="A116" t="s">
        <v>118</v>
      </c>
      <c r="B116" s="75">
        <v>6.1999998092651367</v>
      </c>
      <c r="C116" s="76">
        <v>3.7470023980815348E-4</v>
      </c>
      <c r="D116" s="75">
        <v>2.3231414153421525E-3</v>
      </c>
    </row>
    <row r="117" spans="1:4" x14ac:dyDescent="0.2">
      <c r="A117" t="s">
        <v>119</v>
      </c>
      <c r="B117" s="75">
        <v>15.666666984558105</v>
      </c>
      <c r="C117" s="76">
        <v>2.248201438848921E-4</v>
      </c>
      <c r="D117" s="75">
        <v>3.5221823256650418E-3</v>
      </c>
    </row>
    <row r="118" spans="1:4" x14ac:dyDescent="0.2">
      <c r="A118" t="s">
        <v>120</v>
      </c>
      <c r="B118" s="75">
        <v>19.828245162963867</v>
      </c>
      <c r="C118" s="76">
        <v>0.63092026378896882</v>
      </c>
      <c r="D118" s="75">
        <v>12.510041668689508</v>
      </c>
    </row>
    <row r="119" spans="1:4" x14ac:dyDescent="0.2">
      <c r="A119" t="s">
        <v>121</v>
      </c>
      <c r="B119" s="75">
        <v>49.529693603515625</v>
      </c>
      <c r="C119" s="76">
        <v>0.67386091127098324</v>
      </c>
      <c r="D119" s="75">
        <v>33.376124466637627</v>
      </c>
    </row>
    <row r="120" spans="1:4" x14ac:dyDescent="0.2">
      <c r="A120" t="s">
        <v>122</v>
      </c>
      <c r="B120" s="75">
        <v>10.34935474395752</v>
      </c>
      <c r="C120" s="76">
        <v>6.3923860911270988E-2</v>
      </c>
      <c r="D120" s="75">
        <v>0.66157071317414307</v>
      </c>
    </row>
    <row r="121" spans="1:4" x14ac:dyDescent="0.2">
      <c r="A121" t="s">
        <v>123</v>
      </c>
      <c r="B121" s="75">
        <v>9.9121618270874023</v>
      </c>
      <c r="C121" s="76">
        <v>2.2182254196642687E-2</v>
      </c>
      <c r="D121" s="75">
        <v>0.21987409328671098</v>
      </c>
    </row>
    <row r="122" spans="1:4" x14ac:dyDescent="0.2">
      <c r="A122" t="s">
        <v>124</v>
      </c>
      <c r="B122" s="75">
        <v>12.817567825317383</v>
      </c>
      <c r="C122" s="76">
        <v>2.2182254196642687E-2</v>
      </c>
      <c r="D122" s="75">
        <v>0.28432254768389881</v>
      </c>
    </row>
    <row r="123" spans="1:4" x14ac:dyDescent="0.2">
      <c r="A123" t="s">
        <v>125</v>
      </c>
      <c r="B123" s="75">
        <v>22.029750823974609</v>
      </c>
      <c r="C123" s="76">
        <v>1</v>
      </c>
      <c r="D123" s="75">
        <v>22.029750823974609</v>
      </c>
    </row>
    <row r="124" spans="1:4" x14ac:dyDescent="0.2">
      <c r="A124" t="s">
        <v>126</v>
      </c>
      <c r="B124" s="75">
        <v>36.783046722412109</v>
      </c>
      <c r="C124" s="76">
        <v>1</v>
      </c>
      <c r="D124" s="75">
        <v>36.783046722412109</v>
      </c>
    </row>
    <row r="125" spans="1:4" x14ac:dyDescent="0.2">
      <c r="A125" t="s">
        <v>127</v>
      </c>
      <c r="B125" s="75">
        <v>13.760138511657715</v>
      </c>
      <c r="C125" s="76">
        <v>0.28087529976019182</v>
      </c>
      <c r="D125" s="75">
        <v>3.8648830292036203</v>
      </c>
    </row>
    <row r="126" spans="1:4" x14ac:dyDescent="0.2">
      <c r="A126" t="s">
        <v>128</v>
      </c>
      <c r="B126" s="75">
        <v>13.399938583374023</v>
      </c>
      <c r="C126" s="76">
        <v>0.48606115107913667</v>
      </c>
      <c r="D126" s="75">
        <v>6.5131895722245137</v>
      </c>
    </row>
    <row r="127" spans="1:4" x14ac:dyDescent="0.2">
      <c r="A127" t="s">
        <v>129</v>
      </c>
      <c r="B127" s="75">
        <v>14.625933647155762</v>
      </c>
      <c r="C127" s="76">
        <v>0.28087529976019182</v>
      </c>
      <c r="D127" s="75">
        <v>4.1080634974175503</v>
      </c>
    </row>
    <row r="128" spans="1:4" x14ac:dyDescent="0.2">
      <c r="A128" t="s">
        <v>130</v>
      </c>
      <c r="B128" s="75">
        <v>14.752389907836914</v>
      </c>
      <c r="C128" s="76">
        <v>0.48606115107913667</v>
      </c>
      <c r="D128" s="75">
        <v>7.1705636197714497</v>
      </c>
    </row>
    <row r="129" spans="1:4" x14ac:dyDescent="0.2">
      <c r="A129" t="s">
        <v>131</v>
      </c>
      <c r="B129" s="75">
        <v>14.082502365112305</v>
      </c>
      <c r="C129" s="76">
        <v>0.16531774580335731</v>
      </c>
      <c r="D129" s="75">
        <v>2.3280875462708139</v>
      </c>
    </row>
    <row r="130" spans="1:4" x14ac:dyDescent="0.2">
      <c r="A130" t="s">
        <v>132</v>
      </c>
      <c r="B130" s="75">
        <v>15.481228828430176</v>
      </c>
      <c r="C130" s="76">
        <v>2.1957434052757793E-2</v>
      </c>
      <c r="D130" s="75">
        <v>0.33992806105590839</v>
      </c>
    </row>
    <row r="131" spans="1:4" x14ac:dyDescent="0.2">
      <c r="A131" t="s">
        <v>133</v>
      </c>
      <c r="B131" s="75">
        <v>3.062232494354248</v>
      </c>
      <c r="C131" s="76">
        <v>0.68277877697841727</v>
      </c>
      <c r="D131" s="75">
        <v>2.0908273573187617</v>
      </c>
    </row>
    <row r="132" spans="1:4" x14ac:dyDescent="0.2">
      <c r="A132" t="s">
        <v>134</v>
      </c>
      <c r="B132" s="75">
        <v>10.030631065368652</v>
      </c>
      <c r="C132" s="76">
        <v>0.15902278177458035</v>
      </c>
      <c r="D132" s="75">
        <v>1.5950988549694456</v>
      </c>
    </row>
    <row r="133" spans="1:4" x14ac:dyDescent="0.2">
      <c r="A133" t="s">
        <v>135</v>
      </c>
      <c r="B133" s="75">
        <v>11.380664825439453</v>
      </c>
      <c r="C133" s="76">
        <v>2.4805155875299759E-2</v>
      </c>
      <c r="D133" s="75">
        <v>0.28229916495956675</v>
      </c>
    </row>
    <row r="134" spans="1:4" x14ac:dyDescent="0.2">
      <c r="A134" t="s">
        <v>136</v>
      </c>
      <c r="B134" s="75">
        <v>30.646188735961914</v>
      </c>
      <c r="C134" s="76">
        <v>0.56722122302158273</v>
      </c>
      <c r="D134" s="75">
        <v>17.383168655762571</v>
      </c>
    </row>
    <row r="135" spans="1:4" x14ac:dyDescent="0.2">
      <c r="A135" t="s">
        <v>137</v>
      </c>
      <c r="B135" s="75">
        <v>10.112629890441895</v>
      </c>
      <c r="C135" s="76">
        <v>0.15902278177458035</v>
      </c>
      <c r="D135" s="75">
        <v>1.6081385362348397</v>
      </c>
    </row>
    <row r="136" spans="1:4" x14ac:dyDescent="0.2">
      <c r="A136" t="s">
        <v>138</v>
      </c>
      <c r="B136" s="75">
        <v>13.900094032287598</v>
      </c>
      <c r="C136" s="76">
        <v>0.15902278177458035</v>
      </c>
      <c r="D136" s="75">
        <v>2.2104316199426171</v>
      </c>
    </row>
    <row r="137" spans="1:4" x14ac:dyDescent="0.2">
      <c r="A137" t="s">
        <v>139</v>
      </c>
      <c r="B137" s="75">
        <v>8.2288064956665039</v>
      </c>
      <c r="C137" s="76">
        <v>0.36420863309352519</v>
      </c>
      <c r="D137" s="75">
        <v>2.9970023657778184</v>
      </c>
    </row>
    <row r="138" spans="1:4" x14ac:dyDescent="0.2">
      <c r="A138" t="s">
        <v>140</v>
      </c>
      <c r="B138" s="75">
        <v>32.266731262207031</v>
      </c>
      <c r="C138" s="76">
        <v>0.15902278177458035</v>
      </c>
      <c r="D138" s="75">
        <v>5.1311453640889786</v>
      </c>
    </row>
    <row r="139" spans="1:4" x14ac:dyDescent="0.2">
      <c r="A139" t="s">
        <v>141</v>
      </c>
      <c r="B139" s="75">
        <v>11.012422561645508</v>
      </c>
      <c r="C139" s="76">
        <v>8.4457434052757796E-2</v>
      </c>
      <c r="D139" s="75">
        <v>0.93008095226127752</v>
      </c>
    </row>
    <row r="140" spans="1:4" x14ac:dyDescent="0.2">
      <c r="A140" t="s">
        <v>142</v>
      </c>
      <c r="B140" s="75">
        <v>59.445335388183594</v>
      </c>
      <c r="C140" s="76">
        <v>0.15902278177458035</v>
      </c>
      <c r="D140" s="75">
        <v>9.4531625969518576</v>
      </c>
    </row>
    <row r="141" spans="1:4" x14ac:dyDescent="0.2">
      <c r="A141" t="s">
        <v>143</v>
      </c>
      <c r="B141" s="75">
        <v>31.696512222290039</v>
      </c>
      <c r="C141" s="76">
        <v>0.15902278177458035</v>
      </c>
      <c r="D141" s="75">
        <v>5.0404675461405475</v>
      </c>
    </row>
    <row r="142" spans="1:4" x14ac:dyDescent="0.2">
      <c r="A142" t="s">
        <v>144</v>
      </c>
      <c r="B142" s="75">
        <v>18.788320541381836</v>
      </c>
      <c r="C142" s="76">
        <v>3.0800359712230215E-2</v>
      </c>
      <c r="D142" s="75">
        <v>0.57868703106324448</v>
      </c>
    </row>
    <row r="143" spans="1:4" x14ac:dyDescent="0.2">
      <c r="A143" t="s">
        <v>145</v>
      </c>
      <c r="B143" s="75">
        <v>14.180000305175781</v>
      </c>
      <c r="C143" s="76">
        <v>1.1241007194244604E-2</v>
      </c>
      <c r="D143" s="75">
        <v>0.15939748544487164</v>
      </c>
    </row>
    <row r="144" spans="1:4" x14ac:dyDescent="0.2">
      <c r="A144" t="s">
        <v>146</v>
      </c>
      <c r="B144" s="75">
        <v>14.373562812805176</v>
      </c>
      <c r="C144" s="76">
        <v>1.3039568345323741E-2</v>
      </c>
      <c r="D144" s="75">
        <v>0.18742505466337686</v>
      </c>
    </row>
    <row r="145" spans="1:4" x14ac:dyDescent="0.2">
      <c r="A145" t="s">
        <v>147</v>
      </c>
      <c r="B145" s="75">
        <v>13.638889312744141</v>
      </c>
      <c r="C145" s="76">
        <v>2.6978417266187052E-3</v>
      </c>
      <c r="D145" s="75">
        <v>3.6795564692655054E-2</v>
      </c>
    </row>
    <row r="146" spans="1:4" x14ac:dyDescent="0.2">
      <c r="A146" t="s">
        <v>148</v>
      </c>
      <c r="B146" s="75">
        <v>15.408385276794434</v>
      </c>
      <c r="C146" s="76">
        <v>0.14478417266187049</v>
      </c>
      <c r="D146" s="75">
        <v>2.2308903143560284</v>
      </c>
    </row>
    <row r="147" spans="1:4" x14ac:dyDescent="0.2">
      <c r="A147" t="s">
        <v>149</v>
      </c>
      <c r="B147" s="75">
        <v>13.428935050964355</v>
      </c>
      <c r="C147" s="76">
        <v>0.14710731414868106</v>
      </c>
      <c r="D147" s="75">
        <v>1.9754945672244477</v>
      </c>
    </row>
    <row r="148" spans="1:4" x14ac:dyDescent="0.2">
      <c r="A148" t="s">
        <v>150</v>
      </c>
      <c r="B148" s="75">
        <v>16.118755340576172</v>
      </c>
      <c r="C148" s="76">
        <v>0.15902278177458035</v>
      </c>
      <c r="D148" s="75">
        <v>2.563249313002296</v>
      </c>
    </row>
    <row r="149" spans="1:4" x14ac:dyDescent="0.2">
      <c r="A149" t="s">
        <v>151</v>
      </c>
      <c r="B149" s="75">
        <v>24.200000762939453</v>
      </c>
      <c r="C149" s="76">
        <v>3.3723021582733811E-3</v>
      </c>
      <c r="D149" s="75">
        <v>8.1609714803078187E-2</v>
      </c>
    </row>
    <row r="150" spans="1:4" x14ac:dyDescent="0.2">
      <c r="A150" t="s">
        <v>152</v>
      </c>
      <c r="B150" s="75">
        <v>15.139491081237793</v>
      </c>
      <c r="C150" s="76">
        <v>0.15902278177458035</v>
      </c>
      <c r="D150" s="75">
        <v>2.407523986389883</v>
      </c>
    </row>
    <row r="151" spans="1:4" x14ac:dyDescent="0.2">
      <c r="A151" t="s">
        <v>153</v>
      </c>
      <c r="B151" s="75">
        <v>17.901508331298828</v>
      </c>
      <c r="C151" s="76">
        <v>0.15902278177458035</v>
      </c>
      <c r="D151" s="75">
        <v>2.8467476528039657</v>
      </c>
    </row>
    <row r="152" spans="1:4" x14ac:dyDescent="0.2">
      <c r="A152" t="s">
        <v>154</v>
      </c>
      <c r="B152" s="75">
        <v>27.199811935424805</v>
      </c>
      <c r="C152" s="76">
        <v>0.15902278177458035</v>
      </c>
      <c r="D152" s="75">
        <v>4.3253897577166844</v>
      </c>
    </row>
    <row r="153" spans="1:4" x14ac:dyDescent="0.2">
      <c r="A153" t="s">
        <v>155</v>
      </c>
      <c r="B153" s="75">
        <v>20.648445129394531</v>
      </c>
      <c r="C153" s="76">
        <v>0.15902278177458035</v>
      </c>
      <c r="D153" s="75">
        <v>3.2835731837961029</v>
      </c>
    </row>
    <row r="154" spans="1:4" x14ac:dyDescent="0.2">
      <c r="A154" t="s">
        <v>156</v>
      </c>
      <c r="B154" s="75">
        <v>55.302074432373047</v>
      </c>
      <c r="C154" s="76">
        <v>0.15902278177458035</v>
      </c>
      <c r="D154" s="75">
        <v>8.7942897141408576</v>
      </c>
    </row>
    <row r="155" spans="1:4" x14ac:dyDescent="0.2">
      <c r="A155" t="s">
        <v>157</v>
      </c>
      <c r="B155" s="75">
        <v>24.500471115112305</v>
      </c>
      <c r="C155" s="76">
        <v>0.15902278177458035</v>
      </c>
      <c r="D155" s="75">
        <v>3.8961330715129132</v>
      </c>
    </row>
    <row r="156" spans="1:4" x14ac:dyDescent="0.2">
      <c r="A156" t="s">
        <v>158</v>
      </c>
      <c r="B156" s="75">
        <v>24.924598693847656</v>
      </c>
      <c r="C156" s="76">
        <v>0.15902278177458035</v>
      </c>
      <c r="D156" s="75">
        <v>3.9635790189107261</v>
      </c>
    </row>
    <row r="157" spans="1:4" x14ac:dyDescent="0.2">
      <c r="A157" t="s">
        <v>159</v>
      </c>
      <c r="B157" s="75">
        <v>17.525918960571289</v>
      </c>
      <c r="C157" s="76">
        <v>0.15902278177458035</v>
      </c>
      <c r="D157" s="75">
        <v>2.7870203862659082</v>
      </c>
    </row>
    <row r="158" spans="1:4" x14ac:dyDescent="0.2">
      <c r="A158" t="s">
        <v>160</v>
      </c>
      <c r="B158" s="75">
        <v>28.034400939941406</v>
      </c>
      <c r="C158" s="76">
        <v>0.15902278177458035</v>
      </c>
      <c r="D158" s="75">
        <v>4.4581084228533925</v>
      </c>
    </row>
    <row r="159" spans="1:4" x14ac:dyDescent="0.2">
      <c r="A159" t="s">
        <v>161</v>
      </c>
      <c r="B159" s="75">
        <v>15.688972473144531</v>
      </c>
      <c r="C159" s="76">
        <v>0.15902278177458035</v>
      </c>
      <c r="D159" s="75">
        <v>2.4949040458642608</v>
      </c>
    </row>
    <row r="160" spans="1:4" x14ac:dyDescent="0.2">
      <c r="A160" t="s">
        <v>162</v>
      </c>
      <c r="B160" s="75">
        <v>21.188030242919922</v>
      </c>
      <c r="C160" s="76">
        <v>0.15902278177458035</v>
      </c>
      <c r="D160" s="75">
        <v>3.3693795095530632</v>
      </c>
    </row>
    <row r="161" spans="1:4" x14ac:dyDescent="0.2">
      <c r="A161" t="s">
        <v>163</v>
      </c>
      <c r="B161" s="75">
        <v>10.56944465637207</v>
      </c>
      <c r="C161" s="76">
        <v>5.3956834532374104E-3</v>
      </c>
      <c r="D161" s="75">
        <v>5.7029377642295348E-2</v>
      </c>
    </row>
    <row r="162" spans="1:4" x14ac:dyDescent="0.2">
      <c r="A162" t="s">
        <v>164</v>
      </c>
      <c r="B162" s="75">
        <v>17.507846832275391</v>
      </c>
      <c r="C162" s="76">
        <v>0.68277877697841727</v>
      </c>
      <c r="D162" s="75">
        <v>11.953986247666448</v>
      </c>
    </row>
    <row r="163" spans="1:4" x14ac:dyDescent="0.2">
      <c r="A163" t="s">
        <v>165</v>
      </c>
      <c r="B163" s="75">
        <v>4.6240768432617188</v>
      </c>
      <c r="C163" s="76">
        <v>0.20293764988009591</v>
      </c>
      <c r="D163" s="75">
        <v>0.9383992874365058</v>
      </c>
    </row>
    <row r="164" spans="1:4" x14ac:dyDescent="0.2">
      <c r="A164" t="s">
        <v>166</v>
      </c>
      <c r="B164" s="75">
        <v>10.743817329406738</v>
      </c>
      <c r="C164" s="76">
        <v>0.20301258992805754</v>
      </c>
      <c r="D164" s="75">
        <v>2.1811301817568083</v>
      </c>
    </row>
    <row r="165" spans="1:4" x14ac:dyDescent="0.2">
      <c r="A165" t="s">
        <v>167</v>
      </c>
      <c r="B165" s="75"/>
      <c r="C165" s="76">
        <v>0</v>
      </c>
      <c r="D165" s="75">
        <v>0</v>
      </c>
    </row>
    <row r="166" spans="1:4" x14ac:dyDescent="0.2">
      <c r="A166" t="s">
        <v>168</v>
      </c>
      <c r="B166" s="75">
        <v>56.471023559570312</v>
      </c>
      <c r="C166" s="76">
        <v>0.20301258992805754</v>
      </c>
      <c r="D166" s="75">
        <v>11.464328748716724</v>
      </c>
    </row>
    <row r="167" spans="1:4" x14ac:dyDescent="0.2">
      <c r="A167" t="s">
        <v>169</v>
      </c>
      <c r="B167" s="75">
        <v>31</v>
      </c>
      <c r="C167" s="76">
        <v>4.0467625899280575E-3</v>
      </c>
      <c r="D167" s="75">
        <v>0.12544964028776978</v>
      </c>
    </row>
    <row r="168" spans="1:4" x14ac:dyDescent="0.2">
      <c r="A168" t="s">
        <v>170</v>
      </c>
      <c r="B168" s="75">
        <v>30.833333969116211</v>
      </c>
      <c r="C168" s="76">
        <v>4.0467625899280575E-3</v>
      </c>
      <c r="D168" s="75">
        <v>0.12477518242897748</v>
      </c>
    </row>
    <row r="169" spans="1:4" x14ac:dyDescent="0.2">
      <c r="A169" t="s">
        <v>171</v>
      </c>
      <c r="B169" s="75">
        <v>16.882986068725586</v>
      </c>
      <c r="C169" s="76">
        <v>0.11848021582733813</v>
      </c>
      <c r="D169" s="75">
        <v>2.0002998332325501</v>
      </c>
    </row>
    <row r="170" spans="1:4" x14ac:dyDescent="0.2">
      <c r="A170" t="s">
        <v>172</v>
      </c>
      <c r="B170" s="75">
        <v>16.826990127563477</v>
      </c>
      <c r="C170" s="76">
        <v>8.6630695443645087E-2</v>
      </c>
      <c r="D170" s="75">
        <v>1.457733856974174</v>
      </c>
    </row>
    <row r="171" spans="1:4" x14ac:dyDescent="0.2">
      <c r="A171" t="s">
        <v>173</v>
      </c>
      <c r="B171" s="75">
        <v>39.486873626708984</v>
      </c>
      <c r="C171" s="76">
        <v>3.139988009592326E-2</v>
      </c>
      <c r="D171" s="75">
        <v>1.2398830972415367</v>
      </c>
    </row>
    <row r="172" spans="1:4" x14ac:dyDescent="0.2">
      <c r="A172" t="s">
        <v>174</v>
      </c>
      <c r="B172" s="75">
        <v>15.938098907470703</v>
      </c>
      <c r="C172" s="76">
        <v>0.10169364508393286</v>
      </c>
      <c r="D172" s="75">
        <v>1.6208033736089438</v>
      </c>
    </row>
    <row r="173" spans="1:4" x14ac:dyDescent="0.2">
      <c r="A173" t="s">
        <v>175</v>
      </c>
      <c r="B173" s="75">
        <v>13.330855369567871</v>
      </c>
      <c r="C173" s="76">
        <v>6.047661870503597E-2</v>
      </c>
      <c r="D173" s="75">
        <v>0.80620505719733748</v>
      </c>
    </row>
    <row r="174" spans="1:4" x14ac:dyDescent="0.2">
      <c r="A174" t="s">
        <v>176</v>
      </c>
      <c r="B174" s="75">
        <v>16.437650680541992</v>
      </c>
      <c r="C174" s="76">
        <v>6.25E-2</v>
      </c>
      <c r="D174" s="75">
        <v>1.0273531675338745</v>
      </c>
    </row>
    <row r="175" spans="1:4" x14ac:dyDescent="0.2">
      <c r="A175" t="s">
        <v>177</v>
      </c>
      <c r="B175" s="75">
        <v>8.6666669845581055</v>
      </c>
      <c r="C175" s="76">
        <v>6.7446043165467629E-4</v>
      </c>
      <c r="D175" s="75">
        <v>5.8453239554123919E-3</v>
      </c>
    </row>
    <row r="176" spans="1:4" x14ac:dyDescent="0.2">
      <c r="A176" t="s">
        <v>178</v>
      </c>
      <c r="B176" s="75">
        <v>12.523809432983398</v>
      </c>
      <c r="C176" s="76">
        <v>1.5737410071942446E-3</v>
      </c>
      <c r="D176" s="75">
        <v>1.9709232470972074E-2</v>
      </c>
    </row>
    <row r="177" spans="1:4" x14ac:dyDescent="0.2">
      <c r="A177" t="s">
        <v>179</v>
      </c>
      <c r="B177" s="75">
        <v>22.220184326171875</v>
      </c>
      <c r="C177" s="76">
        <v>8.1684652278177453E-3</v>
      </c>
      <c r="D177" s="75">
        <v>0.18150480302403585</v>
      </c>
    </row>
    <row r="178" spans="1:4" x14ac:dyDescent="0.2">
      <c r="A178" t="s">
        <v>180</v>
      </c>
      <c r="B178" s="75">
        <v>12.889907836914062</v>
      </c>
      <c r="C178" s="76">
        <v>8.1684652278177453E-3</v>
      </c>
      <c r="D178" s="75">
        <v>0.10529076395560796</v>
      </c>
    </row>
    <row r="179" spans="1:4" x14ac:dyDescent="0.2">
      <c r="A179" t="s">
        <v>181</v>
      </c>
      <c r="B179" s="75">
        <v>14.844037055969238</v>
      </c>
      <c r="C179" s="76">
        <v>8.1684652278177453E-3</v>
      </c>
      <c r="D179" s="75">
        <v>0.12125300053212282</v>
      </c>
    </row>
    <row r="180" spans="1:4" x14ac:dyDescent="0.2">
      <c r="A180" t="s">
        <v>182</v>
      </c>
      <c r="B180" s="75">
        <v>18.513761520385742</v>
      </c>
      <c r="C180" s="76">
        <v>8.1684652278177453E-3</v>
      </c>
      <c r="D180" s="75">
        <v>0.15122901721538112</v>
      </c>
    </row>
    <row r="181" spans="1:4" x14ac:dyDescent="0.2">
      <c r="A181" t="s">
        <v>183</v>
      </c>
      <c r="B181" s="75">
        <v>16.880733489990234</v>
      </c>
      <c r="C181" s="76">
        <v>8.1684652278177453E-3</v>
      </c>
      <c r="D181" s="75">
        <v>0.13788968453304373</v>
      </c>
    </row>
    <row r="182" spans="1:4" x14ac:dyDescent="0.2">
      <c r="A182" t="s">
        <v>184</v>
      </c>
      <c r="B182" s="75">
        <v>17.431192398071289</v>
      </c>
      <c r="C182" s="76">
        <v>8.1684652278177453E-3</v>
      </c>
      <c r="D182" s="75">
        <v>0.14238608898304633</v>
      </c>
    </row>
    <row r="183" spans="1:4" x14ac:dyDescent="0.2">
      <c r="A183" t="s">
        <v>185</v>
      </c>
      <c r="B183" s="75">
        <v>14.110092163085938</v>
      </c>
      <c r="C183" s="76">
        <v>8.1684652278177453E-3</v>
      </c>
      <c r="D183" s="75">
        <v>0.11525779719547116</v>
      </c>
    </row>
    <row r="184" spans="1:4" x14ac:dyDescent="0.2">
      <c r="A184" t="s">
        <v>186</v>
      </c>
      <c r="B184" s="75">
        <v>15.256880760192871</v>
      </c>
      <c r="C184" s="76">
        <v>8.1684652278177453E-3</v>
      </c>
      <c r="D184" s="75">
        <v>0.12462529997459704</v>
      </c>
    </row>
    <row r="185" spans="1:4" x14ac:dyDescent="0.2">
      <c r="A185" t="s">
        <v>187</v>
      </c>
      <c r="B185" s="75">
        <v>12.284403800964355</v>
      </c>
      <c r="C185" s="76">
        <v>8.1684652278177453E-3</v>
      </c>
      <c r="D185" s="75">
        <v>0.10034472529264948</v>
      </c>
    </row>
    <row r="186" spans="1:4" x14ac:dyDescent="0.2">
      <c r="A186" t="s">
        <v>188</v>
      </c>
      <c r="B186" s="75">
        <v>12.577981948852539</v>
      </c>
      <c r="C186" s="76">
        <v>8.1684652278177453E-3</v>
      </c>
      <c r="D186" s="75">
        <v>0.10274280818532125</v>
      </c>
    </row>
    <row r="187" spans="1:4" x14ac:dyDescent="0.2">
      <c r="A187" t="s">
        <v>189</v>
      </c>
      <c r="B187" s="75">
        <v>16.782251358032227</v>
      </c>
      <c r="C187" s="76">
        <v>0.16381894484412471</v>
      </c>
      <c r="D187" s="75">
        <v>2.7492507095817182</v>
      </c>
    </row>
    <row r="188" spans="1:4" x14ac:dyDescent="0.2">
      <c r="A188" t="s">
        <v>190</v>
      </c>
      <c r="B188" s="75">
        <v>11.787801742553711</v>
      </c>
      <c r="C188" s="76">
        <v>0.20518585131894485</v>
      </c>
      <c r="D188" s="75">
        <v>2.4186901357248245</v>
      </c>
    </row>
    <row r="189" spans="1:4" x14ac:dyDescent="0.2">
      <c r="A189" t="s">
        <v>191</v>
      </c>
      <c r="B189" s="75">
        <v>46.247528076171875</v>
      </c>
      <c r="C189" s="76">
        <v>1</v>
      </c>
      <c r="D189" s="75">
        <v>46.247528076171875</v>
      </c>
    </row>
    <row r="190" spans="1:4" x14ac:dyDescent="0.2">
      <c r="A190" t="s">
        <v>192</v>
      </c>
      <c r="B190" s="75">
        <v>0.1537020355463028</v>
      </c>
      <c r="C190" s="76">
        <v>1</v>
      </c>
      <c r="D190" s="75">
        <v>0.1537020355463028</v>
      </c>
    </row>
    <row r="191" spans="1:4" x14ac:dyDescent="0.2">
      <c r="A191" t="s">
        <v>193</v>
      </c>
      <c r="B191" s="75">
        <v>0.67963129281997681</v>
      </c>
      <c r="C191" s="76">
        <v>1</v>
      </c>
      <c r="D191" s="75">
        <v>0.67963129281997681</v>
      </c>
    </row>
    <row r="192" spans="1:4" x14ac:dyDescent="0.2">
      <c r="A192" t="s">
        <v>194</v>
      </c>
      <c r="B192" s="75">
        <v>2.892535924911499</v>
      </c>
      <c r="C192" s="76">
        <v>1</v>
      </c>
      <c r="D192" s="75">
        <v>2.892535924911499</v>
      </c>
    </row>
    <row r="193" spans="1:4" x14ac:dyDescent="0.2">
      <c r="A193" t="s">
        <v>195</v>
      </c>
      <c r="B193" s="75">
        <v>3.3438248634338379</v>
      </c>
      <c r="C193" s="76">
        <v>1</v>
      </c>
      <c r="D193" s="75">
        <v>3.3438248634338379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02DC4-9E44-EA48-B6F4-9EC463B9332C}">
  <sheetPr codeName="Sheet2">
    <tabColor theme="9" tint="-0.499984740745262"/>
  </sheetPr>
  <dimension ref="A1:XEX248"/>
  <sheetViews>
    <sheetView tabSelected="1" zoomScale="70" zoomScaleNormal="70" workbookViewId="0">
      <pane xSplit="4" ySplit="3" topLeftCell="F76" activePane="bottomRight" state="frozen"/>
      <selection pane="topRight" activeCell="E1" sqref="E1"/>
      <selection pane="bottomLeft" activeCell="A4" sqref="A4"/>
      <selection pane="bottomRight" activeCell="AI84" sqref="AI84"/>
    </sheetView>
  </sheetViews>
  <sheetFormatPr baseColWidth="10" defaultColWidth="8.83203125" defaultRowHeight="16" outlineLevelCol="1" x14ac:dyDescent="0.2"/>
  <cols>
    <col min="1" max="1" width="7.5" style="155" hidden="1" customWidth="1"/>
    <col min="2" max="2" width="19.83203125" style="193" customWidth="1"/>
    <col min="3" max="3" width="32.33203125" style="192" hidden="1" customWidth="1"/>
    <col min="4" max="4" width="72.6640625" style="191" customWidth="1"/>
    <col min="5" max="5" width="9.6640625" style="155" hidden="1" customWidth="1"/>
    <col min="6" max="6" width="72.6640625" style="191" customWidth="1"/>
    <col min="7" max="7" width="9.6640625" style="155" hidden="1" customWidth="1"/>
    <col min="8" max="8" width="15.83203125" style="155" customWidth="1"/>
    <col min="9" max="9" width="12.33203125" style="155" hidden="1" customWidth="1"/>
    <col min="10" max="10" width="33.6640625" style="155" hidden="1" customWidth="1"/>
    <col min="11" max="11" width="33" style="155" hidden="1" customWidth="1"/>
    <col min="12" max="12" width="32.1640625" style="155" hidden="1" customWidth="1"/>
    <col min="13" max="13" width="43.83203125" style="155" customWidth="1"/>
    <col min="14" max="14" width="22.33203125" style="155" customWidth="1"/>
    <col min="15" max="15" width="36.6640625" style="155" hidden="1" customWidth="1"/>
    <col min="16" max="16" width="40.83203125" style="155" customWidth="1"/>
    <col min="17" max="17" width="15.33203125" style="303" hidden="1" customWidth="1"/>
    <col min="18" max="18" width="15" style="302" hidden="1" customWidth="1"/>
    <col min="19" max="19" width="11.5" style="303" customWidth="1"/>
    <col min="20" max="20" width="0" style="160" hidden="1" customWidth="1"/>
    <col min="21" max="21" width="0" style="155" hidden="1" customWidth="1"/>
    <col min="22" max="22" width="20.6640625" style="182" hidden="1" customWidth="1"/>
    <col min="23" max="23" width="8.83203125" style="155" outlineLevel="1"/>
    <col min="24" max="25" width="8.83203125" style="155"/>
    <col min="26" max="26" width="26.33203125" style="190" hidden="1" customWidth="1"/>
    <col min="27" max="16384" width="8.83203125" style="155"/>
  </cols>
  <sheetData>
    <row r="1" spans="1:26" ht="18.75" customHeight="1" thickBot="1" x14ac:dyDescent="0.25">
      <c r="A1" s="603" t="s">
        <v>196</v>
      </c>
      <c r="B1" s="604"/>
      <c r="C1" s="604"/>
      <c r="D1" s="604"/>
      <c r="E1" s="604"/>
      <c r="F1" s="604"/>
      <c r="G1" s="604"/>
      <c r="H1" s="604"/>
      <c r="I1" s="604"/>
      <c r="J1" s="604"/>
      <c r="K1" s="604"/>
      <c r="L1" s="604"/>
      <c r="M1" s="604"/>
      <c r="N1" s="604"/>
      <c r="O1" s="604"/>
      <c r="P1" s="604"/>
      <c r="Q1" s="244"/>
      <c r="R1" s="243"/>
      <c r="S1" s="244"/>
      <c r="T1" s="150"/>
      <c r="V1" s="150"/>
      <c r="Z1" s="217" t="s">
        <v>197</v>
      </c>
    </row>
    <row r="2" spans="1:26" ht="15" customHeight="1" thickBot="1" x14ac:dyDescent="0.25">
      <c r="A2" s="605" t="s">
        <v>198</v>
      </c>
      <c r="B2" s="606"/>
      <c r="C2" s="606"/>
      <c r="D2" s="606"/>
      <c r="E2" s="606"/>
      <c r="F2" s="606"/>
      <c r="G2" s="606"/>
      <c r="H2" s="606"/>
      <c r="I2" s="606"/>
      <c r="J2" s="606"/>
      <c r="K2" s="606"/>
      <c r="L2" s="606"/>
      <c r="M2" s="606"/>
      <c r="N2" s="606"/>
      <c r="O2" s="607"/>
      <c r="P2" s="608" t="s">
        <v>199</v>
      </c>
      <c r="Q2" s="244"/>
      <c r="R2" s="243"/>
      <c r="S2" s="244"/>
      <c r="T2" s="150"/>
    </row>
    <row r="3" spans="1:26" s="193" customFormat="1" ht="61.5" customHeight="1" thickBot="1" x14ac:dyDescent="0.25">
      <c r="A3" s="306" t="s">
        <v>200</v>
      </c>
      <c r="B3" s="307" t="s">
        <v>201</v>
      </c>
      <c r="C3" s="308" t="s">
        <v>202</v>
      </c>
      <c r="D3" s="307" t="s">
        <v>203</v>
      </c>
      <c r="E3" s="309" t="s">
        <v>204</v>
      </c>
      <c r="F3" s="307" t="s">
        <v>205</v>
      </c>
      <c r="G3" s="309" t="s">
        <v>204</v>
      </c>
      <c r="H3" s="307" t="s">
        <v>206</v>
      </c>
      <c r="I3" s="309" t="s">
        <v>207</v>
      </c>
      <c r="J3" s="308" t="s">
        <v>208</v>
      </c>
      <c r="K3" s="308" t="s">
        <v>209</v>
      </c>
      <c r="L3" s="310" t="s">
        <v>210</v>
      </c>
      <c r="M3" s="311" t="s">
        <v>211</v>
      </c>
      <c r="N3" s="311" t="s">
        <v>212</v>
      </c>
      <c r="O3" s="312" t="s">
        <v>213</v>
      </c>
      <c r="P3" s="609"/>
      <c r="Q3" s="313" t="s">
        <v>214</v>
      </c>
      <c r="R3" s="313" t="s">
        <v>215</v>
      </c>
      <c r="S3" s="314" t="s">
        <v>216</v>
      </c>
      <c r="T3" s="218"/>
      <c r="V3" s="284" t="s">
        <v>217</v>
      </c>
      <c r="Z3" s="217"/>
    </row>
    <row r="4" spans="1:26" ht="18" customHeight="1" thickBot="1" x14ac:dyDescent="0.25">
      <c r="A4" s="591" t="s">
        <v>218</v>
      </c>
      <c r="B4" s="592"/>
      <c r="C4" s="592"/>
      <c r="D4" s="592"/>
      <c r="E4" s="592"/>
      <c r="F4" s="592"/>
      <c r="G4" s="592"/>
      <c r="H4" s="592"/>
      <c r="I4" s="592"/>
      <c r="J4" s="592"/>
      <c r="K4" s="592"/>
      <c r="L4" s="592"/>
      <c r="M4" s="592"/>
      <c r="N4" s="592"/>
      <c r="O4" s="592"/>
      <c r="P4" s="593"/>
      <c r="Q4" s="244"/>
      <c r="R4" s="243"/>
      <c r="S4" s="242"/>
      <c r="T4" s="150"/>
      <c r="V4" s="182" t="s">
        <v>219</v>
      </c>
    </row>
    <row r="5" spans="1:26" ht="26.25" customHeight="1" x14ac:dyDescent="0.2">
      <c r="A5" s="113" t="s">
        <v>220</v>
      </c>
      <c r="B5" s="321" t="s">
        <v>221</v>
      </c>
      <c r="C5" s="322"/>
      <c r="D5" s="323" t="s">
        <v>221</v>
      </c>
      <c r="E5" s="324">
        <f t="shared" ref="E5:E20" si="0">LEN(D5)</f>
        <v>5</v>
      </c>
      <c r="F5" s="323" t="s">
        <v>221</v>
      </c>
      <c r="G5" s="324">
        <f t="shared" ref="G5:G20" si="1">LEN(F5)</f>
        <v>5</v>
      </c>
      <c r="H5" s="324" t="s">
        <v>222</v>
      </c>
      <c r="I5" s="324" t="s">
        <v>220</v>
      </c>
      <c r="J5" s="324" t="s">
        <v>220</v>
      </c>
      <c r="K5" s="324" t="s">
        <v>223</v>
      </c>
      <c r="L5" s="325" t="s">
        <v>224</v>
      </c>
      <c r="M5" s="326" t="s">
        <v>220</v>
      </c>
      <c r="N5" s="95"/>
      <c r="O5" s="152" t="s">
        <v>225</v>
      </c>
      <c r="P5" s="9"/>
      <c r="Q5" s="242">
        <v>0</v>
      </c>
      <c r="R5" s="243"/>
      <c r="S5" s="242">
        <f t="shared" ref="S5:S20" si="2">Q5*R5</f>
        <v>0</v>
      </c>
      <c r="T5" s="150"/>
      <c r="V5" s="182" t="s">
        <v>219</v>
      </c>
    </row>
    <row r="6" spans="1:26" ht="17" x14ac:dyDescent="0.2">
      <c r="A6" s="113" t="s">
        <v>220</v>
      </c>
      <c r="B6" s="327" t="s">
        <v>226</v>
      </c>
      <c r="C6" s="320" t="s">
        <v>226</v>
      </c>
      <c r="D6" s="328" t="s">
        <v>227</v>
      </c>
      <c r="E6" s="324">
        <f t="shared" si="0"/>
        <v>48</v>
      </c>
      <c r="F6" s="328" t="s">
        <v>228</v>
      </c>
      <c r="G6" s="324">
        <f t="shared" si="1"/>
        <v>61</v>
      </c>
      <c r="H6" s="324" t="s">
        <v>222</v>
      </c>
      <c r="I6" s="324" t="s">
        <v>220</v>
      </c>
      <c r="J6" s="324" t="s">
        <v>220</v>
      </c>
      <c r="K6" s="324" t="s">
        <v>223</v>
      </c>
      <c r="L6" s="325" t="s">
        <v>229</v>
      </c>
      <c r="M6" s="326" t="s">
        <v>220</v>
      </c>
      <c r="N6" s="95"/>
      <c r="O6" s="152" t="s">
        <v>225</v>
      </c>
      <c r="P6" s="56"/>
      <c r="Q6" s="242">
        <v>0</v>
      </c>
      <c r="R6" s="285"/>
      <c r="S6" s="242">
        <f t="shared" si="2"/>
        <v>0</v>
      </c>
      <c r="T6" s="150"/>
      <c r="V6" s="182" t="s">
        <v>230</v>
      </c>
      <c r="Z6" s="190" t="s">
        <v>231</v>
      </c>
    </row>
    <row r="7" spans="1:26" ht="26.25" customHeight="1" x14ac:dyDescent="0.2">
      <c r="A7" s="113" t="s">
        <v>220</v>
      </c>
      <c r="B7" s="121" t="s">
        <v>232</v>
      </c>
      <c r="C7" s="114" t="s">
        <v>232</v>
      </c>
      <c r="D7" s="94" t="s">
        <v>233</v>
      </c>
      <c r="E7" s="120">
        <f t="shared" si="0"/>
        <v>38</v>
      </c>
      <c r="F7" s="94" t="s">
        <v>234</v>
      </c>
      <c r="G7" s="120">
        <f t="shared" si="1"/>
        <v>47</v>
      </c>
      <c r="H7" s="120" t="s">
        <v>222</v>
      </c>
      <c r="I7" s="120" t="s">
        <v>220</v>
      </c>
      <c r="J7" s="120" t="s">
        <v>220</v>
      </c>
      <c r="K7" s="120" t="s">
        <v>223</v>
      </c>
      <c r="L7" s="101" t="s">
        <v>235</v>
      </c>
      <c r="M7" s="95" t="s">
        <v>220</v>
      </c>
      <c r="N7" s="95"/>
      <c r="O7" s="152" t="s">
        <v>225</v>
      </c>
      <c r="P7" s="56"/>
      <c r="Q7" s="242">
        <v>0</v>
      </c>
      <c r="R7" s="243"/>
      <c r="S7" s="242">
        <f t="shared" si="2"/>
        <v>0</v>
      </c>
      <c r="T7" s="150"/>
      <c r="V7" s="182" t="s">
        <v>230</v>
      </c>
      <c r="Z7" s="190" t="s">
        <v>231</v>
      </c>
    </row>
    <row r="8" spans="1:26" ht="136" x14ac:dyDescent="0.2">
      <c r="A8" s="49" t="s">
        <v>220</v>
      </c>
      <c r="B8" s="319" t="s">
        <v>236</v>
      </c>
      <c r="C8" s="320" t="s">
        <v>236</v>
      </c>
      <c r="D8" s="328" t="s">
        <v>237</v>
      </c>
      <c r="E8" s="315">
        <f t="shared" si="0"/>
        <v>146</v>
      </c>
      <c r="F8" s="275" t="s">
        <v>238</v>
      </c>
      <c r="G8" s="315">
        <f t="shared" si="1"/>
        <v>153</v>
      </c>
      <c r="H8" s="316" t="s">
        <v>239</v>
      </c>
      <c r="I8" s="315" t="s">
        <v>220</v>
      </c>
      <c r="J8" s="315" t="s">
        <v>220</v>
      </c>
      <c r="K8" s="315" t="s">
        <v>240</v>
      </c>
      <c r="L8" s="317" t="s">
        <v>241</v>
      </c>
      <c r="M8" s="329" t="s">
        <v>220</v>
      </c>
      <c r="N8" s="96"/>
      <c r="O8" s="72" t="s">
        <v>225</v>
      </c>
      <c r="P8" s="10"/>
      <c r="Q8" s="242">
        <v>0</v>
      </c>
      <c r="R8" s="243"/>
      <c r="S8" s="242">
        <f t="shared" si="2"/>
        <v>0</v>
      </c>
      <c r="T8" s="150"/>
      <c r="V8" s="182" t="s">
        <v>219</v>
      </c>
    </row>
    <row r="9" spans="1:26" ht="37.5" customHeight="1" x14ac:dyDescent="0.2">
      <c r="A9" s="49" t="s">
        <v>220</v>
      </c>
      <c r="B9" s="319" t="s">
        <v>242</v>
      </c>
      <c r="C9" s="320" t="s">
        <v>243</v>
      </c>
      <c r="D9" s="330" t="s">
        <v>244</v>
      </c>
      <c r="E9" s="315">
        <f t="shared" si="0"/>
        <v>29</v>
      </c>
      <c r="F9" s="330" t="s">
        <v>245</v>
      </c>
      <c r="G9" s="315">
        <f t="shared" si="1"/>
        <v>34</v>
      </c>
      <c r="H9" s="316" t="s">
        <v>220</v>
      </c>
      <c r="I9" s="316" t="s">
        <v>220</v>
      </c>
      <c r="J9" s="316" t="s">
        <v>220</v>
      </c>
      <c r="K9" s="316" t="s">
        <v>220</v>
      </c>
      <c r="L9" s="331" t="s">
        <v>246</v>
      </c>
      <c r="M9" s="332" t="s">
        <v>220</v>
      </c>
      <c r="N9" s="97"/>
      <c r="O9" s="189" t="s">
        <v>247</v>
      </c>
      <c r="P9" s="11"/>
      <c r="Q9" s="242">
        <v>0</v>
      </c>
      <c r="R9" s="243"/>
      <c r="S9" s="242">
        <f t="shared" si="2"/>
        <v>0</v>
      </c>
      <c r="T9" s="150"/>
      <c r="V9" s="182" t="s">
        <v>219</v>
      </c>
    </row>
    <row r="10" spans="1:26" ht="37.5" customHeight="1" x14ac:dyDescent="0.2">
      <c r="A10" s="49" t="s">
        <v>220</v>
      </c>
      <c r="B10" s="319" t="s">
        <v>248</v>
      </c>
      <c r="C10" s="320" t="s">
        <v>249</v>
      </c>
      <c r="D10" s="330" t="s">
        <v>250</v>
      </c>
      <c r="E10" s="315">
        <f t="shared" si="0"/>
        <v>31</v>
      </c>
      <c r="F10" s="275" t="s">
        <v>251</v>
      </c>
      <c r="G10" s="315">
        <f t="shared" si="1"/>
        <v>45</v>
      </c>
      <c r="H10" s="316" t="s">
        <v>220</v>
      </c>
      <c r="I10" s="316" t="s">
        <v>220</v>
      </c>
      <c r="J10" s="316" t="s">
        <v>220</v>
      </c>
      <c r="K10" s="316" t="s">
        <v>220</v>
      </c>
      <c r="L10" s="331" t="s">
        <v>252</v>
      </c>
      <c r="M10" s="332" t="s">
        <v>220</v>
      </c>
      <c r="N10" s="97"/>
      <c r="O10" s="189" t="s">
        <v>253</v>
      </c>
      <c r="P10" s="11"/>
      <c r="Q10" s="242">
        <v>0</v>
      </c>
      <c r="R10" s="243"/>
      <c r="S10" s="242">
        <f t="shared" si="2"/>
        <v>0</v>
      </c>
      <c r="T10" s="150"/>
      <c r="V10" s="182" t="s">
        <v>219</v>
      </c>
    </row>
    <row r="11" spans="1:26" ht="37.5" customHeight="1" x14ac:dyDescent="0.2">
      <c r="A11" s="49" t="s">
        <v>220</v>
      </c>
      <c r="B11" s="319" t="s">
        <v>254</v>
      </c>
      <c r="C11" s="320" t="s">
        <v>255</v>
      </c>
      <c r="D11" s="330" t="s">
        <v>256</v>
      </c>
      <c r="E11" s="315">
        <f t="shared" si="0"/>
        <v>34</v>
      </c>
      <c r="F11" s="275" t="s">
        <v>257</v>
      </c>
      <c r="G11" s="315">
        <f t="shared" si="1"/>
        <v>44</v>
      </c>
      <c r="H11" s="316" t="s">
        <v>220</v>
      </c>
      <c r="I11" s="316" t="s">
        <v>220</v>
      </c>
      <c r="J11" s="316" t="s">
        <v>220</v>
      </c>
      <c r="K11" s="316" t="s">
        <v>220</v>
      </c>
      <c r="L11" s="331" t="s">
        <v>258</v>
      </c>
      <c r="M11" s="332" t="s">
        <v>220</v>
      </c>
      <c r="N11" s="97"/>
      <c r="O11" s="189" t="s">
        <v>259</v>
      </c>
      <c r="P11" s="11"/>
      <c r="Q11" s="242">
        <v>0</v>
      </c>
      <c r="R11" s="243"/>
      <c r="S11" s="242">
        <f t="shared" si="2"/>
        <v>0</v>
      </c>
      <c r="T11" s="150"/>
      <c r="V11" s="182" t="s">
        <v>219</v>
      </c>
    </row>
    <row r="12" spans="1:26" ht="37.5" customHeight="1" x14ac:dyDescent="0.2">
      <c r="A12" s="49" t="s">
        <v>220</v>
      </c>
      <c r="B12" s="319" t="s">
        <v>260</v>
      </c>
      <c r="C12" s="320" t="s">
        <v>261</v>
      </c>
      <c r="D12" s="330" t="s">
        <v>262</v>
      </c>
      <c r="E12" s="315">
        <f t="shared" si="0"/>
        <v>41</v>
      </c>
      <c r="F12" s="275" t="s">
        <v>263</v>
      </c>
      <c r="G12" s="315">
        <f t="shared" si="1"/>
        <v>44</v>
      </c>
      <c r="H12" s="316" t="s">
        <v>220</v>
      </c>
      <c r="I12" s="316" t="s">
        <v>220</v>
      </c>
      <c r="J12" s="316" t="s">
        <v>220</v>
      </c>
      <c r="K12" s="316" t="s">
        <v>220</v>
      </c>
      <c r="L12" s="331" t="s">
        <v>264</v>
      </c>
      <c r="M12" s="332" t="s">
        <v>220</v>
      </c>
      <c r="N12" s="97"/>
      <c r="O12" s="189" t="s">
        <v>265</v>
      </c>
      <c r="P12" s="11"/>
      <c r="Q12" s="242">
        <v>0</v>
      </c>
      <c r="R12" s="243"/>
      <c r="S12" s="242">
        <f t="shared" si="2"/>
        <v>0</v>
      </c>
      <c r="T12" s="150"/>
      <c r="V12" s="182" t="s">
        <v>219</v>
      </c>
    </row>
    <row r="13" spans="1:26" ht="102" x14ac:dyDescent="0.2">
      <c r="A13" s="49" t="s">
        <v>220</v>
      </c>
      <c r="B13" s="319" t="s">
        <v>133</v>
      </c>
      <c r="C13" s="320" t="s">
        <v>133</v>
      </c>
      <c r="D13" s="333" t="s">
        <v>266</v>
      </c>
      <c r="E13" s="315">
        <f t="shared" si="0"/>
        <v>148</v>
      </c>
      <c r="F13" s="275" t="s">
        <v>267</v>
      </c>
      <c r="G13" s="315">
        <f t="shared" si="1"/>
        <v>171</v>
      </c>
      <c r="H13" s="316" t="s">
        <v>239</v>
      </c>
      <c r="I13" s="315" t="s">
        <v>220</v>
      </c>
      <c r="J13" s="315" t="s">
        <v>220</v>
      </c>
      <c r="K13" s="315" t="s">
        <v>240</v>
      </c>
      <c r="L13" s="317" t="s">
        <v>268</v>
      </c>
      <c r="M13" s="318" t="s">
        <v>269</v>
      </c>
      <c r="N13" s="98"/>
      <c r="O13" s="72" t="s">
        <v>225</v>
      </c>
      <c r="P13" s="12" t="s">
        <v>270</v>
      </c>
      <c r="Q13" s="242">
        <v>3.062232494354248</v>
      </c>
      <c r="R13" s="243"/>
      <c r="S13" s="242">
        <f t="shared" si="2"/>
        <v>0</v>
      </c>
      <c r="T13" s="150"/>
      <c r="V13" s="182" t="s">
        <v>219</v>
      </c>
      <c r="Z13" s="167"/>
    </row>
    <row r="14" spans="1:26" ht="409.6" x14ac:dyDescent="0.2">
      <c r="A14" s="49" t="s">
        <v>220</v>
      </c>
      <c r="B14" s="319" t="s">
        <v>4</v>
      </c>
      <c r="C14" s="320" t="s">
        <v>4</v>
      </c>
      <c r="D14" s="50" t="s">
        <v>271</v>
      </c>
      <c r="E14" s="315">
        <f t="shared" si="0"/>
        <v>1204</v>
      </c>
      <c r="F14" s="170" t="s">
        <v>272</v>
      </c>
      <c r="G14" s="315">
        <f t="shared" si="1"/>
        <v>1424</v>
      </c>
      <c r="H14" s="316" t="s">
        <v>239</v>
      </c>
      <c r="I14" s="315" t="s">
        <v>220</v>
      </c>
      <c r="J14" s="315" t="s">
        <v>220</v>
      </c>
      <c r="K14" s="315" t="s">
        <v>240</v>
      </c>
      <c r="L14" s="317" t="s">
        <v>273</v>
      </c>
      <c r="M14" s="318" t="s">
        <v>274</v>
      </c>
      <c r="N14" s="98"/>
      <c r="O14" s="72" t="s">
        <v>225</v>
      </c>
      <c r="P14" s="12" t="s">
        <v>275</v>
      </c>
      <c r="Q14" s="242">
        <v>50.822540283203125</v>
      </c>
      <c r="R14" s="243"/>
      <c r="S14" s="242">
        <f t="shared" si="2"/>
        <v>0</v>
      </c>
      <c r="T14" s="150"/>
      <c r="V14" s="182" t="s">
        <v>219</v>
      </c>
    </row>
    <row r="15" spans="1:26" s="153" customFormat="1" ht="119" x14ac:dyDescent="0.2">
      <c r="A15" s="49" t="s">
        <v>220</v>
      </c>
      <c r="B15" s="319" t="s">
        <v>276</v>
      </c>
      <c r="C15" s="320" t="s">
        <v>165</v>
      </c>
      <c r="D15" s="328" t="s">
        <v>277</v>
      </c>
      <c r="E15" s="315">
        <f t="shared" si="0"/>
        <v>134</v>
      </c>
      <c r="F15" s="555" t="s">
        <v>278</v>
      </c>
      <c r="G15" s="315">
        <f t="shared" si="1"/>
        <v>152</v>
      </c>
      <c r="H15" s="316" t="s">
        <v>279</v>
      </c>
      <c r="I15" s="315" t="s">
        <v>220</v>
      </c>
      <c r="J15" s="315" t="s">
        <v>220</v>
      </c>
      <c r="K15" s="315" t="s">
        <v>240</v>
      </c>
      <c r="L15" s="317" t="s">
        <v>280</v>
      </c>
      <c r="M15" s="317" t="s">
        <v>281</v>
      </c>
      <c r="N15" s="99"/>
      <c r="O15" s="72" t="s">
        <v>225</v>
      </c>
      <c r="P15" s="10"/>
      <c r="Q15" s="242">
        <v>3.4964737892150879</v>
      </c>
      <c r="R15" s="243">
        <v>1</v>
      </c>
      <c r="S15" s="242">
        <f t="shared" si="2"/>
        <v>3.4964737892150879</v>
      </c>
      <c r="T15" s="150"/>
      <c r="V15" s="182" t="s">
        <v>219</v>
      </c>
      <c r="W15" s="155"/>
      <c r="Z15" s="154"/>
    </row>
    <row r="16" spans="1:26" s="153" customFormat="1" ht="119" x14ac:dyDescent="0.2">
      <c r="A16" s="49" t="s">
        <v>220</v>
      </c>
      <c r="B16" s="319" t="s">
        <v>282</v>
      </c>
      <c r="C16" s="320" t="s">
        <v>282</v>
      </c>
      <c r="D16" s="334" t="s">
        <v>283</v>
      </c>
      <c r="E16" s="315">
        <f t="shared" si="0"/>
        <v>153</v>
      </c>
      <c r="F16" s="556" t="s">
        <v>284</v>
      </c>
      <c r="G16" s="315">
        <f t="shared" si="1"/>
        <v>178</v>
      </c>
      <c r="H16" s="316" t="s">
        <v>285</v>
      </c>
      <c r="I16" s="315" t="s">
        <v>220</v>
      </c>
      <c r="J16" s="315" t="s">
        <v>220</v>
      </c>
      <c r="K16" s="315" t="s">
        <v>286</v>
      </c>
      <c r="L16" s="317" t="s">
        <v>287</v>
      </c>
      <c r="M16" s="317" t="s">
        <v>288</v>
      </c>
      <c r="N16" s="99"/>
      <c r="O16" s="72" t="s">
        <v>289</v>
      </c>
      <c r="P16" s="10"/>
      <c r="Q16" s="242">
        <v>0</v>
      </c>
      <c r="R16" s="243">
        <v>1</v>
      </c>
      <c r="S16" s="242">
        <f t="shared" si="2"/>
        <v>0</v>
      </c>
      <c r="T16" s="150"/>
      <c r="V16" s="156" t="s">
        <v>219</v>
      </c>
      <c r="W16" s="155"/>
      <c r="Z16" s="154"/>
    </row>
    <row r="17" spans="1:26" s="153" customFormat="1" ht="51" x14ac:dyDescent="0.2">
      <c r="A17" s="49" t="s">
        <v>220</v>
      </c>
      <c r="B17" s="319" t="s">
        <v>290</v>
      </c>
      <c r="C17" s="320" t="s">
        <v>291</v>
      </c>
      <c r="D17" s="328" t="s">
        <v>292</v>
      </c>
      <c r="E17" s="315">
        <f t="shared" si="0"/>
        <v>80</v>
      </c>
      <c r="F17" s="556" t="s">
        <v>293</v>
      </c>
      <c r="G17" s="315">
        <f t="shared" si="1"/>
        <v>77</v>
      </c>
      <c r="H17" s="316" t="s">
        <v>222</v>
      </c>
      <c r="I17" s="315" t="s">
        <v>220</v>
      </c>
      <c r="J17" s="315" t="s">
        <v>220</v>
      </c>
      <c r="K17" s="315" t="s">
        <v>294</v>
      </c>
      <c r="L17" s="317" t="s">
        <v>295</v>
      </c>
      <c r="M17" s="317" t="s">
        <v>296</v>
      </c>
      <c r="N17" s="99"/>
      <c r="O17" s="72" t="s">
        <v>297</v>
      </c>
      <c r="P17" s="10"/>
      <c r="Q17" s="242">
        <v>0</v>
      </c>
      <c r="R17" s="243">
        <v>1</v>
      </c>
      <c r="S17" s="242">
        <f t="shared" si="2"/>
        <v>0</v>
      </c>
      <c r="T17" s="150"/>
      <c r="V17" s="156" t="s">
        <v>219</v>
      </c>
      <c r="W17" s="155"/>
      <c r="Z17" s="154"/>
    </row>
    <row r="18" spans="1:26" s="153" customFormat="1" ht="85" x14ac:dyDescent="0.2">
      <c r="A18" s="49" t="s">
        <v>220</v>
      </c>
      <c r="B18" s="319" t="s">
        <v>298</v>
      </c>
      <c r="C18" s="320" t="s">
        <v>299</v>
      </c>
      <c r="D18" s="328" t="s">
        <v>300</v>
      </c>
      <c r="E18" s="315">
        <f t="shared" si="0"/>
        <v>176</v>
      </c>
      <c r="F18" s="556" t="s">
        <v>301</v>
      </c>
      <c r="G18" s="315">
        <f t="shared" si="1"/>
        <v>211</v>
      </c>
      <c r="H18" s="316" t="s">
        <v>222</v>
      </c>
      <c r="I18" s="315" t="s">
        <v>220</v>
      </c>
      <c r="J18" s="315" t="s">
        <v>220</v>
      </c>
      <c r="K18" s="315" t="s">
        <v>223</v>
      </c>
      <c r="L18" s="317" t="s">
        <v>302</v>
      </c>
      <c r="M18" s="329" t="s">
        <v>220</v>
      </c>
      <c r="N18" s="96"/>
      <c r="O18" s="72" t="s">
        <v>297</v>
      </c>
      <c r="P18" s="10"/>
      <c r="Q18" s="242">
        <v>0</v>
      </c>
      <c r="R18" s="243">
        <v>1</v>
      </c>
      <c r="S18" s="242">
        <f t="shared" si="2"/>
        <v>0</v>
      </c>
      <c r="T18" s="150"/>
      <c r="V18" s="156" t="s">
        <v>219</v>
      </c>
      <c r="W18" s="155"/>
      <c r="Z18" s="154"/>
    </row>
    <row r="19" spans="1:26" s="153" customFormat="1" ht="50.25" customHeight="1" x14ac:dyDescent="0.2">
      <c r="A19" s="49" t="s">
        <v>220</v>
      </c>
      <c r="B19" s="319" t="s">
        <v>303</v>
      </c>
      <c r="C19" s="320" t="s">
        <v>220</v>
      </c>
      <c r="D19" s="328" t="s">
        <v>304</v>
      </c>
      <c r="E19" s="315">
        <f t="shared" si="0"/>
        <v>146</v>
      </c>
      <c r="F19" s="556" t="s">
        <v>305</v>
      </c>
      <c r="G19" s="315">
        <f t="shared" si="1"/>
        <v>172</v>
      </c>
      <c r="H19" s="316" t="s">
        <v>220</v>
      </c>
      <c r="I19" s="315" t="s">
        <v>220</v>
      </c>
      <c r="J19" s="315" t="s">
        <v>220</v>
      </c>
      <c r="K19" s="315" t="s">
        <v>220</v>
      </c>
      <c r="L19" s="317" t="s">
        <v>306</v>
      </c>
      <c r="M19" s="329" t="s">
        <v>220</v>
      </c>
      <c r="N19" s="96"/>
      <c r="O19" s="72" t="s">
        <v>220</v>
      </c>
      <c r="P19" s="10"/>
      <c r="Q19" s="242">
        <v>0</v>
      </c>
      <c r="R19" s="243">
        <v>1</v>
      </c>
      <c r="S19" s="242">
        <f t="shared" si="2"/>
        <v>0</v>
      </c>
      <c r="T19" s="150"/>
      <c r="V19" s="156" t="s">
        <v>219</v>
      </c>
      <c r="W19" s="155"/>
      <c r="Z19" s="154"/>
    </row>
    <row r="20" spans="1:26" s="153" customFormat="1" ht="50.25" customHeight="1" thickBot="1" x14ac:dyDescent="0.25">
      <c r="A20" s="286" t="s">
        <v>220</v>
      </c>
      <c r="B20" s="335" t="s">
        <v>307</v>
      </c>
      <c r="C20" s="336" t="s">
        <v>308</v>
      </c>
      <c r="D20" s="337" t="s">
        <v>309</v>
      </c>
      <c r="E20" s="338">
        <f t="shared" si="0"/>
        <v>65</v>
      </c>
      <c r="F20" s="557" t="s">
        <v>310</v>
      </c>
      <c r="G20" s="338">
        <f t="shared" si="1"/>
        <v>69</v>
      </c>
      <c r="H20" s="339" t="s">
        <v>220</v>
      </c>
      <c r="I20" s="338" t="s">
        <v>220</v>
      </c>
      <c r="J20" s="338" t="s">
        <v>220</v>
      </c>
      <c r="K20" s="338" t="s">
        <v>220</v>
      </c>
      <c r="L20" s="340" t="s">
        <v>311</v>
      </c>
      <c r="M20" s="329" t="s">
        <v>220</v>
      </c>
      <c r="N20" s="100"/>
      <c r="O20" s="188" t="s">
        <v>312</v>
      </c>
      <c r="P20" s="13"/>
      <c r="Q20" s="242">
        <v>0</v>
      </c>
      <c r="R20" s="243">
        <v>1</v>
      </c>
      <c r="S20" s="242">
        <f t="shared" si="2"/>
        <v>0</v>
      </c>
      <c r="T20" s="150"/>
      <c r="V20" s="156" t="s">
        <v>219</v>
      </c>
      <c r="W20" s="155"/>
      <c r="Z20" s="154"/>
    </row>
    <row r="21" spans="1:26" s="153" customFormat="1" ht="17" thickBot="1" x14ac:dyDescent="0.25">
      <c r="A21" s="591" t="s">
        <v>313</v>
      </c>
      <c r="B21" s="592"/>
      <c r="C21" s="592"/>
      <c r="D21" s="592"/>
      <c r="E21" s="592"/>
      <c r="F21" s="592"/>
      <c r="G21" s="592"/>
      <c r="H21" s="592"/>
      <c r="I21" s="592"/>
      <c r="J21" s="592"/>
      <c r="K21" s="592"/>
      <c r="L21" s="592"/>
      <c r="M21" s="592"/>
      <c r="N21" s="592"/>
      <c r="O21" s="592"/>
      <c r="P21" s="593"/>
      <c r="Q21" s="242"/>
      <c r="R21" s="243"/>
      <c r="S21" s="243"/>
      <c r="T21" s="150"/>
      <c r="V21" s="156"/>
      <c r="W21" s="155"/>
      <c r="Z21" s="154"/>
    </row>
    <row r="22" spans="1:26" s="153" customFormat="1" ht="68.25" customHeight="1" x14ac:dyDescent="0.2">
      <c r="A22" s="287" t="s">
        <v>220</v>
      </c>
      <c r="B22" s="341" t="s">
        <v>314</v>
      </c>
      <c r="C22" s="342" t="s">
        <v>314</v>
      </c>
      <c r="D22" s="343" t="s">
        <v>315</v>
      </c>
      <c r="E22" s="344">
        <f>LEN(D22)</f>
        <v>96</v>
      </c>
      <c r="F22" s="343" t="s">
        <v>316</v>
      </c>
      <c r="G22" s="344">
        <f>LEN(F22)</f>
        <v>122</v>
      </c>
      <c r="H22" s="345" t="s">
        <v>222</v>
      </c>
      <c r="I22" s="344" t="s">
        <v>220</v>
      </c>
      <c r="J22" s="344" t="s">
        <v>220</v>
      </c>
      <c r="K22" s="344" t="s">
        <v>223</v>
      </c>
      <c r="L22" s="346" t="s">
        <v>317</v>
      </c>
      <c r="M22" s="343" t="s">
        <v>318</v>
      </c>
      <c r="N22" s="187"/>
      <c r="O22" s="185" t="s">
        <v>319</v>
      </c>
      <c r="P22" s="80"/>
      <c r="Q22" s="351">
        <v>10</v>
      </c>
      <c r="R22" s="241">
        <f>1</f>
        <v>1</v>
      </c>
      <c r="S22" s="351">
        <f t="shared" ref="S22:S41" si="3">Q22*R22</f>
        <v>10</v>
      </c>
      <c r="T22" s="150"/>
      <c r="V22" s="156" t="s">
        <v>230</v>
      </c>
      <c r="W22" s="155"/>
      <c r="Z22" s="154" t="s">
        <v>320</v>
      </c>
    </row>
    <row r="23" spans="1:26" s="153" customFormat="1" ht="68" x14ac:dyDescent="0.2">
      <c r="A23" s="49" t="s">
        <v>220</v>
      </c>
      <c r="B23" s="341" t="s">
        <v>321</v>
      </c>
      <c r="C23" s="342" t="s">
        <v>321</v>
      </c>
      <c r="D23" s="343" t="s">
        <v>322</v>
      </c>
      <c r="E23" s="344">
        <f>LEN(D23)</f>
        <v>95</v>
      </c>
      <c r="F23" s="343" t="s">
        <v>323</v>
      </c>
      <c r="G23" s="344">
        <f>LEN(F23)</f>
        <v>138</v>
      </c>
      <c r="H23" s="345" t="s">
        <v>222</v>
      </c>
      <c r="I23" s="344" t="s">
        <v>220</v>
      </c>
      <c r="J23" s="344" t="s">
        <v>220</v>
      </c>
      <c r="K23" s="344" t="s">
        <v>223</v>
      </c>
      <c r="L23" s="346" t="s">
        <v>324</v>
      </c>
      <c r="M23" s="347" t="s">
        <v>325</v>
      </c>
      <c r="N23" s="187"/>
      <c r="O23" s="185" t="s">
        <v>319</v>
      </c>
      <c r="P23" s="80"/>
      <c r="Q23" s="351">
        <v>10</v>
      </c>
      <c r="R23" s="241">
        <f>1</f>
        <v>1</v>
      </c>
      <c r="S23" s="351">
        <f t="shared" si="3"/>
        <v>10</v>
      </c>
      <c r="T23" s="150"/>
      <c r="V23" s="156" t="s">
        <v>230</v>
      </c>
      <c r="W23" s="155"/>
      <c r="Z23" s="154" t="s">
        <v>320</v>
      </c>
    </row>
    <row r="24" spans="1:26" s="153" customFormat="1" ht="85" x14ac:dyDescent="0.2">
      <c r="A24" s="113">
        <v>1</v>
      </c>
      <c r="B24" s="348" t="s">
        <v>6</v>
      </c>
      <c r="C24" s="349" t="s">
        <v>6</v>
      </c>
      <c r="D24" s="323" t="s">
        <v>326</v>
      </c>
      <c r="E24" s="342">
        <f>LEN(D24)</f>
        <v>177</v>
      </c>
      <c r="F24" s="343" t="s">
        <v>327</v>
      </c>
      <c r="G24" s="342">
        <f>LEN(F24)</f>
        <v>226</v>
      </c>
      <c r="H24" s="342" t="s">
        <v>328</v>
      </c>
      <c r="I24" s="342" t="s">
        <v>220</v>
      </c>
      <c r="J24" s="342" t="s">
        <v>220</v>
      </c>
      <c r="K24" s="342" t="s">
        <v>223</v>
      </c>
      <c r="L24" s="325" t="s">
        <v>329</v>
      </c>
      <c r="M24" s="350" t="s">
        <v>330</v>
      </c>
      <c r="N24" s="186"/>
      <c r="O24" s="185" t="s">
        <v>319</v>
      </c>
      <c r="P24" s="80"/>
      <c r="Q24" s="351">
        <v>13.753072738647461</v>
      </c>
      <c r="R24" s="241">
        <f>1</f>
        <v>1</v>
      </c>
      <c r="S24" s="351">
        <f t="shared" si="3"/>
        <v>13.753072738647461</v>
      </c>
      <c r="T24" s="150"/>
      <c r="V24" s="182" t="s">
        <v>230</v>
      </c>
      <c r="W24" s="155"/>
      <c r="Z24" s="154"/>
    </row>
    <row r="25" spans="1:26" s="153" customFormat="1" ht="153" x14ac:dyDescent="0.2">
      <c r="A25" s="113">
        <f>A24+1</f>
        <v>2</v>
      </c>
      <c r="B25" s="319" t="s">
        <v>7</v>
      </c>
      <c r="C25" s="320" t="s">
        <v>7</v>
      </c>
      <c r="D25" s="328" t="s">
        <v>331</v>
      </c>
      <c r="E25" s="315">
        <f>LEN(D25)</f>
        <v>168</v>
      </c>
      <c r="F25" s="328" t="s">
        <v>332</v>
      </c>
      <c r="G25" s="315">
        <f>LEN(F25)</f>
        <v>171</v>
      </c>
      <c r="H25" s="316" t="s">
        <v>239</v>
      </c>
      <c r="I25" s="315" t="s">
        <v>220</v>
      </c>
      <c r="J25" s="315" t="s">
        <v>220</v>
      </c>
      <c r="K25" s="315" t="s">
        <v>240</v>
      </c>
      <c r="L25" s="317" t="s">
        <v>1464</v>
      </c>
      <c r="M25" s="325" t="s">
        <v>1465</v>
      </c>
      <c r="N25" s="101"/>
      <c r="O25" s="72" t="s">
        <v>333</v>
      </c>
      <c r="P25" s="10"/>
      <c r="Q25" s="351">
        <v>2.1173560619354248</v>
      </c>
      <c r="R25" s="241">
        <f>1</f>
        <v>1</v>
      </c>
      <c r="S25" s="351">
        <f t="shared" si="3"/>
        <v>2.1173560619354248</v>
      </c>
      <c r="T25" s="150"/>
      <c r="V25" s="182" t="s">
        <v>230</v>
      </c>
      <c r="W25" s="155"/>
      <c r="Z25" s="154"/>
    </row>
    <row r="26" spans="1:26" s="153" customFormat="1" x14ac:dyDescent="0.2">
      <c r="A26" s="113"/>
      <c r="B26" s="232"/>
      <c r="C26" s="114"/>
      <c r="D26" s="144"/>
      <c r="E26" s="51"/>
      <c r="F26" s="144"/>
      <c r="G26" s="51"/>
      <c r="H26" s="115"/>
      <c r="I26" s="51"/>
      <c r="J26" s="51"/>
      <c r="K26" s="51"/>
      <c r="L26" s="101"/>
      <c r="M26" s="101"/>
      <c r="N26" s="101"/>
      <c r="O26" s="72"/>
      <c r="P26" s="10"/>
      <c r="Q26" s="242"/>
      <c r="R26" s="243">
        <f>1</f>
        <v>1</v>
      </c>
      <c r="S26" s="242">
        <f t="shared" si="3"/>
        <v>0</v>
      </c>
      <c r="T26" s="150"/>
      <c r="V26" s="182"/>
      <c r="W26" s="155"/>
      <c r="Z26" s="154"/>
    </row>
    <row r="27" spans="1:26" s="262" customFormat="1" ht="153" x14ac:dyDescent="0.2">
      <c r="A27" s="288"/>
      <c r="B27" s="352" t="s">
        <v>334</v>
      </c>
      <c r="C27" s="353" t="s">
        <v>334</v>
      </c>
      <c r="D27" s="354" t="s">
        <v>335</v>
      </c>
      <c r="E27" s="355">
        <f t="shared" ref="E27:E34" si="4">LEN(D27)</f>
        <v>135</v>
      </c>
      <c r="F27" s="358" t="s">
        <v>336</v>
      </c>
      <c r="G27" s="355">
        <f t="shared" ref="G27:G34" si="5">LEN(F27)</f>
        <v>182</v>
      </c>
      <c r="H27" s="356" t="s">
        <v>239</v>
      </c>
      <c r="I27" s="355" t="s">
        <v>220</v>
      </c>
      <c r="J27" s="355" t="s">
        <v>220</v>
      </c>
      <c r="K27" s="355" t="s">
        <v>240</v>
      </c>
      <c r="L27" s="357" t="s">
        <v>337</v>
      </c>
      <c r="M27" s="357" t="s">
        <v>338</v>
      </c>
      <c r="N27" s="266"/>
      <c r="O27" s="267" t="s">
        <v>333</v>
      </c>
      <c r="P27" s="268"/>
      <c r="Q27" s="369">
        <v>10</v>
      </c>
      <c r="R27" s="253">
        <f>1</f>
        <v>1</v>
      </c>
      <c r="S27" s="369">
        <f t="shared" si="3"/>
        <v>10</v>
      </c>
      <c r="T27" s="261"/>
      <c r="V27" s="256" t="s">
        <v>339</v>
      </c>
      <c r="W27" s="263"/>
      <c r="Z27" s="290" t="s">
        <v>320</v>
      </c>
    </row>
    <row r="28" spans="1:26" s="262" customFormat="1" ht="51" x14ac:dyDescent="0.2">
      <c r="A28" s="288"/>
      <c r="B28" s="352" t="s">
        <v>340</v>
      </c>
      <c r="C28" s="353" t="s">
        <v>341</v>
      </c>
      <c r="D28" s="354" t="s">
        <v>342</v>
      </c>
      <c r="E28" s="355">
        <f t="shared" si="4"/>
        <v>26</v>
      </c>
      <c r="F28" s="358" t="s">
        <v>343</v>
      </c>
      <c r="G28" s="355">
        <f t="shared" si="5"/>
        <v>36</v>
      </c>
      <c r="H28" s="356" t="s">
        <v>222</v>
      </c>
      <c r="I28" s="355" t="s">
        <v>220</v>
      </c>
      <c r="J28" s="355" t="s">
        <v>220</v>
      </c>
      <c r="K28" s="355" t="s">
        <v>223</v>
      </c>
      <c r="L28" s="357" t="s">
        <v>344</v>
      </c>
      <c r="M28" s="359" t="s">
        <v>345</v>
      </c>
      <c r="N28" s="269"/>
      <c r="O28" s="267" t="s">
        <v>346</v>
      </c>
      <c r="P28" s="268"/>
      <c r="Q28" s="369">
        <v>10</v>
      </c>
      <c r="R28" s="253">
        <f>1</f>
        <v>1</v>
      </c>
      <c r="S28" s="369">
        <f t="shared" si="3"/>
        <v>10</v>
      </c>
      <c r="T28" s="261"/>
      <c r="V28" s="256" t="s">
        <v>339</v>
      </c>
      <c r="W28" s="263"/>
      <c r="Z28" s="290" t="s">
        <v>320</v>
      </c>
    </row>
    <row r="29" spans="1:26" s="262" customFormat="1" ht="170" x14ac:dyDescent="0.2">
      <c r="A29" s="259"/>
      <c r="B29" s="360" t="s">
        <v>347</v>
      </c>
      <c r="C29" s="361" t="s">
        <v>347</v>
      </c>
      <c r="D29" s="362" t="s">
        <v>348</v>
      </c>
      <c r="E29" s="363">
        <f t="shared" si="4"/>
        <v>211</v>
      </c>
      <c r="F29" s="364" t="s">
        <v>349</v>
      </c>
      <c r="G29" s="363">
        <f t="shared" si="5"/>
        <v>249</v>
      </c>
      <c r="H29" s="365" t="s">
        <v>239</v>
      </c>
      <c r="I29" s="363" t="s">
        <v>220</v>
      </c>
      <c r="J29" s="363" t="s">
        <v>220</v>
      </c>
      <c r="K29" s="363" t="s">
        <v>240</v>
      </c>
      <c r="L29" s="366" t="s">
        <v>350</v>
      </c>
      <c r="M29" s="367" t="s">
        <v>351</v>
      </c>
      <c r="N29" s="270"/>
      <c r="O29" s="271" t="s">
        <v>333</v>
      </c>
      <c r="P29" s="265"/>
      <c r="Q29" s="369">
        <v>10</v>
      </c>
      <c r="R29" s="253">
        <f>1</f>
        <v>1</v>
      </c>
      <c r="S29" s="369">
        <f t="shared" si="3"/>
        <v>10</v>
      </c>
      <c r="T29" s="261"/>
      <c r="V29" s="256" t="s">
        <v>339</v>
      </c>
      <c r="W29" s="263"/>
      <c r="Z29" s="290" t="s">
        <v>320</v>
      </c>
    </row>
    <row r="30" spans="1:26" s="262" customFormat="1" ht="51" x14ac:dyDescent="0.2">
      <c r="A30" s="259"/>
      <c r="B30" s="360" t="s">
        <v>352</v>
      </c>
      <c r="C30" s="361" t="s">
        <v>352</v>
      </c>
      <c r="D30" s="362" t="s">
        <v>353</v>
      </c>
      <c r="E30" s="363">
        <f t="shared" si="4"/>
        <v>36</v>
      </c>
      <c r="F30" s="364" t="s">
        <v>354</v>
      </c>
      <c r="G30" s="363">
        <f t="shared" si="5"/>
        <v>40</v>
      </c>
      <c r="H30" s="365" t="s">
        <v>222</v>
      </c>
      <c r="I30" s="363" t="s">
        <v>220</v>
      </c>
      <c r="J30" s="363" t="s">
        <v>220</v>
      </c>
      <c r="K30" s="363" t="s">
        <v>223</v>
      </c>
      <c r="L30" s="366" t="s">
        <v>355</v>
      </c>
      <c r="M30" s="368" t="s">
        <v>356</v>
      </c>
      <c r="N30" s="272"/>
      <c r="O30" s="271" t="s">
        <v>357</v>
      </c>
      <c r="P30" s="265"/>
      <c r="Q30" s="369">
        <v>10</v>
      </c>
      <c r="R30" s="253">
        <f>1</f>
        <v>1</v>
      </c>
      <c r="S30" s="369">
        <f t="shared" si="3"/>
        <v>10</v>
      </c>
      <c r="T30" s="261"/>
      <c r="V30" s="256" t="s">
        <v>339</v>
      </c>
      <c r="W30" s="263"/>
      <c r="Z30" s="290" t="s">
        <v>320</v>
      </c>
    </row>
    <row r="31" spans="1:26" s="262" customFormat="1" ht="68" x14ac:dyDescent="0.2">
      <c r="A31" s="259"/>
      <c r="B31" s="360" t="s">
        <v>358</v>
      </c>
      <c r="C31" s="361" t="s">
        <v>358</v>
      </c>
      <c r="D31" s="362" t="s">
        <v>359</v>
      </c>
      <c r="E31" s="363">
        <f t="shared" si="4"/>
        <v>32</v>
      </c>
      <c r="F31" s="364" t="s">
        <v>360</v>
      </c>
      <c r="G31" s="363">
        <f t="shared" si="5"/>
        <v>61</v>
      </c>
      <c r="H31" s="365" t="s">
        <v>222</v>
      </c>
      <c r="I31" s="363" t="s">
        <v>220</v>
      </c>
      <c r="J31" s="363" t="s">
        <v>361</v>
      </c>
      <c r="K31" s="363" t="s">
        <v>223</v>
      </c>
      <c r="L31" s="366" t="s">
        <v>362</v>
      </c>
      <c r="M31" s="368" t="s">
        <v>363</v>
      </c>
      <c r="N31" s="249"/>
      <c r="O31" s="271" t="s">
        <v>364</v>
      </c>
      <c r="P31" s="265"/>
      <c r="Q31" s="369">
        <v>10</v>
      </c>
      <c r="R31" s="253">
        <f>1</f>
        <v>1</v>
      </c>
      <c r="S31" s="369">
        <f t="shared" si="3"/>
        <v>10</v>
      </c>
      <c r="T31" s="261"/>
      <c r="V31" s="256" t="s">
        <v>339</v>
      </c>
      <c r="W31" s="263"/>
      <c r="Z31" s="290"/>
    </row>
    <row r="32" spans="1:26" s="262" customFormat="1" ht="170" x14ac:dyDescent="0.2">
      <c r="A32" s="259"/>
      <c r="B32" s="360" t="s">
        <v>365</v>
      </c>
      <c r="C32" s="361" t="s">
        <v>365</v>
      </c>
      <c r="D32" s="362" t="s">
        <v>348</v>
      </c>
      <c r="E32" s="363">
        <f t="shared" si="4"/>
        <v>211</v>
      </c>
      <c r="F32" s="364" t="s">
        <v>349</v>
      </c>
      <c r="G32" s="363">
        <f t="shared" si="5"/>
        <v>249</v>
      </c>
      <c r="H32" s="365" t="s">
        <v>239</v>
      </c>
      <c r="I32" s="363" t="s">
        <v>220</v>
      </c>
      <c r="J32" s="363" t="s">
        <v>220</v>
      </c>
      <c r="K32" s="363" t="s">
        <v>240</v>
      </c>
      <c r="L32" s="366" t="s">
        <v>366</v>
      </c>
      <c r="M32" s="367" t="s">
        <v>367</v>
      </c>
      <c r="N32" s="270"/>
      <c r="O32" s="271" t="s">
        <v>357</v>
      </c>
      <c r="P32" s="265"/>
      <c r="Q32" s="369">
        <v>10</v>
      </c>
      <c r="R32" s="253">
        <f>1</f>
        <v>1</v>
      </c>
      <c r="S32" s="369">
        <f t="shared" si="3"/>
        <v>10</v>
      </c>
      <c r="T32" s="261"/>
      <c r="V32" s="256" t="s">
        <v>339</v>
      </c>
      <c r="W32" s="263"/>
      <c r="Z32" s="290" t="s">
        <v>320</v>
      </c>
    </row>
    <row r="33" spans="1:26" s="262" customFormat="1" ht="51" x14ac:dyDescent="0.2">
      <c r="A33" s="259"/>
      <c r="B33" s="360" t="s">
        <v>368</v>
      </c>
      <c r="C33" s="361" t="s">
        <v>368</v>
      </c>
      <c r="D33" s="362" t="s">
        <v>353</v>
      </c>
      <c r="E33" s="363">
        <f t="shared" si="4"/>
        <v>36</v>
      </c>
      <c r="F33" s="364" t="s">
        <v>354</v>
      </c>
      <c r="G33" s="363">
        <f t="shared" si="5"/>
        <v>40</v>
      </c>
      <c r="H33" s="365" t="s">
        <v>222</v>
      </c>
      <c r="I33" s="363" t="s">
        <v>220</v>
      </c>
      <c r="J33" s="363" t="s">
        <v>220</v>
      </c>
      <c r="K33" s="363" t="s">
        <v>223</v>
      </c>
      <c r="L33" s="366" t="s">
        <v>369</v>
      </c>
      <c r="M33" s="368" t="s">
        <v>370</v>
      </c>
      <c r="N33" s="272"/>
      <c r="O33" s="271" t="s">
        <v>371</v>
      </c>
      <c r="P33" s="265"/>
      <c r="Q33" s="369">
        <v>10</v>
      </c>
      <c r="R33" s="253">
        <f>1</f>
        <v>1</v>
      </c>
      <c r="S33" s="369">
        <f t="shared" si="3"/>
        <v>10</v>
      </c>
      <c r="T33" s="261"/>
      <c r="V33" s="256" t="s">
        <v>339</v>
      </c>
      <c r="W33" s="263"/>
      <c r="Z33" s="290" t="s">
        <v>320</v>
      </c>
    </row>
    <row r="34" spans="1:26" s="262" customFormat="1" ht="68" x14ac:dyDescent="0.2">
      <c r="A34" s="259"/>
      <c r="B34" s="360" t="s">
        <v>372</v>
      </c>
      <c r="C34" s="360" t="s">
        <v>373</v>
      </c>
      <c r="D34" s="362" t="s">
        <v>359</v>
      </c>
      <c r="E34" s="363">
        <f t="shared" si="4"/>
        <v>32</v>
      </c>
      <c r="F34" s="364" t="s">
        <v>360</v>
      </c>
      <c r="G34" s="363">
        <f t="shared" si="5"/>
        <v>61</v>
      </c>
      <c r="H34" s="365" t="s">
        <v>222</v>
      </c>
      <c r="I34" s="363" t="s">
        <v>220</v>
      </c>
      <c r="J34" s="363" t="s">
        <v>374</v>
      </c>
      <c r="K34" s="363" t="s">
        <v>223</v>
      </c>
      <c r="L34" s="366" t="s">
        <v>375</v>
      </c>
      <c r="M34" s="368" t="s">
        <v>376</v>
      </c>
      <c r="N34" s="249"/>
      <c r="O34" s="271" t="s">
        <v>377</v>
      </c>
      <c r="P34" s="265"/>
      <c r="Q34" s="369">
        <v>10</v>
      </c>
      <c r="R34" s="253">
        <f>1</f>
        <v>1</v>
      </c>
      <c r="S34" s="369">
        <f t="shared" si="3"/>
        <v>10</v>
      </c>
      <c r="T34" s="261"/>
      <c r="V34" s="256" t="s">
        <v>339</v>
      </c>
      <c r="W34" s="263"/>
      <c r="Z34" s="290"/>
    </row>
    <row r="35" spans="1:26" s="147" customFormat="1" x14ac:dyDescent="0.2">
      <c r="A35" s="86"/>
      <c r="B35" s="216"/>
      <c r="C35" s="216"/>
      <c r="D35" s="91"/>
      <c r="E35" s="87"/>
      <c r="F35" s="91"/>
      <c r="G35" s="87"/>
      <c r="H35" s="88"/>
      <c r="I35" s="87"/>
      <c r="J35" s="87"/>
      <c r="K35" s="87"/>
      <c r="L35" s="89"/>
      <c r="M35" s="92"/>
      <c r="N35" s="93"/>
      <c r="O35" s="90"/>
      <c r="P35" s="82"/>
      <c r="Q35" s="242"/>
      <c r="R35" s="243">
        <f>1</f>
        <v>1</v>
      </c>
      <c r="S35" s="242">
        <f t="shared" si="3"/>
        <v>0</v>
      </c>
      <c r="T35" s="150"/>
      <c r="V35" s="149"/>
      <c r="W35" s="148"/>
      <c r="Z35" s="183"/>
    </row>
    <row r="36" spans="1:26" s="153" customFormat="1" ht="187" x14ac:dyDescent="0.2">
      <c r="A36" s="113">
        <v>3</v>
      </c>
      <c r="B36" s="321" t="s">
        <v>378</v>
      </c>
      <c r="C36" s="320" t="s">
        <v>378</v>
      </c>
      <c r="D36" s="323" t="s">
        <v>379</v>
      </c>
      <c r="E36" s="324">
        <f>LEN(D36)</f>
        <v>229</v>
      </c>
      <c r="F36" s="343" t="s">
        <v>380</v>
      </c>
      <c r="G36" s="324">
        <f>LEN(F36)</f>
        <v>273</v>
      </c>
      <c r="H36" s="370" t="s">
        <v>239</v>
      </c>
      <c r="I36" s="324" t="s">
        <v>220</v>
      </c>
      <c r="J36" s="324" t="s">
        <v>220</v>
      </c>
      <c r="K36" s="324" t="s">
        <v>381</v>
      </c>
      <c r="L36" s="371" t="s">
        <v>382</v>
      </c>
      <c r="M36" s="610" t="s">
        <v>383</v>
      </c>
      <c r="N36" s="246"/>
      <c r="O36" s="72" t="s">
        <v>333</v>
      </c>
      <c r="P36" s="10"/>
      <c r="Q36" s="351">
        <v>8.8000000000000007</v>
      </c>
      <c r="R36" s="241">
        <f>1</f>
        <v>1</v>
      </c>
      <c r="S36" s="351">
        <f t="shared" si="3"/>
        <v>8.8000000000000007</v>
      </c>
      <c r="T36" s="150"/>
      <c r="V36" s="182" t="s">
        <v>230</v>
      </c>
      <c r="W36" s="155"/>
      <c r="Z36" s="154"/>
    </row>
    <row r="37" spans="1:26" s="153" customFormat="1" ht="136" x14ac:dyDescent="0.2">
      <c r="A37" s="49">
        <f>A36+1</f>
        <v>4</v>
      </c>
      <c r="B37" s="319" t="s">
        <v>384</v>
      </c>
      <c r="C37" s="320" t="s">
        <v>384</v>
      </c>
      <c r="D37" s="372" t="s">
        <v>385</v>
      </c>
      <c r="E37" s="315">
        <f>LEN(D37)</f>
        <v>123</v>
      </c>
      <c r="F37" s="372" t="s">
        <v>386</v>
      </c>
      <c r="G37" s="315">
        <f>LEN(F37)</f>
        <v>134</v>
      </c>
      <c r="H37" s="316" t="s">
        <v>239</v>
      </c>
      <c r="I37" s="315" t="s">
        <v>220</v>
      </c>
      <c r="J37" s="315" t="s">
        <v>220</v>
      </c>
      <c r="K37" s="315" t="s">
        <v>387</v>
      </c>
      <c r="L37" s="373" t="s">
        <v>388</v>
      </c>
      <c r="M37" s="611"/>
      <c r="N37" s="613"/>
      <c r="O37" s="72" t="s">
        <v>389</v>
      </c>
      <c r="P37" s="615"/>
      <c r="Q37" s="351">
        <v>10.4</v>
      </c>
      <c r="R37" s="241">
        <f>1</f>
        <v>1</v>
      </c>
      <c r="S37" s="351">
        <f t="shared" si="3"/>
        <v>10.4</v>
      </c>
      <c r="T37" s="150"/>
      <c r="V37" s="182" t="s">
        <v>230</v>
      </c>
      <c r="W37" s="155"/>
      <c r="Z37" s="154"/>
    </row>
    <row r="38" spans="1:26" s="153" customFormat="1" ht="136" x14ac:dyDescent="0.2">
      <c r="A38" s="49">
        <v>4</v>
      </c>
      <c r="B38" s="319" t="s">
        <v>390</v>
      </c>
      <c r="C38" s="320" t="s">
        <v>390</v>
      </c>
      <c r="D38" s="372" t="s">
        <v>391</v>
      </c>
      <c r="E38" s="315">
        <f>LEN(D38)</f>
        <v>125</v>
      </c>
      <c r="F38" s="372" t="s">
        <v>392</v>
      </c>
      <c r="G38" s="315">
        <f>LEN(F38)</f>
        <v>135</v>
      </c>
      <c r="H38" s="316" t="s">
        <v>239</v>
      </c>
      <c r="I38" s="315" t="s">
        <v>220</v>
      </c>
      <c r="J38" s="315" t="s">
        <v>220</v>
      </c>
      <c r="K38" s="315" t="s">
        <v>387</v>
      </c>
      <c r="L38" s="373" t="s">
        <v>388</v>
      </c>
      <c r="M38" s="612"/>
      <c r="N38" s="614"/>
      <c r="O38" s="72" t="s">
        <v>393</v>
      </c>
      <c r="P38" s="616"/>
      <c r="Q38" s="351"/>
      <c r="R38" s="241">
        <f>1</f>
        <v>1</v>
      </c>
      <c r="S38" s="351">
        <f t="shared" si="3"/>
        <v>0</v>
      </c>
      <c r="T38" s="150"/>
      <c r="V38" s="182" t="s">
        <v>230</v>
      </c>
      <c r="W38" s="155"/>
      <c r="Z38" s="154"/>
    </row>
    <row r="39" spans="1:26" s="153" customFormat="1" ht="170" x14ac:dyDescent="0.2">
      <c r="A39" s="49">
        <f>A38+1</f>
        <v>5</v>
      </c>
      <c r="B39" s="319" t="s">
        <v>8</v>
      </c>
      <c r="C39" s="320" t="s">
        <v>8</v>
      </c>
      <c r="D39" s="328" t="s">
        <v>394</v>
      </c>
      <c r="E39" s="315">
        <f>LEN(D39)</f>
        <v>218</v>
      </c>
      <c r="F39" s="275" t="s">
        <v>395</v>
      </c>
      <c r="G39" s="315">
        <f>LEN(F39)</f>
        <v>251</v>
      </c>
      <c r="H39" s="316" t="s">
        <v>239</v>
      </c>
      <c r="I39" s="315" t="s">
        <v>220</v>
      </c>
      <c r="J39" s="315" t="s">
        <v>220</v>
      </c>
      <c r="K39" s="315" t="s">
        <v>240</v>
      </c>
      <c r="L39" s="317" t="s">
        <v>396</v>
      </c>
      <c r="M39" s="325" t="s">
        <v>397</v>
      </c>
      <c r="N39" s="101"/>
      <c r="O39" s="72" t="s">
        <v>333</v>
      </c>
      <c r="P39" s="10"/>
      <c r="Q39" s="351">
        <v>2.284250020980835</v>
      </c>
      <c r="R39" s="241">
        <f>1</f>
        <v>1</v>
      </c>
      <c r="S39" s="351">
        <f t="shared" si="3"/>
        <v>2.284250020980835</v>
      </c>
      <c r="T39" s="150"/>
      <c r="V39" s="156" t="s">
        <v>219</v>
      </c>
      <c r="W39" s="155"/>
      <c r="Z39" s="154"/>
    </row>
    <row r="40" spans="1:26" s="153" customFormat="1" ht="289" x14ac:dyDescent="0.2">
      <c r="A40" s="127">
        <f>A39+1</f>
        <v>6</v>
      </c>
      <c r="B40" s="374" t="s">
        <v>9</v>
      </c>
      <c r="C40" s="375" t="s">
        <v>9</v>
      </c>
      <c r="D40" s="376" t="s">
        <v>398</v>
      </c>
      <c r="E40" s="377">
        <f>LEN(D40)</f>
        <v>563</v>
      </c>
      <c r="F40" s="378" t="s">
        <v>399</v>
      </c>
      <c r="G40" s="377">
        <f>LEN(F40)</f>
        <v>671</v>
      </c>
      <c r="H40" s="379" t="s">
        <v>239</v>
      </c>
      <c r="I40" s="377" t="s">
        <v>220</v>
      </c>
      <c r="J40" s="377" t="s">
        <v>220</v>
      </c>
      <c r="K40" s="377" t="s">
        <v>240</v>
      </c>
      <c r="L40" s="380" t="s">
        <v>400</v>
      </c>
      <c r="M40" s="381" t="s">
        <v>401</v>
      </c>
      <c r="N40" s="102"/>
      <c r="O40" s="146" t="s">
        <v>402</v>
      </c>
      <c r="P40" s="25"/>
      <c r="Q40" s="351">
        <v>31.372377395629883</v>
      </c>
      <c r="R40" s="241">
        <f>1</f>
        <v>1</v>
      </c>
      <c r="S40" s="351">
        <f t="shared" si="3"/>
        <v>31.372377395629883</v>
      </c>
      <c r="T40" s="150"/>
      <c r="V40" s="182" t="s">
        <v>230</v>
      </c>
      <c r="W40" s="155"/>
      <c r="Z40" s="154"/>
    </row>
    <row r="41" spans="1:26" s="153" customFormat="1" ht="17" thickBot="1" x14ac:dyDescent="0.25">
      <c r="A41" s="116"/>
      <c r="B41" s="233"/>
      <c r="C41" s="240"/>
      <c r="D41" s="103"/>
      <c r="E41" s="117"/>
      <c r="F41" s="103"/>
      <c r="G41" s="117"/>
      <c r="H41" s="118"/>
      <c r="I41" s="117"/>
      <c r="J41" s="117"/>
      <c r="K41" s="117"/>
      <c r="L41" s="103"/>
      <c r="M41" s="103"/>
      <c r="N41" s="103"/>
      <c r="O41" s="103"/>
      <c r="P41" s="25"/>
      <c r="Q41" s="242"/>
      <c r="R41" s="243">
        <f>1</f>
        <v>1</v>
      </c>
      <c r="S41" s="242">
        <f t="shared" si="3"/>
        <v>0</v>
      </c>
      <c r="T41" s="150"/>
      <c r="V41" s="182"/>
      <c r="W41" s="155"/>
      <c r="Z41" s="154"/>
    </row>
    <row r="42" spans="1:26" s="153" customFormat="1" ht="17" thickBot="1" x14ac:dyDescent="0.25">
      <c r="A42" s="591" t="s">
        <v>403</v>
      </c>
      <c r="B42" s="592"/>
      <c r="C42" s="592"/>
      <c r="D42" s="592"/>
      <c r="E42" s="592"/>
      <c r="F42" s="592"/>
      <c r="G42" s="592"/>
      <c r="H42" s="592"/>
      <c r="I42" s="592"/>
      <c r="J42" s="592"/>
      <c r="K42" s="592"/>
      <c r="L42" s="592"/>
      <c r="M42" s="592"/>
      <c r="N42" s="592"/>
      <c r="O42" s="592"/>
      <c r="P42" s="593"/>
      <c r="Q42" s="242"/>
      <c r="R42" s="243"/>
      <c r="S42" s="242"/>
      <c r="T42" s="150"/>
      <c r="V42" s="156"/>
      <c r="W42" s="155"/>
      <c r="Z42" s="154"/>
    </row>
    <row r="43" spans="1:26" s="153" customFormat="1" x14ac:dyDescent="0.2">
      <c r="A43" s="181"/>
      <c r="B43" s="181"/>
      <c r="C43" s="181"/>
      <c r="D43" s="120"/>
      <c r="E43" s="181"/>
      <c r="F43" s="120"/>
      <c r="G43" s="181"/>
      <c r="H43" s="181"/>
      <c r="I43" s="181"/>
      <c r="J43" s="181"/>
      <c r="K43" s="181"/>
      <c r="L43" s="181"/>
      <c r="M43" s="181"/>
      <c r="N43" s="181"/>
      <c r="O43" s="181"/>
      <c r="P43" s="56"/>
      <c r="Q43" s="242"/>
      <c r="R43" s="243">
        <f>1</f>
        <v>1</v>
      </c>
      <c r="S43" s="242">
        <f t="shared" ref="S43:S57" si="6">Q43*R43</f>
        <v>0</v>
      </c>
      <c r="T43" s="150"/>
      <c r="V43" s="156"/>
      <c r="W43" s="155"/>
      <c r="Z43" s="154"/>
    </row>
    <row r="44" spans="1:26" s="153" customFormat="1" ht="136" x14ac:dyDescent="0.2">
      <c r="A44" s="113">
        <f>A40+1</f>
        <v>7</v>
      </c>
      <c r="B44" s="321" t="s">
        <v>11</v>
      </c>
      <c r="C44" s="320" t="s">
        <v>11</v>
      </c>
      <c r="D44" s="382" t="s">
        <v>404</v>
      </c>
      <c r="E44" s="324">
        <f>LEN(D44)</f>
        <v>116</v>
      </c>
      <c r="F44" s="275" t="s">
        <v>405</v>
      </c>
      <c r="G44" s="324">
        <f>LEN(F44)</f>
        <v>135</v>
      </c>
      <c r="H44" s="320" t="s">
        <v>239</v>
      </c>
      <c r="I44" s="324" t="s">
        <v>220</v>
      </c>
      <c r="J44" s="324" t="s">
        <v>220</v>
      </c>
      <c r="K44" s="324" t="s">
        <v>240</v>
      </c>
      <c r="L44" s="325" t="s">
        <v>406</v>
      </c>
      <c r="M44" s="325" t="s">
        <v>407</v>
      </c>
      <c r="N44" s="101"/>
      <c r="O44" s="152" t="s">
        <v>408</v>
      </c>
      <c r="P44" s="56"/>
      <c r="Q44" s="351">
        <v>10.085731506347656</v>
      </c>
      <c r="R44" s="241">
        <f>1</f>
        <v>1</v>
      </c>
      <c r="S44" s="351">
        <f t="shared" si="6"/>
        <v>10.085731506347656</v>
      </c>
      <c r="T44" s="150"/>
      <c r="V44" s="156" t="s">
        <v>230</v>
      </c>
      <c r="W44" s="155"/>
      <c r="Z44" s="154"/>
    </row>
    <row r="45" spans="1:26" s="153" customFormat="1" x14ac:dyDescent="0.2">
      <c r="A45" s="113"/>
      <c r="B45" s="232"/>
      <c r="C45" s="114"/>
      <c r="D45" s="119"/>
      <c r="E45" s="120"/>
      <c r="F45" s="119"/>
      <c r="G45" s="120"/>
      <c r="H45" s="114"/>
      <c r="I45" s="120"/>
      <c r="J45" s="120"/>
      <c r="K45" s="120"/>
      <c r="L45" s="101"/>
      <c r="M45" s="101"/>
      <c r="N45" s="101"/>
      <c r="O45" s="152"/>
      <c r="P45" s="56"/>
      <c r="Q45" s="242"/>
      <c r="R45" s="243">
        <f>1</f>
        <v>1</v>
      </c>
      <c r="S45" s="242">
        <f t="shared" si="6"/>
        <v>0</v>
      </c>
      <c r="T45" s="150"/>
      <c r="V45" s="156"/>
      <c r="W45" s="155"/>
      <c r="Z45" s="154"/>
    </row>
    <row r="46" spans="1:26" s="153" customFormat="1" ht="187" x14ac:dyDescent="0.2">
      <c r="A46" s="49">
        <f>A44+1</f>
        <v>8</v>
      </c>
      <c r="B46" s="319" t="s">
        <v>12</v>
      </c>
      <c r="C46" s="320" t="s">
        <v>12</v>
      </c>
      <c r="D46" s="558" t="s">
        <v>409</v>
      </c>
      <c r="E46" s="315">
        <f>LEN(D46)</f>
        <v>314</v>
      </c>
      <c r="F46" s="275" t="s">
        <v>410</v>
      </c>
      <c r="G46" s="315">
        <f>LEN(F46)</f>
        <v>324</v>
      </c>
      <c r="H46" s="383" t="s">
        <v>239</v>
      </c>
      <c r="I46" s="315" t="s">
        <v>220</v>
      </c>
      <c r="J46" s="315" t="s">
        <v>220</v>
      </c>
      <c r="K46" s="315" t="s">
        <v>240</v>
      </c>
      <c r="L46" s="317" t="s">
        <v>411</v>
      </c>
      <c r="M46" s="325" t="s">
        <v>412</v>
      </c>
      <c r="N46" s="101"/>
      <c r="O46" s="72" t="s">
        <v>408</v>
      </c>
      <c r="P46" s="25"/>
      <c r="Q46" s="351">
        <v>12.894034385681152</v>
      </c>
      <c r="R46" s="241">
        <f>1</f>
        <v>1</v>
      </c>
      <c r="S46" s="351">
        <f t="shared" si="6"/>
        <v>12.894034385681152</v>
      </c>
      <c r="T46" s="150"/>
      <c r="V46" s="156" t="s">
        <v>230</v>
      </c>
      <c r="W46" s="155"/>
      <c r="Z46" s="154" t="s">
        <v>413</v>
      </c>
    </row>
    <row r="47" spans="1:26" s="153" customFormat="1" x14ac:dyDescent="0.2">
      <c r="A47" s="49"/>
      <c r="B47" s="174"/>
      <c r="C47" s="114"/>
      <c r="D47" s="50"/>
      <c r="E47" s="51"/>
      <c r="F47" s="50"/>
      <c r="G47" s="51"/>
      <c r="H47" s="52"/>
      <c r="I47" s="51"/>
      <c r="J47" s="51"/>
      <c r="K47" s="51"/>
      <c r="L47" s="109"/>
      <c r="M47" s="101"/>
      <c r="N47" s="101"/>
      <c r="O47" s="72"/>
      <c r="P47" s="25"/>
      <c r="Q47" s="242"/>
      <c r="R47" s="243">
        <f>1</f>
        <v>1</v>
      </c>
      <c r="S47" s="242">
        <f t="shared" si="6"/>
        <v>0</v>
      </c>
      <c r="T47" s="150"/>
      <c r="V47" s="156"/>
      <c r="W47" s="155"/>
      <c r="Z47" s="154"/>
    </row>
    <row r="48" spans="1:26" s="153" customFormat="1" ht="272" x14ac:dyDescent="0.2">
      <c r="A48" s="49">
        <v>10</v>
      </c>
      <c r="B48" s="174" t="s">
        <v>13</v>
      </c>
      <c r="C48" s="173" t="s">
        <v>13</v>
      </c>
      <c r="D48" s="50" t="s">
        <v>414</v>
      </c>
      <c r="E48" s="51">
        <f>LEN(D48)</f>
        <v>301</v>
      </c>
      <c r="F48" s="170" t="s">
        <v>415</v>
      </c>
      <c r="G48" s="51">
        <f>LEN(F48)</f>
        <v>353</v>
      </c>
      <c r="H48" s="52" t="s">
        <v>239</v>
      </c>
      <c r="I48" s="51" t="s">
        <v>220</v>
      </c>
      <c r="J48" s="51" t="s">
        <v>220</v>
      </c>
      <c r="K48" s="51" t="s">
        <v>240</v>
      </c>
      <c r="L48" s="215" t="s">
        <v>416</v>
      </c>
      <c r="M48" s="172" t="s">
        <v>417</v>
      </c>
      <c r="N48" s="77"/>
      <c r="O48" s="72" t="s">
        <v>408</v>
      </c>
      <c r="P48" s="598" t="s">
        <v>418</v>
      </c>
      <c r="Q48" s="242">
        <v>15.265829086303711</v>
      </c>
      <c r="R48" s="243">
        <f>1</f>
        <v>1</v>
      </c>
      <c r="S48" s="242">
        <f t="shared" si="6"/>
        <v>15.265829086303711</v>
      </c>
      <c r="T48" s="150"/>
      <c r="V48" s="156" t="s">
        <v>230</v>
      </c>
      <c r="W48" s="155"/>
      <c r="Z48" s="154" t="s">
        <v>419</v>
      </c>
    </row>
    <row r="49" spans="1:26" s="153" customFormat="1" ht="204" x14ac:dyDescent="0.2">
      <c r="A49" s="49">
        <v>10</v>
      </c>
      <c r="B49" s="174" t="s">
        <v>14</v>
      </c>
      <c r="C49" s="173" t="s">
        <v>14</v>
      </c>
      <c r="D49" s="50" t="s">
        <v>420</v>
      </c>
      <c r="E49" s="51">
        <f>LEN(D49)</f>
        <v>313</v>
      </c>
      <c r="F49" s="170" t="s">
        <v>421</v>
      </c>
      <c r="G49" s="51">
        <f>LEN(F49)</f>
        <v>397</v>
      </c>
      <c r="H49" s="52" t="s">
        <v>239</v>
      </c>
      <c r="I49" s="51" t="s">
        <v>220</v>
      </c>
      <c r="J49" s="51" t="s">
        <v>220</v>
      </c>
      <c r="K49" s="51" t="s">
        <v>240</v>
      </c>
      <c r="L49" s="215" t="s">
        <v>422</v>
      </c>
      <c r="M49" s="172" t="s">
        <v>417</v>
      </c>
      <c r="N49" s="77"/>
      <c r="O49" s="72" t="s">
        <v>408</v>
      </c>
      <c r="P49" s="599"/>
      <c r="Q49" s="242">
        <v>15.12371826171875</v>
      </c>
      <c r="R49" s="243">
        <f>1</f>
        <v>1</v>
      </c>
      <c r="S49" s="242">
        <f t="shared" si="6"/>
        <v>15.12371826171875</v>
      </c>
      <c r="T49" s="150"/>
      <c r="V49" s="156" t="s">
        <v>230</v>
      </c>
      <c r="W49" s="155"/>
      <c r="Z49" s="154"/>
    </row>
    <row r="50" spans="1:26" s="153" customFormat="1" ht="187" x14ac:dyDescent="0.2">
      <c r="A50" s="49">
        <v>10</v>
      </c>
      <c r="B50" s="174" t="s">
        <v>127</v>
      </c>
      <c r="C50" s="173" t="s">
        <v>127</v>
      </c>
      <c r="D50" s="559" t="s">
        <v>423</v>
      </c>
      <c r="E50" s="51">
        <f>LEN(D50)</f>
        <v>256</v>
      </c>
      <c r="F50" s="170" t="s">
        <v>424</v>
      </c>
      <c r="G50" s="51">
        <f>LEN(F50)</f>
        <v>312</v>
      </c>
      <c r="H50" s="52" t="s">
        <v>239</v>
      </c>
      <c r="I50" s="51" t="s">
        <v>220</v>
      </c>
      <c r="J50" s="51" t="s">
        <v>220</v>
      </c>
      <c r="K50" s="51" t="s">
        <v>240</v>
      </c>
      <c r="L50" s="214" t="s">
        <v>422</v>
      </c>
      <c r="M50" s="172" t="s">
        <v>417</v>
      </c>
      <c r="N50" s="77"/>
      <c r="O50" s="72" t="s">
        <v>408</v>
      </c>
      <c r="P50" s="600"/>
      <c r="Q50" s="242">
        <v>13.760138511657715</v>
      </c>
      <c r="R50" s="243">
        <f>1</f>
        <v>1</v>
      </c>
      <c r="S50" s="242">
        <f t="shared" si="6"/>
        <v>13.760138511657715</v>
      </c>
      <c r="T50" s="150"/>
      <c r="V50" s="156" t="s">
        <v>230</v>
      </c>
      <c r="W50" s="155"/>
      <c r="Z50" s="157" t="s">
        <v>425</v>
      </c>
    </row>
    <row r="51" spans="1:26" s="153" customFormat="1" x14ac:dyDescent="0.2">
      <c r="A51" s="49"/>
      <c r="B51" s="174"/>
      <c r="C51" s="238"/>
      <c r="D51" s="559"/>
      <c r="E51" s="120"/>
      <c r="F51" s="273"/>
      <c r="G51" s="120"/>
      <c r="H51" s="114"/>
      <c r="I51" s="120"/>
      <c r="J51" s="120"/>
      <c r="K51" s="120"/>
      <c r="L51" s="135"/>
      <c r="M51" s="136"/>
      <c r="N51" s="136"/>
      <c r="O51" s="72"/>
      <c r="P51" s="277"/>
      <c r="Q51" s="242"/>
      <c r="R51" s="243">
        <f>1</f>
        <v>1</v>
      </c>
      <c r="S51" s="242">
        <f t="shared" si="6"/>
        <v>0</v>
      </c>
      <c r="T51" s="150"/>
      <c r="V51" s="156"/>
      <c r="W51" s="155"/>
      <c r="Z51" s="157"/>
    </row>
    <row r="52" spans="1:26" s="153" customFormat="1" ht="409.5" customHeight="1" x14ac:dyDescent="0.2">
      <c r="A52" s="14">
        <f>A50+1</f>
        <v>11</v>
      </c>
      <c r="B52" s="199" t="s">
        <v>136</v>
      </c>
      <c r="C52" s="17" t="s">
        <v>136</v>
      </c>
      <c r="D52" s="15" t="s">
        <v>426</v>
      </c>
      <c r="E52" s="16">
        <f t="shared" ref="E52:E57" si="7">LEN(D52)</f>
        <v>1333</v>
      </c>
      <c r="F52" s="15" t="s">
        <v>427</v>
      </c>
      <c r="G52" s="16">
        <f t="shared" ref="G52:G57" si="8">LEN(F52)</f>
        <v>1511</v>
      </c>
      <c r="H52" s="17" t="s">
        <v>239</v>
      </c>
      <c r="I52" s="16" t="s">
        <v>220</v>
      </c>
      <c r="J52" s="16" t="s">
        <v>220</v>
      </c>
      <c r="K52" s="16" t="s">
        <v>240</v>
      </c>
      <c r="L52" s="18" t="s">
        <v>428</v>
      </c>
      <c r="M52" s="70" t="s">
        <v>429</v>
      </c>
      <c r="N52" s="70"/>
      <c r="O52" s="72" t="s">
        <v>408</v>
      </c>
      <c r="P52" s="56"/>
      <c r="Q52" s="242">
        <v>30.646188735961914</v>
      </c>
      <c r="R52" s="243">
        <f>1</f>
        <v>1</v>
      </c>
      <c r="S52" s="242">
        <f t="shared" si="6"/>
        <v>30.646188735961914</v>
      </c>
      <c r="T52" s="150"/>
      <c r="V52" s="156" t="s">
        <v>219</v>
      </c>
      <c r="W52" s="155"/>
      <c r="Z52" s="154"/>
    </row>
    <row r="53" spans="1:26" s="153" customFormat="1" ht="68" x14ac:dyDescent="0.2">
      <c r="A53" s="14">
        <f>A52+1</f>
        <v>12</v>
      </c>
      <c r="B53" s="199" t="s">
        <v>16</v>
      </c>
      <c r="C53" s="21" t="s">
        <v>16</v>
      </c>
      <c r="D53" s="19" t="s">
        <v>430</v>
      </c>
      <c r="E53" s="20">
        <f t="shared" si="7"/>
        <v>136</v>
      </c>
      <c r="F53" s="19" t="s">
        <v>431</v>
      </c>
      <c r="G53" s="16">
        <f t="shared" si="8"/>
        <v>169</v>
      </c>
      <c r="H53" s="21" t="s">
        <v>328</v>
      </c>
      <c r="I53" s="20" t="s">
        <v>220</v>
      </c>
      <c r="J53" s="20" t="s">
        <v>220</v>
      </c>
      <c r="K53" s="20" t="s">
        <v>223</v>
      </c>
      <c r="L53" s="22" t="s">
        <v>432</v>
      </c>
      <c r="M53" s="70" t="s">
        <v>429</v>
      </c>
      <c r="N53" s="70"/>
      <c r="O53" s="72" t="s">
        <v>408</v>
      </c>
      <c r="P53" s="10"/>
      <c r="Q53" s="242">
        <v>15.211848258972168</v>
      </c>
      <c r="R53" s="243">
        <f>1</f>
        <v>1</v>
      </c>
      <c r="S53" s="242">
        <f t="shared" si="6"/>
        <v>15.211848258972168</v>
      </c>
      <c r="T53" s="150"/>
      <c r="V53" s="156" t="s">
        <v>219</v>
      </c>
      <c r="W53" s="155"/>
      <c r="Z53" s="154"/>
    </row>
    <row r="54" spans="1:26" s="153" customFormat="1" ht="221" x14ac:dyDescent="0.2">
      <c r="A54" s="14">
        <f>A53+1</f>
        <v>13</v>
      </c>
      <c r="B54" s="199" t="s">
        <v>433</v>
      </c>
      <c r="C54" s="209" t="s">
        <v>434</v>
      </c>
      <c r="D54" s="19" t="s">
        <v>435</v>
      </c>
      <c r="E54" s="20">
        <f t="shared" si="7"/>
        <v>240</v>
      </c>
      <c r="F54" s="19" t="s">
        <v>1446</v>
      </c>
      <c r="G54" s="16">
        <f t="shared" si="8"/>
        <v>270</v>
      </c>
      <c r="H54" s="21" t="s">
        <v>436</v>
      </c>
      <c r="I54" s="20" t="s">
        <v>220</v>
      </c>
      <c r="J54" s="20" t="s">
        <v>220</v>
      </c>
      <c r="K54" s="20" t="s">
        <v>437</v>
      </c>
      <c r="L54" s="22" t="s">
        <v>438</v>
      </c>
      <c r="M54" s="70" t="s">
        <v>439</v>
      </c>
      <c r="N54" s="70"/>
      <c r="O54" s="72" t="s">
        <v>408</v>
      </c>
      <c r="P54" s="83" t="s">
        <v>440</v>
      </c>
      <c r="Q54" s="242">
        <v>17</v>
      </c>
      <c r="R54" s="243">
        <f>1</f>
        <v>1</v>
      </c>
      <c r="S54" s="242">
        <f t="shared" si="6"/>
        <v>17</v>
      </c>
      <c r="T54" s="150"/>
      <c r="V54" s="156" t="s">
        <v>219</v>
      </c>
      <c r="W54" s="155"/>
      <c r="Z54" s="154" t="s">
        <v>320</v>
      </c>
    </row>
    <row r="55" spans="1:26" s="153" customFormat="1" ht="221" x14ac:dyDescent="0.2">
      <c r="A55" s="14">
        <f>A54+1</f>
        <v>14</v>
      </c>
      <c r="B55" s="199" t="s">
        <v>441</v>
      </c>
      <c r="C55" s="209" t="s">
        <v>442</v>
      </c>
      <c r="D55" s="560" t="s">
        <v>443</v>
      </c>
      <c r="E55" s="20">
        <f t="shared" si="7"/>
        <v>250</v>
      </c>
      <c r="F55" s="560" t="s">
        <v>444</v>
      </c>
      <c r="G55" s="16">
        <f t="shared" si="8"/>
        <v>300</v>
      </c>
      <c r="H55" s="21" t="s">
        <v>436</v>
      </c>
      <c r="I55" s="20" t="s">
        <v>220</v>
      </c>
      <c r="J55" s="20" t="s">
        <v>220</v>
      </c>
      <c r="K55" s="20" t="s">
        <v>445</v>
      </c>
      <c r="L55" s="22" t="s">
        <v>446</v>
      </c>
      <c r="M55" s="70"/>
      <c r="N55" s="70"/>
      <c r="O55" s="72" t="s">
        <v>408</v>
      </c>
      <c r="P55" s="83" t="s">
        <v>440</v>
      </c>
      <c r="Q55" s="242">
        <v>17</v>
      </c>
      <c r="R55" s="243">
        <f>1</f>
        <v>1</v>
      </c>
      <c r="S55" s="242">
        <f t="shared" si="6"/>
        <v>17</v>
      </c>
      <c r="T55" s="150"/>
      <c r="V55" s="156" t="s">
        <v>219</v>
      </c>
      <c r="W55" s="155"/>
      <c r="Z55" s="154" t="s">
        <v>320</v>
      </c>
    </row>
    <row r="56" spans="1:26" s="153" customFormat="1" ht="187" x14ac:dyDescent="0.2">
      <c r="A56" s="14">
        <f>A55+1</f>
        <v>15</v>
      </c>
      <c r="B56" s="205" t="s">
        <v>447</v>
      </c>
      <c r="C56" s="204" t="s">
        <v>447</v>
      </c>
      <c r="D56" s="15" t="s">
        <v>448</v>
      </c>
      <c r="E56" s="23">
        <f t="shared" si="7"/>
        <v>180</v>
      </c>
      <c r="F56" s="19" t="s">
        <v>1447</v>
      </c>
      <c r="G56" s="16">
        <f t="shared" si="8"/>
        <v>200</v>
      </c>
      <c r="H56" s="21" t="s">
        <v>239</v>
      </c>
      <c r="I56" s="24" t="s">
        <v>220</v>
      </c>
      <c r="J56" s="24" t="s">
        <v>220</v>
      </c>
      <c r="K56" s="20" t="s">
        <v>240</v>
      </c>
      <c r="L56" s="22" t="s">
        <v>449</v>
      </c>
      <c r="M56" s="69" t="s">
        <v>429</v>
      </c>
      <c r="N56" s="132"/>
      <c r="O56" s="146" t="s">
        <v>408</v>
      </c>
      <c r="P56" s="25"/>
      <c r="Q56" s="242">
        <v>17</v>
      </c>
      <c r="R56" s="243">
        <f>1</f>
        <v>1</v>
      </c>
      <c r="S56" s="242">
        <f t="shared" si="6"/>
        <v>17</v>
      </c>
      <c r="T56" s="150"/>
      <c r="V56" s="156" t="s">
        <v>219</v>
      </c>
      <c r="W56" s="155"/>
      <c r="Z56" s="154"/>
    </row>
    <row r="57" spans="1:26" s="153" customFormat="1" ht="171" thickBot="1" x14ac:dyDescent="0.25">
      <c r="A57" s="14">
        <f>A56+1</f>
        <v>16</v>
      </c>
      <c r="B57" s="201" t="s">
        <v>139</v>
      </c>
      <c r="C57" s="202" t="s">
        <v>139</v>
      </c>
      <c r="D57" s="27" t="s">
        <v>450</v>
      </c>
      <c r="E57" s="23">
        <f t="shared" si="7"/>
        <v>133</v>
      </c>
      <c r="F57" s="213" t="s">
        <v>451</v>
      </c>
      <c r="G57" s="16">
        <f t="shared" si="8"/>
        <v>158</v>
      </c>
      <c r="H57" s="21" t="s">
        <v>239</v>
      </c>
      <c r="I57" s="23" t="s">
        <v>220</v>
      </c>
      <c r="J57" s="23" t="s">
        <v>220</v>
      </c>
      <c r="K57" s="20" t="s">
        <v>240</v>
      </c>
      <c r="L57" s="22" t="s">
        <v>452</v>
      </c>
      <c r="M57" s="69" t="s">
        <v>429</v>
      </c>
      <c r="N57" s="78"/>
      <c r="O57" s="146" t="s">
        <v>408</v>
      </c>
      <c r="P57" s="10"/>
      <c r="Q57" s="242">
        <v>8.2288064956665039</v>
      </c>
      <c r="R57" s="243">
        <f>1</f>
        <v>1</v>
      </c>
      <c r="S57" s="242">
        <f t="shared" si="6"/>
        <v>8.2288064956665039</v>
      </c>
      <c r="T57" s="150"/>
      <c r="V57" s="156" t="s">
        <v>219</v>
      </c>
      <c r="W57" s="155"/>
      <c r="Z57" s="154"/>
    </row>
    <row r="58" spans="1:26" s="153" customFormat="1" ht="17" thickBot="1" x14ac:dyDescent="0.25">
      <c r="A58" s="591" t="s">
        <v>453</v>
      </c>
      <c r="B58" s="592"/>
      <c r="C58" s="592"/>
      <c r="D58" s="592"/>
      <c r="E58" s="592"/>
      <c r="F58" s="592"/>
      <c r="G58" s="592"/>
      <c r="H58" s="592"/>
      <c r="I58" s="592"/>
      <c r="J58" s="592"/>
      <c r="K58" s="592"/>
      <c r="L58" s="592"/>
      <c r="M58" s="592"/>
      <c r="N58" s="592"/>
      <c r="O58" s="592"/>
      <c r="P58" s="593"/>
      <c r="Q58" s="242"/>
      <c r="R58" s="243"/>
      <c r="S58" s="242"/>
      <c r="T58" s="150"/>
      <c r="V58" s="156"/>
      <c r="W58" s="155"/>
      <c r="Z58" s="154"/>
    </row>
    <row r="59" spans="1:26" s="153" customFormat="1" x14ac:dyDescent="0.2">
      <c r="A59" s="181"/>
      <c r="B59" s="181"/>
      <c r="C59" s="181"/>
      <c r="D59" s="120"/>
      <c r="E59" s="181"/>
      <c r="F59" s="120"/>
      <c r="G59" s="181"/>
      <c r="H59" s="181"/>
      <c r="I59" s="181"/>
      <c r="J59" s="181"/>
      <c r="K59" s="181"/>
      <c r="L59" s="181"/>
      <c r="M59" s="181"/>
      <c r="N59" s="181"/>
      <c r="O59" s="181"/>
      <c r="P59" s="56"/>
      <c r="Q59" s="242"/>
      <c r="R59" s="243">
        <f>1</f>
        <v>1</v>
      </c>
      <c r="S59" s="242">
        <f t="shared" ref="S59:S98" si="9">Q59*R59</f>
        <v>0</v>
      </c>
      <c r="T59" s="150"/>
      <c r="V59" s="156"/>
      <c r="W59" s="155"/>
      <c r="Z59" s="154"/>
    </row>
    <row r="60" spans="1:26" s="153" customFormat="1" ht="409.6" x14ac:dyDescent="0.2">
      <c r="A60" s="113">
        <f>A57+1</f>
        <v>17</v>
      </c>
      <c r="B60" s="321" t="s">
        <v>18</v>
      </c>
      <c r="C60" s="320" t="s">
        <v>18</v>
      </c>
      <c r="D60" s="561" t="s">
        <v>454</v>
      </c>
      <c r="E60" s="324">
        <f>LEN(D60)</f>
        <v>1260</v>
      </c>
      <c r="F60" s="579" t="s">
        <v>1448</v>
      </c>
      <c r="G60" s="324">
        <f>LEN(F60)</f>
        <v>1391</v>
      </c>
      <c r="H60" s="320" t="s">
        <v>239</v>
      </c>
      <c r="I60" s="324" t="s">
        <v>220</v>
      </c>
      <c r="J60" s="324" t="s">
        <v>220</v>
      </c>
      <c r="K60" s="324" t="s">
        <v>455</v>
      </c>
      <c r="L60" s="325" t="s">
        <v>456</v>
      </c>
      <c r="M60" s="384" t="s">
        <v>457</v>
      </c>
      <c r="N60" s="57"/>
      <c r="O60" s="152" t="s">
        <v>408</v>
      </c>
      <c r="P60" s="56"/>
      <c r="Q60" s="351">
        <v>36.928733825683594</v>
      </c>
      <c r="R60" s="241">
        <f>1</f>
        <v>1</v>
      </c>
      <c r="S60" s="351">
        <f t="shared" si="9"/>
        <v>36.928733825683594</v>
      </c>
      <c r="T60" s="150"/>
      <c r="V60" s="156" t="s">
        <v>230</v>
      </c>
      <c r="W60" s="155"/>
      <c r="Z60" s="157" t="s">
        <v>458</v>
      </c>
    </row>
    <row r="61" spans="1:26" s="153" customFormat="1" ht="153" x14ac:dyDescent="0.2">
      <c r="A61" s="113">
        <v>18</v>
      </c>
      <c r="B61" s="321" t="s">
        <v>459</v>
      </c>
      <c r="C61" s="322" t="s">
        <v>459</v>
      </c>
      <c r="D61" s="385" t="s">
        <v>460</v>
      </c>
      <c r="E61" s="324">
        <f>LEN(D61)</f>
        <v>138</v>
      </c>
      <c r="F61" s="385" t="s">
        <v>461</v>
      </c>
      <c r="G61" s="324">
        <f>LEN(F61)</f>
        <v>175</v>
      </c>
      <c r="H61" s="320" t="s">
        <v>239</v>
      </c>
      <c r="I61" s="324" t="s">
        <v>220</v>
      </c>
      <c r="J61" s="324" t="s">
        <v>220</v>
      </c>
      <c r="K61" s="324" t="s">
        <v>240</v>
      </c>
      <c r="L61" s="325" t="s">
        <v>462</v>
      </c>
      <c r="M61" s="384" t="s">
        <v>463</v>
      </c>
      <c r="N61" s="64"/>
      <c r="O61" s="152" t="s">
        <v>464</v>
      </c>
      <c r="P61" s="56"/>
      <c r="Q61" s="351"/>
      <c r="R61" s="241">
        <f>1</f>
        <v>1</v>
      </c>
      <c r="S61" s="351">
        <f t="shared" si="9"/>
        <v>0</v>
      </c>
      <c r="T61" s="150"/>
      <c r="V61" s="156" t="s">
        <v>230</v>
      </c>
      <c r="W61" s="155"/>
      <c r="Z61" s="154" t="s">
        <v>231</v>
      </c>
    </row>
    <row r="62" spans="1:26" s="153" customFormat="1" ht="187" x14ac:dyDescent="0.2">
      <c r="A62" s="113">
        <v>18</v>
      </c>
      <c r="B62" s="321" t="s">
        <v>465</v>
      </c>
      <c r="C62" s="322" t="s">
        <v>465</v>
      </c>
      <c r="D62" s="385" t="s">
        <v>466</v>
      </c>
      <c r="E62" s="324">
        <f>LEN(D62)</f>
        <v>165</v>
      </c>
      <c r="F62" s="385" t="s">
        <v>467</v>
      </c>
      <c r="G62" s="324">
        <f>LEN(F62)</f>
        <v>194</v>
      </c>
      <c r="H62" s="320" t="s">
        <v>239</v>
      </c>
      <c r="I62" s="324" t="s">
        <v>220</v>
      </c>
      <c r="J62" s="324" t="s">
        <v>220</v>
      </c>
      <c r="K62" s="324" t="s">
        <v>240</v>
      </c>
      <c r="L62" s="325" t="s">
        <v>462</v>
      </c>
      <c r="M62" s="384" t="s">
        <v>463</v>
      </c>
      <c r="N62" s="64"/>
      <c r="O62" s="152" t="s">
        <v>468</v>
      </c>
      <c r="P62" s="56"/>
      <c r="Q62" s="351"/>
      <c r="R62" s="241">
        <f>1</f>
        <v>1</v>
      </c>
      <c r="S62" s="351">
        <f t="shared" si="9"/>
        <v>0</v>
      </c>
      <c r="T62" s="150"/>
      <c r="V62" s="156" t="s">
        <v>230</v>
      </c>
      <c r="W62" s="155"/>
      <c r="Z62" s="154" t="s">
        <v>231</v>
      </c>
    </row>
    <row r="63" spans="1:26" s="153" customFormat="1" ht="153" x14ac:dyDescent="0.2">
      <c r="A63" s="113">
        <v>18</v>
      </c>
      <c r="B63" s="321" t="s">
        <v>469</v>
      </c>
      <c r="C63" s="322" t="s">
        <v>469</v>
      </c>
      <c r="D63" s="385" t="s">
        <v>470</v>
      </c>
      <c r="E63" s="324">
        <f>LEN(D63)</f>
        <v>146</v>
      </c>
      <c r="F63" s="385" t="s">
        <v>471</v>
      </c>
      <c r="G63" s="324">
        <f>LEN(F63)</f>
        <v>180</v>
      </c>
      <c r="H63" s="320" t="s">
        <v>239</v>
      </c>
      <c r="I63" s="324" t="s">
        <v>220</v>
      </c>
      <c r="J63" s="324" t="s">
        <v>220</v>
      </c>
      <c r="K63" s="324" t="s">
        <v>240</v>
      </c>
      <c r="L63" s="325" t="s">
        <v>462</v>
      </c>
      <c r="M63" s="384" t="s">
        <v>463</v>
      </c>
      <c r="N63" s="64"/>
      <c r="O63" s="152" t="s">
        <v>472</v>
      </c>
      <c r="P63" s="56"/>
      <c r="Q63" s="351"/>
      <c r="R63" s="241">
        <f>1</f>
        <v>1</v>
      </c>
      <c r="S63" s="351">
        <f t="shared" si="9"/>
        <v>0</v>
      </c>
      <c r="T63" s="150"/>
      <c r="V63" s="156" t="s">
        <v>230</v>
      </c>
      <c r="W63" s="155"/>
      <c r="Z63" s="154" t="s">
        <v>231</v>
      </c>
    </row>
    <row r="64" spans="1:26" s="153" customFormat="1" x14ac:dyDescent="0.2">
      <c r="A64" s="113"/>
      <c r="B64" s="232"/>
      <c r="C64" s="238"/>
      <c r="D64" s="239"/>
      <c r="E64" s="120"/>
      <c r="G64" s="120"/>
      <c r="H64" s="114"/>
      <c r="I64" s="120"/>
      <c r="J64" s="120"/>
      <c r="K64" s="120"/>
      <c r="L64" s="101"/>
      <c r="M64" s="168"/>
      <c r="N64" s="168"/>
      <c r="O64" s="152"/>
      <c r="P64" s="56"/>
      <c r="Q64" s="242"/>
      <c r="R64" s="243">
        <f>1</f>
        <v>1</v>
      </c>
      <c r="S64" s="242">
        <f t="shared" si="9"/>
        <v>0</v>
      </c>
      <c r="T64" s="150"/>
      <c r="V64" s="156"/>
      <c r="W64" s="155"/>
      <c r="Z64" s="154"/>
    </row>
    <row r="65" spans="1:26" s="153" customFormat="1" ht="136" x14ac:dyDescent="0.2">
      <c r="A65" s="63">
        <v>18</v>
      </c>
      <c r="B65" s="212" t="s">
        <v>473</v>
      </c>
      <c r="C65" s="211" t="s">
        <v>473</v>
      </c>
      <c r="D65" s="62" t="s">
        <v>474</v>
      </c>
      <c r="E65" s="16">
        <f>LEN(D65)</f>
        <v>128</v>
      </c>
      <c r="F65" s="62" t="s">
        <v>475</v>
      </c>
      <c r="G65" s="16">
        <f>LEN(F65)</f>
        <v>151</v>
      </c>
      <c r="H65" s="17" t="s">
        <v>239</v>
      </c>
      <c r="I65" s="16" t="s">
        <v>220</v>
      </c>
      <c r="J65" s="16" t="s">
        <v>220</v>
      </c>
      <c r="K65" s="16" t="s">
        <v>240</v>
      </c>
      <c r="L65" s="34" t="s">
        <v>476</v>
      </c>
      <c r="M65" s="68" t="s">
        <v>477</v>
      </c>
      <c r="N65" s="68"/>
      <c r="O65" s="152" t="s">
        <v>478</v>
      </c>
      <c r="P65" s="56"/>
      <c r="Q65" s="242">
        <v>17</v>
      </c>
      <c r="R65" s="243">
        <f>1</f>
        <v>1</v>
      </c>
      <c r="S65" s="242">
        <f t="shared" si="9"/>
        <v>17</v>
      </c>
      <c r="T65" s="150"/>
      <c r="V65" s="156" t="s">
        <v>219</v>
      </c>
      <c r="W65" s="155"/>
      <c r="Z65" s="154" t="s">
        <v>231</v>
      </c>
    </row>
    <row r="66" spans="1:26" s="153" customFormat="1" ht="136" x14ac:dyDescent="0.2">
      <c r="A66" s="14">
        <v>19</v>
      </c>
      <c r="B66" s="199" t="s">
        <v>19</v>
      </c>
      <c r="C66" s="17" t="s">
        <v>19</v>
      </c>
      <c r="D66" s="22" t="s">
        <v>479</v>
      </c>
      <c r="E66" s="20">
        <f>LEN(D66)</f>
        <v>261</v>
      </c>
      <c r="F66" s="200" t="s">
        <v>480</v>
      </c>
      <c r="G66" s="16">
        <f>LEN(F66)</f>
        <v>304</v>
      </c>
      <c r="H66" s="20" t="s">
        <v>328</v>
      </c>
      <c r="I66" s="20" t="s">
        <v>220</v>
      </c>
      <c r="J66" s="20" t="s">
        <v>220</v>
      </c>
      <c r="K66" s="20" t="s">
        <v>223</v>
      </c>
      <c r="L66" s="31" t="s">
        <v>481</v>
      </c>
      <c r="M66" s="32" t="s">
        <v>482</v>
      </c>
      <c r="N66" s="32"/>
      <c r="O66" s="72" t="s">
        <v>483</v>
      </c>
      <c r="P66" s="601" t="s">
        <v>484</v>
      </c>
      <c r="Q66" s="242">
        <v>40.047317504882812</v>
      </c>
      <c r="R66" s="243">
        <f>1</f>
        <v>1</v>
      </c>
      <c r="S66" s="242">
        <f t="shared" si="9"/>
        <v>40.047317504882812</v>
      </c>
      <c r="T66" s="150"/>
      <c r="V66" s="156" t="s">
        <v>219</v>
      </c>
      <c r="W66" s="155"/>
      <c r="Z66" s="154" t="s">
        <v>485</v>
      </c>
    </row>
    <row r="67" spans="1:26" s="153" customFormat="1" ht="136" x14ac:dyDescent="0.2">
      <c r="A67" s="14">
        <v>19</v>
      </c>
      <c r="B67" s="199" t="s">
        <v>20</v>
      </c>
      <c r="C67" s="209" t="s">
        <v>20</v>
      </c>
      <c r="D67" s="22" t="s">
        <v>486</v>
      </c>
      <c r="E67" s="20">
        <f>LEN(D67)</f>
        <v>253</v>
      </c>
      <c r="F67" s="210" t="s">
        <v>487</v>
      </c>
      <c r="G67" s="16">
        <f>LEN(F67)</f>
        <v>307</v>
      </c>
      <c r="H67" s="33" t="s">
        <v>239</v>
      </c>
      <c r="I67" s="16" t="s">
        <v>220</v>
      </c>
      <c r="J67" s="16" t="s">
        <v>220</v>
      </c>
      <c r="K67" s="16" t="s">
        <v>240</v>
      </c>
      <c r="L67" s="34" t="s">
        <v>488</v>
      </c>
      <c r="M67" s="35" t="s">
        <v>489</v>
      </c>
      <c r="N67" s="35"/>
      <c r="O67" s="72" t="s">
        <v>220</v>
      </c>
      <c r="P67" s="602"/>
      <c r="Q67" s="242">
        <v>3.6870110034942627</v>
      </c>
      <c r="R67" s="243">
        <f>1</f>
        <v>1</v>
      </c>
      <c r="S67" s="242">
        <f t="shared" si="9"/>
        <v>3.6870110034942627</v>
      </c>
      <c r="T67" s="150"/>
      <c r="V67" s="156" t="s">
        <v>219</v>
      </c>
      <c r="W67" s="155"/>
      <c r="Z67" s="154"/>
    </row>
    <row r="68" spans="1:26" s="153" customFormat="1" x14ac:dyDescent="0.2">
      <c r="A68" s="49"/>
      <c r="B68" s="174"/>
      <c r="C68" s="238"/>
      <c r="D68" s="94"/>
      <c r="E68" s="51"/>
      <c r="G68" s="51"/>
      <c r="H68" s="123"/>
      <c r="I68" s="120"/>
      <c r="J68" s="120"/>
      <c r="K68" s="120"/>
      <c r="L68" s="101"/>
      <c r="M68" s="168"/>
      <c r="N68" s="168"/>
      <c r="O68" s="72"/>
      <c r="P68" s="549"/>
      <c r="Q68" s="242"/>
      <c r="R68" s="243">
        <f>1</f>
        <v>1</v>
      </c>
      <c r="S68" s="242">
        <f t="shared" si="9"/>
        <v>0</v>
      </c>
      <c r="T68" s="150"/>
      <c r="V68" s="156"/>
      <c r="W68" s="155"/>
      <c r="Z68" s="154"/>
    </row>
    <row r="69" spans="1:26" s="153" customFormat="1" ht="204" x14ac:dyDescent="0.2">
      <c r="A69" s="49">
        <f>A67+1</f>
        <v>20</v>
      </c>
      <c r="B69" s="319" t="s">
        <v>21</v>
      </c>
      <c r="C69" s="320" t="s">
        <v>21</v>
      </c>
      <c r="D69" s="386" t="s">
        <v>1443</v>
      </c>
      <c r="E69" s="315">
        <f>LEN(D69)</f>
        <v>298</v>
      </c>
      <c r="F69" s="386" t="s">
        <v>1436</v>
      </c>
      <c r="G69" s="315">
        <f>LEN(F69)</f>
        <v>364</v>
      </c>
      <c r="H69" s="316" t="s">
        <v>239</v>
      </c>
      <c r="I69" s="315" t="s">
        <v>220</v>
      </c>
      <c r="J69" s="315" t="s">
        <v>220</v>
      </c>
      <c r="K69" s="315" t="s">
        <v>240</v>
      </c>
      <c r="L69" s="387" t="s">
        <v>490</v>
      </c>
      <c r="M69" s="387" t="s">
        <v>491</v>
      </c>
      <c r="N69" s="66"/>
      <c r="O69" s="72" t="s">
        <v>483</v>
      </c>
      <c r="P69" s="10"/>
      <c r="Q69" s="351">
        <v>27.242166519165039</v>
      </c>
      <c r="R69" s="241">
        <f>1</f>
        <v>1</v>
      </c>
      <c r="S69" s="351">
        <f t="shared" si="9"/>
        <v>27.242166519165039</v>
      </c>
      <c r="T69" s="150"/>
      <c r="V69" s="156" t="s">
        <v>230</v>
      </c>
      <c r="W69" s="155"/>
      <c r="Z69" s="157" t="s">
        <v>492</v>
      </c>
    </row>
    <row r="70" spans="1:26" s="153" customFormat="1" x14ac:dyDescent="0.2">
      <c r="A70" s="49"/>
      <c r="B70" s="174"/>
      <c r="C70" s="114"/>
      <c r="D70" s="172"/>
      <c r="E70" s="51"/>
      <c r="G70" s="51"/>
      <c r="H70" s="115"/>
      <c r="I70" s="51"/>
      <c r="J70" s="51"/>
      <c r="K70" s="51"/>
      <c r="L70" s="105"/>
      <c r="M70" s="105"/>
      <c r="N70" s="105"/>
      <c r="O70" s="72"/>
      <c r="P70" s="10"/>
      <c r="Q70" s="242"/>
      <c r="R70" s="243">
        <f>1</f>
        <v>1</v>
      </c>
      <c r="S70" s="242">
        <f t="shared" si="9"/>
        <v>0</v>
      </c>
      <c r="T70" s="150"/>
      <c r="V70" s="156"/>
      <c r="W70" s="155"/>
      <c r="Z70" s="157"/>
    </row>
    <row r="71" spans="1:26" s="153" customFormat="1" ht="408" customHeight="1" x14ac:dyDescent="0.2">
      <c r="A71" s="49">
        <f>A69+1</f>
        <v>21</v>
      </c>
      <c r="B71" s="319" t="s">
        <v>22</v>
      </c>
      <c r="C71" s="320" t="s">
        <v>22</v>
      </c>
      <c r="D71" s="562" t="s">
        <v>493</v>
      </c>
      <c r="E71" s="315">
        <f>LEN(D71)</f>
        <v>1213</v>
      </c>
      <c r="F71" s="275" t="s">
        <v>1449</v>
      </c>
      <c r="G71" s="315">
        <f>LEN(F71)</f>
        <v>1307</v>
      </c>
      <c r="H71" s="316" t="s">
        <v>239</v>
      </c>
      <c r="I71" s="315" t="s">
        <v>220</v>
      </c>
      <c r="J71" s="315" t="s">
        <v>220</v>
      </c>
      <c r="K71" s="315" t="s">
        <v>494</v>
      </c>
      <c r="L71" s="325" t="s">
        <v>495</v>
      </c>
      <c r="M71" s="384" t="s">
        <v>496</v>
      </c>
      <c r="N71" s="57"/>
      <c r="O71" s="72" t="s">
        <v>483</v>
      </c>
      <c r="P71" s="10"/>
      <c r="Q71" s="351">
        <v>25.308004379272461</v>
      </c>
      <c r="R71" s="241">
        <f>1</f>
        <v>1</v>
      </c>
      <c r="S71" s="351">
        <f t="shared" si="9"/>
        <v>25.308004379272461</v>
      </c>
      <c r="T71" s="150"/>
      <c r="V71" s="156" t="s">
        <v>230</v>
      </c>
      <c r="W71" s="155"/>
      <c r="Z71" s="157" t="s">
        <v>458</v>
      </c>
    </row>
    <row r="72" spans="1:26" s="153" customFormat="1" ht="153" x14ac:dyDescent="0.2">
      <c r="A72" s="113">
        <v>18</v>
      </c>
      <c r="B72" s="321" t="s">
        <v>497</v>
      </c>
      <c r="C72" s="322" t="s">
        <v>497</v>
      </c>
      <c r="D72" s="385" t="s">
        <v>460</v>
      </c>
      <c r="E72" s="324">
        <f>LEN(D72)</f>
        <v>138</v>
      </c>
      <c r="F72" s="385" t="s">
        <v>461</v>
      </c>
      <c r="G72" s="315">
        <f>LEN(F72)</f>
        <v>175</v>
      </c>
      <c r="H72" s="320" t="s">
        <v>239</v>
      </c>
      <c r="I72" s="324" t="s">
        <v>220</v>
      </c>
      <c r="J72" s="324" t="s">
        <v>220</v>
      </c>
      <c r="K72" s="324" t="s">
        <v>240</v>
      </c>
      <c r="L72" s="325" t="s">
        <v>498</v>
      </c>
      <c r="M72" s="384" t="s">
        <v>499</v>
      </c>
      <c r="N72" s="30"/>
      <c r="O72" s="152" t="s">
        <v>500</v>
      </c>
      <c r="P72" s="56"/>
      <c r="Q72" s="351"/>
      <c r="R72" s="241">
        <f>1</f>
        <v>1</v>
      </c>
      <c r="S72" s="351">
        <f t="shared" si="9"/>
        <v>0</v>
      </c>
      <c r="T72" s="150"/>
      <c r="V72" s="156" t="s">
        <v>230</v>
      </c>
      <c r="W72" s="155"/>
      <c r="Z72" s="154" t="s">
        <v>231</v>
      </c>
    </row>
    <row r="73" spans="1:26" s="153" customFormat="1" ht="187" x14ac:dyDescent="0.2">
      <c r="A73" s="113">
        <v>18</v>
      </c>
      <c r="B73" s="321" t="s">
        <v>501</v>
      </c>
      <c r="C73" s="322" t="s">
        <v>501</v>
      </c>
      <c r="D73" s="385" t="s">
        <v>466</v>
      </c>
      <c r="E73" s="324">
        <f>LEN(D73)</f>
        <v>165</v>
      </c>
      <c r="F73" s="385" t="s">
        <v>467</v>
      </c>
      <c r="G73" s="315">
        <f>LEN(F73)</f>
        <v>194</v>
      </c>
      <c r="H73" s="320" t="s">
        <v>239</v>
      </c>
      <c r="I73" s="324" t="s">
        <v>220</v>
      </c>
      <c r="J73" s="324" t="s">
        <v>220</v>
      </c>
      <c r="K73" s="324" t="s">
        <v>240</v>
      </c>
      <c r="L73" s="325" t="s">
        <v>498</v>
      </c>
      <c r="M73" s="384" t="s">
        <v>499</v>
      </c>
      <c r="N73" s="30"/>
      <c r="O73" s="152" t="s">
        <v>502</v>
      </c>
      <c r="P73" s="56"/>
      <c r="Q73" s="351"/>
      <c r="R73" s="241">
        <f>1</f>
        <v>1</v>
      </c>
      <c r="S73" s="351">
        <f t="shared" si="9"/>
        <v>0</v>
      </c>
      <c r="T73" s="150"/>
      <c r="V73" s="156" t="s">
        <v>230</v>
      </c>
      <c r="W73" s="155"/>
      <c r="Z73" s="154" t="s">
        <v>231</v>
      </c>
    </row>
    <row r="74" spans="1:26" s="153" customFormat="1" ht="153" x14ac:dyDescent="0.2">
      <c r="A74" s="113">
        <v>18</v>
      </c>
      <c r="B74" s="321" t="s">
        <v>503</v>
      </c>
      <c r="C74" s="322" t="s">
        <v>503</v>
      </c>
      <c r="D74" s="385" t="s">
        <v>470</v>
      </c>
      <c r="E74" s="324">
        <f>LEN(D74)</f>
        <v>146</v>
      </c>
      <c r="F74" s="385" t="s">
        <v>471</v>
      </c>
      <c r="G74" s="315">
        <f>LEN(F74)</f>
        <v>180</v>
      </c>
      <c r="H74" s="320" t="s">
        <v>239</v>
      </c>
      <c r="I74" s="324" t="s">
        <v>220</v>
      </c>
      <c r="J74" s="324" t="s">
        <v>220</v>
      </c>
      <c r="K74" s="324" t="s">
        <v>240</v>
      </c>
      <c r="L74" s="325" t="s">
        <v>498</v>
      </c>
      <c r="M74" s="384" t="s">
        <v>499</v>
      </c>
      <c r="N74" s="30"/>
      <c r="O74" s="152" t="s">
        <v>504</v>
      </c>
      <c r="P74" s="56"/>
      <c r="Q74" s="351"/>
      <c r="R74" s="241">
        <f>1</f>
        <v>1</v>
      </c>
      <c r="S74" s="351">
        <f t="shared" si="9"/>
        <v>0</v>
      </c>
      <c r="T74" s="150"/>
      <c r="V74" s="156" t="s">
        <v>230</v>
      </c>
      <c r="W74" s="155"/>
      <c r="Z74" s="154" t="s">
        <v>231</v>
      </c>
    </row>
    <row r="75" spans="1:26" s="153" customFormat="1" x14ac:dyDescent="0.2">
      <c r="A75" s="113"/>
      <c r="B75" s="232"/>
      <c r="C75" s="238"/>
      <c r="D75" s="239"/>
      <c r="E75" s="120"/>
      <c r="G75" s="120"/>
      <c r="H75" s="114"/>
      <c r="I75" s="120"/>
      <c r="J75" s="120"/>
      <c r="K75" s="120"/>
      <c r="L75" s="101"/>
      <c r="M75" s="168"/>
      <c r="N75" s="168"/>
      <c r="O75" s="152"/>
      <c r="P75" s="56"/>
      <c r="Q75" s="242"/>
      <c r="R75" s="243">
        <f>1</f>
        <v>1</v>
      </c>
      <c r="S75" s="242">
        <f t="shared" si="9"/>
        <v>0</v>
      </c>
      <c r="T75" s="150"/>
      <c r="V75" s="156"/>
      <c r="W75" s="155"/>
      <c r="Z75" s="154"/>
    </row>
    <row r="76" spans="1:26" s="153" customFormat="1" ht="136" x14ac:dyDescent="0.2">
      <c r="A76" s="63">
        <v>18</v>
      </c>
      <c r="B76" s="212" t="s">
        <v>505</v>
      </c>
      <c r="C76" s="211" t="s">
        <v>505</v>
      </c>
      <c r="D76" s="62" t="s">
        <v>506</v>
      </c>
      <c r="E76" s="16">
        <f>LEN(D76)</f>
        <v>127</v>
      </c>
      <c r="F76" s="62" t="s">
        <v>507</v>
      </c>
      <c r="G76" s="16">
        <f>LEN(F76)</f>
        <v>150</v>
      </c>
      <c r="H76" s="17" t="s">
        <v>239</v>
      </c>
      <c r="I76" s="16" t="s">
        <v>220</v>
      </c>
      <c r="J76" s="16" t="s">
        <v>220</v>
      </c>
      <c r="K76" s="16" t="s">
        <v>240</v>
      </c>
      <c r="L76" s="34" t="s">
        <v>508</v>
      </c>
      <c r="M76" s="68" t="s">
        <v>509</v>
      </c>
      <c r="N76" s="68"/>
      <c r="O76" s="152" t="s">
        <v>510</v>
      </c>
      <c r="P76" s="56"/>
      <c r="Q76" s="242">
        <v>17</v>
      </c>
      <c r="R76" s="243">
        <f>1</f>
        <v>1</v>
      </c>
      <c r="S76" s="242">
        <f t="shared" si="9"/>
        <v>17</v>
      </c>
      <c r="T76" s="150"/>
      <c r="V76" s="156" t="s">
        <v>219</v>
      </c>
      <c r="W76" s="155"/>
      <c r="Z76" s="154" t="s">
        <v>231</v>
      </c>
    </row>
    <row r="77" spans="1:26" s="153" customFormat="1" ht="136" x14ac:dyDescent="0.2">
      <c r="A77" s="14">
        <v>19</v>
      </c>
      <c r="B77" s="199" t="s">
        <v>23</v>
      </c>
      <c r="C77" s="17" t="s">
        <v>23</v>
      </c>
      <c r="D77" s="22" t="s">
        <v>511</v>
      </c>
      <c r="E77" s="20">
        <f>LEN(D77)</f>
        <v>267</v>
      </c>
      <c r="F77" s="200" t="s">
        <v>512</v>
      </c>
      <c r="G77" s="16">
        <f>LEN(F77)</f>
        <v>301</v>
      </c>
      <c r="H77" s="20" t="s">
        <v>328</v>
      </c>
      <c r="I77" s="20" t="s">
        <v>220</v>
      </c>
      <c r="J77" s="20" t="s">
        <v>220</v>
      </c>
      <c r="K77" s="20" t="s">
        <v>223</v>
      </c>
      <c r="L77" s="31" t="s">
        <v>513</v>
      </c>
      <c r="M77" s="32" t="s">
        <v>514</v>
      </c>
      <c r="N77" s="32"/>
      <c r="O77" s="72" t="s">
        <v>515</v>
      </c>
      <c r="P77" s="601" t="s">
        <v>516</v>
      </c>
      <c r="Q77" s="242">
        <v>30.828470230102539</v>
      </c>
      <c r="R77" s="243">
        <f>1</f>
        <v>1</v>
      </c>
      <c r="S77" s="242">
        <f t="shared" si="9"/>
        <v>30.828470230102539</v>
      </c>
      <c r="T77" s="150"/>
      <c r="V77" s="156" t="s">
        <v>219</v>
      </c>
      <c r="W77" s="155"/>
      <c r="Z77" s="154" t="s">
        <v>485</v>
      </c>
    </row>
    <row r="78" spans="1:26" s="153" customFormat="1" ht="119" x14ac:dyDescent="0.2">
      <c r="A78" s="14">
        <f>A76+1</f>
        <v>19</v>
      </c>
      <c r="B78" s="199" t="s">
        <v>24</v>
      </c>
      <c r="C78" s="209" t="s">
        <v>24</v>
      </c>
      <c r="D78" s="22" t="s">
        <v>486</v>
      </c>
      <c r="E78" s="20">
        <f>LEN(D78)</f>
        <v>253</v>
      </c>
      <c r="F78" s="210" t="s">
        <v>517</v>
      </c>
      <c r="G78" s="16">
        <f>LEN(F78)</f>
        <v>300</v>
      </c>
      <c r="H78" s="33" t="s">
        <v>239</v>
      </c>
      <c r="I78" s="16" t="s">
        <v>220</v>
      </c>
      <c r="J78" s="16" t="s">
        <v>220</v>
      </c>
      <c r="K78" s="16" t="s">
        <v>240</v>
      </c>
      <c r="L78" s="34" t="s">
        <v>518</v>
      </c>
      <c r="M78" s="34" t="s">
        <v>519</v>
      </c>
      <c r="N78" s="34"/>
      <c r="O78" s="72" t="s">
        <v>220</v>
      </c>
      <c r="P78" s="602"/>
      <c r="Q78" s="242">
        <v>2.2941176891326904</v>
      </c>
      <c r="R78" s="243">
        <f>1</f>
        <v>1</v>
      </c>
      <c r="S78" s="242">
        <f t="shared" si="9"/>
        <v>2.2941176891326904</v>
      </c>
      <c r="T78" s="150"/>
      <c r="V78" s="156" t="s">
        <v>219</v>
      </c>
      <c r="W78" s="155"/>
      <c r="Z78" s="154"/>
    </row>
    <row r="79" spans="1:26" s="153" customFormat="1" x14ac:dyDescent="0.2">
      <c r="A79" s="49"/>
      <c r="B79" s="174"/>
      <c r="C79" s="238"/>
      <c r="D79" s="94"/>
      <c r="E79" s="51"/>
      <c r="G79" s="51"/>
      <c r="H79" s="123"/>
      <c r="I79" s="120"/>
      <c r="J79" s="120"/>
      <c r="K79" s="120"/>
      <c r="L79" s="101"/>
      <c r="M79" s="101"/>
      <c r="N79" s="101"/>
      <c r="O79" s="72"/>
      <c r="P79" s="549"/>
      <c r="Q79" s="242"/>
      <c r="R79" s="243">
        <f>1</f>
        <v>1</v>
      </c>
      <c r="S79" s="242">
        <f t="shared" si="9"/>
        <v>0</v>
      </c>
      <c r="T79" s="150"/>
      <c r="V79" s="156"/>
      <c r="W79" s="155"/>
      <c r="Z79" s="154"/>
    </row>
    <row r="80" spans="1:26" s="153" customFormat="1" ht="204" x14ac:dyDescent="0.2">
      <c r="A80" s="49">
        <f>A76+1</f>
        <v>19</v>
      </c>
      <c r="B80" s="319" t="s">
        <v>25</v>
      </c>
      <c r="C80" s="320" t="s">
        <v>25</v>
      </c>
      <c r="D80" s="386" t="s">
        <v>1437</v>
      </c>
      <c r="E80" s="315">
        <f>LEN(D80)</f>
        <v>296</v>
      </c>
      <c r="F80" s="386" t="s">
        <v>1438</v>
      </c>
      <c r="G80" s="315">
        <f>LEN(F80)</f>
        <v>361</v>
      </c>
      <c r="H80" s="316" t="s">
        <v>239</v>
      </c>
      <c r="I80" s="315" t="s">
        <v>220</v>
      </c>
      <c r="J80" s="315" t="s">
        <v>220</v>
      </c>
      <c r="K80" s="315" t="s">
        <v>240</v>
      </c>
      <c r="L80" s="387" t="s">
        <v>520</v>
      </c>
      <c r="M80" s="387" t="s">
        <v>521</v>
      </c>
      <c r="N80" s="66"/>
      <c r="O80" s="72" t="s">
        <v>522</v>
      </c>
      <c r="P80" s="10"/>
      <c r="Q80" s="351">
        <v>21.193256378173828</v>
      </c>
      <c r="R80" s="241">
        <f>1</f>
        <v>1</v>
      </c>
      <c r="S80" s="351">
        <f t="shared" si="9"/>
        <v>21.193256378173828</v>
      </c>
      <c r="T80" s="150"/>
      <c r="V80" s="156" t="s">
        <v>230</v>
      </c>
      <c r="W80" s="155"/>
      <c r="Z80" s="157" t="s">
        <v>523</v>
      </c>
    </row>
    <row r="81" spans="1:16378" s="153" customFormat="1" x14ac:dyDescent="0.2">
      <c r="A81" s="49"/>
      <c r="B81" s="174"/>
      <c r="C81" s="114"/>
      <c r="D81" s="172"/>
      <c r="E81" s="51"/>
      <c r="G81" s="51"/>
      <c r="H81" s="115"/>
      <c r="I81" s="51"/>
      <c r="J81" s="51"/>
      <c r="K81" s="51"/>
      <c r="L81" s="105"/>
      <c r="M81" s="105"/>
      <c r="N81" s="105"/>
      <c r="O81" s="72"/>
      <c r="P81" s="10"/>
      <c r="Q81" s="242"/>
      <c r="R81" s="243">
        <f>1</f>
        <v>1</v>
      </c>
      <c r="S81" s="242">
        <f t="shared" si="9"/>
        <v>0</v>
      </c>
      <c r="T81" s="150"/>
      <c r="V81" s="156"/>
      <c r="W81" s="155"/>
      <c r="Z81" s="157"/>
    </row>
    <row r="82" spans="1:16378" s="153" customFormat="1" ht="409.6" x14ac:dyDescent="0.2">
      <c r="A82" s="49">
        <f>A80+1</f>
        <v>20</v>
      </c>
      <c r="B82" s="319" t="s">
        <v>26</v>
      </c>
      <c r="C82" s="320" t="s">
        <v>26</v>
      </c>
      <c r="D82" s="562" t="s">
        <v>524</v>
      </c>
      <c r="E82" s="315">
        <f>LEN(D82)</f>
        <v>1219</v>
      </c>
      <c r="F82" s="275" t="s">
        <v>1450</v>
      </c>
      <c r="G82" s="315">
        <f>LEN(F82)</f>
        <v>1309</v>
      </c>
      <c r="H82" s="316" t="s">
        <v>239</v>
      </c>
      <c r="I82" s="315" t="s">
        <v>220</v>
      </c>
      <c r="J82" s="315" t="s">
        <v>220</v>
      </c>
      <c r="K82" s="315" t="s">
        <v>525</v>
      </c>
      <c r="L82" s="325" t="s">
        <v>526</v>
      </c>
      <c r="M82" s="384" t="s">
        <v>527</v>
      </c>
      <c r="N82" s="57"/>
      <c r="O82" s="72" t="s">
        <v>522</v>
      </c>
      <c r="P82" s="10"/>
      <c r="Q82" s="351">
        <v>20.229927062988281</v>
      </c>
      <c r="R82" s="241">
        <f>1</f>
        <v>1</v>
      </c>
      <c r="S82" s="351">
        <f t="shared" si="9"/>
        <v>20.229927062988281</v>
      </c>
      <c r="T82" s="150"/>
      <c r="V82" s="156" t="s">
        <v>230</v>
      </c>
      <c r="W82" s="155"/>
      <c r="Z82" s="157" t="s">
        <v>458</v>
      </c>
    </row>
    <row r="83" spans="1:16378" s="153" customFormat="1" ht="153" x14ac:dyDescent="0.2">
      <c r="A83" s="113">
        <v>18</v>
      </c>
      <c r="B83" s="321" t="s">
        <v>528</v>
      </c>
      <c r="C83" s="322" t="s">
        <v>528</v>
      </c>
      <c r="D83" s="385" t="s">
        <v>460</v>
      </c>
      <c r="E83" s="324">
        <f>LEN(D83)</f>
        <v>138</v>
      </c>
      <c r="F83" s="385" t="s">
        <v>461</v>
      </c>
      <c r="G83" s="315">
        <f>LEN(F83)</f>
        <v>175</v>
      </c>
      <c r="H83" s="320" t="s">
        <v>239</v>
      </c>
      <c r="I83" s="324" t="s">
        <v>220</v>
      </c>
      <c r="J83" s="324" t="s">
        <v>220</v>
      </c>
      <c r="K83" s="324" t="s">
        <v>240</v>
      </c>
      <c r="L83" s="325" t="s">
        <v>529</v>
      </c>
      <c r="M83" s="384" t="s">
        <v>530</v>
      </c>
      <c r="N83" s="30"/>
      <c r="O83" s="152" t="s">
        <v>531</v>
      </c>
      <c r="P83" s="56"/>
      <c r="Q83" s="351"/>
      <c r="R83" s="241">
        <f>1</f>
        <v>1</v>
      </c>
      <c r="S83" s="351">
        <f t="shared" si="9"/>
        <v>0</v>
      </c>
      <c r="T83" s="150"/>
      <c r="V83" s="156" t="s">
        <v>230</v>
      </c>
      <c r="W83" s="155"/>
      <c r="Z83" s="154" t="s">
        <v>231</v>
      </c>
    </row>
    <row r="84" spans="1:16378" s="153" customFormat="1" ht="187" x14ac:dyDescent="0.2">
      <c r="A84" s="113">
        <v>18</v>
      </c>
      <c r="B84" s="321" t="s">
        <v>532</v>
      </c>
      <c r="C84" s="322" t="s">
        <v>532</v>
      </c>
      <c r="D84" s="385" t="s">
        <v>466</v>
      </c>
      <c r="E84" s="324">
        <f>LEN(D84)</f>
        <v>165</v>
      </c>
      <c r="F84" s="385" t="s">
        <v>467</v>
      </c>
      <c r="G84" s="315">
        <f>LEN(F84)</f>
        <v>194</v>
      </c>
      <c r="H84" s="320" t="s">
        <v>239</v>
      </c>
      <c r="I84" s="324" t="s">
        <v>220</v>
      </c>
      <c r="J84" s="324" t="s">
        <v>220</v>
      </c>
      <c r="K84" s="324" t="s">
        <v>240</v>
      </c>
      <c r="L84" s="325" t="s">
        <v>529</v>
      </c>
      <c r="M84" s="384" t="s">
        <v>530</v>
      </c>
      <c r="N84" s="30"/>
      <c r="O84" s="152" t="s">
        <v>533</v>
      </c>
      <c r="P84" s="56"/>
      <c r="Q84" s="351"/>
      <c r="R84" s="241">
        <f>1</f>
        <v>1</v>
      </c>
      <c r="S84" s="351">
        <f t="shared" si="9"/>
        <v>0</v>
      </c>
      <c r="T84" s="150"/>
      <c r="V84" s="156" t="s">
        <v>230</v>
      </c>
      <c r="W84" s="155"/>
      <c r="Z84" s="154" t="s">
        <v>231</v>
      </c>
    </row>
    <row r="85" spans="1:16378" s="153" customFormat="1" ht="153" x14ac:dyDescent="0.2">
      <c r="A85" s="113">
        <v>18</v>
      </c>
      <c r="B85" s="321" t="s">
        <v>534</v>
      </c>
      <c r="C85" s="322" t="s">
        <v>534</v>
      </c>
      <c r="D85" s="385" t="s">
        <v>470</v>
      </c>
      <c r="E85" s="324">
        <f>LEN(D85)</f>
        <v>146</v>
      </c>
      <c r="F85" s="385" t="s">
        <v>471</v>
      </c>
      <c r="G85" s="315">
        <f>LEN(F85)</f>
        <v>180</v>
      </c>
      <c r="H85" s="320" t="s">
        <v>239</v>
      </c>
      <c r="I85" s="324" t="s">
        <v>220</v>
      </c>
      <c r="J85" s="324" t="s">
        <v>220</v>
      </c>
      <c r="K85" s="324" t="s">
        <v>240</v>
      </c>
      <c r="L85" s="325" t="s">
        <v>529</v>
      </c>
      <c r="M85" s="384" t="s">
        <v>530</v>
      </c>
      <c r="N85" s="30"/>
      <c r="O85" s="152" t="s">
        <v>535</v>
      </c>
      <c r="P85" s="56"/>
      <c r="Q85" s="351"/>
      <c r="R85" s="241">
        <f>1</f>
        <v>1</v>
      </c>
      <c r="S85" s="351">
        <f t="shared" si="9"/>
        <v>0</v>
      </c>
      <c r="T85" s="150"/>
      <c r="V85" s="156" t="s">
        <v>230</v>
      </c>
      <c r="W85" s="155"/>
      <c r="Z85" s="154" t="s">
        <v>231</v>
      </c>
    </row>
    <row r="86" spans="1:16378" s="153" customFormat="1" x14ac:dyDescent="0.2">
      <c r="A86" s="113"/>
      <c r="B86" s="232"/>
      <c r="C86" s="238"/>
      <c r="D86" s="239"/>
      <c r="E86" s="120"/>
      <c r="G86" s="120"/>
      <c r="H86" s="114"/>
      <c r="I86" s="120"/>
      <c r="J86" s="120"/>
      <c r="K86" s="120"/>
      <c r="L86" s="101"/>
      <c r="M86" s="168"/>
      <c r="N86" s="168"/>
      <c r="O86" s="152"/>
      <c r="P86" s="56"/>
      <c r="Q86" s="242"/>
      <c r="R86" s="243">
        <f>1</f>
        <v>1</v>
      </c>
      <c r="S86" s="242">
        <f t="shared" si="9"/>
        <v>0</v>
      </c>
      <c r="T86" s="150"/>
      <c r="V86" s="156"/>
      <c r="W86" s="155"/>
      <c r="Z86" s="154"/>
    </row>
    <row r="87" spans="1:16378" s="153" customFormat="1" ht="136" x14ac:dyDescent="0.2">
      <c r="A87" s="63">
        <v>18</v>
      </c>
      <c r="B87" s="212" t="s">
        <v>536</v>
      </c>
      <c r="C87" s="211" t="s">
        <v>536</v>
      </c>
      <c r="D87" s="62" t="s">
        <v>537</v>
      </c>
      <c r="E87" s="16">
        <f>LEN(D87)</f>
        <v>129</v>
      </c>
      <c r="F87" s="62" t="s">
        <v>538</v>
      </c>
      <c r="G87" s="16">
        <f>LEN(F87)</f>
        <v>152</v>
      </c>
      <c r="H87" s="17" t="s">
        <v>239</v>
      </c>
      <c r="I87" s="16" t="s">
        <v>220</v>
      </c>
      <c r="J87" s="16" t="s">
        <v>220</v>
      </c>
      <c r="K87" s="16" t="s">
        <v>240</v>
      </c>
      <c r="L87" s="34" t="s">
        <v>539</v>
      </c>
      <c r="M87" s="68" t="s">
        <v>540</v>
      </c>
      <c r="N87" s="68"/>
      <c r="O87" s="152" t="s">
        <v>541</v>
      </c>
      <c r="P87" s="56"/>
      <c r="Q87" s="242">
        <v>17</v>
      </c>
      <c r="R87" s="243">
        <f>1</f>
        <v>1</v>
      </c>
      <c r="S87" s="242">
        <f t="shared" si="9"/>
        <v>17</v>
      </c>
      <c r="T87" s="150"/>
      <c r="V87" s="156" t="s">
        <v>219</v>
      </c>
      <c r="W87" s="155"/>
      <c r="Z87" s="154" t="s">
        <v>231</v>
      </c>
    </row>
    <row r="88" spans="1:16378" s="153" customFormat="1" ht="136" x14ac:dyDescent="0.2">
      <c r="A88" s="14">
        <f>A82+1</f>
        <v>21</v>
      </c>
      <c r="B88" s="199" t="s">
        <v>27</v>
      </c>
      <c r="C88" s="17" t="s">
        <v>27</v>
      </c>
      <c r="D88" s="22" t="s">
        <v>542</v>
      </c>
      <c r="E88" s="20">
        <f>LEN(D88)</f>
        <v>271</v>
      </c>
      <c r="F88" s="200" t="s">
        <v>543</v>
      </c>
      <c r="G88" s="16">
        <f>LEN(F88)</f>
        <v>304</v>
      </c>
      <c r="H88" s="36" t="s">
        <v>328</v>
      </c>
      <c r="I88" s="20" t="s">
        <v>220</v>
      </c>
      <c r="J88" s="20" t="s">
        <v>220</v>
      </c>
      <c r="K88" s="20" t="s">
        <v>223</v>
      </c>
      <c r="L88" s="37" t="s">
        <v>544</v>
      </c>
      <c r="M88" s="32" t="s">
        <v>545</v>
      </c>
      <c r="N88" s="32"/>
      <c r="O88" s="72" t="s">
        <v>546</v>
      </c>
      <c r="P88" s="601" t="s">
        <v>516</v>
      </c>
      <c r="Q88" s="242">
        <v>29.429832458496094</v>
      </c>
      <c r="R88" s="243">
        <f>1</f>
        <v>1</v>
      </c>
      <c r="S88" s="242">
        <f t="shared" si="9"/>
        <v>29.429832458496094</v>
      </c>
      <c r="T88" s="150"/>
      <c r="V88" s="156" t="s">
        <v>219</v>
      </c>
      <c r="W88" s="155"/>
      <c r="Z88" s="154" t="s">
        <v>485</v>
      </c>
    </row>
    <row r="89" spans="1:16378" s="153" customFormat="1" ht="136" x14ac:dyDescent="0.2">
      <c r="A89" s="14">
        <f>A88+1</f>
        <v>22</v>
      </c>
      <c r="B89" s="199" t="s">
        <v>28</v>
      </c>
      <c r="C89" s="209" t="s">
        <v>28</v>
      </c>
      <c r="D89" s="22" t="s">
        <v>486</v>
      </c>
      <c r="E89" s="20">
        <f>LEN(D89)</f>
        <v>253</v>
      </c>
      <c r="F89" s="210" t="s">
        <v>487</v>
      </c>
      <c r="G89" s="24">
        <f>LEN(F89)</f>
        <v>307</v>
      </c>
      <c r="H89" s="33" t="s">
        <v>239</v>
      </c>
      <c r="I89" s="16" t="s">
        <v>220</v>
      </c>
      <c r="J89" s="16" t="s">
        <v>220</v>
      </c>
      <c r="K89" s="16" t="s">
        <v>240</v>
      </c>
      <c r="L89" s="34" t="s">
        <v>547</v>
      </c>
      <c r="M89" s="34" t="s">
        <v>548</v>
      </c>
      <c r="N89" s="34"/>
      <c r="O89" s="72" t="s">
        <v>220</v>
      </c>
      <c r="P89" s="602"/>
      <c r="Q89" s="242">
        <v>1.5555555820465088</v>
      </c>
      <c r="R89" s="243">
        <f>1</f>
        <v>1</v>
      </c>
      <c r="S89" s="242">
        <f t="shared" si="9"/>
        <v>1.5555555820465088</v>
      </c>
      <c r="T89" s="150"/>
      <c r="V89" s="156" t="s">
        <v>219</v>
      </c>
      <c r="W89" s="155"/>
      <c r="Z89" s="154"/>
    </row>
    <row r="90" spans="1:16378" s="153" customFormat="1" x14ac:dyDescent="0.2">
      <c r="A90" s="49"/>
      <c r="B90" s="174"/>
      <c r="C90" s="238"/>
      <c r="D90" s="94"/>
      <c r="E90" s="51"/>
      <c r="G90" s="51"/>
      <c r="H90" s="123"/>
      <c r="I90" s="120"/>
      <c r="J90" s="120"/>
      <c r="K90" s="120"/>
      <c r="L90" s="101"/>
      <c r="M90" s="101"/>
      <c r="N90" s="101"/>
      <c r="O90" s="72"/>
      <c r="P90" s="549"/>
      <c r="Q90" s="242"/>
      <c r="R90" s="243">
        <f>1</f>
        <v>1</v>
      </c>
      <c r="S90" s="242">
        <f t="shared" si="9"/>
        <v>0</v>
      </c>
      <c r="T90" s="150"/>
      <c r="V90" s="156"/>
      <c r="W90" s="155"/>
      <c r="Z90" s="154"/>
    </row>
    <row r="91" spans="1:16378" s="153" customFormat="1" ht="204" x14ac:dyDescent="0.2">
      <c r="A91" s="49">
        <f>A89+1</f>
        <v>23</v>
      </c>
      <c r="B91" s="319" t="s">
        <v>29</v>
      </c>
      <c r="C91" s="320" t="s">
        <v>29</v>
      </c>
      <c r="D91" s="388" t="s">
        <v>1439</v>
      </c>
      <c r="E91" s="315">
        <f>LEN(D91)</f>
        <v>298</v>
      </c>
      <c r="F91" s="386" t="s">
        <v>1440</v>
      </c>
      <c r="G91" s="315">
        <f>LEN(F91)</f>
        <v>363</v>
      </c>
      <c r="H91" s="316" t="s">
        <v>239</v>
      </c>
      <c r="I91" s="315" t="s">
        <v>220</v>
      </c>
      <c r="J91" s="315" t="s">
        <v>220</v>
      </c>
      <c r="K91" s="315" t="s">
        <v>240</v>
      </c>
      <c r="L91" s="387" t="s">
        <v>549</v>
      </c>
      <c r="M91" s="387" t="s">
        <v>550</v>
      </c>
      <c r="N91" s="104"/>
      <c r="O91" s="72" t="s">
        <v>546</v>
      </c>
      <c r="P91" s="10"/>
      <c r="Q91" s="351">
        <v>16.348396301269531</v>
      </c>
      <c r="R91" s="241">
        <f>1</f>
        <v>1</v>
      </c>
      <c r="S91" s="351">
        <f t="shared" si="9"/>
        <v>16.348396301269531</v>
      </c>
      <c r="T91" s="150"/>
      <c r="V91" s="156" t="s">
        <v>230</v>
      </c>
      <c r="W91" s="155"/>
      <c r="Z91" s="157" t="s">
        <v>523</v>
      </c>
    </row>
    <row r="92" spans="1:16378" s="153" customFormat="1" x14ac:dyDescent="0.2">
      <c r="A92" s="49"/>
      <c r="B92" s="174"/>
      <c r="C92" s="114"/>
      <c r="D92" s="237"/>
      <c r="E92" s="51"/>
      <c r="F92" s="273"/>
      <c r="G92" s="51"/>
      <c r="H92" s="115"/>
      <c r="I92" s="51"/>
      <c r="J92" s="51"/>
      <c r="K92" s="51"/>
      <c r="L92" s="66"/>
      <c r="M92" s="66"/>
      <c r="N92" s="66"/>
      <c r="O92" s="72"/>
      <c r="P92" s="10"/>
      <c r="Q92" s="242"/>
      <c r="R92" s="243">
        <f>1</f>
        <v>1</v>
      </c>
      <c r="S92" s="242">
        <f t="shared" si="9"/>
        <v>0</v>
      </c>
      <c r="T92" s="150"/>
      <c r="V92" s="156"/>
      <c r="W92" s="155"/>
      <c r="Z92" s="157"/>
    </row>
    <row r="93" spans="1:16378" s="153" customFormat="1" ht="153" x14ac:dyDescent="0.2">
      <c r="A93" s="26"/>
      <c r="B93" s="205" t="s">
        <v>551</v>
      </c>
      <c r="C93" s="209" t="s">
        <v>551</v>
      </c>
      <c r="D93" s="38" t="s">
        <v>552</v>
      </c>
      <c r="E93" s="24">
        <f>LEN(D93)</f>
        <v>140</v>
      </c>
      <c r="F93" s="18" t="s">
        <v>553</v>
      </c>
      <c r="G93" s="24">
        <f>LEN(F93)</f>
        <v>186</v>
      </c>
      <c r="H93" s="36" t="s">
        <v>239</v>
      </c>
      <c r="I93" s="20" t="s">
        <v>220</v>
      </c>
      <c r="J93" s="20" t="s">
        <v>554</v>
      </c>
      <c r="K93" s="20" t="s">
        <v>240</v>
      </c>
      <c r="L93" s="29" t="s">
        <v>555</v>
      </c>
      <c r="M93" s="29" t="s">
        <v>556</v>
      </c>
      <c r="N93" s="29"/>
      <c r="O93" s="72" t="s">
        <v>557</v>
      </c>
      <c r="P93" s="10"/>
      <c r="Q93" s="242">
        <v>0</v>
      </c>
      <c r="R93" s="243">
        <f>1</f>
        <v>1</v>
      </c>
      <c r="S93" s="242">
        <f t="shared" si="9"/>
        <v>0</v>
      </c>
      <c r="T93" s="150"/>
      <c r="U93" s="563"/>
      <c r="V93" s="156" t="s">
        <v>219</v>
      </c>
      <c r="W93" s="155"/>
      <c r="X93" s="563"/>
      <c r="Y93" s="563"/>
      <c r="Z93" s="563" t="s">
        <v>231</v>
      </c>
      <c r="AA93" s="563"/>
      <c r="AB93" s="563"/>
      <c r="AC93" s="563"/>
      <c r="AD93" s="563"/>
      <c r="AE93" s="563"/>
      <c r="AF93" s="563"/>
      <c r="AG93" s="563"/>
      <c r="AH93" s="563"/>
      <c r="AI93" s="563"/>
      <c r="AJ93" s="563"/>
      <c r="AK93" s="563"/>
      <c r="AL93" s="563"/>
      <c r="AM93" s="563"/>
      <c r="AN93" s="563"/>
      <c r="AO93" s="563"/>
      <c r="AP93" s="563"/>
      <c r="AQ93" s="563"/>
      <c r="AR93" s="563"/>
      <c r="AS93" s="563"/>
      <c r="AT93" s="563"/>
      <c r="AU93" s="563"/>
      <c r="AV93" s="563"/>
      <c r="AW93" s="563"/>
      <c r="AX93" s="563"/>
      <c r="AY93" s="563"/>
      <c r="AZ93" s="563"/>
      <c r="BA93" s="563"/>
      <c r="BB93" s="563"/>
      <c r="BC93" s="563"/>
      <c r="BD93" s="563"/>
      <c r="BE93" s="563"/>
      <c r="BF93" s="563"/>
      <c r="BG93" s="563"/>
      <c r="BH93" s="563"/>
      <c r="BI93" s="563"/>
      <c r="BJ93" s="563"/>
      <c r="BK93" s="563"/>
      <c r="BL93" s="563"/>
      <c r="BM93" s="563"/>
      <c r="BN93" s="563"/>
      <c r="BO93" s="563"/>
      <c r="BP93" s="563"/>
      <c r="BQ93" s="563"/>
      <c r="BR93" s="563"/>
      <c r="BS93" s="563"/>
      <c r="BT93" s="563"/>
      <c r="BU93" s="563"/>
      <c r="BV93" s="563"/>
      <c r="BW93" s="563"/>
      <c r="BX93" s="563"/>
      <c r="BY93" s="563"/>
      <c r="BZ93" s="563"/>
      <c r="CA93" s="563"/>
      <c r="CB93" s="563"/>
      <c r="CC93" s="563"/>
      <c r="CD93" s="563"/>
      <c r="CE93" s="563"/>
      <c r="CF93" s="563"/>
      <c r="CG93" s="563"/>
      <c r="CH93" s="563"/>
      <c r="CI93" s="563"/>
      <c r="CJ93" s="563"/>
      <c r="CK93" s="563"/>
      <c r="CL93" s="563"/>
      <c r="CM93" s="563"/>
      <c r="CN93" s="563"/>
      <c r="CO93" s="563"/>
      <c r="CP93" s="563"/>
      <c r="CQ93" s="563"/>
      <c r="CR93" s="563"/>
      <c r="CS93" s="563"/>
      <c r="CT93" s="563"/>
      <c r="CU93" s="563"/>
      <c r="CV93" s="563"/>
      <c r="CW93" s="563"/>
      <c r="CX93" s="563"/>
      <c r="CY93" s="563"/>
      <c r="CZ93" s="563"/>
      <c r="DA93" s="563"/>
      <c r="DB93" s="563"/>
      <c r="DC93" s="563"/>
      <c r="DD93" s="563"/>
      <c r="DE93" s="563"/>
      <c r="DF93" s="563"/>
      <c r="DG93" s="563"/>
      <c r="DH93" s="563"/>
      <c r="DI93" s="563"/>
      <c r="DJ93" s="563"/>
      <c r="DK93" s="563"/>
      <c r="DL93" s="563"/>
      <c r="DM93" s="563"/>
      <c r="DN93" s="563"/>
      <c r="DO93" s="563"/>
      <c r="DP93" s="563"/>
      <c r="DQ93" s="563"/>
      <c r="DR93" s="563"/>
      <c r="DS93" s="563"/>
      <c r="DT93" s="563"/>
      <c r="DU93" s="563"/>
      <c r="DV93" s="563"/>
      <c r="DW93" s="563"/>
      <c r="DX93" s="563"/>
      <c r="DY93" s="563"/>
      <c r="DZ93" s="563"/>
      <c r="EA93" s="563"/>
      <c r="EB93" s="563"/>
      <c r="EC93" s="563"/>
      <c r="ED93" s="563"/>
      <c r="EE93" s="563"/>
      <c r="EF93" s="563"/>
      <c r="EG93" s="563"/>
      <c r="EH93" s="563"/>
      <c r="EI93" s="563"/>
      <c r="EJ93" s="563"/>
      <c r="EK93" s="563"/>
      <c r="EL93" s="563"/>
      <c r="EM93" s="563"/>
      <c r="EN93" s="563"/>
      <c r="EO93" s="563"/>
      <c r="EP93" s="563"/>
      <c r="EQ93" s="563"/>
      <c r="ER93" s="563"/>
      <c r="ES93" s="563"/>
      <c r="ET93" s="563"/>
      <c r="EU93" s="563"/>
      <c r="EV93" s="563"/>
      <c r="EW93" s="563"/>
      <c r="EX93" s="563"/>
      <c r="EY93" s="563"/>
      <c r="EZ93" s="563"/>
      <c r="FA93" s="563"/>
      <c r="FB93" s="563"/>
      <c r="FC93" s="563"/>
      <c r="FD93" s="563"/>
      <c r="FE93" s="563"/>
      <c r="FF93" s="563"/>
      <c r="FG93" s="563"/>
      <c r="FH93" s="563"/>
      <c r="FI93" s="563"/>
      <c r="FJ93" s="563"/>
      <c r="FK93" s="563"/>
      <c r="FL93" s="563"/>
      <c r="FM93" s="563"/>
      <c r="FN93" s="563"/>
      <c r="FO93" s="563"/>
      <c r="FP93" s="563"/>
      <c r="FQ93" s="563"/>
      <c r="FR93" s="563"/>
      <c r="FS93" s="563"/>
      <c r="FT93" s="563"/>
      <c r="FU93" s="563"/>
      <c r="FV93" s="563"/>
      <c r="FW93" s="563"/>
      <c r="FX93" s="563"/>
      <c r="FY93" s="563"/>
      <c r="FZ93" s="563"/>
      <c r="GA93" s="563"/>
      <c r="GB93" s="563"/>
      <c r="GC93" s="563"/>
      <c r="GD93" s="563"/>
      <c r="GE93" s="563"/>
      <c r="GF93" s="563"/>
      <c r="GG93" s="563"/>
      <c r="GH93" s="563"/>
      <c r="GI93" s="563"/>
      <c r="GJ93" s="563"/>
      <c r="GK93" s="563"/>
      <c r="GL93" s="563"/>
      <c r="GM93" s="563"/>
      <c r="GN93" s="563"/>
      <c r="GO93" s="563"/>
      <c r="GP93" s="563"/>
      <c r="GQ93" s="563"/>
      <c r="GR93" s="563"/>
      <c r="GS93" s="563"/>
      <c r="GT93" s="563"/>
      <c r="GU93" s="563"/>
      <c r="GV93" s="563"/>
      <c r="GW93" s="563"/>
      <c r="GX93" s="563"/>
      <c r="GY93" s="563"/>
      <c r="GZ93" s="563"/>
      <c r="HA93" s="563"/>
      <c r="HB93" s="563"/>
      <c r="HC93" s="563"/>
      <c r="HD93" s="563"/>
      <c r="HE93" s="563"/>
      <c r="HF93" s="563"/>
      <c r="HG93" s="563"/>
      <c r="HH93" s="563"/>
      <c r="HI93" s="563"/>
      <c r="HJ93" s="563"/>
      <c r="HK93" s="563"/>
      <c r="HL93" s="563"/>
      <c r="HM93" s="563"/>
      <c r="HN93" s="563"/>
      <c r="HO93" s="563"/>
      <c r="HP93" s="563"/>
      <c r="HQ93" s="563"/>
      <c r="HR93" s="563"/>
      <c r="HS93" s="563"/>
      <c r="HT93" s="563"/>
      <c r="HU93" s="563"/>
      <c r="HV93" s="563"/>
      <c r="HW93" s="563"/>
      <c r="HX93" s="563"/>
      <c r="HY93" s="563"/>
      <c r="HZ93" s="563"/>
      <c r="IA93" s="563"/>
      <c r="IB93" s="563"/>
      <c r="IC93" s="563"/>
      <c r="ID93" s="563"/>
      <c r="IE93" s="563"/>
      <c r="IF93" s="563"/>
      <c r="IG93" s="563"/>
      <c r="IH93" s="563"/>
      <c r="II93" s="563"/>
      <c r="IJ93" s="563"/>
      <c r="IK93" s="563"/>
      <c r="IL93" s="563"/>
      <c r="IM93" s="563"/>
      <c r="IN93" s="563"/>
      <c r="IO93" s="563"/>
      <c r="IP93" s="563"/>
      <c r="IQ93" s="563"/>
      <c r="IR93" s="563"/>
      <c r="IS93" s="563"/>
      <c r="IT93" s="563"/>
      <c r="IU93" s="563"/>
      <c r="IV93" s="563"/>
      <c r="IW93" s="563"/>
      <c r="IX93" s="563"/>
      <c r="IY93" s="563"/>
      <c r="IZ93" s="563"/>
      <c r="JA93" s="563"/>
      <c r="JB93" s="563"/>
      <c r="JC93" s="563"/>
      <c r="JD93" s="563"/>
      <c r="JE93" s="563"/>
      <c r="JF93" s="563"/>
      <c r="JG93" s="563"/>
      <c r="JH93" s="563"/>
      <c r="JI93" s="563"/>
      <c r="JJ93" s="563"/>
      <c r="JK93" s="563"/>
      <c r="JL93" s="563"/>
      <c r="JM93" s="563"/>
      <c r="JN93" s="563"/>
      <c r="JO93" s="563"/>
      <c r="JP93" s="563"/>
      <c r="JQ93" s="563"/>
      <c r="JR93" s="563"/>
      <c r="JS93" s="563"/>
      <c r="JT93" s="563"/>
      <c r="JU93" s="563"/>
      <c r="JV93" s="563"/>
      <c r="JW93" s="563"/>
      <c r="JX93" s="563"/>
      <c r="JY93" s="563"/>
      <c r="JZ93" s="563"/>
      <c r="KA93" s="563"/>
      <c r="KB93" s="563"/>
      <c r="KC93" s="563"/>
      <c r="KD93" s="563"/>
      <c r="KE93" s="563"/>
      <c r="KF93" s="563"/>
      <c r="KG93" s="563"/>
      <c r="KH93" s="563"/>
      <c r="KI93" s="563"/>
      <c r="KJ93" s="563"/>
      <c r="KK93" s="563"/>
      <c r="KL93" s="563"/>
      <c r="KM93" s="563"/>
      <c r="KN93" s="563"/>
      <c r="KO93" s="563"/>
      <c r="KP93" s="563"/>
      <c r="KQ93" s="563"/>
      <c r="KR93" s="563"/>
      <c r="KS93" s="563"/>
      <c r="KT93" s="563"/>
      <c r="KU93" s="563"/>
      <c r="KV93" s="563"/>
      <c r="KW93" s="563"/>
      <c r="KX93" s="563"/>
      <c r="KY93" s="563"/>
      <c r="KZ93" s="563"/>
      <c r="LA93" s="563"/>
      <c r="LB93" s="563"/>
      <c r="LC93" s="563"/>
      <c r="LD93" s="563"/>
      <c r="LE93" s="563"/>
      <c r="LF93" s="563"/>
      <c r="LG93" s="563"/>
      <c r="LH93" s="563"/>
      <c r="LI93" s="563"/>
      <c r="LJ93" s="563"/>
      <c r="LK93" s="563"/>
      <c r="LL93" s="563"/>
      <c r="LM93" s="563"/>
      <c r="LN93" s="563"/>
      <c r="LO93" s="563"/>
      <c r="LP93" s="563"/>
      <c r="LQ93" s="563"/>
      <c r="LR93" s="563"/>
      <c r="LS93" s="563"/>
      <c r="LT93" s="563"/>
      <c r="LU93" s="563"/>
      <c r="LV93" s="563"/>
      <c r="LW93" s="563"/>
      <c r="LX93" s="563"/>
      <c r="LY93" s="563"/>
      <c r="LZ93" s="563"/>
      <c r="MA93" s="563"/>
      <c r="MB93" s="563"/>
      <c r="MC93" s="563"/>
      <c r="MD93" s="563"/>
      <c r="ME93" s="563"/>
      <c r="MF93" s="563"/>
      <c r="MG93" s="563"/>
      <c r="MH93" s="563"/>
      <c r="MI93" s="563"/>
      <c r="MJ93" s="563"/>
      <c r="MK93" s="563"/>
      <c r="ML93" s="563"/>
      <c r="MM93" s="563"/>
      <c r="MN93" s="563"/>
      <c r="MO93" s="563"/>
      <c r="MP93" s="563"/>
      <c r="MQ93" s="563"/>
      <c r="MR93" s="563"/>
      <c r="MS93" s="563"/>
      <c r="MT93" s="563"/>
      <c r="MU93" s="563"/>
      <c r="MV93" s="563"/>
      <c r="MW93" s="563"/>
      <c r="MX93" s="563"/>
      <c r="MY93" s="563"/>
      <c r="MZ93" s="563"/>
      <c r="NA93" s="563"/>
      <c r="NB93" s="563"/>
      <c r="NC93" s="563"/>
      <c r="ND93" s="563"/>
      <c r="NE93" s="563"/>
      <c r="NF93" s="563"/>
      <c r="NG93" s="563"/>
      <c r="NH93" s="563"/>
      <c r="NI93" s="563"/>
      <c r="NJ93" s="563"/>
      <c r="NK93" s="563"/>
      <c r="NL93" s="563"/>
      <c r="NM93" s="563"/>
      <c r="NN93" s="563"/>
      <c r="NO93" s="563"/>
      <c r="NP93" s="563"/>
      <c r="NQ93" s="563"/>
      <c r="NR93" s="563"/>
      <c r="NS93" s="563"/>
      <c r="NT93" s="563"/>
      <c r="NU93" s="563"/>
      <c r="NV93" s="563"/>
      <c r="NW93" s="563"/>
      <c r="NX93" s="563"/>
      <c r="NY93" s="563"/>
      <c r="NZ93" s="563"/>
      <c r="OA93" s="563"/>
      <c r="OB93" s="563"/>
      <c r="OC93" s="563"/>
      <c r="OD93" s="563"/>
      <c r="OE93" s="563"/>
      <c r="OF93" s="563"/>
      <c r="OG93" s="563"/>
      <c r="OH93" s="563"/>
      <c r="OI93" s="563"/>
      <c r="OJ93" s="563"/>
      <c r="OK93" s="563"/>
      <c r="OL93" s="563"/>
      <c r="OM93" s="563"/>
      <c r="ON93" s="563"/>
      <c r="OO93" s="563"/>
      <c r="OP93" s="563"/>
      <c r="OQ93" s="563"/>
      <c r="OR93" s="563"/>
      <c r="OS93" s="563"/>
      <c r="OT93" s="563"/>
      <c r="OU93" s="563"/>
      <c r="OV93" s="563"/>
      <c r="OW93" s="563"/>
      <c r="OX93" s="563"/>
      <c r="OY93" s="563"/>
      <c r="OZ93" s="563"/>
      <c r="PA93" s="563"/>
      <c r="PB93" s="563"/>
      <c r="PC93" s="563"/>
      <c r="PD93" s="563"/>
      <c r="PE93" s="563"/>
      <c r="PF93" s="563"/>
      <c r="PG93" s="563"/>
      <c r="PH93" s="563"/>
      <c r="PI93" s="563"/>
      <c r="PJ93" s="563"/>
      <c r="PK93" s="563"/>
      <c r="PL93" s="563"/>
      <c r="PM93" s="563"/>
      <c r="PN93" s="563"/>
      <c r="PO93" s="563"/>
      <c r="PP93" s="563"/>
      <c r="PQ93" s="563"/>
      <c r="PR93" s="563"/>
      <c r="PS93" s="563"/>
      <c r="PT93" s="563"/>
      <c r="PU93" s="563"/>
      <c r="PV93" s="563"/>
      <c r="PW93" s="563"/>
      <c r="PX93" s="563"/>
      <c r="PY93" s="563"/>
      <c r="PZ93" s="563"/>
      <c r="QA93" s="563"/>
      <c r="QB93" s="563"/>
      <c r="QC93" s="563"/>
      <c r="QD93" s="563"/>
      <c r="QE93" s="563"/>
      <c r="QF93" s="563"/>
      <c r="QG93" s="563"/>
      <c r="QH93" s="563"/>
      <c r="QI93" s="563"/>
      <c r="QJ93" s="563"/>
      <c r="QK93" s="563"/>
      <c r="QL93" s="563"/>
      <c r="QM93" s="563"/>
      <c r="QN93" s="563"/>
      <c r="QO93" s="563"/>
      <c r="QP93" s="563"/>
      <c r="QQ93" s="563"/>
      <c r="QR93" s="563"/>
      <c r="QS93" s="563"/>
      <c r="QT93" s="563"/>
      <c r="QU93" s="563"/>
      <c r="QV93" s="563"/>
      <c r="QW93" s="563"/>
      <c r="QX93" s="563"/>
      <c r="QY93" s="563"/>
      <c r="QZ93" s="563"/>
      <c r="RA93" s="563"/>
      <c r="RB93" s="563"/>
      <c r="RC93" s="563"/>
      <c r="RD93" s="563"/>
      <c r="RE93" s="563"/>
      <c r="RF93" s="563"/>
      <c r="RG93" s="563"/>
      <c r="RH93" s="563"/>
      <c r="RI93" s="563"/>
      <c r="RJ93" s="563"/>
      <c r="RK93" s="563"/>
      <c r="RL93" s="563"/>
      <c r="RM93" s="563"/>
      <c r="RN93" s="563"/>
      <c r="RO93" s="563"/>
      <c r="RP93" s="563"/>
      <c r="RQ93" s="563"/>
      <c r="RR93" s="563"/>
      <c r="RS93" s="563"/>
      <c r="RT93" s="563"/>
      <c r="RU93" s="563"/>
      <c r="RV93" s="563"/>
      <c r="RW93" s="563"/>
      <c r="RX93" s="563"/>
      <c r="RY93" s="563"/>
      <c r="RZ93" s="563"/>
      <c r="SA93" s="563"/>
      <c r="SB93" s="563"/>
      <c r="SC93" s="563"/>
      <c r="SD93" s="563"/>
      <c r="SE93" s="563"/>
      <c r="SF93" s="563"/>
      <c r="SG93" s="563"/>
      <c r="SH93" s="563"/>
      <c r="SI93" s="563"/>
      <c r="SJ93" s="563"/>
      <c r="SK93" s="563"/>
      <c r="SL93" s="563"/>
      <c r="SM93" s="563"/>
      <c r="SN93" s="563"/>
      <c r="SO93" s="563"/>
      <c r="SP93" s="563"/>
      <c r="SQ93" s="563"/>
      <c r="SR93" s="563"/>
      <c r="SS93" s="563"/>
      <c r="ST93" s="563"/>
      <c r="SU93" s="563"/>
      <c r="SV93" s="563"/>
      <c r="SW93" s="563"/>
      <c r="SX93" s="563"/>
      <c r="SY93" s="563"/>
      <c r="SZ93" s="563"/>
      <c r="TA93" s="563"/>
      <c r="TB93" s="563"/>
      <c r="TC93" s="563"/>
      <c r="TD93" s="563"/>
      <c r="TE93" s="563"/>
      <c r="TF93" s="563"/>
      <c r="TG93" s="563"/>
      <c r="TH93" s="563"/>
      <c r="TI93" s="563"/>
      <c r="TJ93" s="563"/>
      <c r="TK93" s="563"/>
      <c r="TL93" s="563"/>
      <c r="TM93" s="563"/>
      <c r="TN93" s="563"/>
      <c r="TO93" s="563"/>
      <c r="TP93" s="563"/>
      <c r="TQ93" s="563"/>
      <c r="TR93" s="563"/>
      <c r="TS93" s="563"/>
      <c r="TT93" s="563"/>
      <c r="TU93" s="563"/>
      <c r="TV93" s="563"/>
      <c r="TW93" s="563"/>
      <c r="TX93" s="563"/>
      <c r="TY93" s="563"/>
      <c r="TZ93" s="563"/>
      <c r="UA93" s="563"/>
      <c r="UB93" s="563"/>
      <c r="UC93" s="563"/>
      <c r="UD93" s="563"/>
      <c r="UE93" s="563"/>
      <c r="UF93" s="563"/>
      <c r="UG93" s="563"/>
      <c r="UH93" s="563"/>
      <c r="UI93" s="563"/>
      <c r="UJ93" s="563"/>
      <c r="UK93" s="563"/>
      <c r="UL93" s="563"/>
      <c r="UM93" s="563"/>
      <c r="UN93" s="563"/>
      <c r="UO93" s="563"/>
      <c r="UP93" s="563"/>
      <c r="UQ93" s="563"/>
      <c r="UR93" s="563"/>
      <c r="US93" s="563"/>
      <c r="UT93" s="563"/>
      <c r="UU93" s="563"/>
      <c r="UV93" s="563"/>
      <c r="UW93" s="563"/>
      <c r="UX93" s="563"/>
      <c r="UY93" s="563"/>
      <c r="UZ93" s="563"/>
      <c r="VA93" s="563"/>
      <c r="VB93" s="563"/>
      <c r="VC93" s="563"/>
      <c r="VD93" s="563"/>
      <c r="VE93" s="563"/>
      <c r="VF93" s="563"/>
      <c r="VG93" s="563"/>
      <c r="VH93" s="563"/>
      <c r="VI93" s="563"/>
      <c r="VJ93" s="563"/>
      <c r="VK93" s="563"/>
      <c r="VL93" s="563"/>
      <c r="VM93" s="563"/>
      <c r="VN93" s="563"/>
      <c r="VO93" s="563"/>
      <c r="VP93" s="563"/>
      <c r="VQ93" s="563"/>
      <c r="VR93" s="563"/>
      <c r="VS93" s="563"/>
      <c r="VT93" s="563"/>
      <c r="VU93" s="563"/>
      <c r="VV93" s="563"/>
      <c r="VW93" s="563"/>
      <c r="VX93" s="563"/>
      <c r="VY93" s="563"/>
      <c r="VZ93" s="563"/>
      <c r="WA93" s="563"/>
      <c r="WB93" s="563"/>
      <c r="WC93" s="563"/>
      <c r="WD93" s="563"/>
      <c r="WE93" s="563"/>
      <c r="WF93" s="563"/>
      <c r="WG93" s="563"/>
      <c r="WH93" s="563"/>
      <c r="WI93" s="563"/>
      <c r="WJ93" s="563"/>
      <c r="WK93" s="563"/>
      <c r="WL93" s="563"/>
      <c r="WM93" s="563"/>
      <c r="WN93" s="563"/>
      <c r="WO93" s="563"/>
      <c r="WP93" s="563"/>
      <c r="WQ93" s="563"/>
      <c r="WR93" s="563"/>
      <c r="WS93" s="563"/>
      <c r="WT93" s="563"/>
      <c r="WU93" s="563"/>
      <c r="WV93" s="563"/>
      <c r="WW93" s="563"/>
      <c r="WX93" s="563"/>
      <c r="WY93" s="563"/>
      <c r="WZ93" s="563"/>
      <c r="XA93" s="563"/>
      <c r="XB93" s="563"/>
      <c r="XC93" s="563"/>
      <c r="XD93" s="563"/>
      <c r="XE93" s="563"/>
      <c r="XF93" s="563"/>
      <c r="XG93" s="563"/>
      <c r="XH93" s="563"/>
      <c r="XI93" s="563"/>
      <c r="XJ93" s="563"/>
      <c r="XK93" s="563"/>
      <c r="XL93" s="563"/>
      <c r="XM93" s="563"/>
      <c r="XN93" s="563"/>
      <c r="XO93" s="563"/>
      <c r="XP93" s="563"/>
      <c r="XQ93" s="563"/>
      <c r="XR93" s="563"/>
      <c r="XS93" s="563"/>
      <c r="XT93" s="563"/>
      <c r="XU93" s="563"/>
      <c r="XV93" s="563"/>
      <c r="XW93" s="563"/>
      <c r="XX93" s="563"/>
      <c r="XY93" s="563"/>
      <c r="XZ93" s="563"/>
      <c r="YA93" s="563"/>
      <c r="YB93" s="563"/>
      <c r="YC93" s="563"/>
      <c r="YD93" s="563"/>
      <c r="YE93" s="563"/>
      <c r="YF93" s="563"/>
      <c r="YG93" s="563"/>
      <c r="YH93" s="563"/>
      <c r="YI93" s="563"/>
      <c r="YJ93" s="563"/>
      <c r="YK93" s="563"/>
      <c r="YL93" s="563"/>
      <c r="YM93" s="563"/>
      <c r="YN93" s="563"/>
      <c r="YO93" s="563"/>
      <c r="YP93" s="563"/>
      <c r="YQ93" s="563"/>
      <c r="YR93" s="563"/>
      <c r="YS93" s="563"/>
      <c r="YT93" s="563"/>
      <c r="YU93" s="563"/>
      <c r="YV93" s="563"/>
      <c r="YW93" s="563"/>
      <c r="YX93" s="563"/>
      <c r="YY93" s="563"/>
      <c r="YZ93" s="563"/>
      <c r="ZA93" s="563"/>
      <c r="ZB93" s="563"/>
      <c r="ZC93" s="563"/>
      <c r="ZD93" s="563"/>
      <c r="ZE93" s="563"/>
      <c r="ZF93" s="563"/>
      <c r="ZG93" s="563"/>
      <c r="ZH93" s="563"/>
      <c r="ZI93" s="563"/>
      <c r="ZJ93" s="563"/>
      <c r="ZK93" s="563"/>
      <c r="ZL93" s="563"/>
      <c r="ZM93" s="563"/>
      <c r="ZN93" s="563"/>
      <c r="ZO93" s="563"/>
      <c r="ZP93" s="563"/>
      <c r="ZQ93" s="563"/>
      <c r="ZR93" s="563"/>
      <c r="ZS93" s="563"/>
      <c r="ZT93" s="563"/>
      <c r="ZU93" s="563"/>
      <c r="ZV93" s="563"/>
      <c r="ZW93" s="563"/>
      <c r="ZX93" s="563"/>
      <c r="ZY93" s="563"/>
      <c r="ZZ93" s="563"/>
      <c r="AAA93" s="563"/>
      <c r="AAB93" s="563"/>
      <c r="AAC93" s="563"/>
      <c r="AAD93" s="563"/>
      <c r="AAE93" s="563"/>
      <c r="AAF93" s="563"/>
      <c r="AAG93" s="563"/>
      <c r="AAH93" s="563"/>
      <c r="AAI93" s="563"/>
      <c r="AAJ93" s="563"/>
      <c r="AAK93" s="563"/>
      <c r="AAL93" s="563"/>
      <c r="AAM93" s="563"/>
      <c r="AAN93" s="563"/>
      <c r="AAO93" s="563"/>
      <c r="AAP93" s="563"/>
      <c r="AAQ93" s="563"/>
      <c r="AAR93" s="563"/>
      <c r="AAS93" s="563"/>
      <c r="AAT93" s="563"/>
      <c r="AAU93" s="563"/>
      <c r="AAV93" s="563"/>
      <c r="AAW93" s="563"/>
      <c r="AAX93" s="563"/>
      <c r="AAY93" s="563"/>
      <c r="AAZ93" s="563"/>
      <c r="ABA93" s="563"/>
      <c r="ABB93" s="563"/>
      <c r="ABC93" s="563"/>
      <c r="ABD93" s="563"/>
      <c r="ABE93" s="563"/>
      <c r="ABF93" s="563"/>
      <c r="ABG93" s="563"/>
      <c r="ABH93" s="563"/>
      <c r="ABI93" s="563"/>
      <c r="ABJ93" s="563"/>
      <c r="ABK93" s="563"/>
      <c r="ABL93" s="563"/>
      <c r="ABM93" s="563"/>
      <c r="ABN93" s="563"/>
      <c r="ABO93" s="563"/>
      <c r="ABP93" s="563"/>
      <c r="ABQ93" s="563"/>
      <c r="ABR93" s="563"/>
      <c r="ABS93" s="563"/>
      <c r="ABT93" s="563"/>
      <c r="ABU93" s="563"/>
      <c r="ABV93" s="563"/>
      <c r="ABW93" s="563"/>
      <c r="ABX93" s="563"/>
      <c r="ABY93" s="563"/>
      <c r="ABZ93" s="563"/>
      <c r="ACA93" s="563"/>
      <c r="ACB93" s="563"/>
      <c r="ACC93" s="563"/>
      <c r="ACD93" s="563"/>
      <c r="ACE93" s="563"/>
      <c r="ACF93" s="563"/>
      <c r="ACG93" s="563"/>
      <c r="ACH93" s="563"/>
      <c r="ACI93" s="563"/>
      <c r="ACJ93" s="563"/>
      <c r="ACK93" s="563"/>
      <c r="ACL93" s="563"/>
      <c r="ACM93" s="563"/>
      <c r="ACN93" s="563"/>
      <c r="ACO93" s="563"/>
      <c r="ACP93" s="563"/>
      <c r="ACQ93" s="563"/>
      <c r="ACR93" s="563"/>
      <c r="ACS93" s="563"/>
      <c r="ACT93" s="563"/>
      <c r="ACU93" s="563"/>
      <c r="ACV93" s="563"/>
      <c r="ACW93" s="563"/>
      <c r="ACX93" s="563"/>
      <c r="ACY93" s="563"/>
      <c r="ACZ93" s="563"/>
      <c r="ADA93" s="563"/>
      <c r="ADB93" s="563"/>
      <c r="ADC93" s="563"/>
      <c r="ADD93" s="563"/>
      <c r="ADE93" s="563"/>
      <c r="ADF93" s="563"/>
      <c r="ADG93" s="563"/>
      <c r="ADH93" s="563"/>
      <c r="ADI93" s="563"/>
      <c r="ADJ93" s="563"/>
      <c r="ADK93" s="563"/>
      <c r="ADL93" s="563"/>
      <c r="ADM93" s="563"/>
      <c r="ADN93" s="563"/>
      <c r="ADO93" s="563"/>
      <c r="ADP93" s="563"/>
      <c r="ADQ93" s="563"/>
      <c r="ADR93" s="563"/>
      <c r="ADS93" s="563"/>
      <c r="ADT93" s="563"/>
      <c r="ADU93" s="563"/>
      <c r="ADV93" s="563"/>
      <c r="ADW93" s="563"/>
      <c r="ADX93" s="563"/>
      <c r="ADY93" s="563"/>
      <c r="ADZ93" s="563"/>
      <c r="AEA93" s="563"/>
      <c r="AEB93" s="563"/>
      <c r="AEC93" s="563"/>
      <c r="AED93" s="563"/>
      <c r="AEE93" s="563"/>
      <c r="AEF93" s="563"/>
      <c r="AEG93" s="563"/>
      <c r="AEH93" s="563"/>
      <c r="AEI93" s="563"/>
      <c r="AEJ93" s="563"/>
      <c r="AEK93" s="563"/>
      <c r="AEL93" s="563"/>
      <c r="AEM93" s="563"/>
      <c r="AEN93" s="563"/>
      <c r="AEO93" s="563"/>
      <c r="AEP93" s="563"/>
      <c r="AEQ93" s="563"/>
      <c r="AER93" s="563"/>
      <c r="AES93" s="563"/>
      <c r="AET93" s="563"/>
      <c r="AEU93" s="563"/>
      <c r="AEV93" s="563"/>
      <c r="AEW93" s="563"/>
      <c r="AEX93" s="563"/>
      <c r="AEY93" s="563"/>
      <c r="AEZ93" s="563"/>
      <c r="AFA93" s="563"/>
      <c r="AFB93" s="563"/>
      <c r="AFC93" s="563"/>
      <c r="AFD93" s="563"/>
      <c r="AFE93" s="563"/>
      <c r="AFF93" s="563"/>
      <c r="AFG93" s="563"/>
      <c r="AFH93" s="563"/>
      <c r="AFI93" s="563"/>
      <c r="AFJ93" s="563"/>
      <c r="AFK93" s="563"/>
      <c r="AFL93" s="563"/>
      <c r="AFM93" s="563"/>
      <c r="AFN93" s="563"/>
      <c r="AFO93" s="563"/>
      <c r="AFP93" s="563"/>
      <c r="AFQ93" s="563"/>
      <c r="AFR93" s="563"/>
      <c r="AFS93" s="563"/>
      <c r="AFT93" s="563"/>
      <c r="AFU93" s="563"/>
      <c r="AFV93" s="563"/>
      <c r="AFW93" s="563"/>
      <c r="AFX93" s="563"/>
      <c r="AFY93" s="563"/>
      <c r="AFZ93" s="563"/>
      <c r="AGA93" s="563"/>
      <c r="AGB93" s="563"/>
      <c r="AGC93" s="563"/>
      <c r="AGD93" s="563"/>
      <c r="AGE93" s="563"/>
      <c r="AGF93" s="563"/>
      <c r="AGG93" s="563"/>
      <c r="AGH93" s="563"/>
      <c r="AGI93" s="563"/>
      <c r="AGJ93" s="563"/>
      <c r="AGK93" s="563"/>
      <c r="AGL93" s="563"/>
      <c r="AGM93" s="563"/>
      <c r="AGN93" s="563"/>
      <c r="AGO93" s="563"/>
      <c r="AGP93" s="563"/>
      <c r="AGQ93" s="563"/>
      <c r="AGR93" s="563"/>
      <c r="AGS93" s="563"/>
      <c r="AGT93" s="563"/>
      <c r="AGU93" s="563"/>
      <c r="AGV93" s="563"/>
      <c r="AGW93" s="563"/>
      <c r="AGX93" s="563"/>
      <c r="AGY93" s="563"/>
      <c r="AGZ93" s="563"/>
      <c r="AHA93" s="563"/>
      <c r="AHB93" s="563"/>
      <c r="AHC93" s="563"/>
      <c r="AHD93" s="563"/>
      <c r="AHE93" s="563"/>
      <c r="AHF93" s="563"/>
      <c r="AHG93" s="563"/>
      <c r="AHH93" s="563"/>
      <c r="AHI93" s="563"/>
      <c r="AHJ93" s="563"/>
      <c r="AHK93" s="563"/>
      <c r="AHL93" s="563"/>
      <c r="AHM93" s="563"/>
      <c r="AHN93" s="563"/>
      <c r="AHO93" s="563"/>
      <c r="AHP93" s="563"/>
      <c r="AHQ93" s="563"/>
      <c r="AHR93" s="563"/>
      <c r="AHS93" s="563"/>
      <c r="AHT93" s="563"/>
      <c r="AHU93" s="563"/>
      <c r="AHV93" s="563"/>
      <c r="AHW93" s="563"/>
      <c r="AHX93" s="563"/>
      <c r="AHY93" s="563"/>
      <c r="AHZ93" s="563"/>
      <c r="AIA93" s="563"/>
      <c r="AIB93" s="563"/>
      <c r="AIC93" s="563"/>
      <c r="AID93" s="563"/>
      <c r="AIE93" s="563"/>
      <c r="AIF93" s="563"/>
      <c r="AIG93" s="563"/>
      <c r="AIH93" s="563"/>
      <c r="AII93" s="563"/>
      <c r="AIJ93" s="563"/>
      <c r="AIK93" s="563"/>
      <c r="AIL93" s="563"/>
      <c r="AIM93" s="563"/>
      <c r="AIN93" s="563"/>
      <c r="AIO93" s="563"/>
      <c r="AIP93" s="563"/>
      <c r="AIQ93" s="563"/>
      <c r="AIR93" s="563"/>
      <c r="AIS93" s="563"/>
      <c r="AIT93" s="563"/>
      <c r="AIU93" s="563"/>
      <c r="AIV93" s="563"/>
      <c r="AIW93" s="563"/>
      <c r="AIX93" s="563"/>
      <c r="AIY93" s="563"/>
      <c r="AIZ93" s="563"/>
      <c r="AJA93" s="563"/>
      <c r="AJB93" s="563"/>
      <c r="AJC93" s="563"/>
      <c r="AJD93" s="563"/>
      <c r="AJE93" s="563"/>
      <c r="AJF93" s="563"/>
      <c r="AJG93" s="563"/>
      <c r="AJH93" s="563"/>
      <c r="AJI93" s="563"/>
      <c r="AJJ93" s="563"/>
      <c r="AJK93" s="563"/>
      <c r="AJL93" s="563"/>
      <c r="AJM93" s="563"/>
      <c r="AJN93" s="563"/>
      <c r="AJO93" s="563"/>
      <c r="AJP93" s="563"/>
      <c r="AJQ93" s="563"/>
      <c r="AJR93" s="563"/>
      <c r="AJS93" s="563"/>
      <c r="AJT93" s="563"/>
      <c r="AJU93" s="563"/>
      <c r="AJV93" s="563"/>
      <c r="AJW93" s="563"/>
      <c r="AJX93" s="563"/>
      <c r="AJY93" s="563"/>
      <c r="AJZ93" s="563"/>
      <c r="AKA93" s="563"/>
      <c r="AKB93" s="563"/>
      <c r="AKC93" s="563"/>
      <c r="AKD93" s="563"/>
      <c r="AKE93" s="563"/>
      <c r="AKF93" s="563"/>
      <c r="AKG93" s="563"/>
      <c r="AKH93" s="563"/>
      <c r="AKI93" s="563"/>
      <c r="AKJ93" s="563"/>
      <c r="AKK93" s="563"/>
      <c r="AKL93" s="563"/>
      <c r="AKM93" s="563"/>
      <c r="AKN93" s="563"/>
      <c r="AKO93" s="563"/>
      <c r="AKP93" s="563"/>
      <c r="AKQ93" s="563"/>
      <c r="AKR93" s="563"/>
      <c r="AKS93" s="563"/>
      <c r="AKT93" s="563"/>
      <c r="AKU93" s="563"/>
      <c r="AKV93" s="563"/>
      <c r="AKW93" s="563"/>
      <c r="AKX93" s="563"/>
      <c r="AKY93" s="563"/>
      <c r="AKZ93" s="563"/>
      <c r="ALA93" s="563"/>
      <c r="ALB93" s="563"/>
      <c r="ALC93" s="563"/>
      <c r="ALD93" s="563"/>
      <c r="ALE93" s="563"/>
      <c r="ALF93" s="563"/>
      <c r="ALG93" s="563"/>
      <c r="ALH93" s="563"/>
      <c r="ALI93" s="563"/>
      <c r="ALJ93" s="563"/>
      <c r="ALK93" s="563"/>
      <c r="ALL93" s="563"/>
      <c r="ALM93" s="563"/>
      <c r="ALN93" s="563"/>
      <c r="ALO93" s="563"/>
      <c r="ALP93" s="563"/>
      <c r="ALQ93" s="563"/>
      <c r="ALR93" s="563"/>
      <c r="ALS93" s="563"/>
      <c r="ALT93" s="563"/>
      <c r="ALU93" s="563"/>
      <c r="ALV93" s="563"/>
      <c r="ALW93" s="563"/>
      <c r="ALX93" s="563"/>
      <c r="ALY93" s="563"/>
      <c r="ALZ93" s="563"/>
      <c r="AMA93" s="563"/>
      <c r="AMB93" s="563"/>
      <c r="AMC93" s="563"/>
      <c r="AMD93" s="563"/>
      <c r="AME93" s="563"/>
      <c r="AMF93" s="563"/>
      <c r="AMG93" s="563"/>
      <c r="AMH93" s="563"/>
      <c r="AMI93" s="563"/>
      <c r="AMJ93" s="563"/>
      <c r="AMK93" s="563"/>
      <c r="AML93" s="563"/>
      <c r="AMM93" s="563"/>
      <c r="AMN93" s="563"/>
      <c r="AMO93" s="563"/>
      <c r="AMP93" s="563"/>
      <c r="AMQ93" s="563"/>
      <c r="AMR93" s="563"/>
      <c r="AMS93" s="563"/>
      <c r="AMT93" s="563"/>
      <c r="AMU93" s="563"/>
      <c r="AMV93" s="563"/>
      <c r="AMW93" s="563"/>
      <c r="AMX93" s="563"/>
      <c r="AMY93" s="563"/>
      <c r="AMZ93" s="563"/>
      <c r="ANA93" s="563"/>
      <c r="ANB93" s="563"/>
      <c r="ANC93" s="563"/>
      <c r="AND93" s="563"/>
      <c r="ANE93" s="563"/>
      <c r="ANF93" s="563"/>
      <c r="ANG93" s="563"/>
      <c r="ANH93" s="563"/>
      <c r="ANI93" s="563"/>
      <c r="ANJ93" s="563"/>
      <c r="ANK93" s="563"/>
      <c r="ANL93" s="563"/>
      <c r="ANM93" s="563"/>
      <c r="ANN93" s="563"/>
      <c r="ANO93" s="563"/>
      <c r="ANP93" s="563"/>
      <c r="ANQ93" s="563"/>
      <c r="ANR93" s="563"/>
      <c r="ANS93" s="563"/>
      <c r="ANT93" s="563"/>
      <c r="ANU93" s="563"/>
      <c r="ANV93" s="563"/>
      <c r="ANW93" s="563"/>
      <c r="ANX93" s="563"/>
      <c r="ANY93" s="563"/>
      <c r="ANZ93" s="563"/>
      <c r="AOA93" s="563"/>
      <c r="AOB93" s="563"/>
      <c r="AOC93" s="563"/>
      <c r="AOD93" s="563"/>
      <c r="AOE93" s="563"/>
      <c r="AOF93" s="563"/>
      <c r="AOG93" s="563"/>
      <c r="AOH93" s="563"/>
      <c r="AOI93" s="563"/>
      <c r="AOJ93" s="563"/>
      <c r="AOK93" s="563"/>
      <c r="AOL93" s="563"/>
      <c r="AOM93" s="563"/>
      <c r="AON93" s="563"/>
      <c r="AOO93" s="563"/>
      <c r="AOP93" s="563"/>
      <c r="AOQ93" s="563"/>
      <c r="AOR93" s="563"/>
      <c r="AOS93" s="563"/>
      <c r="AOT93" s="563"/>
      <c r="AOU93" s="563"/>
      <c r="AOV93" s="563"/>
      <c r="AOW93" s="563"/>
      <c r="AOX93" s="563"/>
      <c r="AOY93" s="563"/>
      <c r="AOZ93" s="563"/>
      <c r="APA93" s="563"/>
      <c r="APB93" s="563"/>
      <c r="APC93" s="563"/>
      <c r="APD93" s="563"/>
      <c r="APE93" s="563"/>
      <c r="APF93" s="563"/>
      <c r="APG93" s="563"/>
      <c r="APH93" s="563"/>
      <c r="API93" s="563"/>
      <c r="APJ93" s="563"/>
      <c r="APK93" s="563"/>
      <c r="APL93" s="563"/>
      <c r="APM93" s="563"/>
      <c r="APN93" s="563"/>
      <c r="APO93" s="563"/>
      <c r="APP93" s="563"/>
      <c r="APQ93" s="563"/>
      <c r="APR93" s="563"/>
      <c r="APS93" s="563"/>
      <c r="APT93" s="563"/>
      <c r="APU93" s="563"/>
      <c r="APV93" s="563"/>
      <c r="APW93" s="563"/>
      <c r="APX93" s="563"/>
      <c r="APY93" s="563"/>
      <c r="APZ93" s="563"/>
      <c r="AQA93" s="563"/>
      <c r="AQB93" s="563"/>
      <c r="AQC93" s="563"/>
      <c r="AQD93" s="563"/>
      <c r="AQE93" s="563"/>
      <c r="AQF93" s="563"/>
      <c r="AQG93" s="563"/>
      <c r="AQH93" s="563"/>
      <c r="AQI93" s="563"/>
      <c r="AQJ93" s="563"/>
      <c r="AQK93" s="563"/>
      <c r="AQL93" s="563"/>
      <c r="AQM93" s="563"/>
      <c r="AQN93" s="563"/>
      <c r="AQO93" s="563"/>
      <c r="AQP93" s="563"/>
      <c r="AQQ93" s="563"/>
      <c r="AQR93" s="563"/>
      <c r="AQS93" s="563"/>
      <c r="AQT93" s="563"/>
      <c r="AQU93" s="563"/>
      <c r="AQV93" s="563"/>
      <c r="AQW93" s="563"/>
      <c r="AQX93" s="563"/>
      <c r="AQY93" s="563"/>
      <c r="AQZ93" s="563"/>
      <c r="ARA93" s="563"/>
      <c r="ARB93" s="563"/>
      <c r="ARC93" s="563"/>
      <c r="ARD93" s="563"/>
      <c r="ARE93" s="563"/>
      <c r="ARF93" s="563"/>
      <c r="ARG93" s="563"/>
      <c r="ARH93" s="563"/>
      <c r="ARI93" s="563"/>
      <c r="ARJ93" s="563"/>
      <c r="ARK93" s="563"/>
      <c r="ARL93" s="563"/>
      <c r="ARM93" s="563"/>
      <c r="ARN93" s="563"/>
      <c r="ARO93" s="563"/>
      <c r="ARP93" s="563"/>
      <c r="ARQ93" s="563"/>
      <c r="ARR93" s="563"/>
      <c r="ARS93" s="563"/>
      <c r="ART93" s="563"/>
      <c r="ARU93" s="563"/>
      <c r="ARV93" s="563"/>
      <c r="ARW93" s="563"/>
      <c r="ARX93" s="563"/>
      <c r="ARY93" s="563"/>
      <c r="ARZ93" s="563"/>
      <c r="ASA93" s="563"/>
      <c r="ASB93" s="563"/>
      <c r="ASC93" s="563"/>
      <c r="ASD93" s="563"/>
      <c r="ASE93" s="563"/>
      <c r="ASF93" s="563"/>
      <c r="ASG93" s="563"/>
      <c r="ASH93" s="563"/>
      <c r="ASI93" s="563"/>
      <c r="ASJ93" s="563"/>
      <c r="ASK93" s="563"/>
      <c r="ASL93" s="563"/>
      <c r="ASM93" s="563"/>
      <c r="ASN93" s="563"/>
      <c r="ASO93" s="563"/>
      <c r="ASP93" s="563"/>
      <c r="ASQ93" s="563"/>
      <c r="ASR93" s="563"/>
      <c r="ASS93" s="563"/>
      <c r="AST93" s="563"/>
      <c r="ASU93" s="563"/>
      <c r="ASV93" s="563"/>
      <c r="ASW93" s="563"/>
      <c r="ASX93" s="563"/>
      <c r="ASY93" s="563"/>
      <c r="ASZ93" s="563"/>
      <c r="ATA93" s="563"/>
      <c r="ATB93" s="563"/>
      <c r="ATC93" s="563"/>
      <c r="ATD93" s="563"/>
      <c r="ATE93" s="563"/>
      <c r="ATF93" s="563"/>
      <c r="ATG93" s="563"/>
      <c r="ATH93" s="563"/>
      <c r="ATI93" s="563"/>
      <c r="ATJ93" s="563"/>
      <c r="ATK93" s="563"/>
      <c r="ATL93" s="563"/>
      <c r="ATM93" s="563"/>
      <c r="ATN93" s="563"/>
      <c r="ATO93" s="563"/>
      <c r="ATP93" s="563"/>
      <c r="ATQ93" s="563"/>
      <c r="ATR93" s="563"/>
      <c r="ATS93" s="563"/>
      <c r="ATT93" s="563"/>
      <c r="ATU93" s="563"/>
      <c r="ATV93" s="563"/>
      <c r="ATW93" s="563"/>
      <c r="ATX93" s="563"/>
      <c r="ATY93" s="563"/>
      <c r="ATZ93" s="563"/>
      <c r="AUA93" s="563"/>
      <c r="AUB93" s="563"/>
      <c r="AUC93" s="563"/>
      <c r="AUD93" s="563"/>
      <c r="AUE93" s="563"/>
      <c r="AUF93" s="563"/>
      <c r="AUG93" s="563"/>
      <c r="AUH93" s="563"/>
      <c r="AUI93" s="563"/>
      <c r="AUJ93" s="563"/>
      <c r="AUK93" s="563"/>
      <c r="AUL93" s="563"/>
      <c r="AUM93" s="563"/>
      <c r="AUN93" s="563"/>
      <c r="AUO93" s="563"/>
      <c r="AUP93" s="563"/>
      <c r="AUQ93" s="563"/>
      <c r="AUR93" s="563"/>
      <c r="AUS93" s="563"/>
      <c r="AUT93" s="563"/>
      <c r="AUU93" s="563"/>
      <c r="AUV93" s="563"/>
      <c r="AUW93" s="563"/>
      <c r="AUX93" s="563"/>
      <c r="AUY93" s="563"/>
      <c r="AUZ93" s="563"/>
      <c r="AVA93" s="563"/>
      <c r="AVB93" s="563"/>
      <c r="AVC93" s="563"/>
      <c r="AVD93" s="563"/>
      <c r="AVE93" s="563"/>
      <c r="AVF93" s="563"/>
      <c r="AVG93" s="563"/>
      <c r="AVH93" s="563"/>
      <c r="AVI93" s="563"/>
      <c r="AVJ93" s="563"/>
      <c r="AVK93" s="563"/>
      <c r="AVL93" s="563"/>
      <c r="AVM93" s="563"/>
      <c r="AVN93" s="563"/>
      <c r="AVO93" s="563"/>
      <c r="AVP93" s="563"/>
      <c r="AVQ93" s="563"/>
      <c r="AVR93" s="563"/>
      <c r="AVS93" s="563"/>
      <c r="AVT93" s="563"/>
      <c r="AVU93" s="563"/>
      <c r="AVV93" s="563"/>
      <c r="AVW93" s="563"/>
      <c r="AVX93" s="563"/>
      <c r="AVY93" s="563"/>
      <c r="AVZ93" s="563"/>
      <c r="AWA93" s="563"/>
      <c r="AWB93" s="563"/>
      <c r="AWC93" s="563"/>
      <c r="AWD93" s="563"/>
      <c r="AWE93" s="563"/>
      <c r="AWF93" s="563"/>
      <c r="AWG93" s="563"/>
      <c r="AWH93" s="563"/>
      <c r="AWI93" s="563"/>
      <c r="AWJ93" s="563"/>
      <c r="AWK93" s="563"/>
      <c r="AWL93" s="563"/>
      <c r="AWM93" s="563"/>
      <c r="AWN93" s="563"/>
      <c r="AWO93" s="563"/>
      <c r="AWP93" s="563"/>
      <c r="AWQ93" s="563"/>
      <c r="AWR93" s="563"/>
      <c r="AWS93" s="563"/>
      <c r="AWT93" s="563"/>
      <c r="AWU93" s="563"/>
      <c r="AWV93" s="563"/>
      <c r="AWW93" s="563"/>
      <c r="AWX93" s="563"/>
      <c r="AWY93" s="563"/>
      <c r="AWZ93" s="563"/>
      <c r="AXA93" s="563"/>
      <c r="AXB93" s="563"/>
      <c r="AXC93" s="563"/>
      <c r="AXD93" s="563"/>
      <c r="AXE93" s="563"/>
      <c r="AXF93" s="563"/>
      <c r="AXG93" s="563"/>
      <c r="AXH93" s="563"/>
      <c r="AXI93" s="563"/>
      <c r="AXJ93" s="563"/>
      <c r="AXK93" s="563"/>
      <c r="AXL93" s="563"/>
      <c r="AXM93" s="563"/>
      <c r="AXN93" s="563"/>
      <c r="AXO93" s="563"/>
      <c r="AXP93" s="563"/>
      <c r="AXQ93" s="563"/>
      <c r="AXR93" s="563"/>
      <c r="AXS93" s="563"/>
      <c r="AXT93" s="563"/>
      <c r="AXU93" s="563"/>
      <c r="AXV93" s="563"/>
      <c r="AXW93" s="563"/>
      <c r="AXX93" s="563"/>
      <c r="AXY93" s="563"/>
      <c r="AXZ93" s="563"/>
      <c r="AYA93" s="563"/>
      <c r="AYB93" s="563"/>
      <c r="AYC93" s="563"/>
      <c r="AYD93" s="563"/>
      <c r="AYE93" s="563"/>
      <c r="AYF93" s="563"/>
      <c r="AYG93" s="563"/>
      <c r="AYH93" s="563"/>
      <c r="AYI93" s="563"/>
      <c r="AYJ93" s="563"/>
      <c r="AYK93" s="563"/>
      <c r="AYL93" s="563"/>
      <c r="AYM93" s="563"/>
      <c r="AYN93" s="563"/>
      <c r="AYO93" s="563"/>
      <c r="AYP93" s="563"/>
      <c r="AYQ93" s="563"/>
      <c r="AYR93" s="563"/>
      <c r="AYS93" s="563"/>
      <c r="AYT93" s="563"/>
      <c r="AYU93" s="563"/>
      <c r="AYV93" s="563"/>
      <c r="AYW93" s="563"/>
      <c r="AYX93" s="563"/>
      <c r="AYY93" s="563"/>
      <c r="AYZ93" s="563"/>
      <c r="AZA93" s="563"/>
      <c r="AZB93" s="563"/>
      <c r="AZC93" s="563"/>
      <c r="AZD93" s="563"/>
      <c r="AZE93" s="563"/>
      <c r="AZF93" s="563"/>
      <c r="AZG93" s="563"/>
      <c r="AZH93" s="563"/>
      <c r="AZI93" s="563"/>
      <c r="AZJ93" s="563"/>
      <c r="AZK93" s="563"/>
      <c r="AZL93" s="563"/>
      <c r="AZM93" s="563"/>
      <c r="AZN93" s="563"/>
      <c r="AZO93" s="563"/>
      <c r="AZP93" s="563"/>
      <c r="AZQ93" s="563"/>
      <c r="AZR93" s="563"/>
      <c r="AZS93" s="563"/>
      <c r="AZT93" s="563"/>
      <c r="AZU93" s="563"/>
      <c r="AZV93" s="563"/>
      <c r="AZW93" s="563"/>
      <c r="AZX93" s="563"/>
      <c r="AZY93" s="563"/>
      <c r="AZZ93" s="563"/>
      <c r="BAA93" s="563"/>
      <c r="BAB93" s="563"/>
      <c r="BAC93" s="563"/>
      <c r="BAD93" s="563"/>
      <c r="BAE93" s="563"/>
      <c r="BAF93" s="563"/>
      <c r="BAG93" s="563"/>
      <c r="BAH93" s="563"/>
      <c r="BAI93" s="563"/>
      <c r="BAJ93" s="563"/>
      <c r="BAK93" s="563"/>
      <c r="BAL93" s="563"/>
      <c r="BAM93" s="563"/>
      <c r="BAN93" s="563"/>
      <c r="BAO93" s="563"/>
      <c r="BAP93" s="563"/>
      <c r="BAQ93" s="563"/>
      <c r="BAR93" s="563"/>
      <c r="BAS93" s="563"/>
      <c r="BAT93" s="563"/>
      <c r="BAU93" s="563"/>
      <c r="BAV93" s="563"/>
      <c r="BAW93" s="563"/>
      <c r="BAX93" s="563"/>
      <c r="BAY93" s="563"/>
      <c r="BAZ93" s="563"/>
      <c r="BBA93" s="563"/>
      <c r="BBB93" s="563"/>
      <c r="BBC93" s="563"/>
      <c r="BBD93" s="563"/>
      <c r="BBE93" s="563"/>
      <c r="BBF93" s="563"/>
      <c r="BBG93" s="563"/>
      <c r="BBH93" s="563"/>
      <c r="BBI93" s="563"/>
      <c r="BBJ93" s="563"/>
      <c r="BBK93" s="563"/>
      <c r="BBL93" s="563"/>
      <c r="BBM93" s="563"/>
      <c r="BBN93" s="563"/>
      <c r="BBO93" s="563"/>
      <c r="BBP93" s="563"/>
      <c r="BBQ93" s="563"/>
      <c r="BBR93" s="563"/>
      <c r="BBS93" s="563"/>
      <c r="BBT93" s="563"/>
      <c r="BBU93" s="563"/>
      <c r="BBV93" s="563"/>
      <c r="BBW93" s="563"/>
      <c r="BBX93" s="563"/>
      <c r="BBY93" s="563"/>
      <c r="BBZ93" s="563"/>
      <c r="BCA93" s="563"/>
      <c r="BCB93" s="563"/>
      <c r="BCC93" s="563"/>
      <c r="BCD93" s="563"/>
      <c r="BCE93" s="563"/>
      <c r="BCF93" s="563"/>
      <c r="BCG93" s="563"/>
      <c r="BCH93" s="563"/>
      <c r="BCI93" s="563"/>
      <c r="BCJ93" s="563"/>
      <c r="BCK93" s="563"/>
      <c r="BCL93" s="563"/>
      <c r="BCM93" s="563"/>
      <c r="BCN93" s="563"/>
      <c r="BCO93" s="563"/>
      <c r="BCP93" s="563"/>
      <c r="BCQ93" s="563"/>
      <c r="BCR93" s="563"/>
      <c r="BCS93" s="563"/>
      <c r="BCT93" s="563"/>
      <c r="BCU93" s="563"/>
      <c r="BCV93" s="563"/>
      <c r="BCW93" s="563"/>
      <c r="BCX93" s="563"/>
      <c r="BCY93" s="563"/>
      <c r="BCZ93" s="563"/>
      <c r="BDA93" s="563"/>
      <c r="BDB93" s="563"/>
      <c r="BDC93" s="563"/>
      <c r="BDD93" s="563"/>
      <c r="BDE93" s="563"/>
      <c r="BDF93" s="563"/>
      <c r="BDG93" s="563"/>
      <c r="BDH93" s="563"/>
      <c r="BDI93" s="563"/>
      <c r="BDJ93" s="563"/>
      <c r="BDK93" s="563"/>
      <c r="BDL93" s="563"/>
      <c r="BDM93" s="563"/>
      <c r="BDN93" s="563"/>
      <c r="BDO93" s="563"/>
      <c r="BDP93" s="563"/>
      <c r="BDQ93" s="563"/>
      <c r="BDR93" s="563"/>
      <c r="BDS93" s="563"/>
      <c r="BDT93" s="563"/>
      <c r="BDU93" s="563"/>
      <c r="BDV93" s="563"/>
      <c r="BDW93" s="563"/>
      <c r="BDX93" s="563"/>
      <c r="BDY93" s="563"/>
      <c r="BDZ93" s="563"/>
      <c r="BEA93" s="563"/>
      <c r="BEB93" s="563"/>
      <c r="BEC93" s="563"/>
      <c r="BED93" s="563"/>
      <c r="BEE93" s="563"/>
      <c r="BEF93" s="563"/>
      <c r="BEG93" s="563"/>
      <c r="BEH93" s="563"/>
      <c r="BEI93" s="563"/>
      <c r="BEJ93" s="563"/>
      <c r="BEK93" s="563"/>
      <c r="BEL93" s="563"/>
      <c r="BEM93" s="563"/>
      <c r="BEN93" s="563"/>
      <c r="BEO93" s="563"/>
      <c r="BEP93" s="563"/>
      <c r="BEQ93" s="563"/>
      <c r="BER93" s="563"/>
      <c r="BES93" s="563"/>
      <c r="BET93" s="563"/>
      <c r="BEU93" s="563"/>
      <c r="BEV93" s="563"/>
      <c r="BEW93" s="563"/>
      <c r="BEX93" s="563"/>
      <c r="BEY93" s="563"/>
      <c r="BEZ93" s="563"/>
      <c r="BFA93" s="563"/>
      <c r="BFB93" s="563"/>
      <c r="BFC93" s="563"/>
      <c r="BFD93" s="563"/>
      <c r="BFE93" s="563"/>
      <c r="BFF93" s="563"/>
      <c r="BFG93" s="563"/>
      <c r="BFH93" s="563"/>
      <c r="BFI93" s="563"/>
      <c r="BFJ93" s="563"/>
      <c r="BFK93" s="563"/>
      <c r="BFL93" s="563"/>
      <c r="BFM93" s="563"/>
      <c r="BFN93" s="563"/>
      <c r="BFO93" s="563"/>
      <c r="BFP93" s="563"/>
      <c r="BFQ93" s="563"/>
      <c r="BFR93" s="563"/>
      <c r="BFS93" s="563"/>
      <c r="BFT93" s="563"/>
      <c r="BFU93" s="563"/>
      <c r="BFV93" s="563"/>
      <c r="BFW93" s="563"/>
      <c r="BFX93" s="563"/>
      <c r="BFY93" s="563"/>
      <c r="BFZ93" s="563"/>
      <c r="BGA93" s="563"/>
      <c r="BGB93" s="563"/>
      <c r="BGC93" s="563"/>
      <c r="BGD93" s="563"/>
      <c r="BGE93" s="563"/>
      <c r="BGF93" s="563"/>
      <c r="BGG93" s="563"/>
      <c r="BGH93" s="563"/>
      <c r="BGI93" s="563"/>
      <c r="BGJ93" s="563"/>
      <c r="BGK93" s="563"/>
      <c r="BGL93" s="563"/>
      <c r="BGM93" s="563"/>
      <c r="BGN93" s="563"/>
      <c r="BGO93" s="563"/>
      <c r="BGP93" s="563"/>
      <c r="BGQ93" s="563"/>
      <c r="BGR93" s="563"/>
      <c r="BGS93" s="563"/>
      <c r="BGT93" s="563"/>
      <c r="BGU93" s="563"/>
      <c r="BGV93" s="563"/>
      <c r="BGW93" s="563"/>
      <c r="BGX93" s="563"/>
      <c r="BGY93" s="563"/>
      <c r="BGZ93" s="563"/>
      <c r="BHA93" s="563"/>
      <c r="BHB93" s="563"/>
      <c r="BHC93" s="563"/>
      <c r="BHD93" s="563"/>
      <c r="BHE93" s="563"/>
      <c r="BHF93" s="563"/>
      <c r="BHG93" s="563"/>
      <c r="BHH93" s="563"/>
      <c r="BHI93" s="563"/>
      <c r="BHJ93" s="563"/>
      <c r="BHK93" s="563"/>
      <c r="BHL93" s="563"/>
      <c r="BHM93" s="563"/>
      <c r="BHN93" s="563"/>
      <c r="BHO93" s="563"/>
      <c r="BHP93" s="563"/>
      <c r="BHQ93" s="563"/>
      <c r="BHR93" s="563"/>
      <c r="BHS93" s="563"/>
      <c r="BHT93" s="563"/>
      <c r="BHU93" s="563"/>
      <c r="BHV93" s="563"/>
      <c r="BHW93" s="563"/>
      <c r="BHX93" s="563"/>
      <c r="BHY93" s="563"/>
      <c r="BHZ93" s="563"/>
      <c r="BIA93" s="563"/>
      <c r="BIB93" s="563"/>
      <c r="BIC93" s="563"/>
      <c r="BID93" s="563"/>
      <c r="BIE93" s="563"/>
      <c r="BIF93" s="563"/>
      <c r="BIG93" s="563"/>
      <c r="BIH93" s="563"/>
      <c r="BII93" s="563"/>
      <c r="BIJ93" s="563"/>
      <c r="BIK93" s="563"/>
      <c r="BIL93" s="563"/>
      <c r="BIM93" s="563"/>
      <c r="BIN93" s="563"/>
      <c r="BIO93" s="563"/>
      <c r="BIP93" s="563"/>
      <c r="BIQ93" s="563"/>
      <c r="BIR93" s="563"/>
      <c r="BIS93" s="563"/>
      <c r="BIT93" s="563"/>
      <c r="BIU93" s="563"/>
      <c r="BIV93" s="563"/>
      <c r="BIW93" s="563"/>
      <c r="BIX93" s="563"/>
      <c r="BIY93" s="563"/>
      <c r="BIZ93" s="563"/>
      <c r="BJA93" s="563"/>
      <c r="BJB93" s="563"/>
      <c r="BJC93" s="563"/>
      <c r="BJD93" s="563"/>
      <c r="BJE93" s="563"/>
      <c r="BJF93" s="563"/>
      <c r="BJG93" s="563"/>
      <c r="BJH93" s="563"/>
      <c r="BJI93" s="563"/>
      <c r="BJJ93" s="563"/>
      <c r="BJK93" s="563"/>
      <c r="BJL93" s="563"/>
      <c r="BJM93" s="563"/>
      <c r="BJN93" s="563"/>
      <c r="BJO93" s="563"/>
      <c r="BJP93" s="563"/>
      <c r="BJQ93" s="563"/>
      <c r="BJR93" s="563"/>
      <c r="BJS93" s="563"/>
      <c r="BJT93" s="563"/>
      <c r="BJU93" s="563"/>
      <c r="BJV93" s="563"/>
      <c r="BJW93" s="563"/>
      <c r="BJX93" s="563"/>
      <c r="BJY93" s="563"/>
      <c r="BJZ93" s="563"/>
      <c r="BKA93" s="563"/>
      <c r="BKB93" s="563"/>
      <c r="BKC93" s="563"/>
      <c r="BKD93" s="563"/>
      <c r="BKE93" s="563"/>
      <c r="BKF93" s="563"/>
      <c r="BKG93" s="563"/>
      <c r="BKH93" s="563"/>
      <c r="BKI93" s="563"/>
      <c r="BKJ93" s="563"/>
      <c r="BKK93" s="563"/>
      <c r="BKL93" s="563"/>
      <c r="BKM93" s="563"/>
      <c r="BKN93" s="563"/>
      <c r="BKO93" s="563"/>
      <c r="BKP93" s="563"/>
      <c r="BKQ93" s="563"/>
      <c r="BKR93" s="563"/>
      <c r="BKS93" s="563"/>
      <c r="BKT93" s="563"/>
      <c r="BKU93" s="563"/>
      <c r="BKV93" s="563"/>
      <c r="BKW93" s="563"/>
      <c r="BKX93" s="563"/>
      <c r="BKY93" s="563"/>
      <c r="BKZ93" s="563"/>
      <c r="BLA93" s="563"/>
      <c r="BLB93" s="563"/>
      <c r="BLC93" s="563"/>
      <c r="BLD93" s="563"/>
      <c r="BLE93" s="563"/>
      <c r="BLF93" s="563"/>
      <c r="BLG93" s="563"/>
      <c r="BLH93" s="563"/>
      <c r="BLI93" s="563"/>
      <c r="BLJ93" s="563"/>
      <c r="BLK93" s="563"/>
      <c r="BLL93" s="563"/>
      <c r="BLM93" s="563"/>
      <c r="BLN93" s="563"/>
      <c r="BLO93" s="563"/>
      <c r="BLP93" s="563"/>
      <c r="BLQ93" s="563"/>
      <c r="BLR93" s="563"/>
      <c r="BLS93" s="563"/>
      <c r="BLT93" s="563"/>
      <c r="BLU93" s="563"/>
      <c r="BLV93" s="563"/>
      <c r="BLW93" s="563"/>
      <c r="BLX93" s="563"/>
      <c r="BLY93" s="563"/>
      <c r="BLZ93" s="563"/>
      <c r="BMA93" s="563"/>
      <c r="BMB93" s="563"/>
      <c r="BMC93" s="563"/>
      <c r="BMD93" s="563"/>
      <c r="BME93" s="563"/>
      <c r="BMF93" s="563"/>
      <c r="BMG93" s="563"/>
      <c r="BMH93" s="563"/>
      <c r="BMI93" s="563"/>
      <c r="BMJ93" s="563"/>
      <c r="BMK93" s="563"/>
      <c r="BML93" s="563"/>
      <c r="BMM93" s="563"/>
      <c r="BMN93" s="563"/>
      <c r="BMO93" s="563"/>
      <c r="BMP93" s="563"/>
      <c r="BMQ93" s="563"/>
      <c r="BMR93" s="563"/>
      <c r="BMS93" s="563"/>
      <c r="BMT93" s="563"/>
      <c r="BMU93" s="563"/>
      <c r="BMV93" s="563"/>
      <c r="BMW93" s="563"/>
      <c r="BMX93" s="563"/>
      <c r="BMY93" s="563"/>
      <c r="BMZ93" s="563"/>
      <c r="BNA93" s="563"/>
      <c r="BNB93" s="563"/>
      <c r="BNC93" s="563"/>
      <c r="BND93" s="563"/>
      <c r="BNE93" s="563"/>
      <c r="BNF93" s="563"/>
      <c r="BNG93" s="563"/>
      <c r="BNH93" s="563"/>
      <c r="BNI93" s="563"/>
      <c r="BNJ93" s="563"/>
      <c r="BNK93" s="563"/>
      <c r="BNL93" s="563"/>
      <c r="BNM93" s="563"/>
      <c r="BNN93" s="563"/>
      <c r="BNO93" s="563"/>
      <c r="BNP93" s="563"/>
      <c r="BNQ93" s="563"/>
      <c r="BNR93" s="563"/>
      <c r="BNS93" s="563"/>
      <c r="BNT93" s="563"/>
      <c r="BNU93" s="563"/>
      <c r="BNV93" s="563"/>
      <c r="BNW93" s="563"/>
      <c r="BNX93" s="563"/>
      <c r="BNY93" s="563"/>
      <c r="BNZ93" s="563"/>
      <c r="BOA93" s="563"/>
      <c r="BOB93" s="563"/>
      <c r="BOC93" s="563"/>
      <c r="BOD93" s="563"/>
      <c r="BOE93" s="563"/>
      <c r="BOF93" s="563"/>
      <c r="BOG93" s="563"/>
      <c r="BOH93" s="563"/>
      <c r="BOI93" s="563"/>
      <c r="BOJ93" s="563"/>
      <c r="BOK93" s="563"/>
      <c r="BOL93" s="563"/>
      <c r="BOM93" s="563"/>
      <c r="BON93" s="563"/>
      <c r="BOO93" s="563"/>
      <c r="BOP93" s="563"/>
      <c r="BOQ93" s="563"/>
      <c r="BOR93" s="563"/>
      <c r="BOS93" s="563"/>
      <c r="BOT93" s="563"/>
      <c r="BOU93" s="563"/>
      <c r="BOV93" s="563"/>
      <c r="BOW93" s="563"/>
      <c r="BOX93" s="563"/>
      <c r="BOY93" s="563"/>
      <c r="BOZ93" s="563"/>
      <c r="BPA93" s="563"/>
      <c r="BPB93" s="563"/>
      <c r="BPC93" s="563"/>
      <c r="BPD93" s="563"/>
      <c r="BPE93" s="563"/>
      <c r="BPF93" s="563"/>
      <c r="BPG93" s="563"/>
      <c r="BPH93" s="563"/>
      <c r="BPI93" s="563"/>
      <c r="BPJ93" s="563"/>
      <c r="BPK93" s="563"/>
      <c r="BPL93" s="563"/>
      <c r="BPM93" s="563"/>
      <c r="BPN93" s="563"/>
      <c r="BPO93" s="563"/>
      <c r="BPP93" s="563"/>
      <c r="BPQ93" s="563"/>
      <c r="BPR93" s="563"/>
      <c r="BPS93" s="563"/>
      <c r="BPT93" s="563"/>
      <c r="BPU93" s="563"/>
      <c r="BPV93" s="563"/>
      <c r="BPW93" s="563"/>
      <c r="BPX93" s="563"/>
      <c r="BPY93" s="563"/>
      <c r="BPZ93" s="563"/>
      <c r="BQA93" s="563"/>
      <c r="BQB93" s="563"/>
      <c r="BQC93" s="563"/>
      <c r="BQD93" s="563"/>
      <c r="BQE93" s="563"/>
      <c r="BQF93" s="563"/>
      <c r="BQG93" s="563"/>
      <c r="BQH93" s="563"/>
      <c r="BQI93" s="563"/>
      <c r="BQJ93" s="563"/>
      <c r="BQK93" s="563"/>
      <c r="BQL93" s="563"/>
      <c r="BQM93" s="563"/>
      <c r="BQN93" s="563"/>
      <c r="BQO93" s="563"/>
      <c r="BQP93" s="563"/>
      <c r="BQQ93" s="563"/>
      <c r="BQR93" s="563"/>
      <c r="BQS93" s="563"/>
      <c r="BQT93" s="563"/>
      <c r="BQU93" s="563"/>
      <c r="BQV93" s="563"/>
      <c r="BQW93" s="563"/>
      <c r="BQX93" s="563"/>
      <c r="BQY93" s="563"/>
      <c r="BQZ93" s="563"/>
      <c r="BRA93" s="563"/>
      <c r="BRB93" s="563"/>
      <c r="BRC93" s="563"/>
      <c r="BRD93" s="563"/>
      <c r="BRE93" s="563"/>
      <c r="BRF93" s="563"/>
      <c r="BRG93" s="563"/>
      <c r="BRH93" s="563"/>
      <c r="BRI93" s="563"/>
      <c r="BRJ93" s="563"/>
      <c r="BRK93" s="563"/>
      <c r="BRL93" s="563"/>
      <c r="BRM93" s="563"/>
      <c r="BRN93" s="563"/>
      <c r="BRO93" s="563"/>
      <c r="BRP93" s="563"/>
      <c r="BRQ93" s="563"/>
      <c r="BRR93" s="563"/>
      <c r="BRS93" s="563"/>
      <c r="BRT93" s="563"/>
      <c r="BRU93" s="563"/>
      <c r="BRV93" s="563"/>
      <c r="BRW93" s="563"/>
      <c r="BRX93" s="563"/>
      <c r="BRY93" s="563"/>
      <c r="BRZ93" s="563"/>
      <c r="BSA93" s="563"/>
      <c r="BSB93" s="563"/>
      <c r="BSC93" s="563"/>
      <c r="BSD93" s="563"/>
      <c r="BSE93" s="563"/>
      <c r="BSF93" s="563"/>
      <c r="BSG93" s="563"/>
      <c r="BSH93" s="563"/>
      <c r="BSI93" s="563"/>
      <c r="BSJ93" s="563"/>
      <c r="BSK93" s="563"/>
      <c r="BSL93" s="563"/>
      <c r="BSM93" s="563"/>
      <c r="BSN93" s="563"/>
      <c r="BSO93" s="563"/>
      <c r="BSP93" s="563"/>
      <c r="BSQ93" s="563"/>
      <c r="BSR93" s="563"/>
      <c r="BSS93" s="563"/>
      <c r="BST93" s="563"/>
      <c r="BSU93" s="563"/>
      <c r="BSV93" s="563"/>
      <c r="BSW93" s="563"/>
      <c r="BSX93" s="563"/>
      <c r="BSY93" s="563"/>
      <c r="BSZ93" s="563"/>
      <c r="BTA93" s="563"/>
      <c r="BTB93" s="563"/>
      <c r="BTC93" s="563"/>
      <c r="BTD93" s="563"/>
      <c r="BTE93" s="563"/>
      <c r="BTF93" s="563"/>
      <c r="BTG93" s="563"/>
      <c r="BTH93" s="563"/>
      <c r="BTI93" s="563"/>
      <c r="BTJ93" s="563"/>
      <c r="BTK93" s="563"/>
      <c r="BTL93" s="563"/>
      <c r="BTM93" s="563"/>
      <c r="BTN93" s="563"/>
      <c r="BTO93" s="563"/>
      <c r="BTP93" s="563"/>
      <c r="BTQ93" s="563"/>
      <c r="BTR93" s="563"/>
      <c r="BTS93" s="563"/>
      <c r="BTT93" s="563"/>
      <c r="BTU93" s="563"/>
      <c r="BTV93" s="563"/>
      <c r="BTW93" s="563"/>
      <c r="BTX93" s="563"/>
      <c r="BTY93" s="563"/>
      <c r="BTZ93" s="563"/>
      <c r="BUA93" s="563"/>
      <c r="BUB93" s="563"/>
      <c r="BUC93" s="563"/>
      <c r="BUD93" s="563"/>
      <c r="BUE93" s="563"/>
      <c r="BUF93" s="563"/>
      <c r="BUG93" s="563"/>
      <c r="BUH93" s="563"/>
      <c r="BUI93" s="563"/>
      <c r="BUJ93" s="563"/>
      <c r="BUK93" s="563"/>
      <c r="BUL93" s="563"/>
      <c r="BUM93" s="563"/>
      <c r="BUN93" s="563"/>
      <c r="BUO93" s="563"/>
      <c r="BUP93" s="563"/>
      <c r="BUQ93" s="563"/>
      <c r="BUR93" s="563"/>
      <c r="BUS93" s="563"/>
      <c r="BUT93" s="563"/>
      <c r="BUU93" s="563"/>
      <c r="BUV93" s="563"/>
      <c r="BUW93" s="563"/>
      <c r="BUX93" s="563"/>
      <c r="BUY93" s="563"/>
      <c r="BUZ93" s="563"/>
      <c r="BVA93" s="563"/>
      <c r="BVB93" s="563"/>
      <c r="BVC93" s="563"/>
      <c r="BVD93" s="563"/>
      <c r="BVE93" s="563"/>
      <c r="BVF93" s="563"/>
      <c r="BVG93" s="563"/>
      <c r="BVH93" s="563"/>
      <c r="BVI93" s="563"/>
      <c r="BVJ93" s="563"/>
      <c r="BVK93" s="563"/>
      <c r="BVL93" s="563"/>
      <c r="BVM93" s="563"/>
      <c r="BVN93" s="563"/>
      <c r="BVO93" s="563"/>
      <c r="BVP93" s="563"/>
      <c r="BVQ93" s="563"/>
      <c r="BVR93" s="563"/>
      <c r="BVS93" s="563"/>
      <c r="BVT93" s="563"/>
      <c r="BVU93" s="563"/>
      <c r="BVV93" s="563"/>
      <c r="BVW93" s="563"/>
      <c r="BVX93" s="563"/>
      <c r="BVY93" s="563"/>
      <c r="BVZ93" s="563"/>
      <c r="BWA93" s="563"/>
      <c r="BWB93" s="563"/>
      <c r="BWC93" s="563"/>
      <c r="BWD93" s="563"/>
      <c r="BWE93" s="563"/>
      <c r="BWF93" s="563"/>
      <c r="BWG93" s="563"/>
      <c r="BWH93" s="563"/>
      <c r="BWI93" s="563"/>
      <c r="BWJ93" s="563"/>
      <c r="BWK93" s="563"/>
      <c r="BWL93" s="563"/>
      <c r="BWM93" s="563"/>
      <c r="BWN93" s="563"/>
      <c r="BWO93" s="563"/>
      <c r="BWP93" s="563"/>
      <c r="BWQ93" s="563"/>
      <c r="BWR93" s="563"/>
      <c r="BWS93" s="563"/>
      <c r="BWT93" s="563"/>
      <c r="BWU93" s="563"/>
      <c r="BWV93" s="563"/>
      <c r="BWW93" s="563"/>
      <c r="BWX93" s="563"/>
      <c r="BWY93" s="563"/>
      <c r="BWZ93" s="563"/>
      <c r="BXA93" s="563"/>
      <c r="BXB93" s="563"/>
      <c r="BXC93" s="563"/>
      <c r="BXD93" s="563"/>
      <c r="BXE93" s="563"/>
      <c r="BXF93" s="563"/>
      <c r="BXG93" s="563"/>
      <c r="BXH93" s="563"/>
      <c r="BXI93" s="563"/>
      <c r="BXJ93" s="563"/>
      <c r="BXK93" s="563"/>
      <c r="BXL93" s="563"/>
      <c r="BXM93" s="563"/>
      <c r="BXN93" s="563"/>
      <c r="BXO93" s="563"/>
      <c r="BXP93" s="563"/>
      <c r="BXQ93" s="563"/>
      <c r="BXR93" s="563"/>
      <c r="BXS93" s="563"/>
      <c r="BXT93" s="563"/>
      <c r="BXU93" s="563"/>
      <c r="BXV93" s="563"/>
      <c r="BXW93" s="563"/>
      <c r="BXX93" s="563"/>
      <c r="BXY93" s="563"/>
      <c r="BXZ93" s="563"/>
      <c r="BYA93" s="563"/>
      <c r="BYB93" s="563"/>
      <c r="BYC93" s="563"/>
      <c r="BYD93" s="563"/>
      <c r="BYE93" s="563"/>
      <c r="BYF93" s="563"/>
      <c r="BYG93" s="563"/>
      <c r="BYH93" s="563"/>
      <c r="BYI93" s="563"/>
      <c r="BYJ93" s="563"/>
      <c r="BYK93" s="563"/>
      <c r="BYL93" s="563"/>
      <c r="BYM93" s="563"/>
      <c r="BYN93" s="563"/>
      <c r="BYO93" s="563"/>
      <c r="BYP93" s="563"/>
      <c r="BYQ93" s="563"/>
      <c r="BYR93" s="563"/>
      <c r="BYS93" s="563"/>
      <c r="BYT93" s="563"/>
      <c r="BYU93" s="563"/>
      <c r="BYV93" s="563"/>
      <c r="BYW93" s="563"/>
      <c r="BYX93" s="563"/>
      <c r="BYY93" s="563"/>
      <c r="BYZ93" s="563"/>
      <c r="BZA93" s="563"/>
      <c r="BZB93" s="563"/>
      <c r="BZC93" s="563"/>
      <c r="BZD93" s="563"/>
      <c r="BZE93" s="563"/>
      <c r="BZF93" s="563"/>
      <c r="BZG93" s="563"/>
      <c r="BZH93" s="563"/>
      <c r="BZI93" s="563"/>
      <c r="BZJ93" s="563"/>
      <c r="BZK93" s="563"/>
      <c r="BZL93" s="563"/>
      <c r="BZM93" s="563"/>
      <c r="BZN93" s="563"/>
      <c r="BZO93" s="563"/>
      <c r="BZP93" s="563"/>
      <c r="BZQ93" s="563"/>
      <c r="BZR93" s="563"/>
      <c r="BZS93" s="563"/>
      <c r="BZT93" s="563"/>
      <c r="BZU93" s="563"/>
      <c r="BZV93" s="563"/>
      <c r="BZW93" s="563"/>
      <c r="BZX93" s="563"/>
      <c r="BZY93" s="563"/>
      <c r="BZZ93" s="563"/>
      <c r="CAA93" s="563"/>
      <c r="CAB93" s="563"/>
      <c r="CAC93" s="563"/>
      <c r="CAD93" s="563"/>
      <c r="CAE93" s="563"/>
      <c r="CAF93" s="563"/>
      <c r="CAG93" s="563"/>
      <c r="CAH93" s="563"/>
      <c r="CAI93" s="563"/>
      <c r="CAJ93" s="563"/>
      <c r="CAK93" s="563"/>
      <c r="CAL93" s="563"/>
      <c r="CAM93" s="563"/>
      <c r="CAN93" s="563"/>
      <c r="CAO93" s="563"/>
      <c r="CAP93" s="563"/>
      <c r="CAQ93" s="563"/>
      <c r="CAR93" s="563"/>
      <c r="CAS93" s="563"/>
      <c r="CAT93" s="563"/>
      <c r="CAU93" s="563"/>
      <c r="CAV93" s="563"/>
      <c r="CAW93" s="563"/>
      <c r="CAX93" s="563"/>
      <c r="CAY93" s="563"/>
      <c r="CAZ93" s="563"/>
      <c r="CBA93" s="563"/>
      <c r="CBB93" s="563"/>
      <c r="CBC93" s="563"/>
      <c r="CBD93" s="563"/>
      <c r="CBE93" s="563"/>
      <c r="CBF93" s="563"/>
      <c r="CBG93" s="563"/>
      <c r="CBH93" s="563"/>
      <c r="CBI93" s="563"/>
      <c r="CBJ93" s="563"/>
      <c r="CBK93" s="563"/>
      <c r="CBL93" s="563"/>
      <c r="CBM93" s="563"/>
      <c r="CBN93" s="563"/>
      <c r="CBO93" s="563"/>
      <c r="CBP93" s="563"/>
      <c r="CBQ93" s="563"/>
      <c r="CBR93" s="563"/>
      <c r="CBS93" s="563"/>
      <c r="CBT93" s="563"/>
      <c r="CBU93" s="563"/>
      <c r="CBV93" s="563"/>
      <c r="CBW93" s="563"/>
      <c r="CBX93" s="563"/>
      <c r="CBY93" s="563"/>
      <c r="CBZ93" s="563"/>
      <c r="CCA93" s="563"/>
      <c r="CCB93" s="563"/>
      <c r="CCC93" s="563"/>
      <c r="CCD93" s="563"/>
      <c r="CCE93" s="563"/>
      <c r="CCF93" s="563"/>
      <c r="CCG93" s="563"/>
      <c r="CCH93" s="563"/>
      <c r="CCI93" s="563"/>
      <c r="CCJ93" s="563"/>
      <c r="CCK93" s="563"/>
      <c r="CCL93" s="563"/>
      <c r="CCM93" s="563"/>
      <c r="CCN93" s="563"/>
      <c r="CCO93" s="563"/>
      <c r="CCP93" s="563"/>
      <c r="CCQ93" s="563"/>
      <c r="CCR93" s="563"/>
      <c r="CCS93" s="563"/>
      <c r="CCT93" s="563"/>
      <c r="CCU93" s="563"/>
      <c r="CCV93" s="563"/>
      <c r="CCW93" s="563"/>
      <c r="CCX93" s="563"/>
      <c r="CCY93" s="563"/>
      <c r="CCZ93" s="563"/>
      <c r="CDA93" s="563"/>
      <c r="CDB93" s="563"/>
      <c r="CDC93" s="563"/>
      <c r="CDD93" s="563"/>
      <c r="CDE93" s="563"/>
      <c r="CDF93" s="563"/>
      <c r="CDG93" s="563"/>
      <c r="CDH93" s="563"/>
      <c r="CDI93" s="563"/>
      <c r="CDJ93" s="563"/>
      <c r="CDK93" s="563"/>
      <c r="CDL93" s="563"/>
      <c r="CDM93" s="563"/>
      <c r="CDN93" s="563"/>
      <c r="CDO93" s="563"/>
      <c r="CDP93" s="563"/>
      <c r="CDQ93" s="563"/>
      <c r="CDR93" s="563"/>
      <c r="CDS93" s="563"/>
      <c r="CDT93" s="563"/>
      <c r="CDU93" s="563"/>
      <c r="CDV93" s="563"/>
      <c r="CDW93" s="563"/>
      <c r="CDX93" s="563"/>
      <c r="CDY93" s="563"/>
      <c r="CDZ93" s="563"/>
      <c r="CEA93" s="563"/>
      <c r="CEB93" s="563"/>
      <c r="CEC93" s="563"/>
      <c r="CED93" s="563"/>
      <c r="CEE93" s="563"/>
      <c r="CEF93" s="563"/>
      <c r="CEG93" s="563"/>
      <c r="CEH93" s="563"/>
      <c r="CEI93" s="563"/>
      <c r="CEJ93" s="563"/>
      <c r="CEK93" s="563"/>
      <c r="CEL93" s="563"/>
      <c r="CEM93" s="563"/>
      <c r="CEN93" s="563"/>
      <c r="CEO93" s="563"/>
      <c r="CEP93" s="563"/>
      <c r="CEQ93" s="563"/>
      <c r="CER93" s="563"/>
      <c r="CES93" s="563"/>
      <c r="CET93" s="563"/>
      <c r="CEU93" s="563"/>
      <c r="CEV93" s="563"/>
      <c r="CEW93" s="563"/>
      <c r="CEX93" s="563"/>
      <c r="CEY93" s="563"/>
      <c r="CEZ93" s="563"/>
      <c r="CFA93" s="563"/>
      <c r="CFB93" s="563"/>
      <c r="CFC93" s="563"/>
      <c r="CFD93" s="563"/>
      <c r="CFE93" s="563"/>
      <c r="CFF93" s="563"/>
      <c r="CFG93" s="563"/>
      <c r="CFH93" s="563"/>
      <c r="CFI93" s="563"/>
      <c r="CFJ93" s="563"/>
      <c r="CFK93" s="563"/>
      <c r="CFL93" s="563"/>
      <c r="CFM93" s="563"/>
      <c r="CFN93" s="563"/>
      <c r="CFO93" s="563"/>
      <c r="CFP93" s="563"/>
      <c r="CFQ93" s="563"/>
      <c r="CFR93" s="563"/>
      <c r="CFS93" s="563"/>
      <c r="CFT93" s="563"/>
      <c r="CFU93" s="563"/>
      <c r="CFV93" s="563"/>
      <c r="CFW93" s="563"/>
      <c r="CFX93" s="563"/>
      <c r="CFY93" s="563"/>
      <c r="CFZ93" s="563"/>
      <c r="CGA93" s="563"/>
      <c r="CGB93" s="563"/>
      <c r="CGC93" s="563"/>
      <c r="CGD93" s="563"/>
      <c r="CGE93" s="563"/>
      <c r="CGF93" s="563"/>
      <c r="CGG93" s="563"/>
      <c r="CGH93" s="563"/>
      <c r="CGI93" s="563"/>
      <c r="CGJ93" s="563"/>
      <c r="CGK93" s="563"/>
      <c r="CGL93" s="563"/>
      <c r="CGM93" s="563"/>
      <c r="CGN93" s="563"/>
      <c r="CGO93" s="563"/>
      <c r="CGP93" s="563"/>
      <c r="CGQ93" s="563"/>
      <c r="CGR93" s="563"/>
      <c r="CGS93" s="563"/>
      <c r="CGT93" s="563"/>
      <c r="CGU93" s="563"/>
      <c r="CGV93" s="563"/>
      <c r="CGW93" s="563"/>
      <c r="CGX93" s="563"/>
      <c r="CGY93" s="563"/>
      <c r="CGZ93" s="563"/>
      <c r="CHA93" s="563"/>
      <c r="CHB93" s="563"/>
      <c r="CHC93" s="563"/>
      <c r="CHD93" s="563"/>
      <c r="CHE93" s="563"/>
      <c r="CHF93" s="563"/>
      <c r="CHG93" s="563"/>
      <c r="CHH93" s="563"/>
      <c r="CHI93" s="563"/>
      <c r="CHJ93" s="563"/>
      <c r="CHK93" s="563"/>
      <c r="CHL93" s="563"/>
      <c r="CHM93" s="563"/>
      <c r="CHN93" s="563"/>
      <c r="CHO93" s="563"/>
      <c r="CHP93" s="563"/>
      <c r="CHQ93" s="563"/>
      <c r="CHR93" s="563"/>
      <c r="CHS93" s="563"/>
      <c r="CHT93" s="563"/>
      <c r="CHU93" s="563"/>
      <c r="CHV93" s="563"/>
      <c r="CHW93" s="563"/>
      <c r="CHX93" s="563"/>
      <c r="CHY93" s="563"/>
      <c r="CHZ93" s="563"/>
      <c r="CIA93" s="563"/>
      <c r="CIB93" s="563"/>
      <c r="CIC93" s="563"/>
      <c r="CID93" s="563"/>
      <c r="CIE93" s="563"/>
      <c r="CIF93" s="563"/>
      <c r="CIG93" s="563"/>
      <c r="CIH93" s="563"/>
      <c r="CII93" s="563"/>
      <c r="CIJ93" s="563"/>
      <c r="CIK93" s="563"/>
      <c r="CIL93" s="563"/>
      <c r="CIM93" s="563"/>
      <c r="CIN93" s="563"/>
      <c r="CIO93" s="563"/>
      <c r="CIP93" s="563"/>
      <c r="CIQ93" s="563"/>
      <c r="CIR93" s="563"/>
      <c r="CIS93" s="563"/>
      <c r="CIT93" s="563"/>
      <c r="CIU93" s="563"/>
      <c r="CIV93" s="563"/>
      <c r="CIW93" s="563"/>
      <c r="CIX93" s="563"/>
      <c r="CIY93" s="563"/>
      <c r="CIZ93" s="563"/>
      <c r="CJA93" s="563"/>
      <c r="CJB93" s="563"/>
      <c r="CJC93" s="563"/>
      <c r="CJD93" s="563"/>
      <c r="CJE93" s="563"/>
      <c r="CJF93" s="563"/>
      <c r="CJG93" s="563"/>
      <c r="CJH93" s="563"/>
      <c r="CJI93" s="563"/>
      <c r="CJJ93" s="563"/>
      <c r="CJK93" s="563"/>
      <c r="CJL93" s="563"/>
      <c r="CJM93" s="563"/>
      <c r="CJN93" s="563"/>
      <c r="CJO93" s="563"/>
      <c r="CJP93" s="563"/>
      <c r="CJQ93" s="563"/>
      <c r="CJR93" s="563"/>
      <c r="CJS93" s="563"/>
      <c r="CJT93" s="563"/>
      <c r="CJU93" s="563"/>
      <c r="CJV93" s="563"/>
      <c r="CJW93" s="563"/>
      <c r="CJX93" s="563"/>
      <c r="CJY93" s="563"/>
      <c r="CJZ93" s="563"/>
      <c r="CKA93" s="563"/>
      <c r="CKB93" s="563"/>
      <c r="CKC93" s="563"/>
      <c r="CKD93" s="563"/>
      <c r="CKE93" s="563"/>
      <c r="CKF93" s="563"/>
      <c r="CKG93" s="563"/>
      <c r="CKH93" s="563"/>
      <c r="CKI93" s="563"/>
      <c r="CKJ93" s="563"/>
      <c r="CKK93" s="563"/>
      <c r="CKL93" s="563"/>
      <c r="CKM93" s="563"/>
      <c r="CKN93" s="563"/>
      <c r="CKO93" s="563"/>
      <c r="CKP93" s="563"/>
      <c r="CKQ93" s="563"/>
      <c r="CKR93" s="563"/>
      <c r="CKS93" s="563"/>
      <c r="CKT93" s="563"/>
      <c r="CKU93" s="563"/>
      <c r="CKV93" s="563"/>
      <c r="CKW93" s="563"/>
      <c r="CKX93" s="563"/>
      <c r="CKY93" s="563"/>
      <c r="CKZ93" s="563"/>
      <c r="CLA93" s="563"/>
      <c r="CLB93" s="563"/>
      <c r="CLC93" s="563"/>
      <c r="CLD93" s="563"/>
      <c r="CLE93" s="563"/>
      <c r="CLF93" s="563"/>
      <c r="CLG93" s="563"/>
      <c r="CLH93" s="563"/>
      <c r="CLI93" s="563"/>
      <c r="CLJ93" s="563"/>
      <c r="CLK93" s="563"/>
      <c r="CLL93" s="563"/>
      <c r="CLM93" s="563"/>
      <c r="CLN93" s="563"/>
      <c r="CLO93" s="563"/>
      <c r="CLP93" s="563"/>
      <c r="CLQ93" s="563"/>
      <c r="CLR93" s="563"/>
      <c r="CLS93" s="563"/>
      <c r="CLT93" s="563"/>
      <c r="CLU93" s="563"/>
      <c r="CLV93" s="563"/>
      <c r="CLW93" s="563"/>
      <c r="CLX93" s="563"/>
      <c r="CLY93" s="563"/>
      <c r="CLZ93" s="563"/>
      <c r="CMA93" s="563"/>
      <c r="CMB93" s="563"/>
      <c r="CMC93" s="563"/>
      <c r="CMD93" s="563"/>
      <c r="CME93" s="563"/>
      <c r="CMF93" s="563"/>
      <c r="CMG93" s="563"/>
      <c r="CMH93" s="563"/>
      <c r="CMI93" s="563"/>
      <c r="CMJ93" s="563"/>
      <c r="CMK93" s="563"/>
      <c r="CML93" s="563"/>
      <c r="CMM93" s="563"/>
      <c r="CMN93" s="563"/>
      <c r="CMO93" s="563"/>
      <c r="CMP93" s="563"/>
      <c r="CMQ93" s="563"/>
      <c r="CMR93" s="563"/>
      <c r="CMS93" s="563"/>
      <c r="CMT93" s="563"/>
      <c r="CMU93" s="563"/>
      <c r="CMV93" s="563"/>
      <c r="CMW93" s="563"/>
      <c r="CMX93" s="563"/>
      <c r="CMY93" s="563"/>
      <c r="CMZ93" s="563"/>
      <c r="CNA93" s="563"/>
      <c r="CNB93" s="563"/>
      <c r="CNC93" s="563"/>
      <c r="CND93" s="563"/>
      <c r="CNE93" s="563"/>
      <c r="CNF93" s="563"/>
      <c r="CNG93" s="563"/>
      <c r="CNH93" s="563"/>
      <c r="CNI93" s="563"/>
      <c r="CNJ93" s="563"/>
      <c r="CNK93" s="563"/>
      <c r="CNL93" s="563"/>
      <c r="CNM93" s="563"/>
      <c r="CNN93" s="563"/>
      <c r="CNO93" s="563"/>
      <c r="CNP93" s="563"/>
      <c r="CNQ93" s="563"/>
      <c r="CNR93" s="563"/>
      <c r="CNS93" s="563"/>
      <c r="CNT93" s="563"/>
      <c r="CNU93" s="563"/>
      <c r="CNV93" s="563"/>
      <c r="CNW93" s="563"/>
      <c r="CNX93" s="563"/>
      <c r="CNY93" s="563"/>
      <c r="CNZ93" s="563"/>
      <c r="COA93" s="563"/>
      <c r="COB93" s="563"/>
      <c r="COC93" s="563"/>
      <c r="COD93" s="563"/>
      <c r="COE93" s="563"/>
      <c r="COF93" s="563"/>
      <c r="COG93" s="563"/>
      <c r="COH93" s="563"/>
      <c r="COI93" s="563"/>
      <c r="COJ93" s="563"/>
      <c r="COK93" s="563"/>
      <c r="COL93" s="563"/>
      <c r="COM93" s="563"/>
      <c r="CON93" s="563"/>
      <c r="COO93" s="563"/>
      <c r="COP93" s="563"/>
      <c r="COQ93" s="563"/>
      <c r="COR93" s="563"/>
      <c r="COS93" s="563"/>
      <c r="COT93" s="563"/>
      <c r="COU93" s="563"/>
      <c r="COV93" s="563"/>
      <c r="COW93" s="563"/>
      <c r="COX93" s="563"/>
      <c r="COY93" s="563"/>
      <c r="COZ93" s="563"/>
      <c r="CPA93" s="563"/>
      <c r="CPB93" s="563"/>
      <c r="CPC93" s="563"/>
      <c r="CPD93" s="563"/>
      <c r="CPE93" s="563"/>
      <c r="CPF93" s="563"/>
      <c r="CPG93" s="563"/>
      <c r="CPH93" s="563"/>
      <c r="CPI93" s="563"/>
      <c r="CPJ93" s="563"/>
      <c r="CPK93" s="563"/>
      <c r="CPL93" s="563"/>
      <c r="CPM93" s="563"/>
      <c r="CPN93" s="563"/>
      <c r="CPO93" s="563"/>
      <c r="CPP93" s="563"/>
      <c r="CPQ93" s="563"/>
      <c r="CPR93" s="563"/>
      <c r="CPS93" s="563"/>
      <c r="CPT93" s="563"/>
      <c r="CPU93" s="563"/>
      <c r="CPV93" s="563"/>
      <c r="CPW93" s="563"/>
      <c r="CPX93" s="563"/>
      <c r="CPY93" s="563"/>
      <c r="CPZ93" s="563"/>
      <c r="CQA93" s="563"/>
      <c r="CQB93" s="563"/>
      <c r="CQC93" s="563"/>
      <c r="CQD93" s="563"/>
      <c r="CQE93" s="563"/>
      <c r="CQF93" s="563"/>
      <c r="CQG93" s="563"/>
      <c r="CQH93" s="563"/>
      <c r="CQI93" s="563"/>
      <c r="CQJ93" s="563"/>
      <c r="CQK93" s="563"/>
      <c r="CQL93" s="563"/>
      <c r="CQM93" s="563"/>
      <c r="CQN93" s="563"/>
      <c r="CQO93" s="563"/>
      <c r="CQP93" s="563"/>
      <c r="CQQ93" s="563"/>
      <c r="CQR93" s="563"/>
      <c r="CQS93" s="563"/>
      <c r="CQT93" s="563"/>
      <c r="CQU93" s="563"/>
      <c r="CQV93" s="563"/>
      <c r="CQW93" s="563"/>
      <c r="CQX93" s="563"/>
      <c r="CQY93" s="563"/>
      <c r="CQZ93" s="563"/>
      <c r="CRA93" s="563"/>
      <c r="CRB93" s="563"/>
      <c r="CRC93" s="563"/>
      <c r="CRD93" s="563"/>
      <c r="CRE93" s="563"/>
      <c r="CRF93" s="563"/>
      <c r="CRG93" s="563"/>
      <c r="CRH93" s="563"/>
      <c r="CRI93" s="563"/>
      <c r="CRJ93" s="563"/>
      <c r="CRK93" s="563"/>
      <c r="CRL93" s="563"/>
      <c r="CRM93" s="563"/>
      <c r="CRN93" s="563"/>
      <c r="CRO93" s="563"/>
      <c r="CRP93" s="563"/>
      <c r="CRQ93" s="563"/>
      <c r="CRR93" s="563"/>
      <c r="CRS93" s="563"/>
      <c r="CRT93" s="563"/>
      <c r="CRU93" s="563"/>
      <c r="CRV93" s="563"/>
      <c r="CRW93" s="563"/>
      <c r="CRX93" s="563"/>
      <c r="CRY93" s="563"/>
      <c r="CRZ93" s="563"/>
      <c r="CSA93" s="563"/>
      <c r="CSB93" s="563"/>
      <c r="CSC93" s="563"/>
      <c r="CSD93" s="563"/>
      <c r="CSE93" s="563"/>
      <c r="CSF93" s="563"/>
      <c r="CSG93" s="563"/>
      <c r="CSH93" s="563"/>
      <c r="CSI93" s="563"/>
      <c r="CSJ93" s="563"/>
      <c r="CSK93" s="563"/>
      <c r="CSL93" s="563"/>
      <c r="CSM93" s="563"/>
      <c r="CSN93" s="563"/>
      <c r="CSO93" s="563"/>
      <c r="CSP93" s="563"/>
      <c r="CSQ93" s="563"/>
      <c r="CSR93" s="563"/>
      <c r="CSS93" s="563"/>
      <c r="CST93" s="563"/>
      <c r="CSU93" s="563"/>
      <c r="CSV93" s="563"/>
      <c r="CSW93" s="563"/>
      <c r="CSX93" s="563"/>
      <c r="CSY93" s="563"/>
      <c r="CSZ93" s="563"/>
      <c r="CTA93" s="563"/>
      <c r="CTB93" s="563"/>
      <c r="CTC93" s="563"/>
      <c r="CTD93" s="563"/>
      <c r="CTE93" s="563"/>
      <c r="CTF93" s="563"/>
      <c r="CTG93" s="563"/>
      <c r="CTH93" s="563"/>
      <c r="CTI93" s="563"/>
      <c r="CTJ93" s="563"/>
      <c r="CTK93" s="563"/>
      <c r="CTL93" s="563"/>
      <c r="CTM93" s="563"/>
      <c r="CTN93" s="563"/>
      <c r="CTO93" s="563"/>
      <c r="CTP93" s="563"/>
      <c r="CTQ93" s="563"/>
      <c r="CTR93" s="563"/>
      <c r="CTS93" s="563"/>
      <c r="CTT93" s="563"/>
      <c r="CTU93" s="563"/>
      <c r="CTV93" s="563"/>
      <c r="CTW93" s="563"/>
      <c r="CTX93" s="563"/>
      <c r="CTY93" s="563"/>
      <c r="CTZ93" s="563"/>
      <c r="CUA93" s="563"/>
      <c r="CUB93" s="563"/>
      <c r="CUC93" s="563"/>
      <c r="CUD93" s="563"/>
      <c r="CUE93" s="563"/>
      <c r="CUF93" s="563"/>
      <c r="CUG93" s="563"/>
      <c r="CUH93" s="563"/>
      <c r="CUI93" s="563"/>
      <c r="CUJ93" s="563"/>
      <c r="CUK93" s="563"/>
      <c r="CUL93" s="563"/>
      <c r="CUM93" s="563"/>
      <c r="CUN93" s="563"/>
      <c r="CUO93" s="563"/>
      <c r="CUP93" s="563"/>
      <c r="CUQ93" s="563"/>
      <c r="CUR93" s="563"/>
      <c r="CUS93" s="563"/>
      <c r="CUT93" s="563"/>
      <c r="CUU93" s="563"/>
      <c r="CUV93" s="563"/>
      <c r="CUW93" s="563"/>
      <c r="CUX93" s="563"/>
      <c r="CUY93" s="563"/>
      <c r="CUZ93" s="563"/>
      <c r="CVA93" s="563"/>
      <c r="CVB93" s="563"/>
      <c r="CVC93" s="563"/>
      <c r="CVD93" s="563"/>
      <c r="CVE93" s="563"/>
      <c r="CVF93" s="563"/>
      <c r="CVG93" s="563"/>
      <c r="CVH93" s="563"/>
      <c r="CVI93" s="563"/>
      <c r="CVJ93" s="563"/>
      <c r="CVK93" s="563"/>
      <c r="CVL93" s="563"/>
      <c r="CVM93" s="563"/>
      <c r="CVN93" s="563"/>
      <c r="CVO93" s="563"/>
      <c r="CVP93" s="563"/>
      <c r="CVQ93" s="563"/>
      <c r="CVR93" s="563"/>
      <c r="CVS93" s="563"/>
      <c r="CVT93" s="563"/>
      <c r="CVU93" s="563"/>
      <c r="CVV93" s="563"/>
      <c r="CVW93" s="563"/>
      <c r="CVX93" s="563"/>
      <c r="CVY93" s="563"/>
      <c r="CVZ93" s="563"/>
      <c r="CWA93" s="563"/>
      <c r="CWB93" s="563"/>
      <c r="CWC93" s="563"/>
      <c r="CWD93" s="563"/>
      <c r="CWE93" s="563"/>
      <c r="CWF93" s="563"/>
      <c r="CWG93" s="563"/>
      <c r="CWH93" s="563"/>
      <c r="CWI93" s="563"/>
      <c r="CWJ93" s="563"/>
      <c r="CWK93" s="563"/>
      <c r="CWL93" s="563"/>
      <c r="CWM93" s="563"/>
      <c r="CWN93" s="563"/>
      <c r="CWO93" s="563"/>
      <c r="CWP93" s="563"/>
      <c r="CWQ93" s="563"/>
      <c r="CWR93" s="563"/>
      <c r="CWS93" s="563"/>
      <c r="CWT93" s="563"/>
      <c r="CWU93" s="563"/>
      <c r="CWV93" s="563"/>
      <c r="CWW93" s="563"/>
      <c r="CWX93" s="563"/>
      <c r="CWY93" s="563"/>
      <c r="CWZ93" s="563"/>
      <c r="CXA93" s="563"/>
      <c r="CXB93" s="563"/>
      <c r="CXC93" s="563"/>
      <c r="CXD93" s="563"/>
      <c r="CXE93" s="563"/>
      <c r="CXF93" s="563"/>
      <c r="CXG93" s="563"/>
      <c r="CXH93" s="563"/>
      <c r="CXI93" s="563"/>
      <c r="CXJ93" s="563"/>
      <c r="CXK93" s="563"/>
      <c r="CXL93" s="563"/>
      <c r="CXM93" s="563"/>
      <c r="CXN93" s="563"/>
      <c r="CXO93" s="563"/>
      <c r="CXP93" s="563"/>
      <c r="CXQ93" s="563"/>
      <c r="CXR93" s="563"/>
      <c r="CXS93" s="563"/>
      <c r="CXT93" s="563"/>
      <c r="CXU93" s="563"/>
      <c r="CXV93" s="563"/>
      <c r="CXW93" s="563"/>
      <c r="CXX93" s="563"/>
      <c r="CXY93" s="563"/>
      <c r="CXZ93" s="563"/>
      <c r="CYA93" s="563"/>
      <c r="CYB93" s="563"/>
      <c r="CYC93" s="563"/>
      <c r="CYD93" s="563"/>
      <c r="CYE93" s="563"/>
      <c r="CYF93" s="563"/>
      <c r="CYG93" s="563"/>
      <c r="CYH93" s="563"/>
      <c r="CYI93" s="563"/>
      <c r="CYJ93" s="563"/>
      <c r="CYK93" s="563"/>
      <c r="CYL93" s="563"/>
      <c r="CYM93" s="563"/>
      <c r="CYN93" s="563"/>
      <c r="CYO93" s="563"/>
      <c r="CYP93" s="563"/>
      <c r="CYQ93" s="563"/>
      <c r="CYR93" s="563"/>
      <c r="CYS93" s="563"/>
      <c r="CYT93" s="563"/>
      <c r="CYU93" s="563"/>
      <c r="CYV93" s="563"/>
      <c r="CYW93" s="563"/>
      <c r="CYX93" s="563"/>
      <c r="CYY93" s="563"/>
      <c r="CYZ93" s="563"/>
      <c r="CZA93" s="563"/>
      <c r="CZB93" s="563"/>
      <c r="CZC93" s="563"/>
      <c r="CZD93" s="563"/>
      <c r="CZE93" s="563"/>
      <c r="CZF93" s="563"/>
      <c r="CZG93" s="563"/>
      <c r="CZH93" s="563"/>
      <c r="CZI93" s="563"/>
      <c r="CZJ93" s="563"/>
      <c r="CZK93" s="563"/>
      <c r="CZL93" s="563"/>
      <c r="CZM93" s="563"/>
      <c r="CZN93" s="563"/>
      <c r="CZO93" s="563"/>
      <c r="CZP93" s="563"/>
      <c r="CZQ93" s="563"/>
      <c r="CZR93" s="563"/>
      <c r="CZS93" s="563"/>
      <c r="CZT93" s="563"/>
      <c r="CZU93" s="563"/>
      <c r="CZV93" s="563"/>
      <c r="CZW93" s="563"/>
      <c r="CZX93" s="563"/>
      <c r="CZY93" s="563"/>
      <c r="CZZ93" s="563"/>
      <c r="DAA93" s="563"/>
      <c r="DAB93" s="563"/>
      <c r="DAC93" s="563"/>
      <c r="DAD93" s="563"/>
      <c r="DAE93" s="563"/>
      <c r="DAF93" s="563"/>
      <c r="DAG93" s="563"/>
      <c r="DAH93" s="563"/>
      <c r="DAI93" s="563"/>
      <c r="DAJ93" s="563"/>
      <c r="DAK93" s="563"/>
      <c r="DAL93" s="563"/>
      <c r="DAM93" s="563"/>
      <c r="DAN93" s="563"/>
      <c r="DAO93" s="563"/>
      <c r="DAP93" s="563"/>
      <c r="DAQ93" s="563"/>
      <c r="DAR93" s="563"/>
      <c r="DAS93" s="563"/>
      <c r="DAT93" s="563"/>
      <c r="DAU93" s="563"/>
      <c r="DAV93" s="563"/>
      <c r="DAW93" s="563"/>
      <c r="DAX93" s="563"/>
      <c r="DAY93" s="563"/>
      <c r="DAZ93" s="563"/>
      <c r="DBA93" s="563"/>
      <c r="DBB93" s="563"/>
      <c r="DBC93" s="563"/>
      <c r="DBD93" s="563"/>
      <c r="DBE93" s="563"/>
      <c r="DBF93" s="563"/>
      <c r="DBG93" s="563"/>
      <c r="DBH93" s="563"/>
      <c r="DBI93" s="563"/>
      <c r="DBJ93" s="563"/>
      <c r="DBK93" s="563"/>
      <c r="DBL93" s="563"/>
      <c r="DBM93" s="563"/>
      <c r="DBN93" s="563"/>
      <c r="DBO93" s="563"/>
      <c r="DBP93" s="563"/>
      <c r="DBQ93" s="563"/>
      <c r="DBR93" s="563"/>
      <c r="DBS93" s="563"/>
      <c r="DBT93" s="563"/>
      <c r="DBU93" s="563"/>
      <c r="DBV93" s="563"/>
      <c r="DBW93" s="563"/>
      <c r="DBX93" s="563"/>
      <c r="DBY93" s="563"/>
      <c r="DBZ93" s="563"/>
      <c r="DCA93" s="563"/>
      <c r="DCB93" s="563"/>
      <c r="DCC93" s="563"/>
      <c r="DCD93" s="563"/>
      <c r="DCE93" s="563"/>
      <c r="DCF93" s="563"/>
      <c r="DCG93" s="563"/>
      <c r="DCH93" s="563"/>
      <c r="DCI93" s="563"/>
      <c r="DCJ93" s="563"/>
      <c r="DCK93" s="563"/>
      <c r="DCL93" s="563"/>
      <c r="DCM93" s="563"/>
      <c r="DCN93" s="563"/>
      <c r="DCO93" s="563"/>
      <c r="DCP93" s="563"/>
      <c r="DCQ93" s="563"/>
      <c r="DCR93" s="563"/>
      <c r="DCS93" s="563"/>
      <c r="DCT93" s="563"/>
      <c r="DCU93" s="563"/>
      <c r="DCV93" s="563"/>
      <c r="DCW93" s="563"/>
      <c r="DCX93" s="563"/>
      <c r="DCY93" s="563"/>
      <c r="DCZ93" s="563"/>
      <c r="DDA93" s="563"/>
      <c r="DDB93" s="563"/>
      <c r="DDC93" s="563"/>
      <c r="DDD93" s="563"/>
      <c r="DDE93" s="563"/>
      <c r="DDF93" s="563"/>
      <c r="DDG93" s="563"/>
      <c r="DDH93" s="563"/>
      <c r="DDI93" s="563"/>
      <c r="DDJ93" s="563"/>
      <c r="DDK93" s="563"/>
      <c r="DDL93" s="563"/>
      <c r="DDM93" s="563"/>
      <c r="DDN93" s="563"/>
      <c r="DDO93" s="563"/>
      <c r="DDP93" s="563"/>
      <c r="DDQ93" s="563"/>
      <c r="DDR93" s="563"/>
      <c r="DDS93" s="563"/>
      <c r="DDT93" s="563"/>
      <c r="DDU93" s="563"/>
      <c r="DDV93" s="563"/>
      <c r="DDW93" s="563"/>
      <c r="DDX93" s="563"/>
      <c r="DDY93" s="563"/>
      <c r="DDZ93" s="563"/>
      <c r="DEA93" s="563"/>
      <c r="DEB93" s="563"/>
      <c r="DEC93" s="563"/>
      <c r="DED93" s="563"/>
      <c r="DEE93" s="563"/>
      <c r="DEF93" s="563"/>
      <c r="DEG93" s="563"/>
      <c r="DEH93" s="563"/>
      <c r="DEI93" s="563"/>
      <c r="DEJ93" s="563"/>
      <c r="DEK93" s="563"/>
      <c r="DEL93" s="563"/>
      <c r="DEM93" s="563"/>
      <c r="DEN93" s="563"/>
      <c r="DEO93" s="563"/>
      <c r="DEP93" s="563"/>
      <c r="DEQ93" s="563"/>
      <c r="DER93" s="563"/>
      <c r="DES93" s="563"/>
      <c r="DET93" s="563"/>
      <c r="DEU93" s="563"/>
      <c r="DEV93" s="563"/>
      <c r="DEW93" s="563"/>
      <c r="DEX93" s="563"/>
      <c r="DEY93" s="563"/>
      <c r="DEZ93" s="563"/>
      <c r="DFA93" s="563"/>
      <c r="DFB93" s="563"/>
      <c r="DFC93" s="563"/>
      <c r="DFD93" s="563"/>
      <c r="DFE93" s="563"/>
      <c r="DFF93" s="563"/>
      <c r="DFG93" s="563"/>
      <c r="DFH93" s="563"/>
      <c r="DFI93" s="563"/>
      <c r="DFJ93" s="563"/>
      <c r="DFK93" s="563"/>
      <c r="DFL93" s="563"/>
      <c r="DFM93" s="563"/>
      <c r="DFN93" s="563"/>
      <c r="DFO93" s="563"/>
      <c r="DFP93" s="563"/>
      <c r="DFQ93" s="563"/>
      <c r="DFR93" s="563"/>
      <c r="DFS93" s="563"/>
      <c r="DFT93" s="563"/>
      <c r="DFU93" s="563"/>
      <c r="DFV93" s="563"/>
      <c r="DFW93" s="563"/>
      <c r="DFX93" s="563"/>
      <c r="DFY93" s="563"/>
      <c r="DFZ93" s="563"/>
      <c r="DGA93" s="563"/>
      <c r="DGB93" s="563"/>
      <c r="DGC93" s="563"/>
      <c r="DGD93" s="563"/>
      <c r="DGE93" s="563"/>
      <c r="DGF93" s="563"/>
      <c r="DGG93" s="563"/>
      <c r="DGH93" s="563"/>
      <c r="DGI93" s="563"/>
      <c r="DGJ93" s="563"/>
      <c r="DGK93" s="563"/>
      <c r="DGL93" s="563"/>
      <c r="DGM93" s="563"/>
      <c r="DGN93" s="563"/>
      <c r="DGO93" s="563"/>
      <c r="DGP93" s="563"/>
      <c r="DGQ93" s="563"/>
      <c r="DGR93" s="563"/>
      <c r="DGS93" s="563"/>
      <c r="DGT93" s="563"/>
      <c r="DGU93" s="563"/>
      <c r="DGV93" s="563"/>
      <c r="DGW93" s="563"/>
      <c r="DGX93" s="563"/>
      <c r="DGY93" s="563"/>
      <c r="DGZ93" s="563"/>
      <c r="DHA93" s="563"/>
      <c r="DHB93" s="563"/>
      <c r="DHC93" s="563"/>
      <c r="DHD93" s="563"/>
      <c r="DHE93" s="563"/>
      <c r="DHF93" s="563"/>
      <c r="DHG93" s="563"/>
      <c r="DHH93" s="563"/>
      <c r="DHI93" s="563"/>
      <c r="DHJ93" s="563"/>
      <c r="DHK93" s="563"/>
      <c r="DHL93" s="563"/>
      <c r="DHM93" s="563"/>
      <c r="DHN93" s="563"/>
      <c r="DHO93" s="563"/>
      <c r="DHP93" s="563"/>
      <c r="DHQ93" s="563"/>
      <c r="DHR93" s="563"/>
      <c r="DHS93" s="563"/>
      <c r="DHT93" s="563"/>
      <c r="DHU93" s="563"/>
      <c r="DHV93" s="563"/>
      <c r="DHW93" s="563"/>
      <c r="DHX93" s="563"/>
      <c r="DHY93" s="563"/>
      <c r="DHZ93" s="563"/>
      <c r="DIA93" s="563"/>
      <c r="DIB93" s="563"/>
      <c r="DIC93" s="563"/>
      <c r="DID93" s="563"/>
      <c r="DIE93" s="563"/>
      <c r="DIF93" s="563"/>
      <c r="DIG93" s="563"/>
      <c r="DIH93" s="563"/>
      <c r="DII93" s="563"/>
      <c r="DIJ93" s="563"/>
      <c r="DIK93" s="563"/>
      <c r="DIL93" s="563"/>
      <c r="DIM93" s="563"/>
      <c r="DIN93" s="563"/>
      <c r="DIO93" s="563"/>
      <c r="DIP93" s="563"/>
      <c r="DIQ93" s="563"/>
      <c r="DIR93" s="563"/>
      <c r="DIS93" s="563"/>
      <c r="DIT93" s="563"/>
      <c r="DIU93" s="563"/>
      <c r="DIV93" s="563"/>
      <c r="DIW93" s="563"/>
      <c r="DIX93" s="563"/>
      <c r="DIY93" s="563"/>
      <c r="DIZ93" s="563"/>
      <c r="DJA93" s="563"/>
      <c r="DJB93" s="563"/>
      <c r="DJC93" s="563"/>
      <c r="DJD93" s="563"/>
      <c r="DJE93" s="563"/>
      <c r="DJF93" s="563"/>
      <c r="DJG93" s="563"/>
      <c r="DJH93" s="563"/>
      <c r="DJI93" s="563"/>
      <c r="DJJ93" s="563"/>
      <c r="DJK93" s="563"/>
      <c r="DJL93" s="563"/>
      <c r="DJM93" s="563"/>
      <c r="DJN93" s="563"/>
      <c r="DJO93" s="563"/>
      <c r="DJP93" s="563"/>
      <c r="DJQ93" s="563"/>
      <c r="DJR93" s="563"/>
      <c r="DJS93" s="563"/>
      <c r="DJT93" s="563"/>
      <c r="DJU93" s="563"/>
      <c r="DJV93" s="563"/>
      <c r="DJW93" s="563"/>
      <c r="DJX93" s="563"/>
      <c r="DJY93" s="563"/>
      <c r="DJZ93" s="563"/>
      <c r="DKA93" s="563"/>
      <c r="DKB93" s="563"/>
      <c r="DKC93" s="563"/>
      <c r="DKD93" s="563"/>
      <c r="DKE93" s="563"/>
      <c r="DKF93" s="563"/>
      <c r="DKG93" s="563"/>
      <c r="DKH93" s="563"/>
      <c r="DKI93" s="563"/>
      <c r="DKJ93" s="563"/>
      <c r="DKK93" s="563"/>
      <c r="DKL93" s="563"/>
      <c r="DKM93" s="563"/>
      <c r="DKN93" s="563"/>
      <c r="DKO93" s="563"/>
      <c r="DKP93" s="563"/>
      <c r="DKQ93" s="563"/>
      <c r="DKR93" s="563"/>
      <c r="DKS93" s="563"/>
      <c r="DKT93" s="563"/>
      <c r="DKU93" s="563"/>
      <c r="DKV93" s="563"/>
      <c r="DKW93" s="563"/>
      <c r="DKX93" s="563"/>
      <c r="DKY93" s="563"/>
      <c r="DKZ93" s="563"/>
      <c r="DLA93" s="563"/>
      <c r="DLB93" s="563"/>
      <c r="DLC93" s="563"/>
      <c r="DLD93" s="563"/>
      <c r="DLE93" s="563"/>
      <c r="DLF93" s="563"/>
      <c r="DLG93" s="563"/>
      <c r="DLH93" s="563"/>
      <c r="DLI93" s="563"/>
      <c r="DLJ93" s="563"/>
      <c r="DLK93" s="563"/>
      <c r="DLL93" s="563"/>
      <c r="DLM93" s="563"/>
      <c r="DLN93" s="563"/>
      <c r="DLO93" s="563"/>
      <c r="DLP93" s="563"/>
      <c r="DLQ93" s="563"/>
      <c r="DLR93" s="563"/>
      <c r="DLS93" s="563"/>
      <c r="DLT93" s="563"/>
      <c r="DLU93" s="563"/>
      <c r="DLV93" s="563"/>
      <c r="DLW93" s="563"/>
      <c r="DLX93" s="563"/>
      <c r="DLY93" s="563"/>
      <c r="DLZ93" s="563"/>
      <c r="DMA93" s="563"/>
      <c r="DMB93" s="563"/>
      <c r="DMC93" s="563"/>
      <c r="DMD93" s="563"/>
      <c r="DME93" s="563"/>
      <c r="DMF93" s="563"/>
      <c r="DMG93" s="563"/>
      <c r="DMH93" s="563"/>
      <c r="DMI93" s="563"/>
      <c r="DMJ93" s="563"/>
      <c r="DMK93" s="563"/>
      <c r="DML93" s="563"/>
      <c r="DMM93" s="563"/>
      <c r="DMN93" s="563"/>
      <c r="DMO93" s="563"/>
      <c r="DMP93" s="563"/>
      <c r="DMQ93" s="563"/>
      <c r="DMR93" s="563"/>
      <c r="DMS93" s="563"/>
      <c r="DMT93" s="563"/>
      <c r="DMU93" s="563"/>
      <c r="DMV93" s="563"/>
      <c r="DMW93" s="563"/>
      <c r="DMX93" s="563"/>
      <c r="DMY93" s="563"/>
      <c r="DMZ93" s="563"/>
      <c r="DNA93" s="563"/>
      <c r="DNB93" s="563"/>
      <c r="DNC93" s="563"/>
      <c r="DND93" s="563"/>
      <c r="DNE93" s="563"/>
      <c r="DNF93" s="563"/>
      <c r="DNG93" s="563"/>
      <c r="DNH93" s="563"/>
      <c r="DNI93" s="563"/>
      <c r="DNJ93" s="563"/>
      <c r="DNK93" s="563"/>
      <c r="DNL93" s="563"/>
      <c r="DNM93" s="563"/>
      <c r="DNN93" s="563"/>
      <c r="DNO93" s="563"/>
      <c r="DNP93" s="563"/>
      <c r="DNQ93" s="563"/>
      <c r="DNR93" s="563"/>
      <c r="DNS93" s="563"/>
      <c r="DNT93" s="563"/>
      <c r="DNU93" s="563"/>
      <c r="DNV93" s="563"/>
      <c r="DNW93" s="563"/>
      <c r="DNX93" s="563"/>
      <c r="DNY93" s="563"/>
      <c r="DNZ93" s="563"/>
      <c r="DOA93" s="563"/>
      <c r="DOB93" s="563"/>
      <c r="DOC93" s="563"/>
      <c r="DOD93" s="563"/>
      <c r="DOE93" s="563"/>
      <c r="DOF93" s="563"/>
      <c r="DOG93" s="563"/>
      <c r="DOH93" s="563"/>
      <c r="DOI93" s="563"/>
      <c r="DOJ93" s="563"/>
      <c r="DOK93" s="563"/>
      <c r="DOL93" s="563"/>
      <c r="DOM93" s="563"/>
      <c r="DON93" s="563"/>
      <c r="DOO93" s="563"/>
      <c r="DOP93" s="563"/>
      <c r="DOQ93" s="563"/>
      <c r="DOR93" s="563"/>
      <c r="DOS93" s="563"/>
      <c r="DOT93" s="563"/>
      <c r="DOU93" s="563"/>
      <c r="DOV93" s="563"/>
      <c r="DOW93" s="563"/>
      <c r="DOX93" s="563"/>
      <c r="DOY93" s="563"/>
      <c r="DOZ93" s="563"/>
      <c r="DPA93" s="563"/>
      <c r="DPB93" s="563"/>
      <c r="DPC93" s="563"/>
      <c r="DPD93" s="563"/>
      <c r="DPE93" s="563"/>
      <c r="DPF93" s="563"/>
      <c r="DPG93" s="563"/>
      <c r="DPH93" s="563"/>
      <c r="DPI93" s="563"/>
      <c r="DPJ93" s="563"/>
      <c r="DPK93" s="563"/>
      <c r="DPL93" s="563"/>
      <c r="DPM93" s="563"/>
      <c r="DPN93" s="563"/>
      <c r="DPO93" s="563"/>
      <c r="DPP93" s="563"/>
      <c r="DPQ93" s="563"/>
      <c r="DPR93" s="563"/>
      <c r="DPS93" s="563"/>
      <c r="DPT93" s="563"/>
      <c r="DPU93" s="563"/>
      <c r="DPV93" s="563"/>
      <c r="DPW93" s="563"/>
      <c r="DPX93" s="563"/>
      <c r="DPY93" s="563"/>
      <c r="DPZ93" s="563"/>
      <c r="DQA93" s="563"/>
      <c r="DQB93" s="563"/>
      <c r="DQC93" s="563"/>
      <c r="DQD93" s="563"/>
      <c r="DQE93" s="563"/>
      <c r="DQF93" s="563"/>
      <c r="DQG93" s="563"/>
      <c r="DQH93" s="563"/>
      <c r="DQI93" s="563"/>
      <c r="DQJ93" s="563"/>
      <c r="DQK93" s="563"/>
      <c r="DQL93" s="563"/>
      <c r="DQM93" s="563"/>
      <c r="DQN93" s="563"/>
      <c r="DQO93" s="563"/>
      <c r="DQP93" s="563"/>
      <c r="DQQ93" s="563"/>
      <c r="DQR93" s="563"/>
      <c r="DQS93" s="563"/>
      <c r="DQT93" s="563"/>
      <c r="DQU93" s="563"/>
      <c r="DQV93" s="563"/>
      <c r="DQW93" s="563"/>
      <c r="DQX93" s="563"/>
      <c r="DQY93" s="563"/>
      <c r="DQZ93" s="563"/>
      <c r="DRA93" s="563"/>
      <c r="DRB93" s="563"/>
      <c r="DRC93" s="563"/>
      <c r="DRD93" s="563"/>
      <c r="DRE93" s="563"/>
      <c r="DRF93" s="563"/>
      <c r="DRG93" s="563"/>
      <c r="DRH93" s="563"/>
      <c r="DRI93" s="563"/>
      <c r="DRJ93" s="563"/>
      <c r="DRK93" s="563"/>
      <c r="DRL93" s="563"/>
      <c r="DRM93" s="563"/>
      <c r="DRN93" s="563"/>
      <c r="DRO93" s="563"/>
      <c r="DRP93" s="563"/>
      <c r="DRQ93" s="563"/>
      <c r="DRR93" s="563"/>
      <c r="DRS93" s="563"/>
      <c r="DRT93" s="563"/>
      <c r="DRU93" s="563"/>
      <c r="DRV93" s="563"/>
      <c r="DRW93" s="563"/>
      <c r="DRX93" s="563"/>
      <c r="DRY93" s="563"/>
      <c r="DRZ93" s="563"/>
      <c r="DSA93" s="563"/>
      <c r="DSB93" s="563"/>
      <c r="DSC93" s="563"/>
      <c r="DSD93" s="563"/>
      <c r="DSE93" s="563"/>
      <c r="DSF93" s="563"/>
      <c r="DSG93" s="563"/>
      <c r="DSH93" s="563"/>
      <c r="DSI93" s="563"/>
      <c r="DSJ93" s="563"/>
      <c r="DSK93" s="563"/>
      <c r="DSL93" s="563"/>
      <c r="DSM93" s="563"/>
      <c r="DSN93" s="563"/>
      <c r="DSO93" s="563"/>
      <c r="DSP93" s="563"/>
      <c r="DSQ93" s="563"/>
      <c r="DSR93" s="563"/>
      <c r="DSS93" s="563"/>
      <c r="DST93" s="563"/>
      <c r="DSU93" s="563"/>
      <c r="DSV93" s="563"/>
      <c r="DSW93" s="563"/>
      <c r="DSX93" s="563"/>
      <c r="DSY93" s="563"/>
      <c r="DSZ93" s="563"/>
      <c r="DTA93" s="563"/>
      <c r="DTB93" s="563"/>
      <c r="DTC93" s="563"/>
      <c r="DTD93" s="563"/>
      <c r="DTE93" s="563"/>
      <c r="DTF93" s="563"/>
      <c r="DTG93" s="563"/>
      <c r="DTH93" s="563"/>
      <c r="DTI93" s="563"/>
      <c r="DTJ93" s="563"/>
      <c r="DTK93" s="563"/>
      <c r="DTL93" s="563"/>
      <c r="DTM93" s="563"/>
      <c r="DTN93" s="563"/>
      <c r="DTO93" s="563"/>
      <c r="DTP93" s="563"/>
      <c r="DTQ93" s="563"/>
      <c r="DTR93" s="563"/>
      <c r="DTS93" s="563"/>
      <c r="DTT93" s="563"/>
      <c r="DTU93" s="563"/>
      <c r="DTV93" s="563"/>
      <c r="DTW93" s="563"/>
      <c r="DTX93" s="563"/>
      <c r="DTY93" s="563"/>
      <c r="DTZ93" s="563"/>
      <c r="DUA93" s="563"/>
      <c r="DUB93" s="563"/>
      <c r="DUC93" s="563"/>
      <c r="DUD93" s="563"/>
      <c r="DUE93" s="563"/>
      <c r="DUF93" s="563"/>
      <c r="DUG93" s="563"/>
      <c r="DUH93" s="563"/>
      <c r="DUI93" s="563"/>
      <c r="DUJ93" s="563"/>
      <c r="DUK93" s="563"/>
      <c r="DUL93" s="563"/>
      <c r="DUM93" s="563"/>
      <c r="DUN93" s="563"/>
      <c r="DUO93" s="563"/>
      <c r="DUP93" s="563"/>
      <c r="DUQ93" s="563"/>
      <c r="DUR93" s="563"/>
      <c r="DUS93" s="563"/>
      <c r="DUT93" s="563"/>
      <c r="DUU93" s="563"/>
      <c r="DUV93" s="563"/>
      <c r="DUW93" s="563"/>
      <c r="DUX93" s="563"/>
      <c r="DUY93" s="563"/>
      <c r="DUZ93" s="563"/>
      <c r="DVA93" s="563"/>
      <c r="DVB93" s="563"/>
      <c r="DVC93" s="563"/>
      <c r="DVD93" s="563"/>
      <c r="DVE93" s="563"/>
      <c r="DVF93" s="563"/>
      <c r="DVG93" s="563"/>
      <c r="DVH93" s="563"/>
      <c r="DVI93" s="563"/>
      <c r="DVJ93" s="563"/>
      <c r="DVK93" s="563"/>
      <c r="DVL93" s="563"/>
      <c r="DVM93" s="563"/>
      <c r="DVN93" s="563"/>
      <c r="DVO93" s="563"/>
      <c r="DVP93" s="563"/>
      <c r="DVQ93" s="563"/>
      <c r="DVR93" s="563"/>
      <c r="DVS93" s="563"/>
      <c r="DVT93" s="563"/>
      <c r="DVU93" s="563"/>
      <c r="DVV93" s="563"/>
      <c r="DVW93" s="563"/>
      <c r="DVX93" s="563"/>
      <c r="DVY93" s="563"/>
      <c r="DVZ93" s="563"/>
      <c r="DWA93" s="563"/>
      <c r="DWB93" s="563"/>
      <c r="DWC93" s="563"/>
      <c r="DWD93" s="563"/>
      <c r="DWE93" s="563"/>
      <c r="DWF93" s="563"/>
      <c r="DWG93" s="563"/>
      <c r="DWH93" s="563"/>
      <c r="DWI93" s="563"/>
      <c r="DWJ93" s="563"/>
      <c r="DWK93" s="563"/>
      <c r="DWL93" s="563"/>
      <c r="DWM93" s="563"/>
      <c r="DWN93" s="563"/>
      <c r="DWO93" s="563"/>
      <c r="DWP93" s="563"/>
      <c r="DWQ93" s="563"/>
      <c r="DWR93" s="563"/>
      <c r="DWS93" s="563"/>
      <c r="DWT93" s="563"/>
      <c r="DWU93" s="563"/>
      <c r="DWV93" s="563"/>
      <c r="DWW93" s="563"/>
      <c r="DWX93" s="563"/>
      <c r="DWY93" s="563"/>
      <c r="DWZ93" s="563"/>
      <c r="DXA93" s="563"/>
      <c r="DXB93" s="563"/>
      <c r="DXC93" s="563"/>
      <c r="DXD93" s="563"/>
      <c r="DXE93" s="563"/>
      <c r="DXF93" s="563"/>
      <c r="DXG93" s="563"/>
      <c r="DXH93" s="563"/>
      <c r="DXI93" s="563"/>
      <c r="DXJ93" s="563"/>
      <c r="DXK93" s="563"/>
      <c r="DXL93" s="563"/>
      <c r="DXM93" s="563"/>
      <c r="DXN93" s="563"/>
      <c r="DXO93" s="563"/>
      <c r="DXP93" s="563"/>
      <c r="DXQ93" s="563"/>
      <c r="DXR93" s="563"/>
      <c r="DXS93" s="563"/>
      <c r="DXT93" s="563"/>
      <c r="DXU93" s="563"/>
      <c r="DXV93" s="563"/>
      <c r="DXW93" s="563"/>
      <c r="DXX93" s="563"/>
      <c r="DXY93" s="563"/>
      <c r="DXZ93" s="563"/>
      <c r="DYA93" s="563"/>
      <c r="DYB93" s="563"/>
      <c r="DYC93" s="563"/>
      <c r="DYD93" s="563"/>
      <c r="DYE93" s="563"/>
      <c r="DYF93" s="563"/>
      <c r="DYG93" s="563"/>
      <c r="DYH93" s="563"/>
      <c r="DYI93" s="563"/>
      <c r="DYJ93" s="563"/>
      <c r="DYK93" s="563"/>
      <c r="DYL93" s="563"/>
      <c r="DYM93" s="563"/>
      <c r="DYN93" s="563"/>
      <c r="DYO93" s="563"/>
      <c r="DYP93" s="563"/>
      <c r="DYQ93" s="563"/>
      <c r="DYR93" s="563"/>
      <c r="DYS93" s="563"/>
      <c r="DYT93" s="563"/>
      <c r="DYU93" s="563"/>
      <c r="DYV93" s="563"/>
      <c r="DYW93" s="563"/>
      <c r="DYX93" s="563"/>
      <c r="DYY93" s="563"/>
      <c r="DYZ93" s="563"/>
      <c r="DZA93" s="563"/>
      <c r="DZB93" s="563"/>
      <c r="DZC93" s="563"/>
      <c r="DZD93" s="563"/>
      <c r="DZE93" s="563"/>
      <c r="DZF93" s="563"/>
      <c r="DZG93" s="563"/>
      <c r="DZH93" s="563"/>
      <c r="DZI93" s="563"/>
      <c r="DZJ93" s="563"/>
      <c r="DZK93" s="563"/>
      <c r="DZL93" s="563"/>
      <c r="DZM93" s="563"/>
      <c r="DZN93" s="563"/>
      <c r="DZO93" s="563"/>
      <c r="DZP93" s="563"/>
      <c r="DZQ93" s="563"/>
      <c r="DZR93" s="563"/>
      <c r="DZS93" s="563"/>
      <c r="DZT93" s="563"/>
      <c r="DZU93" s="563"/>
      <c r="DZV93" s="563"/>
      <c r="DZW93" s="563"/>
      <c r="DZX93" s="563"/>
      <c r="DZY93" s="563"/>
      <c r="DZZ93" s="563"/>
      <c r="EAA93" s="563"/>
      <c r="EAB93" s="563"/>
      <c r="EAC93" s="563"/>
      <c r="EAD93" s="563"/>
      <c r="EAE93" s="563"/>
      <c r="EAF93" s="563"/>
      <c r="EAG93" s="563"/>
      <c r="EAH93" s="563"/>
      <c r="EAI93" s="563"/>
      <c r="EAJ93" s="563"/>
      <c r="EAK93" s="563"/>
      <c r="EAL93" s="563"/>
      <c r="EAM93" s="563"/>
      <c r="EAN93" s="563"/>
      <c r="EAO93" s="563"/>
      <c r="EAP93" s="563"/>
      <c r="EAQ93" s="563"/>
      <c r="EAR93" s="563"/>
      <c r="EAS93" s="563"/>
      <c r="EAT93" s="563"/>
      <c r="EAU93" s="563"/>
      <c r="EAV93" s="563"/>
      <c r="EAW93" s="563"/>
      <c r="EAX93" s="563"/>
      <c r="EAY93" s="563"/>
      <c r="EAZ93" s="563"/>
      <c r="EBA93" s="563"/>
      <c r="EBB93" s="563"/>
      <c r="EBC93" s="563"/>
      <c r="EBD93" s="563"/>
      <c r="EBE93" s="563"/>
      <c r="EBF93" s="563"/>
      <c r="EBG93" s="563"/>
      <c r="EBH93" s="563"/>
      <c r="EBI93" s="563"/>
      <c r="EBJ93" s="563"/>
      <c r="EBK93" s="563"/>
      <c r="EBL93" s="563"/>
      <c r="EBM93" s="563"/>
      <c r="EBN93" s="563"/>
      <c r="EBO93" s="563"/>
      <c r="EBP93" s="563"/>
      <c r="EBQ93" s="563"/>
      <c r="EBR93" s="563"/>
      <c r="EBS93" s="563"/>
      <c r="EBT93" s="563"/>
      <c r="EBU93" s="563"/>
      <c r="EBV93" s="563"/>
      <c r="EBW93" s="563"/>
      <c r="EBX93" s="563"/>
      <c r="EBY93" s="563"/>
      <c r="EBZ93" s="563"/>
      <c r="ECA93" s="563"/>
      <c r="ECB93" s="563"/>
      <c r="ECC93" s="563"/>
      <c r="ECD93" s="563"/>
      <c r="ECE93" s="563"/>
      <c r="ECF93" s="563"/>
      <c r="ECG93" s="563"/>
      <c r="ECH93" s="563"/>
      <c r="ECI93" s="563"/>
      <c r="ECJ93" s="563"/>
      <c r="ECK93" s="563"/>
      <c r="ECL93" s="563"/>
      <c r="ECM93" s="563"/>
      <c r="ECN93" s="563"/>
      <c r="ECO93" s="563"/>
      <c r="ECP93" s="563"/>
      <c r="ECQ93" s="563"/>
      <c r="ECR93" s="563"/>
      <c r="ECS93" s="563"/>
      <c r="ECT93" s="563"/>
      <c r="ECU93" s="563"/>
      <c r="ECV93" s="563"/>
      <c r="ECW93" s="563"/>
      <c r="ECX93" s="563"/>
      <c r="ECY93" s="563"/>
      <c r="ECZ93" s="563"/>
      <c r="EDA93" s="563"/>
      <c r="EDB93" s="563"/>
      <c r="EDC93" s="563"/>
      <c r="EDD93" s="563"/>
      <c r="EDE93" s="563"/>
      <c r="EDF93" s="563"/>
      <c r="EDG93" s="563"/>
      <c r="EDH93" s="563"/>
      <c r="EDI93" s="563"/>
      <c r="EDJ93" s="563"/>
      <c r="EDK93" s="563"/>
      <c r="EDL93" s="563"/>
      <c r="EDM93" s="563"/>
      <c r="EDN93" s="563"/>
      <c r="EDO93" s="563"/>
      <c r="EDP93" s="563"/>
      <c r="EDQ93" s="563"/>
      <c r="EDR93" s="563"/>
      <c r="EDS93" s="563"/>
      <c r="EDT93" s="563"/>
      <c r="EDU93" s="563"/>
      <c r="EDV93" s="563"/>
      <c r="EDW93" s="563"/>
      <c r="EDX93" s="563"/>
      <c r="EDY93" s="563"/>
      <c r="EDZ93" s="563"/>
      <c r="EEA93" s="563"/>
      <c r="EEB93" s="563"/>
      <c r="EEC93" s="563"/>
      <c r="EED93" s="563"/>
      <c r="EEE93" s="563"/>
      <c r="EEF93" s="563"/>
      <c r="EEG93" s="563"/>
      <c r="EEH93" s="563"/>
      <c r="EEI93" s="563"/>
      <c r="EEJ93" s="563"/>
      <c r="EEK93" s="563"/>
      <c r="EEL93" s="563"/>
      <c r="EEM93" s="563"/>
      <c r="EEN93" s="563"/>
      <c r="EEO93" s="563"/>
      <c r="EEP93" s="563"/>
      <c r="EEQ93" s="563"/>
      <c r="EER93" s="563"/>
      <c r="EES93" s="563"/>
      <c r="EET93" s="563"/>
      <c r="EEU93" s="563"/>
      <c r="EEV93" s="563"/>
      <c r="EEW93" s="563"/>
      <c r="EEX93" s="563"/>
      <c r="EEY93" s="563"/>
      <c r="EEZ93" s="563"/>
      <c r="EFA93" s="563"/>
      <c r="EFB93" s="563"/>
      <c r="EFC93" s="563"/>
      <c r="EFD93" s="563"/>
      <c r="EFE93" s="563"/>
      <c r="EFF93" s="563"/>
      <c r="EFG93" s="563"/>
      <c r="EFH93" s="563"/>
      <c r="EFI93" s="563"/>
      <c r="EFJ93" s="563"/>
      <c r="EFK93" s="563"/>
      <c r="EFL93" s="563"/>
      <c r="EFM93" s="563"/>
      <c r="EFN93" s="563"/>
      <c r="EFO93" s="563"/>
      <c r="EFP93" s="563"/>
      <c r="EFQ93" s="563"/>
      <c r="EFR93" s="563"/>
      <c r="EFS93" s="563"/>
      <c r="EFT93" s="563"/>
      <c r="EFU93" s="563"/>
      <c r="EFV93" s="563"/>
      <c r="EFW93" s="563"/>
      <c r="EFX93" s="563"/>
      <c r="EFY93" s="563"/>
      <c r="EFZ93" s="563"/>
      <c r="EGA93" s="563"/>
      <c r="EGB93" s="563"/>
      <c r="EGC93" s="563"/>
      <c r="EGD93" s="563"/>
      <c r="EGE93" s="563"/>
      <c r="EGF93" s="563"/>
      <c r="EGG93" s="563"/>
      <c r="EGH93" s="563"/>
      <c r="EGI93" s="563"/>
      <c r="EGJ93" s="563"/>
      <c r="EGK93" s="563"/>
      <c r="EGL93" s="563"/>
      <c r="EGM93" s="563"/>
      <c r="EGN93" s="563"/>
      <c r="EGO93" s="563"/>
      <c r="EGP93" s="563"/>
      <c r="EGQ93" s="563"/>
      <c r="EGR93" s="563"/>
      <c r="EGS93" s="563"/>
      <c r="EGT93" s="563"/>
      <c r="EGU93" s="563"/>
      <c r="EGV93" s="563"/>
      <c r="EGW93" s="563"/>
      <c r="EGX93" s="563"/>
      <c r="EGY93" s="563"/>
      <c r="EGZ93" s="563"/>
      <c r="EHA93" s="563"/>
      <c r="EHB93" s="563"/>
      <c r="EHC93" s="563"/>
      <c r="EHD93" s="563"/>
      <c r="EHE93" s="563"/>
      <c r="EHF93" s="563"/>
      <c r="EHG93" s="563"/>
      <c r="EHH93" s="563"/>
      <c r="EHI93" s="563"/>
      <c r="EHJ93" s="563"/>
      <c r="EHK93" s="563"/>
      <c r="EHL93" s="563"/>
      <c r="EHM93" s="563"/>
      <c r="EHN93" s="563"/>
      <c r="EHO93" s="563"/>
      <c r="EHP93" s="563"/>
      <c r="EHQ93" s="563"/>
      <c r="EHR93" s="563"/>
      <c r="EHS93" s="563"/>
      <c r="EHT93" s="563"/>
      <c r="EHU93" s="563"/>
      <c r="EHV93" s="563"/>
      <c r="EHW93" s="563"/>
      <c r="EHX93" s="563"/>
      <c r="EHY93" s="563"/>
      <c r="EHZ93" s="563"/>
      <c r="EIA93" s="563"/>
      <c r="EIB93" s="563"/>
      <c r="EIC93" s="563"/>
      <c r="EID93" s="563"/>
      <c r="EIE93" s="563"/>
      <c r="EIF93" s="563"/>
      <c r="EIG93" s="563"/>
      <c r="EIH93" s="563"/>
      <c r="EII93" s="563"/>
      <c r="EIJ93" s="563"/>
      <c r="EIK93" s="563"/>
      <c r="EIL93" s="563"/>
      <c r="EIM93" s="563"/>
      <c r="EIN93" s="563"/>
      <c r="EIO93" s="563"/>
      <c r="EIP93" s="563"/>
      <c r="EIQ93" s="563"/>
      <c r="EIR93" s="563"/>
      <c r="EIS93" s="563"/>
      <c r="EIT93" s="563"/>
      <c r="EIU93" s="563"/>
      <c r="EIV93" s="563"/>
      <c r="EIW93" s="563"/>
      <c r="EIX93" s="563"/>
      <c r="EIY93" s="563"/>
      <c r="EIZ93" s="563"/>
      <c r="EJA93" s="563"/>
      <c r="EJB93" s="563"/>
      <c r="EJC93" s="563"/>
      <c r="EJD93" s="563"/>
      <c r="EJE93" s="563"/>
      <c r="EJF93" s="563"/>
      <c r="EJG93" s="563"/>
      <c r="EJH93" s="563"/>
      <c r="EJI93" s="563"/>
      <c r="EJJ93" s="563"/>
      <c r="EJK93" s="563"/>
      <c r="EJL93" s="563"/>
      <c r="EJM93" s="563"/>
      <c r="EJN93" s="563"/>
      <c r="EJO93" s="563"/>
      <c r="EJP93" s="563"/>
      <c r="EJQ93" s="563"/>
      <c r="EJR93" s="563"/>
      <c r="EJS93" s="563"/>
      <c r="EJT93" s="563"/>
      <c r="EJU93" s="563"/>
      <c r="EJV93" s="563"/>
      <c r="EJW93" s="563"/>
      <c r="EJX93" s="563"/>
      <c r="EJY93" s="563"/>
      <c r="EJZ93" s="563"/>
      <c r="EKA93" s="563"/>
      <c r="EKB93" s="563"/>
      <c r="EKC93" s="563"/>
      <c r="EKD93" s="563"/>
      <c r="EKE93" s="563"/>
      <c r="EKF93" s="563"/>
      <c r="EKG93" s="563"/>
      <c r="EKH93" s="563"/>
      <c r="EKI93" s="563"/>
      <c r="EKJ93" s="563"/>
      <c r="EKK93" s="563"/>
      <c r="EKL93" s="563"/>
      <c r="EKM93" s="563"/>
      <c r="EKN93" s="563"/>
      <c r="EKO93" s="563"/>
      <c r="EKP93" s="563"/>
      <c r="EKQ93" s="563"/>
      <c r="EKR93" s="563"/>
      <c r="EKS93" s="563"/>
      <c r="EKT93" s="563"/>
      <c r="EKU93" s="563"/>
      <c r="EKV93" s="563"/>
      <c r="EKW93" s="563"/>
      <c r="EKX93" s="563"/>
      <c r="EKY93" s="563"/>
      <c r="EKZ93" s="563"/>
      <c r="ELA93" s="563"/>
      <c r="ELB93" s="563"/>
      <c r="ELC93" s="563"/>
      <c r="ELD93" s="563"/>
      <c r="ELE93" s="563"/>
      <c r="ELF93" s="563"/>
      <c r="ELG93" s="563"/>
      <c r="ELH93" s="563"/>
      <c r="ELI93" s="563"/>
      <c r="ELJ93" s="563"/>
      <c r="ELK93" s="563"/>
      <c r="ELL93" s="563"/>
      <c r="ELM93" s="563"/>
      <c r="ELN93" s="563"/>
      <c r="ELO93" s="563"/>
      <c r="ELP93" s="563"/>
      <c r="ELQ93" s="563"/>
      <c r="ELR93" s="563"/>
      <c r="ELS93" s="563"/>
      <c r="ELT93" s="563"/>
      <c r="ELU93" s="563"/>
      <c r="ELV93" s="563"/>
      <c r="ELW93" s="563"/>
      <c r="ELX93" s="563"/>
      <c r="ELY93" s="563"/>
      <c r="ELZ93" s="563"/>
      <c r="EMA93" s="563"/>
      <c r="EMB93" s="563"/>
      <c r="EMC93" s="563"/>
      <c r="EMD93" s="563"/>
      <c r="EME93" s="563"/>
      <c r="EMF93" s="563"/>
      <c r="EMG93" s="563"/>
      <c r="EMH93" s="563"/>
      <c r="EMI93" s="563"/>
      <c r="EMJ93" s="563"/>
      <c r="EMK93" s="563"/>
      <c r="EML93" s="563"/>
      <c r="EMM93" s="563"/>
      <c r="EMN93" s="563"/>
      <c r="EMO93" s="563"/>
      <c r="EMP93" s="563"/>
      <c r="EMQ93" s="563"/>
      <c r="EMR93" s="563"/>
      <c r="EMS93" s="563"/>
      <c r="EMT93" s="563"/>
      <c r="EMU93" s="563"/>
      <c r="EMV93" s="563"/>
      <c r="EMW93" s="563"/>
      <c r="EMX93" s="563"/>
      <c r="EMY93" s="563"/>
      <c r="EMZ93" s="563"/>
      <c r="ENA93" s="563"/>
      <c r="ENB93" s="563"/>
      <c r="ENC93" s="563"/>
      <c r="END93" s="563"/>
      <c r="ENE93" s="563"/>
      <c r="ENF93" s="563"/>
      <c r="ENG93" s="563"/>
      <c r="ENH93" s="563"/>
      <c r="ENI93" s="563"/>
      <c r="ENJ93" s="563"/>
      <c r="ENK93" s="563"/>
      <c r="ENL93" s="563"/>
      <c r="ENM93" s="563"/>
      <c r="ENN93" s="563"/>
      <c r="ENO93" s="563"/>
      <c r="ENP93" s="563"/>
      <c r="ENQ93" s="563"/>
      <c r="ENR93" s="563"/>
      <c r="ENS93" s="563"/>
      <c r="ENT93" s="563"/>
      <c r="ENU93" s="563"/>
      <c r="ENV93" s="563"/>
      <c r="ENW93" s="563"/>
      <c r="ENX93" s="563"/>
      <c r="ENY93" s="563"/>
      <c r="ENZ93" s="563"/>
      <c r="EOA93" s="563"/>
      <c r="EOB93" s="563"/>
      <c r="EOC93" s="563"/>
      <c r="EOD93" s="563"/>
      <c r="EOE93" s="563"/>
      <c r="EOF93" s="563"/>
      <c r="EOG93" s="563"/>
      <c r="EOH93" s="563"/>
      <c r="EOI93" s="563"/>
      <c r="EOJ93" s="563"/>
      <c r="EOK93" s="563"/>
      <c r="EOL93" s="563"/>
      <c r="EOM93" s="563"/>
      <c r="EON93" s="563"/>
      <c r="EOO93" s="563"/>
      <c r="EOP93" s="563"/>
      <c r="EOQ93" s="563"/>
      <c r="EOR93" s="563"/>
      <c r="EOS93" s="563"/>
      <c r="EOT93" s="563"/>
      <c r="EOU93" s="563"/>
      <c r="EOV93" s="563"/>
      <c r="EOW93" s="563"/>
      <c r="EOX93" s="563"/>
      <c r="EOY93" s="563"/>
      <c r="EOZ93" s="563"/>
      <c r="EPA93" s="563"/>
      <c r="EPB93" s="563"/>
      <c r="EPC93" s="563"/>
      <c r="EPD93" s="563"/>
      <c r="EPE93" s="563"/>
      <c r="EPF93" s="563"/>
      <c r="EPG93" s="563"/>
      <c r="EPH93" s="563"/>
      <c r="EPI93" s="563"/>
      <c r="EPJ93" s="563"/>
      <c r="EPK93" s="563"/>
      <c r="EPL93" s="563"/>
      <c r="EPM93" s="563"/>
      <c r="EPN93" s="563"/>
      <c r="EPO93" s="563"/>
      <c r="EPP93" s="563"/>
      <c r="EPQ93" s="563"/>
      <c r="EPR93" s="563"/>
      <c r="EPS93" s="563"/>
      <c r="EPT93" s="563"/>
      <c r="EPU93" s="563"/>
      <c r="EPV93" s="563"/>
      <c r="EPW93" s="563"/>
      <c r="EPX93" s="563"/>
      <c r="EPY93" s="563"/>
      <c r="EPZ93" s="563"/>
      <c r="EQA93" s="563"/>
      <c r="EQB93" s="563"/>
      <c r="EQC93" s="563"/>
      <c r="EQD93" s="563"/>
      <c r="EQE93" s="563"/>
      <c r="EQF93" s="563"/>
      <c r="EQG93" s="563"/>
      <c r="EQH93" s="563"/>
      <c r="EQI93" s="563"/>
      <c r="EQJ93" s="563"/>
      <c r="EQK93" s="563"/>
      <c r="EQL93" s="563"/>
      <c r="EQM93" s="563"/>
      <c r="EQN93" s="563"/>
      <c r="EQO93" s="563"/>
      <c r="EQP93" s="563"/>
      <c r="EQQ93" s="563"/>
      <c r="EQR93" s="563"/>
      <c r="EQS93" s="563"/>
      <c r="EQT93" s="563"/>
      <c r="EQU93" s="563"/>
      <c r="EQV93" s="563"/>
      <c r="EQW93" s="563"/>
      <c r="EQX93" s="563"/>
      <c r="EQY93" s="563"/>
      <c r="EQZ93" s="563"/>
      <c r="ERA93" s="563"/>
      <c r="ERB93" s="563"/>
      <c r="ERC93" s="563"/>
      <c r="ERD93" s="563"/>
      <c r="ERE93" s="563"/>
      <c r="ERF93" s="563"/>
      <c r="ERG93" s="563"/>
      <c r="ERH93" s="563"/>
      <c r="ERI93" s="563"/>
      <c r="ERJ93" s="563"/>
      <c r="ERK93" s="563"/>
      <c r="ERL93" s="563"/>
      <c r="ERM93" s="563"/>
      <c r="ERN93" s="563"/>
      <c r="ERO93" s="563"/>
      <c r="ERP93" s="563"/>
      <c r="ERQ93" s="563"/>
      <c r="ERR93" s="563"/>
      <c r="ERS93" s="563"/>
      <c r="ERT93" s="563"/>
      <c r="ERU93" s="563"/>
      <c r="ERV93" s="563"/>
      <c r="ERW93" s="563"/>
      <c r="ERX93" s="563"/>
      <c r="ERY93" s="563"/>
      <c r="ERZ93" s="563"/>
      <c r="ESA93" s="563"/>
      <c r="ESB93" s="563"/>
      <c r="ESC93" s="563"/>
      <c r="ESD93" s="563"/>
      <c r="ESE93" s="563"/>
      <c r="ESF93" s="563"/>
      <c r="ESG93" s="563"/>
      <c r="ESH93" s="563"/>
      <c r="ESI93" s="563"/>
      <c r="ESJ93" s="563"/>
      <c r="ESK93" s="563"/>
      <c r="ESL93" s="563"/>
      <c r="ESM93" s="563"/>
      <c r="ESN93" s="563"/>
      <c r="ESO93" s="563"/>
      <c r="ESP93" s="563"/>
      <c r="ESQ93" s="563"/>
      <c r="ESR93" s="563"/>
      <c r="ESS93" s="563"/>
      <c r="EST93" s="563"/>
      <c r="ESU93" s="563"/>
      <c r="ESV93" s="563"/>
      <c r="ESW93" s="563"/>
      <c r="ESX93" s="563"/>
      <c r="ESY93" s="563"/>
      <c r="ESZ93" s="563"/>
      <c r="ETA93" s="563"/>
      <c r="ETB93" s="563"/>
      <c r="ETC93" s="563"/>
      <c r="ETD93" s="563"/>
      <c r="ETE93" s="563"/>
      <c r="ETF93" s="563"/>
      <c r="ETG93" s="563"/>
      <c r="ETH93" s="563"/>
      <c r="ETI93" s="563"/>
      <c r="ETJ93" s="563"/>
      <c r="ETK93" s="563"/>
      <c r="ETL93" s="563"/>
      <c r="ETM93" s="563"/>
      <c r="ETN93" s="563"/>
      <c r="ETO93" s="563"/>
      <c r="ETP93" s="563"/>
      <c r="ETQ93" s="563"/>
      <c r="ETR93" s="563"/>
      <c r="ETS93" s="563"/>
      <c r="ETT93" s="563"/>
      <c r="ETU93" s="563"/>
      <c r="ETV93" s="563"/>
      <c r="ETW93" s="563"/>
      <c r="ETX93" s="563"/>
      <c r="ETY93" s="563"/>
      <c r="ETZ93" s="563"/>
      <c r="EUA93" s="563"/>
      <c r="EUB93" s="563"/>
      <c r="EUC93" s="563"/>
      <c r="EUD93" s="563"/>
      <c r="EUE93" s="563"/>
      <c r="EUF93" s="563"/>
      <c r="EUG93" s="563"/>
      <c r="EUH93" s="563"/>
      <c r="EUI93" s="563"/>
      <c r="EUJ93" s="563"/>
      <c r="EUK93" s="563"/>
      <c r="EUL93" s="563"/>
      <c r="EUM93" s="563"/>
      <c r="EUN93" s="563"/>
      <c r="EUO93" s="563"/>
      <c r="EUP93" s="563"/>
      <c r="EUQ93" s="563"/>
      <c r="EUR93" s="563"/>
      <c r="EUS93" s="563"/>
      <c r="EUT93" s="563"/>
      <c r="EUU93" s="563"/>
      <c r="EUV93" s="563"/>
      <c r="EUW93" s="563"/>
      <c r="EUX93" s="563"/>
      <c r="EUY93" s="563"/>
      <c r="EUZ93" s="563"/>
      <c r="EVA93" s="563"/>
      <c r="EVB93" s="563"/>
      <c r="EVC93" s="563"/>
      <c r="EVD93" s="563"/>
      <c r="EVE93" s="563"/>
      <c r="EVF93" s="563"/>
      <c r="EVG93" s="563"/>
      <c r="EVH93" s="563"/>
      <c r="EVI93" s="563"/>
      <c r="EVJ93" s="563"/>
      <c r="EVK93" s="563"/>
      <c r="EVL93" s="563"/>
      <c r="EVM93" s="563"/>
      <c r="EVN93" s="563"/>
      <c r="EVO93" s="563"/>
      <c r="EVP93" s="563"/>
      <c r="EVQ93" s="563"/>
      <c r="EVR93" s="563"/>
      <c r="EVS93" s="563"/>
      <c r="EVT93" s="563"/>
      <c r="EVU93" s="563"/>
      <c r="EVV93" s="563"/>
      <c r="EVW93" s="563"/>
      <c r="EVX93" s="563"/>
      <c r="EVY93" s="563"/>
      <c r="EVZ93" s="563"/>
      <c r="EWA93" s="563"/>
      <c r="EWB93" s="563"/>
      <c r="EWC93" s="563"/>
      <c r="EWD93" s="563"/>
      <c r="EWE93" s="563"/>
      <c r="EWF93" s="563"/>
      <c r="EWG93" s="563"/>
      <c r="EWH93" s="563"/>
      <c r="EWI93" s="563"/>
      <c r="EWJ93" s="563"/>
      <c r="EWK93" s="563"/>
      <c r="EWL93" s="563"/>
      <c r="EWM93" s="563"/>
      <c r="EWN93" s="563"/>
      <c r="EWO93" s="563"/>
      <c r="EWP93" s="563"/>
      <c r="EWQ93" s="563"/>
      <c r="EWR93" s="563"/>
      <c r="EWS93" s="563"/>
      <c r="EWT93" s="563"/>
      <c r="EWU93" s="563"/>
      <c r="EWV93" s="563"/>
      <c r="EWW93" s="563"/>
      <c r="EWX93" s="563"/>
      <c r="EWY93" s="563"/>
      <c r="EWZ93" s="563"/>
      <c r="EXA93" s="563"/>
      <c r="EXB93" s="563"/>
      <c r="EXC93" s="563"/>
      <c r="EXD93" s="563"/>
      <c r="EXE93" s="563"/>
      <c r="EXF93" s="563"/>
      <c r="EXG93" s="563"/>
      <c r="EXH93" s="563"/>
      <c r="EXI93" s="563"/>
      <c r="EXJ93" s="563"/>
      <c r="EXK93" s="563"/>
      <c r="EXL93" s="563"/>
      <c r="EXM93" s="563"/>
      <c r="EXN93" s="563"/>
      <c r="EXO93" s="563"/>
      <c r="EXP93" s="563"/>
      <c r="EXQ93" s="563"/>
      <c r="EXR93" s="563"/>
      <c r="EXS93" s="563"/>
      <c r="EXT93" s="563"/>
      <c r="EXU93" s="563"/>
      <c r="EXV93" s="563"/>
      <c r="EXW93" s="563"/>
      <c r="EXX93" s="563"/>
      <c r="EXY93" s="563"/>
      <c r="EXZ93" s="563"/>
      <c r="EYA93" s="563"/>
      <c r="EYB93" s="563"/>
      <c r="EYC93" s="563"/>
      <c r="EYD93" s="563"/>
      <c r="EYE93" s="563"/>
      <c r="EYF93" s="563"/>
      <c r="EYG93" s="563"/>
      <c r="EYH93" s="563"/>
      <c r="EYI93" s="563"/>
      <c r="EYJ93" s="563"/>
      <c r="EYK93" s="563"/>
      <c r="EYL93" s="563"/>
      <c r="EYM93" s="563"/>
      <c r="EYN93" s="563"/>
      <c r="EYO93" s="563"/>
      <c r="EYP93" s="563"/>
      <c r="EYQ93" s="563"/>
      <c r="EYR93" s="563"/>
      <c r="EYS93" s="563"/>
      <c r="EYT93" s="563"/>
      <c r="EYU93" s="563"/>
      <c r="EYV93" s="563"/>
      <c r="EYW93" s="563"/>
      <c r="EYX93" s="563"/>
      <c r="EYY93" s="563"/>
      <c r="EYZ93" s="563"/>
      <c r="EZA93" s="563"/>
      <c r="EZB93" s="563"/>
      <c r="EZC93" s="563"/>
      <c r="EZD93" s="563"/>
      <c r="EZE93" s="563"/>
      <c r="EZF93" s="563"/>
      <c r="EZG93" s="563"/>
      <c r="EZH93" s="563"/>
      <c r="EZI93" s="563"/>
      <c r="EZJ93" s="563"/>
      <c r="EZK93" s="563"/>
      <c r="EZL93" s="563"/>
      <c r="EZM93" s="563"/>
      <c r="EZN93" s="563"/>
      <c r="EZO93" s="563"/>
      <c r="EZP93" s="563"/>
      <c r="EZQ93" s="563"/>
      <c r="EZR93" s="563"/>
      <c r="EZS93" s="563"/>
      <c r="EZT93" s="563"/>
      <c r="EZU93" s="563"/>
      <c r="EZV93" s="563"/>
      <c r="EZW93" s="563"/>
      <c r="EZX93" s="563"/>
      <c r="EZY93" s="563"/>
      <c r="EZZ93" s="563"/>
      <c r="FAA93" s="563"/>
      <c r="FAB93" s="563"/>
      <c r="FAC93" s="563"/>
      <c r="FAD93" s="563"/>
      <c r="FAE93" s="563"/>
      <c r="FAF93" s="563"/>
      <c r="FAG93" s="563"/>
      <c r="FAH93" s="563"/>
      <c r="FAI93" s="563"/>
      <c r="FAJ93" s="563"/>
      <c r="FAK93" s="563"/>
      <c r="FAL93" s="563"/>
      <c r="FAM93" s="563"/>
      <c r="FAN93" s="563"/>
      <c r="FAO93" s="563"/>
      <c r="FAP93" s="563"/>
      <c r="FAQ93" s="563"/>
      <c r="FAR93" s="563"/>
      <c r="FAS93" s="563"/>
      <c r="FAT93" s="563"/>
      <c r="FAU93" s="563"/>
      <c r="FAV93" s="563"/>
      <c r="FAW93" s="563"/>
      <c r="FAX93" s="563"/>
      <c r="FAY93" s="563"/>
      <c r="FAZ93" s="563"/>
      <c r="FBA93" s="563"/>
      <c r="FBB93" s="563"/>
      <c r="FBC93" s="563"/>
      <c r="FBD93" s="563"/>
      <c r="FBE93" s="563"/>
      <c r="FBF93" s="563"/>
      <c r="FBG93" s="563"/>
      <c r="FBH93" s="563"/>
      <c r="FBI93" s="563"/>
      <c r="FBJ93" s="563"/>
      <c r="FBK93" s="563"/>
      <c r="FBL93" s="563"/>
      <c r="FBM93" s="563"/>
      <c r="FBN93" s="563"/>
      <c r="FBO93" s="563"/>
      <c r="FBP93" s="563"/>
      <c r="FBQ93" s="563"/>
      <c r="FBR93" s="563"/>
      <c r="FBS93" s="563"/>
      <c r="FBT93" s="563"/>
      <c r="FBU93" s="563"/>
      <c r="FBV93" s="563"/>
      <c r="FBW93" s="563"/>
      <c r="FBX93" s="563"/>
      <c r="FBY93" s="563"/>
      <c r="FBZ93" s="563"/>
      <c r="FCA93" s="563"/>
      <c r="FCB93" s="563"/>
      <c r="FCC93" s="563"/>
      <c r="FCD93" s="563"/>
      <c r="FCE93" s="563"/>
      <c r="FCF93" s="563"/>
      <c r="FCG93" s="563"/>
      <c r="FCH93" s="563"/>
      <c r="FCI93" s="563"/>
      <c r="FCJ93" s="563"/>
      <c r="FCK93" s="563"/>
      <c r="FCL93" s="563"/>
      <c r="FCM93" s="563"/>
      <c r="FCN93" s="563"/>
      <c r="FCO93" s="563"/>
      <c r="FCP93" s="563"/>
      <c r="FCQ93" s="563"/>
      <c r="FCR93" s="563"/>
      <c r="FCS93" s="563"/>
      <c r="FCT93" s="563"/>
      <c r="FCU93" s="563"/>
      <c r="FCV93" s="563"/>
      <c r="FCW93" s="563"/>
      <c r="FCX93" s="563"/>
      <c r="FCY93" s="563"/>
      <c r="FCZ93" s="563"/>
      <c r="FDA93" s="563"/>
      <c r="FDB93" s="563"/>
      <c r="FDC93" s="563"/>
      <c r="FDD93" s="563"/>
      <c r="FDE93" s="563"/>
      <c r="FDF93" s="563"/>
      <c r="FDG93" s="563"/>
      <c r="FDH93" s="563"/>
      <c r="FDI93" s="563"/>
      <c r="FDJ93" s="563"/>
      <c r="FDK93" s="563"/>
      <c r="FDL93" s="563"/>
      <c r="FDM93" s="563"/>
      <c r="FDN93" s="563"/>
      <c r="FDO93" s="563"/>
      <c r="FDP93" s="563"/>
      <c r="FDQ93" s="563"/>
      <c r="FDR93" s="563"/>
      <c r="FDS93" s="563"/>
      <c r="FDT93" s="563"/>
      <c r="FDU93" s="563"/>
      <c r="FDV93" s="563"/>
      <c r="FDW93" s="563"/>
      <c r="FDX93" s="563"/>
      <c r="FDY93" s="563"/>
      <c r="FDZ93" s="563"/>
      <c r="FEA93" s="563"/>
      <c r="FEB93" s="563"/>
      <c r="FEC93" s="563"/>
      <c r="FED93" s="563"/>
      <c r="FEE93" s="563"/>
      <c r="FEF93" s="563"/>
      <c r="FEG93" s="563"/>
      <c r="FEH93" s="563"/>
      <c r="FEI93" s="563"/>
      <c r="FEJ93" s="563"/>
      <c r="FEK93" s="563"/>
      <c r="FEL93" s="563"/>
      <c r="FEM93" s="563"/>
      <c r="FEN93" s="563"/>
      <c r="FEO93" s="563"/>
      <c r="FEP93" s="563"/>
      <c r="FEQ93" s="563"/>
      <c r="FER93" s="563"/>
      <c r="FES93" s="563"/>
      <c r="FET93" s="563"/>
      <c r="FEU93" s="563"/>
      <c r="FEV93" s="563"/>
      <c r="FEW93" s="563"/>
      <c r="FEX93" s="563"/>
      <c r="FEY93" s="563"/>
      <c r="FEZ93" s="563"/>
      <c r="FFA93" s="563"/>
      <c r="FFB93" s="563"/>
      <c r="FFC93" s="563"/>
      <c r="FFD93" s="563"/>
      <c r="FFE93" s="563"/>
      <c r="FFF93" s="563"/>
      <c r="FFG93" s="563"/>
      <c r="FFH93" s="563"/>
      <c r="FFI93" s="563"/>
      <c r="FFJ93" s="563"/>
      <c r="FFK93" s="563"/>
      <c r="FFL93" s="563"/>
      <c r="FFM93" s="563"/>
      <c r="FFN93" s="563"/>
      <c r="FFO93" s="563"/>
      <c r="FFP93" s="563"/>
      <c r="FFQ93" s="563"/>
      <c r="FFR93" s="563"/>
      <c r="FFS93" s="563"/>
      <c r="FFT93" s="563"/>
      <c r="FFU93" s="563"/>
      <c r="FFV93" s="563"/>
      <c r="FFW93" s="563"/>
      <c r="FFX93" s="563"/>
      <c r="FFY93" s="563"/>
      <c r="FFZ93" s="563"/>
      <c r="FGA93" s="563"/>
      <c r="FGB93" s="563"/>
      <c r="FGC93" s="563"/>
      <c r="FGD93" s="563"/>
      <c r="FGE93" s="563"/>
      <c r="FGF93" s="563"/>
      <c r="FGG93" s="563"/>
      <c r="FGH93" s="563"/>
      <c r="FGI93" s="563"/>
      <c r="FGJ93" s="563"/>
      <c r="FGK93" s="563"/>
      <c r="FGL93" s="563"/>
      <c r="FGM93" s="563"/>
      <c r="FGN93" s="563"/>
      <c r="FGO93" s="563"/>
      <c r="FGP93" s="563"/>
      <c r="FGQ93" s="563"/>
      <c r="FGR93" s="563"/>
      <c r="FGS93" s="563"/>
      <c r="FGT93" s="563"/>
      <c r="FGU93" s="563"/>
      <c r="FGV93" s="563"/>
      <c r="FGW93" s="563"/>
      <c r="FGX93" s="563"/>
      <c r="FGY93" s="563"/>
      <c r="FGZ93" s="563"/>
      <c r="FHA93" s="563"/>
      <c r="FHB93" s="563"/>
      <c r="FHC93" s="563"/>
      <c r="FHD93" s="563"/>
      <c r="FHE93" s="563"/>
      <c r="FHF93" s="563"/>
      <c r="FHG93" s="563"/>
      <c r="FHH93" s="563"/>
      <c r="FHI93" s="563"/>
      <c r="FHJ93" s="563"/>
      <c r="FHK93" s="563"/>
      <c r="FHL93" s="563"/>
      <c r="FHM93" s="563"/>
      <c r="FHN93" s="563"/>
      <c r="FHO93" s="563"/>
      <c r="FHP93" s="563"/>
      <c r="FHQ93" s="563"/>
      <c r="FHR93" s="563"/>
      <c r="FHS93" s="563"/>
      <c r="FHT93" s="563"/>
      <c r="FHU93" s="563"/>
      <c r="FHV93" s="563"/>
      <c r="FHW93" s="563"/>
      <c r="FHX93" s="563"/>
      <c r="FHY93" s="563"/>
      <c r="FHZ93" s="563"/>
      <c r="FIA93" s="563"/>
      <c r="FIB93" s="563"/>
      <c r="FIC93" s="563"/>
      <c r="FID93" s="563"/>
      <c r="FIE93" s="563"/>
      <c r="FIF93" s="563"/>
      <c r="FIG93" s="563"/>
      <c r="FIH93" s="563"/>
      <c r="FII93" s="563"/>
      <c r="FIJ93" s="563"/>
      <c r="FIK93" s="563"/>
      <c r="FIL93" s="563"/>
      <c r="FIM93" s="563"/>
      <c r="FIN93" s="563"/>
      <c r="FIO93" s="563"/>
      <c r="FIP93" s="563"/>
      <c r="FIQ93" s="563"/>
      <c r="FIR93" s="563"/>
      <c r="FIS93" s="563"/>
      <c r="FIT93" s="563"/>
      <c r="FIU93" s="563"/>
      <c r="FIV93" s="563"/>
      <c r="FIW93" s="563"/>
      <c r="FIX93" s="563"/>
      <c r="FIY93" s="563"/>
      <c r="FIZ93" s="563"/>
      <c r="FJA93" s="563"/>
      <c r="FJB93" s="563"/>
      <c r="FJC93" s="563"/>
      <c r="FJD93" s="563"/>
      <c r="FJE93" s="563"/>
      <c r="FJF93" s="563"/>
      <c r="FJG93" s="563"/>
      <c r="FJH93" s="563"/>
      <c r="FJI93" s="563"/>
      <c r="FJJ93" s="563"/>
      <c r="FJK93" s="563"/>
      <c r="FJL93" s="563"/>
      <c r="FJM93" s="563"/>
      <c r="FJN93" s="563"/>
      <c r="FJO93" s="563"/>
      <c r="FJP93" s="563"/>
      <c r="FJQ93" s="563"/>
      <c r="FJR93" s="563"/>
      <c r="FJS93" s="563"/>
      <c r="FJT93" s="563"/>
      <c r="FJU93" s="563"/>
      <c r="FJV93" s="563"/>
      <c r="FJW93" s="563"/>
      <c r="FJX93" s="563"/>
      <c r="FJY93" s="563"/>
      <c r="FJZ93" s="563"/>
      <c r="FKA93" s="563"/>
      <c r="FKB93" s="563"/>
      <c r="FKC93" s="563"/>
      <c r="FKD93" s="563"/>
      <c r="FKE93" s="563"/>
      <c r="FKF93" s="563"/>
      <c r="FKG93" s="563"/>
      <c r="FKH93" s="563"/>
      <c r="FKI93" s="563"/>
      <c r="FKJ93" s="563"/>
      <c r="FKK93" s="563"/>
      <c r="FKL93" s="563"/>
      <c r="FKM93" s="563"/>
      <c r="FKN93" s="563"/>
      <c r="FKO93" s="563"/>
      <c r="FKP93" s="563"/>
      <c r="FKQ93" s="563"/>
      <c r="FKR93" s="563"/>
      <c r="FKS93" s="563"/>
      <c r="FKT93" s="563"/>
      <c r="FKU93" s="563"/>
      <c r="FKV93" s="563"/>
      <c r="FKW93" s="563"/>
      <c r="FKX93" s="563"/>
      <c r="FKY93" s="563"/>
      <c r="FKZ93" s="563"/>
      <c r="FLA93" s="563"/>
      <c r="FLB93" s="563"/>
      <c r="FLC93" s="563"/>
      <c r="FLD93" s="563"/>
      <c r="FLE93" s="563"/>
      <c r="FLF93" s="563"/>
      <c r="FLG93" s="563"/>
      <c r="FLH93" s="563"/>
      <c r="FLI93" s="563"/>
      <c r="FLJ93" s="563"/>
      <c r="FLK93" s="563"/>
      <c r="FLL93" s="563"/>
      <c r="FLM93" s="563"/>
      <c r="FLN93" s="563"/>
      <c r="FLO93" s="563"/>
      <c r="FLP93" s="563"/>
      <c r="FLQ93" s="563"/>
      <c r="FLR93" s="563"/>
      <c r="FLS93" s="563"/>
      <c r="FLT93" s="563"/>
      <c r="FLU93" s="563"/>
      <c r="FLV93" s="563"/>
      <c r="FLW93" s="563"/>
      <c r="FLX93" s="563"/>
      <c r="FLY93" s="563"/>
      <c r="FLZ93" s="563"/>
      <c r="FMA93" s="563"/>
      <c r="FMB93" s="563"/>
      <c r="FMC93" s="563"/>
      <c r="FMD93" s="563"/>
      <c r="FME93" s="563"/>
      <c r="FMF93" s="563"/>
      <c r="FMG93" s="563"/>
      <c r="FMH93" s="563"/>
      <c r="FMI93" s="563"/>
      <c r="FMJ93" s="563"/>
      <c r="FMK93" s="563"/>
      <c r="FML93" s="563"/>
      <c r="FMM93" s="563"/>
      <c r="FMN93" s="563"/>
      <c r="FMO93" s="563"/>
      <c r="FMP93" s="563"/>
      <c r="FMQ93" s="563"/>
      <c r="FMR93" s="563"/>
      <c r="FMS93" s="563"/>
      <c r="FMT93" s="563"/>
      <c r="FMU93" s="563"/>
      <c r="FMV93" s="563"/>
      <c r="FMW93" s="563"/>
      <c r="FMX93" s="563"/>
      <c r="FMY93" s="563"/>
      <c r="FMZ93" s="563"/>
      <c r="FNA93" s="563"/>
      <c r="FNB93" s="563"/>
      <c r="FNC93" s="563"/>
      <c r="FND93" s="563"/>
      <c r="FNE93" s="563"/>
      <c r="FNF93" s="563"/>
      <c r="FNG93" s="563"/>
      <c r="FNH93" s="563"/>
      <c r="FNI93" s="563"/>
      <c r="FNJ93" s="563"/>
      <c r="FNK93" s="563"/>
      <c r="FNL93" s="563"/>
      <c r="FNM93" s="563"/>
      <c r="FNN93" s="563"/>
      <c r="FNO93" s="563"/>
      <c r="FNP93" s="563"/>
      <c r="FNQ93" s="563"/>
      <c r="FNR93" s="563"/>
      <c r="FNS93" s="563"/>
      <c r="FNT93" s="563"/>
      <c r="FNU93" s="563"/>
      <c r="FNV93" s="563"/>
      <c r="FNW93" s="563"/>
      <c r="FNX93" s="563"/>
      <c r="FNY93" s="563"/>
      <c r="FNZ93" s="563"/>
      <c r="FOA93" s="563"/>
      <c r="FOB93" s="563"/>
      <c r="FOC93" s="563"/>
      <c r="FOD93" s="563"/>
      <c r="FOE93" s="563"/>
      <c r="FOF93" s="563"/>
      <c r="FOG93" s="563"/>
      <c r="FOH93" s="563"/>
      <c r="FOI93" s="563"/>
      <c r="FOJ93" s="563"/>
      <c r="FOK93" s="563"/>
      <c r="FOL93" s="563"/>
      <c r="FOM93" s="563"/>
      <c r="FON93" s="563"/>
      <c r="FOO93" s="563"/>
      <c r="FOP93" s="563"/>
      <c r="FOQ93" s="563"/>
      <c r="FOR93" s="563"/>
      <c r="FOS93" s="563"/>
      <c r="FOT93" s="563"/>
      <c r="FOU93" s="563"/>
      <c r="FOV93" s="563"/>
      <c r="FOW93" s="563"/>
      <c r="FOX93" s="563"/>
      <c r="FOY93" s="563"/>
      <c r="FOZ93" s="563"/>
      <c r="FPA93" s="563"/>
      <c r="FPB93" s="563"/>
      <c r="FPC93" s="563"/>
      <c r="FPD93" s="563"/>
      <c r="FPE93" s="563"/>
      <c r="FPF93" s="563"/>
      <c r="FPG93" s="563"/>
      <c r="FPH93" s="563"/>
      <c r="FPI93" s="563"/>
      <c r="FPJ93" s="563"/>
      <c r="FPK93" s="563"/>
      <c r="FPL93" s="563"/>
      <c r="FPM93" s="563"/>
      <c r="FPN93" s="563"/>
      <c r="FPO93" s="563"/>
      <c r="FPP93" s="563"/>
      <c r="FPQ93" s="563"/>
      <c r="FPR93" s="563"/>
      <c r="FPS93" s="563"/>
      <c r="FPT93" s="563"/>
      <c r="FPU93" s="563"/>
      <c r="FPV93" s="563"/>
      <c r="FPW93" s="563"/>
      <c r="FPX93" s="563"/>
      <c r="FPY93" s="563"/>
      <c r="FPZ93" s="563"/>
      <c r="FQA93" s="563"/>
      <c r="FQB93" s="563"/>
      <c r="FQC93" s="563"/>
      <c r="FQD93" s="563"/>
      <c r="FQE93" s="563"/>
      <c r="FQF93" s="563"/>
      <c r="FQG93" s="563"/>
      <c r="FQH93" s="563"/>
      <c r="FQI93" s="563"/>
      <c r="FQJ93" s="563"/>
      <c r="FQK93" s="563"/>
      <c r="FQL93" s="563"/>
      <c r="FQM93" s="563"/>
      <c r="FQN93" s="563"/>
      <c r="FQO93" s="563"/>
      <c r="FQP93" s="563"/>
      <c r="FQQ93" s="563"/>
      <c r="FQR93" s="563"/>
      <c r="FQS93" s="563"/>
      <c r="FQT93" s="563"/>
      <c r="FQU93" s="563"/>
      <c r="FQV93" s="563"/>
      <c r="FQW93" s="563"/>
      <c r="FQX93" s="563"/>
      <c r="FQY93" s="563"/>
      <c r="FQZ93" s="563"/>
      <c r="FRA93" s="563"/>
      <c r="FRB93" s="563"/>
      <c r="FRC93" s="563"/>
      <c r="FRD93" s="563"/>
      <c r="FRE93" s="563"/>
      <c r="FRF93" s="563"/>
      <c r="FRG93" s="563"/>
      <c r="FRH93" s="563"/>
      <c r="FRI93" s="563"/>
      <c r="FRJ93" s="563"/>
      <c r="FRK93" s="563"/>
      <c r="FRL93" s="563"/>
      <c r="FRM93" s="563"/>
      <c r="FRN93" s="563"/>
      <c r="FRO93" s="563"/>
      <c r="FRP93" s="563"/>
      <c r="FRQ93" s="563"/>
      <c r="FRR93" s="563"/>
      <c r="FRS93" s="563"/>
      <c r="FRT93" s="563"/>
      <c r="FRU93" s="563"/>
      <c r="FRV93" s="563"/>
      <c r="FRW93" s="563"/>
      <c r="FRX93" s="563"/>
      <c r="FRY93" s="563"/>
      <c r="FRZ93" s="563"/>
      <c r="FSA93" s="563"/>
      <c r="FSB93" s="563"/>
      <c r="FSC93" s="563"/>
      <c r="FSD93" s="563"/>
      <c r="FSE93" s="563"/>
      <c r="FSF93" s="563"/>
      <c r="FSG93" s="563"/>
      <c r="FSH93" s="563"/>
      <c r="FSI93" s="563"/>
      <c r="FSJ93" s="563"/>
      <c r="FSK93" s="563"/>
      <c r="FSL93" s="563"/>
      <c r="FSM93" s="563"/>
      <c r="FSN93" s="563"/>
      <c r="FSO93" s="563"/>
      <c r="FSP93" s="563"/>
      <c r="FSQ93" s="563"/>
      <c r="FSR93" s="563"/>
      <c r="FSS93" s="563"/>
      <c r="FST93" s="563"/>
      <c r="FSU93" s="563"/>
      <c r="FSV93" s="563"/>
      <c r="FSW93" s="563"/>
      <c r="FSX93" s="563"/>
      <c r="FSY93" s="563"/>
      <c r="FSZ93" s="563"/>
      <c r="FTA93" s="563"/>
      <c r="FTB93" s="563"/>
      <c r="FTC93" s="563"/>
      <c r="FTD93" s="563"/>
      <c r="FTE93" s="563"/>
      <c r="FTF93" s="563"/>
      <c r="FTG93" s="563"/>
      <c r="FTH93" s="563"/>
      <c r="FTI93" s="563"/>
      <c r="FTJ93" s="563"/>
      <c r="FTK93" s="563"/>
      <c r="FTL93" s="563"/>
      <c r="FTM93" s="563"/>
      <c r="FTN93" s="563"/>
      <c r="FTO93" s="563"/>
      <c r="FTP93" s="563"/>
      <c r="FTQ93" s="563"/>
      <c r="FTR93" s="563"/>
      <c r="FTS93" s="563"/>
      <c r="FTT93" s="563"/>
      <c r="FTU93" s="563"/>
      <c r="FTV93" s="563"/>
      <c r="FTW93" s="563"/>
      <c r="FTX93" s="563"/>
      <c r="FTY93" s="563"/>
      <c r="FTZ93" s="563"/>
      <c r="FUA93" s="563"/>
      <c r="FUB93" s="563"/>
      <c r="FUC93" s="563"/>
      <c r="FUD93" s="563"/>
      <c r="FUE93" s="563"/>
      <c r="FUF93" s="563"/>
      <c r="FUG93" s="563"/>
      <c r="FUH93" s="563"/>
      <c r="FUI93" s="563"/>
      <c r="FUJ93" s="563"/>
      <c r="FUK93" s="563"/>
      <c r="FUL93" s="563"/>
      <c r="FUM93" s="563"/>
      <c r="FUN93" s="563"/>
      <c r="FUO93" s="563"/>
      <c r="FUP93" s="563"/>
      <c r="FUQ93" s="563"/>
      <c r="FUR93" s="563"/>
      <c r="FUS93" s="563"/>
      <c r="FUT93" s="563"/>
      <c r="FUU93" s="563"/>
      <c r="FUV93" s="563"/>
      <c r="FUW93" s="563"/>
      <c r="FUX93" s="563"/>
      <c r="FUY93" s="563"/>
      <c r="FUZ93" s="563"/>
      <c r="FVA93" s="563"/>
      <c r="FVB93" s="563"/>
      <c r="FVC93" s="563"/>
      <c r="FVD93" s="563"/>
      <c r="FVE93" s="563"/>
      <c r="FVF93" s="563"/>
      <c r="FVG93" s="563"/>
      <c r="FVH93" s="563"/>
      <c r="FVI93" s="563"/>
      <c r="FVJ93" s="563"/>
      <c r="FVK93" s="563"/>
      <c r="FVL93" s="563"/>
      <c r="FVM93" s="563"/>
      <c r="FVN93" s="563"/>
      <c r="FVO93" s="563"/>
      <c r="FVP93" s="563"/>
      <c r="FVQ93" s="563"/>
      <c r="FVR93" s="563"/>
      <c r="FVS93" s="563"/>
      <c r="FVT93" s="563"/>
      <c r="FVU93" s="563"/>
      <c r="FVV93" s="563"/>
      <c r="FVW93" s="563"/>
      <c r="FVX93" s="563"/>
      <c r="FVY93" s="563"/>
      <c r="FVZ93" s="563"/>
      <c r="FWA93" s="563"/>
      <c r="FWB93" s="563"/>
      <c r="FWC93" s="563"/>
      <c r="FWD93" s="563"/>
      <c r="FWE93" s="563"/>
      <c r="FWF93" s="563"/>
      <c r="FWG93" s="563"/>
      <c r="FWH93" s="563"/>
      <c r="FWI93" s="563"/>
      <c r="FWJ93" s="563"/>
      <c r="FWK93" s="563"/>
      <c r="FWL93" s="563"/>
      <c r="FWM93" s="563"/>
      <c r="FWN93" s="563"/>
      <c r="FWO93" s="563"/>
      <c r="FWP93" s="563"/>
      <c r="FWQ93" s="563"/>
      <c r="FWR93" s="563"/>
      <c r="FWS93" s="563"/>
      <c r="FWT93" s="563"/>
      <c r="FWU93" s="563"/>
      <c r="FWV93" s="563"/>
      <c r="FWW93" s="563"/>
      <c r="FWX93" s="563"/>
      <c r="FWY93" s="563"/>
      <c r="FWZ93" s="563"/>
      <c r="FXA93" s="563"/>
      <c r="FXB93" s="563"/>
      <c r="FXC93" s="563"/>
      <c r="FXD93" s="563"/>
      <c r="FXE93" s="563"/>
      <c r="FXF93" s="563"/>
      <c r="FXG93" s="563"/>
      <c r="FXH93" s="563"/>
      <c r="FXI93" s="563"/>
      <c r="FXJ93" s="563"/>
      <c r="FXK93" s="563"/>
      <c r="FXL93" s="563"/>
      <c r="FXM93" s="563"/>
      <c r="FXN93" s="563"/>
      <c r="FXO93" s="563"/>
      <c r="FXP93" s="563"/>
      <c r="FXQ93" s="563"/>
      <c r="FXR93" s="563"/>
      <c r="FXS93" s="563"/>
      <c r="FXT93" s="563"/>
      <c r="FXU93" s="563"/>
      <c r="FXV93" s="563"/>
      <c r="FXW93" s="563"/>
      <c r="FXX93" s="563"/>
      <c r="FXY93" s="563"/>
      <c r="FXZ93" s="563"/>
      <c r="FYA93" s="563"/>
      <c r="FYB93" s="563"/>
      <c r="FYC93" s="563"/>
      <c r="FYD93" s="563"/>
      <c r="FYE93" s="563"/>
      <c r="FYF93" s="563"/>
      <c r="FYG93" s="563"/>
      <c r="FYH93" s="563"/>
      <c r="FYI93" s="563"/>
      <c r="FYJ93" s="563"/>
      <c r="FYK93" s="563"/>
      <c r="FYL93" s="563"/>
      <c r="FYM93" s="563"/>
      <c r="FYN93" s="563"/>
      <c r="FYO93" s="563"/>
      <c r="FYP93" s="563"/>
      <c r="FYQ93" s="563"/>
      <c r="FYR93" s="563"/>
      <c r="FYS93" s="563"/>
      <c r="FYT93" s="563"/>
      <c r="FYU93" s="563"/>
      <c r="FYV93" s="563"/>
      <c r="FYW93" s="563"/>
      <c r="FYX93" s="563"/>
      <c r="FYY93" s="563"/>
      <c r="FYZ93" s="563"/>
      <c r="FZA93" s="563"/>
      <c r="FZB93" s="563"/>
      <c r="FZC93" s="563"/>
      <c r="FZD93" s="563"/>
      <c r="FZE93" s="563"/>
      <c r="FZF93" s="563"/>
      <c r="FZG93" s="563"/>
      <c r="FZH93" s="563"/>
      <c r="FZI93" s="563"/>
      <c r="FZJ93" s="563"/>
      <c r="FZK93" s="563"/>
      <c r="FZL93" s="563"/>
      <c r="FZM93" s="563"/>
      <c r="FZN93" s="563"/>
      <c r="FZO93" s="563"/>
      <c r="FZP93" s="563"/>
      <c r="FZQ93" s="563"/>
      <c r="FZR93" s="563"/>
      <c r="FZS93" s="563"/>
      <c r="FZT93" s="563"/>
      <c r="FZU93" s="563"/>
      <c r="FZV93" s="563"/>
      <c r="FZW93" s="563"/>
      <c r="FZX93" s="563"/>
      <c r="FZY93" s="563"/>
      <c r="FZZ93" s="563"/>
      <c r="GAA93" s="563"/>
      <c r="GAB93" s="563"/>
      <c r="GAC93" s="563"/>
      <c r="GAD93" s="563"/>
      <c r="GAE93" s="563"/>
      <c r="GAF93" s="563"/>
      <c r="GAG93" s="563"/>
      <c r="GAH93" s="563"/>
      <c r="GAI93" s="563"/>
      <c r="GAJ93" s="563"/>
      <c r="GAK93" s="563"/>
      <c r="GAL93" s="563"/>
      <c r="GAM93" s="563"/>
      <c r="GAN93" s="563"/>
      <c r="GAO93" s="563"/>
      <c r="GAP93" s="563"/>
      <c r="GAQ93" s="563"/>
      <c r="GAR93" s="563"/>
      <c r="GAS93" s="563"/>
      <c r="GAT93" s="563"/>
      <c r="GAU93" s="563"/>
      <c r="GAV93" s="563"/>
      <c r="GAW93" s="563"/>
      <c r="GAX93" s="563"/>
      <c r="GAY93" s="563"/>
      <c r="GAZ93" s="563"/>
      <c r="GBA93" s="563"/>
      <c r="GBB93" s="563"/>
      <c r="GBC93" s="563"/>
      <c r="GBD93" s="563"/>
      <c r="GBE93" s="563"/>
      <c r="GBF93" s="563"/>
      <c r="GBG93" s="563"/>
      <c r="GBH93" s="563"/>
      <c r="GBI93" s="563"/>
      <c r="GBJ93" s="563"/>
      <c r="GBK93" s="563"/>
      <c r="GBL93" s="563"/>
      <c r="GBM93" s="563"/>
      <c r="GBN93" s="563"/>
      <c r="GBO93" s="563"/>
      <c r="GBP93" s="563"/>
      <c r="GBQ93" s="563"/>
      <c r="GBR93" s="563"/>
      <c r="GBS93" s="563"/>
      <c r="GBT93" s="563"/>
      <c r="GBU93" s="563"/>
      <c r="GBV93" s="563"/>
      <c r="GBW93" s="563"/>
      <c r="GBX93" s="563"/>
      <c r="GBY93" s="563"/>
      <c r="GBZ93" s="563"/>
      <c r="GCA93" s="563"/>
      <c r="GCB93" s="563"/>
      <c r="GCC93" s="563"/>
      <c r="GCD93" s="563"/>
      <c r="GCE93" s="563"/>
      <c r="GCF93" s="563"/>
      <c r="GCG93" s="563"/>
      <c r="GCH93" s="563"/>
      <c r="GCI93" s="563"/>
      <c r="GCJ93" s="563"/>
      <c r="GCK93" s="563"/>
      <c r="GCL93" s="563"/>
      <c r="GCM93" s="563"/>
      <c r="GCN93" s="563"/>
      <c r="GCO93" s="563"/>
      <c r="GCP93" s="563"/>
      <c r="GCQ93" s="563"/>
      <c r="GCR93" s="563"/>
      <c r="GCS93" s="563"/>
      <c r="GCT93" s="563"/>
      <c r="GCU93" s="563"/>
      <c r="GCV93" s="563"/>
      <c r="GCW93" s="563"/>
      <c r="GCX93" s="563"/>
      <c r="GCY93" s="563"/>
      <c r="GCZ93" s="563"/>
      <c r="GDA93" s="563"/>
      <c r="GDB93" s="563"/>
      <c r="GDC93" s="563"/>
      <c r="GDD93" s="563"/>
      <c r="GDE93" s="563"/>
      <c r="GDF93" s="563"/>
      <c r="GDG93" s="563"/>
      <c r="GDH93" s="563"/>
      <c r="GDI93" s="563"/>
      <c r="GDJ93" s="563"/>
      <c r="GDK93" s="563"/>
      <c r="GDL93" s="563"/>
      <c r="GDM93" s="563"/>
      <c r="GDN93" s="563"/>
      <c r="GDO93" s="563"/>
      <c r="GDP93" s="563"/>
      <c r="GDQ93" s="563"/>
      <c r="GDR93" s="563"/>
      <c r="GDS93" s="563"/>
      <c r="GDT93" s="563"/>
      <c r="GDU93" s="563"/>
      <c r="GDV93" s="563"/>
      <c r="GDW93" s="563"/>
      <c r="GDX93" s="563"/>
      <c r="GDY93" s="563"/>
      <c r="GDZ93" s="563"/>
      <c r="GEA93" s="563"/>
      <c r="GEB93" s="563"/>
      <c r="GEC93" s="563"/>
      <c r="GED93" s="563"/>
      <c r="GEE93" s="563"/>
      <c r="GEF93" s="563"/>
      <c r="GEG93" s="563"/>
      <c r="GEH93" s="563"/>
      <c r="GEI93" s="563"/>
      <c r="GEJ93" s="563"/>
      <c r="GEK93" s="563"/>
      <c r="GEL93" s="563"/>
      <c r="GEM93" s="563"/>
      <c r="GEN93" s="563"/>
      <c r="GEO93" s="563"/>
      <c r="GEP93" s="563"/>
      <c r="GEQ93" s="563"/>
      <c r="GER93" s="563"/>
      <c r="GES93" s="563"/>
      <c r="GET93" s="563"/>
      <c r="GEU93" s="563"/>
      <c r="GEV93" s="563"/>
      <c r="GEW93" s="563"/>
      <c r="GEX93" s="563"/>
      <c r="GEY93" s="563"/>
      <c r="GEZ93" s="563"/>
      <c r="GFA93" s="563"/>
      <c r="GFB93" s="563"/>
      <c r="GFC93" s="563"/>
      <c r="GFD93" s="563"/>
      <c r="GFE93" s="563"/>
      <c r="GFF93" s="563"/>
      <c r="GFG93" s="563"/>
      <c r="GFH93" s="563"/>
      <c r="GFI93" s="563"/>
      <c r="GFJ93" s="563"/>
      <c r="GFK93" s="563"/>
      <c r="GFL93" s="563"/>
      <c r="GFM93" s="563"/>
      <c r="GFN93" s="563"/>
      <c r="GFO93" s="563"/>
      <c r="GFP93" s="563"/>
      <c r="GFQ93" s="563"/>
      <c r="GFR93" s="563"/>
      <c r="GFS93" s="563"/>
      <c r="GFT93" s="563"/>
      <c r="GFU93" s="563"/>
      <c r="GFV93" s="563"/>
      <c r="GFW93" s="563"/>
      <c r="GFX93" s="563"/>
      <c r="GFY93" s="563"/>
      <c r="GFZ93" s="563"/>
      <c r="GGA93" s="563"/>
      <c r="GGB93" s="563"/>
      <c r="GGC93" s="563"/>
      <c r="GGD93" s="563"/>
      <c r="GGE93" s="563"/>
      <c r="GGF93" s="563"/>
      <c r="GGG93" s="563"/>
      <c r="GGH93" s="563"/>
      <c r="GGI93" s="563"/>
      <c r="GGJ93" s="563"/>
      <c r="GGK93" s="563"/>
      <c r="GGL93" s="563"/>
      <c r="GGM93" s="563"/>
      <c r="GGN93" s="563"/>
      <c r="GGO93" s="563"/>
      <c r="GGP93" s="563"/>
      <c r="GGQ93" s="563"/>
      <c r="GGR93" s="563"/>
      <c r="GGS93" s="563"/>
      <c r="GGT93" s="563"/>
      <c r="GGU93" s="563"/>
      <c r="GGV93" s="563"/>
      <c r="GGW93" s="563"/>
      <c r="GGX93" s="563"/>
      <c r="GGY93" s="563"/>
      <c r="GGZ93" s="563"/>
      <c r="GHA93" s="563"/>
      <c r="GHB93" s="563"/>
      <c r="GHC93" s="563"/>
      <c r="GHD93" s="563"/>
      <c r="GHE93" s="563"/>
      <c r="GHF93" s="563"/>
      <c r="GHG93" s="563"/>
      <c r="GHH93" s="563"/>
      <c r="GHI93" s="563"/>
      <c r="GHJ93" s="563"/>
      <c r="GHK93" s="563"/>
      <c r="GHL93" s="563"/>
      <c r="GHM93" s="563"/>
      <c r="GHN93" s="563"/>
      <c r="GHO93" s="563"/>
      <c r="GHP93" s="563"/>
      <c r="GHQ93" s="563"/>
      <c r="GHR93" s="563"/>
      <c r="GHS93" s="563"/>
      <c r="GHT93" s="563"/>
      <c r="GHU93" s="563"/>
      <c r="GHV93" s="563"/>
      <c r="GHW93" s="563"/>
      <c r="GHX93" s="563"/>
      <c r="GHY93" s="563"/>
      <c r="GHZ93" s="563"/>
      <c r="GIA93" s="563"/>
      <c r="GIB93" s="563"/>
      <c r="GIC93" s="563"/>
      <c r="GID93" s="563"/>
      <c r="GIE93" s="563"/>
      <c r="GIF93" s="563"/>
      <c r="GIG93" s="563"/>
      <c r="GIH93" s="563"/>
      <c r="GII93" s="563"/>
      <c r="GIJ93" s="563"/>
      <c r="GIK93" s="563"/>
      <c r="GIL93" s="563"/>
      <c r="GIM93" s="563"/>
      <c r="GIN93" s="563"/>
      <c r="GIO93" s="563"/>
      <c r="GIP93" s="563"/>
      <c r="GIQ93" s="563"/>
      <c r="GIR93" s="563"/>
      <c r="GIS93" s="563"/>
      <c r="GIT93" s="563"/>
      <c r="GIU93" s="563"/>
      <c r="GIV93" s="563"/>
      <c r="GIW93" s="563"/>
      <c r="GIX93" s="563"/>
      <c r="GIY93" s="563"/>
      <c r="GIZ93" s="563"/>
      <c r="GJA93" s="563"/>
      <c r="GJB93" s="563"/>
      <c r="GJC93" s="563"/>
      <c r="GJD93" s="563"/>
      <c r="GJE93" s="563"/>
      <c r="GJF93" s="563"/>
      <c r="GJG93" s="563"/>
      <c r="GJH93" s="563"/>
      <c r="GJI93" s="563"/>
      <c r="GJJ93" s="563"/>
      <c r="GJK93" s="563"/>
      <c r="GJL93" s="563"/>
      <c r="GJM93" s="563"/>
      <c r="GJN93" s="563"/>
      <c r="GJO93" s="563"/>
      <c r="GJP93" s="563"/>
      <c r="GJQ93" s="563"/>
      <c r="GJR93" s="563"/>
      <c r="GJS93" s="563"/>
      <c r="GJT93" s="563"/>
      <c r="GJU93" s="563"/>
      <c r="GJV93" s="563"/>
      <c r="GJW93" s="563"/>
      <c r="GJX93" s="563"/>
      <c r="GJY93" s="563"/>
      <c r="GJZ93" s="563"/>
      <c r="GKA93" s="563"/>
      <c r="GKB93" s="563"/>
      <c r="GKC93" s="563"/>
      <c r="GKD93" s="563"/>
      <c r="GKE93" s="563"/>
      <c r="GKF93" s="563"/>
      <c r="GKG93" s="563"/>
      <c r="GKH93" s="563"/>
      <c r="GKI93" s="563"/>
      <c r="GKJ93" s="563"/>
      <c r="GKK93" s="563"/>
      <c r="GKL93" s="563"/>
      <c r="GKM93" s="563"/>
      <c r="GKN93" s="563"/>
      <c r="GKO93" s="563"/>
      <c r="GKP93" s="563"/>
      <c r="GKQ93" s="563"/>
      <c r="GKR93" s="563"/>
      <c r="GKS93" s="563"/>
      <c r="GKT93" s="563"/>
      <c r="GKU93" s="563"/>
      <c r="GKV93" s="563"/>
      <c r="GKW93" s="563"/>
      <c r="GKX93" s="563"/>
      <c r="GKY93" s="563"/>
      <c r="GKZ93" s="563"/>
      <c r="GLA93" s="563"/>
      <c r="GLB93" s="563"/>
      <c r="GLC93" s="563"/>
      <c r="GLD93" s="563"/>
      <c r="GLE93" s="563"/>
      <c r="GLF93" s="563"/>
      <c r="GLG93" s="563"/>
      <c r="GLH93" s="563"/>
      <c r="GLI93" s="563"/>
      <c r="GLJ93" s="563"/>
      <c r="GLK93" s="563"/>
      <c r="GLL93" s="563"/>
      <c r="GLM93" s="563"/>
      <c r="GLN93" s="563"/>
      <c r="GLO93" s="563"/>
      <c r="GLP93" s="563"/>
      <c r="GLQ93" s="563"/>
      <c r="GLR93" s="563"/>
      <c r="GLS93" s="563"/>
      <c r="GLT93" s="563"/>
      <c r="GLU93" s="563"/>
      <c r="GLV93" s="563"/>
      <c r="GLW93" s="563"/>
      <c r="GLX93" s="563"/>
      <c r="GLY93" s="563"/>
      <c r="GLZ93" s="563"/>
      <c r="GMA93" s="563"/>
      <c r="GMB93" s="563"/>
      <c r="GMC93" s="563"/>
      <c r="GMD93" s="563"/>
      <c r="GME93" s="563"/>
      <c r="GMF93" s="563"/>
      <c r="GMG93" s="563"/>
      <c r="GMH93" s="563"/>
      <c r="GMI93" s="563"/>
      <c r="GMJ93" s="563"/>
      <c r="GMK93" s="563"/>
      <c r="GML93" s="563"/>
      <c r="GMM93" s="563"/>
      <c r="GMN93" s="563"/>
      <c r="GMO93" s="563"/>
      <c r="GMP93" s="563"/>
      <c r="GMQ93" s="563"/>
      <c r="GMR93" s="563"/>
      <c r="GMS93" s="563"/>
      <c r="GMT93" s="563"/>
      <c r="GMU93" s="563"/>
      <c r="GMV93" s="563"/>
      <c r="GMW93" s="563"/>
      <c r="GMX93" s="563"/>
      <c r="GMY93" s="563"/>
      <c r="GMZ93" s="563"/>
      <c r="GNA93" s="563"/>
      <c r="GNB93" s="563"/>
      <c r="GNC93" s="563"/>
      <c r="GND93" s="563"/>
      <c r="GNE93" s="563"/>
      <c r="GNF93" s="563"/>
      <c r="GNG93" s="563"/>
      <c r="GNH93" s="563"/>
      <c r="GNI93" s="563"/>
      <c r="GNJ93" s="563"/>
      <c r="GNK93" s="563"/>
      <c r="GNL93" s="563"/>
      <c r="GNM93" s="563"/>
      <c r="GNN93" s="563"/>
      <c r="GNO93" s="563"/>
      <c r="GNP93" s="563"/>
      <c r="GNQ93" s="563"/>
      <c r="GNR93" s="563"/>
      <c r="GNS93" s="563"/>
      <c r="GNT93" s="563"/>
      <c r="GNU93" s="563"/>
      <c r="GNV93" s="563"/>
      <c r="GNW93" s="563"/>
      <c r="GNX93" s="563"/>
      <c r="GNY93" s="563"/>
      <c r="GNZ93" s="563"/>
      <c r="GOA93" s="563"/>
      <c r="GOB93" s="563"/>
      <c r="GOC93" s="563"/>
      <c r="GOD93" s="563"/>
      <c r="GOE93" s="563"/>
      <c r="GOF93" s="563"/>
      <c r="GOG93" s="563"/>
      <c r="GOH93" s="563"/>
      <c r="GOI93" s="563"/>
      <c r="GOJ93" s="563"/>
      <c r="GOK93" s="563"/>
      <c r="GOL93" s="563"/>
      <c r="GOM93" s="563"/>
      <c r="GON93" s="563"/>
      <c r="GOO93" s="563"/>
      <c r="GOP93" s="563"/>
      <c r="GOQ93" s="563"/>
      <c r="GOR93" s="563"/>
      <c r="GOS93" s="563"/>
      <c r="GOT93" s="563"/>
      <c r="GOU93" s="563"/>
      <c r="GOV93" s="563"/>
      <c r="GOW93" s="563"/>
      <c r="GOX93" s="563"/>
      <c r="GOY93" s="563"/>
      <c r="GOZ93" s="563"/>
      <c r="GPA93" s="563"/>
      <c r="GPB93" s="563"/>
      <c r="GPC93" s="563"/>
      <c r="GPD93" s="563"/>
      <c r="GPE93" s="563"/>
      <c r="GPF93" s="563"/>
      <c r="GPG93" s="563"/>
      <c r="GPH93" s="563"/>
      <c r="GPI93" s="563"/>
      <c r="GPJ93" s="563"/>
      <c r="GPK93" s="563"/>
      <c r="GPL93" s="563"/>
      <c r="GPM93" s="563"/>
      <c r="GPN93" s="563"/>
      <c r="GPO93" s="563"/>
      <c r="GPP93" s="563"/>
      <c r="GPQ93" s="563"/>
      <c r="GPR93" s="563"/>
      <c r="GPS93" s="563"/>
      <c r="GPT93" s="563"/>
      <c r="GPU93" s="563"/>
      <c r="GPV93" s="563"/>
      <c r="GPW93" s="563"/>
      <c r="GPX93" s="563"/>
      <c r="GPY93" s="563"/>
      <c r="GPZ93" s="563"/>
      <c r="GQA93" s="563"/>
      <c r="GQB93" s="563"/>
      <c r="GQC93" s="563"/>
      <c r="GQD93" s="563"/>
      <c r="GQE93" s="563"/>
      <c r="GQF93" s="563"/>
      <c r="GQG93" s="563"/>
      <c r="GQH93" s="563"/>
      <c r="GQI93" s="563"/>
      <c r="GQJ93" s="563"/>
      <c r="GQK93" s="563"/>
      <c r="GQL93" s="563"/>
      <c r="GQM93" s="563"/>
      <c r="GQN93" s="563"/>
      <c r="GQO93" s="563"/>
      <c r="GQP93" s="563"/>
      <c r="GQQ93" s="563"/>
      <c r="GQR93" s="563"/>
      <c r="GQS93" s="563"/>
      <c r="GQT93" s="563"/>
      <c r="GQU93" s="563"/>
      <c r="GQV93" s="563"/>
      <c r="GQW93" s="563"/>
      <c r="GQX93" s="563"/>
      <c r="GQY93" s="563"/>
      <c r="GQZ93" s="563"/>
      <c r="GRA93" s="563"/>
      <c r="GRB93" s="563"/>
      <c r="GRC93" s="563"/>
      <c r="GRD93" s="563"/>
      <c r="GRE93" s="563"/>
      <c r="GRF93" s="563"/>
      <c r="GRG93" s="563"/>
      <c r="GRH93" s="563"/>
      <c r="GRI93" s="563"/>
      <c r="GRJ93" s="563"/>
      <c r="GRK93" s="563"/>
      <c r="GRL93" s="563"/>
      <c r="GRM93" s="563"/>
      <c r="GRN93" s="563"/>
      <c r="GRO93" s="563"/>
      <c r="GRP93" s="563"/>
      <c r="GRQ93" s="563"/>
      <c r="GRR93" s="563"/>
      <c r="GRS93" s="563"/>
      <c r="GRT93" s="563"/>
      <c r="GRU93" s="563"/>
      <c r="GRV93" s="563"/>
      <c r="GRW93" s="563"/>
      <c r="GRX93" s="563"/>
      <c r="GRY93" s="563"/>
      <c r="GRZ93" s="563"/>
      <c r="GSA93" s="563"/>
      <c r="GSB93" s="563"/>
      <c r="GSC93" s="563"/>
      <c r="GSD93" s="563"/>
      <c r="GSE93" s="563"/>
      <c r="GSF93" s="563"/>
      <c r="GSG93" s="563"/>
      <c r="GSH93" s="563"/>
      <c r="GSI93" s="563"/>
      <c r="GSJ93" s="563"/>
      <c r="GSK93" s="563"/>
      <c r="GSL93" s="563"/>
      <c r="GSM93" s="563"/>
      <c r="GSN93" s="563"/>
      <c r="GSO93" s="563"/>
      <c r="GSP93" s="563"/>
      <c r="GSQ93" s="563"/>
      <c r="GSR93" s="563"/>
      <c r="GSS93" s="563"/>
      <c r="GST93" s="563"/>
      <c r="GSU93" s="563"/>
      <c r="GSV93" s="563"/>
      <c r="GSW93" s="563"/>
      <c r="GSX93" s="563"/>
      <c r="GSY93" s="563"/>
      <c r="GSZ93" s="563"/>
      <c r="GTA93" s="563"/>
      <c r="GTB93" s="563"/>
      <c r="GTC93" s="563"/>
      <c r="GTD93" s="563"/>
      <c r="GTE93" s="563"/>
      <c r="GTF93" s="563"/>
      <c r="GTG93" s="563"/>
      <c r="GTH93" s="563"/>
      <c r="GTI93" s="563"/>
      <c r="GTJ93" s="563"/>
      <c r="GTK93" s="563"/>
      <c r="GTL93" s="563"/>
      <c r="GTM93" s="563"/>
      <c r="GTN93" s="563"/>
      <c r="GTO93" s="563"/>
      <c r="GTP93" s="563"/>
      <c r="GTQ93" s="563"/>
      <c r="GTR93" s="563"/>
      <c r="GTS93" s="563"/>
      <c r="GTT93" s="563"/>
      <c r="GTU93" s="563"/>
      <c r="GTV93" s="563"/>
      <c r="GTW93" s="563"/>
      <c r="GTX93" s="563"/>
      <c r="GTY93" s="563"/>
      <c r="GTZ93" s="563"/>
      <c r="GUA93" s="563"/>
      <c r="GUB93" s="563"/>
      <c r="GUC93" s="563"/>
      <c r="GUD93" s="563"/>
      <c r="GUE93" s="563"/>
      <c r="GUF93" s="563"/>
      <c r="GUG93" s="563"/>
      <c r="GUH93" s="563"/>
      <c r="GUI93" s="563"/>
      <c r="GUJ93" s="563"/>
      <c r="GUK93" s="563"/>
      <c r="GUL93" s="563"/>
      <c r="GUM93" s="563"/>
      <c r="GUN93" s="563"/>
      <c r="GUO93" s="563"/>
      <c r="GUP93" s="563"/>
      <c r="GUQ93" s="563"/>
      <c r="GUR93" s="563"/>
      <c r="GUS93" s="563"/>
      <c r="GUT93" s="563"/>
      <c r="GUU93" s="563"/>
      <c r="GUV93" s="563"/>
      <c r="GUW93" s="563"/>
      <c r="GUX93" s="563"/>
      <c r="GUY93" s="563"/>
      <c r="GUZ93" s="563"/>
      <c r="GVA93" s="563"/>
      <c r="GVB93" s="563"/>
      <c r="GVC93" s="563"/>
      <c r="GVD93" s="563"/>
      <c r="GVE93" s="563"/>
      <c r="GVF93" s="563"/>
      <c r="GVG93" s="563"/>
      <c r="GVH93" s="563"/>
      <c r="GVI93" s="563"/>
      <c r="GVJ93" s="563"/>
      <c r="GVK93" s="563"/>
      <c r="GVL93" s="563"/>
      <c r="GVM93" s="563"/>
      <c r="GVN93" s="563"/>
      <c r="GVO93" s="563"/>
      <c r="GVP93" s="563"/>
      <c r="GVQ93" s="563"/>
      <c r="GVR93" s="563"/>
      <c r="GVS93" s="563"/>
      <c r="GVT93" s="563"/>
      <c r="GVU93" s="563"/>
      <c r="GVV93" s="563"/>
      <c r="GVW93" s="563"/>
      <c r="GVX93" s="563"/>
      <c r="GVY93" s="563"/>
      <c r="GVZ93" s="563"/>
      <c r="GWA93" s="563"/>
      <c r="GWB93" s="563"/>
      <c r="GWC93" s="563"/>
      <c r="GWD93" s="563"/>
      <c r="GWE93" s="563"/>
      <c r="GWF93" s="563"/>
      <c r="GWG93" s="563"/>
      <c r="GWH93" s="563"/>
      <c r="GWI93" s="563"/>
      <c r="GWJ93" s="563"/>
      <c r="GWK93" s="563"/>
      <c r="GWL93" s="563"/>
      <c r="GWM93" s="563"/>
      <c r="GWN93" s="563"/>
      <c r="GWO93" s="563"/>
      <c r="GWP93" s="563"/>
      <c r="GWQ93" s="563"/>
      <c r="GWR93" s="563"/>
      <c r="GWS93" s="563"/>
      <c r="GWT93" s="563"/>
      <c r="GWU93" s="563"/>
      <c r="GWV93" s="563"/>
      <c r="GWW93" s="563"/>
      <c r="GWX93" s="563"/>
      <c r="GWY93" s="563"/>
      <c r="GWZ93" s="563"/>
      <c r="GXA93" s="563"/>
      <c r="GXB93" s="563"/>
      <c r="GXC93" s="563"/>
      <c r="GXD93" s="563"/>
      <c r="GXE93" s="563"/>
      <c r="GXF93" s="563"/>
      <c r="GXG93" s="563"/>
      <c r="GXH93" s="563"/>
      <c r="GXI93" s="563"/>
      <c r="GXJ93" s="563"/>
      <c r="GXK93" s="563"/>
      <c r="GXL93" s="563"/>
      <c r="GXM93" s="563"/>
      <c r="GXN93" s="563"/>
      <c r="GXO93" s="563"/>
      <c r="GXP93" s="563"/>
      <c r="GXQ93" s="563"/>
      <c r="GXR93" s="563"/>
      <c r="GXS93" s="563"/>
      <c r="GXT93" s="563"/>
      <c r="GXU93" s="563"/>
      <c r="GXV93" s="563"/>
      <c r="GXW93" s="563"/>
      <c r="GXX93" s="563"/>
      <c r="GXY93" s="563"/>
      <c r="GXZ93" s="563"/>
      <c r="GYA93" s="563"/>
      <c r="GYB93" s="563"/>
      <c r="GYC93" s="563"/>
      <c r="GYD93" s="563"/>
      <c r="GYE93" s="563"/>
      <c r="GYF93" s="563"/>
      <c r="GYG93" s="563"/>
      <c r="GYH93" s="563"/>
      <c r="GYI93" s="563"/>
      <c r="GYJ93" s="563"/>
      <c r="GYK93" s="563"/>
      <c r="GYL93" s="563"/>
      <c r="GYM93" s="563"/>
      <c r="GYN93" s="563"/>
      <c r="GYO93" s="563"/>
      <c r="GYP93" s="563"/>
      <c r="GYQ93" s="563"/>
      <c r="GYR93" s="563"/>
      <c r="GYS93" s="563"/>
      <c r="GYT93" s="563"/>
      <c r="GYU93" s="563"/>
      <c r="GYV93" s="563"/>
      <c r="GYW93" s="563"/>
      <c r="GYX93" s="563"/>
      <c r="GYY93" s="563"/>
      <c r="GYZ93" s="563"/>
      <c r="GZA93" s="563"/>
      <c r="GZB93" s="563"/>
      <c r="GZC93" s="563"/>
      <c r="GZD93" s="563"/>
      <c r="GZE93" s="563"/>
      <c r="GZF93" s="563"/>
      <c r="GZG93" s="563"/>
      <c r="GZH93" s="563"/>
      <c r="GZI93" s="563"/>
      <c r="GZJ93" s="563"/>
      <c r="GZK93" s="563"/>
      <c r="GZL93" s="563"/>
      <c r="GZM93" s="563"/>
      <c r="GZN93" s="563"/>
      <c r="GZO93" s="563"/>
      <c r="GZP93" s="563"/>
      <c r="GZQ93" s="563"/>
      <c r="GZR93" s="563"/>
      <c r="GZS93" s="563"/>
      <c r="GZT93" s="563"/>
      <c r="GZU93" s="563"/>
      <c r="GZV93" s="563"/>
      <c r="GZW93" s="563"/>
      <c r="GZX93" s="563"/>
      <c r="GZY93" s="563"/>
      <c r="GZZ93" s="563"/>
      <c r="HAA93" s="563"/>
      <c r="HAB93" s="563"/>
      <c r="HAC93" s="563"/>
      <c r="HAD93" s="563"/>
      <c r="HAE93" s="563"/>
      <c r="HAF93" s="563"/>
      <c r="HAG93" s="563"/>
      <c r="HAH93" s="563"/>
      <c r="HAI93" s="563"/>
      <c r="HAJ93" s="563"/>
      <c r="HAK93" s="563"/>
      <c r="HAL93" s="563"/>
      <c r="HAM93" s="563"/>
      <c r="HAN93" s="563"/>
      <c r="HAO93" s="563"/>
      <c r="HAP93" s="563"/>
      <c r="HAQ93" s="563"/>
      <c r="HAR93" s="563"/>
      <c r="HAS93" s="563"/>
      <c r="HAT93" s="563"/>
      <c r="HAU93" s="563"/>
      <c r="HAV93" s="563"/>
      <c r="HAW93" s="563"/>
      <c r="HAX93" s="563"/>
      <c r="HAY93" s="563"/>
      <c r="HAZ93" s="563"/>
      <c r="HBA93" s="563"/>
      <c r="HBB93" s="563"/>
      <c r="HBC93" s="563"/>
      <c r="HBD93" s="563"/>
      <c r="HBE93" s="563"/>
      <c r="HBF93" s="563"/>
      <c r="HBG93" s="563"/>
      <c r="HBH93" s="563"/>
      <c r="HBI93" s="563"/>
      <c r="HBJ93" s="563"/>
      <c r="HBK93" s="563"/>
      <c r="HBL93" s="563"/>
      <c r="HBM93" s="563"/>
      <c r="HBN93" s="563"/>
      <c r="HBO93" s="563"/>
      <c r="HBP93" s="563"/>
      <c r="HBQ93" s="563"/>
      <c r="HBR93" s="563"/>
      <c r="HBS93" s="563"/>
      <c r="HBT93" s="563"/>
      <c r="HBU93" s="563"/>
      <c r="HBV93" s="563"/>
      <c r="HBW93" s="563"/>
      <c r="HBX93" s="563"/>
      <c r="HBY93" s="563"/>
      <c r="HBZ93" s="563"/>
      <c r="HCA93" s="563"/>
      <c r="HCB93" s="563"/>
      <c r="HCC93" s="563"/>
      <c r="HCD93" s="563"/>
      <c r="HCE93" s="563"/>
      <c r="HCF93" s="563"/>
      <c r="HCG93" s="563"/>
      <c r="HCH93" s="563"/>
      <c r="HCI93" s="563"/>
      <c r="HCJ93" s="563"/>
      <c r="HCK93" s="563"/>
      <c r="HCL93" s="563"/>
      <c r="HCM93" s="563"/>
      <c r="HCN93" s="563"/>
      <c r="HCO93" s="563"/>
      <c r="HCP93" s="563"/>
      <c r="HCQ93" s="563"/>
      <c r="HCR93" s="563"/>
      <c r="HCS93" s="563"/>
      <c r="HCT93" s="563"/>
      <c r="HCU93" s="563"/>
      <c r="HCV93" s="563"/>
      <c r="HCW93" s="563"/>
      <c r="HCX93" s="563"/>
      <c r="HCY93" s="563"/>
      <c r="HCZ93" s="563"/>
      <c r="HDA93" s="563"/>
      <c r="HDB93" s="563"/>
      <c r="HDC93" s="563"/>
      <c r="HDD93" s="563"/>
      <c r="HDE93" s="563"/>
      <c r="HDF93" s="563"/>
      <c r="HDG93" s="563"/>
      <c r="HDH93" s="563"/>
      <c r="HDI93" s="563"/>
      <c r="HDJ93" s="563"/>
      <c r="HDK93" s="563"/>
      <c r="HDL93" s="563"/>
      <c r="HDM93" s="563"/>
      <c r="HDN93" s="563"/>
      <c r="HDO93" s="563"/>
      <c r="HDP93" s="563"/>
      <c r="HDQ93" s="563"/>
      <c r="HDR93" s="563"/>
      <c r="HDS93" s="563"/>
      <c r="HDT93" s="563"/>
      <c r="HDU93" s="563"/>
      <c r="HDV93" s="563"/>
      <c r="HDW93" s="563"/>
      <c r="HDX93" s="563"/>
      <c r="HDY93" s="563"/>
      <c r="HDZ93" s="563"/>
      <c r="HEA93" s="563"/>
      <c r="HEB93" s="563"/>
      <c r="HEC93" s="563"/>
      <c r="HED93" s="563"/>
      <c r="HEE93" s="563"/>
      <c r="HEF93" s="563"/>
      <c r="HEG93" s="563"/>
      <c r="HEH93" s="563"/>
      <c r="HEI93" s="563"/>
      <c r="HEJ93" s="563"/>
      <c r="HEK93" s="563"/>
      <c r="HEL93" s="563"/>
      <c r="HEM93" s="563"/>
      <c r="HEN93" s="563"/>
      <c r="HEO93" s="563"/>
      <c r="HEP93" s="563"/>
      <c r="HEQ93" s="563"/>
      <c r="HER93" s="563"/>
      <c r="HES93" s="563"/>
      <c r="HET93" s="563"/>
      <c r="HEU93" s="563"/>
      <c r="HEV93" s="563"/>
      <c r="HEW93" s="563"/>
      <c r="HEX93" s="563"/>
      <c r="HEY93" s="563"/>
      <c r="HEZ93" s="563"/>
      <c r="HFA93" s="563"/>
      <c r="HFB93" s="563"/>
      <c r="HFC93" s="563"/>
      <c r="HFD93" s="563"/>
      <c r="HFE93" s="563"/>
      <c r="HFF93" s="563"/>
      <c r="HFG93" s="563"/>
      <c r="HFH93" s="563"/>
      <c r="HFI93" s="563"/>
      <c r="HFJ93" s="563"/>
      <c r="HFK93" s="563"/>
      <c r="HFL93" s="563"/>
      <c r="HFM93" s="563"/>
      <c r="HFN93" s="563"/>
      <c r="HFO93" s="563"/>
      <c r="HFP93" s="563"/>
      <c r="HFQ93" s="563"/>
      <c r="HFR93" s="563"/>
      <c r="HFS93" s="563"/>
      <c r="HFT93" s="563"/>
      <c r="HFU93" s="563"/>
      <c r="HFV93" s="563"/>
      <c r="HFW93" s="563"/>
      <c r="HFX93" s="563"/>
      <c r="HFY93" s="563"/>
      <c r="HFZ93" s="563"/>
      <c r="HGA93" s="563"/>
      <c r="HGB93" s="563"/>
      <c r="HGC93" s="563"/>
      <c r="HGD93" s="563"/>
      <c r="HGE93" s="563"/>
      <c r="HGF93" s="563"/>
      <c r="HGG93" s="563"/>
      <c r="HGH93" s="563"/>
      <c r="HGI93" s="563"/>
      <c r="HGJ93" s="563"/>
      <c r="HGK93" s="563"/>
      <c r="HGL93" s="563"/>
      <c r="HGM93" s="563"/>
      <c r="HGN93" s="563"/>
      <c r="HGO93" s="563"/>
      <c r="HGP93" s="563"/>
      <c r="HGQ93" s="563"/>
      <c r="HGR93" s="563"/>
      <c r="HGS93" s="563"/>
      <c r="HGT93" s="563"/>
      <c r="HGU93" s="563"/>
      <c r="HGV93" s="563"/>
      <c r="HGW93" s="563"/>
      <c r="HGX93" s="563"/>
      <c r="HGY93" s="563"/>
      <c r="HGZ93" s="563"/>
      <c r="HHA93" s="563"/>
      <c r="HHB93" s="563"/>
      <c r="HHC93" s="563"/>
      <c r="HHD93" s="563"/>
      <c r="HHE93" s="563"/>
      <c r="HHF93" s="563"/>
      <c r="HHG93" s="563"/>
      <c r="HHH93" s="563"/>
      <c r="HHI93" s="563"/>
      <c r="HHJ93" s="563"/>
      <c r="HHK93" s="563"/>
      <c r="HHL93" s="563"/>
      <c r="HHM93" s="563"/>
      <c r="HHN93" s="563"/>
      <c r="HHO93" s="563"/>
      <c r="HHP93" s="563"/>
      <c r="HHQ93" s="563"/>
      <c r="HHR93" s="563"/>
      <c r="HHS93" s="563"/>
      <c r="HHT93" s="563"/>
      <c r="HHU93" s="563"/>
      <c r="HHV93" s="563"/>
      <c r="HHW93" s="563"/>
      <c r="HHX93" s="563"/>
      <c r="HHY93" s="563"/>
      <c r="HHZ93" s="563"/>
      <c r="HIA93" s="563"/>
      <c r="HIB93" s="563"/>
      <c r="HIC93" s="563"/>
      <c r="HID93" s="563"/>
      <c r="HIE93" s="563"/>
      <c r="HIF93" s="563"/>
      <c r="HIG93" s="563"/>
      <c r="HIH93" s="563"/>
      <c r="HII93" s="563"/>
      <c r="HIJ93" s="563"/>
      <c r="HIK93" s="563"/>
      <c r="HIL93" s="563"/>
      <c r="HIM93" s="563"/>
      <c r="HIN93" s="563"/>
      <c r="HIO93" s="563"/>
      <c r="HIP93" s="563"/>
      <c r="HIQ93" s="563"/>
      <c r="HIR93" s="563"/>
      <c r="HIS93" s="563"/>
      <c r="HIT93" s="563"/>
      <c r="HIU93" s="563"/>
      <c r="HIV93" s="563"/>
      <c r="HIW93" s="563"/>
      <c r="HIX93" s="563"/>
      <c r="HIY93" s="563"/>
      <c r="HIZ93" s="563"/>
      <c r="HJA93" s="563"/>
      <c r="HJB93" s="563"/>
      <c r="HJC93" s="563"/>
      <c r="HJD93" s="563"/>
      <c r="HJE93" s="563"/>
      <c r="HJF93" s="563"/>
      <c r="HJG93" s="563"/>
      <c r="HJH93" s="563"/>
      <c r="HJI93" s="563"/>
      <c r="HJJ93" s="563"/>
      <c r="HJK93" s="563"/>
      <c r="HJL93" s="563"/>
      <c r="HJM93" s="563"/>
      <c r="HJN93" s="563"/>
      <c r="HJO93" s="563"/>
      <c r="HJP93" s="563"/>
      <c r="HJQ93" s="563"/>
      <c r="HJR93" s="563"/>
      <c r="HJS93" s="563"/>
      <c r="HJT93" s="563"/>
      <c r="HJU93" s="563"/>
      <c r="HJV93" s="563"/>
      <c r="HJW93" s="563"/>
      <c r="HJX93" s="563"/>
      <c r="HJY93" s="563"/>
      <c r="HJZ93" s="563"/>
      <c r="HKA93" s="563"/>
      <c r="HKB93" s="563"/>
      <c r="HKC93" s="563"/>
      <c r="HKD93" s="563"/>
      <c r="HKE93" s="563"/>
      <c r="HKF93" s="563"/>
      <c r="HKG93" s="563"/>
      <c r="HKH93" s="563"/>
      <c r="HKI93" s="563"/>
      <c r="HKJ93" s="563"/>
      <c r="HKK93" s="563"/>
      <c r="HKL93" s="563"/>
      <c r="HKM93" s="563"/>
      <c r="HKN93" s="563"/>
      <c r="HKO93" s="563"/>
      <c r="HKP93" s="563"/>
      <c r="HKQ93" s="563"/>
      <c r="HKR93" s="563"/>
      <c r="HKS93" s="563"/>
      <c r="HKT93" s="563"/>
      <c r="HKU93" s="563"/>
      <c r="HKV93" s="563"/>
      <c r="HKW93" s="563"/>
      <c r="HKX93" s="563"/>
      <c r="HKY93" s="563"/>
      <c r="HKZ93" s="563"/>
      <c r="HLA93" s="563"/>
      <c r="HLB93" s="563"/>
      <c r="HLC93" s="563"/>
      <c r="HLD93" s="563"/>
      <c r="HLE93" s="563"/>
      <c r="HLF93" s="563"/>
      <c r="HLG93" s="563"/>
      <c r="HLH93" s="563"/>
      <c r="HLI93" s="563"/>
      <c r="HLJ93" s="563"/>
      <c r="HLK93" s="563"/>
      <c r="HLL93" s="563"/>
      <c r="HLM93" s="563"/>
      <c r="HLN93" s="563"/>
      <c r="HLO93" s="563"/>
      <c r="HLP93" s="563"/>
      <c r="HLQ93" s="563"/>
      <c r="HLR93" s="563"/>
      <c r="HLS93" s="563"/>
      <c r="HLT93" s="563"/>
      <c r="HLU93" s="563"/>
      <c r="HLV93" s="563"/>
      <c r="HLW93" s="563"/>
      <c r="HLX93" s="563"/>
      <c r="HLY93" s="563"/>
      <c r="HLZ93" s="563"/>
      <c r="HMA93" s="563"/>
      <c r="HMB93" s="563"/>
      <c r="HMC93" s="563"/>
      <c r="HMD93" s="563"/>
      <c r="HME93" s="563"/>
      <c r="HMF93" s="563"/>
      <c r="HMG93" s="563"/>
      <c r="HMH93" s="563"/>
      <c r="HMI93" s="563"/>
      <c r="HMJ93" s="563"/>
      <c r="HMK93" s="563"/>
      <c r="HML93" s="563"/>
      <c r="HMM93" s="563"/>
      <c r="HMN93" s="563"/>
      <c r="HMO93" s="563"/>
      <c r="HMP93" s="563"/>
      <c r="HMQ93" s="563"/>
      <c r="HMR93" s="563"/>
      <c r="HMS93" s="563"/>
      <c r="HMT93" s="563"/>
      <c r="HMU93" s="563"/>
      <c r="HMV93" s="563"/>
      <c r="HMW93" s="563"/>
      <c r="HMX93" s="563"/>
      <c r="HMY93" s="563"/>
      <c r="HMZ93" s="563"/>
      <c r="HNA93" s="563"/>
      <c r="HNB93" s="563"/>
      <c r="HNC93" s="563"/>
      <c r="HND93" s="563"/>
      <c r="HNE93" s="563"/>
      <c r="HNF93" s="563"/>
      <c r="HNG93" s="563"/>
      <c r="HNH93" s="563"/>
      <c r="HNI93" s="563"/>
      <c r="HNJ93" s="563"/>
      <c r="HNK93" s="563"/>
      <c r="HNL93" s="563"/>
      <c r="HNM93" s="563"/>
      <c r="HNN93" s="563"/>
      <c r="HNO93" s="563"/>
      <c r="HNP93" s="563"/>
      <c r="HNQ93" s="563"/>
      <c r="HNR93" s="563"/>
      <c r="HNS93" s="563"/>
      <c r="HNT93" s="563"/>
      <c r="HNU93" s="563"/>
      <c r="HNV93" s="563"/>
      <c r="HNW93" s="563"/>
      <c r="HNX93" s="563"/>
      <c r="HNY93" s="563"/>
      <c r="HNZ93" s="563"/>
      <c r="HOA93" s="563"/>
      <c r="HOB93" s="563"/>
      <c r="HOC93" s="563"/>
      <c r="HOD93" s="563"/>
      <c r="HOE93" s="563"/>
      <c r="HOF93" s="563"/>
      <c r="HOG93" s="563"/>
      <c r="HOH93" s="563"/>
      <c r="HOI93" s="563"/>
      <c r="HOJ93" s="563"/>
      <c r="HOK93" s="563"/>
      <c r="HOL93" s="563"/>
      <c r="HOM93" s="563"/>
      <c r="HON93" s="563"/>
      <c r="HOO93" s="563"/>
      <c r="HOP93" s="563"/>
      <c r="HOQ93" s="563"/>
      <c r="HOR93" s="563"/>
      <c r="HOS93" s="563"/>
      <c r="HOT93" s="563"/>
      <c r="HOU93" s="563"/>
      <c r="HOV93" s="563"/>
      <c r="HOW93" s="563"/>
      <c r="HOX93" s="563"/>
      <c r="HOY93" s="563"/>
      <c r="HOZ93" s="563"/>
      <c r="HPA93" s="563"/>
      <c r="HPB93" s="563"/>
      <c r="HPC93" s="563"/>
      <c r="HPD93" s="563"/>
      <c r="HPE93" s="563"/>
      <c r="HPF93" s="563"/>
      <c r="HPG93" s="563"/>
      <c r="HPH93" s="563"/>
      <c r="HPI93" s="563"/>
      <c r="HPJ93" s="563"/>
      <c r="HPK93" s="563"/>
      <c r="HPL93" s="563"/>
      <c r="HPM93" s="563"/>
      <c r="HPN93" s="563"/>
      <c r="HPO93" s="563"/>
      <c r="HPP93" s="563"/>
      <c r="HPQ93" s="563"/>
      <c r="HPR93" s="563"/>
      <c r="HPS93" s="563"/>
      <c r="HPT93" s="563"/>
      <c r="HPU93" s="563"/>
      <c r="HPV93" s="563"/>
      <c r="HPW93" s="563"/>
      <c r="HPX93" s="563"/>
      <c r="HPY93" s="563"/>
      <c r="HPZ93" s="563"/>
      <c r="HQA93" s="563"/>
      <c r="HQB93" s="563"/>
      <c r="HQC93" s="563"/>
      <c r="HQD93" s="563"/>
      <c r="HQE93" s="563"/>
      <c r="HQF93" s="563"/>
      <c r="HQG93" s="563"/>
      <c r="HQH93" s="563"/>
      <c r="HQI93" s="563"/>
      <c r="HQJ93" s="563"/>
      <c r="HQK93" s="563"/>
      <c r="HQL93" s="563"/>
      <c r="HQM93" s="563"/>
      <c r="HQN93" s="563"/>
      <c r="HQO93" s="563"/>
      <c r="HQP93" s="563"/>
      <c r="HQQ93" s="563"/>
      <c r="HQR93" s="563"/>
      <c r="HQS93" s="563"/>
      <c r="HQT93" s="563"/>
      <c r="HQU93" s="563"/>
      <c r="HQV93" s="563"/>
      <c r="HQW93" s="563"/>
      <c r="HQX93" s="563"/>
      <c r="HQY93" s="563"/>
      <c r="HQZ93" s="563"/>
      <c r="HRA93" s="563"/>
      <c r="HRB93" s="563"/>
      <c r="HRC93" s="563"/>
      <c r="HRD93" s="563"/>
      <c r="HRE93" s="563"/>
      <c r="HRF93" s="563"/>
      <c r="HRG93" s="563"/>
      <c r="HRH93" s="563"/>
      <c r="HRI93" s="563"/>
      <c r="HRJ93" s="563"/>
      <c r="HRK93" s="563"/>
      <c r="HRL93" s="563"/>
      <c r="HRM93" s="563"/>
      <c r="HRN93" s="563"/>
      <c r="HRO93" s="563"/>
      <c r="HRP93" s="563"/>
      <c r="HRQ93" s="563"/>
      <c r="HRR93" s="563"/>
      <c r="HRS93" s="563"/>
      <c r="HRT93" s="563"/>
      <c r="HRU93" s="563"/>
      <c r="HRV93" s="563"/>
      <c r="HRW93" s="563"/>
      <c r="HRX93" s="563"/>
      <c r="HRY93" s="563"/>
      <c r="HRZ93" s="563"/>
      <c r="HSA93" s="563"/>
      <c r="HSB93" s="563"/>
      <c r="HSC93" s="563"/>
      <c r="HSD93" s="563"/>
      <c r="HSE93" s="563"/>
      <c r="HSF93" s="563"/>
      <c r="HSG93" s="563"/>
      <c r="HSH93" s="563"/>
      <c r="HSI93" s="563"/>
      <c r="HSJ93" s="563"/>
      <c r="HSK93" s="563"/>
      <c r="HSL93" s="563"/>
      <c r="HSM93" s="563"/>
      <c r="HSN93" s="563"/>
      <c r="HSO93" s="563"/>
      <c r="HSP93" s="563"/>
      <c r="HSQ93" s="563"/>
      <c r="HSR93" s="563"/>
      <c r="HSS93" s="563"/>
      <c r="HST93" s="563"/>
      <c r="HSU93" s="563"/>
      <c r="HSV93" s="563"/>
      <c r="HSW93" s="563"/>
      <c r="HSX93" s="563"/>
      <c r="HSY93" s="563"/>
      <c r="HSZ93" s="563"/>
      <c r="HTA93" s="563"/>
      <c r="HTB93" s="563"/>
      <c r="HTC93" s="563"/>
      <c r="HTD93" s="563"/>
      <c r="HTE93" s="563"/>
      <c r="HTF93" s="563"/>
      <c r="HTG93" s="563"/>
      <c r="HTH93" s="563"/>
      <c r="HTI93" s="563"/>
      <c r="HTJ93" s="563"/>
      <c r="HTK93" s="563"/>
      <c r="HTL93" s="563"/>
      <c r="HTM93" s="563"/>
      <c r="HTN93" s="563"/>
      <c r="HTO93" s="563"/>
      <c r="HTP93" s="563"/>
      <c r="HTQ93" s="563"/>
      <c r="HTR93" s="563"/>
      <c r="HTS93" s="563"/>
      <c r="HTT93" s="563"/>
      <c r="HTU93" s="563"/>
      <c r="HTV93" s="563"/>
      <c r="HTW93" s="563"/>
      <c r="HTX93" s="563"/>
      <c r="HTY93" s="563"/>
      <c r="HTZ93" s="563"/>
      <c r="HUA93" s="563"/>
      <c r="HUB93" s="563"/>
      <c r="HUC93" s="563"/>
      <c r="HUD93" s="563"/>
      <c r="HUE93" s="563"/>
      <c r="HUF93" s="563"/>
      <c r="HUG93" s="563"/>
      <c r="HUH93" s="563"/>
      <c r="HUI93" s="563"/>
      <c r="HUJ93" s="563"/>
      <c r="HUK93" s="563"/>
      <c r="HUL93" s="563"/>
      <c r="HUM93" s="563"/>
      <c r="HUN93" s="563"/>
      <c r="HUO93" s="563"/>
      <c r="HUP93" s="563"/>
      <c r="HUQ93" s="563"/>
      <c r="HUR93" s="563"/>
      <c r="HUS93" s="563"/>
      <c r="HUT93" s="563"/>
      <c r="HUU93" s="563"/>
      <c r="HUV93" s="563"/>
      <c r="HUW93" s="563"/>
      <c r="HUX93" s="563"/>
      <c r="HUY93" s="563"/>
      <c r="HUZ93" s="563"/>
      <c r="HVA93" s="563"/>
      <c r="HVB93" s="563"/>
      <c r="HVC93" s="563"/>
      <c r="HVD93" s="563"/>
      <c r="HVE93" s="563"/>
      <c r="HVF93" s="563"/>
      <c r="HVG93" s="563"/>
      <c r="HVH93" s="563"/>
      <c r="HVI93" s="563"/>
      <c r="HVJ93" s="563"/>
      <c r="HVK93" s="563"/>
      <c r="HVL93" s="563"/>
      <c r="HVM93" s="563"/>
      <c r="HVN93" s="563"/>
      <c r="HVO93" s="563"/>
      <c r="HVP93" s="563"/>
      <c r="HVQ93" s="563"/>
      <c r="HVR93" s="563"/>
      <c r="HVS93" s="563"/>
      <c r="HVT93" s="563"/>
      <c r="HVU93" s="563"/>
      <c r="HVV93" s="563"/>
      <c r="HVW93" s="563"/>
      <c r="HVX93" s="563"/>
      <c r="HVY93" s="563"/>
      <c r="HVZ93" s="563"/>
      <c r="HWA93" s="563"/>
      <c r="HWB93" s="563"/>
      <c r="HWC93" s="563"/>
      <c r="HWD93" s="563"/>
      <c r="HWE93" s="563"/>
      <c r="HWF93" s="563"/>
      <c r="HWG93" s="563"/>
      <c r="HWH93" s="563"/>
      <c r="HWI93" s="563"/>
      <c r="HWJ93" s="563"/>
      <c r="HWK93" s="563"/>
      <c r="HWL93" s="563"/>
      <c r="HWM93" s="563"/>
      <c r="HWN93" s="563"/>
      <c r="HWO93" s="563"/>
      <c r="HWP93" s="563"/>
      <c r="HWQ93" s="563"/>
      <c r="HWR93" s="563"/>
      <c r="HWS93" s="563"/>
      <c r="HWT93" s="563"/>
      <c r="HWU93" s="563"/>
      <c r="HWV93" s="563"/>
      <c r="HWW93" s="563"/>
      <c r="HWX93" s="563"/>
      <c r="HWY93" s="563"/>
      <c r="HWZ93" s="563"/>
      <c r="HXA93" s="563"/>
      <c r="HXB93" s="563"/>
      <c r="HXC93" s="563"/>
      <c r="HXD93" s="563"/>
      <c r="HXE93" s="563"/>
      <c r="HXF93" s="563"/>
      <c r="HXG93" s="563"/>
      <c r="HXH93" s="563"/>
      <c r="HXI93" s="563"/>
      <c r="HXJ93" s="563"/>
      <c r="HXK93" s="563"/>
      <c r="HXL93" s="563"/>
      <c r="HXM93" s="563"/>
      <c r="HXN93" s="563"/>
      <c r="HXO93" s="563"/>
      <c r="HXP93" s="563"/>
      <c r="HXQ93" s="563"/>
      <c r="HXR93" s="563"/>
      <c r="HXS93" s="563"/>
      <c r="HXT93" s="563"/>
      <c r="HXU93" s="563"/>
      <c r="HXV93" s="563"/>
      <c r="HXW93" s="563"/>
      <c r="HXX93" s="563"/>
      <c r="HXY93" s="563"/>
      <c r="HXZ93" s="563"/>
      <c r="HYA93" s="563"/>
      <c r="HYB93" s="563"/>
      <c r="HYC93" s="563"/>
      <c r="HYD93" s="563"/>
      <c r="HYE93" s="563"/>
      <c r="HYF93" s="563"/>
      <c r="HYG93" s="563"/>
      <c r="HYH93" s="563"/>
      <c r="HYI93" s="563"/>
      <c r="HYJ93" s="563"/>
      <c r="HYK93" s="563"/>
      <c r="HYL93" s="563"/>
      <c r="HYM93" s="563"/>
      <c r="HYN93" s="563"/>
      <c r="HYO93" s="563"/>
      <c r="HYP93" s="563"/>
      <c r="HYQ93" s="563"/>
      <c r="HYR93" s="563"/>
      <c r="HYS93" s="563"/>
      <c r="HYT93" s="563"/>
      <c r="HYU93" s="563"/>
      <c r="HYV93" s="563"/>
      <c r="HYW93" s="563"/>
      <c r="HYX93" s="563"/>
      <c r="HYY93" s="563"/>
      <c r="HYZ93" s="563"/>
      <c r="HZA93" s="563"/>
      <c r="HZB93" s="563"/>
      <c r="HZC93" s="563"/>
      <c r="HZD93" s="563"/>
      <c r="HZE93" s="563"/>
      <c r="HZF93" s="563"/>
      <c r="HZG93" s="563"/>
      <c r="HZH93" s="563"/>
      <c r="HZI93" s="563"/>
      <c r="HZJ93" s="563"/>
      <c r="HZK93" s="563"/>
      <c r="HZL93" s="563"/>
      <c r="HZM93" s="563"/>
      <c r="HZN93" s="563"/>
      <c r="HZO93" s="563"/>
      <c r="HZP93" s="563"/>
      <c r="HZQ93" s="563"/>
      <c r="HZR93" s="563"/>
      <c r="HZS93" s="563"/>
      <c r="HZT93" s="563"/>
      <c r="HZU93" s="563"/>
      <c r="HZV93" s="563"/>
      <c r="HZW93" s="563"/>
      <c r="HZX93" s="563"/>
      <c r="HZY93" s="563"/>
      <c r="HZZ93" s="563"/>
      <c r="IAA93" s="563"/>
      <c r="IAB93" s="563"/>
      <c r="IAC93" s="563"/>
      <c r="IAD93" s="563"/>
      <c r="IAE93" s="563"/>
      <c r="IAF93" s="563"/>
      <c r="IAG93" s="563"/>
      <c r="IAH93" s="563"/>
      <c r="IAI93" s="563"/>
      <c r="IAJ93" s="563"/>
      <c r="IAK93" s="563"/>
      <c r="IAL93" s="563"/>
      <c r="IAM93" s="563"/>
      <c r="IAN93" s="563"/>
      <c r="IAO93" s="563"/>
      <c r="IAP93" s="563"/>
      <c r="IAQ93" s="563"/>
      <c r="IAR93" s="563"/>
      <c r="IAS93" s="563"/>
      <c r="IAT93" s="563"/>
      <c r="IAU93" s="563"/>
      <c r="IAV93" s="563"/>
      <c r="IAW93" s="563"/>
      <c r="IAX93" s="563"/>
      <c r="IAY93" s="563"/>
      <c r="IAZ93" s="563"/>
      <c r="IBA93" s="563"/>
      <c r="IBB93" s="563"/>
      <c r="IBC93" s="563"/>
      <c r="IBD93" s="563"/>
      <c r="IBE93" s="563"/>
      <c r="IBF93" s="563"/>
      <c r="IBG93" s="563"/>
      <c r="IBH93" s="563"/>
      <c r="IBI93" s="563"/>
      <c r="IBJ93" s="563"/>
      <c r="IBK93" s="563"/>
      <c r="IBL93" s="563"/>
      <c r="IBM93" s="563"/>
      <c r="IBN93" s="563"/>
      <c r="IBO93" s="563"/>
      <c r="IBP93" s="563"/>
      <c r="IBQ93" s="563"/>
      <c r="IBR93" s="563"/>
      <c r="IBS93" s="563"/>
      <c r="IBT93" s="563"/>
      <c r="IBU93" s="563"/>
      <c r="IBV93" s="563"/>
      <c r="IBW93" s="563"/>
      <c r="IBX93" s="563"/>
      <c r="IBY93" s="563"/>
      <c r="IBZ93" s="563"/>
      <c r="ICA93" s="563"/>
      <c r="ICB93" s="563"/>
      <c r="ICC93" s="563"/>
      <c r="ICD93" s="563"/>
      <c r="ICE93" s="563"/>
      <c r="ICF93" s="563"/>
      <c r="ICG93" s="563"/>
      <c r="ICH93" s="563"/>
      <c r="ICI93" s="563"/>
      <c r="ICJ93" s="563"/>
      <c r="ICK93" s="563"/>
      <c r="ICL93" s="563"/>
      <c r="ICM93" s="563"/>
      <c r="ICN93" s="563"/>
      <c r="ICO93" s="563"/>
      <c r="ICP93" s="563"/>
      <c r="ICQ93" s="563"/>
      <c r="ICR93" s="563"/>
      <c r="ICS93" s="563"/>
      <c r="ICT93" s="563"/>
      <c r="ICU93" s="563"/>
      <c r="ICV93" s="563"/>
      <c r="ICW93" s="563"/>
      <c r="ICX93" s="563"/>
      <c r="ICY93" s="563"/>
      <c r="ICZ93" s="563"/>
      <c r="IDA93" s="563"/>
      <c r="IDB93" s="563"/>
      <c r="IDC93" s="563"/>
      <c r="IDD93" s="563"/>
      <c r="IDE93" s="563"/>
      <c r="IDF93" s="563"/>
      <c r="IDG93" s="563"/>
      <c r="IDH93" s="563"/>
      <c r="IDI93" s="563"/>
      <c r="IDJ93" s="563"/>
      <c r="IDK93" s="563"/>
      <c r="IDL93" s="563"/>
      <c r="IDM93" s="563"/>
      <c r="IDN93" s="563"/>
      <c r="IDO93" s="563"/>
      <c r="IDP93" s="563"/>
      <c r="IDQ93" s="563"/>
      <c r="IDR93" s="563"/>
      <c r="IDS93" s="563"/>
      <c r="IDT93" s="563"/>
      <c r="IDU93" s="563"/>
      <c r="IDV93" s="563"/>
      <c r="IDW93" s="563"/>
      <c r="IDX93" s="563"/>
      <c r="IDY93" s="563"/>
      <c r="IDZ93" s="563"/>
      <c r="IEA93" s="563"/>
      <c r="IEB93" s="563"/>
      <c r="IEC93" s="563"/>
      <c r="IED93" s="563"/>
      <c r="IEE93" s="563"/>
      <c r="IEF93" s="563"/>
      <c r="IEG93" s="563"/>
      <c r="IEH93" s="563"/>
      <c r="IEI93" s="563"/>
      <c r="IEJ93" s="563"/>
      <c r="IEK93" s="563"/>
      <c r="IEL93" s="563"/>
      <c r="IEM93" s="563"/>
      <c r="IEN93" s="563"/>
      <c r="IEO93" s="563"/>
      <c r="IEP93" s="563"/>
      <c r="IEQ93" s="563"/>
      <c r="IER93" s="563"/>
      <c r="IES93" s="563"/>
      <c r="IET93" s="563"/>
      <c r="IEU93" s="563"/>
      <c r="IEV93" s="563"/>
      <c r="IEW93" s="563"/>
      <c r="IEX93" s="563"/>
      <c r="IEY93" s="563"/>
      <c r="IEZ93" s="563"/>
      <c r="IFA93" s="563"/>
      <c r="IFB93" s="563"/>
      <c r="IFC93" s="563"/>
      <c r="IFD93" s="563"/>
      <c r="IFE93" s="563"/>
      <c r="IFF93" s="563"/>
      <c r="IFG93" s="563"/>
      <c r="IFH93" s="563"/>
      <c r="IFI93" s="563"/>
      <c r="IFJ93" s="563"/>
      <c r="IFK93" s="563"/>
      <c r="IFL93" s="563"/>
      <c r="IFM93" s="563"/>
      <c r="IFN93" s="563"/>
      <c r="IFO93" s="563"/>
      <c r="IFP93" s="563"/>
      <c r="IFQ93" s="563"/>
      <c r="IFR93" s="563"/>
      <c r="IFS93" s="563"/>
      <c r="IFT93" s="563"/>
      <c r="IFU93" s="563"/>
      <c r="IFV93" s="563"/>
      <c r="IFW93" s="563"/>
      <c r="IFX93" s="563"/>
      <c r="IFY93" s="563"/>
      <c r="IFZ93" s="563"/>
      <c r="IGA93" s="563"/>
      <c r="IGB93" s="563"/>
      <c r="IGC93" s="563"/>
      <c r="IGD93" s="563"/>
      <c r="IGE93" s="563"/>
      <c r="IGF93" s="563"/>
      <c r="IGG93" s="563"/>
      <c r="IGH93" s="563"/>
      <c r="IGI93" s="563"/>
      <c r="IGJ93" s="563"/>
      <c r="IGK93" s="563"/>
      <c r="IGL93" s="563"/>
      <c r="IGM93" s="563"/>
      <c r="IGN93" s="563"/>
      <c r="IGO93" s="563"/>
      <c r="IGP93" s="563"/>
      <c r="IGQ93" s="563"/>
      <c r="IGR93" s="563"/>
      <c r="IGS93" s="563"/>
      <c r="IGT93" s="563"/>
      <c r="IGU93" s="563"/>
      <c r="IGV93" s="563"/>
      <c r="IGW93" s="563"/>
      <c r="IGX93" s="563"/>
      <c r="IGY93" s="563"/>
      <c r="IGZ93" s="563"/>
      <c r="IHA93" s="563"/>
      <c r="IHB93" s="563"/>
      <c r="IHC93" s="563"/>
      <c r="IHD93" s="563"/>
      <c r="IHE93" s="563"/>
      <c r="IHF93" s="563"/>
      <c r="IHG93" s="563"/>
      <c r="IHH93" s="563"/>
      <c r="IHI93" s="563"/>
      <c r="IHJ93" s="563"/>
      <c r="IHK93" s="563"/>
      <c r="IHL93" s="563"/>
      <c r="IHM93" s="563"/>
      <c r="IHN93" s="563"/>
      <c r="IHO93" s="563"/>
      <c r="IHP93" s="563"/>
      <c r="IHQ93" s="563"/>
      <c r="IHR93" s="563"/>
      <c r="IHS93" s="563"/>
      <c r="IHT93" s="563"/>
      <c r="IHU93" s="563"/>
      <c r="IHV93" s="563"/>
      <c r="IHW93" s="563"/>
      <c r="IHX93" s="563"/>
      <c r="IHY93" s="563"/>
      <c r="IHZ93" s="563"/>
      <c r="IIA93" s="563"/>
      <c r="IIB93" s="563"/>
      <c r="IIC93" s="563"/>
      <c r="IID93" s="563"/>
      <c r="IIE93" s="563"/>
      <c r="IIF93" s="563"/>
      <c r="IIG93" s="563"/>
      <c r="IIH93" s="563"/>
      <c r="III93" s="563"/>
      <c r="IIJ93" s="563"/>
      <c r="IIK93" s="563"/>
      <c r="IIL93" s="563"/>
      <c r="IIM93" s="563"/>
      <c r="IIN93" s="563"/>
      <c r="IIO93" s="563"/>
      <c r="IIP93" s="563"/>
      <c r="IIQ93" s="563"/>
      <c r="IIR93" s="563"/>
      <c r="IIS93" s="563"/>
      <c r="IIT93" s="563"/>
      <c r="IIU93" s="563"/>
      <c r="IIV93" s="563"/>
      <c r="IIW93" s="563"/>
      <c r="IIX93" s="563"/>
      <c r="IIY93" s="563"/>
      <c r="IIZ93" s="563"/>
      <c r="IJA93" s="563"/>
      <c r="IJB93" s="563"/>
      <c r="IJC93" s="563"/>
      <c r="IJD93" s="563"/>
      <c r="IJE93" s="563"/>
      <c r="IJF93" s="563"/>
      <c r="IJG93" s="563"/>
      <c r="IJH93" s="563"/>
      <c r="IJI93" s="563"/>
      <c r="IJJ93" s="563"/>
      <c r="IJK93" s="563"/>
      <c r="IJL93" s="563"/>
      <c r="IJM93" s="563"/>
      <c r="IJN93" s="563"/>
      <c r="IJO93" s="563"/>
      <c r="IJP93" s="563"/>
      <c r="IJQ93" s="563"/>
      <c r="IJR93" s="563"/>
      <c r="IJS93" s="563"/>
      <c r="IJT93" s="563"/>
      <c r="IJU93" s="563"/>
      <c r="IJV93" s="563"/>
      <c r="IJW93" s="563"/>
      <c r="IJX93" s="563"/>
      <c r="IJY93" s="563"/>
      <c r="IJZ93" s="563"/>
      <c r="IKA93" s="563"/>
      <c r="IKB93" s="563"/>
      <c r="IKC93" s="563"/>
      <c r="IKD93" s="563"/>
      <c r="IKE93" s="563"/>
      <c r="IKF93" s="563"/>
      <c r="IKG93" s="563"/>
      <c r="IKH93" s="563"/>
      <c r="IKI93" s="563"/>
      <c r="IKJ93" s="563"/>
      <c r="IKK93" s="563"/>
      <c r="IKL93" s="563"/>
      <c r="IKM93" s="563"/>
      <c r="IKN93" s="563"/>
      <c r="IKO93" s="563"/>
      <c r="IKP93" s="563"/>
      <c r="IKQ93" s="563"/>
      <c r="IKR93" s="563"/>
      <c r="IKS93" s="563"/>
      <c r="IKT93" s="563"/>
      <c r="IKU93" s="563"/>
      <c r="IKV93" s="563"/>
      <c r="IKW93" s="563"/>
      <c r="IKX93" s="563"/>
      <c r="IKY93" s="563"/>
      <c r="IKZ93" s="563"/>
      <c r="ILA93" s="563"/>
      <c r="ILB93" s="563"/>
      <c r="ILC93" s="563"/>
      <c r="ILD93" s="563"/>
      <c r="ILE93" s="563"/>
      <c r="ILF93" s="563"/>
      <c r="ILG93" s="563"/>
      <c r="ILH93" s="563"/>
      <c r="ILI93" s="563"/>
      <c r="ILJ93" s="563"/>
      <c r="ILK93" s="563"/>
      <c r="ILL93" s="563"/>
      <c r="ILM93" s="563"/>
      <c r="ILN93" s="563"/>
      <c r="ILO93" s="563"/>
      <c r="ILP93" s="563"/>
      <c r="ILQ93" s="563"/>
      <c r="ILR93" s="563"/>
      <c r="ILS93" s="563"/>
      <c r="ILT93" s="563"/>
      <c r="ILU93" s="563"/>
      <c r="ILV93" s="563"/>
      <c r="ILW93" s="563"/>
      <c r="ILX93" s="563"/>
      <c r="ILY93" s="563"/>
      <c r="ILZ93" s="563"/>
      <c r="IMA93" s="563"/>
      <c r="IMB93" s="563"/>
      <c r="IMC93" s="563"/>
      <c r="IMD93" s="563"/>
      <c r="IME93" s="563"/>
      <c r="IMF93" s="563"/>
      <c r="IMG93" s="563"/>
      <c r="IMH93" s="563"/>
      <c r="IMI93" s="563"/>
      <c r="IMJ93" s="563"/>
      <c r="IMK93" s="563"/>
      <c r="IML93" s="563"/>
      <c r="IMM93" s="563"/>
      <c r="IMN93" s="563"/>
      <c r="IMO93" s="563"/>
      <c r="IMP93" s="563"/>
      <c r="IMQ93" s="563"/>
      <c r="IMR93" s="563"/>
      <c r="IMS93" s="563"/>
      <c r="IMT93" s="563"/>
      <c r="IMU93" s="563"/>
      <c r="IMV93" s="563"/>
      <c r="IMW93" s="563"/>
      <c r="IMX93" s="563"/>
      <c r="IMY93" s="563"/>
      <c r="IMZ93" s="563"/>
      <c r="INA93" s="563"/>
      <c r="INB93" s="563"/>
      <c r="INC93" s="563"/>
      <c r="IND93" s="563"/>
      <c r="INE93" s="563"/>
      <c r="INF93" s="563"/>
      <c r="ING93" s="563"/>
      <c r="INH93" s="563"/>
      <c r="INI93" s="563"/>
      <c r="INJ93" s="563"/>
      <c r="INK93" s="563"/>
      <c r="INL93" s="563"/>
      <c r="INM93" s="563"/>
      <c r="INN93" s="563"/>
      <c r="INO93" s="563"/>
      <c r="INP93" s="563"/>
      <c r="INQ93" s="563"/>
      <c r="INR93" s="563"/>
      <c r="INS93" s="563"/>
      <c r="INT93" s="563"/>
      <c r="INU93" s="563"/>
      <c r="INV93" s="563"/>
      <c r="INW93" s="563"/>
      <c r="INX93" s="563"/>
      <c r="INY93" s="563"/>
      <c r="INZ93" s="563"/>
      <c r="IOA93" s="563"/>
      <c r="IOB93" s="563"/>
      <c r="IOC93" s="563"/>
      <c r="IOD93" s="563"/>
      <c r="IOE93" s="563"/>
      <c r="IOF93" s="563"/>
      <c r="IOG93" s="563"/>
      <c r="IOH93" s="563"/>
      <c r="IOI93" s="563"/>
      <c r="IOJ93" s="563"/>
      <c r="IOK93" s="563"/>
      <c r="IOL93" s="563"/>
      <c r="IOM93" s="563"/>
      <c r="ION93" s="563"/>
      <c r="IOO93" s="563"/>
      <c r="IOP93" s="563"/>
      <c r="IOQ93" s="563"/>
      <c r="IOR93" s="563"/>
      <c r="IOS93" s="563"/>
      <c r="IOT93" s="563"/>
      <c r="IOU93" s="563"/>
      <c r="IOV93" s="563"/>
      <c r="IOW93" s="563"/>
      <c r="IOX93" s="563"/>
      <c r="IOY93" s="563"/>
      <c r="IOZ93" s="563"/>
      <c r="IPA93" s="563"/>
      <c r="IPB93" s="563"/>
      <c r="IPC93" s="563"/>
      <c r="IPD93" s="563"/>
      <c r="IPE93" s="563"/>
      <c r="IPF93" s="563"/>
      <c r="IPG93" s="563"/>
      <c r="IPH93" s="563"/>
      <c r="IPI93" s="563"/>
      <c r="IPJ93" s="563"/>
      <c r="IPK93" s="563"/>
      <c r="IPL93" s="563"/>
      <c r="IPM93" s="563"/>
      <c r="IPN93" s="563"/>
      <c r="IPO93" s="563"/>
      <c r="IPP93" s="563"/>
      <c r="IPQ93" s="563"/>
      <c r="IPR93" s="563"/>
      <c r="IPS93" s="563"/>
      <c r="IPT93" s="563"/>
      <c r="IPU93" s="563"/>
      <c r="IPV93" s="563"/>
      <c r="IPW93" s="563"/>
      <c r="IPX93" s="563"/>
      <c r="IPY93" s="563"/>
      <c r="IPZ93" s="563"/>
      <c r="IQA93" s="563"/>
      <c r="IQB93" s="563"/>
      <c r="IQC93" s="563"/>
      <c r="IQD93" s="563"/>
      <c r="IQE93" s="563"/>
      <c r="IQF93" s="563"/>
      <c r="IQG93" s="563"/>
      <c r="IQH93" s="563"/>
      <c r="IQI93" s="563"/>
      <c r="IQJ93" s="563"/>
      <c r="IQK93" s="563"/>
      <c r="IQL93" s="563"/>
      <c r="IQM93" s="563"/>
      <c r="IQN93" s="563"/>
      <c r="IQO93" s="563"/>
      <c r="IQP93" s="563"/>
      <c r="IQQ93" s="563"/>
      <c r="IQR93" s="563"/>
      <c r="IQS93" s="563"/>
      <c r="IQT93" s="563"/>
      <c r="IQU93" s="563"/>
      <c r="IQV93" s="563"/>
      <c r="IQW93" s="563"/>
      <c r="IQX93" s="563"/>
      <c r="IQY93" s="563"/>
      <c r="IQZ93" s="563"/>
      <c r="IRA93" s="563"/>
      <c r="IRB93" s="563"/>
      <c r="IRC93" s="563"/>
      <c r="IRD93" s="563"/>
      <c r="IRE93" s="563"/>
      <c r="IRF93" s="563"/>
      <c r="IRG93" s="563"/>
      <c r="IRH93" s="563"/>
      <c r="IRI93" s="563"/>
      <c r="IRJ93" s="563"/>
      <c r="IRK93" s="563"/>
      <c r="IRL93" s="563"/>
      <c r="IRM93" s="563"/>
      <c r="IRN93" s="563"/>
      <c r="IRO93" s="563"/>
      <c r="IRP93" s="563"/>
      <c r="IRQ93" s="563"/>
      <c r="IRR93" s="563"/>
      <c r="IRS93" s="563"/>
      <c r="IRT93" s="563"/>
      <c r="IRU93" s="563"/>
      <c r="IRV93" s="563"/>
      <c r="IRW93" s="563"/>
      <c r="IRX93" s="563"/>
      <c r="IRY93" s="563"/>
      <c r="IRZ93" s="563"/>
      <c r="ISA93" s="563"/>
      <c r="ISB93" s="563"/>
      <c r="ISC93" s="563"/>
      <c r="ISD93" s="563"/>
      <c r="ISE93" s="563"/>
      <c r="ISF93" s="563"/>
      <c r="ISG93" s="563"/>
      <c r="ISH93" s="563"/>
      <c r="ISI93" s="563"/>
      <c r="ISJ93" s="563"/>
      <c r="ISK93" s="563"/>
      <c r="ISL93" s="563"/>
      <c r="ISM93" s="563"/>
      <c r="ISN93" s="563"/>
      <c r="ISO93" s="563"/>
      <c r="ISP93" s="563"/>
      <c r="ISQ93" s="563"/>
      <c r="ISR93" s="563"/>
      <c r="ISS93" s="563"/>
      <c r="IST93" s="563"/>
      <c r="ISU93" s="563"/>
      <c r="ISV93" s="563"/>
      <c r="ISW93" s="563"/>
      <c r="ISX93" s="563"/>
      <c r="ISY93" s="563"/>
      <c r="ISZ93" s="563"/>
      <c r="ITA93" s="563"/>
      <c r="ITB93" s="563"/>
      <c r="ITC93" s="563"/>
      <c r="ITD93" s="563"/>
      <c r="ITE93" s="563"/>
      <c r="ITF93" s="563"/>
      <c r="ITG93" s="563"/>
      <c r="ITH93" s="563"/>
      <c r="ITI93" s="563"/>
      <c r="ITJ93" s="563"/>
      <c r="ITK93" s="563"/>
      <c r="ITL93" s="563"/>
      <c r="ITM93" s="563"/>
      <c r="ITN93" s="563"/>
      <c r="ITO93" s="563"/>
      <c r="ITP93" s="563"/>
      <c r="ITQ93" s="563"/>
      <c r="ITR93" s="563"/>
      <c r="ITS93" s="563"/>
      <c r="ITT93" s="563"/>
      <c r="ITU93" s="563"/>
      <c r="ITV93" s="563"/>
      <c r="ITW93" s="563"/>
      <c r="ITX93" s="563"/>
      <c r="ITY93" s="563"/>
      <c r="ITZ93" s="563"/>
      <c r="IUA93" s="563"/>
      <c r="IUB93" s="563"/>
      <c r="IUC93" s="563"/>
      <c r="IUD93" s="563"/>
      <c r="IUE93" s="563"/>
      <c r="IUF93" s="563"/>
      <c r="IUG93" s="563"/>
      <c r="IUH93" s="563"/>
      <c r="IUI93" s="563"/>
      <c r="IUJ93" s="563"/>
      <c r="IUK93" s="563"/>
      <c r="IUL93" s="563"/>
      <c r="IUM93" s="563"/>
      <c r="IUN93" s="563"/>
      <c r="IUO93" s="563"/>
      <c r="IUP93" s="563"/>
      <c r="IUQ93" s="563"/>
      <c r="IUR93" s="563"/>
      <c r="IUS93" s="563"/>
      <c r="IUT93" s="563"/>
      <c r="IUU93" s="563"/>
      <c r="IUV93" s="563"/>
      <c r="IUW93" s="563"/>
      <c r="IUX93" s="563"/>
      <c r="IUY93" s="563"/>
      <c r="IUZ93" s="563"/>
      <c r="IVA93" s="563"/>
      <c r="IVB93" s="563"/>
      <c r="IVC93" s="563"/>
      <c r="IVD93" s="563"/>
      <c r="IVE93" s="563"/>
      <c r="IVF93" s="563"/>
      <c r="IVG93" s="563"/>
      <c r="IVH93" s="563"/>
      <c r="IVI93" s="563"/>
      <c r="IVJ93" s="563"/>
      <c r="IVK93" s="563"/>
      <c r="IVL93" s="563"/>
      <c r="IVM93" s="563"/>
      <c r="IVN93" s="563"/>
      <c r="IVO93" s="563"/>
      <c r="IVP93" s="563"/>
      <c r="IVQ93" s="563"/>
      <c r="IVR93" s="563"/>
      <c r="IVS93" s="563"/>
      <c r="IVT93" s="563"/>
      <c r="IVU93" s="563"/>
      <c r="IVV93" s="563"/>
      <c r="IVW93" s="563"/>
      <c r="IVX93" s="563"/>
      <c r="IVY93" s="563"/>
      <c r="IVZ93" s="563"/>
      <c r="IWA93" s="563"/>
      <c r="IWB93" s="563"/>
      <c r="IWC93" s="563"/>
      <c r="IWD93" s="563"/>
      <c r="IWE93" s="563"/>
      <c r="IWF93" s="563"/>
      <c r="IWG93" s="563"/>
      <c r="IWH93" s="563"/>
      <c r="IWI93" s="563"/>
      <c r="IWJ93" s="563"/>
      <c r="IWK93" s="563"/>
      <c r="IWL93" s="563"/>
      <c r="IWM93" s="563"/>
      <c r="IWN93" s="563"/>
      <c r="IWO93" s="563"/>
      <c r="IWP93" s="563"/>
      <c r="IWQ93" s="563"/>
      <c r="IWR93" s="563"/>
      <c r="IWS93" s="563"/>
      <c r="IWT93" s="563"/>
      <c r="IWU93" s="563"/>
      <c r="IWV93" s="563"/>
      <c r="IWW93" s="563"/>
      <c r="IWX93" s="563"/>
      <c r="IWY93" s="563"/>
      <c r="IWZ93" s="563"/>
      <c r="IXA93" s="563"/>
      <c r="IXB93" s="563"/>
      <c r="IXC93" s="563"/>
      <c r="IXD93" s="563"/>
      <c r="IXE93" s="563"/>
      <c r="IXF93" s="563"/>
      <c r="IXG93" s="563"/>
      <c r="IXH93" s="563"/>
      <c r="IXI93" s="563"/>
      <c r="IXJ93" s="563"/>
      <c r="IXK93" s="563"/>
      <c r="IXL93" s="563"/>
      <c r="IXM93" s="563"/>
      <c r="IXN93" s="563"/>
      <c r="IXO93" s="563"/>
      <c r="IXP93" s="563"/>
      <c r="IXQ93" s="563"/>
      <c r="IXR93" s="563"/>
      <c r="IXS93" s="563"/>
      <c r="IXT93" s="563"/>
      <c r="IXU93" s="563"/>
      <c r="IXV93" s="563"/>
      <c r="IXW93" s="563"/>
      <c r="IXX93" s="563"/>
      <c r="IXY93" s="563"/>
      <c r="IXZ93" s="563"/>
      <c r="IYA93" s="563"/>
      <c r="IYB93" s="563"/>
      <c r="IYC93" s="563"/>
      <c r="IYD93" s="563"/>
      <c r="IYE93" s="563"/>
      <c r="IYF93" s="563"/>
      <c r="IYG93" s="563"/>
      <c r="IYH93" s="563"/>
      <c r="IYI93" s="563"/>
      <c r="IYJ93" s="563"/>
      <c r="IYK93" s="563"/>
      <c r="IYL93" s="563"/>
      <c r="IYM93" s="563"/>
      <c r="IYN93" s="563"/>
      <c r="IYO93" s="563"/>
      <c r="IYP93" s="563"/>
      <c r="IYQ93" s="563"/>
      <c r="IYR93" s="563"/>
      <c r="IYS93" s="563"/>
      <c r="IYT93" s="563"/>
      <c r="IYU93" s="563"/>
      <c r="IYV93" s="563"/>
      <c r="IYW93" s="563"/>
      <c r="IYX93" s="563"/>
      <c r="IYY93" s="563"/>
      <c r="IYZ93" s="563"/>
      <c r="IZA93" s="563"/>
      <c r="IZB93" s="563"/>
      <c r="IZC93" s="563"/>
      <c r="IZD93" s="563"/>
      <c r="IZE93" s="563"/>
      <c r="IZF93" s="563"/>
      <c r="IZG93" s="563"/>
      <c r="IZH93" s="563"/>
      <c r="IZI93" s="563"/>
      <c r="IZJ93" s="563"/>
      <c r="IZK93" s="563"/>
      <c r="IZL93" s="563"/>
      <c r="IZM93" s="563"/>
      <c r="IZN93" s="563"/>
      <c r="IZO93" s="563"/>
      <c r="IZP93" s="563"/>
      <c r="IZQ93" s="563"/>
      <c r="IZR93" s="563"/>
      <c r="IZS93" s="563"/>
      <c r="IZT93" s="563"/>
      <c r="IZU93" s="563"/>
      <c r="IZV93" s="563"/>
      <c r="IZW93" s="563"/>
      <c r="IZX93" s="563"/>
      <c r="IZY93" s="563"/>
      <c r="IZZ93" s="563"/>
      <c r="JAA93" s="563"/>
      <c r="JAB93" s="563"/>
      <c r="JAC93" s="563"/>
      <c r="JAD93" s="563"/>
      <c r="JAE93" s="563"/>
      <c r="JAF93" s="563"/>
      <c r="JAG93" s="563"/>
      <c r="JAH93" s="563"/>
      <c r="JAI93" s="563"/>
      <c r="JAJ93" s="563"/>
      <c r="JAK93" s="563"/>
      <c r="JAL93" s="563"/>
      <c r="JAM93" s="563"/>
      <c r="JAN93" s="563"/>
      <c r="JAO93" s="563"/>
      <c r="JAP93" s="563"/>
      <c r="JAQ93" s="563"/>
      <c r="JAR93" s="563"/>
      <c r="JAS93" s="563"/>
      <c r="JAT93" s="563"/>
      <c r="JAU93" s="563"/>
      <c r="JAV93" s="563"/>
      <c r="JAW93" s="563"/>
      <c r="JAX93" s="563"/>
      <c r="JAY93" s="563"/>
      <c r="JAZ93" s="563"/>
      <c r="JBA93" s="563"/>
      <c r="JBB93" s="563"/>
      <c r="JBC93" s="563"/>
      <c r="JBD93" s="563"/>
      <c r="JBE93" s="563"/>
      <c r="JBF93" s="563"/>
      <c r="JBG93" s="563"/>
      <c r="JBH93" s="563"/>
      <c r="JBI93" s="563"/>
      <c r="JBJ93" s="563"/>
      <c r="JBK93" s="563"/>
      <c r="JBL93" s="563"/>
      <c r="JBM93" s="563"/>
      <c r="JBN93" s="563"/>
      <c r="JBO93" s="563"/>
      <c r="JBP93" s="563"/>
      <c r="JBQ93" s="563"/>
      <c r="JBR93" s="563"/>
      <c r="JBS93" s="563"/>
      <c r="JBT93" s="563"/>
      <c r="JBU93" s="563"/>
      <c r="JBV93" s="563"/>
      <c r="JBW93" s="563"/>
      <c r="JBX93" s="563"/>
      <c r="JBY93" s="563"/>
      <c r="JBZ93" s="563"/>
      <c r="JCA93" s="563"/>
      <c r="JCB93" s="563"/>
      <c r="JCC93" s="563"/>
      <c r="JCD93" s="563"/>
      <c r="JCE93" s="563"/>
      <c r="JCF93" s="563"/>
      <c r="JCG93" s="563"/>
      <c r="JCH93" s="563"/>
      <c r="JCI93" s="563"/>
      <c r="JCJ93" s="563"/>
      <c r="JCK93" s="563"/>
      <c r="JCL93" s="563"/>
      <c r="JCM93" s="563"/>
      <c r="JCN93" s="563"/>
      <c r="JCO93" s="563"/>
      <c r="JCP93" s="563"/>
      <c r="JCQ93" s="563"/>
      <c r="JCR93" s="563"/>
      <c r="JCS93" s="563"/>
      <c r="JCT93" s="563"/>
      <c r="JCU93" s="563"/>
      <c r="JCV93" s="563"/>
      <c r="JCW93" s="563"/>
      <c r="JCX93" s="563"/>
      <c r="JCY93" s="563"/>
      <c r="JCZ93" s="563"/>
      <c r="JDA93" s="563"/>
      <c r="JDB93" s="563"/>
      <c r="JDC93" s="563"/>
      <c r="JDD93" s="563"/>
      <c r="JDE93" s="563"/>
      <c r="JDF93" s="563"/>
      <c r="JDG93" s="563"/>
      <c r="JDH93" s="563"/>
      <c r="JDI93" s="563"/>
      <c r="JDJ93" s="563"/>
      <c r="JDK93" s="563"/>
      <c r="JDL93" s="563"/>
      <c r="JDM93" s="563"/>
      <c r="JDN93" s="563"/>
      <c r="JDO93" s="563"/>
      <c r="JDP93" s="563"/>
      <c r="JDQ93" s="563"/>
      <c r="JDR93" s="563"/>
      <c r="JDS93" s="563"/>
      <c r="JDT93" s="563"/>
      <c r="JDU93" s="563"/>
      <c r="JDV93" s="563"/>
      <c r="JDW93" s="563"/>
      <c r="JDX93" s="563"/>
      <c r="JDY93" s="563"/>
      <c r="JDZ93" s="563"/>
      <c r="JEA93" s="563"/>
      <c r="JEB93" s="563"/>
      <c r="JEC93" s="563"/>
      <c r="JED93" s="563"/>
      <c r="JEE93" s="563"/>
      <c r="JEF93" s="563"/>
      <c r="JEG93" s="563"/>
      <c r="JEH93" s="563"/>
      <c r="JEI93" s="563"/>
      <c r="JEJ93" s="563"/>
      <c r="JEK93" s="563"/>
      <c r="JEL93" s="563"/>
      <c r="JEM93" s="563"/>
      <c r="JEN93" s="563"/>
      <c r="JEO93" s="563"/>
      <c r="JEP93" s="563"/>
      <c r="JEQ93" s="563"/>
      <c r="JER93" s="563"/>
      <c r="JES93" s="563"/>
      <c r="JET93" s="563"/>
      <c r="JEU93" s="563"/>
      <c r="JEV93" s="563"/>
      <c r="JEW93" s="563"/>
      <c r="JEX93" s="563"/>
      <c r="JEY93" s="563"/>
      <c r="JEZ93" s="563"/>
      <c r="JFA93" s="563"/>
      <c r="JFB93" s="563"/>
      <c r="JFC93" s="563"/>
      <c r="JFD93" s="563"/>
      <c r="JFE93" s="563"/>
      <c r="JFF93" s="563"/>
      <c r="JFG93" s="563"/>
      <c r="JFH93" s="563"/>
      <c r="JFI93" s="563"/>
      <c r="JFJ93" s="563"/>
      <c r="JFK93" s="563"/>
      <c r="JFL93" s="563"/>
      <c r="JFM93" s="563"/>
      <c r="JFN93" s="563"/>
      <c r="JFO93" s="563"/>
      <c r="JFP93" s="563"/>
      <c r="JFQ93" s="563"/>
      <c r="JFR93" s="563"/>
      <c r="JFS93" s="563"/>
      <c r="JFT93" s="563"/>
      <c r="JFU93" s="563"/>
      <c r="JFV93" s="563"/>
      <c r="JFW93" s="563"/>
      <c r="JFX93" s="563"/>
      <c r="JFY93" s="563"/>
      <c r="JFZ93" s="563"/>
      <c r="JGA93" s="563"/>
      <c r="JGB93" s="563"/>
      <c r="JGC93" s="563"/>
      <c r="JGD93" s="563"/>
      <c r="JGE93" s="563"/>
      <c r="JGF93" s="563"/>
      <c r="JGG93" s="563"/>
      <c r="JGH93" s="563"/>
      <c r="JGI93" s="563"/>
      <c r="JGJ93" s="563"/>
      <c r="JGK93" s="563"/>
      <c r="JGL93" s="563"/>
      <c r="JGM93" s="563"/>
      <c r="JGN93" s="563"/>
      <c r="JGO93" s="563"/>
      <c r="JGP93" s="563"/>
      <c r="JGQ93" s="563"/>
      <c r="JGR93" s="563"/>
      <c r="JGS93" s="563"/>
      <c r="JGT93" s="563"/>
      <c r="JGU93" s="563"/>
      <c r="JGV93" s="563"/>
      <c r="JGW93" s="563"/>
      <c r="JGX93" s="563"/>
      <c r="JGY93" s="563"/>
      <c r="JGZ93" s="563"/>
      <c r="JHA93" s="563"/>
      <c r="JHB93" s="563"/>
      <c r="JHC93" s="563"/>
      <c r="JHD93" s="563"/>
      <c r="JHE93" s="563"/>
      <c r="JHF93" s="563"/>
      <c r="JHG93" s="563"/>
      <c r="JHH93" s="563"/>
      <c r="JHI93" s="563"/>
      <c r="JHJ93" s="563"/>
      <c r="JHK93" s="563"/>
      <c r="JHL93" s="563"/>
      <c r="JHM93" s="563"/>
      <c r="JHN93" s="563"/>
      <c r="JHO93" s="563"/>
      <c r="JHP93" s="563"/>
      <c r="JHQ93" s="563"/>
      <c r="JHR93" s="563"/>
      <c r="JHS93" s="563"/>
      <c r="JHT93" s="563"/>
      <c r="JHU93" s="563"/>
      <c r="JHV93" s="563"/>
      <c r="JHW93" s="563"/>
      <c r="JHX93" s="563"/>
      <c r="JHY93" s="563"/>
      <c r="JHZ93" s="563"/>
      <c r="JIA93" s="563"/>
      <c r="JIB93" s="563"/>
      <c r="JIC93" s="563"/>
      <c r="JID93" s="563"/>
      <c r="JIE93" s="563"/>
      <c r="JIF93" s="563"/>
      <c r="JIG93" s="563"/>
      <c r="JIH93" s="563"/>
      <c r="JII93" s="563"/>
      <c r="JIJ93" s="563"/>
      <c r="JIK93" s="563"/>
      <c r="JIL93" s="563"/>
      <c r="JIM93" s="563"/>
      <c r="JIN93" s="563"/>
      <c r="JIO93" s="563"/>
      <c r="JIP93" s="563"/>
      <c r="JIQ93" s="563"/>
      <c r="JIR93" s="563"/>
      <c r="JIS93" s="563"/>
      <c r="JIT93" s="563"/>
      <c r="JIU93" s="563"/>
      <c r="JIV93" s="563"/>
      <c r="JIW93" s="563"/>
      <c r="JIX93" s="563"/>
      <c r="JIY93" s="563"/>
      <c r="JIZ93" s="563"/>
      <c r="JJA93" s="563"/>
      <c r="JJB93" s="563"/>
      <c r="JJC93" s="563"/>
      <c r="JJD93" s="563"/>
      <c r="JJE93" s="563"/>
      <c r="JJF93" s="563"/>
      <c r="JJG93" s="563"/>
      <c r="JJH93" s="563"/>
      <c r="JJI93" s="563"/>
      <c r="JJJ93" s="563"/>
      <c r="JJK93" s="563"/>
      <c r="JJL93" s="563"/>
      <c r="JJM93" s="563"/>
      <c r="JJN93" s="563"/>
      <c r="JJO93" s="563"/>
      <c r="JJP93" s="563"/>
      <c r="JJQ93" s="563"/>
      <c r="JJR93" s="563"/>
      <c r="JJS93" s="563"/>
      <c r="JJT93" s="563"/>
      <c r="JJU93" s="563"/>
      <c r="JJV93" s="563"/>
      <c r="JJW93" s="563"/>
      <c r="JJX93" s="563"/>
      <c r="JJY93" s="563"/>
      <c r="JJZ93" s="563"/>
      <c r="JKA93" s="563"/>
      <c r="JKB93" s="563"/>
      <c r="JKC93" s="563"/>
      <c r="JKD93" s="563"/>
      <c r="JKE93" s="563"/>
      <c r="JKF93" s="563"/>
      <c r="JKG93" s="563"/>
      <c r="JKH93" s="563"/>
      <c r="JKI93" s="563"/>
      <c r="JKJ93" s="563"/>
      <c r="JKK93" s="563"/>
      <c r="JKL93" s="563"/>
      <c r="JKM93" s="563"/>
      <c r="JKN93" s="563"/>
      <c r="JKO93" s="563"/>
      <c r="JKP93" s="563"/>
      <c r="JKQ93" s="563"/>
      <c r="JKR93" s="563"/>
      <c r="JKS93" s="563"/>
      <c r="JKT93" s="563"/>
      <c r="JKU93" s="563"/>
      <c r="JKV93" s="563"/>
      <c r="JKW93" s="563"/>
      <c r="JKX93" s="563"/>
      <c r="JKY93" s="563"/>
      <c r="JKZ93" s="563"/>
      <c r="JLA93" s="563"/>
      <c r="JLB93" s="563"/>
      <c r="JLC93" s="563"/>
      <c r="JLD93" s="563"/>
      <c r="JLE93" s="563"/>
      <c r="JLF93" s="563"/>
      <c r="JLG93" s="563"/>
      <c r="JLH93" s="563"/>
      <c r="JLI93" s="563"/>
      <c r="JLJ93" s="563"/>
      <c r="JLK93" s="563"/>
      <c r="JLL93" s="563"/>
      <c r="JLM93" s="563"/>
      <c r="JLN93" s="563"/>
      <c r="JLO93" s="563"/>
      <c r="JLP93" s="563"/>
      <c r="JLQ93" s="563"/>
      <c r="JLR93" s="563"/>
      <c r="JLS93" s="563"/>
      <c r="JLT93" s="563"/>
      <c r="JLU93" s="563"/>
      <c r="JLV93" s="563"/>
      <c r="JLW93" s="563"/>
      <c r="JLX93" s="563"/>
      <c r="JLY93" s="563"/>
      <c r="JLZ93" s="563"/>
      <c r="JMA93" s="563"/>
      <c r="JMB93" s="563"/>
      <c r="JMC93" s="563"/>
      <c r="JMD93" s="563"/>
      <c r="JME93" s="563"/>
      <c r="JMF93" s="563"/>
      <c r="JMG93" s="563"/>
      <c r="JMH93" s="563"/>
      <c r="JMI93" s="563"/>
      <c r="JMJ93" s="563"/>
      <c r="JMK93" s="563"/>
      <c r="JML93" s="563"/>
      <c r="JMM93" s="563"/>
      <c r="JMN93" s="563"/>
      <c r="JMO93" s="563"/>
      <c r="JMP93" s="563"/>
      <c r="JMQ93" s="563"/>
      <c r="JMR93" s="563"/>
      <c r="JMS93" s="563"/>
      <c r="JMT93" s="563"/>
      <c r="JMU93" s="563"/>
      <c r="JMV93" s="563"/>
      <c r="JMW93" s="563"/>
      <c r="JMX93" s="563"/>
      <c r="JMY93" s="563"/>
      <c r="JMZ93" s="563"/>
      <c r="JNA93" s="563"/>
      <c r="JNB93" s="563"/>
      <c r="JNC93" s="563"/>
      <c r="JND93" s="563"/>
      <c r="JNE93" s="563"/>
      <c r="JNF93" s="563"/>
      <c r="JNG93" s="563"/>
      <c r="JNH93" s="563"/>
      <c r="JNI93" s="563"/>
      <c r="JNJ93" s="563"/>
      <c r="JNK93" s="563"/>
      <c r="JNL93" s="563"/>
      <c r="JNM93" s="563"/>
      <c r="JNN93" s="563"/>
      <c r="JNO93" s="563"/>
      <c r="JNP93" s="563"/>
      <c r="JNQ93" s="563"/>
      <c r="JNR93" s="563"/>
      <c r="JNS93" s="563"/>
      <c r="JNT93" s="563"/>
      <c r="JNU93" s="563"/>
      <c r="JNV93" s="563"/>
      <c r="JNW93" s="563"/>
      <c r="JNX93" s="563"/>
      <c r="JNY93" s="563"/>
      <c r="JNZ93" s="563"/>
      <c r="JOA93" s="563"/>
      <c r="JOB93" s="563"/>
      <c r="JOC93" s="563"/>
      <c r="JOD93" s="563"/>
      <c r="JOE93" s="563"/>
      <c r="JOF93" s="563"/>
      <c r="JOG93" s="563"/>
      <c r="JOH93" s="563"/>
      <c r="JOI93" s="563"/>
      <c r="JOJ93" s="563"/>
      <c r="JOK93" s="563"/>
      <c r="JOL93" s="563"/>
      <c r="JOM93" s="563"/>
      <c r="JON93" s="563"/>
      <c r="JOO93" s="563"/>
      <c r="JOP93" s="563"/>
      <c r="JOQ93" s="563"/>
      <c r="JOR93" s="563"/>
      <c r="JOS93" s="563"/>
      <c r="JOT93" s="563"/>
      <c r="JOU93" s="563"/>
      <c r="JOV93" s="563"/>
      <c r="JOW93" s="563"/>
      <c r="JOX93" s="563"/>
      <c r="JOY93" s="563"/>
      <c r="JOZ93" s="563"/>
      <c r="JPA93" s="563"/>
      <c r="JPB93" s="563"/>
      <c r="JPC93" s="563"/>
      <c r="JPD93" s="563"/>
      <c r="JPE93" s="563"/>
      <c r="JPF93" s="563"/>
      <c r="JPG93" s="563"/>
      <c r="JPH93" s="563"/>
      <c r="JPI93" s="563"/>
      <c r="JPJ93" s="563"/>
      <c r="JPK93" s="563"/>
      <c r="JPL93" s="563"/>
      <c r="JPM93" s="563"/>
      <c r="JPN93" s="563"/>
      <c r="JPO93" s="563"/>
      <c r="JPP93" s="563"/>
      <c r="JPQ93" s="563"/>
      <c r="JPR93" s="563"/>
      <c r="JPS93" s="563"/>
      <c r="JPT93" s="563"/>
      <c r="JPU93" s="563"/>
      <c r="JPV93" s="563"/>
      <c r="JPW93" s="563"/>
      <c r="JPX93" s="563"/>
      <c r="JPY93" s="563"/>
      <c r="JPZ93" s="563"/>
      <c r="JQA93" s="563"/>
      <c r="JQB93" s="563"/>
      <c r="JQC93" s="563"/>
      <c r="JQD93" s="563"/>
      <c r="JQE93" s="563"/>
      <c r="JQF93" s="563"/>
      <c r="JQG93" s="563"/>
      <c r="JQH93" s="563"/>
      <c r="JQI93" s="563"/>
      <c r="JQJ93" s="563"/>
      <c r="JQK93" s="563"/>
      <c r="JQL93" s="563"/>
      <c r="JQM93" s="563"/>
      <c r="JQN93" s="563"/>
      <c r="JQO93" s="563"/>
      <c r="JQP93" s="563"/>
      <c r="JQQ93" s="563"/>
      <c r="JQR93" s="563"/>
      <c r="JQS93" s="563"/>
      <c r="JQT93" s="563"/>
      <c r="JQU93" s="563"/>
      <c r="JQV93" s="563"/>
      <c r="JQW93" s="563"/>
      <c r="JQX93" s="563"/>
      <c r="JQY93" s="563"/>
      <c r="JQZ93" s="563"/>
      <c r="JRA93" s="563"/>
      <c r="JRB93" s="563"/>
      <c r="JRC93" s="563"/>
      <c r="JRD93" s="563"/>
      <c r="JRE93" s="563"/>
      <c r="JRF93" s="563"/>
      <c r="JRG93" s="563"/>
      <c r="JRH93" s="563"/>
      <c r="JRI93" s="563"/>
      <c r="JRJ93" s="563"/>
      <c r="JRK93" s="563"/>
      <c r="JRL93" s="563"/>
      <c r="JRM93" s="563"/>
      <c r="JRN93" s="563"/>
      <c r="JRO93" s="563"/>
      <c r="JRP93" s="563"/>
      <c r="JRQ93" s="563"/>
      <c r="JRR93" s="563"/>
      <c r="JRS93" s="563"/>
      <c r="JRT93" s="563"/>
      <c r="JRU93" s="563"/>
      <c r="JRV93" s="563"/>
      <c r="JRW93" s="563"/>
      <c r="JRX93" s="563"/>
      <c r="JRY93" s="563"/>
      <c r="JRZ93" s="563"/>
      <c r="JSA93" s="563"/>
      <c r="JSB93" s="563"/>
      <c r="JSC93" s="563"/>
      <c r="JSD93" s="563"/>
      <c r="JSE93" s="563"/>
      <c r="JSF93" s="563"/>
      <c r="JSG93" s="563"/>
      <c r="JSH93" s="563"/>
      <c r="JSI93" s="563"/>
      <c r="JSJ93" s="563"/>
      <c r="JSK93" s="563"/>
      <c r="JSL93" s="563"/>
      <c r="JSM93" s="563"/>
      <c r="JSN93" s="563"/>
      <c r="JSO93" s="563"/>
      <c r="JSP93" s="563"/>
      <c r="JSQ93" s="563"/>
      <c r="JSR93" s="563"/>
      <c r="JSS93" s="563"/>
      <c r="JST93" s="563"/>
      <c r="JSU93" s="563"/>
      <c r="JSV93" s="563"/>
      <c r="JSW93" s="563"/>
      <c r="JSX93" s="563"/>
      <c r="JSY93" s="563"/>
      <c r="JSZ93" s="563"/>
      <c r="JTA93" s="563"/>
      <c r="JTB93" s="563"/>
      <c r="JTC93" s="563"/>
      <c r="JTD93" s="563"/>
      <c r="JTE93" s="563"/>
      <c r="JTF93" s="563"/>
      <c r="JTG93" s="563"/>
      <c r="JTH93" s="563"/>
      <c r="JTI93" s="563"/>
      <c r="JTJ93" s="563"/>
      <c r="JTK93" s="563"/>
      <c r="JTL93" s="563"/>
      <c r="JTM93" s="563"/>
      <c r="JTN93" s="563"/>
      <c r="JTO93" s="563"/>
      <c r="JTP93" s="563"/>
      <c r="JTQ93" s="563"/>
      <c r="JTR93" s="563"/>
      <c r="JTS93" s="563"/>
      <c r="JTT93" s="563"/>
      <c r="JTU93" s="563"/>
      <c r="JTV93" s="563"/>
      <c r="JTW93" s="563"/>
      <c r="JTX93" s="563"/>
      <c r="JTY93" s="563"/>
      <c r="JTZ93" s="563"/>
      <c r="JUA93" s="563"/>
      <c r="JUB93" s="563"/>
      <c r="JUC93" s="563"/>
      <c r="JUD93" s="563"/>
      <c r="JUE93" s="563"/>
      <c r="JUF93" s="563"/>
      <c r="JUG93" s="563"/>
      <c r="JUH93" s="563"/>
      <c r="JUI93" s="563"/>
      <c r="JUJ93" s="563"/>
      <c r="JUK93" s="563"/>
      <c r="JUL93" s="563"/>
      <c r="JUM93" s="563"/>
      <c r="JUN93" s="563"/>
      <c r="JUO93" s="563"/>
      <c r="JUP93" s="563"/>
      <c r="JUQ93" s="563"/>
      <c r="JUR93" s="563"/>
      <c r="JUS93" s="563"/>
      <c r="JUT93" s="563"/>
      <c r="JUU93" s="563"/>
      <c r="JUV93" s="563"/>
      <c r="JUW93" s="563"/>
      <c r="JUX93" s="563"/>
      <c r="JUY93" s="563"/>
      <c r="JUZ93" s="563"/>
      <c r="JVA93" s="563"/>
      <c r="JVB93" s="563"/>
      <c r="JVC93" s="563"/>
      <c r="JVD93" s="563"/>
      <c r="JVE93" s="563"/>
      <c r="JVF93" s="563"/>
      <c r="JVG93" s="563"/>
      <c r="JVH93" s="563"/>
      <c r="JVI93" s="563"/>
      <c r="JVJ93" s="563"/>
      <c r="JVK93" s="563"/>
      <c r="JVL93" s="563"/>
      <c r="JVM93" s="563"/>
      <c r="JVN93" s="563"/>
      <c r="JVO93" s="563"/>
      <c r="JVP93" s="563"/>
      <c r="JVQ93" s="563"/>
      <c r="JVR93" s="563"/>
      <c r="JVS93" s="563"/>
      <c r="JVT93" s="563"/>
      <c r="JVU93" s="563"/>
      <c r="JVV93" s="563"/>
      <c r="JVW93" s="563"/>
      <c r="JVX93" s="563"/>
      <c r="JVY93" s="563"/>
      <c r="JVZ93" s="563"/>
      <c r="JWA93" s="563"/>
      <c r="JWB93" s="563"/>
      <c r="JWC93" s="563"/>
      <c r="JWD93" s="563"/>
      <c r="JWE93" s="563"/>
      <c r="JWF93" s="563"/>
      <c r="JWG93" s="563"/>
      <c r="JWH93" s="563"/>
      <c r="JWI93" s="563"/>
      <c r="JWJ93" s="563"/>
      <c r="JWK93" s="563"/>
      <c r="JWL93" s="563"/>
      <c r="JWM93" s="563"/>
      <c r="JWN93" s="563"/>
      <c r="JWO93" s="563"/>
      <c r="JWP93" s="563"/>
      <c r="JWQ93" s="563"/>
      <c r="JWR93" s="563"/>
      <c r="JWS93" s="563"/>
      <c r="JWT93" s="563"/>
      <c r="JWU93" s="563"/>
      <c r="JWV93" s="563"/>
      <c r="JWW93" s="563"/>
      <c r="JWX93" s="563"/>
      <c r="JWY93" s="563"/>
      <c r="JWZ93" s="563"/>
      <c r="JXA93" s="563"/>
      <c r="JXB93" s="563"/>
      <c r="JXC93" s="563"/>
      <c r="JXD93" s="563"/>
      <c r="JXE93" s="563"/>
      <c r="JXF93" s="563"/>
      <c r="JXG93" s="563"/>
      <c r="JXH93" s="563"/>
      <c r="JXI93" s="563"/>
      <c r="JXJ93" s="563"/>
      <c r="JXK93" s="563"/>
      <c r="JXL93" s="563"/>
      <c r="JXM93" s="563"/>
      <c r="JXN93" s="563"/>
      <c r="JXO93" s="563"/>
      <c r="JXP93" s="563"/>
      <c r="JXQ93" s="563"/>
      <c r="JXR93" s="563"/>
      <c r="JXS93" s="563"/>
      <c r="JXT93" s="563"/>
      <c r="JXU93" s="563"/>
      <c r="JXV93" s="563"/>
      <c r="JXW93" s="563"/>
      <c r="JXX93" s="563"/>
      <c r="JXY93" s="563"/>
      <c r="JXZ93" s="563"/>
      <c r="JYA93" s="563"/>
      <c r="JYB93" s="563"/>
      <c r="JYC93" s="563"/>
      <c r="JYD93" s="563"/>
      <c r="JYE93" s="563"/>
      <c r="JYF93" s="563"/>
      <c r="JYG93" s="563"/>
      <c r="JYH93" s="563"/>
      <c r="JYI93" s="563"/>
      <c r="JYJ93" s="563"/>
      <c r="JYK93" s="563"/>
      <c r="JYL93" s="563"/>
      <c r="JYM93" s="563"/>
      <c r="JYN93" s="563"/>
      <c r="JYO93" s="563"/>
      <c r="JYP93" s="563"/>
      <c r="JYQ93" s="563"/>
      <c r="JYR93" s="563"/>
      <c r="JYS93" s="563"/>
      <c r="JYT93" s="563"/>
      <c r="JYU93" s="563"/>
      <c r="JYV93" s="563"/>
      <c r="JYW93" s="563"/>
      <c r="JYX93" s="563"/>
      <c r="JYY93" s="563"/>
      <c r="JYZ93" s="563"/>
      <c r="JZA93" s="563"/>
      <c r="JZB93" s="563"/>
      <c r="JZC93" s="563"/>
      <c r="JZD93" s="563"/>
      <c r="JZE93" s="563"/>
      <c r="JZF93" s="563"/>
      <c r="JZG93" s="563"/>
      <c r="JZH93" s="563"/>
      <c r="JZI93" s="563"/>
      <c r="JZJ93" s="563"/>
      <c r="JZK93" s="563"/>
      <c r="JZL93" s="563"/>
      <c r="JZM93" s="563"/>
      <c r="JZN93" s="563"/>
      <c r="JZO93" s="563"/>
      <c r="JZP93" s="563"/>
      <c r="JZQ93" s="563"/>
      <c r="JZR93" s="563"/>
      <c r="JZS93" s="563"/>
      <c r="JZT93" s="563"/>
      <c r="JZU93" s="563"/>
      <c r="JZV93" s="563"/>
      <c r="JZW93" s="563"/>
      <c r="JZX93" s="563"/>
      <c r="JZY93" s="563"/>
      <c r="JZZ93" s="563"/>
      <c r="KAA93" s="563"/>
      <c r="KAB93" s="563"/>
      <c r="KAC93" s="563"/>
      <c r="KAD93" s="563"/>
      <c r="KAE93" s="563"/>
      <c r="KAF93" s="563"/>
      <c r="KAG93" s="563"/>
      <c r="KAH93" s="563"/>
      <c r="KAI93" s="563"/>
      <c r="KAJ93" s="563"/>
      <c r="KAK93" s="563"/>
      <c r="KAL93" s="563"/>
      <c r="KAM93" s="563"/>
      <c r="KAN93" s="563"/>
      <c r="KAO93" s="563"/>
      <c r="KAP93" s="563"/>
      <c r="KAQ93" s="563"/>
      <c r="KAR93" s="563"/>
      <c r="KAS93" s="563"/>
      <c r="KAT93" s="563"/>
      <c r="KAU93" s="563"/>
      <c r="KAV93" s="563"/>
      <c r="KAW93" s="563"/>
      <c r="KAX93" s="563"/>
      <c r="KAY93" s="563"/>
      <c r="KAZ93" s="563"/>
      <c r="KBA93" s="563"/>
      <c r="KBB93" s="563"/>
      <c r="KBC93" s="563"/>
      <c r="KBD93" s="563"/>
      <c r="KBE93" s="563"/>
      <c r="KBF93" s="563"/>
      <c r="KBG93" s="563"/>
      <c r="KBH93" s="563"/>
      <c r="KBI93" s="563"/>
      <c r="KBJ93" s="563"/>
      <c r="KBK93" s="563"/>
      <c r="KBL93" s="563"/>
      <c r="KBM93" s="563"/>
      <c r="KBN93" s="563"/>
      <c r="KBO93" s="563"/>
      <c r="KBP93" s="563"/>
      <c r="KBQ93" s="563"/>
      <c r="KBR93" s="563"/>
      <c r="KBS93" s="563"/>
      <c r="KBT93" s="563"/>
      <c r="KBU93" s="563"/>
      <c r="KBV93" s="563"/>
      <c r="KBW93" s="563"/>
      <c r="KBX93" s="563"/>
      <c r="KBY93" s="563"/>
      <c r="KBZ93" s="563"/>
      <c r="KCA93" s="563"/>
      <c r="KCB93" s="563"/>
      <c r="KCC93" s="563"/>
      <c r="KCD93" s="563"/>
      <c r="KCE93" s="563"/>
      <c r="KCF93" s="563"/>
      <c r="KCG93" s="563"/>
      <c r="KCH93" s="563"/>
      <c r="KCI93" s="563"/>
      <c r="KCJ93" s="563"/>
      <c r="KCK93" s="563"/>
      <c r="KCL93" s="563"/>
      <c r="KCM93" s="563"/>
      <c r="KCN93" s="563"/>
      <c r="KCO93" s="563"/>
      <c r="KCP93" s="563"/>
      <c r="KCQ93" s="563"/>
      <c r="KCR93" s="563"/>
      <c r="KCS93" s="563"/>
      <c r="KCT93" s="563"/>
      <c r="KCU93" s="563"/>
      <c r="KCV93" s="563"/>
      <c r="KCW93" s="563"/>
      <c r="KCX93" s="563"/>
      <c r="KCY93" s="563"/>
      <c r="KCZ93" s="563"/>
      <c r="KDA93" s="563"/>
      <c r="KDB93" s="563"/>
      <c r="KDC93" s="563"/>
      <c r="KDD93" s="563"/>
      <c r="KDE93" s="563"/>
      <c r="KDF93" s="563"/>
      <c r="KDG93" s="563"/>
      <c r="KDH93" s="563"/>
      <c r="KDI93" s="563"/>
      <c r="KDJ93" s="563"/>
      <c r="KDK93" s="563"/>
      <c r="KDL93" s="563"/>
      <c r="KDM93" s="563"/>
      <c r="KDN93" s="563"/>
      <c r="KDO93" s="563"/>
      <c r="KDP93" s="563"/>
      <c r="KDQ93" s="563"/>
      <c r="KDR93" s="563"/>
      <c r="KDS93" s="563"/>
      <c r="KDT93" s="563"/>
      <c r="KDU93" s="563"/>
      <c r="KDV93" s="563"/>
      <c r="KDW93" s="563"/>
      <c r="KDX93" s="563"/>
      <c r="KDY93" s="563"/>
      <c r="KDZ93" s="563"/>
      <c r="KEA93" s="563"/>
      <c r="KEB93" s="563"/>
      <c r="KEC93" s="563"/>
      <c r="KED93" s="563"/>
      <c r="KEE93" s="563"/>
      <c r="KEF93" s="563"/>
      <c r="KEG93" s="563"/>
      <c r="KEH93" s="563"/>
      <c r="KEI93" s="563"/>
      <c r="KEJ93" s="563"/>
      <c r="KEK93" s="563"/>
      <c r="KEL93" s="563"/>
      <c r="KEM93" s="563"/>
      <c r="KEN93" s="563"/>
      <c r="KEO93" s="563"/>
      <c r="KEP93" s="563"/>
      <c r="KEQ93" s="563"/>
      <c r="KER93" s="563"/>
      <c r="KES93" s="563"/>
      <c r="KET93" s="563"/>
      <c r="KEU93" s="563"/>
      <c r="KEV93" s="563"/>
      <c r="KEW93" s="563"/>
      <c r="KEX93" s="563"/>
      <c r="KEY93" s="563"/>
      <c r="KEZ93" s="563"/>
      <c r="KFA93" s="563"/>
      <c r="KFB93" s="563"/>
      <c r="KFC93" s="563"/>
      <c r="KFD93" s="563"/>
      <c r="KFE93" s="563"/>
      <c r="KFF93" s="563"/>
      <c r="KFG93" s="563"/>
      <c r="KFH93" s="563"/>
      <c r="KFI93" s="563"/>
      <c r="KFJ93" s="563"/>
      <c r="KFK93" s="563"/>
      <c r="KFL93" s="563"/>
      <c r="KFM93" s="563"/>
      <c r="KFN93" s="563"/>
      <c r="KFO93" s="563"/>
      <c r="KFP93" s="563"/>
      <c r="KFQ93" s="563"/>
      <c r="KFR93" s="563"/>
      <c r="KFS93" s="563"/>
      <c r="KFT93" s="563"/>
      <c r="KFU93" s="563"/>
      <c r="KFV93" s="563"/>
      <c r="KFW93" s="563"/>
      <c r="KFX93" s="563"/>
      <c r="KFY93" s="563"/>
      <c r="KFZ93" s="563"/>
      <c r="KGA93" s="563"/>
      <c r="KGB93" s="563"/>
      <c r="KGC93" s="563"/>
      <c r="KGD93" s="563"/>
      <c r="KGE93" s="563"/>
      <c r="KGF93" s="563"/>
      <c r="KGG93" s="563"/>
      <c r="KGH93" s="563"/>
      <c r="KGI93" s="563"/>
      <c r="KGJ93" s="563"/>
      <c r="KGK93" s="563"/>
      <c r="KGL93" s="563"/>
      <c r="KGM93" s="563"/>
      <c r="KGN93" s="563"/>
      <c r="KGO93" s="563"/>
      <c r="KGP93" s="563"/>
      <c r="KGQ93" s="563"/>
      <c r="KGR93" s="563"/>
      <c r="KGS93" s="563"/>
      <c r="KGT93" s="563"/>
      <c r="KGU93" s="563"/>
      <c r="KGV93" s="563"/>
      <c r="KGW93" s="563"/>
      <c r="KGX93" s="563"/>
      <c r="KGY93" s="563"/>
      <c r="KGZ93" s="563"/>
      <c r="KHA93" s="563"/>
      <c r="KHB93" s="563"/>
      <c r="KHC93" s="563"/>
      <c r="KHD93" s="563"/>
      <c r="KHE93" s="563"/>
      <c r="KHF93" s="563"/>
      <c r="KHG93" s="563"/>
      <c r="KHH93" s="563"/>
      <c r="KHI93" s="563"/>
      <c r="KHJ93" s="563"/>
      <c r="KHK93" s="563"/>
      <c r="KHL93" s="563"/>
      <c r="KHM93" s="563"/>
      <c r="KHN93" s="563"/>
      <c r="KHO93" s="563"/>
      <c r="KHP93" s="563"/>
      <c r="KHQ93" s="563"/>
      <c r="KHR93" s="563"/>
      <c r="KHS93" s="563"/>
      <c r="KHT93" s="563"/>
      <c r="KHU93" s="563"/>
      <c r="KHV93" s="563"/>
      <c r="KHW93" s="563"/>
      <c r="KHX93" s="563"/>
      <c r="KHY93" s="563"/>
      <c r="KHZ93" s="563"/>
      <c r="KIA93" s="563"/>
      <c r="KIB93" s="563"/>
      <c r="KIC93" s="563"/>
      <c r="KID93" s="563"/>
      <c r="KIE93" s="563"/>
      <c r="KIF93" s="563"/>
      <c r="KIG93" s="563"/>
      <c r="KIH93" s="563"/>
      <c r="KII93" s="563"/>
      <c r="KIJ93" s="563"/>
      <c r="KIK93" s="563"/>
      <c r="KIL93" s="563"/>
      <c r="KIM93" s="563"/>
      <c r="KIN93" s="563"/>
      <c r="KIO93" s="563"/>
      <c r="KIP93" s="563"/>
      <c r="KIQ93" s="563"/>
      <c r="KIR93" s="563"/>
      <c r="KIS93" s="563"/>
      <c r="KIT93" s="563"/>
      <c r="KIU93" s="563"/>
      <c r="KIV93" s="563"/>
      <c r="KIW93" s="563"/>
      <c r="KIX93" s="563"/>
      <c r="KIY93" s="563"/>
      <c r="KIZ93" s="563"/>
      <c r="KJA93" s="563"/>
      <c r="KJB93" s="563"/>
      <c r="KJC93" s="563"/>
      <c r="KJD93" s="563"/>
      <c r="KJE93" s="563"/>
      <c r="KJF93" s="563"/>
      <c r="KJG93" s="563"/>
      <c r="KJH93" s="563"/>
      <c r="KJI93" s="563"/>
      <c r="KJJ93" s="563"/>
      <c r="KJK93" s="563"/>
      <c r="KJL93" s="563"/>
      <c r="KJM93" s="563"/>
      <c r="KJN93" s="563"/>
      <c r="KJO93" s="563"/>
      <c r="KJP93" s="563"/>
      <c r="KJQ93" s="563"/>
      <c r="KJR93" s="563"/>
      <c r="KJS93" s="563"/>
      <c r="KJT93" s="563"/>
      <c r="KJU93" s="563"/>
      <c r="KJV93" s="563"/>
      <c r="KJW93" s="563"/>
      <c r="KJX93" s="563"/>
      <c r="KJY93" s="563"/>
      <c r="KJZ93" s="563"/>
      <c r="KKA93" s="563"/>
      <c r="KKB93" s="563"/>
      <c r="KKC93" s="563"/>
      <c r="KKD93" s="563"/>
      <c r="KKE93" s="563"/>
      <c r="KKF93" s="563"/>
      <c r="KKG93" s="563"/>
      <c r="KKH93" s="563"/>
      <c r="KKI93" s="563"/>
      <c r="KKJ93" s="563"/>
      <c r="KKK93" s="563"/>
      <c r="KKL93" s="563"/>
      <c r="KKM93" s="563"/>
      <c r="KKN93" s="563"/>
      <c r="KKO93" s="563"/>
      <c r="KKP93" s="563"/>
      <c r="KKQ93" s="563"/>
      <c r="KKR93" s="563"/>
      <c r="KKS93" s="563"/>
      <c r="KKT93" s="563"/>
      <c r="KKU93" s="563"/>
      <c r="KKV93" s="563"/>
      <c r="KKW93" s="563"/>
      <c r="KKX93" s="563"/>
      <c r="KKY93" s="563"/>
      <c r="KKZ93" s="563"/>
      <c r="KLA93" s="563"/>
      <c r="KLB93" s="563"/>
      <c r="KLC93" s="563"/>
      <c r="KLD93" s="563"/>
      <c r="KLE93" s="563"/>
      <c r="KLF93" s="563"/>
      <c r="KLG93" s="563"/>
      <c r="KLH93" s="563"/>
      <c r="KLI93" s="563"/>
      <c r="KLJ93" s="563"/>
      <c r="KLK93" s="563"/>
      <c r="KLL93" s="563"/>
      <c r="KLM93" s="563"/>
      <c r="KLN93" s="563"/>
      <c r="KLO93" s="563"/>
      <c r="KLP93" s="563"/>
      <c r="KLQ93" s="563"/>
      <c r="KLR93" s="563"/>
      <c r="KLS93" s="563"/>
      <c r="KLT93" s="563"/>
      <c r="KLU93" s="563"/>
      <c r="KLV93" s="563"/>
      <c r="KLW93" s="563"/>
      <c r="KLX93" s="563"/>
      <c r="KLY93" s="563"/>
      <c r="KLZ93" s="563"/>
      <c r="KMA93" s="563"/>
      <c r="KMB93" s="563"/>
      <c r="KMC93" s="563"/>
      <c r="KMD93" s="563"/>
      <c r="KME93" s="563"/>
      <c r="KMF93" s="563"/>
      <c r="KMG93" s="563"/>
      <c r="KMH93" s="563"/>
      <c r="KMI93" s="563"/>
      <c r="KMJ93" s="563"/>
      <c r="KMK93" s="563"/>
      <c r="KML93" s="563"/>
      <c r="KMM93" s="563"/>
      <c r="KMN93" s="563"/>
      <c r="KMO93" s="563"/>
      <c r="KMP93" s="563"/>
      <c r="KMQ93" s="563"/>
      <c r="KMR93" s="563"/>
      <c r="KMS93" s="563"/>
      <c r="KMT93" s="563"/>
      <c r="KMU93" s="563"/>
      <c r="KMV93" s="563"/>
      <c r="KMW93" s="563"/>
      <c r="KMX93" s="563"/>
      <c r="KMY93" s="563"/>
      <c r="KMZ93" s="563"/>
      <c r="KNA93" s="563"/>
      <c r="KNB93" s="563"/>
      <c r="KNC93" s="563"/>
      <c r="KND93" s="563"/>
      <c r="KNE93" s="563"/>
      <c r="KNF93" s="563"/>
      <c r="KNG93" s="563"/>
      <c r="KNH93" s="563"/>
      <c r="KNI93" s="563"/>
      <c r="KNJ93" s="563"/>
      <c r="KNK93" s="563"/>
      <c r="KNL93" s="563"/>
      <c r="KNM93" s="563"/>
      <c r="KNN93" s="563"/>
      <c r="KNO93" s="563"/>
      <c r="KNP93" s="563"/>
      <c r="KNQ93" s="563"/>
      <c r="KNR93" s="563"/>
      <c r="KNS93" s="563"/>
      <c r="KNT93" s="563"/>
      <c r="KNU93" s="563"/>
      <c r="KNV93" s="563"/>
      <c r="KNW93" s="563"/>
      <c r="KNX93" s="563"/>
      <c r="KNY93" s="563"/>
      <c r="KNZ93" s="563"/>
      <c r="KOA93" s="563"/>
      <c r="KOB93" s="563"/>
      <c r="KOC93" s="563"/>
      <c r="KOD93" s="563"/>
      <c r="KOE93" s="563"/>
      <c r="KOF93" s="563"/>
      <c r="KOG93" s="563"/>
      <c r="KOH93" s="563"/>
      <c r="KOI93" s="563"/>
      <c r="KOJ93" s="563"/>
      <c r="KOK93" s="563"/>
      <c r="KOL93" s="563"/>
      <c r="KOM93" s="563"/>
      <c r="KON93" s="563"/>
      <c r="KOO93" s="563"/>
      <c r="KOP93" s="563"/>
      <c r="KOQ93" s="563"/>
      <c r="KOR93" s="563"/>
      <c r="KOS93" s="563"/>
      <c r="KOT93" s="563"/>
      <c r="KOU93" s="563"/>
      <c r="KOV93" s="563"/>
      <c r="KOW93" s="563"/>
      <c r="KOX93" s="563"/>
      <c r="KOY93" s="563"/>
      <c r="KOZ93" s="563"/>
      <c r="KPA93" s="563"/>
      <c r="KPB93" s="563"/>
      <c r="KPC93" s="563"/>
      <c r="KPD93" s="563"/>
      <c r="KPE93" s="563"/>
      <c r="KPF93" s="563"/>
      <c r="KPG93" s="563"/>
      <c r="KPH93" s="563"/>
      <c r="KPI93" s="563"/>
      <c r="KPJ93" s="563"/>
      <c r="KPK93" s="563"/>
      <c r="KPL93" s="563"/>
      <c r="KPM93" s="563"/>
      <c r="KPN93" s="563"/>
      <c r="KPO93" s="563"/>
      <c r="KPP93" s="563"/>
      <c r="KPQ93" s="563"/>
      <c r="KPR93" s="563"/>
      <c r="KPS93" s="563"/>
      <c r="KPT93" s="563"/>
      <c r="KPU93" s="563"/>
      <c r="KPV93" s="563"/>
      <c r="KPW93" s="563"/>
      <c r="KPX93" s="563"/>
      <c r="KPY93" s="563"/>
      <c r="KPZ93" s="563"/>
      <c r="KQA93" s="563"/>
      <c r="KQB93" s="563"/>
      <c r="KQC93" s="563"/>
      <c r="KQD93" s="563"/>
      <c r="KQE93" s="563"/>
      <c r="KQF93" s="563"/>
      <c r="KQG93" s="563"/>
      <c r="KQH93" s="563"/>
      <c r="KQI93" s="563"/>
      <c r="KQJ93" s="563"/>
      <c r="KQK93" s="563"/>
      <c r="KQL93" s="563"/>
      <c r="KQM93" s="563"/>
      <c r="KQN93" s="563"/>
      <c r="KQO93" s="563"/>
      <c r="KQP93" s="563"/>
      <c r="KQQ93" s="563"/>
      <c r="KQR93" s="563"/>
      <c r="KQS93" s="563"/>
      <c r="KQT93" s="563"/>
      <c r="KQU93" s="563"/>
      <c r="KQV93" s="563"/>
      <c r="KQW93" s="563"/>
      <c r="KQX93" s="563"/>
      <c r="KQY93" s="563"/>
      <c r="KQZ93" s="563"/>
      <c r="KRA93" s="563"/>
      <c r="KRB93" s="563"/>
      <c r="KRC93" s="563"/>
      <c r="KRD93" s="563"/>
      <c r="KRE93" s="563"/>
      <c r="KRF93" s="563"/>
      <c r="KRG93" s="563"/>
      <c r="KRH93" s="563"/>
      <c r="KRI93" s="563"/>
      <c r="KRJ93" s="563"/>
      <c r="KRK93" s="563"/>
      <c r="KRL93" s="563"/>
      <c r="KRM93" s="563"/>
      <c r="KRN93" s="563"/>
      <c r="KRO93" s="563"/>
      <c r="KRP93" s="563"/>
      <c r="KRQ93" s="563"/>
      <c r="KRR93" s="563"/>
      <c r="KRS93" s="563"/>
      <c r="KRT93" s="563"/>
      <c r="KRU93" s="563"/>
      <c r="KRV93" s="563"/>
      <c r="KRW93" s="563"/>
      <c r="KRX93" s="563"/>
      <c r="KRY93" s="563"/>
      <c r="KRZ93" s="563"/>
      <c r="KSA93" s="563"/>
      <c r="KSB93" s="563"/>
      <c r="KSC93" s="563"/>
      <c r="KSD93" s="563"/>
      <c r="KSE93" s="563"/>
      <c r="KSF93" s="563"/>
      <c r="KSG93" s="563"/>
      <c r="KSH93" s="563"/>
      <c r="KSI93" s="563"/>
      <c r="KSJ93" s="563"/>
      <c r="KSK93" s="563"/>
      <c r="KSL93" s="563"/>
      <c r="KSM93" s="563"/>
      <c r="KSN93" s="563"/>
      <c r="KSO93" s="563"/>
      <c r="KSP93" s="563"/>
      <c r="KSQ93" s="563"/>
      <c r="KSR93" s="563"/>
      <c r="KSS93" s="563"/>
      <c r="KST93" s="563"/>
      <c r="KSU93" s="563"/>
      <c r="KSV93" s="563"/>
      <c r="KSW93" s="563"/>
      <c r="KSX93" s="563"/>
      <c r="KSY93" s="563"/>
      <c r="KSZ93" s="563"/>
      <c r="KTA93" s="563"/>
      <c r="KTB93" s="563"/>
      <c r="KTC93" s="563"/>
      <c r="KTD93" s="563"/>
      <c r="KTE93" s="563"/>
      <c r="KTF93" s="563"/>
      <c r="KTG93" s="563"/>
      <c r="KTH93" s="563"/>
      <c r="KTI93" s="563"/>
      <c r="KTJ93" s="563"/>
      <c r="KTK93" s="563"/>
      <c r="KTL93" s="563"/>
      <c r="KTM93" s="563"/>
      <c r="KTN93" s="563"/>
      <c r="KTO93" s="563"/>
      <c r="KTP93" s="563"/>
      <c r="KTQ93" s="563"/>
      <c r="KTR93" s="563"/>
      <c r="KTS93" s="563"/>
      <c r="KTT93" s="563"/>
      <c r="KTU93" s="563"/>
      <c r="KTV93" s="563"/>
      <c r="KTW93" s="563"/>
      <c r="KTX93" s="563"/>
      <c r="KTY93" s="563"/>
      <c r="KTZ93" s="563"/>
      <c r="KUA93" s="563"/>
      <c r="KUB93" s="563"/>
      <c r="KUC93" s="563"/>
      <c r="KUD93" s="563"/>
      <c r="KUE93" s="563"/>
      <c r="KUF93" s="563"/>
      <c r="KUG93" s="563"/>
      <c r="KUH93" s="563"/>
      <c r="KUI93" s="563"/>
      <c r="KUJ93" s="563"/>
      <c r="KUK93" s="563"/>
      <c r="KUL93" s="563"/>
      <c r="KUM93" s="563"/>
      <c r="KUN93" s="563"/>
      <c r="KUO93" s="563"/>
      <c r="KUP93" s="563"/>
      <c r="KUQ93" s="563"/>
      <c r="KUR93" s="563"/>
      <c r="KUS93" s="563"/>
      <c r="KUT93" s="563"/>
      <c r="KUU93" s="563"/>
      <c r="KUV93" s="563"/>
      <c r="KUW93" s="563"/>
      <c r="KUX93" s="563"/>
      <c r="KUY93" s="563"/>
      <c r="KUZ93" s="563"/>
      <c r="KVA93" s="563"/>
      <c r="KVB93" s="563"/>
      <c r="KVC93" s="563"/>
      <c r="KVD93" s="563"/>
      <c r="KVE93" s="563"/>
      <c r="KVF93" s="563"/>
      <c r="KVG93" s="563"/>
      <c r="KVH93" s="563"/>
      <c r="KVI93" s="563"/>
      <c r="KVJ93" s="563"/>
      <c r="KVK93" s="563"/>
      <c r="KVL93" s="563"/>
      <c r="KVM93" s="563"/>
      <c r="KVN93" s="563"/>
      <c r="KVO93" s="563"/>
      <c r="KVP93" s="563"/>
      <c r="KVQ93" s="563"/>
      <c r="KVR93" s="563"/>
      <c r="KVS93" s="563"/>
      <c r="KVT93" s="563"/>
      <c r="KVU93" s="563"/>
      <c r="KVV93" s="563"/>
      <c r="KVW93" s="563"/>
      <c r="KVX93" s="563"/>
      <c r="KVY93" s="563"/>
      <c r="KVZ93" s="563"/>
      <c r="KWA93" s="563"/>
      <c r="KWB93" s="563"/>
      <c r="KWC93" s="563"/>
      <c r="KWD93" s="563"/>
      <c r="KWE93" s="563"/>
      <c r="KWF93" s="563"/>
      <c r="KWG93" s="563"/>
      <c r="KWH93" s="563"/>
      <c r="KWI93" s="563"/>
      <c r="KWJ93" s="563"/>
      <c r="KWK93" s="563"/>
      <c r="KWL93" s="563"/>
      <c r="KWM93" s="563"/>
      <c r="KWN93" s="563"/>
      <c r="KWO93" s="563"/>
      <c r="KWP93" s="563"/>
      <c r="KWQ93" s="563"/>
      <c r="KWR93" s="563"/>
      <c r="KWS93" s="563"/>
      <c r="KWT93" s="563"/>
      <c r="KWU93" s="563"/>
      <c r="KWV93" s="563"/>
      <c r="KWW93" s="563"/>
      <c r="KWX93" s="563"/>
      <c r="KWY93" s="563"/>
      <c r="KWZ93" s="563"/>
      <c r="KXA93" s="563"/>
      <c r="KXB93" s="563"/>
      <c r="KXC93" s="563"/>
      <c r="KXD93" s="563"/>
      <c r="KXE93" s="563"/>
      <c r="KXF93" s="563"/>
      <c r="KXG93" s="563"/>
      <c r="KXH93" s="563"/>
      <c r="KXI93" s="563"/>
      <c r="KXJ93" s="563"/>
      <c r="KXK93" s="563"/>
      <c r="KXL93" s="563"/>
      <c r="KXM93" s="563"/>
      <c r="KXN93" s="563"/>
      <c r="KXO93" s="563"/>
      <c r="KXP93" s="563"/>
      <c r="KXQ93" s="563"/>
      <c r="KXR93" s="563"/>
      <c r="KXS93" s="563"/>
      <c r="KXT93" s="563"/>
      <c r="KXU93" s="563"/>
      <c r="KXV93" s="563"/>
      <c r="KXW93" s="563"/>
      <c r="KXX93" s="563"/>
      <c r="KXY93" s="563"/>
      <c r="KXZ93" s="563"/>
      <c r="KYA93" s="563"/>
      <c r="KYB93" s="563"/>
      <c r="KYC93" s="563"/>
      <c r="KYD93" s="563"/>
      <c r="KYE93" s="563"/>
      <c r="KYF93" s="563"/>
      <c r="KYG93" s="563"/>
      <c r="KYH93" s="563"/>
      <c r="KYI93" s="563"/>
      <c r="KYJ93" s="563"/>
      <c r="KYK93" s="563"/>
      <c r="KYL93" s="563"/>
      <c r="KYM93" s="563"/>
      <c r="KYN93" s="563"/>
      <c r="KYO93" s="563"/>
      <c r="KYP93" s="563"/>
      <c r="KYQ93" s="563"/>
      <c r="KYR93" s="563"/>
      <c r="KYS93" s="563"/>
      <c r="KYT93" s="563"/>
      <c r="KYU93" s="563"/>
      <c r="KYV93" s="563"/>
      <c r="KYW93" s="563"/>
      <c r="KYX93" s="563"/>
      <c r="KYY93" s="563"/>
      <c r="KYZ93" s="563"/>
      <c r="KZA93" s="563"/>
      <c r="KZB93" s="563"/>
      <c r="KZC93" s="563"/>
      <c r="KZD93" s="563"/>
      <c r="KZE93" s="563"/>
      <c r="KZF93" s="563"/>
      <c r="KZG93" s="563"/>
      <c r="KZH93" s="563"/>
      <c r="KZI93" s="563"/>
      <c r="KZJ93" s="563"/>
      <c r="KZK93" s="563"/>
      <c r="KZL93" s="563"/>
      <c r="KZM93" s="563"/>
      <c r="KZN93" s="563"/>
      <c r="KZO93" s="563"/>
      <c r="KZP93" s="563"/>
      <c r="KZQ93" s="563"/>
      <c r="KZR93" s="563"/>
      <c r="KZS93" s="563"/>
      <c r="KZT93" s="563"/>
      <c r="KZU93" s="563"/>
      <c r="KZV93" s="563"/>
      <c r="KZW93" s="563"/>
      <c r="KZX93" s="563"/>
      <c r="KZY93" s="563"/>
      <c r="KZZ93" s="563"/>
      <c r="LAA93" s="563"/>
      <c r="LAB93" s="563"/>
      <c r="LAC93" s="563"/>
      <c r="LAD93" s="563"/>
      <c r="LAE93" s="563"/>
      <c r="LAF93" s="563"/>
      <c r="LAG93" s="563"/>
      <c r="LAH93" s="563"/>
      <c r="LAI93" s="563"/>
      <c r="LAJ93" s="563"/>
      <c r="LAK93" s="563"/>
      <c r="LAL93" s="563"/>
      <c r="LAM93" s="563"/>
      <c r="LAN93" s="563"/>
      <c r="LAO93" s="563"/>
      <c r="LAP93" s="563"/>
      <c r="LAQ93" s="563"/>
      <c r="LAR93" s="563"/>
      <c r="LAS93" s="563"/>
      <c r="LAT93" s="563"/>
      <c r="LAU93" s="563"/>
      <c r="LAV93" s="563"/>
      <c r="LAW93" s="563"/>
      <c r="LAX93" s="563"/>
      <c r="LAY93" s="563"/>
      <c r="LAZ93" s="563"/>
      <c r="LBA93" s="563"/>
      <c r="LBB93" s="563"/>
      <c r="LBC93" s="563"/>
      <c r="LBD93" s="563"/>
      <c r="LBE93" s="563"/>
      <c r="LBF93" s="563"/>
      <c r="LBG93" s="563"/>
      <c r="LBH93" s="563"/>
      <c r="LBI93" s="563"/>
      <c r="LBJ93" s="563"/>
      <c r="LBK93" s="563"/>
      <c r="LBL93" s="563"/>
      <c r="LBM93" s="563"/>
      <c r="LBN93" s="563"/>
      <c r="LBO93" s="563"/>
      <c r="LBP93" s="563"/>
      <c r="LBQ93" s="563"/>
      <c r="LBR93" s="563"/>
      <c r="LBS93" s="563"/>
      <c r="LBT93" s="563"/>
      <c r="LBU93" s="563"/>
      <c r="LBV93" s="563"/>
      <c r="LBW93" s="563"/>
      <c r="LBX93" s="563"/>
      <c r="LBY93" s="563"/>
      <c r="LBZ93" s="563"/>
      <c r="LCA93" s="563"/>
      <c r="LCB93" s="563"/>
      <c r="LCC93" s="563"/>
      <c r="LCD93" s="563"/>
      <c r="LCE93" s="563"/>
      <c r="LCF93" s="563"/>
      <c r="LCG93" s="563"/>
      <c r="LCH93" s="563"/>
      <c r="LCI93" s="563"/>
      <c r="LCJ93" s="563"/>
      <c r="LCK93" s="563"/>
      <c r="LCL93" s="563"/>
      <c r="LCM93" s="563"/>
      <c r="LCN93" s="563"/>
      <c r="LCO93" s="563"/>
      <c r="LCP93" s="563"/>
      <c r="LCQ93" s="563"/>
      <c r="LCR93" s="563"/>
      <c r="LCS93" s="563"/>
      <c r="LCT93" s="563"/>
      <c r="LCU93" s="563"/>
      <c r="LCV93" s="563"/>
      <c r="LCW93" s="563"/>
      <c r="LCX93" s="563"/>
      <c r="LCY93" s="563"/>
      <c r="LCZ93" s="563"/>
      <c r="LDA93" s="563"/>
      <c r="LDB93" s="563"/>
      <c r="LDC93" s="563"/>
      <c r="LDD93" s="563"/>
      <c r="LDE93" s="563"/>
      <c r="LDF93" s="563"/>
      <c r="LDG93" s="563"/>
      <c r="LDH93" s="563"/>
      <c r="LDI93" s="563"/>
      <c r="LDJ93" s="563"/>
      <c r="LDK93" s="563"/>
      <c r="LDL93" s="563"/>
      <c r="LDM93" s="563"/>
      <c r="LDN93" s="563"/>
      <c r="LDO93" s="563"/>
      <c r="LDP93" s="563"/>
      <c r="LDQ93" s="563"/>
      <c r="LDR93" s="563"/>
      <c r="LDS93" s="563"/>
      <c r="LDT93" s="563"/>
      <c r="LDU93" s="563"/>
      <c r="LDV93" s="563"/>
      <c r="LDW93" s="563"/>
      <c r="LDX93" s="563"/>
      <c r="LDY93" s="563"/>
      <c r="LDZ93" s="563"/>
      <c r="LEA93" s="563"/>
      <c r="LEB93" s="563"/>
      <c r="LEC93" s="563"/>
      <c r="LED93" s="563"/>
      <c r="LEE93" s="563"/>
      <c r="LEF93" s="563"/>
      <c r="LEG93" s="563"/>
      <c r="LEH93" s="563"/>
      <c r="LEI93" s="563"/>
      <c r="LEJ93" s="563"/>
      <c r="LEK93" s="563"/>
      <c r="LEL93" s="563"/>
      <c r="LEM93" s="563"/>
      <c r="LEN93" s="563"/>
      <c r="LEO93" s="563"/>
      <c r="LEP93" s="563"/>
      <c r="LEQ93" s="563"/>
      <c r="LER93" s="563"/>
      <c r="LES93" s="563"/>
      <c r="LET93" s="563"/>
      <c r="LEU93" s="563"/>
      <c r="LEV93" s="563"/>
      <c r="LEW93" s="563"/>
      <c r="LEX93" s="563"/>
      <c r="LEY93" s="563"/>
      <c r="LEZ93" s="563"/>
      <c r="LFA93" s="563"/>
      <c r="LFB93" s="563"/>
      <c r="LFC93" s="563"/>
      <c r="LFD93" s="563"/>
      <c r="LFE93" s="563"/>
      <c r="LFF93" s="563"/>
      <c r="LFG93" s="563"/>
      <c r="LFH93" s="563"/>
      <c r="LFI93" s="563"/>
      <c r="LFJ93" s="563"/>
      <c r="LFK93" s="563"/>
      <c r="LFL93" s="563"/>
      <c r="LFM93" s="563"/>
      <c r="LFN93" s="563"/>
      <c r="LFO93" s="563"/>
      <c r="LFP93" s="563"/>
      <c r="LFQ93" s="563"/>
      <c r="LFR93" s="563"/>
      <c r="LFS93" s="563"/>
      <c r="LFT93" s="563"/>
      <c r="LFU93" s="563"/>
      <c r="LFV93" s="563"/>
      <c r="LFW93" s="563"/>
      <c r="LFX93" s="563"/>
      <c r="LFY93" s="563"/>
      <c r="LFZ93" s="563"/>
      <c r="LGA93" s="563"/>
      <c r="LGB93" s="563"/>
      <c r="LGC93" s="563"/>
      <c r="LGD93" s="563"/>
      <c r="LGE93" s="563"/>
      <c r="LGF93" s="563"/>
      <c r="LGG93" s="563"/>
      <c r="LGH93" s="563"/>
      <c r="LGI93" s="563"/>
      <c r="LGJ93" s="563"/>
      <c r="LGK93" s="563"/>
      <c r="LGL93" s="563"/>
      <c r="LGM93" s="563"/>
      <c r="LGN93" s="563"/>
      <c r="LGO93" s="563"/>
      <c r="LGP93" s="563"/>
      <c r="LGQ93" s="563"/>
      <c r="LGR93" s="563"/>
      <c r="LGS93" s="563"/>
      <c r="LGT93" s="563"/>
      <c r="LGU93" s="563"/>
      <c r="LGV93" s="563"/>
      <c r="LGW93" s="563"/>
      <c r="LGX93" s="563"/>
      <c r="LGY93" s="563"/>
      <c r="LGZ93" s="563"/>
      <c r="LHA93" s="563"/>
      <c r="LHB93" s="563"/>
      <c r="LHC93" s="563"/>
      <c r="LHD93" s="563"/>
      <c r="LHE93" s="563"/>
      <c r="LHF93" s="563"/>
      <c r="LHG93" s="563"/>
      <c r="LHH93" s="563"/>
      <c r="LHI93" s="563"/>
      <c r="LHJ93" s="563"/>
      <c r="LHK93" s="563"/>
      <c r="LHL93" s="563"/>
      <c r="LHM93" s="563"/>
      <c r="LHN93" s="563"/>
      <c r="LHO93" s="563"/>
      <c r="LHP93" s="563"/>
      <c r="LHQ93" s="563"/>
      <c r="LHR93" s="563"/>
      <c r="LHS93" s="563"/>
      <c r="LHT93" s="563"/>
      <c r="LHU93" s="563"/>
      <c r="LHV93" s="563"/>
      <c r="LHW93" s="563"/>
      <c r="LHX93" s="563"/>
      <c r="LHY93" s="563"/>
      <c r="LHZ93" s="563"/>
      <c r="LIA93" s="563"/>
      <c r="LIB93" s="563"/>
      <c r="LIC93" s="563"/>
      <c r="LID93" s="563"/>
      <c r="LIE93" s="563"/>
      <c r="LIF93" s="563"/>
      <c r="LIG93" s="563"/>
      <c r="LIH93" s="563"/>
      <c r="LII93" s="563"/>
      <c r="LIJ93" s="563"/>
      <c r="LIK93" s="563"/>
      <c r="LIL93" s="563"/>
      <c r="LIM93" s="563"/>
      <c r="LIN93" s="563"/>
      <c r="LIO93" s="563"/>
      <c r="LIP93" s="563"/>
      <c r="LIQ93" s="563"/>
      <c r="LIR93" s="563"/>
      <c r="LIS93" s="563"/>
      <c r="LIT93" s="563"/>
      <c r="LIU93" s="563"/>
      <c r="LIV93" s="563"/>
      <c r="LIW93" s="563"/>
      <c r="LIX93" s="563"/>
      <c r="LIY93" s="563"/>
      <c r="LIZ93" s="563"/>
      <c r="LJA93" s="563"/>
      <c r="LJB93" s="563"/>
      <c r="LJC93" s="563"/>
      <c r="LJD93" s="563"/>
      <c r="LJE93" s="563"/>
      <c r="LJF93" s="563"/>
      <c r="LJG93" s="563"/>
      <c r="LJH93" s="563"/>
      <c r="LJI93" s="563"/>
      <c r="LJJ93" s="563"/>
      <c r="LJK93" s="563"/>
      <c r="LJL93" s="563"/>
      <c r="LJM93" s="563"/>
      <c r="LJN93" s="563"/>
      <c r="LJO93" s="563"/>
      <c r="LJP93" s="563"/>
      <c r="LJQ93" s="563"/>
      <c r="LJR93" s="563"/>
      <c r="LJS93" s="563"/>
      <c r="LJT93" s="563"/>
      <c r="LJU93" s="563"/>
      <c r="LJV93" s="563"/>
      <c r="LJW93" s="563"/>
      <c r="LJX93" s="563"/>
      <c r="LJY93" s="563"/>
      <c r="LJZ93" s="563"/>
      <c r="LKA93" s="563"/>
      <c r="LKB93" s="563"/>
      <c r="LKC93" s="563"/>
      <c r="LKD93" s="563"/>
      <c r="LKE93" s="563"/>
      <c r="LKF93" s="563"/>
      <c r="LKG93" s="563"/>
      <c r="LKH93" s="563"/>
      <c r="LKI93" s="563"/>
      <c r="LKJ93" s="563"/>
      <c r="LKK93" s="563"/>
      <c r="LKL93" s="563"/>
      <c r="LKM93" s="563"/>
      <c r="LKN93" s="563"/>
      <c r="LKO93" s="563"/>
      <c r="LKP93" s="563"/>
      <c r="LKQ93" s="563"/>
      <c r="LKR93" s="563"/>
      <c r="LKS93" s="563"/>
      <c r="LKT93" s="563"/>
      <c r="LKU93" s="563"/>
      <c r="LKV93" s="563"/>
      <c r="LKW93" s="563"/>
      <c r="LKX93" s="563"/>
      <c r="LKY93" s="563"/>
      <c r="LKZ93" s="563"/>
      <c r="LLA93" s="563"/>
      <c r="LLB93" s="563"/>
      <c r="LLC93" s="563"/>
      <c r="LLD93" s="563"/>
      <c r="LLE93" s="563"/>
      <c r="LLF93" s="563"/>
      <c r="LLG93" s="563"/>
      <c r="LLH93" s="563"/>
      <c r="LLI93" s="563"/>
      <c r="LLJ93" s="563"/>
      <c r="LLK93" s="563"/>
      <c r="LLL93" s="563"/>
      <c r="LLM93" s="563"/>
      <c r="LLN93" s="563"/>
      <c r="LLO93" s="563"/>
      <c r="LLP93" s="563"/>
      <c r="LLQ93" s="563"/>
      <c r="LLR93" s="563"/>
      <c r="LLS93" s="563"/>
      <c r="LLT93" s="563"/>
      <c r="LLU93" s="563"/>
      <c r="LLV93" s="563"/>
      <c r="LLW93" s="563"/>
      <c r="LLX93" s="563"/>
      <c r="LLY93" s="563"/>
      <c r="LLZ93" s="563"/>
      <c r="LMA93" s="563"/>
      <c r="LMB93" s="563"/>
      <c r="LMC93" s="563"/>
      <c r="LMD93" s="563"/>
      <c r="LME93" s="563"/>
      <c r="LMF93" s="563"/>
      <c r="LMG93" s="563"/>
      <c r="LMH93" s="563"/>
      <c r="LMI93" s="563"/>
      <c r="LMJ93" s="563"/>
      <c r="LMK93" s="563"/>
      <c r="LML93" s="563"/>
      <c r="LMM93" s="563"/>
      <c r="LMN93" s="563"/>
      <c r="LMO93" s="563"/>
      <c r="LMP93" s="563"/>
      <c r="LMQ93" s="563"/>
      <c r="LMR93" s="563"/>
      <c r="LMS93" s="563"/>
      <c r="LMT93" s="563"/>
      <c r="LMU93" s="563"/>
      <c r="LMV93" s="563"/>
      <c r="LMW93" s="563"/>
      <c r="LMX93" s="563"/>
      <c r="LMY93" s="563"/>
      <c r="LMZ93" s="563"/>
      <c r="LNA93" s="563"/>
      <c r="LNB93" s="563"/>
      <c r="LNC93" s="563"/>
      <c r="LND93" s="563"/>
      <c r="LNE93" s="563"/>
      <c r="LNF93" s="563"/>
      <c r="LNG93" s="563"/>
      <c r="LNH93" s="563"/>
      <c r="LNI93" s="563"/>
      <c r="LNJ93" s="563"/>
      <c r="LNK93" s="563"/>
      <c r="LNL93" s="563"/>
      <c r="LNM93" s="563"/>
      <c r="LNN93" s="563"/>
      <c r="LNO93" s="563"/>
      <c r="LNP93" s="563"/>
      <c r="LNQ93" s="563"/>
      <c r="LNR93" s="563"/>
      <c r="LNS93" s="563"/>
      <c r="LNT93" s="563"/>
      <c r="LNU93" s="563"/>
      <c r="LNV93" s="563"/>
      <c r="LNW93" s="563"/>
      <c r="LNX93" s="563"/>
      <c r="LNY93" s="563"/>
      <c r="LNZ93" s="563"/>
      <c r="LOA93" s="563"/>
      <c r="LOB93" s="563"/>
      <c r="LOC93" s="563"/>
      <c r="LOD93" s="563"/>
      <c r="LOE93" s="563"/>
      <c r="LOF93" s="563"/>
      <c r="LOG93" s="563"/>
      <c r="LOH93" s="563"/>
      <c r="LOI93" s="563"/>
      <c r="LOJ93" s="563"/>
      <c r="LOK93" s="563"/>
      <c r="LOL93" s="563"/>
      <c r="LOM93" s="563"/>
      <c r="LON93" s="563"/>
      <c r="LOO93" s="563"/>
      <c r="LOP93" s="563"/>
      <c r="LOQ93" s="563"/>
      <c r="LOR93" s="563"/>
      <c r="LOS93" s="563"/>
      <c r="LOT93" s="563"/>
      <c r="LOU93" s="563"/>
      <c r="LOV93" s="563"/>
      <c r="LOW93" s="563"/>
      <c r="LOX93" s="563"/>
      <c r="LOY93" s="563"/>
      <c r="LOZ93" s="563"/>
      <c r="LPA93" s="563"/>
      <c r="LPB93" s="563"/>
      <c r="LPC93" s="563"/>
      <c r="LPD93" s="563"/>
      <c r="LPE93" s="563"/>
      <c r="LPF93" s="563"/>
      <c r="LPG93" s="563"/>
      <c r="LPH93" s="563"/>
      <c r="LPI93" s="563"/>
      <c r="LPJ93" s="563"/>
      <c r="LPK93" s="563"/>
      <c r="LPL93" s="563"/>
      <c r="LPM93" s="563"/>
      <c r="LPN93" s="563"/>
      <c r="LPO93" s="563"/>
      <c r="LPP93" s="563"/>
      <c r="LPQ93" s="563"/>
      <c r="LPR93" s="563"/>
      <c r="LPS93" s="563"/>
      <c r="LPT93" s="563"/>
      <c r="LPU93" s="563"/>
      <c r="LPV93" s="563"/>
      <c r="LPW93" s="563"/>
      <c r="LPX93" s="563"/>
      <c r="LPY93" s="563"/>
      <c r="LPZ93" s="563"/>
      <c r="LQA93" s="563"/>
      <c r="LQB93" s="563"/>
      <c r="LQC93" s="563"/>
      <c r="LQD93" s="563"/>
      <c r="LQE93" s="563"/>
      <c r="LQF93" s="563"/>
      <c r="LQG93" s="563"/>
      <c r="LQH93" s="563"/>
      <c r="LQI93" s="563"/>
      <c r="LQJ93" s="563"/>
      <c r="LQK93" s="563"/>
      <c r="LQL93" s="563"/>
      <c r="LQM93" s="563"/>
      <c r="LQN93" s="563"/>
      <c r="LQO93" s="563"/>
      <c r="LQP93" s="563"/>
      <c r="LQQ93" s="563"/>
      <c r="LQR93" s="563"/>
      <c r="LQS93" s="563"/>
      <c r="LQT93" s="563"/>
      <c r="LQU93" s="563"/>
      <c r="LQV93" s="563"/>
      <c r="LQW93" s="563"/>
      <c r="LQX93" s="563"/>
      <c r="LQY93" s="563"/>
      <c r="LQZ93" s="563"/>
      <c r="LRA93" s="563"/>
      <c r="LRB93" s="563"/>
      <c r="LRC93" s="563"/>
      <c r="LRD93" s="563"/>
      <c r="LRE93" s="563"/>
      <c r="LRF93" s="563"/>
      <c r="LRG93" s="563"/>
      <c r="LRH93" s="563"/>
      <c r="LRI93" s="563"/>
      <c r="LRJ93" s="563"/>
      <c r="LRK93" s="563"/>
      <c r="LRL93" s="563"/>
      <c r="LRM93" s="563"/>
      <c r="LRN93" s="563"/>
      <c r="LRO93" s="563"/>
      <c r="LRP93" s="563"/>
      <c r="LRQ93" s="563"/>
      <c r="LRR93" s="563"/>
      <c r="LRS93" s="563"/>
      <c r="LRT93" s="563"/>
      <c r="LRU93" s="563"/>
      <c r="LRV93" s="563"/>
      <c r="LRW93" s="563"/>
      <c r="LRX93" s="563"/>
      <c r="LRY93" s="563"/>
      <c r="LRZ93" s="563"/>
      <c r="LSA93" s="563"/>
      <c r="LSB93" s="563"/>
      <c r="LSC93" s="563"/>
      <c r="LSD93" s="563"/>
      <c r="LSE93" s="563"/>
      <c r="LSF93" s="563"/>
      <c r="LSG93" s="563"/>
      <c r="LSH93" s="563"/>
      <c r="LSI93" s="563"/>
      <c r="LSJ93" s="563"/>
      <c r="LSK93" s="563"/>
      <c r="LSL93" s="563"/>
      <c r="LSM93" s="563"/>
      <c r="LSN93" s="563"/>
      <c r="LSO93" s="563"/>
      <c r="LSP93" s="563"/>
      <c r="LSQ93" s="563"/>
      <c r="LSR93" s="563"/>
      <c r="LSS93" s="563"/>
      <c r="LST93" s="563"/>
      <c r="LSU93" s="563"/>
      <c r="LSV93" s="563"/>
      <c r="LSW93" s="563"/>
      <c r="LSX93" s="563"/>
      <c r="LSY93" s="563"/>
      <c r="LSZ93" s="563"/>
      <c r="LTA93" s="563"/>
      <c r="LTB93" s="563"/>
      <c r="LTC93" s="563"/>
      <c r="LTD93" s="563"/>
      <c r="LTE93" s="563"/>
      <c r="LTF93" s="563"/>
      <c r="LTG93" s="563"/>
      <c r="LTH93" s="563"/>
      <c r="LTI93" s="563"/>
      <c r="LTJ93" s="563"/>
      <c r="LTK93" s="563"/>
      <c r="LTL93" s="563"/>
      <c r="LTM93" s="563"/>
      <c r="LTN93" s="563"/>
      <c r="LTO93" s="563"/>
      <c r="LTP93" s="563"/>
      <c r="LTQ93" s="563"/>
      <c r="LTR93" s="563"/>
      <c r="LTS93" s="563"/>
      <c r="LTT93" s="563"/>
      <c r="LTU93" s="563"/>
      <c r="LTV93" s="563"/>
      <c r="LTW93" s="563"/>
      <c r="LTX93" s="563"/>
      <c r="LTY93" s="563"/>
      <c r="LTZ93" s="563"/>
      <c r="LUA93" s="563"/>
      <c r="LUB93" s="563"/>
      <c r="LUC93" s="563"/>
      <c r="LUD93" s="563"/>
      <c r="LUE93" s="563"/>
      <c r="LUF93" s="563"/>
      <c r="LUG93" s="563"/>
      <c r="LUH93" s="563"/>
      <c r="LUI93" s="563"/>
      <c r="LUJ93" s="563"/>
      <c r="LUK93" s="563"/>
      <c r="LUL93" s="563"/>
      <c r="LUM93" s="563"/>
      <c r="LUN93" s="563"/>
      <c r="LUO93" s="563"/>
      <c r="LUP93" s="563"/>
      <c r="LUQ93" s="563"/>
      <c r="LUR93" s="563"/>
      <c r="LUS93" s="563"/>
      <c r="LUT93" s="563"/>
      <c r="LUU93" s="563"/>
      <c r="LUV93" s="563"/>
      <c r="LUW93" s="563"/>
      <c r="LUX93" s="563"/>
      <c r="LUY93" s="563"/>
      <c r="LUZ93" s="563"/>
      <c r="LVA93" s="563"/>
      <c r="LVB93" s="563"/>
      <c r="LVC93" s="563"/>
      <c r="LVD93" s="563"/>
      <c r="LVE93" s="563"/>
      <c r="LVF93" s="563"/>
      <c r="LVG93" s="563"/>
      <c r="LVH93" s="563"/>
      <c r="LVI93" s="563"/>
      <c r="LVJ93" s="563"/>
      <c r="LVK93" s="563"/>
      <c r="LVL93" s="563"/>
      <c r="LVM93" s="563"/>
      <c r="LVN93" s="563"/>
      <c r="LVO93" s="563"/>
      <c r="LVP93" s="563"/>
      <c r="LVQ93" s="563"/>
      <c r="LVR93" s="563"/>
      <c r="LVS93" s="563"/>
      <c r="LVT93" s="563"/>
      <c r="LVU93" s="563"/>
      <c r="LVV93" s="563"/>
      <c r="LVW93" s="563"/>
      <c r="LVX93" s="563"/>
      <c r="LVY93" s="563"/>
      <c r="LVZ93" s="563"/>
      <c r="LWA93" s="563"/>
      <c r="LWB93" s="563"/>
      <c r="LWC93" s="563"/>
      <c r="LWD93" s="563"/>
      <c r="LWE93" s="563"/>
      <c r="LWF93" s="563"/>
      <c r="LWG93" s="563"/>
      <c r="LWH93" s="563"/>
      <c r="LWI93" s="563"/>
      <c r="LWJ93" s="563"/>
      <c r="LWK93" s="563"/>
      <c r="LWL93" s="563"/>
      <c r="LWM93" s="563"/>
      <c r="LWN93" s="563"/>
      <c r="LWO93" s="563"/>
      <c r="LWP93" s="563"/>
      <c r="LWQ93" s="563"/>
      <c r="LWR93" s="563"/>
      <c r="LWS93" s="563"/>
      <c r="LWT93" s="563"/>
      <c r="LWU93" s="563"/>
      <c r="LWV93" s="563"/>
      <c r="LWW93" s="563"/>
      <c r="LWX93" s="563"/>
      <c r="LWY93" s="563"/>
      <c r="LWZ93" s="563"/>
      <c r="LXA93" s="563"/>
      <c r="LXB93" s="563"/>
      <c r="LXC93" s="563"/>
      <c r="LXD93" s="563"/>
      <c r="LXE93" s="563"/>
      <c r="LXF93" s="563"/>
      <c r="LXG93" s="563"/>
      <c r="LXH93" s="563"/>
      <c r="LXI93" s="563"/>
      <c r="LXJ93" s="563"/>
      <c r="LXK93" s="563"/>
      <c r="LXL93" s="563"/>
      <c r="LXM93" s="563"/>
      <c r="LXN93" s="563"/>
      <c r="LXO93" s="563"/>
      <c r="LXP93" s="563"/>
      <c r="LXQ93" s="563"/>
      <c r="LXR93" s="563"/>
      <c r="LXS93" s="563"/>
      <c r="LXT93" s="563"/>
      <c r="LXU93" s="563"/>
      <c r="LXV93" s="563"/>
      <c r="LXW93" s="563"/>
      <c r="LXX93" s="563"/>
      <c r="LXY93" s="563"/>
      <c r="LXZ93" s="563"/>
      <c r="LYA93" s="563"/>
      <c r="LYB93" s="563"/>
      <c r="LYC93" s="563"/>
      <c r="LYD93" s="563"/>
      <c r="LYE93" s="563"/>
      <c r="LYF93" s="563"/>
      <c r="LYG93" s="563"/>
      <c r="LYH93" s="563"/>
      <c r="LYI93" s="563"/>
      <c r="LYJ93" s="563"/>
      <c r="LYK93" s="563"/>
      <c r="LYL93" s="563"/>
      <c r="LYM93" s="563"/>
      <c r="LYN93" s="563"/>
      <c r="LYO93" s="563"/>
      <c r="LYP93" s="563"/>
      <c r="LYQ93" s="563"/>
      <c r="LYR93" s="563"/>
      <c r="LYS93" s="563"/>
      <c r="LYT93" s="563"/>
      <c r="LYU93" s="563"/>
      <c r="LYV93" s="563"/>
      <c r="LYW93" s="563"/>
      <c r="LYX93" s="563"/>
      <c r="LYY93" s="563"/>
      <c r="LYZ93" s="563"/>
      <c r="LZA93" s="563"/>
      <c r="LZB93" s="563"/>
      <c r="LZC93" s="563"/>
      <c r="LZD93" s="563"/>
      <c r="LZE93" s="563"/>
      <c r="LZF93" s="563"/>
      <c r="LZG93" s="563"/>
      <c r="LZH93" s="563"/>
      <c r="LZI93" s="563"/>
      <c r="LZJ93" s="563"/>
      <c r="LZK93" s="563"/>
      <c r="LZL93" s="563"/>
      <c r="LZM93" s="563"/>
      <c r="LZN93" s="563"/>
      <c r="LZO93" s="563"/>
      <c r="LZP93" s="563"/>
      <c r="LZQ93" s="563"/>
      <c r="LZR93" s="563"/>
      <c r="LZS93" s="563"/>
      <c r="LZT93" s="563"/>
      <c r="LZU93" s="563"/>
      <c r="LZV93" s="563"/>
      <c r="LZW93" s="563"/>
      <c r="LZX93" s="563"/>
      <c r="LZY93" s="563"/>
      <c r="LZZ93" s="563"/>
      <c r="MAA93" s="563"/>
      <c r="MAB93" s="563"/>
      <c r="MAC93" s="563"/>
      <c r="MAD93" s="563"/>
      <c r="MAE93" s="563"/>
      <c r="MAF93" s="563"/>
      <c r="MAG93" s="563"/>
      <c r="MAH93" s="563"/>
      <c r="MAI93" s="563"/>
      <c r="MAJ93" s="563"/>
      <c r="MAK93" s="563"/>
      <c r="MAL93" s="563"/>
      <c r="MAM93" s="563"/>
      <c r="MAN93" s="563"/>
      <c r="MAO93" s="563"/>
      <c r="MAP93" s="563"/>
      <c r="MAQ93" s="563"/>
      <c r="MAR93" s="563"/>
      <c r="MAS93" s="563"/>
      <c r="MAT93" s="563"/>
      <c r="MAU93" s="563"/>
      <c r="MAV93" s="563"/>
      <c r="MAW93" s="563"/>
      <c r="MAX93" s="563"/>
      <c r="MAY93" s="563"/>
      <c r="MAZ93" s="563"/>
      <c r="MBA93" s="563"/>
      <c r="MBB93" s="563"/>
      <c r="MBC93" s="563"/>
      <c r="MBD93" s="563"/>
      <c r="MBE93" s="563"/>
      <c r="MBF93" s="563"/>
      <c r="MBG93" s="563"/>
      <c r="MBH93" s="563"/>
      <c r="MBI93" s="563"/>
      <c r="MBJ93" s="563"/>
      <c r="MBK93" s="563"/>
      <c r="MBL93" s="563"/>
      <c r="MBM93" s="563"/>
      <c r="MBN93" s="563"/>
      <c r="MBO93" s="563"/>
      <c r="MBP93" s="563"/>
      <c r="MBQ93" s="563"/>
      <c r="MBR93" s="563"/>
      <c r="MBS93" s="563"/>
      <c r="MBT93" s="563"/>
      <c r="MBU93" s="563"/>
      <c r="MBV93" s="563"/>
      <c r="MBW93" s="563"/>
      <c r="MBX93" s="563"/>
      <c r="MBY93" s="563"/>
      <c r="MBZ93" s="563"/>
      <c r="MCA93" s="563"/>
      <c r="MCB93" s="563"/>
      <c r="MCC93" s="563"/>
      <c r="MCD93" s="563"/>
      <c r="MCE93" s="563"/>
      <c r="MCF93" s="563"/>
      <c r="MCG93" s="563"/>
      <c r="MCH93" s="563"/>
      <c r="MCI93" s="563"/>
      <c r="MCJ93" s="563"/>
      <c r="MCK93" s="563"/>
      <c r="MCL93" s="563"/>
      <c r="MCM93" s="563"/>
      <c r="MCN93" s="563"/>
      <c r="MCO93" s="563"/>
      <c r="MCP93" s="563"/>
      <c r="MCQ93" s="563"/>
      <c r="MCR93" s="563"/>
      <c r="MCS93" s="563"/>
      <c r="MCT93" s="563"/>
      <c r="MCU93" s="563"/>
      <c r="MCV93" s="563"/>
      <c r="MCW93" s="563"/>
      <c r="MCX93" s="563"/>
      <c r="MCY93" s="563"/>
      <c r="MCZ93" s="563"/>
      <c r="MDA93" s="563"/>
      <c r="MDB93" s="563"/>
      <c r="MDC93" s="563"/>
      <c r="MDD93" s="563"/>
      <c r="MDE93" s="563"/>
      <c r="MDF93" s="563"/>
      <c r="MDG93" s="563"/>
      <c r="MDH93" s="563"/>
      <c r="MDI93" s="563"/>
      <c r="MDJ93" s="563"/>
      <c r="MDK93" s="563"/>
      <c r="MDL93" s="563"/>
      <c r="MDM93" s="563"/>
      <c r="MDN93" s="563"/>
      <c r="MDO93" s="563"/>
      <c r="MDP93" s="563"/>
      <c r="MDQ93" s="563"/>
      <c r="MDR93" s="563"/>
      <c r="MDS93" s="563"/>
      <c r="MDT93" s="563"/>
      <c r="MDU93" s="563"/>
      <c r="MDV93" s="563"/>
      <c r="MDW93" s="563"/>
      <c r="MDX93" s="563"/>
      <c r="MDY93" s="563"/>
      <c r="MDZ93" s="563"/>
      <c r="MEA93" s="563"/>
      <c r="MEB93" s="563"/>
      <c r="MEC93" s="563"/>
      <c r="MED93" s="563"/>
      <c r="MEE93" s="563"/>
      <c r="MEF93" s="563"/>
      <c r="MEG93" s="563"/>
      <c r="MEH93" s="563"/>
      <c r="MEI93" s="563"/>
      <c r="MEJ93" s="563"/>
      <c r="MEK93" s="563"/>
      <c r="MEL93" s="563"/>
      <c r="MEM93" s="563"/>
      <c r="MEN93" s="563"/>
      <c r="MEO93" s="563"/>
      <c r="MEP93" s="563"/>
      <c r="MEQ93" s="563"/>
      <c r="MER93" s="563"/>
      <c r="MES93" s="563"/>
      <c r="MET93" s="563"/>
      <c r="MEU93" s="563"/>
      <c r="MEV93" s="563"/>
      <c r="MEW93" s="563"/>
      <c r="MEX93" s="563"/>
      <c r="MEY93" s="563"/>
      <c r="MEZ93" s="563"/>
      <c r="MFA93" s="563"/>
      <c r="MFB93" s="563"/>
      <c r="MFC93" s="563"/>
      <c r="MFD93" s="563"/>
      <c r="MFE93" s="563"/>
      <c r="MFF93" s="563"/>
      <c r="MFG93" s="563"/>
      <c r="MFH93" s="563"/>
      <c r="MFI93" s="563"/>
      <c r="MFJ93" s="563"/>
      <c r="MFK93" s="563"/>
      <c r="MFL93" s="563"/>
      <c r="MFM93" s="563"/>
      <c r="MFN93" s="563"/>
      <c r="MFO93" s="563"/>
      <c r="MFP93" s="563"/>
      <c r="MFQ93" s="563"/>
      <c r="MFR93" s="563"/>
      <c r="MFS93" s="563"/>
      <c r="MFT93" s="563"/>
      <c r="MFU93" s="563"/>
      <c r="MFV93" s="563"/>
      <c r="MFW93" s="563"/>
      <c r="MFX93" s="563"/>
      <c r="MFY93" s="563"/>
      <c r="MFZ93" s="563"/>
      <c r="MGA93" s="563"/>
      <c r="MGB93" s="563"/>
      <c r="MGC93" s="563"/>
      <c r="MGD93" s="563"/>
      <c r="MGE93" s="563"/>
      <c r="MGF93" s="563"/>
      <c r="MGG93" s="563"/>
      <c r="MGH93" s="563"/>
      <c r="MGI93" s="563"/>
      <c r="MGJ93" s="563"/>
      <c r="MGK93" s="563"/>
      <c r="MGL93" s="563"/>
      <c r="MGM93" s="563"/>
      <c r="MGN93" s="563"/>
      <c r="MGO93" s="563"/>
      <c r="MGP93" s="563"/>
      <c r="MGQ93" s="563"/>
      <c r="MGR93" s="563"/>
      <c r="MGS93" s="563"/>
      <c r="MGT93" s="563"/>
      <c r="MGU93" s="563"/>
      <c r="MGV93" s="563"/>
      <c r="MGW93" s="563"/>
      <c r="MGX93" s="563"/>
      <c r="MGY93" s="563"/>
      <c r="MGZ93" s="563"/>
      <c r="MHA93" s="563"/>
      <c r="MHB93" s="563"/>
      <c r="MHC93" s="563"/>
      <c r="MHD93" s="563"/>
      <c r="MHE93" s="563"/>
      <c r="MHF93" s="563"/>
      <c r="MHG93" s="563"/>
      <c r="MHH93" s="563"/>
      <c r="MHI93" s="563"/>
      <c r="MHJ93" s="563"/>
      <c r="MHK93" s="563"/>
      <c r="MHL93" s="563"/>
      <c r="MHM93" s="563"/>
      <c r="MHN93" s="563"/>
      <c r="MHO93" s="563"/>
      <c r="MHP93" s="563"/>
      <c r="MHQ93" s="563"/>
      <c r="MHR93" s="563"/>
      <c r="MHS93" s="563"/>
      <c r="MHT93" s="563"/>
      <c r="MHU93" s="563"/>
      <c r="MHV93" s="563"/>
      <c r="MHW93" s="563"/>
      <c r="MHX93" s="563"/>
      <c r="MHY93" s="563"/>
      <c r="MHZ93" s="563"/>
      <c r="MIA93" s="563"/>
      <c r="MIB93" s="563"/>
      <c r="MIC93" s="563"/>
      <c r="MID93" s="563"/>
      <c r="MIE93" s="563"/>
      <c r="MIF93" s="563"/>
      <c r="MIG93" s="563"/>
      <c r="MIH93" s="563"/>
      <c r="MII93" s="563"/>
      <c r="MIJ93" s="563"/>
      <c r="MIK93" s="563"/>
      <c r="MIL93" s="563"/>
      <c r="MIM93" s="563"/>
      <c r="MIN93" s="563"/>
      <c r="MIO93" s="563"/>
      <c r="MIP93" s="563"/>
      <c r="MIQ93" s="563"/>
      <c r="MIR93" s="563"/>
      <c r="MIS93" s="563"/>
      <c r="MIT93" s="563"/>
      <c r="MIU93" s="563"/>
      <c r="MIV93" s="563"/>
      <c r="MIW93" s="563"/>
      <c r="MIX93" s="563"/>
      <c r="MIY93" s="563"/>
      <c r="MIZ93" s="563"/>
      <c r="MJA93" s="563"/>
      <c r="MJB93" s="563"/>
      <c r="MJC93" s="563"/>
      <c r="MJD93" s="563"/>
      <c r="MJE93" s="563"/>
      <c r="MJF93" s="563"/>
      <c r="MJG93" s="563"/>
      <c r="MJH93" s="563"/>
      <c r="MJI93" s="563"/>
      <c r="MJJ93" s="563"/>
      <c r="MJK93" s="563"/>
      <c r="MJL93" s="563"/>
      <c r="MJM93" s="563"/>
      <c r="MJN93" s="563"/>
      <c r="MJO93" s="563"/>
      <c r="MJP93" s="563"/>
      <c r="MJQ93" s="563"/>
      <c r="MJR93" s="563"/>
      <c r="MJS93" s="563"/>
      <c r="MJT93" s="563"/>
      <c r="MJU93" s="563"/>
      <c r="MJV93" s="563"/>
      <c r="MJW93" s="563"/>
      <c r="MJX93" s="563"/>
      <c r="MJY93" s="563"/>
      <c r="MJZ93" s="563"/>
      <c r="MKA93" s="563"/>
      <c r="MKB93" s="563"/>
      <c r="MKC93" s="563"/>
      <c r="MKD93" s="563"/>
      <c r="MKE93" s="563"/>
      <c r="MKF93" s="563"/>
      <c r="MKG93" s="563"/>
      <c r="MKH93" s="563"/>
      <c r="MKI93" s="563"/>
      <c r="MKJ93" s="563"/>
      <c r="MKK93" s="563"/>
      <c r="MKL93" s="563"/>
      <c r="MKM93" s="563"/>
      <c r="MKN93" s="563"/>
      <c r="MKO93" s="563"/>
      <c r="MKP93" s="563"/>
      <c r="MKQ93" s="563"/>
      <c r="MKR93" s="563"/>
      <c r="MKS93" s="563"/>
      <c r="MKT93" s="563"/>
      <c r="MKU93" s="563"/>
      <c r="MKV93" s="563"/>
      <c r="MKW93" s="563"/>
      <c r="MKX93" s="563"/>
      <c r="MKY93" s="563"/>
      <c r="MKZ93" s="563"/>
      <c r="MLA93" s="563"/>
      <c r="MLB93" s="563"/>
      <c r="MLC93" s="563"/>
      <c r="MLD93" s="563"/>
      <c r="MLE93" s="563"/>
      <c r="MLF93" s="563"/>
      <c r="MLG93" s="563"/>
      <c r="MLH93" s="563"/>
      <c r="MLI93" s="563"/>
      <c r="MLJ93" s="563"/>
      <c r="MLK93" s="563"/>
      <c r="MLL93" s="563"/>
      <c r="MLM93" s="563"/>
      <c r="MLN93" s="563"/>
      <c r="MLO93" s="563"/>
      <c r="MLP93" s="563"/>
      <c r="MLQ93" s="563"/>
      <c r="MLR93" s="563"/>
      <c r="MLS93" s="563"/>
      <c r="MLT93" s="563"/>
      <c r="MLU93" s="563"/>
      <c r="MLV93" s="563"/>
      <c r="MLW93" s="563"/>
      <c r="MLX93" s="563"/>
      <c r="MLY93" s="563"/>
      <c r="MLZ93" s="563"/>
      <c r="MMA93" s="563"/>
      <c r="MMB93" s="563"/>
      <c r="MMC93" s="563"/>
      <c r="MMD93" s="563"/>
      <c r="MME93" s="563"/>
      <c r="MMF93" s="563"/>
      <c r="MMG93" s="563"/>
      <c r="MMH93" s="563"/>
      <c r="MMI93" s="563"/>
      <c r="MMJ93" s="563"/>
      <c r="MMK93" s="563"/>
      <c r="MML93" s="563"/>
      <c r="MMM93" s="563"/>
      <c r="MMN93" s="563"/>
      <c r="MMO93" s="563"/>
      <c r="MMP93" s="563"/>
      <c r="MMQ93" s="563"/>
      <c r="MMR93" s="563"/>
      <c r="MMS93" s="563"/>
      <c r="MMT93" s="563"/>
      <c r="MMU93" s="563"/>
      <c r="MMV93" s="563"/>
      <c r="MMW93" s="563"/>
      <c r="MMX93" s="563"/>
      <c r="MMY93" s="563"/>
      <c r="MMZ93" s="563"/>
      <c r="MNA93" s="563"/>
      <c r="MNB93" s="563"/>
      <c r="MNC93" s="563"/>
      <c r="MND93" s="563"/>
      <c r="MNE93" s="563"/>
      <c r="MNF93" s="563"/>
      <c r="MNG93" s="563"/>
      <c r="MNH93" s="563"/>
      <c r="MNI93" s="563"/>
      <c r="MNJ93" s="563"/>
      <c r="MNK93" s="563"/>
      <c r="MNL93" s="563"/>
      <c r="MNM93" s="563"/>
      <c r="MNN93" s="563"/>
      <c r="MNO93" s="563"/>
      <c r="MNP93" s="563"/>
      <c r="MNQ93" s="563"/>
      <c r="MNR93" s="563"/>
      <c r="MNS93" s="563"/>
      <c r="MNT93" s="563"/>
      <c r="MNU93" s="563"/>
      <c r="MNV93" s="563"/>
      <c r="MNW93" s="563"/>
      <c r="MNX93" s="563"/>
      <c r="MNY93" s="563"/>
      <c r="MNZ93" s="563"/>
      <c r="MOA93" s="563"/>
      <c r="MOB93" s="563"/>
      <c r="MOC93" s="563"/>
      <c r="MOD93" s="563"/>
      <c r="MOE93" s="563"/>
      <c r="MOF93" s="563"/>
      <c r="MOG93" s="563"/>
      <c r="MOH93" s="563"/>
      <c r="MOI93" s="563"/>
      <c r="MOJ93" s="563"/>
      <c r="MOK93" s="563"/>
      <c r="MOL93" s="563"/>
      <c r="MOM93" s="563"/>
      <c r="MON93" s="563"/>
      <c r="MOO93" s="563"/>
      <c r="MOP93" s="563"/>
      <c r="MOQ93" s="563"/>
      <c r="MOR93" s="563"/>
      <c r="MOS93" s="563"/>
      <c r="MOT93" s="563"/>
      <c r="MOU93" s="563"/>
      <c r="MOV93" s="563"/>
      <c r="MOW93" s="563"/>
      <c r="MOX93" s="563"/>
      <c r="MOY93" s="563"/>
      <c r="MOZ93" s="563"/>
      <c r="MPA93" s="563"/>
      <c r="MPB93" s="563"/>
      <c r="MPC93" s="563"/>
      <c r="MPD93" s="563"/>
      <c r="MPE93" s="563"/>
      <c r="MPF93" s="563"/>
      <c r="MPG93" s="563"/>
      <c r="MPH93" s="563"/>
      <c r="MPI93" s="563"/>
      <c r="MPJ93" s="563"/>
      <c r="MPK93" s="563"/>
      <c r="MPL93" s="563"/>
      <c r="MPM93" s="563"/>
      <c r="MPN93" s="563"/>
      <c r="MPO93" s="563"/>
      <c r="MPP93" s="563"/>
      <c r="MPQ93" s="563"/>
      <c r="MPR93" s="563"/>
      <c r="MPS93" s="563"/>
      <c r="MPT93" s="563"/>
      <c r="MPU93" s="563"/>
      <c r="MPV93" s="563"/>
      <c r="MPW93" s="563"/>
      <c r="MPX93" s="563"/>
      <c r="MPY93" s="563"/>
      <c r="MPZ93" s="563"/>
      <c r="MQA93" s="563"/>
      <c r="MQB93" s="563"/>
      <c r="MQC93" s="563"/>
      <c r="MQD93" s="563"/>
      <c r="MQE93" s="563"/>
      <c r="MQF93" s="563"/>
      <c r="MQG93" s="563"/>
      <c r="MQH93" s="563"/>
      <c r="MQI93" s="563"/>
      <c r="MQJ93" s="563"/>
      <c r="MQK93" s="563"/>
      <c r="MQL93" s="563"/>
      <c r="MQM93" s="563"/>
      <c r="MQN93" s="563"/>
      <c r="MQO93" s="563"/>
      <c r="MQP93" s="563"/>
      <c r="MQQ93" s="563"/>
      <c r="MQR93" s="563"/>
      <c r="MQS93" s="563"/>
      <c r="MQT93" s="563"/>
      <c r="MQU93" s="563"/>
      <c r="MQV93" s="563"/>
      <c r="MQW93" s="563"/>
      <c r="MQX93" s="563"/>
      <c r="MQY93" s="563"/>
      <c r="MQZ93" s="563"/>
      <c r="MRA93" s="563"/>
      <c r="MRB93" s="563"/>
      <c r="MRC93" s="563"/>
      <c r="MRD93" s="563"/>
      <c r="MRE93" s="563"/>
      <c r="MRF93" s="563"/>
      <c r="MRG93" s="563"/>
      <c r="MRH93" s="563"/>
      <c r="MRI93" s="563"/>
      <c r="MRJ93" s="563"/>
      <c r="MRK93" s="563"/>
      <c r="MRL93" s="563"/>
      <c r="MRM93" s="563"/>
      <c r="MRN93" s="563"/>
      <c r="MRO93" s="563"/>
      <c r="MRP93" s="563"/>
      <c r="MRQ93" s="563"/>
      <c r="MRR93" s="563"/>
      <c r="MRS93" s="563"/>
      <c r="MRT93" s="563"/>
      <c r="MRU93" s="563"/>
      <c r="MRV93" s="563"/>
      <c r="MRW93" s="563"/>
      <c r="MRX93" s="563"/>
      <c r="MRY93" s="563"/>
      <c r="MRZ93" s="563"/>
      <c r="MSA93" s="563"/>
      <c r="MSB93" s="563"/>
      <c r="MSC93" s="563"/>
      <c r="MSD93" s="563"/>
      <c r="MSE93" s="563"/>
      <c r="MSF93" s="563"/>
      <c r="MSG93" s="563"/>
      <c r="MSH93" s="563"/>
      <c r="MSI93" s="563"/>
      <c r="MSJ93" s="563"/>
      <c r="MSK93" s="563"/>
      <c r="MSL93" s="563"/>
      <c r="MSM93" s="563"/>
      <c r="MSN93" s="563"/>
      <c r="MSO93" s="563"/>
      <c r="MSP93" s="563"/>
      <c r="MSQ93" s="563"/>
      <c r="MSR93" s="563"/>
      <c r="MSS93" s="563"/>
      <c r="MST93" s="563"/>
      <c r="MSU93" s="563"/>
      <c r="MSV93" s="563"/>
      <c r="MSW93" s="563"/>
      <c r="MSX93" s="563"/>
      <c r="MSY93" s="563"/>
      <c r="MSZ93" s="563"/>
      <c r="MTA93" s="563"/>
      <c r="MTB93" s="563"/>
      <c r="MTC93" s="563"/>
      <c r="MTD93" s="563"/>
      <c r="MTE93" s="563"/>
      <c r="MTF93" s="563"/>
      <c r="MTG93" s="563"/>
      <c r="MTH93" s="563"/>
      <c r="MTI93" s="563"/>
      <c r="MTJ93" s="563"/>
      <c r="MTK93" s="563"/>
      <c r="MTL93" s="563"/>
      <c r="MTM93" s="563"/>
      <c r="MTN93" s="563"/>
      <c r="MTO93" s="563"/>
      <c r="MTP93" s="563"/>
      <c r="MTQ93" s="563"/>
      <c r="MTR93" s="563"/>
      <c r="MTS93" s="563"/>
      <c r="MTT93" s="563"/>
      <c r="MTU93" s="563"/>
      <c r="MTV93" s="563"/>
      <c r="MTW93" s="563"/>
      <c r="MTX93" s="563"/>
      <c r="MTY93" s="563"/>
      <c r="MTZ93" s="563"/>
      <c r="MUA93" s="563"/>
      <c r="MUB93" s="563"/>
      <c r="MUC93" s="563"/>
      <c r="MUD93" s="563"/>
      <c r="MUE93" s="563"/>
      <c r="MUF93" s="563"/>
      <c r="MUG93" s="563"/>
      <c r="MUH93" s="563"/>
      <c r="MUI93" s="563"/>
      <c r="MUJ93" s="563"/>
      <c r="MUK93" s="563"/>
      <c r="MUL93" s="563"/>
      <c r="MUM93" s="563"/>
      <c r="MUN93" s="563"/>
      <c r="MUO93" s="563"/>
      <c r="MUP93" s="563"/>
      <c r="MUQ93" s="563"/>
      <c r="MUR93" s="563"/>
      <c r="MUS93" s="563"/>
      <c r="MUT93" s="563"/>
      <c r="MUU93" s="563"/>
      <c r="MUV93" s="563"/>
      <c r="MUW93" s="563"/>
      <c r="MUX93" s="563"/>
      <c r="MUY93" s="563"/>
      <c r="MUZ93" s="563"/>
      <c r="MVA93" s="563"/>
      <c r="MVB93" s="563"/>
      <c r="MVC93" s="563"/>
      <c r="MVD93" s="563"/>
      <c r="MVE93" s="563"/>
      <c r="MVF93" s="563"/>
      <c r="MVG93" s="563"/>
      <c r="MVH93" s="563"/>
      <c r="MVI93" s="563"/>
      <c r="MVJ93" s="563"/>
      <c r="MVK93" s="563"/>
      <c r="MVL93" s="563"/>
      <c r="MVM93" s="563"/>
      <c r="MVN93" s="563"/>
      <c r="MVO93" s="563"/>
      <c r="MVP93" s="563"/>
      <c r="MVQ93" s="563"/>
      <c r="MVR93" s="563"/>
      <c r="MVS93" s="563"/>
      <c r="MVT93" s="563"/>
      <c r="MVU93" s="563"/>
      <c r="MVV93" s="563"/>
      <c r="MVW93" s="563"/>
      <c r="MVX93" s="563"/>
      <c r="MVY93" s="563"/>
      <c r="MVZ93" s="563"/>
      <c r="MWA93" s="563"/>
      <c r="MWB93" s="563"/>
      <c r="MWC93" s="563"/>
      <c r="MWD93" s="563"/>
      <c r="MWE93" s="563"/>
      <c r="MWF93" s="563"/>
      <c r="MWG93" s="563"/>
      <c r="MWH93" s="563"/>
      <c r="MWI93" s="563"/>
      <c r="MWJ93" s="563"/>
      <c r="MWK93" s="563"/>
      <c r="MWL93" s="563"/>
      <c r="MWM93" s="563"/>
      <c r="MWN93" s="563"/>
      <c r="MWO93" s="563"/>
      <c r="MWP93" s="563"/>
      <c r="MWQ93" s="563"/>
      <c r="MWR93" s="563"/>
      <c r="MWS93" s="563"/>
      <c r="MWT93" s="563"/>
      <c r="MWU93" s="563"/>
      <c r="MWV93" s="563"/>
      <c r="MWW93" s="563"/>
      <c r="MWX93" s="563"/>
      <c r="MWY93" s="563"/>
      <c r="MWZ93" s="563"/>
      <c r="MXA93" s="563"/>
      <c r="MXB93" s="563"/>
      <c r="MXC93" s="563"/>
      <c r="MXD93" s="563"/>
      <c r="MXE93" s="563"/>
      <c r="MXF93" s="563"/>
      <c r="MXG93" s="563"/>
      <c r="MXH93" s="563"/>
      <c r="MXI93" s="563"/>
      <c r="MXJ93" s="563"/>
      <c r="MXK93" s="563"/>
      <c r="MXL93" s="563"/>
      <c r="MXM93" s="563"/>
      <c r="MXN93" s="563"/>
      <c r="MXO93" s="563"/>
      <c r="MXP93" s="563"/>
      <c r="MXQ93" s="563"/>
      <c r="MXR93" s="563"/>
      <c r="MXS93" s="563"/>
      <c r="MXT93" s="563"/>
      <c r="MXU93" s="563"/>
      <c r="MXV93" s="563"/>
      <c r="MXW93" s="563"/>
      <c r="MXX93" s="563"/>
      <c r="MXY93" s="563"/>
      <c r="MXZ93" s="563"/>
      <c r="MYA93" s="563"/>
      <c r="MYB93" s="563"/>
      <c r="MYC93" s="563"/>
      <c r="MYD93" s="563"/>
      <c r="MYE93" s="563"/>
      <c r="MYF93" s="563"/>
      <c r="MYG93" s="563"/>
      <c r="MYH93" s="563"/>
      <c r="MYI93" s="563"/>
      <c r="MYJ93" s="563"/>
      <c r="MYK93" s="563"/>
      <c r="MYL93" s="563"/>
      <c r="MYM93" s="563"/>
      <c r="MYN93" s="563"/>
      <c r="MYO93" s="563"/>
      <c r="MYP93" s="563"/>
      <c r="MYQ93" s="563"/>
      <c r="MYR93" s="563"/>
      <c r="MYS93" s="563"/>
      <c r="MYT93" s="563"/>
      <c r="MYU93" s="563"/>
      <c r="MYV93" s="563"/>
      <c r="MYW93" s="563"/>
      <c r="MYX93" s="563"/>
      <c r="MYY93" s="563"/>
      <c r="MYZ93" s="563"/>
      <c r="MZA93" s="563"/>
      <c r="MZB93" s="563"/>
      <c r="MZC93" s="563"/>
      <c r="MZD93" s="563"/>
      <c r="MZE93" s="563"/>
      <c r="MZF93" s="563"/>
      <c r="MZG93" s="563"/>
      <c r="MZH93" s="563"/>
      <c r="MZI93" s="563"/>
      <c r="MZJ93" s="563"/>
      <c r="MZK93" s="563"/>
      <c r="MZL93" s="563"/>
      <c r="MZM93" s="563"/>
      <c r="MZN93" s="563"/>
      <c r="MZO93" s="563"/>
      <c r="MZP93" s="563"/>
      <c r="MZQ93" s="563"/>
      <c r="MZR93" s="563"/>
      <c r="MZS93" s="563"/>
      <c r="MZT93" s="563"/>
      <c r="MZU93" s="563"/>
      <c r="MZV93" s="563"/>
      <c r="MZW93" s="563"/>
      <c r="MZX93" s="563"/>
      <c r="MZY93" s="563"/>
      <c r="MZZ93" s="563"/>
      <c r="NAA93" s="563"/>
      <c r="NAB93" s="563"/>
      <c r="NAC93" s="563"/>
      <c r="NAD93" s="563"/>
      <c r="NAE93" s="563"/>
      <c r="NAF93" s="563"/>
      <c r="NAG93" s="563"/>
      <c r="NAH93" s="563"/>
      <c r="NAI93" s="563"/>
      <c r="NAJ93" s="563"/>
      <c r="NAK93" s="563"/>
      <c r="NAL93" s="563"/>
      <c r="NAM93" s="563"/>
      <c r="NAN93" s="563"/>
      <c r="NAO93" s="563"/>
      <c r="NAP93" s="563"/>
      <c r="NAQ93" s="563"/>
      <c r="NAR93" s="563"/>
      <c r="NAS93" s="563"/>
      <c r="NAT93" s="563"/>
      <c r="NAU93" s="563"/>
      <c r="NAV93" s="563"/>
      <c r="NAW93" s="563"/>
      <c r="NAX93" s="563"/>
      <c r="NAY93" s="563"/>
      <c r="NAZ93" s="563"/>
      <c r="NBA93" s="563"/>
      <c r="NBB93" s="563"/>
      <c r="NBC93" s="563"/>
      <c r="NBD93" s="563"/>
      <c r="NBE93" s="563"/>
      <c r="NBF93" s="563"/>
      <c r="NBG93" s="563"/>
      <c r="NBH93" s="563"/>
      <c r="NBI93" s="563"/>
      <c r="NBJ93" s="563"/>
      <c r="NBK93" s="563"/>
      <c r="NBL93" s="563"/>
      <c r="NBM93" s="563"/>
      <c r="NBN93" s="563"/>
      <c r="NBO93" s="563"/>
      <c r="NBP93" s="563"/>
      <c r="NBQ93" s="563"/>
      <c r="NBR93" s="563"/>
      <c r="NBS93" s="563"/>
      <c r="NBT93" s="563"/>
      <c r="NBU93" s="563"/>
      <c r="NBV93" s="563"/>
      <c r="NBW93" s="563"/>
      <c r="NBX93" s="563"/>
      <c r="NBY93" s="563"/>
      <c r="NBZ93" s="563"/>
      <c r="NCA93" s="563"/>
      <c r="NCB93" s="563"/>
      <c r="NCC93" s="563"/>
      <c r="NCD93" s="563"/>
      <c r="NCE93" s="563"/>
      <c r="NCF93" s="563"/>
      <c r="NCG93" s="563"/>
      <c r="NCH93" s="563"/>
      <c r="NCI93" s="563"/>
      <c r="NCJ93" s="563"/>
      <c r="NCK93" s="563"/>
      <c r="NCL93" s="563"/>
      <c r="NCM93" s="563"/>
      <c r="NCN93" s="563"/>
      <c r="NCO93" s="563"/>
      <c r="NCP93" s="563"/>
      <c r="NCQ93" s="563"/>
      <c r="NCR93" s="563"/>
      <c r="NCS93" s="563"/>
      <c r="NCT93" s="563"/>
      <c r="NCU93" s="563"/>
      <c r="NCV93" s="563"/>
      <c r="NCW93" s="563"/>
      <c r="NCX93" s="563"/>
      <c r="NCY93" s="563"/>
      <c r="NCZ93" s="563"/>
      <c r="NDA93" s="563"/>
      <c r="NDB93" s="563"/>
      <c r="NDC93" s="563"/>
      <c r="NDD93" s="563"/>
      <c r="NDE93" s="563"/>
      <c r="NDF93" s="563"/>
      <c r="NDG93" s="563"/>
      <c r="NDH93" s="563"/>
      <c r="NDI93" s="563"/>
      <c r="NDJ93" s="563"/>
      <c r="NDK93" s="563"/>
      <c r="NDL93" s="563"/>
      <c r="NDM93" s="563"/>
      <c r="NDN93" s="563"/>
      <c r="NDO93" s="563"/>
      <c r="NDP93" s="563"/>
      <c r="NDQ93" s="563"/>
      <c r="NDR93" s="563"/>
      <c r="NDS93" s="563"/>
      <c r="NDT93" s="563"/>
      <c r="NDU93" s="563"/>
      <c r="NDV93" s="563"/>
      <c r="NDW93" s="563"/>
      <c r="NDX93" s="563"/>
      <c r="NDY93" s="563"/>
      <c r="NDZ93" s="563"/>
      <c r="NEA93" s="563"/>
      <c r="NEB93" s="563"/>
      <c r="NEC93" s="563"/>
      <c r="NED93" s="563"/>
      <c r="NEE93" s="563"/>
      <c r="NEF93" s="563"/>
      <c r="NEG93" s="563"/>
      <c r="NEH93" s="563"/>
      <c r="NEI93" s="563"/>
      <c r="NEJ93" s="563"/>
      <c r="NEK93" s="563"/>
      <c r="NEL93" s="563"/>
      <c r="NEM93" s="563"/>
      <c r="NEN93" s="563"/>
      <c r="NEO93" s="563"/>
      <c r="NEP93" s="563"/>
      <c r="NEQ93" s="563"/>
      <c r="NER93" s="563"/>
      <c r="NES93" s="563"/>
      <c r="NET93" s="563"/>
      <c r="NEU93" s="563"/>
      <c r="NEV93" s="563"/>
      <c r="NEW93" s="563"/>
      <c r="NEX93" s="563"/>
      <c r="NEY93" s="563"/>
      <c r="NEZ93" s="563"/>
      <c r="NFA93" s="563"/>
      <c r="NFB93" s="563"/>
      <c r="NFC93" s="563"/>
      <c r="NFD93" s="563"/>
      <c r="NFE93" s="563"/>
      <c r="NFF93" s="563"/>
      <c r="NFG93" s="563"/>
      <c r="NFH93" s="563"/>
      <c r="NFI93" s="563"/>
      <c r="NFJ93" s="563"/>
      <c r="NFK93" s="563"/>
      <c r="NFL93" s="563"/>
      <c r="NFM93" s="563"/>
      <c r="NFN93" s="563"/>
      <c r="NFO93" s="563"/>
      <c r="NFP93" s="563"/>
      <c r="NFQ93" s="563"/>
      <c r="NFR93" s="563"/>
      <c r="NFS93" s="563"/>
      <c r="NFT93" s="563"/>
      <c r="NFU93" s="563"/>
      <c r="NFV93" s="563"/>
      <c r="NFW93" s="563"/>
      <c r="NFX93" s="563"/>
      <c r="NFY93" s="563"/>
      <c r="NFZ93" s="563"/>
      <c r="NGA93" s="563"/>
      <c r="NGB93" s="563"/>
      <c r="NGC93" s="563"/>
      <c r="NGD93" s="563"/>
      <c r="NGE93" s="563"/>
      <c r="NGF93" s="563"/>
      <c r="NGG93" s="563"/>
      <c r="NGH93" s="563"/>
      <c r="NGI93" s="563"/>
      <c r="NGJ93" s="563"/>
      <c r="NGK93" s="563"/>
      <c r="NGL93" s="563"/>
      <c r="NGM93" s="563"/>
      <c r="NGN93" s="563"/>
      <c r="NGO93" s="563"/>
      <c r="NGP93" s="563"/>
      <c r="NGQ93" s="563"/>
      <c r="NGR93" s="563"/>
      <c r="NGS93" s="563"/>
      <c r="NGT93" s="563"/>
      <c r="NGU93" s="563"/>
      <c r="NGV93" s="563"/>
      <c r="NGW93" s="563"/>
      <c r="NGX93" s="563"/>
      <c r="NGY93" s="563"/>
      <c r="NGZ93" s="563"/>
      <c r="NHA93" s="563"/>
      <c r="NHB93" s="563"/>
      <c r="NHC93" s="563"/>
      <c r="NHD93" s="563"/>
      <c r="NHE93" s="563"/>
      <c r="NHF93" s="563"/>
      <c r="NHG93" s="563"/>
      <c r="NHH93" s="563"/>
      <c r="NHI93" s="563"/>
      <c r="NHJ93" s="563"/>
      <c r="NHK93" s="563"/>
      <c r="NHL93" s="563"/>
      <c r="NHM93" s="563"/>
      <c r="NHN93" s="563"/>
      <c r="NHO93" s="563"/>
      <c r="NHP93" s="563"/>
      <c r="NHQ93" s="563"/>
      <c r="NHR93" s="563"/>
      <c r="NHS93" s="563"/>
      <c r="NHT93" s="563"/>
      <c r="NHU93" s="563"/>
      <c r="NHV93" s="563"/>
      <c r="NHW93" s="563"/>
      <c r="NHX93" s="563"/>
      <c r="NHY93" s="563"/>
      <c r="NHZ93" s="563"/>
      <c r="NIA93" s="563"/>
      <c r="NIB93" s="563"/>
      <c r="NIC93" s="563"/>
      <c r="NID93" s="563"/>
      <c r="NIE93" s="563"/>
      <c r="NIF93" s="563"/>
      <c r="NIG93" s="563"/>
      <c r="NIH93" s="563"/>
      <c r="NII93" s="563"/>
      <c r="NIJ93" s="563"/>
      <c r="NIK93" s="563"/>
      <c r="NIL93" s="563"/>
      <c r="NIM93" s="563"/>
      <c r="NIN93" s="563"/>
      <c r="NIO93" s="563"/>
      <c r="NIP93" s="563"/>
      <c r="NIQ93" s="563"/>
      <c r="NIR93" s="563"/>
      <c r="NIS93" s="563"/>
      <c r="NIT93" s="563"/>
      <c r="NIU93" s="563"/>
      <c r="NIV93" s="563"/>
      <c r="NIW93" s="563"/>
      <c r="NIX93" s="563"/>
      <c r="NIY93" s="563"/>
      <c r="NIZ93" s="563"/>
      <c r="NJA93" s="563"/>
      <c r="NJB93" s="563"/>
      <c r="NJC93" s="563"/>
      <c r="NJD93" s="563"/>
      <c r="NJE93" s="563"/>
      <c r="NJF93" s="563"/>
      <c r="NJG93" s="563"/>
      <c r="NJH93" s="563"/>
      <c r="NJI93" s="563"/>
      <c r="NJJ93" s="563"/>
      <c r="NJK93" s="563"/>
      <c r="NJL93" s="563"/>
      <c r="NJM93" s="563"/>
      <c r="NJN93" s="563"/>
      <c r="NJO93" s="563"/>
      <c r="NJP93" s="563"/>
      <c r="NJQ93" s="563"/>
      <c r="NJR93" s="563"/>
      <c r="NJS93" s="563"/>
      <c r="NJT93" s="563"/>
      <c r="NJU93" s="563"/>
      <c r="NJV93" s="563"/>
      <c r="NJW93" s="563"/>
      <c r="NJX93" s="563"/>
      <c r="NJY93" s="563"/>
      <c r="NJZ93" s="563"/>
      <c r="NKA93" s="563"/>
      <c r="NKB93" s="563"/>
      <c r="NKC93" s="563"/>
      <c r="NKD93" s="563"/>
      <c r="NKE93" s="563"/>
      <c r="NKF93" s="563"/>
      <c r="NKG93" s="563"/>
      <c r="NKH93" s="563"/>
      <c r="NKI93" s="563"/>
      <c r="NKJ93" s="563"/>
      <c r="NKK93" s="563"/>
      <c r="NKL93" s="563"/>
      <c r="NKM93" s="563"/>
      <c r="NKN93" s="563"/>
      <c r="NKO93" s="563"/>
      <c r="NKP93" s="563"/>
      <c r="NKQ93" s="563"/>
      <c r="NKR93" s="563"/>
      <c r="NKS93" s="563"/>
      <c r="NKT93" s="563"/>
      <c r="NKU93" s="563"/>
      <c r="NKV93" s="563"/>
      <c r="NKW93" s="563"/>
      <c r="NKX93" s="563"/>
      <c r="NKY93" s="563"/>
      <c r="NKZ93" s="563"/>
      <c r="NLA93" s="563"/>
      <c r="NLB93" s="563"/>
      <c r="NLC93" s="563"/>
      <c r="NLD93" s="563"/>
      <c r="NLE93" s="563"/>
      <c r="NLF93" s="563"/>
      <c r="NLG93" s="563"/>
      <c r="NLH93" s="563"/>
      <c r="NLI93" s="563"/>
      <c r="NLJ93" s="563"/>
      <c r="NLK93" s="563"/>
      <c r="NLL93" s="563"/>
      <c r="NLM93" s="563"/>
      <c r="NLN93" s="563"/>
      <c r="NLO93" s="563"/>
      <c r="NLP93" s="563"/>
      <c r="NLQ93" s="563"/>
      <c r="NLR93" s="563"/>
      <c r="NLS93" s="563"/>
      <c r="NLT93" s="563"/>
      <c r="NLU93" s="563"/>
      <c r="NLV93" s="563"/>
      <c r="NLW93" s="563"/>
      <c r="NLX93" s="563"/>
      <c r="NLY93" s="563"/>
      <c r="NLZ93" s="563"/>
      <c r="NMA93" s="563"/>
      <c r="NMB93" s="563"/>
      <c r="NMC93" s="563"/>
      <c r="NMD93" s="563"/>
      <c r="NME93" s="563"/>
      <c r="NMF93" s="563"/>
      <c r="NMG93" s="563"/>
      <c r="NMH93" s="563"/>
      <c r="NMI93" s="563"/>
      <c r="NMJ93" s="563"/>
      <c r="NMK93" s="563"/>
      <c r="NML93" s="563"/>
      <c r="NMM93" s="563"/>
      <c r="NMN93" s="563"/>
      <c r="NMO93" s="563"/>
      <c r="NMP93" s="563"/>
      <c r="NMQ93" s="563"/>
      <c r="NMR93" s="563"/>
      <c r="NMS93" s="563"/>
      <c r="NMT93" s="563"/>
      <c r="NMU93" s="563"/>
      <c r="NMV93" s="563"/>
      <c r="NMW93" s="563"/>
      <c r="NMX93" s="563"/>
      <c r="NMY93" s="563"/>
      <c r="NMZ93" s="563"/>
      <c r="NNA93" s="563"/>
      <c r="NNB93" s="563"/>
      <c r="NNC93" s="563"/>
      <c r="NND93" s="563"/>
      <c r="NNE93" s="563"/>
      <c r="NNF93" s="563"/>
      <c r="NNG93" s="563"/>
      <c r="NNH93" s="563"/>
      <c r="NNI93" s="563"/>
      <c r="NNJ93" s="563"/>
      <c r="NNK93" s="563"/>
      <c r="NNL93" s="563"/>
      <c r="NNM93" s="563"/>
      <c r="NNN93" s="563"/>
      <c r="NNO93" s="563"/>
      <c r="NNP93" s="563"/>
      <c r="NNQ93" s="563"/>
      <c r="NNR93" s="563"/>
      <c r="NNS93" s="563"/>
      <c r="NNT93" s="563"/>
      <c r="NNU93" s="563"/>
      <c r="NNV93" s="563"/>
      <c r="NNW93" s="563"/>
      <c r="NNX93" s="563"/>
      <c r="NNY93" s="563"/>
      <c r="NNZ93" s="563"/>
      <c r="NOA93" s="563"/>
      <c r="NOB93" s="563"/>
      <c r="NOC93" s="563"/>
      <c r="NOD93" s="563"/>
      <c r="NOE93" s="563"/>
      <c r="NOF93" s="563"/>
      <c r="NOG93" s="563"/>
      <c r="NOH93" s="563"/>
      <c r="NOI93" s="563"/>
      <c r="NOJ93" s="563"/>
      <c r="NOK93" s="563"/>
      <c r="NOL93" s="563"/>
      <c r="NOM93" s="563"/>
      <c r="NON93" s="563"/>
      <c r="NOO93" s="563"/>
      <c r="NOP93" s="563"/>
      <c r="NOQ93" s="563"/>
      <c r="NOR93" s="563"/>
      <c r="NOS93" s="563"/>
      <c r="NOT93" s="563"/>
      <c r="NOU93" s="563"/>
      <c r="NOV93" s="563"/>
      <c r="NOW93" s="563"/>
      <c r="NOX93" s="563"/>
      <c r="NOY93" s="563"/>
      <c r="NOZ93" s="563"/>
      <c r="NPA93" s="563"/>
      <c r="NPB93" s="563"/>
      <c r="NPC93" s="563"/>
      <c r="NPD93" s="563"/>
      <c r="NPE93" s="563"/>
      <c r="NPF93" s="563"/>
      <c r="NPG93" s="563"/>
      <c r="NPH93" s="563"/>
      <c r="NPI93" s="563"/>
      <c r="NPJ93" s="563"/>
      <c r="NPK93" s="563"/>
      <c r="NPL93" s="563"/>
      <c r="NPM93" s="563"/>
      <c r="NPN93" s="563"/>
      <c r="NPO93" s="563"/>
      <c r="NPP93" s="563"/>
      <c r="NPQ93" s="563"/>
      <c r="NPR93" s="563"/>
      <c r="NPS93" s="563"/>
      <c r="NPT93" s="563"/>
      <c r="NPU93" s="563"/>
      <c r="NPV93" s="563"/>
      <c r="NPW93" s="563"/>
      <c r="NPX93" s="563"/>
      <c r="NPY93" s="563"/>
      <c r="NPZ93" s="563"/>
      <c r="NQA93" s="563"/>
      <c r="NQB93" s="563"/>
      <c r="NQC93" s="563"/>
      <c r="NQD93" s="563"/>
      <c r="NQE93" s="563"/>
      <c r="NQF93" s="563"/>
      <c r="NQG93" s="563"/>
      <c r="NQH93" s="563"/>
      <c r="NQI93" s="563"/>
      <c r="NQJ93" s="563"/>
      <c r="NQK93" s="563"/>
      <c r="NQL93" s="563"/>
      <c r="NQM93" s="563"/>
      <c r="NQN93" s="563"/>
      <c r="NQO93" s="563"/>
      <c r="NQP93" s="563"/>
      <c r="NQQ93" s="563"/>
      <c r="NQR93" s="563"/>
      <c r="NQS93" s="563"/>
      <c r="NQT93" s="563"/>
      <c r="NQU93" s="563"/>
      <c r="NQV93" s="563"/>
      <c r="NQW93" s="563"/>
      <c r="NQX93" s="563"/>
      <c r="NQY93" s="563"/>
      <c r="NQZ93" s="563"/>
      <c r="NRA93" s="563"/>
      <c r="NRB93" s="563"/>
      <c r="NRC93" s="563"/>
      <c r="NRD93" s="563"/>
      <c r="NRE93" s="563"/>
      <c r="NRF93" s="563"/>
      <c r="NRG93" s="563"/>
      <c r="NRH93" s="563"/>
      <c r="NRI93" s="563"/>
      <c r="NRJ93" s="563"/>
      <c r="NRK93" s="563"/>
      <c r="NRL93" s="563"/>
      <c r="NRM93" s="563"/>
      <c r="NRN93" s="563"/>
      <c r="NRO93" s="563"/>
      <c r="NRP93" s="563"/>
      <c r="NRQ93" s="563"/>
      <c r="NRR93" s="563"/>
      <c r="NRS93" s="563"/>
      <c r="NRT93" s="563"/>
      <c r="NRU93" s="563"/>
      <c r="NRV93" s="563"/>
      <c r="NRW93" s="563"/>
      <c r="NRX93" s="563"/>
      <c r="NRY93" s="563"/>
      <c r="NRZ93" s="563"/>
      <c r="NSA93" s="563"/>
      <c r="NSB93" s="563"/>
      <c r="NSC93" s="563"/>
      <c r="NSD93" s="563"/>
      <c r="NSE93" s="563"/>
      <c r="NSF93" s="563"/>
      <c r="NSG93" s="563"/>
      <c r="NSH93" s="563"/>
      <c r="NSI93" s="563"/>
      <c r="NSJ93" s="563"/>
      <c r="NSK93" s="563"/>
      <c r="NSL93" s="563"/>
      <c r="NSM93" s="563"/>
      <c r="NSN93" s="563"/>
      <c r="NSO93" s="563"/>
      <c r="NSP93" s="563"/>
      <c r="NSQ93" s="563"/>
      <c r="NSR93" s="563"/>
      <c r="NSS93" s="563"/>
      <c r="NST93" s="563"/>
      <c r="NSU93" s="563"/>
      <c r="NSV93" s="563"/>
      <c r="NSW93" s="563"/>
      <c r="NSX93" s="563"/>
      <c r="NSY93" s="563"/>
      <c r="NSZ93" s="563"/>
      <c r="NTA93" s="563"/>
      <c r="NTB93" s="563"/>
      <c r="NTC93" s="563"/>
      <c r="NTD93" s="563"/>
      <c r="NTE93" s="563"/>
      <c r="NTF93" s="563"/>
      <c r="NTG93" s="563"/>
      <c r="NTH93" s="563"/>
      <c r="NTI93" s="563"/>
      <c r="NTJ93" s="563"/>
      <c r="NTK93" s="563"/>
      <c r="NTL93" s="563"/>
      <c r="NTM93" s="563"/>
      <c r="NTN93" s="563"/>
      <c r="NTO93" s="563"/>
      <c r="NTP93" s="563"/>
      <c r="NTQ93" s="563"/>
      <c r="NTR93" s="563"/>
      <c r="NTS93" s="563"/>
      <c r="NTT93" s="563"/>
      <c r="NTU93" s="563"/>
      <c r="NTV93" s="563"/>
      <c r="NTW93" s="563"/>
      <c r="NTX93" s="563"/>
      <c r="NTY93" s="563"/>
      <c r="NTZ93" s="563"/>
      <c r="NUA93" s="563"/>
      <c r="NUB93" s="563"/>
      <c r="NUC93" s="563"/>
      <c r="NUD93" s="563"/>
      <c r="NUE93" s="563"/>
      <c r="NUF93" s="563"/>
      <c r="NUG93" s="563"/>
      <c r="NUH93" s="563"/>
      <c r="NUI93" s="563"/>
      <c r="NUJ93" s="563"/>
      <c r="NUK93" s="563"/>
      <c r="NUL93" s="563"/>
      <c r="NUM93" s="563"/>
      <c r="NUN93" s="563"/>
      <c r="NUO93" s="563"/>
      <c r="NUP93" s="563"/>
      <c r="NUQ93" s="563"/>
      <c r="NUR93" s="563"/>
      <c r="NUS93" s="563"/>
      <c r="NUT93" s="563"/>
      <c r="NUU93" s="563"/>
      <c r="NUV93" s="563"/>
      <c r="NUW93" s="563"/>
      <c r="NUX93" s="563"/>
      <c r="NUY93" s="563"/>
      <c r="NUZ93" s="563"/>
      <c r="NVA93" s="563"/>
      <c r="NVB93" s="563"/>
      <c r="NVC93" s="563"/>
      <c r="NVD93" s="563"/>
      <c r="NVE93" s="563"/>
      <c r="NVF93" s="563"/>
      <c r="NVG93" s="563"/>
      <c r="NVH93" s="563"/>
      <c r="NVI93" s="563"/>
      <c r="NVJ93" s="563"/>
      <c r="NVK93" s="563"/>
      <c r="NVL93" s="563"/>
      <c r="NVM93" s="563"/>
      <c r="NVN93" s="563"/>
      <c r="NVO93" s="563"/>
      <c r="NVP93" s="563"/>
      <c r="NVQ93" s="563"/>
      <c r="NVR93" s="563"/>
      <c r="NVS93" s="563"/>
      <c r="NVT93" s="563"/>
      <c r="NVU93" s="563"/>
      <c r="NVV93" s="563"/>
      <c r="NVW93" s="563"/>
      <c r="NVX93" s="563"/>
      <c r="NVY93" s="563"/>
      <c r="NVZ93" s="563"/>
      <c r="NWA93" s="563"/>
      <c r="NWB93" s="563"/>
      <c r="NWC93" s="563"/>
      <c r="NWD93" s="563"/>
      <c r="NWE93" s="563"/>
      <c r="NWF93" s="563"/>
      <c r="NWG93" s="563"/>
      <c r="NWH93" s="563"/>
      <c r="NWI93" s="563"/>
      <c r="NWJ93" s="563"/>
      <c r="NWK93" s="563"/>
      <c r="NWL93" s="563"/>
      <c r="NWM93" s="563"/>
      <c r="NWN93" s="563"/>
      <c r="NWO93" s="563"/>
      <c r="NWP93" s="563"/>
      <c r="NWQ93" s="563"/>
      <c r="NWR93" s="563"/>
      <c r="NWS93" s="563"/>
      <c r="NWT93" s="563"/>
      <c r="NWU93" s="563"/>
      <c r="NWV93" s="563"/>
      <c r="NWW93" s="563"/>
      <c r="NWX93" s="563"/>
      <c r="NWY93" s="563"/>
      <c r="NWZ93" s="563"/>
      <c r="NXA93" s="563"/>
      <c r="NXB93" s="563"/>
      <c r="NXC93" s="563"/>
      <c r="NXD93" s="563"/>
      <c r="NXE93" s="563"/>
      <c r="NXF93" s="563"/>
      <c r="NXG93" s="563"/>
      <c r="NXH93" s="563"/>
      <c r="NXI93" s="563"/>
      <c r="NXJ93" s="563"/>
      <c r="NXK93" s="563"/>
      <c r="NXL93" s="563"/>
      <c r="NXM93" s="563"/>
      <c r="NXN93" s="563"/>
      <c r="NXO93" s="563"/>
      <c r="NXP93" s="563"/>
      <c r="NXQ93" s="563"/>
      <c r="NXR93" s="563"/>
      <c r="NXS93" s="563"/>
      <c r="NXT93" s="563"/>
      <c r="NXU93" s="563"/>
      <c r="NXV93" s="563"/>
      <c r="NXW93" s="563"/>
      <c r="NXX93" s="563"/>
      <c r="NXY93" s="563"/>
      <c r="NXZ93" s="563"/>
      <c r="NYA93" s="563"/>
      <c r="NYB93" s="563"/>
      <c r="NYC93" s="563"/>
      <c r="NYD93" s="563"/>
      <c r="NYE93" s="563"/>
      <c r="NYF93" s="563"/>
      <c r="NYG93" s="563"/>
      <c r="NYH93" s="563"/>
      <c r="NYI93" s="563"/>
      <c r="NYJ93" s="563"/>
      <c r="NYK93" s="563"/>
      <c r="NYL93" s="563"/>
      <c r="NYM93" s="563"/>
      <c r="NYN93" s="563"/>
      <c r="NYO93" s="563"/>
      <c r="NYP93" s="563"/>
      <c r="NYQ93" s="563"/>
      <c r="NYR93" s="563"/>
      <c r="NYS93" s="563"/>
      <c r="NYT93" s="563"/>
      <c r="NYU93" s="563"/>
      <c r="NYV93" s="563"/>
      <c r="NYW93" s="563"/>
      <c r="NYX93" s="563"/>
      <c r="NYY93" s="563"/>
      <c r="NYZ93" s="563"/>
      <c r="NZA93" s="563"/>
      <c r="NZB93" s="563"/>
      <c r="NZC93" s="563"/>
      <c r="NZD93" s="563"/>
      <c r="NZE93" s="563"/>
      <c r="NZF93" s="563"/>
      <c r="NZG93" s="563"/>
      <c r="NZH93" s="563"/>
      <c r="NZI93" s="563"/>
      <c r="NZJ93" s="563"/>
      <c r="NZK93" s="563"/>
      <c r="NZL93" s="563"/>
      <c r="NZM93" s="563"/>
      <c r="NZN93" s="563"/>
      <c r="NZO93" s="563"/>
      <c r="NZP93" s="563"/>
      <c r="NZQ93" s="563"/>
      <c r="NZR93" s="563"/>
      <c r="NZS93" s="563"/>
      <c r="NZT93" s="563"/>
      <c r="NZU93" s="563"/>
      <c r="NZV93" s="563"/>
      <c r="NZW93" s="563"/>
      <c r="NZX93" s="563"/>
      <c r="NZY93" s="563"/>
      <c r="NZZ93" s="563"/>
      <c r="OAA93" s="563"/>
      <c r="OAB93" s="563"/>
      <c r="OAC93" s="563"/>
      <c r="OAD93" s="563"/>
      <c r="OAE93" s="563"/>
      <c r="OAF93" s="563"/>
      <c r="OAG93" s="563"/>
      <c r="OAH93" s="563"/>
      <c r="OAI93" s="563"/>
      <c r="OAJ93" s="563"/>
      <c r="OAK93" s="563"/>
      <c r="OAL93" s="563"/>
      <c r="OAM93" s="563"/>
      <c r="OAN93" s="563"/>
      <c r="OAO93" s="563"/>
      <c r="OAP93" s="563"/>
      <c r="OAQ93" s="563"/>
      <c r="OAR93" s="563"/>
      <c r="OAS93" s="563"/>
      <c r="OAT93" s="563"/>
      <c r="OAU93" s="563"/>
      <c r="OAV93" s="563"/>
      <c r="OAW93" s="563"/>
      <c r="OAX93" s="563"/>
      <c r="OAY93" s="563"/>
      <c r="OAZ93" s="563"/>
      <c r="OBA93" s="563"/>
      <c r="OBB93" s="563"/>
      <c r="OBC93" s="563"/>
      <c r="OBD93" s="563"/>
      <c r="OBE93" s="563"/>
      <c r="OBF93" s="563"/>
      <c r="OBG93" s="563"/>
      <c r="OBH93" s="563"/>
      <c r="OBI93" s="563"/>
      <c r="OBJ93" s="563"/>
      <c r="OBK93" s="563"/>
      <c r="OBL93" s="563"/>
      <c r="OBM93" s="563"/>
      <c r="OBN93" s="563"/>
      <c r="OBO93" s="563"/>
      <c r="OBP93" s="563"/>
      <c r="OBQ93" s="563"/>
      <c r="OBR93" s="563"/>
      <c r="OBS93" s="563"/>
      <c r="OBT93" s="563"/>
      <c r="OBU93" s="563"/>
      <c r="OBV93" s="563"/>
      <c r="OBW93" s="563"/>
      <c r="OBX93" s="563"/>
      <c r="OBY93" s="563"/>
      <c r="OBZ93" s="563"/>
      <c r="OCA93" s="563"/>
      <c r="OCB93" s="563"/>
      <c r="OCC93" s="563"/>
      <c r="OCD93" s="563"/>
      <c r="OCE93" s="563"/>
      <c r="OCF93" s="563"/>
      <c r="OCG93" s="563"/>
      <c r="OCH93" s="563"/>
      <c r="OCI93" s="563"/>
      <c r="OCJ93" s="563"/>
      <c r="OCK93" s="563"/>
      <c r="OCL93" s="563"/>
      <c r="OCM93" s="563"/>
      <c r="OCN93" s="563"/>
      <c r="OCO93" s="563"/>
      <c r="OCP93" s="563"/>
      <c r="OCQ93" s="563"/>
      <c r="OCR93" s="563"/>
      <c r="OCS93" s="563"/>
      <c r="OCT93" s="563"/>
      <c r="OCU93" s="563"/>
      <c r="OCV93" s="563"/>
      <c r="OCW93" s="563"/>
      <c r="OCX93" s="563"/>
      <c r="OCY93" s="563"/>
      <c r="OCZ93" s="563"/>
      <c r="ODA93" s="563"/>
      <c r="ODB93" s="563"/>
      <c r="ODC93" s="563"/>
      <c r="ODD93" s="563"/>
      <c r="ODE93" s="563"/>
      <c r="ODF93" s="563"/>
      <c r="ODG93" s="563"/>
      <c r="ODH93" s="563"/>
      <c r="ODI93" s="563"/>
      <c r="ODJ93" s="563"/>
      <c r="ODK93" s="563"/>
      <c r="ODL93" s="563"/>
      <c r="ODM93" s="563"/>
      <c r="ODN93" s="563"/>
      <c r="ODO93" s="563"/>
      <c r="ODP93" s="563"/>
      <c r="ODQ93" s="563"/>
      <c r="ODR93" s="563"/>
      <c r="ODS93" s="563"/>
      <c r="ODT93" s="563"/>
      <c r="ODU93" s="563"/>
      <c r="ODV93" s="563"/>
      <c r="ODW93" s="563"/>
      <c r="ODX93" s="563"/>
      <c r="ODY93" s="563"/>
      <c r="ODZ93" s="563"/>
      <c r="OEA93" s="563"/>
      <c r="OEB93" s="563"/>
      <c r="OEC93" s="563"/>
      <c r="OED93" s="563"/>
      <c r="OEE93" s="563"/>
      <c r="OEF93" s="563"/>
      <c r="OEG93" s="563"/>
      <c r="OEH93" s="563"/>
      <c r="OEI93" s="563"/>
      <c r="OEJ93" s="563"/>
      <c r="OEK93" s="563"/>
      <c r="OEL93" s="563"/>
      <c r="OEM93" s="563"/>
      <c r="OEN93" s="563"/>
      <c r="OEO93" s="563"/>
      <c r="OEP93" s="563"/>
      <c r="OEQ93" s="563"/>
      <c r="OER93" s="563"/>
      <c r="OES93" s="563"/>
      <c r="OET93" s="563"/>
      <c r="OEU93" s="563"/>
      <c r="OEV93" s="563"/>
      <c r="OEW93" s="563"/>
      <c r="OEX93" s="563"/>
      <c r="OEY93" s="563"/>
      <c r="OEZ93" s="563"/>
      <c r="OFA93" s="563"/>
      <c r="OFB93" s="563"/>
      <c r="OFC93" s="563"/>
      <c r="OFD93" s="563"/>
      <c r="OFE93" s="563"/>
      <c r="OFF93" s="563"/>
      <c r="OFG93" s="563"/>
      <c r="OFH93" s="563"/>
      <c r="OFI93" s="563"/>
      <c r="OFJ93" s="563"/>
      <c r="OFK93" s="563"/>
      <c r="OFL93" s="563"/>
      <c r="OFM93" s="563"/>
      <c r="OFN93" s="563"/>
      <c r="OFO93" s="563"/>
      <c r="OFP93" s="563"/>
      <c r="OFQ93" s="563"/>
      <c r="OFR93" s="563"/>
      <c r="OFS93" s="563"/>
      <c r="OFT93" s="563"/>
      <c r="OFU93" s="563"/>
      <c r="OFV93" s="563"/>
      <c r="OFW93" s="563"/>
      <c r="OFX93" s="563"/>
      <c r="OFY93" s="563"/>
      <c r="OFZ93" s="563"/>
      <c r="OGA93" s="563"/>
      <c r="OGB93" s="563"/>
      <c r="OGC93" s="563"/>
      <c r="OGD93" s="563"/>
      <c r="OGE93" s="563"/>
      <c r="OGF93" s="563"/>
      <c r="OGG93" s="563"/>
      <c r="OGH93" s="563"/>
      <c r="OGI93" s="563"/>
      <c r="OGJ93" s="563"/>
      <c r="OGK93" s="563"/>
      <c r="OGL93" s="563"/>
      <c r="OGM93" s="563"/>
      <c r="OGN93" s="563"/>
      <c r="OGO93" s="563"/>
      <c r="OGP93" s="563"/>
      <c r="OGQ93" s="563"/>
      <c r="OGR93" s="563"/>
      <c r="OGS93" s="563"/>
      <c r="OGT93" s="563"/>
      <c r="OGU93" s="563"/>
      <c r="OGV93" s="563"/>
      <c r="OGW93" s="563"/>
      <c r="OGX93" s="563"/>
      <c r="OGY93" s="563"/>
      <c r="OGZ93" s="563"/>
      <c r="OHA93" s="563"/>
      <c r="OHB93" s="563"/>
      <c r="OHC93" s="563"/>
      <c r="OHD93" s="563"/>
      <c r="OHE93" s="563"/>
      <c r="OHF93" s="563"/>
      <c r="OHG93" s="563"/>
      <c r="OHH93" s="563"/>
      <c r="OHI93" s="563"/>
      <c r="OHJ93" s="563"/>
      <c r="OHK93" s="563"/>
      <c r="OHL93" s="563"/>
      <c r="OHM93" s="563"/>
      <c r="OHN93" s="563"/>
      <c r="OHO93" s="563"/>
      <c r="OHP93" s="563"/>
      <c r="OHQ93" s="563"/>
      <c r="OHR93" s="563"/>
      <c r="OHS93" s="563"/>
      <c r="OHT93" s="563"/>
      <c r="OHU93" s="563"/>
      <c r="OHV93" s="563"/>
      <c r="OHW93" s="563"/>
      <c r="OHX93" s="563"/>
      <c r="OHY93" s="563"/>
      <c r="OHZ93" s="563"/>
      <c r="OIA93" s="563"/>
      <c r="OIB93" s="563"/>
      <c r="OIC93" s="563"/>
      <c r="OID93" s="563"/>
      <c r="OIE93" s="563"/>
      <c r="OIF93" s="563"/>
      <c r="OIG93" s="563"/>
      <c r="OIH93" s="563"/>
      <c r="OII93" s="563"/>
      <c r="OIJ93" s="563"/>
      <c r="OIK93" s="563"/>
      <c r="OIL93" s="563"/>
      <c r="OIM93" s="563"/>
      <c r="OIN93" s="563"/>
      <c r="OIO93" s="563"/>
      <c r="OIP93" s="563"/>
      <c r="OIQ93" s="563"/>
      <c r="OIR93" s="563"/>
      <c r="OIS93" s="563"/>
      <c r="OIT93" s="563"/>
      <c r="OIU93" s="563"/>
      <c r="OIV93" s="563"/>
      <c r="OIW93" s="563"/>
      <c r="OIX93" s="563"/>
      <c r="OIY93" s="563"/>
      <c r="OIZ93" s="563"/>
      <c r="OJA93" s="563"/>
      <c r="OJB93" s="563"/>
      <c r="OJC93" s="563"/>
      <c r="OJD93" s="563"/>
      <c r="OJE93" s="563"/>
      <c r="OJF93" s="563"/>
      <c r="OJG93" s="563"/>
      <c r="OJH93" s="563"/>
      <c r="OJI93" s="563"/>
      <c r="OJJ93" s="563"/>
      <c r="OJK93" s="563"/>
      <c r="OJL93" s="563"/>
      <c r="OJM93" s="563"/>
      <c r="OJN93" s="563"/>
      <c r="OJO93" s="563"/>
      <c r="OJP93" s="563"/>
      <c r="OJQ93" s="563"/>
      <c r="OJR93" s="563"/>
      <c r="OJS93" s="563"/>
      <c r="OJT93" s="563"/>
      <c r="OJU93" s="563"/>
      <c r="OJV93" s="563"/>
      <c r="OJW93" s="563"/>
      <c r="OJX93" s="563"/>
      <c r="OJY93" s="563"/>
      <c r="OJZ93" s="563"/>
      <c r="OKA93" s="563"/>
      <c r="OKB93" s="563"/>
      <c r="OKC93" s="563"/>
      <c r="OKD93" s="563"/>
      <c r="OKE93" s="563"/>
      <c r="OKF93" s="563"/>
      <c r="OKG93" s="563"/>
      <c r="OKH93" s="563"/>
      <c r="OKI93" s="563"/>
      <c r="OKJ93" s="563"/>
      <c r="OKK93" s="563"/>
      <c r="OKL93" s="563"/>
      <c r="OKM93" s="563"/>
      <c r="OKN93" s="563"/>
      <c r="OKO93" s="563"/>
      <c r="OKP93" s="563"/>
      <c r="OKQ93" s="563"/>
      <c r="OKR93" s="563"/>
      <c r="OKS93" s="563"/>
      <c r="OKT93" s="563"/>
      <c r="OKU93" s="563"/>
      <c r="OKV93" s="563"/>
      <c r="OKW93" s="563"/>
      <c r="OKX93" s="563"/>
      <c r="OKY93" s="563"/>
      <c r="OKZ93" s="563"/>
      <c r="OLA93" s="563"/>
      <c r="OLB93" s="563"/>
      <c r="OLC93" s="563"/>
      <c r="OLD93" s="563"/>
      <c r="OLE93" s="563"/>
      <c r="OLF93" s="563"/>
      <c r="OLG93" s="563"/>
      <c r="OLH93" s="563"/>
      <c r="OLI93" s="563"/>
      <c r="OLJ93" s="563"/>
      <c r="OLK93" s="563"/>
      <c r="OLL93" s="563"/>
      <c r="OLM93" s="563"/>
      <c r="OLN93" s="563"/>
      <c r="OLO93" s="563"/>
      <c r="OLP93" s="563"/>
      <c r="OLQ93" s="563"/>
      <c r="OLR93" s="563"/>
      <c r="OLS93" s="563"/>
      <c r="OLT93" s="563"/>
      <c r="OLU93" s="563"/>
      <c r="OLV93" s="563"/>
      <c r="OLW93" s="563"/>
      <c r="OLX93" s="563"/>
      <c r="OLY93" s="563"/>
      <c r="OLZ93" s="563"/>
      <c r="OMA93" s="563"/>
      <c r="OMB93" s="563"/>
      <c r="OMC93" s="563"/>
      <c r="OMD93" s="563"/>
      <c r="OME93" s="563"/>
      <c r="OMF93" s="563"/>
      <c r="OMG93" s="563"/>
      <c r="OMH93" s="563"/>
      <c r="OMI93" s="563"/>
      <c r="OMJ93" s="563"/>
      <c r="OMK93" s="563"/>
      <c r="OML93" s="563"/>
      <c r="OMM93" s="563"/>
      <c r="OMN93" s="563"/>
      <c r="OMO93" s="563"/>
      <c r="OMP93" s="563"/>
      <c r="OMQ93" s="563"/>
      <c r="OMR93" s="563"/>
      <c r="OMS93" s="563"/>
      <c r="OMT93" s="563"/>
      <c r="OMU93" s="563"/>
      <c r="OMV93" s="563"/>
      <c r="OMW93" s="563"/>
      <c r="OMX93" s="563"/>
      <c r="OMY93" s="563"/>
      <c r="OMZ93" s="563"/>
      <c r="ONA93" s="563"/>
      <c r="ONB93" s="563"/>
      <c r="ONC93" s="563"/>
      <c r="OND93" s="563"/>
      <c r="ONE93" s="563"/>
      <c r="ONF93" s="563"/>
      <c r="ONG93" s="563"/>
      <c r="ONH93" s="563"/>
      <c r="ONI93" s="563"/>
      <c r="ONJ93" s="563"/>
      <c r="ONK93" s="563"/>
      <c r="ONL93" s="563"/>
      <c r="ONM93" s="563"/>
      <c r="ONN93" s="563"/>
      <c r="ONO93" s="563"/>
      <c r="ONP93" s="563"/>
      <c r="ONQ93" s="563"/>
      <c r="ONR93" s="563"/>
      <c r="ONS93" s="563"/>
      <c r="ONT93" s="563"/>
      <c r="ONU93" s="563"/>
      <c r="ONV93" s="563"/>
      <c r="ONW93" s="563"/>
      <c r="ONX93" s="563"/>
      <c r="ONY93" s="563"/>
      <c r="ONZ93" s="563"/>
      <c r="OOA93" s="563"/>
      <c r="OOB93" s="563"/>
      <c r="OOC93" s="563"/>
      <c r="OOD93" s="563"/>
      <c r="OOE93" s="563"/>
      <c r="OOF93" s="563"/>
      <c r="OOG93" s="563"/>
      <c r="OOH93" s="563"/>
      <c r="OOI93" s="563"/>
      <c r="OOJ93" s="563"/>
      <c r="OOK93" s="563"/>
      <c r="OOL93" s="563"/>
      <c r="OOM93" s="563"/>
      <c r="OON93" s="563"/>
      <c r="OOO93" s="563"/>
      <c r="OOP93" s="563"/>
      <c r="OOQ93" s="563"/>
      <c r="OOR93" s="563"/>
      <c r="OOS93" s="563"/>
      <c r="OOT93" s="563"/>
      <c r="OOU93" s="563"/>
      <c r="OOV93" s="563"/>
      <c r="OOW93" s="563"/>
      <c r="OOX93" s="563"/>
      <c r="OOY93" s="563"/>
      <c r="OOZ93" s="563"/>
      <c r="OPA93" s="563"/>
      <c r="OPB93" s="563"/>
      <c r="OPC93" s="563"/>
      <c r="OPD93" s="563"/>
      <c r="OPE93" s="563"/>
      <c r="OPF93" s="563"/>
      <c r="OPG93" s="563"/>
      <c r="OPH93" s="563"/>
      <c r="OPI93" s="563"/>
      <c r="OPJ93" s="563"/>
      <c r="OPK93" s="563"/>
      <c r="OPL93" s="563"/>
      <c r="OPM93" s="563"/>
      <c r="OPN93" s="563"/>
      <c r="OPO93" s="563"/>
      <c r="OPP93" s="563"/>
      <c r="OPQ93" s="563"/>
      <c r="OPR93" s="563"/>
      <c r="OPS93" s="563"/>
      <c r="OPT93" s="563"/>
      <c r="OPU93" s="563"/>
      <c r="OPV93" s="563"/>
      <c r="OPW93" s="563"/>
      <c r="OPX93" s="563"/>
      <c r="OPY93" s="563"/>
      <c r="OPZ93" s="563"/>
      <c r="OQA93" s="563"/>
      <c r="OQB93" s="563"/>
      <c r="OQC93" s="563"/>
      <c r="OQD93" s="563"/>
      <c r="OQE93" s="563"/>
      <c r="OQF93" s="563"/>
      <c r="OQG93" s="563"/>
      <c r="OQH93" s="563"/>
      <c r="OQI93" s="563"/>
      <c r="OQJ93" s="563"/>
      <c r="OQK93" s="563"/>
      <c r="OQL93" s="563"/>
      <c r="OQM93" s="563"/>
      <c r="OQN93" s="563"/>
      <c r="OQO93" s="563"/>
      <c r="OQP93" s="563"/>
      <c r="OQQ93" s="563"/>
      <c r="OQR93" s="563"/>
      <c r="OQS93" s="563"/>
      <c r="OQT93" s="563"/>
      <c r="OQU93" s="563"/>
      <c r="OQV93" s="563"/>
      <c r="OQW93" s="563"/>
      <c r="OQX93" s="563"/>
      <c r="OQY93" s="563"/>
      <c r="OQZ93" s="563"/>
      <c r="ORA93" s="563"/>
      <c r="ORB93" s="563"/>
      <c r="ORC93" s="563"/>
      <c r="ORD93" s="563"/>
      <c r="ORE93" s="563"/>
      <c r="ORF93" s="563"/>
      <c r="ORG93" s="563"/>
      <c r="ORH93" s="563"/>
      <c r="ORI93" s="563"/>
      <c r="ORJ93" s="563"/>
      <c r="ORK93" s="563"/>
      <c r="ORL93" s="563"/>
      <c r="ORM93" s="563"/>
      <c r="ORN93" s="563"/>
      <c r="ORO93" s="563"/>
      <c r="ORP93" s="563"/>
      <c r="ORQ93" s="563"/>
      <c r="ORR93" s="563"/>
      <c r="ORS93" s="563"/>
      <c r="ORT93" s="563"/>
      <c r="ORU93" s="563"/>
      <c r="ORV93" s="563"/>
      <c r="ORW93" s="563"/>
      <c r="ORX93" s="563"/>
      <c r="ORY93" s="563"/>
      <c r="ORZ93" s="563"/>
      <c r="OSA93" s="563"/>
      <c r="OSB93" s="563"/>
      <c r="OSC93" s="563"/>
      <c r="OSD93" s="563"/>
      <c r="OSE93" s="563"/>
      <c r="OSF93" s="563"/>
      <c r="OSG93" s="563"/>
      <c r="OSH93" s="563"/>
      <c r="OSI93" s="563"/>
      <c r="OSJ93" s="563"/>
      <c r="OSK93" s="563"/>
      <c r="OSL93" s="563"/>
      <c r="OSM93" s="563"/>
      <c r="OSN93" s="563"/>
      <c r="OSO93" s="563"/>
      <c r="OSP93" s="563"/>
      <c r="OSQ93" s="563"/>
      <c r="OSR93" s="563"/>
      <c r="OSS93" s="563"/>
      <c r="OST93" s="563"/>
      <c r="OSU93" s="563"/>
      <c r="OSV93" s="563"/>
      <c r="OSW93" s="563"/>
      <c r="OSX93" s="563"/>
      <c r="OSY93" s="563"/>
      <c r="OSZ93" s="563"/>
      <c r="OTA93" s="563"/>
      <c r="OTB93" s="563"/>
      <c r="OTC93" s="563"/>
      <c r="OTD93" s="563"/>
      <c r="OTE93" s="563"/>
      <c r="OTF93" s="563"/>
      <c r="OTG93" s="563"/>
      <c r="OTH93" s="563"/>
      <c r="OTI93" s="563"/>
      <c r="OTJ93" s="563"/>
      <c r="OTK93" s="563"/>
      <c r="OTL93" s="563"/>
      <c r="OTM93" s="563"/>
      <c r="OTN93" s="563"/>
      <c r="OTO93" s="563"/>
      <c r="OTP93" s="563"/>
      <c r="OTQ93" s="563"/>
      <c r="OTR93" s="563"/>
      <c r="OTS93" s="563"/>
      <c r="OTT93" s="563"/>
      <c r="OTU93" s="563"/>
      <c r="OTV93" s="563"/>
      <c r="OTW93" s="563"/>
      <c r="OTX93" s="563"/>
      <c r="OTY93" s="563"/>
      <c r="OTZ93" s="563"/>
      <c r="OUA93" s="563"/>
      <c r="OUB93" s="563"/>
      <c r="OUC93" s="563"/>
      <c r="OUD93" s="563"/>
      <c r="OUE93" s="563"/>
      <c r="OUF93" s="563"/>
      <c r="OUG93" s="563"/>
      <c r="OUH93" s="563"/>
      <c r="OUI93" s="563"/>
      <c r="OUJ93" s="563"/>
      <c r="OUK93" s="563"/>
      <c r="OUL93" s="563"/>
      <c r="OUM93" s="563"/>
      <c r="OUN93" s="563"/>
      <c r="OUO93" s="563"/>
      <c r="OUP93" s="563"/>
      <c r="OUQ93" s="563"/>
      <c r="OUR93" s="563"/>
      <c r="OUS93" s="563"/>
      <c r="OUT93" s="563"/>
      <c r="OUU93" s="563"/>
      <c r="OUV93" s="563"/>
      <c r="OUW93" s="563"/>
      <c r="OUX93" s="563"/>
      <c r="OUY93" s="563"/>
      <c r="OUZ93" s="563"/>
      <c r="OVA93" s="563"/>
      <c r="OVB93" s="563"/>
      <c r="OVC93" s="563"/>
      <c r="OVD93" s="563"/>
      <c r="OVE93" s="563"/>
      <c r="OVF93" s="563"/>
      <c r="OVG93" s="563"/>
      <c r="OVH93" s="563"/>
      <c r="OVI93" s="563"/>
      <c r="OVJ93" s="563"/>
      <c r="OVK93" s="563"/>
      <c r="OVL93" s="563"/>
      <c r="OVM93" s="563"/>
      <c r="OVN93" s="563"/>
      <c r="OVO93" s="563"/>
      <c r="OVP93" s="563"/>
      <c r="OVQ93" s="563"/>
      <c r="OVR93" s="563"/>
      <c r="OVS93" s="563"/>
      <c r="OVT93" s="563"/>
      <c r="OVU93" s="563"/>
      <c r="OVV93" s="563"/>
      <c r="OVW93" s="563"/>
      <c r="OVX93" s="563"/>
      <c r="OVY93" s="563"/>
      <c r="OVZ93" s="563"/>
      <c r="OWA93" s="563"/>
      <c r="OWB93" s="563"/>
      <c r="OWC93" s="563"/>
      <c r="OWD93" s="563"/>
      <c r="OWE93" s="563"/>
      <c r="OWF93" s="563"/>
      <c r="OWG93" s="563"/>
      <c r="OWH93" s="563"/>
      <c r="OWI93" s="563"/>
      <c r="OWJ93" s="563"/>
      <c r="OWK93" s="563"/>
      <c r="OWL93" s="563"/>
      <c r="OWM93" s="563"/>
      <c r="OWN93" s="563"/>
      <c r="OWO93" s="563"/>
      <c r="OWP93" s="563"/>
      <c r="OWQ93" s="563"/>
      <c r="OWR93" s="563"/>
      <c r="OWS93" s="563"/>
      <c r="OWT93" s="563"/>
      <c r="OWU93" s="563"/>
      <c r="OWV93" s="563"/>
      <c r="OWW93" s="563"/>
      <c r="OWX93" s="563"/>
      <c r="OWY93" s="563"/>
      <c r="OWZ93" s="563"/>
      <c r="OXA93" s="563"/>
      <c r="OXB93" s="563"/>
      <c r="OXC93" s="563"/>
      <c r="OXD93" s="563"/>
      <c r="OXE93" s="563"/>
      <c r="OXF93" s="563"/>
      <c r="OXG93" s="563"/>
      <c r="OXH93" s="563"/>
      <c r="OXI93" s="563"/>
      <c r="OXJ93" s="563"/>
      <c r="OXK93" s="563"/>
      <c r="OXL93" s="563"/>
      <c r="OXM93" s="563"/>
      <c r="OXN93" s="563"/>
      <c r="OXO93" s="563"/>
      <c r="OXP93" s="563"/>
      <c r="OXQ93" s="563"/>
      <c r="OXR93" s="563"/>
      <c r="OXS93" s="563"/>
      <c r="OXT93" s="563"/>
      <c r="OXU93" s="563"/>
      <c r="OXV93" s="563"/>
      <c r="OXW93" s="563"/>
      <c r="OXX93" s="563"/>
      <c r="OXY93" s="563"/>
      <c r="OXZ93" s="563"/>
      <c r="OYA93" s="563"/>
      <c r="OYB93" s="563"/>
      <c r="OYC93" s="563"/>
      <c r="OYD93" s="563"/>
      <c r="OYE93" s="563"/>
      <c r="OYF93" s="563"/>
      <c r="OYG93" s="563"/>
      <c r="OYH93" s="563"/>
      <c r="OYI93" s="563"/>
      <c r="OYJ93" s="563"/>
      <c r="OYK93" s="563"/>
      <c r="OYL93" s="563"/>
      <c r="OYM93" s="563"/>
      <c r="OYN93" s="563"/>
      <c r="OYO93" s="563"/>
      <c r="OYP93" s="563"/>
      <c r="OYQ93" s="563"/>
      <c r="OYR93" s="563"/>
      <c r="OYS93" s="563"/>
      <c r="OYT93" s="563"/>
      <c r="OYU93" s="563"/>
      <c r="OYV93" s="563"/>
      <c r="OYW93" s="563"/>
      <c r="OYX93" s="563"/>
      <c r="OYY93" s="563"/>
      <c r="OYZ93" s="563"/>
      <c r="OZA93" s="563"/>
      <c r="OZB93" s="563"/>
      <c r="OZC93" s="563"/>
      <c r="OZD93" s="563"/>
      <c r="OZE93" s="563"/>
      <c r="OZF93" s="563"/>
      <c r="OZG93" s="563"/>
      <c r="OZH93" s="563"/>
      <c r="OZI93" s="563"/>
      <c r="OZJ93" s="563"/>
      <c r="OZK93" s="563"/>
      <c r="OZL93" s="563"/>
      <c r="OZM93" s="563"/>
      <c r="OZN93" s="563"/>
      <c r="OZO93" s="563"/>
      <c r="OZP93" s="563"/>
      <c r="OZQ93" s="563"/>
      <c r="OZR93" s="563"/>
      <c r="OZS93" s="563"/>
      <c r="OZT93" s="563"/>
      <c r="OZU93" s="563"/>
      <c r="OZV93" s="563"/>
      <c r="OZW93" s="563"/>
      <c r="OZX93" s="563"/>
      <c r="OZY93" s="563"/>
      <c r="OZZ93" s="563"/>
      <c r="PAA93" s="563"/>
      <c r="PAB93" s="563"/>
      <c r="PAC93" s="563"/>
      <c r="PAD93" s="563"/>
      <c r="PAE93" s="563"/>
      <c r="PAF93" s="563"/>
      <c r="PAG93" s="563"/>
      <c r="PAH93" s="563"/>
      <c r="PAI93" s="563"/>
      <c r="PAJ93" s="563"/>
      <c r="PAK93" s="563"/>
      <c r="PAL93" s="563"/>
      <c r="PAM93" s="563"/>
      <c r="PAN93" s="563"/>
      <c r="PAO93" s="563"/>
      <c r="PAP93" s="563"/>
      <c r="PAQ93" s="563"/>
      <c r="PAR93" s="563"/>
      <c r="PAS93" s="563"/>
      <c r="PAT93" s="563"/>
      <c r="PAU93" s="563"/>
      <c r="PAV93" s="563"/>
      <c r="PAW93" s="563"/>
      <c r="PAX93" s="563"/>
      <c r="PAY93" s="563"/>
      <c r="PAZ93" s="563"/>
      <c r="PBA93" s="563"/>
      <c r="PBB93" s="563"/>
      <c r="PBC93" s="563"/>
      <c r="PBD93" s="563"/>
      <c r="PBE93" s="563"/>
      <c r="PBF93" s="563"/>
      <c r="PBG93" s="563"/>
      <c r="PBH93" s="563"/>
      <c r="PBI93" s="563"/>
      <c r="PBJ93" s="563"/>
      <c r="PBK93" s="563"/>
      <c r="PBL93" s="563"/>
      <c r="PBM93" s="563"/>
      <c r="PBN93" s="563"/>
      <c r="PBO93" s="563"/>
      <c r="PBP93" s="563"/>
      <c r="PBQ93" s="563"/>
      <c r="PBR93" s="563"/>
      <c r="PBS93" s="563"/>
      <c r="PBT93" s="563"/>
      <c r="PBU93" s="563"/>
      <c r="PBV93" s="563"/>
      <c r="PBW93" s="563"/>
      <c r="PBX93" s="563"/>
      <c r="PBY93" s="563"/>
      <c r="PBZ93" s="563"/>
      <c r="PCA93" s="563"/>
      <c r="PCB93" s="563"/>
      <c r="PCC93" s="563"/>
      <c r="PCD93" s="563"/>
      <c r="PCE93" s="563"/>
      <c r="PCF93" s="563"/>
      <c r="PCG93" s="563"/>
      <c r="PCH93" s="563"/>
      <c r="PCI93" s="563"/>
      <c r="PCJ93" s="563"/>
      <c r="PCK93" s="563"/>
      <c r="PCL93" s="563"/>
      <c r="PCM93" s="563"/>
      <c r="PCN93" s="563"/>
      <c r="PCO93" s="563"/>
      <c r="PCP93" s="563"/>
      <c r="PCQ93" s="563"/>
      <c r="PCR93" s="563"/>
      <c r="PCS93" s="563"/>
      <c r="PCT93" s="563"/>
      <c r="PCU93" s="563"/>
      <c r="PCV93" s="563"/>
      <c r="PCW93" s="563"/>
      <c r="PCX93" s="563"/>
      <c r="PCY93" s="563"/>
      <c r="PCZ93" s="563"/>
      <c r="PDA93" s="563"/>
      <c r="PDB93" s="563"/>
      <c r="PDC93" s="563"/>
      <c r="PDD93" s="563"/>
      <c r="PDE93" s="563"/>
      <c r="PDF93" s="563"/>
      <c r="PDG93" s="563"/>
      <c r="PDH93" s="563"/>
      <c r="PDI93" s="563"/>
      <c r="PDJ93" s="563"/>
      <c r="PDK93" s="563"/>
      <c r="PDL93" s="563"/>
      <c r="PDM93" s="563"/>
      <c r="PDN93" s="563"/>
      <c r="PDO93" s="563"/>
      <c r="PDP93" s="563"/>
      <c r="PDQ93" s="563"/>
      <c r="PDR93" s="563"/>
      <c r="PDS93" s="563"/>
      <c r="PDT93" s="563"/>
      <c r="PDU93" s="563"/>
      <c r="PDV93" s="563"/>
      <c r="PDW93" s="563"/>
      <c r="PDX93" s="563"/>
      <c r="PDY93" s="563"/>
      <c r="PDZ93" s="563"/>
      <c r="PEA93" s="563"/>
      <c r="PEB93" s="563"/>
      <c r="PEC93" s="563"/>
      <c r="PED93" s="563"/>
      <c r="PEE93" s="563"/>
      <c r="PEF93" s="563"/>
      <c r="PEG93" s="563"/>
      <c r="PEH93" s="563"/>
      <c r="PEI93" s="563"/>
      <c r="PEJ93" s="563"/>
      <c r="PEK93" s="563"/>
      <c r="PEL93" s="563"/>
      <c r="PEM93" s="563"/>
      <c r="PEN93" s="563"/>
      <c r="PEO93" s="563"/>
      <c r="PEP93" s="563"/>
      <c r="PEQ93" s="563"/>
      <c r="PER93" s="563"/>
      <c r="PES93" s="563"/>
      <c r="PET93" s="563"/>
      <c r="PEU93" s="563"/>
      <c r="PEV93" s="563"/>
      <c r="PEW93" s="563"/>
      <c r="PEX93" s="563"/>
      <c r="PEY93" s="563"/>
      <c r="PEZ93" s="563"/>
      <c r="PFA93" s="563"/>
      <c r="PFB93" s="563"/>
      <c r="PFC93" s="563"/>
      <c r="PFD93" s="563"/>
      <c r="PFE93" s="563"/>
      <c r="PFF93" s="563"/>
      <c r="PFG93" s="563"/>
      <c r="PFH93" s="563"/>
      <c r="PFI93" s="563"/>
      <c r="PFJ93" s="563"/>
      <c r="PFK93" s="563"/>
      <c r="PFL93" s="563"/>
      <c r="PFM93" s="563"/>
      <c r="PFN93" s="563"/>
      <c r="PFO93" s="563"/>
      <c r="PFP93" s="563"/>
      <c r="PFQ93" s="563"/>
      <c r="PFR93" s="563"/>
      <c r="PFS93" s="563"/>
      <c r="PFT93" s="563"/>
      <c r="PFU93" s="563"/>
      <c r="PFV93" s="563"/>
      <c r="PFW93" s="563"/>
      <c r="PFX93" s="563"/>
      <c r="PFY93" s="563"/>
      <c r="PFZ93" s="563"/>
      <c r="PGA93" s="563"/>
      <c r="PGB93" s="563"/>
      <c r="PGC93" s="563"/>
      <c r="PGD93" s="563"/>
      <c r="PGE93" s="563"/>
      <c r="PGF93" s="563"/>
      <c r="PGG93" s="563"/>
      <c r="PGH93" s="563"/>
      <c r="PGI93" s="563"/>
      <c r="PGJ93" s="563"/>
      <c r="PGK93" s="563"/>
      <c r="PGL93" s="563"/>
      <c r="PGM93" s="563"/>
      <c r="PGN93" s="563"/>
      <c r="PGO93" s="563"/>
      <c r="PGP93" s="563"/>
      <c r="PGQ93" s="563"/>
      <c r="PGR93" s="563"/>
      <c r="PGS93" s="563"/>
      <c r="PGT93" s="563"/>
      <c r="PGU93" s="563"/>
      <c r="PGV93" s="563"/>
      <c r="PGW93" s="563"/>
      <c r="PGX93" s="563"/>
      <c r="PGY93" s="563"/>
      <c r="PGZ93" s="563"/>
      <c r="PHA93" s="563"/>
      <c r="PHB93" s="563"/>
      <c r="PHC93" s="563"/>
      <c r="PHD93" s="563"/>
      <c r="PHE93" s="563"/>
      <c r="PHF93" s="563"/>
      <c r="PHG93" s="563"/>
      <c r="PHH93" s="563"/>
      <c r="PHI93" s="563"/>
      <c r="PHJ93" s="563"/>
      <c r="PHK93" s="563"/>
      <c r="PHL93" s="563"/>
      <c r="PHM93" s="563"/>
      <c r="PHN93" s="563"/>
      <c r="PHO93" s="563"/>
      <c r="PHP93" s="563"/>
      <c r="PHQ93" s="563"/>
      <c r="PHR93" s="563"/>
      <c r="PHS93" s="563"/>
      <c r="PHT93" s="563"/>
      <c r="PHU93" s="563"/>
      <c r="PHV93" s="563"/>
      <c r="PHW93" s="563"/>
      <c r="PHX93" s="563"/>
      <c r="PHY93" s="563"/>
      <c r="PHZ93" s="563"/>
      <c r="PIA93" s="563"/>
      <c r="PIB93" s="563"/>
      <c r="PIC93" s="563"/>
      <c r="PID93" s="563"/>
      <c r="PIE93" s="563"/>
      <c r="PIF93" s="563"/>
      <c r="PIG93" s="563"/>
      <c r="PIH93" s="563"/>
      <c r="PII93" s="563"/>
      <c r="PIJ93" s="563"/>
      <c r="PIK93" s="563"/>
      <c r="PIL93" s="563"/>
      <c r="PIM93" s="563"/>
      <c r="PIN93" s="563"/>
      <c r="PIO93" s="563"/>
      <c r="PIP93" s="563"/>
      <c r="PIQ93" s="563"/>
      <c r="PIR93" s="563"/>
      <c r="PIS93" s="563"/>
      <c r="PIT93" s="563"/>
      <c r="PIU93" s="563"/>
      <c r="PIV93" s="563"/>
      <c r="PIW93" s="563"/>
      <c r="PIX93" s="563"/>
      <c r="PIY93" s="563"/>
      <c r="PIZ93" s="563"/>
      <c r="PJA93" s="563"/>
      <c r="PJB93" s="563"/>
      <c r="PJC93" s="563"/>
      <c r="PJD93" s="563"/>
      <c r="PJE93" s="563"/>
      <c r="PJF93" s="563"/>
      <c r="PJG93" s="563"/>
      <c r="PJH93" s="563"/>
      <c r="PJI93" s="563"/>
      <c r="PJJ93" s="563"/>
      <c r="PJK93" s="563"/>
      <c r="PJL93" s="563"/>
      <c r="PJM93" s="563"/>
      <c r="PJN93" s="563"/>
      <c r="PJO93" s="563"/>
      <c r="PJP93" s="563"/>
      <c r="PJQ93" s="563"/>
      <c r="PJR93" s="563"/>
      <c r="PJS93" s="563"/>
      <c r="PJT93" s="563"/>
      <c r="PJU93" s="563"/>
      <c r="PJV93" s="563"/>
      <c r="PJW93" s="563"/>
      <c r="PJX93" s="563"/>
      <c r="PJY93" s="563"/>
      <c r="PJZ93" s="563"/>
      <c r="PKA93" s="563"/>
      <c r="PKB93" s="563"/>
      <c r="PKC93" s="563"/>
      <c r="PKD93" s="563"/>
      <c r="PKE93" s="563"/>
      <c r="PKF93" s="563"/>
      <c r="PKG93" s="563"/>
      <c r="PKH93" s="563"/>
      <c r="PKI93" s="563"/>
      <c r="PKJ93" s="563"/>
      <c r="PKK93" s="563"/>
      <c r="PKL93" s="563"/>
      <c r="PKM93" s="563"/>
      <c r="PKN93" s="563"/>
      <c r="PKO93" s="563"/>
      <c r="PKP93" s="563"/>
      <c r="PKQ93" s="563"/>
      <c r="PKR93" s="563"/>
      <c r="PKS93" s="563"/>
      <c r="PKT93" s="563"/>
      <c r="PKU93" s="563"/>
      <c r="PKV93" s="563"/>
      <c r="PKW93" s="563"/>
      <c r="PKX93" s="563"/>
      <c r="PKY93" s="563"/>
      <c r="PKZ93" s="563"/>
      <c r="PLA93" s="563"/>
      <c r="PLB93" s="563"/>
      <c r="PLC93" s="563"/>
      <c r="PLD93" s="563"/>
      <c r="PLE93" s="563"/>
      <c r="PLF93" s="563"/>
      <c r="PLG93" s="563"/>
      <c r="PLH93" s="563"/>
      <c r="PLI93" s="563"/>
      <c r="PLJ93" s="563"/>
      <c r="PLK93" s="563"/>
      <c r="PLL93" s="563"/>
      <c r="PLM93" s="563"/>
      <c r="PLN93" s="563"/>
      <c r="PLO93" s="563"/>
      <c r="PLP93" s="563"/>
      <c r="PLQ93" s="563"/>
      <c r="PLR93" s="563"/>
      <c r="PLS93" s="563"/>
      <c r="PLT93" s="563"/>
      <c r="PLU93" s="563"/>
      <c r="PLV93" s="563"/>
      <c r="PLW93" s="563"/>
      <c r="PLX93" s="563"/>
      <c r="PLY93" s="563"/>
      <c r="PLZ93" s="563"/>
      <c r="PMA93" s="563"/>
      <c r="PMB93" s="563"/>
      <c r="PMC93" s="563"/>
      <c r="PMD93" s="563"/>
      <c r="PME93" s="563"/>
      <c r="PMF93" s="563"/>
      <c r="PMG93" s="563"/>
      <c r="PMH93" s="563"/>
      <c r="PMI93" s="563"/>
      <c r="PMJ93" s="563"/>
      <c r="PMK93" s="563"/>
      <c r="PML93" s="563"/>
      <c r="PMM93" s="563"/>
      <c r="PMN93" s="563"/>
      <c r="PMO93" s="563"/>
      <c r="PMP93" s="563"/>
      <c r="PMQ93" s="563"/>
      <c r="PMR93" s="563"/>
      <c r="PMS93" s="563"/>
      <c r="PMT93" s="563"/>
      <c r="PMU93" s="563"/>
      <c r="PMV93" s="563"/>
      <c r="PMW93" s="563"/>
      <c r="PMX93" s="563"/>
      <c r="PMY93" s="563"/>
      <c r="PMZ93" s="563"/>
      <c r="PNA93" s="563"/>
      <c r="PNB93" s="563"/>
      <c r="PNC93" s="563"/>
      <c r="PND93" s="563"/>
      <c r="PNE93" s="563"/>
      <c r="PNF93" s="563"/>
      <c r="PNG93" s="563"/>
      <c r="PNH93" s="563"/>
      <c r="PNI93" s="563"/>
      <c r="PNJ93" s="563"/>
      <c r="PNK93" s="563"/>
      <c r="PNL93" s="563"/>
      <c r="PNM93" s="563"/>
      <c r="PNN93" s="563"/>
      <c r="PNO93" s="563"/>
      <c r="PNP93" s="563"/>
      <c r="PNQ93" s="563"/>
      <c r="PNR93" s="563"/>
      <c r="PNS93" s="563"/>
      <c r="PNT93" s="563"/>
      <c r="PNU93" s="563"/>
      <c r="PNV93" s="563"/>
      <c r="PNW93" s="563"/>
      <c r="PNX93" s="563"/>
      <c r="PNY93" s="563"/>
      <c r="PNZ93" s="563"/>
      <c r="POA93" s="563"/>
      <c r="POB93" s="563"/>
      <c r="POC93" s="563"/>
      <c r="POD93" s="563"/>
      <c r="POE93" s="563"/>
      <c r="POF93" s="563"/>
      <c r="POG93" s="563"/>
      <c r="POH93" s="563"/>
      <c r="POI93" s="563"/>
      <c r="POJ93" s="563"/>
      <c r="POK93" s="563"/>
      <c r="POL93" s="563"/>
      <c r="POM93" s="563"/>
      <c r="PON93" s="563"/>
      <c r="POO93" s="563"/>
      <c r="POP93" s="563"/>
      <c r="POQ93" s="563"/>
      <c r="POR93" s="563"/>
      <c r="POS93" s="563"/>
      <c r="POT93" s="563"/>
      <c r="POU93" s="563"/>
      <c r="POV93" s="563"/>
      <c r="POW93" s="563"/>
      <c r="POX93" s="563"/>
      <c r="POY93" s="563"/>
      <c r="POZ93" s="563"/>
      <c r="PPA93" s="563"/>
      <c r="PPB93" s="563"/>
      <c r="PPC93" s="563"/>
      <c r="PPD93" s="563"/>
      <c r="PPE93" s="563"/>
      <c r="PPF93" s="563"/>
      <c r="PPG93" s="563"/>
      <c r="PPH93" s="563"/>
      <c r="PPI93" s="563"/>
      <c r="PPJ93" s="563"/>
      <c r="PPK93" s="563"/>
      <c r="PPL93" s="563"/>
      <c r="PPM93" s="563"/>
      <c r="PPN93" s="563"/>
      <c r="PPO93" s="563"/>
      <c r="PPP93" s="563"/>
      <c r="PPQ93" s="563"/>
      <c r="PPR93" s="563"/>
      <c r="PPS93" s="563"/>
      <c r="PPT93" s="563"/>
      <c r="PPU93" s="563"/>
      <c r="PPV93" s="563"/>
      <c r="PPW93" s="563"/>
      <c r="PPX93" s="563"/>
      <c r="PPY93" s="563"/>
      <c r="PPZ93" s="563"/>
      <c r="PQA93" s="563"/>
      <c r="PQB93" s="563"/>
      <c r="PQC93" s="563"/>
      <c r="PQD93" s="563"/>
      <c r="PQE93" s="563"/>
      <c r="PQF93" s="563"/>
      <c r="PQG93" s="563"/>
      <c r="PQH93" s="563"/>
      <c r="PQI93" s="563"/>
      <c r="PQJ93" s="563"/>
      <c r="PQK93" s="563"/>
      <c r="PQL93" s="563"/>
      <c r="PQM93" s="563"/>
      <c r="PQN93" s="563"/>
      <c r="PQO93" s="563"/>
      <c r="PQP93" s="563"/>
      <c r="PQQ93" s="563"/>
      <c r="PQR93" s="563"/>
      <c r="PQS93" s="563"/>
      <c r="PQT93" s="563"/>
      <c r="PQU93" s="563"/>
      <c r="PQV93" s="563"/>
      <c r="PQW93" s="563"/>
      <c r="PQX93" s="563"/>
      <c r="PQY93" s="563"/>
      <c r="PQZ93" s="563"/>
      <c r="PRA93" s="563"/>
      <c r="PRB93" s="563"/>
      <c r="PRC93" s="563"/>
      <c r="PRD93" s="563"/>
      <c r="PRE93" s="563"/>
      <c r="PRF93" s="563"/>
      <c r="PRG93" s="563"/>
      <c r="PRH93" s="563"/>
      <c r="PRI93" s="563"/>
      <c r="PRJ93" s="563"/>
      <c r="PRK93" s="563"/>
      <c r="PRL93" s="563"/>
      <c r="PRM93" s="563"/>
      <c r="PRN93" s="563"/>
      <c r="PRO93" s="563"/>
      <c r="PRP93" s="563"/>
      <c r="PRQ93" s="563"/>
      <c r="PRR93" s="563"/>
      <c r="PRS93" s="563"/>
      <c r="PRT93" s="563"/>
      <c r="PRU93" s="563"/>
      <c r="PRV93" s="563"/>
      <c r="PRW93" s="563"/>
      <c r="PRX93" s="563"/>
      <c r="PRY93" s="563"/>
      <c r="PRZ93" s="563"/>
      <c r="PSA93" s="563"/>
      <c r="PSB93" s="563"/>
      <c r="PSC93" s="563"/>
      <c r="PSD93" s="563"/>
      <c r="PSE93" s="563"/>
      <c r="PSF93" s="563"/>
      <c r="PSG93" s="563"/>
      <c r="PSH93" s="563"/>
      <c r="PSI93" s="563"/>
      <c r="PSJ93" s="563"/>
      <c r="PSK93" s="563"/>
      <c r="PSL93" s="563"/>
      <c r="PSM93" s="563"/>
      <c r="PSN93" s="563"/>
      <c r="PSO93" s="563"/>
      <c r="PSP93" s="563"/>
      <c r="PSQ93" s="563"/>
      <c r="PSR93" s="563"/>
      <c r="PSS93" s="563"/>
      <c r="PST93" s="563"/>
      <c r="PSU93" s="563"/>
      <c r="PSV93" s="563"/>
      <c r="PSW93" s="563"/>
      <c r="PSX93" s="563"/>
      <c r="PSY93" s="563"/>
      <c r="PSZ93" s="563"/>
      <c r="PTA93" s="563"/>
      <c r="PTB93" s="563"/>
      <c r="PTC93" s="563"/>
      <c r="PTD93" s="563"/>
      <c r="PTE93" s="563"/>
      <c r="PTF93" s="563"/>
      <c r="PTG93" s="563"/>
      <c r="PTH93" s="563"/>
      <c r="PTI93" s="563"/>
      <c r="PTJ93" s="563"/>
      <c r="PTK93" s="563"/>
      <c r="PTL93" s="563"/>
      <c r="PTM93" s="563"/>
      <c r="PTN93" s="563"/>
      <c r="PTO93" s="563"/>
      <c r="PTP93" s="563"/>
      <c r="PTQ93" s="563"/>
      <c r="PTR93" s="563"/>
      <c r="PTS93" s="563"/>
      <c r="PTT93" s="563"/>
      <c r="PTU93" s="563"/>
      <c r="PTV93" s="563"/>
      <c r="PTW93" s="563"/>
      <c r="PTX93" s="563"/>
      <c r="PTY93" s="563"/>
      <c r="PTZ93" s="563"/>
      <c r="PUA93" s="563"/>
      <c r="PUB93" s="563"/>
      <c r="PUC93" s="563"/>
      <c r="PUD93" s="563"/>
      <c r="PUE93" s="563"/>
      <c r="PUF93" s="563"/>
      <c r="PUG93" s="563"/>
      <c r="PUH93" s="563"/>
      <c r="PUI93" s="563"/>
      <c r="PUJ93" s="563"/>
      <c r="PUK93" s="563"/>
      <c r="PUL93" s="563"/>
      <c r="PUM93" s="563"/>
      <c r="PUN93" s="563"/>
      <c r="PUO93" s="563"/>
      <c r="PUP93" s="563"/>
      <c r="PUQ93" s="563"/>
      <c r="PUR93" s="563"/>
      <c r="PUS93" s="563"/>
      <c r="PUT93" s="563"/>
      <c r="PUU93" s="563"/>
      <c r="PUV93" s="563"/>
      <c r="PUW93" s="563"/>
      <c r="PUX93" s="563"/>
      <c r="PUY93" s="563"/>
      <c r="PUZ93" s="563"/>
      <c r="PVA93" s="563"/>
      <c r="PVB93" s="563"/>
      <c r="PVC93" s="563"/>
      <c r="PVD93" s="563"/>
      <c r="PVE93" s="563"/>
      <c r="PVF93" s="563"/>
      <c r="PVG93" s="563"/>
      <c r="PVH93" s="563"/>
      <c r="PVI93" s="563"/>
      <c r="PVJ93" s="563"/>
      <c r="PVK93" s="563"/>
      <c r="PVL93" s="563"/>
      <c r="PVM93" s="563"/>
      <c r="PVN93" s="563"/>
      <c r="PVO93" s="563"/>
      <c r="PVP93" s="563"/>
      <c r="PVQ93" s="563"/>
      <c r="PVR93" s="563"/>
      <c r="PVS93" s="563"/>
      <c r="PVT93" s="563"/>
      <c r="PVU93" s="563"/>
      <c r="PVV93" s="563"/>
      <c r="PVW93" s="563"/>
      <c r="PVX93" s="563"/>
      <c r="PVY93" s="563"/>
      <c r="PVZ93" s="563"/>
      <c r="PWA93" s="563"/>
      <c r="PWB93" s="563"/>
      <c r="PWC93" s="563"/>
      <c r="PWD93" s="563"/>
      <c r="PWE93" s="563"/>
      <c r="PWF93" s="563"/>
      <c r="PWG93" s="563"/>
      <c r="PWH93" s="563"/>
      <c r="PWI93" s="563"/>
      <c r="PWJ93" s="563"/>
      <c r="PWK93" s="563"/>
      <c r="PWL93" s="563"/>
      <c r="PWM93" s="563"/>
      <c r="PWN93" s="563"/>
      <c r="PWO93" s="563"/>
      <c r="PWP93" s="563"/>
      <c r="PWQ93" s="563"/>
      <c r="PWR93" s="563"/>
      <c r="PWS93" s="563"/>
      <c r="PWT93" s="563"/>
      <c r="PWU93" s="563"/>
      <c r="PWV93" s="563"/>
      <c r="PWW93" s="563"/>
      <c r="PWX93" s="563"/>
      <c r="PWY93" s="563"/>
      <c r="PWZ93" s="563"/>
      <c r="PXA93" s="563"/>
      <c r="PXB93" s="563"/>
      <c r="PXC93" s="563"/>
      <c r="PXD93" s="563"/>
      <c r="PXE93" s="563"/>
      <c r="PXF93" s="563"/>
      <c r="PXG93" s="563"/>
      <c r="PXH93" s="563"/>
      <c r="PXI93" s="563"/>
      <c r="PXJ93" s="563"/>
      <c r="PXK93" s="563"/>
      <c r="PXL93" s="563"/>
      <c r="PXM93" s="563"/>
      <c r="PXN93" s="563"/>
      <c r="PXO93" s="563"/>
      <c r="PXP93" s="563"/>
      <c r="PXQ93" s="563"/>
      <c r="PXR93" s="563"/>
      <c r="PXS93" s="563"/>
      <c r="PXT93" s="563"/>
      <c r="PXU93" s="563"/>
      <c r="PXV93" s="563"/>
      <c r="PXW93" s="563"/>
      <c r="PXX93" s="563"/>
      <c r="PXY93" s="563"/>
      <c r="PXZ93" s="563"/>
      <c r="PYA93" s="563"/>
      <c r="PYB93" s="563"/>
      <c r="PYC93" s="563"/>
      <c r="PYD93" s="563"/>
      <c r="PYE93" s="563"/>
      <c r="PYF93" s="563"/>
      <c r="PYG93" s="563"/>
      <c r="PYH93" s="563"/>
      <c r="PYI93" s="563"/>
      <c r="PYJ93" s="563"/>
      <c r="PYK93" s="563"/>
      <c r="PYL93" s="563"/>
      <c r="PYM93" s="563"/>
      <c r="PYN93" s="563"/>
      <c r="PYO93" s="563"/>
      <c r="PYP93" s="563"/>
      <c r="PYQ93" s="563"/>
      <c r="PYR93" s="563"/>
      <c r="PYS93" s="563"/>
      <c r="PYT93" s="563"/>
      <c r="PYU93" s="563"/>
      <c r="PYV93" s="563"/>
      <c r="PYW93" s="563"/>
      <c r="PYX93" s="563"/>
      <c r="PYY93" s="563"/>
      <c r="PYZ93" s="563"/>
      <c r="PZA93" s="563"/>
      <c r="PZB93" s="563"/>
      <c r="PZC93" s="563"/>
      <c r="PZD93" s="563"/>
      <c r="PZE93" s="563"/>
      <c r="PZF93" s="563"/>
      <c r="PZG93" s="563"/>
      <c r="PZH93" s="563"/>
      <c r="PZI93" s="563"/>
      <c r="PZJ93" s="563"/>
      <c r="PZK93" s="563"/>
      <c r="PZL93" s="563"/>
      <c r="PZM93" s="563"/>
      <c r="PZN93" s="563"/>
      <c r="PZO93" s="563"/>
      <c r="PZP93" s="563"/>
      <c r="PZQ93" s="563"/>
      <c r="PZR93" s="563"/>
      <c r="PZS93" s="563"/>
      <c r="PZT93" s="563"/>
      <c r="PZU93" s="563"/>
      <c r="PZV93" s="563"/>
      <c r="PZW93" s="563"/>
      <c r="PZX93" s="563"/>
      <c r="PZY93" s="563"/>
      <c r="PZZ93" s="563"/>
      <c r="QAA93" s="563"/>
      <c r="QAB93" s="563"/>
      <c r="QAC93" s="563"/>
      <c r="QAD93" s="563"/>
      <c r="QAE93" s="563"/>
      <c r="QAF93" s="563"/>
      <c r="QAG93" s="563"/>
      <c r="QAH93" s="563"/>
      <c r="QAI93" s="563"/>
      <c r="QAJ93" s="563"/>
      <c r="QAK93" s="563"/>
      <c r="QAL93" s="563"/>
      <c r="QAM93" s="563"/>
      <c r="QAN93" s="563"/>
      <c r="QAO93" s="563"/>
      <c r="QAP93" s="563"/>
      <c r="QAQ93" s="563"/>
      <c r="QAR93" s="563"/>
      <c r="QAS93" s="563"/>
      <c r="QAT93" s="563"/>
      <c r="QAU93" s="563"/>
      <c r="QAV93" s="563"/>
      <c r="QAW93" s="563"/>
      <c r="QAX93" s="563"/>
      <c r="QAY93" s="563"/>
      <c r="QAZ93" s="563"/>
      <c r="QBA93" s="563"/>
      <c r="QBB93" s="563"/>
      <c r="QBC93" s="563"/>
      <c r="QBD93" s="563"/>
      <c r="QBE93" s="563"/>
      <c r="QBF93" s="563"/>
      <c r="QBG93" s="563"/>
      <c r="QBH93" s="563"/>
      <c r="QBI93" s="563"/>
      <c r="QBJ93" s="563"/>
      <c r="QBK93" s="563"/>
      <c r="QBL93" s="563"/>
      <c r="QBM93" s="563"/>
      <c r="QBN93" s="563"/>
      <c r="QBO93" s="563"/>
      <c r="QBP93" s="563"/>
      <c r="QBQ93" s="563"/>
      <c r="QBR93" s="563"/>
      <c r="QBS93" s="563"/>
      <c r="QBT93" s="563"/>
      <c r="QBU93" s="563"/>
      <c r="QBV93" s="563"/>
      <c r="QBW93" s="563"/>
      <c r="QBX93" s="563"/>
      <c r="QBY93" s="563"/>
      <c r="QBZ93" s="563"/>
      <c r="QCA93" s="563"/>
      <c r="QCB93" s="563"/>
      <c r="QCC93" s="563"/>
      <c r="QCD93" s="563"/>
      <c r="QCE93" s="563"/>
      <c r="QCF93" s="563"/>
      <c r="QCG93" s="563"/>
      <c r="QCH93" s="563"/>
      <c r="QCI93" s="563"/>
      <c r="QCJ93" s="563"/>
      <c r="QCK93" s="563"/>
      <c r="QCL93" s="563"/>
      <c r="QCM93" s="563"/>
      <c r="QCN93" s="563"/>
      <c r="QCO93" s="563"/>
      <c r="QCP93" s="563"/>
      <c r="QCQ93" s="563"/>
      <c r="QCR93" s="563"/>
      <c r="QCS93" s="563"/>
      <c r="QCT93" s="563"/>
      <c r="QCU93" s="563"/>
      <c r="QCV93" s="563"/>
      <c r="QCW93" s="563"/>
      <c r="QCX93" s="563"/>
      <c r="QCY93" s="563"/>
      <c r="QCZ93" s="563"/>
      <c r="QDA93" s="563"/>
      <c r="QDB93" s="563"/>
      <c r="QDC93" s="563"/>
      <c r="QDD93" s="563"/>
      <c r="QDE93" s="563"/>
      <c r="QDF93" s="563"/>
      <c r="QDG93" s="563"/>
      <c r="QDH93" s="563"/>
      <c r="QDI93" s="563"/>
      <c r="QDJ93" s="563"/>
      <c r="QDK93" s="563"/>
      <c r="QDL93" s="563"/>
      <c r="QDM93" s="563"/>
      <c r="QDN93" s="563"/>
      <c r="QDO93" s="563"/>
      <c r="QDP93" s="563"/>
      <c r="QDQ93" s="563"/>
      <c r="QDR93" s="563"/>
      <c r="QDS93" s="563"/>
      <c r="QDT93" s="563"/>
      <c r="QDU93" s="563"/>
      <c r="QDV93" s="563"/>
      <c r="QDW93" s="563"/>
      <c r="QDX93" s="563"/>
      <c r="QDY93" s="563"/>
      <c r="QDZ93" s="563"/>
      <c r="QEA93" s="563"/>
      <c r="QEB93" s="563"/>
      <c r="QEC93" s="563"/>
      <c r="QED93" s="563"/>
      <c r="QEE93" s="563"/>
      <c r="QEF93" s="563"/>
      <c r="QEG93" s="563"/>
      <c r="QEH93" s="563"/>
      <c r="QEI93" s="563"/>
      <c r="QEJ93" s="563"/>
      <c r="QEK93" s="563"/>
      <c r="QEL93" s="563"/>
      <c r="QEM93" s="563"/>
      <c r="QEN93" s="563"/>
      <c r="QEO93" s="563"/>
      <c r="QEP93" s="563"/>
      <c r="QEQ93" s="563"/>
      <c r="QER93" s="563"/>
      <c r="QES93" s="563"/>
      <c r="QET93" s="563"/>
      <c r="QEU93" s="563"/>
      <c r="QEV93" s="563"/>
      <c r="QEW93" s="563"/>
      <c r="QEX93" s="563"/>
      <c r="QEY93" s="563"/>
      <c r="QEZ93" s="563"/>
      <c r="QFA93" s="563"/>
      <c r="QFB93" s="563"/>
      <c r="QFC93" s="563"/>
      <c r="QFD93" s="563"/>
      <c r="QFE93" s="563"/>
      <c r="QFF93" s="563"/>
      <c r="QFG93" s="563"/>
      <c r="QFH93" s="563"/>
      <c r="QFI93" s="563"/>
      <c r="QFJ93" s="563"/>
      <c r="QFK93" s="563"/>
      <c r="QFL93" s="563"/>
      <c r="QFM93" s="563"/>
      <c r="QFN93" s="563"/>
      <c r="QFO93" s="563"/>
      <c r="QFP93" s="563"/>
      <c r="QFQ93" s="563"/>
      <c r="QFR93" s="563"/>
      <c r="QFS93" s="563"/>
      <c r="QFT93" s="563"/>
      <c r="QFU93" s="563"/>
      <c r="QFV93" s="563"/>
      <c r="QFW93" s="563"/>
      <c r="QFX93" s="563"/>
      <c r="QFY93" s="563"/>
      <c r="QFZ93" s="563"/>
      <c r="QGA93" s="563"/>
      <c r="QGB93" s="563"/>
      <c r="QGC93" s="563"/>
      <c r="QGD93" s="563"/>
      <c r="QGE93" s="563"/>
      <c r="QGF93" s="563"/>
      <c r="QGG93" s="563"/>
      <c r="QGH93" s="563"/>
      <c r="QGI93" s="563"/>
      <c r="QGJ93" s="563"/>
      <c r="QGK93" s="563"/>
      <c r="QGL93" s="563"/>
      <c r="QGM93" s="563"/>
      <c r="QGN93" s="563"/>
      <c r="QGO93" s="563"/>
      <c r="QGP93" s="563"/>
      <c r="QGQ93" s="563"/>
      <c r="QGR93" s="563"/>
      <c r="QGS93" s="563"/>
      <c r="QGT93" s="563"/>
      <c r="QGU93" s="563"/>
      <c r="QGV93" s="563"/>
      <c r="QGW93" s="563"/>
      <c r="QGX93" s="563"/>
      <c r="QGY93" s="563"/>
      <c r="QGZ93" s="563"/>
      <c r="QHA93" s="563"/>
      <c r="QHB93" s="563"/>
      <c r="QHC93" s="563"/>
      <c r="QHD93" s="563"/>
      <c r="QHE93" s="563"/>
      <c r="QHF93" s="563"/>
      <c r="QHG93" s="563"/>
      <c r="QHH93" s="563"/>
      <c r="QHI93" s="563"/>
      <c r="QHJ93" s="563"/>
      <c r="QHK93" s="563"/>
      <c r="QHL93" s="563"/>
      <c r="QHM93" s="563"/>
      <c r="QHN93" s="563"/>
      <c r="QHO93" s="563"/>
      <c r="QHP93" s="563"/>
      <c r="QHQ93" s="563"/>
      <c r="QHR93" s="563"/>
      <c r="QHS93" s="563"/>
      <c r="QHT93" s="563"/>
      <c r="QHU93" s="563"/>
      <c r="QHV93" s="563"/>
      <c r="QHW93" s="563"/>
      <c r="QHX93" s="563"/>
      <c r="QHY93" s="563"/>
      <c r="QHZ93" s="563"/>
      <c r="QIA93" s="563"/>
      <c r="QIB93" s="563"/>
      <c r="QIC93" s="563"/>
      <c r="QID93" s="563"/>
      <c r="QIE93" s="563"/>
      <c r="QIF93" s="563"/>
      <c r="QIG93" s="563"/>
      <c r="QIH93" s="563"/>
      <c r="QII93" s="563"/>
      <c r="QIJ93" s="563"/>
      <c r="QIK93" s="563"/>
      <c r="QIL93" s="563"/>
      <c r="QIM93" s="563"/>
      <c r="QIN93" s="563"/>
      <c r="QIO93" s="563"/>
      <c r="QIP93" s="563"/>
      <c r="QIQ93" s="563"/>
      <c r="QIR93" s="563"/>
      <c r="QIS93" s="563"/>
      <c r="QIT93" s="563"/>
      <c r="QIU93" s="563"/>
      <c r="QIV93" s="563"/>
      <c r="QIW93" s="563"/>
      <c r="QIX93" s="563"/>
      <c r="QIY93" s="563"/>
      <c r="QIZ93" s="563"/>
      <c r="QJA93" s="563"/>
      <c r="QJB93" s="563"/>
      <c r="QJC93" s="563"/>
      <c r="QJD93" s="563"/>
      <c r="QJE93" s="563"/>
      <c r="QJF93" s="563"/>
      <c r="QJG93" s="563"/>
      <c r="QJH93" s="563"/>
      <c r="QJI93" s="563"/>
      <c r="QJJ93" s="563"/>
      <c r="QJK93" s="563"/>
      <c r="QJL93" s="563"/>
      <c r="QJM93" s="563"/>
      <c r="QJN93" s="563"/>
      <c r="QJO93" s="563"/>
      <c r="QJP93" s="563"/>
      <c r="QJQ93" s="563"/>
      <c r="QJR93" s="563"/>
      <c r="QJS93" s="563"/>
      <c r="QJT93" s="563"/>
      <c r="QJU93" s="563"/>
      <c r="QJV93" s="563"/>
      <c r="QJW93" s="563"/>
      <c r="QJX93" s="563"/>
      <c r="QJY93" s="563"/>
      <c r="QJZ93" s="563"/>
      <c r="QKA93" s="563"/>
      <c r="QKB93" s="563"/>
      <c r="QKC93" s="563"/>
      <c r="QKD93" s="563"/>
      <c r="QKE93" s="563"/>
      <c r="QKF93" s="563"/>
      <c r="QKG93" s="563"/>
      <c r="QKH93" s="563"/>
      <c r="QKI93" s="563"/>
      <c r="QKJ93" s="563"/>
      <c r="QKK93" s="563"/>
      <c r="QKL93" s="563"/>
      <c r="QKM93" s="563"/>
      <c r="QKN93" s="563"/>
      <c r="QKO93" s="563"/>
      <c r="QKP93" s="563"/>
      <c r="QKQ93" s="563"/>
      <c r="QKR93" s="563"/>
      <c r="QKS93" s="563"/>
      <c r="QKT93" s="563"/>
      <c r="QKU93" s="563"/>
      <c r="QKV93" s="563"/>
      <c r="QKW93" s="563"/>
      <c r="QKX93" s="563"/>
      <c r="QKY93" s="563"/>
      <c r="QKZ93" s="563"/>
      <c r="QLA93" s="563"/>
      <c r="QLB93" s="563"/>
      <c r="QLC93" s="563"/>
      <c r="QLD93" s="563"/>
      <c r="QLE93" s="563"/>
      <c r="QLF93" s="563"/>
      <c r="QLG93" s="563"/>
      <c r="QLH93" s="563"/>
      <c r="QLI93" s="563"/>
      <c r="QLJ93" s="563"/>
      <c r="QLK93" s="563"/>
      <c r="QLL93" s="563"/>
      <c r="QLM93" s="563"/>
      <c r="QLN93" s="563"/>
      <c r="QLO93" s="563"/>
      <c r="QLP93" s="563"/>
      <c r="QLQ93" s="563"/>
      <c r="QLR93" s="563"/>
      <c r="QLS93" s="563"/>
      <c r="QLT93" s="563"/>
      <c r="QLU93" s="563"/>
      <c r="QLV93" s="563"/>
      <c r="QLW93" s="563"/>
      <c r="QLX93" s="563"/>
      <c r="QLY93" s="563"/>
      <c r="QLZ93" s="563"/>
      <c r="QMA93" s="563"/>
      <c r="QMB93" s="563"/>
      <c r="QMC93" s="563"/>
      <c r="QMD93" s="563"/>
      <c r="QME93" s="563"/>
      <c r="QMF93" s="563"/>
      <c r="QMG93" s="563"/>
      <c r="QMH93" s="563"/>
      <c r="QMI93" s="563"/>
      <c r="QMJ93" s="563"/>
      <c r="QMK93" s="563"/>
      <c r="QML93" s="563"/>
      <c r="QMM93" s="563"/>
      <c r="QMN93" s="563"/>
      <c r="QMO93" s="563"/>
      <c r="QMP93" s="563"/>
      <c r="QMQ93" s="563"/>
      <c r="QMR93" s="563"/>
      <c r="QMS93" s="563"/>
      <c r="QMT93" s="563"/>
      <c r="QMU93" s="563"/>
      <c r="QMV93" s="563"/>
      <c r="QMW93" s="563"/>
      <c r="QMX93" s="563"/>
      <c r="QMY93" s="563"/>
      <c r="QMZ93" s="563"/>
      <c r="QNA93" s="563"/>
      <c r="QNB93" s="563"/>
      <c r="QNC93" s="563"/>
      <c r="QND93" s="563"/>
      <c r="QNE93" s="563"/>
      <c r="QNF93" s="563"/>
      <c r="QNG93" s="563"/>
      <c r="QNH93" s="563"/>
      <c r="QNI93" s="563"/>
      <c r="QNJ93" s="563"/>
      <c r="QNK93" s="563"/>
      <c r="QNL93" s="563"/>
      <c r="QNM93" s="563"/>
      <c r="QNN93" s="563"/>
      <c r="QNO93" s="563"/>
      <c r="QNP93" s="563"/>
      <c r="QNQ93" s="563"/>
      <c r="QNR93" s="563"/>
      <c r="QNS93" s="563"/>
      <c r="QNT93" s="563"/>
      <c r="QNU93" s="563"/>
      <c r="QNV93" s="563"/>
      <c r="QNW93" s="563"/>
      <c r="QNX93" s="563"/>
      <c r="QNY93" s="563"/>
      <c r="QNZ93" s="563"/>
      <c r="QOA93" s="563"/>
      <c r="QOB93" s="563"/>
      <c r="QOC93" s="563"/>
      <c r="QOD93" s="563"/>
      <c r="QOE93" s="563"/>
      <c r="QOF93" s="563"/>
      <c r="QOG93" s="563"/>
      <c r="QOH93" s="563"/>
      <c r="QOI93" s="563"/>
      <c r="QOJ93" s="563"/>
      <c r="QOK93" s="563"/>
      <c r="QOL93" s="563"/>
      <c r="QOM93" s="563"/>
      <c r="QON93" s="563"/>
      <c r="QOO93" s="563"/>
      <c r="QOP93" s="563"/>
      <c r="QOQ93" s="563"/>
      <c r="QOR93" s="563"/>
      <c r="QOS93" s="563"/>
      <c r="QOT93" s="563"/>
      <c r="QOU93" s="563"/>
      <c r="QOV93" s="563"/>
      <c r="QOW93" s="563"/>
      <c r="QOX93" s="563"/>
      <c r="QOY93" s="563"/>
      <c r="QOZ93" s="563"/>
      <c r="QPA93" s="563"/>
      <c r="QPB93" s="563"/>
      <c r="QPC93" s="563"/>
      <c r="QPD93" s="563"/>
      <c r="QPE93" s="563"/>
      <c r="QPF93" s="563"/>
      <c r="QPG93" s="563"/>
      <c r="QPH93" s="563"/>
      <c r="QPI93" s="563"/>
      <c r="QPJ93" s="563"/>
      <c r="QPK93" s="563"/>
      <c r="QPL93" s="563"/>
      <c r="QPM93" s="563"/>
      <c r="QPN93" s="563"/>
      <c r="QPO93" s="563"/>
      <c r="QPP93" s="563"/>
      <c r="QPQ93" s="563"/>
      <c r="QPR93" s="563"/>
      <c r="QPS93" s="563"/>
      <c r="QPT93" s="563"/>
      <c r="QPU93" s="563"/>
      <c r="QPV93" s="563"/>
      <c r="QPW93" s="563"/>
      <c r="QPX93" s="563"/>
      <c r="QPY93" s="563"/>
      <c r="QPZ93" s="563"/>
      <c r="QQA93" s="563"/>
      <c r="QQB93" s="563"/>
      <c r="QQC93" s="563"/>
      <c r="QQD93" s="563"/>
      <c r="QQE93" s="563"/>
      <c r="QQF93" s="563"/>
      <c r="QQG93" s="563"/>
      <c r="QQH93" s="563"/>
      <c r="QQI93" s="563"/>
      <c r="QQJ93" s="563"/>
      <c r="QQK93" s="563"/>
      <c r="QQL93" s="563"/>
      <c r="QQM93" s="563"/>
      <c r="QQN93" s="563"/>
      <c r="QQO93" s="563"/>
      <c r="QQP93" s="563"/>
      <c r="QQQ93" s="563"/>
      <c r="QQR93" s="563"/>
      <c r="QQS93" s="563"/>
      <c r="QQT93" s="563"/>
      <c r="QQU93" s="563"/>
      <c r="QQV93" s="563"/>
      <c r="QQW93" s="563"/>
      <c r="QQX93" s="563"/>
      <c r="QQY93" s="563"/>
      <c r="QQZ93" s="563"/>
      <c r="QRA93" s="563"/>
      <c r="QRB93" s="563"/>
      <c r="QRC93" s="563"/>
      <c r="QRD93" s="563"/>
      <c r="QRE93" s="563"/>
      <c r="QRF93" s="563"/>
      <c r="QRG93" s="563"/>
      <c r="QRH93" s="563"/>
      <c r="QRI93" s="563"/>
      <c r="QRJ93" s="563"/>
      <c r="QRK93" s="563"/>
      <c r="QRL93" s="563"/>
      <c r="QRM93" s="563"/>
      <c r="QRN93" s="563"/>
      <c r="QRO93" s="563"/>
      <c r="QRP93" s="563"/>
      <c r="QRQ93" s="563"/>
      <c r="QRR93" s="563"/>
      <c r="QRS93" s="563"/>
      <c r="QRT93" s="563"/>
      <c r="QRU93" s="563"/>
      <c r="QRV93" s="563"/>
      <c r="QRW93" s="563"/>
      <c r="QRX93" s="563"/>
      <c r="QRY93" s="563"/>
      <c r="QRZ93" s="563"/>
      <c r="QSA93" s="563"/>
      <c r="QSB93" s="563"/>
      <c r="QSC93" s="563"/>
      <c r="QSD93" s="563"/>
      <c r="QSE93" s="563"/>
      <c r="QSF93" s="563"/>
      <c r="QSG93" s="563"/>
      <c r="QSH93" s="563"/>
      <c r="QSI93" s="563"/>
      <c r="QSJ93" s="563"/>
      <c r="QSK93" s="563"/>
      <c r="QSL93" s="563"/>
      <c r="QSM93" s="563"/>
      <c r="QSN93" s="563"/>
      <c r="QSO93" s="563"/>
      <c r="QSP93" s="563"/>
      <c r="QSQ93" s="563"/>
      <c r="QSR93" s="563"/>
      <c r="QSS93" s="563"/>
      <c r="QST93" s="563"/>
      <c r="QSU93" s="563"/>
      <c r="QSV93" s="563"/>
      <c r="QSW93" s="563"/>
      <c r="QSX93" s="563"/>
      <c r="QSY93" s="563"/>
      <c r="QSZ93" s="563"/>
      <c r="QTA93" s="563"/>
      <c r="QTB93" s="563"/>
      <c r="QTC93" s="563"/>
      <c r="QTD93" s="563"/>
      <c r="QTE93" s="563"/>
      <c r="QTF93" s="563"/>
      <c r="QTG93" s="563"/>
      <c r="QTH93" s="563"/>
      <c r="QTI93" s="563"/>
      <c r="QTJ93" s="563"/>
      <c r="QTK93" s="563"/>
      <c r="QTL93" s="563"/>
      <c r="QTM93" s="563"/>
      <c r="QTN93" s="563"/>
      <c r="QTO93" s="563"/>
      <c r="QTP93" s="563"/>
      <c r="QTQ93" s="563"/>
      <c r="QTR93" s="563"/>
      <c r="QTS93" s="563"/>
      <c r="QTT93" s="563"/>
      <c r="QTU93" s="563"/>
      <c r="QTV93" s="563"/>
      <c r="QTW93" s="563"/>
      <c r="QTX93" s="563"/>
      <c r="QTY93" s="563"/>
      <c r="QTZ93" s="563"/>
      <c r="QUA93" s="563"/>
      <c r="QUB93" s="563"/>
      <c r="QUC93" s="563"/>
      <c r="QUD93" s="563"/>
      <c r="QUE93" s="563"/>
      <c r="QUF93" s="563"/>
      <c r="QUG93" s="563"/>
      <c r="QUH93" s="563"/>
      <c r="QUI93" s="563"/>
      <c r="QUJ93" s="563"/>
      <c r="QUK93" s="563"/>
      <c r="QUL93" s="563"/>
      <c r="QUM93" s="563"/>
      <c r="QUN93" s="563"/>
      <c r="QUO93" s="563"/>
      <c r="QUP93" s="563"/>
      <c r="QUQ93" s="563"/>
      <c r="QUR93" s="563"/>
      <c r="QUS93" s="563"/>
      <c r="QUT93" s="563"/>
      <c r="QUU93" s="563"/>
      <c r="QUV93" s="563"/>
      <c r="QUW93" s="563"/>
      <c r="QUX93" s="563"/>
      <c r="QUY93" s="563"/>
      <c r="QUZ93" s="563"/>
      <c r="QVA93" s="563"/>
      <c r="QVB93" s="563"/>
      <c r="QVC93" s="563"/>
      <c r="QVD93" s="563"/>
      <c r="QVE93" s="563"/>
      <c r="QVF93" s="563"/>
      <c r="QVG93" s="563"/>
      <c r="QVH93" s="563"/>
      <c r="QVI93" s="563"/>
      <c r="QVJ93" s="563"/>
      <c r="QVK93" s="563"/>
      <c r="QVL93" s="563"/>
      <c r="QVM93" s="563"/>
      <c r="QVN93" s="563"/>
      <c r="QVO93" s="563"/>
      <c r="QVP93" s="563"/>
      <c r="QVQ93" s="563"/>
      <c r="QVR93" s="563"/>
      <c r="QVS93" s="563"/>
      <c r="QVT93" s="563"/>
      <c r="QVU93" s="563"/>
      <c r="QVV93" s="563"/>
      <c r="QVW93" s="563"/>
      <c r="QVX93" s="563"/>
      <c r="QVY93" s="563"/>
      <c r="QVZ93" s="563"/>
      <c r="QWA93" s="563"/>
      <c r="QWB93" s="563"/>
      <c r="QWC93" s="563"/>
      <c r="QWD93" s="563"/>
      <c r="QWE93" s="563"/>
      <c r="QWF93" s="563"/>
      <c r="QWG93" s="563"/>
      <c r="QWH93" s="563"/>
      <c r="QWI93" s="563"/>
      <c r="QWJ93" s="563"/>
      <c r="QWK93" s="563"/>
      <c r="QWL93" s="563"/>
      <c r="QWM93" s="563"/>
      <c r="QWN93" s="563"/>
      <c r="QWO93" s="563"/>
      <c r="QWP93" s="563"/>
      <c r="QWQ93" s="563"/>
      <c r="QWR93" s="563"/>
      <c r="QWS93" s="563"/>
      <c r="QWT93" s="563"/>
      <c r="QWU93" s="563"/>
      <c r="QWV93" s="563"/>
      <c r="QWW93" s="563"/>
      <c r="QWX93" s="563"/>
      <c r="QWY93" s="563"/>
      <c r="QWZ93" s="563"/>
      <c r="QXA93" s="563"/>
      <c r="QXB93" s="563"/>
      <c r="QXC93" s="563"/>
      <c r="QXD93" s="563"/>
      <c r="QXE93" s="563"/>
      <c r="QXF93" s="563"/>
      <c r="QXG93" s="563"/>
      <c r="QXH93" s="563"/>
      <c r="QXI93" s="563"/>
      <c r="QXJ93" s="563"/>
      <c r="QXK93" s="563"/>
      <c r="QXL93" s="563"/>
      <c r="QXM93" s="563"/>
      <c r="QXN93" s="563"/>
      <c r="QXO93" s="563"/>
      <c r="QXP93" s="563"/>
      <c r="QXQ93" s="563"/>
      <c r="QXR93" s="563"/>
      <c r="QXS93" s="563"/>
      <c r="QXT93" s="563"/>
      <c r="QXU93" s="563"/>
      <c r="QXV93" s="563"/>
      <c r="QXW93" s="563"/>
      <c r="QXX93" s="563"/>
      <c r="QXY93" s="563"/>
      <c r="QXZ93" s="563"/>
      <c r="QYA93" s="563"/>
      <c r="QYB93" s="563"/>
      <c r="QYC93" s="563"/>
      <c r="QYD93" s="563"/>
      <c r="QYE93" s="563"/>
      <c r="QYF93" s="563"/>
      <c r="QYG93" s="563"/>
      <c r="QYH93" s="563"/>
      <c r="QYI93" s="563"/>
      <c r="QYJ93" s="563"/>
      <c r="QYK93" s="563"/>
      <c r="QYL93" s="563"/>
      <c r="QYM93" s="563"/>
      <c r="QYN93" s="563"/>
      <c r="QYO93" s="563"/>
      <c r="QYP93" s="563"/>
      <c r="QYQ93" s="563"/>
      <c r="QYR93" s="563"/>
      <c r="QYS93" s="563"/>
      <c r="QYT93" s="563"/>
      <c r="QYU93" s="563"/>
      <c r="QYV93" s="563"/>
      <c r="QYW93" s="563"/>
      <c r="QYX93" s="563"/>
      <c r="QYY93" s="563"/>
      <c r="QYZ93" s="563"/>
      <c r="QZA93" s="563"/>
      <c r="QZB93" s="563"/>
      <c r="QZC93" s="563"/>
      <c r="QZD93" s="563"/>
      <c r="QZE93" s="563"/>
      <c r="QZF93" s="563"/>
      <c r="QZG93" s="563"/>
      <c r="QZH93" s="563"/>
      <c r="QZI93" s="563"/>
      <c r="QZJ93" s="563"/>
      <c r="QZK93" s="563"/>
      <c r="QZL93" s="563"/>
      <c r="QZM93" s="563"/>
      <c r="QZN93" s="563"/>
      <c r="QZO93" s="563"/>
      <c r="QZP93" s="563"/>
      <c r="QZQ93" s="563"/>
      <c r="QZR93" s="563"/>
      <c r="QZS93" s="563"/>
      <c r="QZT93" s="563"/>
      <c r="QZU93" s="563"/>
      <c r="QZV93" s="563"/>
      <c r="QZW93" s="563"/>
      <c r="QZX93" s="563"/>
      <c r="QZY93" s="563"/>
      <c r="QZZ93" s="563"/>
      <c r="RAA93" s="563"/>
      <c r="RAB93" s="563"/>
      <c r="RAC93" s="563"/>
      <c r="RAD93" s="563"/>
      <c r="RAE93" s="563"/>
      <c r="RAF93" s="563"/>
      <c r="RAG93" s="563"/>
      <c r="RAH93" s="563"/>
      <c r="RAI93" s="563"/>
      <c r="RAJ93" s="563"/>
      <c r="RAK93" s="563"/>
      <c r="RAL93" s="563"/>
      <c r="RAM93" s="563"/>
      <c r="RAN93" s="563"/>
      <c r="RAO93" s="563"/>
      <c r="RAP93" s="563"/>
      <c r="RAQ93" s="563"/>
      <c r="RAR93" s="563"/>
      <c r="RAS93" s="563"/>
      <c r="RAT93" s="563"/>
      <c r="RAU93" s="563"/>
      <c r="RAV93" s="563"/>
      <c r="RAW93" s="563"/>
      <c r="RAX93" s="563"/>
      <c r="RAY93" s="563"/>
      <c r="RAZ93" s="563"/>
      <c r="RBA93" s="563"/>
      <c r="RBB93" s="563"/>
      <c r="RBC93" s="563"/>
      <c r="RBD93" s="563"/>
      <c r="RBE93" s="563"/>
      <c r="RBF93" s="563"/>
      <c r="RBG93" s="563"/>
      <c r="RBH93" s="563"/>
      <c r="RBI93" s="563"/>
      <c r="RBJ93" s="563"/>
      <c r="RBK93" s="563"/>
      <c r="RBL93" s="563"/>
      <c r="RBM93" s="563"/>
      <c r="RBN93" s="563"/>
      <c r="RBO93" s="563"/>
      <c r="RBP93" s="563"/>
      <c r="RBQ93" s="563"/>
      <c r="RBR93" s="563"/>
      <c r="RBS93" s="563"/>
      <c r="RBT93" s="563"/>
      <c r="RBU93" s="563"/>
      <c r="RBV93" s="563"/>
      <c r="RBW93" s="563"/>
      <c r="RBX93" s="563"/>
      <c r="RBY93" s="563"/>
      <c r="RBZ93" s="563"/>
      <c r="RCA93" s="563"/>
      <c r="RCB93" s="563"/>
      <c r="RCC93" s="563"/>
      <c r="RCD93" s="563"/>
      <c r="RCE93" s="563"/>
      <c r="RCF93" s="563"/>
      <c r="RCG93" s="563"/>
      <c r="RCH93" s="563"/>
      <c r="RCI93" s="563"/>
      <c r="RCJ93" s="563"/>
      <c r="RCK93" s="563"/>
      <c r="RCL93" s="563"/>
      <c r="RCM93" s="563"/>
      <c r="RCN93" s="563"/>
      <c r="RCO93" s="563"/>
      <c r="RCP93" s="563"/>
      <c r="RCQ93" s="563"/>
      <c r="RCR93" s="563"/>
      <c r="RCS93" s="563"/>
      <c r="RCT93" s="563"/>
      <c r="RCU93" s="563"/>
      <c r="RCV93" s="563"/>
      <c r="RCW93" s="563"/>
      <c r="RCX93" s="563"/>
      <c r="RCY93" s="563"/>
      <c r="RCZ93" s="563"/>
      <c r="RDA93" s="563"/>
      <c r="RDB93" s="563"/>
      <c r="RDC93" s="563"/>
      <c r="RDD93" s="563"/>
      <c r="RDE93" s="563"/>
      <c r="RDF93" s="563"/>
      <c r="RDG93" s="563"/>
      <c r="RDH93" s="563"/>
      <c r="RDI93" s="563"/>
      <c r="RDJ93" s="563"/>
      <c r="RDK93" s="563"/>
      <c r="RDL93" s="563"/>
      <c r="RDM93" s="563"/>
      <c r="RDN93" s="563"/>
      <c r="RDO93" s="563"/>
      <c r="RDP93" s="563"/>
      <c r="RDQ93" s="563"/>
      <c r="RDR93" s="563"/>
      <c r="RDS93" s="563"/>
      <c r="RDT93" s="563"/>
      <c r="RDU93" s="563"/>
      <c r="RDV93" s="563"/>
      <c r="RDW93" s="563"/>
      <c r="RDX93" s="563"/>
      <c r="RDY93" s="563"/>
      <c r="RDZ93" s="563"/>
      <c r="REA93" s="563"/>
      <c r="REB93" s="563"/>
      <c r="REC93" s="563"/>
      <c r="RED93" s="563"/>
      <c r="REE93" s="563"/>
      <c r="REF93" s="563"/>
      <c r="REG93" s="563"/>
      <c r="REH93" s="563"/>
      <c r="REI93" s="563"/>
      <c r="REJ93" s="563"/>
      <c r="REK93" s="563"/>
      <c r="REL93" s="563"/>
      <c r="REM93" s="563"/>
      <c r="REN93" s="563"/>
      <c r="REO93" s="563"/>
      <c r="REP93" s="563"/>
      <c r="REQ93" s="563"/>
      <c r="RER93" s="563"/>
      <c r="RES93" s="563"/>
      <c r="RET93" s="563"/>
      <c r="REU93" s="563"/>
      <c r="REV93" s="563"/>
      <c r="REW93" s="563"/>
      <c r="REX93" s="563"/>
      <c r="REY93" s="563"/>
      <c r="REZ93" s="563"/>
      <c r="RFA93" s="563"/>
      <c r="RFB93" s="563"/>
      <c r="RFC93" s="563"/>
      <c r="RFD93" s="563"/>
      <c r="RFE93" s="563"/>
      <c r="RFF93" s="563"/>
      <c r="RFG93" s="563"/>
      <c r="RFH93" s="563"/>
      <c r="RFI93" s="563"/>
      <c r="RFJ93" s="563"/>
      <c r="RFK93" s="563"/>
      <c r="RFL93" s="563"/>
      <c r="RFM93" s="563"/>
      <c r="RFN93" s="563"/>
      <c r="RFO93" s="563"/>
      <c r="RFP93" s="563"/>
      <c r="RFQ93" s="563"/>
      <c r="RFR93" s="563"/>
      <c r="RFS93" s="563"/>
      <c r="RFT93" s="563"/>
      <c r="RFU93" s="563"/>
      <c r="RFV93" s="563"/>
      <c r="RFW93" s="563"/>
      <c r="RFX93" s="563"/>
      <c r="RFY93" s="563"/>
      <c r="RFZ93" s="563"/>
      <c r="RGA93" s="563"/>
      <c r="RGB93" s="563"/>
      <c r="RGC93" s="563"/>
      <c r="RGD93" s="563"/>
      <c r="RGE93" s="563"/>
      <c r="RGF93" s="563"/>
      <c r="RGG93" s="563"/>
      <c r="RGH93" s="563"/>
      <c r="RGI93" s="563"/>
      <c r="RGJ93" s="563"/>
      <c r="RGK93" s="563"/>
      <c r="RGL93" s="563"/>
      <c r="RGM93" s="563"/>
      <c r="RGN93" s="563"/>
      <c r="RGO93" s="563"/>
      <c r="RGP93" s="563"/>
      <c r="RGQ93" s="563"/>
      <c r="RGR93" s="563"/>
      <c r="RGS93" s="563"/>
      <c r="RGT93" s="563"/>
      <c r="RGU93" s="563"/>
      <c r="RGV93" s="563"/>
      <c r="RGW93" s="563"/>
      <c r="RGX93" s="563"/>
      <c r="RGY93" s="563"/>
      <c r="RGZ93" s="563"/>
      <c r="RHA93" s="563"/>
      <c r="RHB93" s="563"/>
      <c r="RHC93" s="563"/>
      <c r="RHD93" s="563"/>
      <c r="RHE93" s="563"/>
      <c r="RHF93" s="563"/>
      <c r="RHG93" s="563"/>
      <c r="RHH93" s="563"/>
      <c r="RHI93" s="563"/>
      <c r="RHJ93" s="563"/>
      <c r="RHK93" s="563"/>
      <c r="RHL93" s="563"/>
      <c r="RHM93" s="563"/>
      <c r="RHN93" s="563"/>
      <c r="RHO93" s="563"/>
      <c r="RHP93" s="563"/>
      <c r="RHQ93" s="563"/>
      <c r="RHR93" s="563"/>
      <c r="RHS93" s="563"/>
      <c r="RHT93" s="563"/>
      <c r="RHU93" s="563"/>
      <c r="RHV93" s="563"/>
      <c r="RHW93" s="563"/>
      <c r="RHX93" s="563"/>
      <c r="RHY93" s="563"/>
      <c r="RHZ93" s="563"/>
      <c r="RIA93" s="563"/>
      <c r="RIB93" s="563"/>
      <c r="RIC93" s="563"/>
      <c r="RID93" s="563"/>
      <c r="RIE93" s="563"/>
      <c r="RIF93" s="563"/>
      <c r="RIG93" s="563"/>
      <c r="RIH93" s="563"/>
      <c r="RII93" s="563"/>
      <c r="RIJ93" s="563"/>
      <c r="RIK93" s="563"/>
      <c r="RIL93" s="563"/>
      <c r="RIM93" s="563"/>
      <c r="RIN93" s="563"/>
      <c r="RIO93" s="563"/>
      <c r="RIP93" s="563"/>
      <c r="RIQ93" s="563"/>
      <c r="RIR93" s="563"/>
      <c r="RIS93" s="563"/>
      <c r="RIT93" s="563"/>
      <c r="RIU93" s="563"/>
      <c r="RIV93" s="563"/>
      <c r="RIW93" s="563"/>
      <c r="RIX93" s="563"/>
      <c r="RIY93" s="563"/>
      <c r="RIZ93" s="563"/>
      <c r="RJA93" s="563"/>
      <c r="RJB93" s="563"/>
      <c r="RJC93" s="563"/>
      <c r="RJD93" s="563"/>
      <c r="RJE93" s="563"/>
      <c r="RJF93" s="563"/>
      <c r="RJG93" s="563"/>
      <c r="RJH93" s="563"/>
      <c r="RJI93" s="563"/>
      <c r="RJJ93" s="563"/>
      <c r="RJK93" s="563"/>
      <c r="RJL93" s="563"/>
      <c r="RJM93" s="563"/>
      <c r="RJN93" s="563"/>
      <c r="RJO93" s="563"/>
      <c r="RJP93" s="563"/>
      <c r="RJQ93" s="563"/>
      <c r="RJR93" s="563"/>
      <c r="RJS93" s="563"/>
      <c r="RJT93" s="563"/>
      <c r="RJU93" s="563"/>
      <c r="RJV93" s="563"/>
      <c r="RJW93" s="563"/>
      <c r="RJX93" s="563"/>
      <c r="RJY93" s="563"/>
      <c r="RJZ93" s="563"/>
      <c r="RKA93" s="563"/>
      <c r="RKB93" s="563"/>
      <c r="RKC93" s="563"/>
      <c r="RKD93" s="563"/>
      <c r="RKE93" s="563"/>
      <c r="RKF93" s="563"/>
      <c r="RKG93" s="563"/>
      <c r="RKH93" s="563"/>
      <c r="RKI93" s="563"/>
      <c r="RKJ93" s="563"/>
      <c r="RKK93" s="563"/>
      <c r="RKL93" s="563"/>
      <c r="RKM93" s="563"/>
      <c r="RKN93" s="563"/>
      <c r="RKO93" s="563"/>
      <c r="RKP93" s="563"/>
      <c r="RKQ93" s="563"/>
      <c r="RKR93" s="563"/>
      <c r="RKS93" s="563"/>
      <c r="RKT93" s="563"/>
      <c r="RKU93" s="563"/>
      <c r="RKV93" s="563"/>
      <c r="RKW93" s="563"/>
      <c r="RKX93" s="563"/>
      <c r="RKY93" s="563"/>
      <c r="RKZ93" s="563"/>
      <c r="RLA93" s="563"/>
      <c r="RLB93" s="563"/>
      <c r="RLC93" s="563"/>
      <c r="RLD93" s="563"/>
      <c r="RLE93" s="563"/>
      <c r="RLF93" s="563"/>
      <c r="RLG93" s="563"/>
      <c r="RLH93" s="563"/>
      <c r="RLI93" s="563"/>
      <c r="RLJ93" s="563"/>
      <c r="RLK93" s="563"/>
      <c r="RLL93" s="563"/>
      <c r="RLM93" s="563"/>
      <c r="RLN93" s="563"/>
      <c r="RLO93" s="563"/>
      <c r="RLP93" s="563"/>
      <c r="RLQ93" s="563"/>
      <c r="RLR93" s="563"/>
      <c r="RLS93" s="563"/>
      <c r="RLT93" s="563"/>
      <c r="RLU93" s="563"/>
      <c r="RLV93" s="563"/>
      <c r="RLW93" s="563"/>
      <c r="RLX93" s="563"/>
      <c r="RLY93" s="563"/>
      <c r="RLZ93" s="563"/>
      <c r="RMA93" s="563"/>
      <c r="RMB93" s="563"/>
      <c r="RMC93" s="563"/>
      <c r="RMD93" s="563"/>
      <c r="RME93" s="563"/>
      <c r="RMF93" s="563"/>
      <c r="RMG93" s="563"/>
      <c r="RMH93" s="563"/>
      <c r="RMI93" s="563"/>
      <c r="RMJ93" s="563"/>
      <c r="RMK93" s="563"/>
      <c r="RML93" s="563"/>
      <c r="RMM93" s="563"/>
      <c r="RMN93" s="563"/>
      <c r="RMO93" s="563"/>
      <c r="RMP93" s="563"/>
      <c r="RMQ93" s="563"/>
      <c r="RMR93" s="563"/>
      <c r="RMS93" s="563"/>
      <c r="RMT93" s="563"/>
      <c r="RMU93" s="563"/>
      <c r="RMV93" s="563"/>
      <c r="RMW93" s="563"/>
      <c r="RMX93" s="563"/>
      <c r="RMY93" s="563"/>
      <c r="RMZ93" s="563"/>
      <c r="RNA93" s="563"/>
      <c r="RNB93" s="563"/>
      <c r="RNC93" s="563"/>
      <c r="RND93" s="563"/>
      <c r="RNE93" s="563"/>
      <c r="RNF93" s="563"/>
      <c r="RNG93" s="563"/>
      <c r="RNH93" s="563"/>
      <c r="RNI93" s="563"/>
      <c r="RNJ93" s="563"/>
      <c r="RNK93" s="563"/>
      <c r="RNL93" s="563"/>
      <c r="RNM93" s="563"/>
      <c r="RNN93" s="563"/>
      <c r="RNO93" s="563"/>
      <c r="RNP93" s="563"/>
      <c r="RNQ93" s="563"/>
      <c r="RNR93" s="563"/>
      <c r="RNS93" s="563"/>
      <c r="RNT93" s="563"/>
      <c r="RNU93" s="563"/>
      <c r="RNV93" s="563"/>
      <c r="RNW93" s="563"/>
      <c r="RNX93" s="563"/>
      <c r="RNY93" s="563"/>
      <c r="RNZ93" s="563"/>
      <c r="ROA93" s="563"/>
      <c r="ROB93" s="563"/>
      <c r="ROC93" s="563"/>
      <c r="ROD93" s="563"/>
      <c r="ROE93" s="563"/>
      <c r="ROF93" s="563"/>
      <c r="ROG93" s="563"/>
      <c r="ROH93" s="563"/>
      <c r="ROI93" s="563"/>
      <c r="ROJ93" s="563"/>
      <c r="ROK93" s="563"/>
      <c r="ROL93" s="563"/>
      <c r="ROM93" s="563"/>
      <c r="RON93" s="563"/>
      <c r="ROO93" s="563"/>
      <c r="ROP93" s="563"/>
      <c r="ROQ93" s="563"/>
      <c r="ROR93" s="563"/>
      <c r="ROS93" s="563"/>
      <c r="ROT93" s="563"/>
      <c r="ROU93" s="563"/>
      <c r="ROV93" s="563"/>
      <c r="ROW93" s="563"/>
      <c r="ROX93" s="563"/>
      <c r="ROY93" s="563"/>
      <c r="ROZ93" s="563"/>
      <c r="RPA93" s="563"/>
      <c r="RPB93" s="563"/>
      <c r="RPC93" s="563"/>
      <c r="RPD93" s="563"/>
      <c r="RPE93" s="563"/>
      <c r="RPF93" s="563"/>
      <c r="RPG93" s="563"/>
      <c r="RPH93" s="563"/>
      <c r="RPI93" s="563"/>
      <c r="RPJ93" s="563"/>
      <c r="RPK93" s="563"/>
      <c r="RPL93" s="563"/>
      <c r="RPM93" s="563"/>
      <c r="RPN93" s="563"/>
      <c r="RPO93" s="563"/>
      <c r="RPP93" s="563"/>
      <c r="RPQ93" s="563"/>
      <c r="RPR93" s="563"/>
      <c r="RPS93" s="563"/>
      <c r="RPT93" s="563"/>
      <c r="RPU93" s="563"/>
      <c r="RPV93" s="563"/>
      <c r="RPW93" s="563"/>
      <c r="RPX93" s="563"/>
      <c r="RPY93" s="563"/>
      <c r="RPZ93" s="563"/>
      <c r="RQA93" s="563"/>
      <c r="RQB93" s="563"/>
      <c r="RQC93" s="563"/>
      <c r="RQD93" s="563"/>
      <c r="RQE93" s="563"/>
      <c r="RQF93" s="563"/>
      <c r="RQG93" s="563"/>
      <c r="RQH93" s="563"/>
      <c r="RQI93" s="563"/>
      <c r="RQJ93" s="563"/>
      <c r="RQK93" s="563"/>
      <c r="RQL93" s="563"/>
      <c r="RQM93" s="563"/>
      <c r="RQN93" s="563"/>
      <c r="RQO93" s="563"/>
      <c r="RQP93" s="563"/>
      <c r="RQQ93" s="563"/>
      <c r="RQR93" s="563"/>
      <c r="RQS93" s="563"/>
      <c r="RQT93" s="563"/>
      <c r="RQU93" s="563"/>
      <c r="RQV93" s="563"/>
      <c r="RQW93" s="563"/>
      <c r="RQX93" s="563"/>
      <c r="RQY93" s="563"/>
      <c r="RQZ93" s="563"/>
      <c r="RRA93" s="563"/>
      <c r="RRB93" s="563"/>
      <c r="RRC93" s="563"/>
      <c r="RRD93" s="563"/>
      <c r="RRE93" s="563"/>
      <c r="RRF93" s="563"/>
      <c r="RRG93" s="563"/>
      <c r="RRH93" s="563"/>
      <c r="RRI93" s="563"/>
      <c r="RRJ93" s="563"/>
      <c r="RRK93" s="563"/>
      <c r="RRL93" s="563"/>
      <c r="RRM93" s="563"/>
      <c r="RRN93" s="563"/>
      <c r="RRO93" s="563"/>
      <c r="RRP93" s="563"/>
      <c r="RRQ93" s="563"/>
      <c r="RRR93" s="563"/>
      <c r="RRS93" s="563"/>
      <c r="RRT93" s="563"/>
      <c r="RRU93" s="563"/>
      <c r="RRV93" s="563"/>
      <c r="RRW93" s="563"/>
      <c r="RRX93" s="563"/>
      <c r="RRY93" s="563"/>
      <c r="RRZ93" s="563"/>
      <c r="RSA93" s="563"/>
      <c r="RSB93" s="563"/>
      <c r="RSC93" s="563"/>
      <c r="RSD93" s="563"/>
      <c r="RSE93" s="563"/>
      <c r="RSF93" s="563"/>
      <c r="RSG93" s="563"/>
      <c r="RSH93" s="563"/>
      <c r="RSI93" s="563"/>
      <c r="RSJ93" s="563"/>
      <c r="RSK93" s="563"/>
      <c r="RSL93" s="563"/>
      <c r="RSM93" s="563"/>
      <c r="RSN93" s="563"/>
      <c r="RSO93" s="563"/>
      <c r="RSP93" s="563"/>
      <c r="RSQ93" s="563"/>
      <c r="RSR93" s="563"/>
      <c r="RSS93" s="563"/>
      <c r="RST93" s="563"/>
      <c r="RSU93" s="563"/>
      <c r="RSV93" s="563"/>
      <c r="RSW93" s="563"/>
      <c r="RSX93" s="563"/>
      <c r="RSY93" s="563"/>
      <c r="RSZ93" s="563"/>
      <c r="RTA93" s="563"/>
      <c r="RTB93" s="563"/>
      <c r="RTC93" s="563"/>
      <c r="RTD93" s="563"/>
      <c r="RTE93" s="563"/>
      <c r="RTF93" s="563"/>
      <c r="RTG93" s="563"/>
      <c r="RTH93" s="563"/>
      <c r="RTI93" s="563"/>
      <c r="RTJ93" s="563"/>
      <c r="RTK93" s="563"/>
      <c r="RTL93" s="563"/>
      <c r="RTM93" s="563"/>
      <c r="RTN93" s="563"/>
      <c r="RTO93" s="563"/>
      <c r="RTP93" s="563"/>
      <c r="RTQ93" s="563"/>
      <c r="RTR93" s="563"/>
      <c r="RTS93" s="563"/>
      <c r="RTT93" s="563"/>
      <c r="RTU93" s="563"/>
      <c r="RTV93" s="563"/>
      <c r="RTW93" s="563"/>
      <c r="RTX93" s="563"/>
      <c r="RTY93" s="563"/>
      <c r="RTZ93" s="563"/>
      <c r="RUA93" s="563"/>
      <c r="RUB93" s="563"/>
      <c r="RUC93" s="563"/>
      <c r="RUD93" s="563"/>
      <c r="RUE93" s="563"/>
      <c r="RUF93" s="563"/>
      <c r="RUG93" s="563"/>
      <c r="RUH93" s="563"/>
      <c r="RUI93" s="563"/>
      <c r="RUJ93" s="563"/>
      <c r="RUK93" s="563"/>
      <c r="RUL93" s="563"/>
      <c r="RUM93" s="563"/>
      <c r="RUN93" s="563"/>
      <c r="RUO93" s="563"/>
      <c r="RUP93" s="563"/>
      <c r="RUQ93" s="563"/>
      <c r="RUR93" s="563"/>
      <c r="RUS93" s="563"/>
      <c r="RUT93" s="563"/>
      <c r="RUU93" s="563"/>
      <c r="RUV93" s="563"/>
      <c r="RUW93" s="563"/>
      <c r="RUX93" s="563"/>
      <c r="RUY93" s="563"/>
      <c r="RUZ93" s="563"/>
      <c r="RVA93" s="563"/>
      <c r="RVB93" s="563"/>
      <c r="RVC93" s="563"/>
      <c r="RVD93" s="563"/>
      <c r="RVE93" s="563"/>
      <c r="RVF93" s="563"/>
      <c r="RVG93" s="563"/>
      <c r="RVH93" s="563"/>
      <c r="RVI93" s="563"/>
      <c r="RVJ93" s="563"/>
      <c r="RVK93" s="563"/>
      <c r="RVL93" s="563"/>
      <c r="RVM93" s="563"/>
      <c r="RVN93" s="563"/>
      <c r="RVO93" s="563"/>
      <c r="RVP93" s="563"/>
      <c r="RVQ93" s="563"/>
      <c r="RVR93" s="563"/>
      <c r="RVS93" s="563"/>
      <c r="RVT93" s="563"/>
      <c r="RVU93" s="563"/>
      <c r="RVV93" s="563"/>
      <c r="RVW93" s="563"/>
      <c r="RVX93" s="563"/>
      <c r="RVY93" s="563"/>
      <c r="RVZ93" s="563"/>
      <c r="RWA93" s="563"/>
      <c r="RWB93" s="563"/>
      <c r="RWC93" s="563"/>
      <c r="RWD93" s="563"/>
      <c r="RWE93" s="563"/>
      <c r="RWF93" s="563"/>
      <c r="RWG93" s="563"/>
      <c r="RWH93" s="563"/>
      <c r="RWI93" s="563"/>
      <c r="RWJ93" s="563"/>
      <c r="RWK93" s="563"/>
      <c r="RWL93" s="563"/>
      <c r="RWM93" s="563"/>
      <c r="RWN93" s="563"/>
      <c r="RWO93" s="563"/>
      <c r="RWP93" s="563"/>
      <c r="RWQ93" s="563"/>
      <c r="RWR93" s="563"/>
      <c r="RWS93" s="563"/>
      <c r="RWT93" s="563"/>
      <c r="RWU93" s="563"/>
      <c r="RWV93" s="563"/>
      <c r="RWW93" s="563"/>
      <c r="RWX93" s="563"/>
      <c r="RWY93" s="563"/>
      <c r="RWZ93" s="563"/>
      <c r="RXA93" s="563"/>
      <c r="RXB93" s="563"/>
      <c r="RXC93" s="563"/>
      <c r="RXD93" s="563"/>
      <c r="RXE93" s="563"/>
      <c r="RXF93" s="563"/>
      <c r="RXG93" s="563"/>
      <c r="RXH93" s="563"/>
      <c r="RXI93" s="563"/>
      <c r="RXJ93" s="563"/>
      <c r="RXK93" s="563"/>
      <c r="RXL93" s="563"/>
      <c r="RXM93" s="563"/>
      <c r="RXN93" s="563"/>
      <c r="RXO93" s="563"/>
      <c r="RXP93" s="563"/>
      <c r="RXQ93" s="563"/>
      <c r="RXR93" s="563"/>
      <c r="RXS93" s="563"/>
      <c r="RXT93" s="563"/>
      <c r="RXU93" s="563"/>
      <c r="RXV93" s="563"/>
      <c r="RXW93" s="563"/>
      <c r="RXX93" s="563"/>
      <c r="RXY93" s="563"/>
      <c r="RXZ93" s="563"/>
      <c r="RYA93" s="563"/>
      <c r="RYB93" s="563"/>
      <c r="RYC93" s="563"/>
      <c r="RYD93" s="563"/>
      <c r="RYE93" s="563"/>
      <c r="RYF93" s="563"/>
      <c r="RYG93" s="563"/>
      <c r="RYH93" s="563"/>
      <c r="RYI93" s="563"/>
      <c r="RYJ93" s="563"/>
      <c r="RYK93" s="563"/>
      <c r="RYL93" s="563"/>
      <c r="RYM93" s="563"/>
      <c r="RYN93" s="563"/>
      <c r="RYO93" s="563"/>
      <c r="RYP93" s="563"/>
      <c r="RYQ93" s="563"/>
      <c r="RYR93" s="563"/>
      <c r="RYS93" s="563"/>
      <c r="RYT93" s="563"/>
      <c r="RYU93" s="563"/>
      <c r="RYV93" s="563"/>
      <c r="RYW93" s="563"/>
      <c r="RYX93" s="563"/>
      <c r="RYY93" s="563"/>
      <c r="RYZ93" s="563"/>
      <c r="RZA93" s="563"/>
      <c r="RZB93" s="563"/>
      <c r="RZC93" s="563"/>
      <c r="RZD93" s="563"/>
      <c r="RZE93" s="563"/>
      <c r="RZF93" s="563"/>
      <c r="RZG93" s="563"/>
      <c r="RZH93" s="563"/>
      <c r="RZI93" s="563"/>
      <c r="RZJ93" s="563"/>
      <c r="RZK93" s="563"/>
      <c r="RZL93" s="563"/>
      <c r="RZM93" s="563"/>
      <c r="RZN93" s="563"/>
      <c r="RZO93" s="563"/>
      <c r="RZP93" s="563"/>
      <c r="RZQ93" s="563"/>
      <c r="RZR93" s="563"/>
      <c r="RZS93" s="563"/>
      <c r="RZT93" s="563"/>
      <c r="RZU93" s="563"/>
      <c r="RZV93" s="563"/>
      <c r="RZW93" s="563"/>
      <c r="RZX93" s="563"/>
      <c r="RZY93" s="563"/>
      <c r="RZZ93" s="563"/>
      <c r="SAA93" s="563"/>
      <c r="SAB93" s="563"/>
      <c r="SAC93" s="563"/>
      <c r="SAD93" s="563"/>
      <c r="SAE93" s="563"/>
      <c r="SAF93" s="563"/>
      <c r="SAG93" s="563"/>
      <c r="SAH93" s="563"/>
      <c r="SAI93" s="563"/>
      <c r="SAJ93" s="563"/>
      <c r="SAK93" s="563"/>
      <c r="SAL93" s="563"/>
      <c r="SAM93" s="563"/>
      <c r="SAN93" s="563"/>
      <c r="SAO93" s="563"/>
      <c r="SAP93" s="563"/>
      <c r="SAQ93" s="563"/>
      <c r="SAR93" s="563"/>
      <c r="SAS93" s="563"/>
      <c r="SAT93" s="563"/>
      <c r="SAU93" s="563"/>
      <c r="SAV93" s="563"/>
      <c r="SAW93" s="563"/>
      <c r="SAX93" s="563"/>
      <c r="SAY93" s="563"/>
      <c r="SAZ93" s="563"/>
      <c r="SBA93" s="563"/>
      <c r="SBB93" s="563"/>
      <c r="SBC93" s="563"/>
      <c r="SBD93" s="563"/>
      <c r="SBE93" s="563"/>
      <c r="SBF93" s="563"/>
      <c r="SBG93" s="563"/>
      <c r="SBH93" s="563"/>
      <c r="SBI93" s="563"/>
      <c r="SBJ93" s="563"/>
      <c r="SBK93" s="563"/>
      <c r="SBL93" s="563"/>
      <c r="SBM93" s="563"/>
      <c r="SBN93" s="563"/>
      <c r="SBO93" s="563"/>
      <c r="SBP93" s="563"/>
      <c r="SBQ93" s="563"/>
      <c r="SBR93" s="563"/>
      <c r="SBS93" s="563"/>
      <c r="SBT93" s="563"/>
      <c r="SBU93" s="563"/>
      <c r="SBV93" s="563"/>
      <c r="SBW93" s="563"/>
      <c r="SBX93" s="563"/>
      <c r="SBY93" s="563"/>
      <c r="SBZ93" s="563"/>
      <c r="SCA93" s="563"/>
      <c r="SCB93" s="563"/>
      <c r="SCC93" s="563"/>
      <c r="SCD93" s="563"/>
      <c r="SCE93" s="563"/>
      <c r="SCF93" s="563"/>
      <c r="SCG93" s="563"/>
      <c r="SCH93" s="563"/>
      <c r="SCI93" s="563"/>
      <c r="SCJ93" s="563"/>
      <c r="SCK93" s="563"/>
      <c r="SCL93" s="563"/>
      <c r="SCM93" s="563"/>
      <c r="SCN93" s="563"/>
      <c r="SCO93" s="563"/>
      <c r="SCP93" s="563"/>
      <c r="SCQ93" s="563"/>
      <c r="SCR93" s="563"/>
      <c r="SCS93" s="563"/>
      <c r="SCT93" s="563"/>
      <c r="SCU93" s="563"/>
      <c r="SCV93" s="563"/>
      <c r="SCW93" s="563"/>
      <c r="SCX93" s="563"/>
      <c r="SCY93" s="563"/>
      <c r="SCZ93" s="563"/>
      <c r="SDA93" s="563"/>
      <c r="SDB93" s="563"/>
      <c r="SDC93" s="563"/>
      <c r="SDD93" s="563"/>
      <c r="SDE93" s="563"/>
      <c r="SDF93" s="563"/>
      <c r="SDG93" s="563"/>
      <c r="SDH93" s="563"/>
      <c r="SDI93" s="563"/>
      <c r="SDJ93" s="563"/>
      <c r="SDK93" s="563"/>
      <c r="SDL93" s="563"/>
      <c r="SDM93" s="563"/>
      <c r="SDN93" s="563"/>
      <c r="SDO93" s="563"/>
      <c r="SDP93" s="563"/>
      <c r="SDQ93" s="563"/>
      <c r="SDR93" s="563"/>
      <c r="SDS93" s="563"/>
      <c r="SDT93" s="563"/>
      <c r="SDU93" s="563"/>
      <c r="SDV93" s="563"/>
      <c r="SDW93" s="563"/>
      <c r="SDX93" s="563"/>
      <c r="SDY93" s="563"/>
      <c r="SDZ93" s="563"/>
      <c r="SEA93" s="563"/>
      <c r="SEB93" s="563"/>
      <c r="SEC93" s="563"/>
      <c r="SED93" s="563"/>
      <c r="SEE93" s="563"/>
      <c r="SEF93" s="563"/>
      <c r="SEG93" s="563"/>
      <c r="SEH93" s="563"/>
      <c r="SEI93" s="563"/>
      <c r="SEJ93" s="563"/>
      <c r="SEK93" s="563"/>
      <c r="SEL93" s="563"/>
      <c r="SEM93" s="563"/>
      <c r="SEN93" s="563"/>
      <c r="SEO93" s="563"/>
      <c r="SEP93" s="563"/>
      <c r="SEQ93" s="563"/>
      <c r="SER93" s="563"/>
      <c r="SES93" s="563"/>
      <c r="SET93" s="563"/>
      <c r="SEU93" s="563"/>
      <c r="SEV93" s="563"/>
      <c r="SEW93" s="563"/>
      <c r="SEX93" s="563"/>
      <c r="SEY93" s="563"/>
      <c r="SEZ93" s="563"/>
      <c r="SFA93" s="563"/>
      <c r="SFB93" s="563"/>
      <c r="SFC93" s="563"/>
      <c r="SFD93" s="563"/>
      <c r="SFE93" s="563"/>
      <c r="SFF93" s="563"/>
      <c r="SFG93" s="563"/>
      <c r="SFH93" s="563"/>
      <c r="SFI93" s="563"/>
      <c r="SFJ93" s="563"/>
      <c r="SFK93" s="563"/>
      <c r="SFL93" s="563"/>
      <c r="SFM93" s="563"/>
      <c r="SFN93" s="563"/>
      <c r="SFO93" s="563"/>
      <c r="SFP93" s="563"/>
      <c r="SFQ93" s="563"/>
      <c r="SFR93" s="563"/>
      <c r="SFS93" s="563"/>
      <c r="SFT93" s="563"/>
      <c r="SFU93" s="563"/>
      <c r="SFV93" s="563"/>
      <c r="SFW93" s="563"/>
      <c r="SFX93" s="563"/>
      <c r="SFY93" s="563"/>
      <c r="SFZ93" s="563"/>
      <c r="SGA93" s="563"/>
      <c r="SGB93" s="563"/>
      <c r="SGC93" s="563"/>
      <c r="SGD93" s="563"/>
      <c r="SGE93" s="563"/>
      <c r="SGF93" s="563"/>
      <c r="SGG93" s="563"/>
      <c r="SGH93" s="563"/>
      <c r="SGI93" s="563"/>
      <c r="SGJ93" s="563"/>
      <c r="SGK93" s="563"/>
      <c r="SGL93" s="563"/>
      <c r="SGM93" s="563"/>
      <c r="SGN93" s="563"/>
      <c r="SGO93" s="563"/>
      <c r="SGP93" s="563"/>
      <c r="SGQ93" s="563"/>
      <c r="SGR93" s="563"/>
      <c r="SGS93" s="563"/>
      <c r="SGT93" s="563"/>
      <c r="SGU93" s="563"/>
      <c r="SGV93" s="563"/>
      <c r="SGW93" s="563"/>
      <c r="SGX93" s="563"/>
      <c r="SGY93" s="563"/>
      <c r="SGZ93" s="563"/>
      <c r="SHA93" s="563"/>
      <c r="SHB93" s="563"/>
      <c r="SHC93" s="563"/>
      <c r="SHD93" s="563"/>
      <c r="SHE93" s="563"/>
      <c r="SHF93" s="563"/>
      <c r="SHG93" s="563"/>
      <c r="SHH93" s="563"/>
      <c r="SHI93" s="563"/>
      <c r="SHJ93" s="563"/>
      <c r="SHK93" s="563"/>
      <c r="SHL93" s="563"/>
      <c r="SHM93" s="563"/>
      <c r="SHN93" s="563"/>
      <c r="SHO93" s="563"/>
      <c r="SHP93" s="563"/>
      <c r="SHQ93" s="563"/>
      <c r="SHR93" s="563"/>
      <c r="SHS93" s="563"/>
      <c r="SHT93" s="563"/>
      <c r="SHU93" s="563"/>
      <c r="SHV93" s="563"/>
      <c r="SHW93" s="563"/>
      <c r="SHX93" s="563"/>
      <c r="SHY93" s="563"/>
      <c r="SHZ93" s="563"/>
      <c r="SIA93" s="563"/>
      <c r="SIB93" s="563"/>
      <c r="SIC93" s="563"/>
      <c r="SID93" s="563"/>
      <c r="SIE93" s="563"/>
      <c r="SIF93" s="563"/>
      <c r="SIG93" s="563"/>
      <c r="SIH93" s="563"/>
      <c r="SII93" s="563"/>
      <c r="SIJ93" s="563"/>
      <c r="SIK93" s="563"/>
      <c r="SIL93" s="563"/>
      <c r="SIM93" s="563"/>
      <c r="SIN93" s="563"/>
      <c r="SIO93" s="563"/>
      <c r="SIP93" s="563"/>
      <c r="SIQ93" s="563"/>
      <c r="SIR93" s="563"/>
      <c r="SIS93" s="563"/>
      <c r="SIT93" s="563"/>
      <c r="SIU93" s="563"/>
      <c r="SIV93" s="563"/>
      <c r="SIW93" s="563"/>
      <c r="SIX93" s="563"/>
      <c r="SIY93" s="563"/>
      <c r="SIZ93" s="563"/>
      <c r="SJA93" s="563"/>
      <c r="SJB93" s="563"/>
      <c r="SJC93" s="563"/>
      <c r="SJD93" s="563"/>
      <c r="SJE93" s="563"/>
      <c r="SJF93" s="563"/>
      <c r="SJG93" s="563"/>
      <c r="SJH93" s="563"/>
      <c r="SJI93" s="563"/>
      <c r="SJJ93" s="563"/>
      <c r="SJK93" s="563"/>
      <c r="SJL93" s="563"/>
      <c r="SJM93" s="563"/>
      <c r="SJN93" s="563"/>
      <c r="SJO93" s="563"/>
      <c r="SJP93" s="563"/>
      <c r="SJQ93" s="563"/>
      <c r="SJR93" s="563"/>
      <c r="SJS93" s="563"/>
      <c r="SJT93" s="563"/>
      <c r="SJU93" s="563"/>
      <c r="SJV93" s="563"/>
      <c r="SJW93" s="563"/>
      <c r="SJX93" s="563"/>
      <c r="SJY93" s="563"/>
      <c r="SJZ93" s="563"/>
      <c r="SKA93" s="563"/>
      <c r="SKB93" s="563"/>
      <c r="SKC93" s="563"/>
      <c r="SKD93" s="563"/>
      <c r="SKE93" s="563"/>
      <c r="SKF93" s="563"/>
      <c r="SKG93" s="563"/>
      <c r="SKH93" s="563"/>
      <c r="SKI93" s="563"/>
      <c r="SKJ93" s="563"/>
      <c r="SKK93" s="563"/>
      <c r="SKL93" s="563"/>
      <c r="SKM93" s="563"/>
      <c r="SKN93" s="563"/>
      <c r="SKO93" s="563"/>
      <c r="SKP93" s="563"/>
      <c r="SKQ93" s="563"/>
      <c r="SKR93" s="563"/>
      <c r="SKS93" s="563"/>
      <c r="SKT93" s="563"/>
      <c r="SKU93" s="563"/>
      <c r="SKV93" s="563"/>
      <c r="SKW93" s="563"/>
      <c r="SKX93" s="563"/>
      <c r="SKY93" s="563"/>
      <c r="SKZ93" s="563"/>
      <c r="SLA93" s="563"/>
      <c r="SLB93" s="563"/>
      <c r="SLC93" s="563"/>
      <c r="SLD93" s="563"/>
      <c r="SLE93" s="563"/>
      <c r="SLF93" s="563"/>
      <c r="SLG93" s="563"/>
      <c r="SLH93" s="563"/>
      <c r="SLI93" s="563"/>
      <c r="SLJ93" s="563"/>
      <c r="SLK93" s="563"/>
      <c r="SLL93" s="563"/>
      <c r="SLM93" s="563"/>
      <c r="SLN93" s="563"/>
      <c r="SLO93" s="563"/>
      <c r="SLP93" s="563"/>
      <c r="SLQ93" s="563"/>
      <c r="SLR93" s="563"/>
      <c r="SLS93" s="563"/>
      <c r="SLT93" s="563"/>
      <c r="SLU93" s="563"/>
      <c r="SLV93" s="563"/>
      <c r="SLW93" s="563"/>
      <c r="SLX93" s="563"/>
      <c r="SLY93" s="563"/>
      <c r="SLZ93" s="563"/>
      <c r="SMA93" s="563"/>
      <c r="SMB93" s="563"/>
      <c r="SMC93" s="563"/>
      <c r="SMD93" s="563"/>
      <c r="SME93" s="563"/>
      <c r="SMF93" s="563"/>
      <c r="SMG93" s="563"/>
      <c r="SMH93" s="563"/>
      <c r="SMI93" s="563"/>
      <c r="SMJ93" s="563"/>
      <c r="SMK93" s="563"/>
      <c r="SML93" s="563"/>
      <c r="SMM93" s="563"/>
      <c r="SMN93" s="563"/>
      <c r="SMO93" s="563"/>
      <c r="SMP93" s="563"/>
      <c r="SMQ93" s="563"/>
      <c r="SMR93" s="563"/>
      <c r="SMS93" s="563"/>
      <c r="SMT93" s="563"/>
      <c r="SMU93" s="563"/>
      <c r="SMV93" s="563"/>
      <c r="SMW93" s="563"/>
      <c r="SMX93" s="563"/>
      <c r="SMY93" s="563"/>
      <c r="SMZ93" s="563"/>
      <c r="SNA93" s="563"/>
      <c r="SNB93" s="563"/>
      <c r="SNC93" s="563"/>
      <c r="SND93" s="563"/>
      <c r="SNE93" s="563"/>
      <c r="SNF93" s="563"/>
      <c r="SNG93" s="563"/>
      <c r="SNH93" s="563"/>
      <c r="SNI93" s="563"/>
      <c r="SNJ93" s="563"/>
      <c r="SNK93" s="563"/>
      <c r="SNL93" s="563"/>
      <c r="SNM93" s="563"/>
      <c r="SNN93" s="563"/>
      <c r="SNO93" s="563"/>
      <c r="SNP93" s="563"/>
      <c r="SNQ93" s="563"/>
      <c r="SNR93" s="563"/>
      <c r="SNS93" s="563"/>
      <c r="SNT93" s="563"/>
      <c r="SNU93" s="563"/>
      <c r="SNV93" s="563"/>
      <c r="SNW93" s="563"/>
      <c r="SNX93" s="563"/>
      <c r="SNY93" s="563"/>
      <c r="SNZ93" s="563"/>
      <c r="SOA93" s="563"/>
      <c r="SOB93" s="563"/>
      <c r="SOC93" s="563"/>
      <c r="SOD93" s="563"/>
      <c r="SOE93" s="563"/>
      <c r="SOF93" s="563"/>
      <c r="SOG93" s="563"/>
      <c r="SOH93" s="563"/>
      <c r="SOI93" s="563"/>
      <c r="SOJ93" s="563"/>
      <c r="SOK93" s="563"/>
      <c r="SOL93" s="563"/>
      <c r="SOM93" s="563"/>
      <c r="SON93" s="563"/>
      <c r="SOO93" s="563"/>
      <c r="SOP93" s="563"/>
      <c r="SOQ93" s="563"/>
      <c r="SOR93" s="563"/>
      <c r="SOS93" s="563"/>
      <c r="SOT93" s="563"/>
      <c r="SOU93" s="563"/>
      <c r="SOV93" s="563"/>
      <c r="SOW93" s="563"/>
      <c r="SOX93" s="563"/>
      <c r="SOY93" s="563"/>
      <c r="SOZ93" s="563"/>
      <c r="SPA93" s="563"/>
      <c r="SPB93" s="563"/>
      <c r="SPC93" s="563"/>
      <c r="SPD93" s="563"/>
      <c r="SPE93" s="563"/>
      <c r="SPF93" s="563"/>
      <c r="SPG93" s="563"/>
      <c r="SPH93" s="563"/>
      <c r="SPI93" s="563"/>
      <c r="SPJ93" s="563"/>
      <c r="SPK93" s="563"/>
      <c r="SPL93" s="563"/>
      <c r="SPM93" s="563"/>
      <c r="SPN93" s="563"/>
      <c r="SPO93" s="563"/>
      <c r="SPP93" s="563"/>
      <c r="SPQ93" s="563"/>
      <c r="SPR93" s="563"/>
      <c r="SPS93" s="563"/>
      <c r="SPT93" s="563"/>
      <c r="SPU93" s="563"/>
      <c r="SPV93" s="563"/>
      <c r="SPW93" s="563"/>
      <c r="SPX93" s="563"/>
      <c r="SPY93" s="563"/>
      <c r="SPZ93" s="563"/>
      <c r="SQA93" s="563"/>
      <c r="SQB93" s="563"/>
      <c r="SQC93" s="563"/>
      <c r="SQD93" s="563"/>
      <c r="SQE93" s="563"/>
      <c r="SQF93" s="563"/>
      <c r="SQG93" s="563"/>
      <c r="SQH93" s="563"/>
      <c r="SQI93" s="563"/>
      <c r="SQJ93" s="563"/>
      <c r="SQK93" s="563"/>
      <c r="SQL93" s="563"/>
      <c r="SQM93" s="563"/>
      <c r="SQN93" s="563"/>
      <c r="SQO93" s="563"/>
      <c r="SQP93" s="563"/>
      <c r="SQQ93" s="563"/>
      <c r="SQR93" s="563"/>
      <c r="SQS93" s="563"/>
      <c r="SQT93" s="563"/>
      <c r="SQU93" s="563"/>
      <c r="SQV93" s="563"/>
      <c r="SQW93" s="563"/>
      <c r="SQX93" s="563"/>
      <c r="SQY93" s="563"/>
      <c r="SQZ93" s="563"/>
      <c r="SRA93" s="563"/>
      <c r="SRB93" s="563"/>
      <c r="SRC93" s="563"/>
      <c r="SRD93" s="563"/>
      <c r="SRE93" s="563"/>
      <c r="SRF93" s="563"/>
      <c r="SRG93" s="563"/>
      <c r="SRH93" s="563"/>
      <c r="SRI93" s="563"/>
      <c r="SRJ93" s="563"/>
      <c r="SRK93" s="563"/>
      <c r="SRL93" s="563"/>
      <c r="SRM93" s="563"/>
      <c r="SRN93" s="563"/>
      <c r="SRO93" s="563"/>
      <c r="SRP93" s="563"/>
      <c r="SRQ93" s="563"/>
      <c r="SRR93" s="563"/>
      <c r="SRS93" s="563"/>
      <c r="SRT93" s="563"/>
      <c r="SRU93" s="563"/>
      <c r="SRV93" s="563"/>
      <c r="SRW93" s="563"/>
      <c r="SRX93" s="563"/>
      <c r="SRY93" s="563"/>
      <c r="SRZ93" s="563"/>
      <c r="SSA93" s="563"/>
      <c r="SSB93" s="563"/>
      <c r="SSC93" s="563"/>
      <c r="SSD93" s="563"/>
      <c r="SSE93" s="563"/>
      <c r="SSF93" s="563"/>
      <c r="SSG93" s="563"/>
      <c r="SSH93" s="563"/>
      <c r="SSI93" s="563"/>
      <c r="SSJ93" s="563"/>
      <c r="SSK93" s="563"/>
      <c r="SSL93" s="563"/>
      <c r="SSM93" s="563"/>
      <c r="SSN93" s="563"/>
      <c r="SSO93" s="563"/>
      <c r="SSP93" s="563"/>
      <c r="SSQ93" s="563"/>
      <c r="SSR93" s="563"/>
      <c r="SSS93" s="563"/>
      <c r="SST93" s="563"/>
      <c r="SSU93" s="563"/>
      <c r="SSV93" s="563"/>
      <c r="SSW93" s="563"/>
      <c r="SSX93" s="563"/>
      <c r="SSY93" s="563"/>
      <c r="SSZ93" s="563"/>
      <c r="STA93" s="563"/>
      <c r="STB93" s="563"/>
      <c r="STC93" s="563"/>
      <c r="STD93" s="563"/>
      <c r="STE93" s="563"/>
      <c r="STF93" s="563"/>
      <c r="STG93" s="563"/>
      <c r="STH93" s="563"/>
      <c r="STI93" s="563"/>
      <c r="STJ93" s="563"/>
      <c r="STK93" s="563"/>
      <c r="STL93" s="563"/>
      <c r="STM93" s="563"/>
      <c r="STN93" s="563"/>
      <c r="STO93" s="563"/>
      <c r="STP93" s="563"/>
      <c r="STQ93" s="563"/>
      <c r="STR93" s="563"/>
      <c r="STS93" s="563"/>
      <c r="STT93" s="563"/>
      <c r="STU93" s="563"/>
      <c r="STV93" s="563"/>
      <c r="STW93" s="563"/>
      <c r="STX93" s="563"/>
      <c r="STY93" s="563"/>
      <c r="STZ93" s="563"/>
      <c r="SUA93" s="563"/>
      <c r="SUB93" s="563"/>
      <c r="SUC93" s="563"/>
      <c r="SUD93" s="563"/>
      <c r="SUE93" s="563"/>
      <c r="SUF93" s="563"/>
      <c r="SUG93" s="563"/>
      <c r="SUH93" s="563"/>
      <c r="SUI93" s="563"/>
      <c r="SUJ93" s="563"/>
      <c r="SUK93" s="563"/>
      <c r="SUL93" s="563"/>
      <c r="SUM93" s="563"/>
      <c r="SUN93" s="563"/>
      <c r="SUO93" s="563"/>
      <c r="SUP93" s="563"/>
      <c r="SUQ93" s="563"/>
      <c r="SUR93" s="563"/>
      <c r="SUS93" s="563"/>
      <c r="SUT93" s="563"/>
      <c r="SUU93" s="563"/>
      <c r="SUV93" s="563"/>
      <c r="SUW93" s="563"/>
      <c r="SUX93" s="563"/>
      <c r="SUY93" s="563"/>
      <c r="SUZ93" s="563"/>
      <c r="SVA93" s="563"/>
      <c r="SVB93" s="563"/>
      <c r="SVC93" s="563"/>
      <c r="SVD93" s="563"/>
      <c r="SVE93" s="563"/>
      <c r="SVF93" s="563"/>
      <c r="SVG93" s="563"/>
      <c r="SVH93" s="563"/>
      <c r="SVI93" s="563"/>
      <c r="SVJ93" s="563"/>
      <c r="SVK93" s="563"/>
      <c r="SVL93" s="563"/>
      <c r="SVM93" s="563"/>
      <c r="SVN93" s="563"/>
      <c r="SVO93" s="563"/>
      <c r="SVP93" s="563"/>
      <c r="SVQ93" s="563"/>
      <c r="SVR93" s="563"/>
      <c r="SVS93" s="563"/>
      <c r="SVT93" s="563"/>
      <c r="SVU93" s="563"/>
      <c r="SVV93" s="563"/>
      <c r="SVW93" s="563"/>
      <c r="SVX93" s="563"/>
      <c r="SVY93" s="563"/>
      <c r="SVZ93" s="563"/>
      <c r="SWA93" s="563"/>
      <c r="SWB93" s="563"/>
      <c r="SWC93" s="563"/>
      <c r="SWD93" s="563"/>
      <c r="SWE93" s="563"/>
      <c r="SWF93" s="563"/>
      <c r="SWG93" s="563"/>
      <c r="SWH93" s="563"/>
      <c r="SWI93" s="563"/>
      <c r="SWJ93" s="563"/>
      <c r="SWK93" s="563"/>
      <c r="SWL93" s="563"/>
      <c r="SWM93" s="563"/>
      <c r="SWN93" s="563"/>
      <c r="SWO93" s="563"/>
      <c r="SWP93" s="563"/>
      <c r="SWQ93" s="563"/>
      <c r="SWR93" s="563"/>
      <c r="SWS93" s="563"/>
      <c r="SWT93" s="563"/>
      <c r="SWU93" s="563"/>
      <c r="SWV93" s="563"/>
      <c r="SWW93" s="563"/>
      <c r="SWX93" s="563"/>
      <c r="SWY93" s="563"/>
      <c r="SWZ93" s="563"/>
      <c r="SXA93" s="563"/>
      <c r="SXB93" s="563"/>
      <c r="SXC93" s="563"/>
      <c r="SXD93" s="563"/>
      <c r="SXE93" s="563"/>
      <c r="SXF93" s="563"/>
      <c r="SXG93" s="563"/>
      <c r="SXH93" s="563"/>
      <c r="SXI93" s="563"/>
      <c r="SXJ93" s="563"/>
      <c r="SXK93" s="563"/>
      <c r="SXL93" s="563"/>
      <c r="SXM93" s="563"/>
      <c r="SXN93" s="563"/>
      <c r="SXO93" s="563"/>
      <c r="SXP93" s="563"/>
      <c r="SXQ93" s="563"/>
      <c r="SXR93" s="563"/>
      <c r="SXS93" s="563"/>
      <c r="SXT93" s="563"/>
      <c r="SXU93" s="563"/>
      <c r="SXV93" s="563"/>
      <c r="SXW93" s="563"/>
      <c r="SXX93" s="563"/>
      <c r="SXY93" s="563"/>
      <c r="SXZ93" s="563"/>
      <c r="SYA93" s="563"/>
      <c r="SYB93" s="563"/>
      <c r="SYC93" s="563"/>
      <c r="SYD93" s="563"/>
      <c r="SYE93" s="563"/>
      <c r="SYF93" s="563"/>
      <c r="SYG93" s="563"/>
      <c r="SYH93" s="563"/>
      <c r="SYI93" s="563"/>
      <c r="SYJ93" s="563"/>
      <c r="SYK93" s="563"/>
      <c r="SYL93" s="563"/>
      <c r="SYM93" s="563"/>
      <c r="SYN93" s="563"/>
      <c r="SYO93" s="563"/>
      <c r="SYP93" s="563"/>
      <c r="SYQ93" s="563"/>
      <c r="SYR93" s="563"/>
      <c r="SYS93" s="563"/>
      <c r="SYT93" s="563"/>
      <c r="SYU93" s="563"/>
      <c r="SYV93" s="563"/>
      <c r="SYW93" s="563"/>
      <c r="SYX93" s="563"/>
      <c r="SYY93" s="563"/>
      <c r="SYZ93" s="563"/>
      <c r="SZA93" s="563"/>
      <c r="SZB93" s="563"/>
      <c r="SZC93" s="563"/>
      <c r="SZD93" s="563"/>
      <c r="SZE93" s="563"/>
      <c r="SZF93" s="563"/>
      <c r="SZG93" s="563"/>
      <c r="SZH93" s="563"/>
      <c r="SZI93" s="563"/>
      <c r="SZJ93" s="563"/>
      <c r="SZK93" s="563"/>
      <c r="SZL93" s="563"/>
      <c r="SZM93" s="563"/>
      <c r="SZN93" s="563"/>
      <c r="SZO93" s="563"/>
      <c r="SZP93" s="563"/>
      <c r="SZQ93" s="563"/>
      <c r="SZR93" s="563"/>
      <c r="SZS93" s="563"/>
      <c r="SZT93" s="563"/>
      <c r="SZU93" s="563"/>
      <c r="SZV93" s="563"/>
      <c r="SZW93" s="563"/>
      <c r="SZX93" s="563"/>
      <c r="SZY93" s="563"/>
      <c r="SZZ93" s="563"/>
      <c r="TAA93" s="563"/>
      <c r="TAB93" s="563"/>
      <c r="TAC93" s="563"/>
      <c r="TAD93" s="563"/>
      <c r="TAE93" s="563"/>
      <c r="TAF93" s="563"/>
      <c r="TAG93" s="563"/>
      <c r="TAH93" s="563"/>
      <c r="TAI93" s="563"/>
      <c r="TAJ93" s="563"/>
      <c r="TAK93" s="563"/>
      <c r="TAL93" s="563"/>
      <c r="TAM93" s="563"/>
      <c r="TAN93" s="563"/>
      <c r="TAO93" s="563"/>
      <c r="TAP93" s="563"/>
      <c r="TAQ93" s="563"/>
      <c r="TAR93" s="563"/>
      <c r="TAS93" s="563"/>
      <c r="TAT93" s="563"/>
      <c r="TAU93" s="563"/>
      <c r="TAV93" s="563"/>
      <c r="TAW93" s="563"/>
      <c r="TAX93" s="563"/>
      <c r="TAY93" s="563"/>
      <c r="TAZ93" s="563"/>
      <c r="TBA93" s="563"/>
      <c r="TBB93" s="563"/>
      <c r="TBC93" s="563"/>
      <c r="TBD93" s="563"/>
      <c r="TBE93" s="563"/>
      <c r="TBF93" s="563"/>
      <c r="TBG93" s="563"/>
      <c r="TBH93" s="563"/>
      <c r="TBI93" s="563"/>
      <c r="TBJ93" s="563"/>
      <c r="TBK93" s="563"/>
      <c r="TBL93" s="563"/>
      <c r="TBM93" s="563"/>
      <c r="TBN93" s="563"/>
      <c r="TBO93" s="563"/>
      <c r="TBP93" s="563"/>
      <c r="TBQ93" s="563"/>
      <c r="TBR93" s="563"/>
      <c r="TBS93" s="563"/>
      <c r="TBT93" s="563"/>
      <c r="TBU93" s="563"/>
      <c r="TBV93" s="563"/>
      <c r="TBW93" s="563"/>
      <c r="TBX93" s="563"/>
      <c r="TBY93" s="563"/>
      <c r="TBZ93" s="563"/>
      <c r="TCA93" s="563"/>
      <c r="TCB93" s="563"/>
      <c r="TCC93" s="563"/>
      <c r="TCD93" s="563"/>
      <c r="TCE93" s="563"/>
      <c r="TCF93" s="563"/>
      <c r="TCG93" s="563"/>
      <c r="TCH93" s="563"/>
      <c r="TCI93" s="563"/>
      <c r="TCJ93" s="563"/>
      <c r="TCK93" s="563"/>
      <c r="TCL93" s="563"/>
      <c r="TCM93" s="563"/>
      <c r="TCN93" s="563"/>
      <c r="TCO93" s="563"/>
      <c r="TCP93" s="563"/>
      <c r="TCQ93" s="563"/>
      <c r="TCR93" s="563"/>
      <c r="TCS93" s="563"/>
      <c r="TCT93" s="563"/>
      <c r="TCU93" s="563"/>
      <c r="TCV93" s="563"/>
      <c r="TCW93" s="563"/>
      <c r="TCX93" s="563"/>
      <c r="TCY93" s="563"/>
      <c r="TCZ93" s="563"/>
      <c r="TDA93" s="563"/>
      <c r="TDB93" s="563"/>
      <c r="TDC93" s="563"/>
      <c r="TDD93" s="563"/>
      <c r="TDE93" s="563"/>
      <c r="TDF93" s="563"/>
      <c r="TDG93" s="563"/>
      <c r="TDH93" s="563"/>
      <c r="TDI93" s="563"/>
      <c r="TDJ93" s="563"/>
      <c r="TDK93" s="563"/>
      <c r="TDL93" s="563"/>
      <c r="TDM93" s="563"/>
      <c r="TDN93" s="563"/>
      <c r="TDO93" s="563"/>
      <c r="TDP93" s="563"/>
      <c r="TDQ93" s="563"/>
      <c r="TDR93" s="563"/>
      <c r="TDS93" s="563"/>
      <c r="TDT93" s="563"/>
      <c r="TDU93" s="563"/>
      <c r="TDV93" s="563"/>
      <c r="TDW93" s="563"/>
      <c r="TDX93" s="563"/>
      <c r="TDY93" s="563"/>
      <c r="TDZ93" s="563"/>
      <c r="TEA93" s="563"/>
      <c r="TEB93" s="563"/>
      <c r="TEC93" s="563"/>
      <c r="TED93" s="563"/>
      <c r="TEE93" s="563"/>
      <c r="TEF93" s="563"/>
      <c r="TEG93" s="563"/>
      <c r="TEH93" s="563"/>
      <c r="TEI93" s="563"/>
      <c r="TEJ93" s="563"/>
      <c r="TEK93" s="563"/>
      <c r="TEL93" s="563"/>
      <c r="TEM93" s="563"/>
      <c r="TEN93" s="563"/>
      <c r="TEO93" s="563"/>
      <c r="TEP93" s="563"/>
      <c r="TEQ93" s="563"/>
      <c r="TER93" s="563"/>
      <c r="TES93" s="563"/>
      <c r="TET93" s="563"/>
      <c r="TEU93" s="563"/>
      <c r="TEV93" s="563"/>
      <c r="TEW93" s="563"/>
      <c r="TEX93" s="563"/>
      <c r="TEY93" s="563"/>
      <c r="TEZ93" s="563"/>
      <c r="TFA93" s="563"/>
      <c r="TFB93" s="563"/>
      <c r="TFC93" s="563"/>
      <c r="TFD93" s="563"/>
      <c r="TFE93" s="563"/>
      <c r="TFF93" s="563"/>
      <c r="TFG93" s="563"/>
      <c r="TFH93" s="563"/>
      <c r="TFI93" s="563"/>
      <c r="TFJ93" s="563"/>
      <c r="TFK93" s="563"/>
      <c r="TFL93" s="563"/>
      <c r="TFM93" s="563"/>
      <c r="TFN93" s="563"/>
      <c r="TFO93" s="563"/>
      <c r="TFP93" s="563"/>
      <c r="TFQ93" s="563"/>
      <c r="TFR93" s="563"/>
      <c r="TFS93" s="563"/>
      <c r="TFT93" s="563"/>
      <c r="TFU93" s="563"/>
      <c r="TFV93" s="563"/>
      <c r="TFW93" s="563"/>
      <c r="TFX93" s="563"/>
      <c r="TFY93" s="563"/>
      <c r="TFZ93" s="563"/>
      <c r="TGA93" s="563"/>
      <c r="TGB93" s="563"/>
      <c r="TGC93" s="563"/>
      <c r="TGD93" s="563"/>
      <c r="TGE93" s="563"/>
      <c r="TGF93" s="563"/>
      <c r="TGG93" s="563"/>
      <c r="TGH93" s="563"/>
      <c r="TGI93" s="563"/>
      <c r="TGJ93" s="563"/>
      <c r="TGK93" s="563"/>
      <c r="TGL93" s="563"/>
      <c r="TGM93" s="563"/>
      <c r="TGN93" s="563"/>
      <c r="TGO93" s="563"/>
      <c r="TGP93" s="563"/>
      <c r="TGQ93" s="563"/>
      <c r="TGR93" s="563"/>
      <c r="TGS93" s="563"/>
      <c r="TGT93" s="563"/>
      <c r="TGU93" s="563"/>
      <c r="TGV93" s="563"/>
      <c r="TGW93" s="563"/>
      <c r="TGX93" s="563"/>
      <c r="TGY93" s="563"/>
      <c r="TGZ93" s="563"/>
      <c r="THA93" s="563"/>
      <c r="THB93" s="563"/>
      <c r="THC93" s="563"/>
      <c r="THD93" s="563"/>
      <c r="THE93" s="563"/>
      <c r="THF93" s="563"/>
      <c r="THG93" s="563"/>
      <c r="THH93" s="563"/>
      <c r="THI93" s="563"/>
      <c r="THJ93" s="563"/>
      <c r="THK93" s="563"/>
      <c r="THL93" s="563"/>
      <c r="THM93" s="563"/>
      <c r="THN93" s="563"/>
      <c r="THO93" s="563"/>
      <c r="THP93" s="563"/>
      <c r="THQ93" s="563"/>
      <c r="THR93" s="563"/>
      <c r="THS93" s="563"/>
      <c r="THT93" s="563"/>
      <c r="THU93" s="563"/>
      <c r="THV93" s="563"/>
      <c r="THW93" s="563"/>
      <c r="THX93" s="563"/>
      <c r="THY93" s="563"/>
      <c r="THZ93" s="563"/>
      <c r="TIA93" s="563"/>
      <c r="TIB93" s="563"/>
      <c r="TIC93" s="563"/>
      <c r="TID93" s="563"/>
      <c r="TIE93" s="563"/>
      <c r="TIF93" s="563"/>
      <c r="TIG93" s="563"/>
      <c r="TIH93" s="563"/>
      <c r="TII93" s="563"/>
      <c r="TIJ93" s="563"/>
      <c r="TIK93" s="563"/>
      <c r="TIL93" s="563"/>
      <c r="TIM93" s="563"/>
      <c r="TIN93" s="563"/>
      <c r="TIO93" s="563"/>
      <c r="TIP93" s="563"/>
      <c r="TIQ93" s="563"/>
      <c r="TIR93" s="563"/>
      <c r="TIS93" s="563"/>
      <c r="TIT93" s="563"/>
      <c r="TIU93" s="563"/>
      <c r="TIV93" s="563"/>
      <c r="TIW93" s="563"/>
      <c r="TIX93" s="563"/>
      <c r="TIY93" s="563"/>
      <c r="TIZ93" s="563"/>
      <c r="TJA93" s="563"/>
      <c r="TJB93" s="563"/>
      <c r="TJC93" s="563"/>
      <c r="TJD93" s="563"/>
      <c r="TJE93" s="563"/>
      <c r="TJF93" s="563"/>
      <c r="TJG93" s="563"/>
      <c r="TJH93" s="563"/>
      <c r="TJI93" s="563"/>
      <c r="TJJ93" s="563"/>
      <c r="TJK93" s="563"/>
      <c r="TJL93" s="563"/>
      <c r="TJM93" s="563"/>
      <c r="TJN93" s="563"/>
      <c r="TJO93" s="563"/>
      <c r="TJP93" s="563"/>
      <c r="TJQ93" s="563"/>
      <c r="TJR93" s="563"/>
      <c r="TJS93" s="563"/>
      <c r="TJT93" s="563"/>
      <c r="TJU93" s="563"/>
      <c r="TJV93" s="563"/>
      <c r="TJW93" s="563"/>
      <c r="TJX93" s="563"/>
      <c r="TJY93" s="563"/>
      <c r="TJZ93" s="563"/>
      <c r="TKA93" s="563"/>
      <c r="TKB93" s="563"/>
      <c r="TKC93" s="563"/>
      <c r="TKD93" s="563"/>
      <c r="TKE93" s="563"/>
      <c r="TKF93" s="563"/>
      <c r="TKG93" s="563"/>
      <c r="TKH93" s="563"/>
      <c r="TKI93" s="563"/>
      <c r="TKJ93" s="563"/>
      <c r="TKK93" s="563"/>
      <c r="TKL93" s="563"/>
      <c r="TKM93" s="563"/>
      <c r="TKN93" s="563"/>
      <c r="TKO93" s="563"/>
      <c r="TKP93" s="563"/>
      <c r="TKQ93" s="563"/>
      <c r="TKR93" s="563"/>
      <c r="TKS93" s="563"/>
      <c r="TKT93" s="563"/>
      <c r="TKU93" s="563"/>
      <c r="TKV93" s="563"/>
      <c r="TKW93" s="563"/>
      <c r="TKX93" s="563"/>
      <c r="TKY93" s="563"/>
      <c r="TKZ93" s="563"/>
      <c r="TLA93" s="563"/>
      <c r="TLB93" s="563"/>
      <c r="TLC93" s="563"/>
      <c r="TLD93" s="563"/>
      <c r="TLE93" s="563"/>
      <c r="TLF93" s="563"/>
      <c r="TLG93" s="563"/>
      <c r="TLH93" s="563"/>
      <c r="TLI93" s="563"/>
      <c r="TLJ93" s="563"/>
      <c r="TLK93" s="563"/>
      <c r="TLL93" s="563"/>
      <c r="TLM93" s="563"/>
      <c r="TLN93" s="563"/>
      <c r="TLO93" s="563"/>
      <c r="TLP93" s="563"/>
      <c r="TLQ93" s="563"/>
      <c r="TLR93" s="563"/>
      <c r="TLS93" s="563"/>
      <c r="TLT93" s="563"/>
      <c r="TLU93" s="563"/>
      <c r="TLV93" s="563"/>
      <c r="TLW93" s="563"/>
      <c r="TLX93" s="563"/>
      <c r="TLY93" s="563"/>
      <c r="TLZ93" s="563"/>
      <c r="TMA93" s="563"/>
      <c r="TMB93" s="563"/>
      <c r="TMC93" s="563"/>
      <c r="TMD93" s="563"/>
      <c r="TME93" s="563"/>
      <c r="TMF93" s="563"/>
      <c r="TMG93" s="563"/>
      <c r="TMH93" s="563"/>
      <c r="TMI93" s="563"/>
      <c r="TMJ93" s="563"/>
      <c r="TMK93" s="563"/>
      <c r="TML93" s="563"/>
      <c r="TMM93" s="563"/>
      <c r="TMN93" s="563"/>
      <c r="TMO93" s="563"/>
      <c r="TMP93" s="563"/>
      <c r="TMQ93" s="563"/>
      <c r="TMR93" s="563"/>
      <c r="TMS93" s="563"/>
      <c r="TMT93" s="563"/>
      <c r="TMU93" s="563"/>
      <c r="TMV93" s="563"/>
      <c r="TMW93" s="563"/>
      <c r="TMX93" s="563"/>
      <c r="TMY93" s="563"/>
      <c r="TMZ93" s="563"/>
      <c r="TNA93" s="563"/>
      <c r="TNB93" s="563"/>
      <c r="TNC93" s="563"/>
      <c r="TND93" s="563"/>
      <c r="TNE93" s="563"/>
      <c r="TNF93" s="563"/>
      <c r="TNG93" s="563"/>
      <c r="TNH93" s="563"/>
      <c r="TNI93" s="563"/>
      <c r="TNJ93" s="563"/>
      <c r="TNK93" s="563"/>
      <c r="TNL93" s="563"/>
      <c r="TNM93" s="563"/>
      <c r="TNN93" s="563"/>
      <c r="TNO93" s="563"/>
      <c r="TNP93" s="563"/>
      <c r="TNQ93" s="563"/>
      <c r="TNR93" s="563"/>
      <c r="TNS93" s="563"/>
      <c r="TNT93" s="563"/>
      <c r="TNU93" s="563"/>
      <c r="TNV93" s="563"/>
      <c r="TNW93" s="563"/>
      <c r="TNX93" s="563"/>
      <c r="TNY93" s="563"/>
      <c r="TNZ93" s="563"/>
      <c r="TOA93" s="563"/>
      <c r="TOB93" s="563"/>
      <c r="TOC93" s="563"/>
      <c r="TOD93" s="563"/>
      <c r="TOE93" s="563"/>
      <c r="TOF93" s="563"/>
      <c r="TOG93" s="563"/>
      <c r="TOH93" s="563"/>
      <c r="TOI93" s="563"/>
      <c r="TOJ93" s="563"/>
      <c r="TOK93" s="563"/>
      <c r="TOL93" s="563"/>
      <c r="TOM93" s="563"/>
      <c r="TON93" s="563"/>
      <c r="TOO93" s="563"/>
      <c r="TOP93" s="563"/>
      <c r="TOQ93" s="563"/>
      <c r="TOR93" s="563"/>
      <c r="TOS93" s="563"/>
      <c r="TOT93" s="563"/>
      <c r="TOU93" s="563"/>
      <c r="TOV93" s="563"/>
      <c r="TOW93" s="563"/>
      <c r="TOX93" s="563"/>
      <c r="TOY93" s="563"/>
      <c r="TOZ93" s="563"/>
      <c r="TPA93" s="563"/>
      <c r="TPB93" s="563"/>
      <c r="TPC93" s="563"/>
      <c r="TPD93" s="563"/>
      <c r="TPE93" s="563"/>
      <c r="TPF93" s="563"/>
      <c r="TPG93" s="563"/>
      <c r="TPH93" s="563"/>
      <c r="TPI93" s="563"/>
      <c r="TPJ93" s="563"/>
      <c r="TPK93" s="563"/>
      <c r="TPL93" s="563"/>
      <c r="TPM93" s="563"/>
      <c r="TPN93" s="563"/>
      <c r="TPO93" s="563"/>
      <c r="TPP93" s="563"/>
      <c r="TPQ93" s="563"/>
      <c r="TPR93" s="563"/>
      <c r="TPS93" s="563"/>
      <c r="TPT93" s="563"/>
      <c r="TPU93" s="563"/>
      <c r="TPV93" s="563"/>
      <c r="TPW93" s="563"/>
      <c r="TPX93" s="563"/>
      <c r="TPY93" s="563"/>
      <c r="TPZ93" s="563"/>
      <c r="TQA93" s="563"/>
      <c r="TQB93" s="563"/>
      <c r="TQC93" s="563"/>
      <c r="TQD93" s="563"/>
      <c r="TQE93" s="563"/>
      <c r="TQF93" s="563"/>
      <c r="TQG93" s="563"/>
      <c r="TQH93" s="563"/>
      <c r="TQI93" s="563"/>
      <c r="TQJ93" s="563"/>
      <c r="TQK93" s="563"/>
      <c r="TQL93" s="563"/>
      <c r="TQM93" s="563"/>
      <c r="TQN93" s="563"/>
      <c r="TQO93" s="563"/>
      <c r="TQP93" s="563"/>
      <c r="TQQ93" s="563"/>
      <c r="TQR93" s="563"/>
      <c r="TQS93" s="563"/>
      <c r="TQT93" s="563"/>
      <c r="TQU93" s="563"/>
      <c r="TQV93" s="563"/>
      <c r="TQW93" s="563"/>
      <c r="TQX93" s="563"/>
      <c r="TQY93" s="563"/>
      <c r="TQZ93" s="563"/>
      <c r="TRA93" s="563"/>
      <c r="TRB93" s="563"/>
      <c r="TRC93" s="563"/>
      <c r="TRD93" s="563"/>
      <c r="TRE93" s="563"/>
      <c r="TRF93" s="563"/>
      <c r="TRG93" s="563"/>
      <c r="TRH93" s="563"/>
      <c r="TRI93" s="563"/>
      <c r="TRJ93" s="563"/>
      <c r="TRK93" s="563"/>
      <c r="TRL93" s="563"/>
      <c r="TRM93" s="563"/>
      <c r="TRN93" s="563"/>
      <c r="TRO93" s="563"/>
      <c r="TRP93" s="563"/>
      <c r="TRQ93" s="563"/>
      <c r="TRR93" s="563"/>
      <c r="TRS93" s="563"/>
      <c r="TRT93" s="563"/>
      <c r="TRU93" s="563"/>
      <c r="TRV93" s="563"/>
      <c r="TRW93" s="563"/>
      <c r="TRX93" s="563"/>
      <c r="TRY93" s="563"/>
      <c r="TRZ93" s="563"/>
      <c r="TSA93" s="563"/>
      <c r="TSB93" s="563"/>
      <c r="TSC93" s="563"/>
      <c r="TSD93" s="563"/>
      <c r="TSE93" s="563"/>
      <c r="TSF93" s="563"/>
      <c r="TSG93" s="563"/>
      <c r="TSH93" s="563"/>
      <c r="TSI93" s="563"/>
      <c r="TSJ93" s="563"/>
      <c r="TSK93" s="563"/>
      <c r="TSL93" s="563"/>
      <c r="TSM93" s="563"/>
      <c r="TSN93" s="563"/>
      <c r="TSO93" s="563"/>
      <c r="TSP93" s="563"/>
      <c r="TSQ93" s="563"/>
      <c r="TSR93" s="563"/>
      <c r="TSS93" s="563"/>
      <c r="TST93" s="563"/>
      <c r="TSU93" s="563"/>
      <c r="TSV93" s="563"/>
      <c r="TSW93" s="563"/>
      <c r="TSX93" s="563"/>
      <c r="TSY93" s="563"/>
      <c r="TSZ93" s="563"/>
      <c r="TTA93" s="563"/>
      <c r="TTB93" s="563"/>
      <c r="TTC93" s="563"/>
      <c r="TTD93" s="563"/>
      <c r="TTE93" s="563"/>
      <c r="TTF93" s="563"/>
      <c r="TTG93" s="563"/>
      <c r="TTH93" s="563"/>
      <c r="TTI93" s="563"/>
      <c r="TTJ93" s="563"/>
      <c r="TTK93" s="563"/>
      <c r="TTL93" s="563"/>
      <c r="TTM93" s="563"/>
      <c r="TTN93" s="563"/>
      <c r="TTO93" s="563"/>
      <c r="TTP93" s="563"/>
      <c r="TTQ93" s="563"/>
      <c r="TTR93" s="563"/>
      <c r="TTS93" s="563"/>
      <c r="TTT93" s="563"/>
      <c r="TTU93" s="563"/>
      <c r="TTV93" s="563"/>
      <c r="TTW93" s="563"/>
      <c r="TTX93" s="563"/>
      <c r="TTY93" s="563"/>
      <c r="TTZ93" s="563"/>
      <c r="TUA93" s="563"/>
      <c r="TUB93" s="563"/>
      <c r="TUC93" s="563"/>
      <c r="TUD93" s="563"/>
      <c r="TUE93" s="563"/>
      <c r="TUF93" s="563"/>
      <c r="TUG93" s="563"/>
      <c r="TUH93" s="563"/>
      <c r="TUI93" s="563"/>
      <c r="TUJ93" s="563"/>
      <c r="TUK93" s="563"/>
      <c r="TUL93" s="563"/>
      <c r="TUM93" s="563"/>
      <c r="TUN93" s="563"/>
      <c r="TUO93" s="563"/>
      <c r="TUP93" s="563"/>
      <c r="TUQ93" s="563"/>
      <c r="TUR93" s="563"/>
      <c r="TUS93" s="563"/>
      <c r="TUT93" s="563"/>
      <c r="TUU93" s="563"/>
      <c r="TUV93" s="563"/>
      <c r="TUW93" s="563"/>
      <c r="TUX93" s="563"/>
      <c r="TUY93" s="563"/>
      <c r="TUZ93" s="563"/>
      <c r="TVA93" s="563"/>
      <c r="TVB93" s="563"/>
      <c r="TVC93" s="563"/>
      <c r="TVD93" s="563"/>
      <c r="TVE93" s="563"/>
      <c r="TVF93" s="563"/>
      <c r="TVG93" s="563"/>
      <c r="TVH93" s="563"/>
      <c r="TVI93" s="563"/>
      <c r="TVJ93" s="563"/>
      <c r="TVK93" s="563"/>
      <c r="TVL93" s="563"/>
      <c r="TVM93" s="563"/>
      <c r="TVN93" s="563"/>
      <c r="TVO93" s="563"/>
      <c r="TVP93" s="563"/>
      <c r="TVQ93" s="563"/>
      <c r="TVR93" s="563"/>
      <c r="TVS93" s="563"/>
      <c r="TVT93" s="563"/>
      <c r="TVU93" s="563"/>
      <c r="TVV93" s="563"/>
      <c r="TVW93" s="563"/>
      <c r="TVX93" s="563"/>
      <c r="TVY93" s="563"/>
      <c r="TVZ93" s="563"/>
      <c r="TWA93" s="563"/>
      <c r="TWB93" s="563"/>
      <c r="TWC93" s="563"/>
      <c r="TWD93" s="563"/>
      <c r="TWE93" s="563"/>
      <c r="TWF93" s="563"/>
      <c r="TWG93" s="563"/>
      <c r="TWH93" s="563"/>
      <c r="TWI93" s="563"/>
      <c r="TWJ93" s="563"/>
      <c r="TWK93" s="563"/>
      <c r="TWL93" s="563"/>
      <c r="TWM93" s="563"/>
      <c r="TWN93" s="563"/>
      <c r="TWO93" s="563"/>
      <c r="TWP93" s="563"/>
      <c r="TWQ93" s="563"/>
      <c r="TWR93" s="563"/>
      <c r="TWS93" s="563"/>
      <c r="TWT93" s="563"/>
      <c r="TWU93" s="563"/>
      <c r="TWV93" s="563"/>
      <c r="TWW93" s="563"/>
      <c r="TWX93" s="563"/>
      <c r="TWY93" s="563"/>
      <c r="TWZ93" s="563"/>
      <c r="TXA93" s="563"/>
      <c r="TXB93" s="563"/>
      <c r="TXC93" s="563"/>
      <c r="TXD93" s="563"/>
      <c r="TXE93" s="563"/>
      <c r="TXF93" s="563"/>
      <c r="TXG93" s="563"/>
      <c r="TXH93" s="563"/>
      <c r="TXI93" s="563"/>
      <c r="TXJ93" s="563"/>
      <c r="TXK93" s="563"/>
      <c r="TXL93" s="563"/>
      <c r="TXM93" s="563"/>
      <c r="TXN93" s="563"/>
      <c r="TXO93" s="563"/>
      <c r="TXP93" s="563"/>
      <c r="TXQ93" s="563"/>
      <c r="TXR93" s="563"/>
      <c r="TXS93" s="563"/>
      <c r="TXT93" s="563"/>
      <c r="TXU93" s="563"/>
      <c r="TXV93" s="563"/>
      <c r="TXW93" s="563"/>
      <c r="TXX93" s="563"/>
      <c r="TXY93" s="563"/>
      <c r="TXZ93" s="563"/>
      <c r="TYA93" s="563"/>
      <c r="TYB93" s="563"/>
      <c r="TYC93" s="563"/>
      <c r="TYD93" s="563"/>
      <c r="TYE93" s="563"/>
      <c r="TYF93" s="563"/>
      <c r="TYG93" s="563"/>
      <c r="TYH93" s="563"/>
      <c r="TYI93" s="563"/>
      <c r="TYJ93" s="563"/>
      <c r="TYK93" s="563"/>
      <c r="TYL93" s="563"/>
      <c r="TYM93" s="563"/>
      <c r="TYN93" s="563"/>
      <c r="TYO93" s="563"/>
      <c r="TYP93" s="563"/>
      <c r="TYQ93" s="563"/>
      <c r="TYR93" s="563"/>
      <c r="TYS93" s="563"/>
      <c r="TYT93" s="563"/>
      <c r="TYU93" s="563"/>
      <c r="TYV93" s="563"/>
      <c r="TYW93" s="563"/>
      <c r="TYX93" s="563"/>
      <c r="TYY93" s="563"/>
      <c r="TYZ93" s="563"/>
      <c r="TZA93" s="563"/>
      <c r="TZB93" s="563"/>
      <c r="TZC93" s="563"/>
      <c r="TZD93" s="563"/>
      <c r="TZE93" s="563"/>
      <c r="TZF93" s="563"/>
      <c r="TZG93" s="563"/>
      <c r="TZH93" s="563"/>
      <c r="TZI93" s="563"/>
      <c r="TZJ93" s="563"/>
      <c r="TZK93" s="563"/>
      <c r="TZL93" s="563"/>
      <c r="TZM93" s="563"/>
      <c r="TZN93" s="563"/>
      <c r="TZO93" s="563"/>
      <c r="TZP93" s="563"/>
      <c r="TZQ93" s="563"/>
      <c r="TZR93" s="563"/>
      <c r="TZS93" s="563"/>
      <c r="TZT93" s="563"/>
      <c r="TZU93" s="563"/>
      <c r="TZV93" s="563"/>
      <c r="TZW93" s="563"/>
      <c r="TZX93" s="563"/>
      <c r="TZY93" s="563"/>
      <c r="TZZ93" s="563"/>
      <c r="UAA93" s="563"/>
      <c r="UAB93" s="563"/>
      <c r="UAC93" s="563"/>
      <c r="UAD93" s="563"/>
      <c r="UAE93" s="563"/>
      <c r="UAF93" s="563"/>
      <c r="UAG93" s="563"/>
      <c r="UAH93" s="563"/>
      <c r="UAI93" s="563"/>
      <c r="UAJ93" s="563"/>
      <c r="UAK93" s="563"/>
      <c r="UAL93" s="563"/>
      <c r="UAM93" s="563"/>
      <c r="UAN93" s="563"/>
      <c r="UAO93" s="563"/>
      <c r="UAP93" s="563"/>
      <c r="UAQ93" s="563"/>
      <c r="UAR93" s="563"/>
      <c r="UAS93" s="563"/>
      <c r="UAT93" s="563"/>
      <c r="UAU93" s="563"/>
      <c r="UAV93" s="563"/>
      <c r="UAW93" s="563"/>
      <c r="UAX93" s="563"/>
      <c r="UAY93" s="563"/>
      <c r="UAZ93" s="563"/>
      <c r="UBA93" s="563"/>
      <c r="UBB93" s="563"/>
      <c r="UBC93" s="563"/>
      <c r="UBD93" s="563"/>
      <c r="UBE93" s="563"/>
      <c r="UBF93" s="563"/>
      <c r="UBG93" s="563"/>
      <c r="UBH93" s="563"/>
      <c r="UBI93" s="563"/>
      <c r="UBJ93" s="563"/>
      <c r="UBK93" s="563"/>
      <c r="UBL93" s="563"/>
      <c r="UBM93" s="563"/>
      <c r="UBN93" s="563"/>
      <c r="UBO93" s="563"/>
      <c r="UBP93" s="563"/>
      <c r="UBQ93" s="563"/>
      <c r="UBR93" s="563"/>
      <c r="UBS93" s="563"/>
      <c r="UBT93" s="563"/>
      <c r="UBU93" s="563"/>
      <c r="UBV93" s="563"/>
      <c r="UBW93" s="563"/>
      <c r="UBX93" s="563"/>
      <c r="UBY93" s="563"/>
      <c r="UBZ93" s="563"/>
      <c r="UCA93" s="563"/>
      <c r="UCB93" s="563"/>
      <c r="UCC93" s="563"/>
      <c r="UCD93" s="563"/>
      <c r="UCE93" s="563"/>
      <c r="UCF93" s="563"/>
      <c r="UCG93" s="563"/>
      <c r="UCH93" s="563"/>
      <c r="UCI93" s="563"/>
      <c r="UCJ93" s="563"/>
      <c r="UCK93" s="563"/>
      <c r="UCL93" s="563"/>
      <c r="UCM93" s="563"/>
      <c r="UCN93" s="563"/>
      <c r="UCO93" s="563"/>
      <c r="UCP93" s="563"/>
      <c r="UCQ93" s="563"/>
      <c r="UCR93" s="563"/>
      <c r="UCS93" s="563"/>
      <c r="UCT93" s="563"/>
      <c r="UCU93" s="563"/>
      <c r="UCV93" s="563"/>
      <c r="UCW93" s="563"/>
      <c r="UCX93" s="563"/>
      <c r="UCY93" s="563"/>
      <c r="UCZ93" s="563"/>
      <c r="UDA93" s="563"/>
      <c r="UDB93" s="563"/>
      <c r="UDC93" s="563"/>
      <c r="UDD93" s="563"/>
      <c r="UDE93" s="563"/>
      <c r="UDF93" s="563"/>
      <c r="UDG93" s="563"/>
      <c r="UDH93" s="563"/>
      <c r="UDI93" s="563"/>
      <c r="UDJ93" s="563"/>
      <c r="UDK93" s="563"/>
      <c r="UDL93" s="563"/>
      <c r="UDM93" s="563"/>
      <c r="UDN93" s="563"/>
      <c r="UDO93" s="563"/>
      <c r="UDP93" s="563"/>
      <c r="UDQ93" s="563"/>
      <c r="UDR93" s="563"/>
      <c r="UDS93" s="563"/>
      <c r="UDT93" s="563"/>
      <c r="UDU93" s="563"/>
      <c r="UDV93" s="563"/>
      <c r="UDW93" s="563"/>
      <c r="UDX93" s="563"/>
      <c r="UDY93" s="563"/>
      <c r="UDZ93" s="563"/>
      <c r="UEA93" s="563"/>
      <c r="UEB93" s="563"/>
      <c r="UEC93" s="563"/>
      <c r="UED93" s="563"/>
      <c r="UEE93" s="563"/>
      <c r="UEF93" s="563"/>
      <c r="UEG93" s="563"/>
      <c r="UEH93" s="563"/>
      <c r="UEI93" s="563"/>
      <c r="UEJ93" s="563"/>
      <c r="UEK93" s="563"/>
      <c r="UEL93" s="563"/>
      <c r="UEM93" s="563"/>
      <c r="UEN93" s="563"/>
      <c r="UEO93" s="563"/>
      <c r="UEP93" s="563"/>
      <c r="UEQ93" s="563"/>
      <c r="UER93" s="563"/>
      <c r="UES93" s="563"/>
      <c r="UET93" s="563"/>
      <c r="UEU93" s="563"/>
      <c r="UEV93" s="563"/>
      <c r="UEW93" s="563"/>
      <c r="UEX93" s="563"/>
      <c r="UEY93" s="563"/>
      <c r="UEZ93" s="563"/>
      <c r="UFA93" s="563"/>
      <c r="UFB93" s="563"/>
      <c r="UFC93" s="563"/>
      <c r="UFD93" s="563"/>
      <c r="UFE93" s="563"/>
      <c r="UFF93" s="563"/>
      <c r="UFG93" s="563"/>
      <c r="UFH93" s="563"/>
      <c r="UFI93" s="563"/>
      <c r="UFJ93" s="563"/>
      <c r="UFK93" s="563"/>
      <c r="UFL93" s="563"/>
      <c r="UFM93" s="563"/>
      <c r="UFN93" s="563"/>
      <c r="UFO93" s="563"/>
      <c r="UFP93" s="563"/>
      <c r="UFQ93" s="563"/>
      <c r="UFR93" s="563"/>
      <c r="UFS93" s="563"/>
      <c r="UFT93" s="563"/>
      <c r="UFU93" s="563"/>
      <c r="UFV93" s="563"/>
      <c r="UFW93" s="563"/>
      <c r="UFX93" s="563"/>
      <c r="UFY93" s="563"/>
      <c r="UFZ93" s="563"/>
      <c r="UGA93" s="563"/>
      <c r="UGB93" s="563"/>
      <c r="UGC93" s="563"/>
      <c r="UGD93" s="563"/>
      <c r="UGE93" s="563"/>
      <c r="UGF93" s="563"/>
      <c r="UGG93" s="563"/>
      <c r="UGH93" s="563"/>
      <c r="UGI93" s="563"/>
      <c r="UGJ93" s="563"/>
      <c r="UGK93" s="563"/>
      <c r="UGL93" s="563"/>
      <c r="UGM93" s="563"/>
      <c r="UGN93" s="563"/>
      <c r="UGO93" s="563"/>
      <c r="UGP93" s="563"/>
      <c r="UGQ93" s="563"/>
      <c r="UGR93" s="563"/>
      <c r="UGS93" s="563"/>
      <c r="UGT93" s="563"/>
      <c r="UGU93" s="563"/>
      <c r="UGV93" s="563"/>
      <c r="UGW93" s="563"/>
      <c r="UGX93" s="563"/>
      <c r="UGY93" s="563"/>
      <c r="UGZ93" s="563"/>
      <c r="UHA93" s="563"/>
      <c r="UHB93" s="563"/>
      <c r="UHC93" s="563"/>
      <c r="UHD93" s="563"/>
      <c r="UHE93" s="563"/>
      <c r="UHF93" s="563"/>
      <c r="UHG93" s="563"/>
      <c r="UHH93" s="563"/>
      <c r="UHI93" s="563"/>
      <c r="UHJ93" s="563"/>
      <c r="UHK93" s="563"/>
      <c r="UHL93" s="563"/>
      <c r="UHM93" s="563"/>
      <c r="UHN93" s="563"/>
      <c r="UHO93" s="563"/>
      <c r="UHP93" s="563"/>
      <c r="UHQ93" s="563"/>
      <c r="UHR93" s="563"/>
      <c r="UHS93" s="563"/>
      <c r="UHT93" s="563"/>
      <c r="UHU93" s="563"/>
      <c r="UHV93" s="563"/>
      <c r="UHW93" s="563"/>
      <c r="UHX93" s="563"/>
      <c r="UHY93" s="563"/>
      <c r="UHZ93" s="563"/>
      <c r="UIA93" s="563"/>
      <c r="UIB93" s="563"/>
      <c r="UIC93" s="563"/>
      <c r="UID93" s="563"/>
      <c r="UIE93" s="563"/>
      <c r="UIF93" s="563"/>
      <c r="UIG93" s="563"/>
      <c r="UIH93" s="563"/>
      <c r="UII93" s="563"/>
      <c r="UIJ93" s="563"/>
      <c r="UIK93" s="563"/>
      <c r="UIL93" s="563"/>
      <c r="UIM93" s="563"/>
      <c r="UIN93" s="563"/>
      <c r="UIO93" s="563"/>
      <c r="UIP93" s="563"/>
      <c r="UIQ93" s="563"/>
      <c r="UIR93" s="563"/>
      <c r="UIS93" s="563"/>
      <c r="UIT93" s="563"/>
      <c r="UIU93" s="563"/>
      <c r="UIV93" s="563"/>
      <c r="UIW93" s="563"/>
      <c r="UIX93" s="563"/>
      <c r="UIY93" s="563"/>
      <c r="UIZ93" s="563"/>
      <c r="UJA93" s="563"/>
      <c r="UJB93" s="563"/>
      <c r="UJC93" s="563"/>
      <c r="UJD93" s="563"/>
      <c r="UJE93" s="563"/>
      <c r="UJF93" s="563"/>
      <c r="UJG93" s="563"/>
      <c r="UJH93" s="563"/>
      <c r="UJI93" s="563"/>
      <c r="UJJ93" s="563"/>
      <c r="UJK93" s="563"/>
      <c r="UJL93" s="563"/>
      <c r="UJM93" s="563"/>
      <c r="UJN93" s="563"/>
      <c r="UJO93" s="563"/>
      <c r="UJP93" s="563"/>
      <c r="UJQ93" s="563"/>
      <c r="UJR93" s="563"/>
      <c r="UJS93" s="563"/>
      <c r="UJT93" s="563"/>
      <c r="UJU93" s="563"/>
      <c r="UJV93" s="563"/>
      <c r="UJW93" s="563"/>
      <c r="UJX93" s="563"/>
      <c r="UJY93" s="563"/>
      <c r="UJZ93" s="563"/>
      <c r="UKA93" s="563"/>
      <c r="UKB93" s="563"/>
      <c r="UKC93" s="563"/>
      <c r="UKD93" s="563"/>
      <c r="UKE93" s="563"/>
      <c r="UKF93" s="563"/>
      <c r="UKG93" s="563"/>
      <c r="UKH93" s="563"/>
      <c r="UKI93" s="563"/>
      <c r="UKJ93" s="563"/>
      <c r="UKK93" s="563"/>
      <c r="UKL93" s="563"/>
      <c r="UKM93" s="563"/>
      <c r="UKN93" s="563"/>
      <c r="UKO93" s="563"/>
      <c r="UKP93" s="563"/>
      <c r="UKQ93" s="563"/>
      <c r="UKR93" s="563"/>
      <c r="UKS93" s="563"/>
      <c r="UKT93" s="563"/>
      <c r="UKU93" s="563"/>
      <c r="UKV93" s="563"/>
      <c r="UKW93" s="563"/>
      <c r="UKX93" s="563"/>
      <c r="UKY93" s="563"/>
      <c r="UKZ93" s="563"/>
      <c r="ULA93" s="563"/>
      <c r="ULB93" s="563"/>
      <c r="ULC93" s="563"/>
      <c r="ULD93" s="563"/>
      <c r="ULE93" s="563"/>
      <c r="ULF93" s="563"/>
      <c r="ULG93" s="563"/>
      <c r="ULH93" s="563"/>
      <c r="ULI93" s="563"/>
      <c r="ULJ93" s="563"/>
      <c r="ULK93" s="563"/>
      <c r="ULL93" s="563"/>
      <c r="ULM93" s="563"/>
      <c r="ULN93" s="563"/>
      <c r="ULO93" s="563"/>
      <c r="ULP93" s="563"/>
      <c r="ULQ93" s="563"/>
      <c r="ULR93" s="563"/>
      <c r="ULS93" s="563"/>
      <c r="ULT93" s="563"/>
      <c r="ULU93" s="563"/>
      <c r="ULV93" s="563"/>
      <c r="ULW93" s="563"/>
      <c r="ULX93" s="563"/>
      <c r="ULY93" s="563"/>
      <c r="ULZ93" s="563"/>
      <c r="UMA93" s="563"/>
      <c r="UMB93" s="563"/>
      <c r="UMC93" s="563"/>
      <c r="UMD93" s="563"/>
      <c r="UME93" s="563"/>
      <c r="UMF93" s="563"/>
      <c r="UMG93" s="563"/>
      <c r="UMH93" s="563"/>
      <c r="UMI93" s="563"/>
      <c r="UMJ93" s="563"/>
      <c r="UMK93" s="563"/>
      <c r="UML93" s="563"/>
      <c r="UMM93" s="563"/>
      <c r="UMN93" s="563"/>
      <c r="UMO93" s="563"/>
      <c r="UMP93" s="563"/>
      <c r="UMQ93" s="563"/>
      <c r="UMR93" s="563"/>
      <c r="UMS93" s="563"/>
      <c r="UMT93" s="563"/>
      <c r="UMU93" s="563"/>
      <c r="UMV93" s="563"/>
      <c r="UMW93" s="563"/>
      <c r="UMX93" s="563"/>
      <c r="UMY93" s="563"/>
      <c r="UMZ93" s="563"/>
      <c r="UNA93" s="563"/>
      <c r="UNB93" s="563"/>
      <c r="UNC93" s="563"/>
      <c r="UND93" s="563"/>
      <c r="UNE93" s="563"/>
      <c r="UNF93" s="563"/>
      <c r="UNG93" s="563"/>
      <c r="UNH93" s="563"/>
      <c r="UNI93" s="563"/>
      <c r="UNJ93" s="563"/>
      <c r="UNK93" s="563"/>
      <c r="UNL93" s="563"/>
      <c r="UNM93" s="563"/>
      <c r="UNN93" s="563"/>
      <c r="UNO93" s="563"/>
      <c r="UNP93" s="563"/>
      <c r="UNQ93" s="563"/>
      <c r="UNR93" s="563"/>
      <c r="UNS93" s="563"/>
      <c r="UNT93" s="563"/>
      <c r="UNU93" s="563"/>
      <c r="UNV93" s="563"/>
      <c r="UNW93" s="563"/>
      <c r="UNX93" s="563"/>
      <c r="UNY93" s="563"/>
      <c r="UNZ93" s="563"/>
      <c r="UOA93" s="563"/>
      <c r="UOB93" s="563"/>
      <c r="UOC93" s="563"/>
      <c r="UOD93" s="563"/>
      <c r="UOE93" s="563"/>
      <c r="UOF93" s="563"/>
      <c r="UOG93" s="563"/>
      <c r="UOH93" s="563"/>
      <c r="UOI93" s="563"/>
      <c r="UOJ93" s="563"/>
      <c r="UOK93" s="563"/>
      <c r="UOL93" s="563"/>
      <c r="UOM93" s="563"/>
      <c r="UON93" s="563"/>
      <c r="UOO93" s="563"/>
      <c r="UOP93" s="563"/>
      <c r="UOQ93" s="563"/>
      <c r="UOR93" s="563"/>
      <c r="UOS93" s="563"/>
      <c r="UOT93" s="563"/>
      <c r="UOU93" s="563"/>
      <c r="UOV93" s="563"/>
      <c r="UOW93" s="563"/>
      <c r="UOX93" s="563"/>
      <c r="UOY93" s="563"/>
      <c r="UOZ93" s="563"/>
      <c r="UPA93" s="563"/>
      <c r="UPB93" s="563"/>
      <c r="UPC93" s="563"/>
      <c r="UPD93" s="563"/>
      <c r="UPE93" s="563"/>
      <c r="UPF93" s="563"/>
      <c r="UPG93" s="563"/>
      <c r="UPH93" s="563"/>
      <c r="UPI93" s="563"/>
      <c r="UPJ93" s="563"/>
      <c r="UPK93" s="563"/>
      <c r="UPL93" s="563"/>
      <c r="UPM93" s="563"/>
      <c r="UPN93" s="563"/>
      <c r="UPO93" s="563"/>
      <c r="UPP93" s="563"/>
      <c r="UPQ93" s="563"/>
      <c r="UPR93" s="563"/>
      <c r="UPS93" s="563"/>
      <c r="UPT93" s="563"/>
      <c r="UPU93" s="563"/>
      <c r="UPV93" s="563"/>
      <c r="UPW93" s="563"/>
      <c r="UPX93" s="563"/>
      <c r="UPY93" s="563"/>
      <c r="UPZ93" s="563"/>
      <c r="UQA93" s="563"/>
      <c r="UQB93" s="563"/>
      <c r="UQC93" s="563"/>
      <c r="UQD93" s="563"/>
      <c r="UQE93" s="563"/>
      <c r="UQF93" s="563"/>
      <c r="UQG93" s="563"/>
      <c r="UQH93" s="563"/>
      <c r="UQI93" s="563"/>
      <c r="UQJ93" s="563"/>
      <c r="UQK93" s="563"/>
      <c r="UQL93" s="563"/>
      <c r="UQM93" s="563"/>
      <c r="UQN93" s="563"/>
      <c r="UQO93" s="563"/>
      <c r="UQP93" s="563"/>
      <c r="UQQ93" s="563"/>
      <c r="UQR93" s="563"/>
      <c r="UQS93" s="563"/>
      <c r="UQT93" s="563"/>
      <c r="UQU93" s="563"/>
      <c r="UQV93" s="563"/>
      <c r="UQW93" s="563"/>
      <c r="UQX93" s="563"/>
      <c r="UQY93" s="563"/>
      <c r="UQZ93" s="563"/>
      <c r="URA93" s="563"/>
      <c r="URB93" s="563"/>
      <c r="URC93" s="563"/>
      <c r="URD93" s="563"/>
      <c r="URE93" s="563"/>
      <c r="URF93" s="563"/>
      <c r="URG93" s="563"/>
      <c r="URH93" s="563"/>
      <c r="URI93" s="563"/>
      <c r="URJ93" s="563"/>
      <c r="URK93" s="563"/>
      <c r="URL93" s="563"/>
      <c r="URM93" s="563"/>
      <c r="URN93" s="563"/>
      <c r="URO93" s="563"/>
      <c r="URP93" s="563"/>
      <c r="URQ93" s="563"/>
      <c r="URR93" s="563"/>
      <c r="URS93" s="563"/>
      <c r="URT93" s="563"/>
      <c r="URU93" s="563"/>
      <c r="URV93" s="563"/>
      <c r="URW93" s="563"/>
      <c r="URX93" s="563"/>
      <c r="URY93" s="563"/>
      <c r="URZ93" s="563"/>
      <c r="USA93" s="563"/>
      <c r="USB93" s="563"/>
      <c r="USC93" s="563"/>
      <c r="USD93" s="563"/>
      <c r="USE93" s="563"/>
      <c r="USF93" s="563"/>
      <c r="USG93" s="563"/>
      <c r="USH93" s="563"/>
      <c r="USI93" s="563"/>
      <c r="USJ93" s="563"/>
      <c r="USK93" s="563"/>
      <c r="USL93" s="563"/>
      <c r="USM93" s="563"/>
      <c r="USN93" s="563"/>
      <c r="USO93" s="563"/>
      <c r="USP93" s="563"/>
      <c r="USQ93" s="563"/>
      <c r="USR93" s="563"/>
      <c r="USS93" s="563"/>
      <c r="UST93" s="563"/>
      <c r="USU93" s="563"/>
      <c r="USV93" s="563"/>
      <c r="USW93" s="563"/>
      <c r="USX93" s="563"/>
      <c r="USY93" s="563"/>
      <c r="USZ93" s="563"/>
      <c r="UTA93" s="563"/>
      <c r="UTB93" s="563"/>
      <c r="UTC93" s="563"/>
      <c r="UTD93" s="563"/>
      <c r="UTE93" s="563"/>
      <c r="UTF93" s="563"/>
      <c r="UTG93" s="563"/>
      <c r="UTH93" s="563"/>
      <c r="UTI93" s="563"/>
      <c r="UTJ93" s="563"/>
      <c r="UTK93" s="563"/>
      <c r="UTL93" s="563"/>
      <c r="UTM93" s="563"/>
      <c r="UTN93" s="563"/>
      <c r="UTO93" s="563"/>
      <c r="UTP93" s="563"/>
      <c r="UTQ93" s="563"/>
      <c r="UTR93" s="563"/>
      <c r="UTS93" s="563"/>
      <c r="UTT93" s="563"/>
      <c r="UTU93" s="563"/>
      <c r="UTV93" s="563"/>
      <c r="UTW93" s="563"/>
      <c r="UTX93" s="563"/>
      <c r="UTY93" s="563"/>
      <c r="UTZ93" s="563"/>
      <c r="UUA93" s="563"/>
      <c r="UUB93" s="563"/>
      <c r="UUC93" s="563"/>
      <c r="UUD93" s="563"/>
      <c r="UUE93" s="563"/>
      <c r="UUF93" s="563"/>
      <c r="UUG93" s="563"/>
      <c r="UUH93" s="563"/>
      <c r="UUI93" s="563"/>
      <c r="UUJ93" s="563"/>
      <c r="UUK93" s="563"/>
      <c r="UUL93" s="563"/>
      <c r="UUM93" s="563"/>
      <c r="UUN93" s="563"/>
      <c r="UUO93" s="563"/>
      <c r="UUP93" s="563"/>
      <c r="UUQ93" s="563"/>
      <c r="UUR93" s="563"/>
      <c r="UUS93" s="563"/>
      <c r="UUT93" s="563"/>
      <c r="UUU93" s="563"/>
      <c r="UUV93" s="563"/>
      <c r="UUW93" s="563"/>
      <c r="UUX93" s="563"/>
      <c r="UUY93" s="563"/>
      <c r="UUZ93" s="563"/>
      <c r="UVA93" s="563"/>
      <c r="UVB93" s="563"/>
      <c r="UVC93" s="563"/>
      <c r="UVD93" s="563"/>
      <c r="UVE93" s="563"/>
      <c r="UVF93" s="563"/>
      <c r="UVG93" s="563"/>
      <c r="UVH93" s="563"/>
      <c r="UVI93" s="563"/>
      <c r="UVJ93" s="563"/>
      <c r="UVK93" s="563"/>
      <c r="UVL93" s="563"/>
      <c r="UVM93" s="563"/>
      <c r="UVN93" s="563"/>
      <c r="UVO93" s="563"/>
      <c r="UVP93" s="563"/>
      <c r="UVQ93" s="563"/>
      <c r="UVR93" s="563"/>
      <c r="UVS93" s="563"/>
      <c r="UVT93" s="563"/>
      <c r="UVU93" s="563"/>
      <c r="UVV93" s="563"/>
      <c r="UVW93" s="563"/>
      <c r="UVX93" s="563"/>
      <c r="UVY93" s="563"/>
      <c r="UVZ93" s="563"/>
      <c r="UWA93" s="563"/>
      <c r="UWB93" s="563"/>
      <c r="UWC93" s="563"/>
      <c r="UWD93" s="563"/>
      <c r="UWE93" s="563"/>
      <c r="UWF93" s="563"/>
      <c r="UWG93" s="563"/>
      <c r="UWH93" s="563"/>
      <c r="UWI93" s="563"/>
      <c r="UWJ93" s="563"/>
      <c r="UWK93" s="563"/>
      <c r="UWL93" s="563"/>
      <c r="UWM93" s="563"/>
      <c r="UWN93" s="563"/>
      <c r="UWO93" s="563"/>
      <c r="UWP93" s="563"/>
      <c r="UWQ93" s="563"/>
      <c r="UWR93" s="563"/>
      <c r="UWS93" s="563"/>
      <c r="UWT93" s="563"/>
      <c r="UWU93" s="563"/>
      <c r="UWV93" s="563"/>
      <c r="UWW93" s="563"/>
      <c r="UWX93" s="563"/>
      <c r="UWY93" s="563"/>
      <c r="UWZ93" s="563"/>
      <c r="UXA93" s="563"/>
      <c r="UXB93" s="563"/>
      <c r="UXC93" s="563"/>
      <c r="UXD93" s="563"/>
      <c r="UXE93" s="563"/>
      <c r="UXF93" s="563"/>
      <c r="UXG93" s="563"/>
      <c r="UXH93" s="563"/>
      <c r="UXI93" s="563"/>
      <c r="UXJ93" s="563"/>
      <c r="UXK93" s="563"/>
      <c r="UXL93" s="563"/>
      <c r="UXM93" s="563"/>
      <c r="UXN93" s="563"/>
      <c r="UXO93" s="563"/>
      <c r="UXP93" s="563"/>
      <c r="UXQ93" s="563"/>
      <c r="UXR93" s="563"/>
      <c r="UXS93" s="563"/>
      <c r="UXT93" s="563"/>
      <c r="UXU93" s="563"/>
      <c r="UXV93" s="563"/>
      <c r="UXW93" s="563"/>
      <c r="UXX93" s="563"/>
      <c r="UXY93" s="563"/>
      <c r="UXZ93" s="563"/>
      <c r="UYA93" s="563"/>
      <c r="UYB93" s="563"/>
      <c r="UYC93" s="563"/>
      <c r="UYD93" s="563"/>
      <c r="UYE93" s="563"/>
      <c r="UYF93" s="563"/>
      <c r="UYG93" s="563"/>
      <c r="UYH93" s="563"/>
      <c r="UYI93" s="563"/>
      <c r="UYJ93" s="563"/>
      <c r="UYK93" s="563"/>
      <c r="UYL93" s="563"/>
      <c r="UYM93" s="563"/>
      <c r="UYN93" s="563"/>
      <c r="UYO93" s="563"/>
      <c r="UYP93" s="563"/>
      <c r="UYQ93" s="563"/>
      <c r="UYR93" s="563"/>
      <c r="UYS93" s="563"/>
      <c r="UYT93" s="563"/>
      <c r="UYU93" s="563"/>
      <c r="UYV93" s="563"/>
      <c r="UYW93" s="563"/>
      <c r="UYX93" s="563"/>
      <c r="UYY93" s="563"/>
      <c r="UYZ93" s="563"/>
      <c r="UZA93" s="563"/>
      <c r="UZB93" s="563"/>
      <c r="UZC93" s="563"/>
      <c r="UZD93" s="563"/>
      <c r="UZE93" s="563"/>
      <c r="UZF93" s="563"/>
      <c r="UZG93" s="563"/>
      <c r="UZH93" s="563"/>
      <c r="UZI93" s="563"/>
      <c r="UZJ93" s="563"/>
      <c r="UZK93" s="563"/>
      <c r="UZL93" s="563"/>
      <c r="UZM93" s="563"/>
      <c r="UZN93" s="563"/>
      <c r="UZO93" s="563"/>
      <c r="UZP93" s="563"/>
      <c r="UZQ93" s="563"/>
      <c r="UZR93" s="563"/>
      <c r="UZS93" s="563"/>
      <c r="UZT93" s="563"/>
      <c r="UZU93" s="563"/>
      <c r="UZV93" s="563"/>
      <c r="UZW93" s="563"/>
      <c r="UZX93" s="563"/>
      <c r="UZY93" s="563"/>
      <c r="UZZ93" s="563"/>
      <c r="VAA93" s="563"/>
      <c r="VAB93" s="563"/>
      <c r="VAC93" s="563"/>
      <c r="VAD93" s="563"/>
      <c r="VAE93" s="563"/>
      <c r="VAF93" s="563"/>
      <c r="VAG93" s="563"/>
      <c r="VAH93" s="563"/>
      <c r="VAI93" s="563"/>
      <c r="VAJ93" s="563"/>
      <c r="VAK93" s="563"/>
      <c r="VAL93" s="563"/>
      <c r="VAM93" s="563"/>
      <c r="VAN93" s="563"/>
      <c r="VAO93" s="563"/>
      <c r="VAP93" s="563"/>
      <c r="VAQ93" s="563"/>
      <c r="VAR93" s="563"/>
      <c r="VAS93" s="563"/>
      <c r="VAT93" s="563"/>
      <c r="VAU93" s="563"/>
      <c r="VAV93" s="563"/>
      <c r="VAW93" s="563"/>
      <c r="VAX93" s="563"/>
      <c r="VAY93" s="563"/>
      <c r="VAZ93" s="563"/>
      <c r="VBA93" s="563"/>
      <c r="VBB93" s="563"/>
      <c r="VBC93" s="563"/>
      <c r="VBD93" s="563"/>
      <c r="VBE93" s="563"/>
      <c r="VBF93" s="563"/>
      <c r="VBG93" s="563"/>
      <c r="VBH93" s="563"/>
      <c r="VBI93" s="563"/>
      <c r="VBJ93" s="563"/>
      <c r="VBK93" s="563"/>
      <c r="VBL93" s="563"/>
      <c r="VBM93" s="563"/>
      <c r="VBN93" s="563"/>
      <c r="VBO93" s="563"/>
      <c r="VBP93" s="563"/>
      <c r="VBQ93" s="563"/>
      <c r="VBR93" s="563"/>
      <c r="VBS93" s="563"/>
      <c r="VBT93" s="563"/>
      <c r="VBU93" s="563"/>
      <c r="VBV93" s="563"/>
      <c r="VBW93" s="563"/>
      <c r="VBX93" s="563"/>
      <c r="VBY93" s="563"/>
      <c r="VBZ93" s="563"/>
      <c r="VCA93" s="563"/>
      <c r="VCB93" s="563"/>
      <c r="VCC93" s="563"/>
      <c r="VCD93" s="563"/>
      <c r="VCE93" s="563"/>
      <c r="VCF93" s="563"/>
      <c r="VCG93" s="563"/>
      <c r="VCH93" s="563"/>
      <c r="VCI93" s="563"/>
      <c r="VCJ93" s="563"/>
      <c r="VCK93" s="563"/>
      <c r="VCL93" s="563"/>
      <c r="VCM93" s="563"/>
      <c r="VCN93" s="563"/>
      <c r="VCO93" s="563"/>
      <c r="VCP93" s="563"/>
      <c r="VCQ93" s="563"/>
      <c r="VCR93" s="563"/>
      <c r="VCS93" s="563"/>
      <c r="VCT93" s="563"/>
      <c r="VCU93" s="563"/>
      <c r="VCV93" s="563"/>
      <c r="VCW93" s="563"/>
      <c r="VCX93" s="563"/>
      <c r="VCY93" s="563"/>
      <c r="VCZ93" s="563"/>
      <c r="VDA93" s="563"/>
      <c r="VDB93" s="563"/>
      <c r="VDC93" s="563"/>
      <c r="VDD93" s="563"/>
      <c r="VDE93" s="563"/>
      <c r="VDF93" s="563"/>
      <c r="VDG93" s="563"/>
      <c r="VDH93" s="563"/>
      <c r="VDI93" s="563"/>
      <c r="VDJ93" s="563"/>
      <c r="VDK93" s="563"/>
      <c r="VDL93" s="563"/>
      <c r="VDM93" s="563"/>
      <c r="VDN93" s="563"/>
      <c r="VDO93" s="563"/>
      <c r="VDP93" s="563"/>
      <c r="VDQ93" s="563"/>
      <c r="VDR93" s="563"/>
      <c r="VDS93" s="563"/>
      <c r="VDT93" s="563"/>
      <c r="VDU93" s="563"/>
      <c r="VDV93" s="563"/>
      <c r="VDW93" s="563"/>
      <c r="VDX93" s="563"/>
      <c r="VDY93" s="563"/>
      <c r="VDZ93" s="563"/>
      <c r="VEA93" s="563"/>
      <c r="VEB93" s="563"/>
      <c r="VEC93" s="563"/>
      <c r="VED93" s="563"/>
      <c r="VEE93" s="563"/>
      <c r="VEF93" s="563"/>
      <c r="VEG93" s="563"/>
      <c r="VEH93" s="563"/>
      <c r="VEI93" s="563"/>
      <c r="VEJ93" s="563"/>
      <c r="VEK93" s="563"/>
      <c r="VEL93" s="563"/>
      <c r="VEM93" s="563"/>
      <c r="VEN93" s="563"/>
      <c r="VEO93" s="563"/>
      <c r="VEP93" s="563"/>
      <c r="VEQ93" s="563"/>
      <c r="VER93" s="563"/>
      <c r="VES93" s="563"/>
      <c r="VET93" s="563"/>
      <c r="VEU93" s="563"/>
      <c r="VEV93" s="563"/>
      <c r="VEW93" s="563"/>
      <c r="VEX93" s="563"/>
      <c r="VEY93" s="563"/>
      <c r="VEZ93" s="563"/>
      <c r="VFA93" s="563"/>
      <c r="VFB93" s="563"/>
      <c r="VFC93" s="563"/>
      <c r="VFD93" s="563"/>
      <c r="VFE93" s="563"/>
      <c r="VFF93" s="563"/>
      <c r="VFG93" s="563"/>
      <c r="VFH93" s="563"/>
      <c r="VFI93" s="563"/>
      <c r="VFJ93" s="563"/>
      <c r="VFK93" s="563"/>
      <c r="VFL93" s="563"/>
      <c r="VFM93" s="563"/>
      <c r="VFN93" s="563"/>
      <c r="VFO93" s="563"/>
      <c r="VFP93" s="563"/>
      <c r="VFQ93" s="563"/>
      <c r="VFR93" s="563"/>
      <c r="VFS93" s="563"/>
      <c r="VFT93" s="563"/>
      <c r="VFU93" s="563"/>
      <c r="VFV93" s="563"/>
      <c r="VFW93" s="563"/>
      <c r="VFX93" s="563"/>
      <c r="VFY93" s="563"/>
      <c r="VFZ93" s="563"/>
      <c r="VGA93" s="563"/>
      <c r="VGB93" s="563"/>
      <c r="VGC93" s="563"/>
      <c r="VGD93" s="563"/>
      <c r="VGE93" s="563"/>
      <c r="VGF93" s="563"/>
      <c r="VGG93" s="563"/>
      <c r="VGH93" s="563"/>
      <c r="VGI93" s="563"/>
      <c r="VGJ93" s="563"/>
      <c r="VGK93" s="563"/>
      <c r="VGL93" s="563"/>
      <c r="VGM93" s="563"/>
      <c r="VGN93" s="563"/>
      <c r="VGO93" s="563"/>
      <c r="VGP93" s="563"/>
      <c r="VGQ93" s="563"/>
      <c r="VGR93" s="563"/>
      <c r="VGS93" s="563"/>
      <c r="VGT93" s="563"/>
      <c r="VGU93" s="563"/>
      <c r="VGV93" s="563"/>
      <c r="VGW93" s="563"/>
      <c r="VGX93" s="563"/>
      <c r="VGY93" s="563"/>
      <c r="VGZ93" s="563"/>
      <c r="VHA93" s="563"/>
      <c r="VHB93" s="563"/>
      <c r="VHC93" s="563"/>
      <c r="VHD93" s="563"/>
      <c r="VHE93" s="563"/>
      <c r="VHF93" s="563"/>
      <c r="VHG93" s="563"/>
      <c r="VHH93" s="563"/>
      <c r="VHI93" s="563"/>
      <c r="VHJ93" s="563"/>
      <c r="VHK93" s="563"/>
      <c r="VHL93" s="563"/>
      <c r="VHM93" s="563"/>
      <c r="VHN93" s="563"/>
      <c r="VHO93" s="563"/>
      <c r="VHP93" s="563"/>
      <c r="VHQ93" s="563"/>
      <c r="VHR93" s="563"/>
      <c r="VHS93" s="563"/>
      <c r="VHT93" s="563"/>
      <c r="VHU93" s="563"/>
      <c r="VHV93" s="563"/>
      <c r="VHW93" s="563"/>
      <c r="VHX93" s="563"/>
      <c r="VHY93" s="563"/>
      <c r="VHZ93" s="563"/>
      <c r="VIA93" s="563"/>
      <c r="VIB93" s="563"/>
      <c r="VIC93" s="563"/>
      <c r="VID93" s="563"/>
      <c r="VIE93" s="563"/>
      <c r="VIF93" s="563"/>
      <c r="VIG93" s="563"/>
      <c r="VIH93" s="563"/>
      <c r="VII93" s="563"/>
      <c r="VIJ93" s="563"/>
      <c r="VIK93" s="563"/>
      <c r="VIL93" s="563"/>
      <c r="VIM93" s="563"/>
      <c r="VIN93" s="563"/>
      <c r="VIO93" s="563"/>
      <c r="VIP93" s="563"/>
      <c r="VIQ93" s="563"/>
      <c r="VIR93" s="563"/>
      <c r="VIS93" s="563"/>
      <c r="VIT93" s="563"/>
      <c r="VIU93" s="563"/>
      <c r="VIV93" s="563"/>
      <c r="VIW93" s="563"/>
      <c r="VIX93" s="563"/>
      <c r="VIY93" s="563"/>
      <c r="VIZ93" s="563"/>
      <c r="VJA93" s="563"/>
      <c r="VJB93" s="563"/>
      <c r="VJC93" s="563"/>
      <c r="VJD93" s="563"/>
      <c r="VJE93" s="563"/>
      <c r="VJF93" s="563"/>
      <c r="VJG93" s="563"/>
      <c r="VJH93" s="563"/>
      <c r="VJI93" s="563"/>
      <c r="VJJ93" s="563"/>
      <c r="VJK93" s="563"/>
      <c r="VJL93" s="563"/>
      <c r="VJM93" s="563"/>
      <c r="VJN93" s="563"/>
      <c r="VJO93" s="563"/>
      <c r="VJP93" s="563"/>
      <c r="VJQ93" s="563"/>
      <c r="VJR93" s="563"/>
      <c r="VJS93" s="563"/>
      <c r="VJT93" s="563"/>
      <c r="VJU93" s="563"/>
      <c r="VJV93" s="563"/>
      <c r="VJW93" s="563"/>
      <c r="VJX93" s="563"/>
      <c r="VJY93" s="563"/>
      <c r="VJZ93" s="563"/>
      <c r="VKA93" s="563"/>
      <c r="VKB93" s="563"/>
      <c r="VKC93" s="563"/>
      <c r="VKD93" s="563"/>
      <c r="VKE93" s="563"/>
      <c r="VKF93" s="563"/>
      <c r="VKG93" s="563"/>
      <c r="VKH93" s="563"/>
      <c r="VKI93" s="563"/>
      <c r="VKJ93" s="563"/>
      <c r="VKK93" s="563"/>
      <c r="VKL93" s="563"/>
      <c r="VKM93" s="563"/>
      <c r="VKN93" s="563"/>
      <c r="VKO93" s="563"/>
      <c r="VKP93" s="563"/>
      <c r="VKQ93" s="563"/>
      <c r="VKR93" s="563"/>
      <c r="VKS93" s="563"/>
      <c r="VKT93" s="563"/>
      <c r="VKU93" s="563"/>
      <c r="VKV93" s="563"/>
      <c r="VKW93" s="563"/>
      <c r="VKX93" s="563"/>
      <c r="VKY93" s="563"/>
      <c r="VKZ93" s="563"/>
      <c r="VLA93" s="563"/>
      <c r="VLB93" s="563"/>
      <c r="VLC93" s="563"/>
      <c r="VLD93" s="563"/>
      <c r="VLE93" s="563"/>
      <c r="VLF93" s="563"/>
      <c r="VLG93" s="563"/>
      <c r="VLH93" s="563"/>
      <c r="VLI93" s="563"/>
      <c r="VLJ93" s="563"/>
      <c r="VLK93" s="563"/>
      <c r="VLL93" s="563"/>
      <c r="VLM93" s="563"/>
      <c r="VLN93" s="563"/>
      <c r="VLO93" s="563"/>
      <c r="VLP93" s="563"/>
      <c r="VLQ93" s="563"/>
      <c r="VLR93" s="563"/>
      <c r="VLS93" s="563"/>
      <c r="VLT93" s="563"/>
      <c r="VLU93" s="563"/>
      <c r="VLV93" s="563"/>
      <c r="VLW93" s="563"/>
      <c r="VLX93" s="563"/>
      <c r="VLY93" s="563"/>
      <c r="VLZ93" s="563"/>
      <c r="VMA93" s="563"/>
      <c r="VMB93" s="563"/>
      <c r="VMC93" s="563"/>
      <c r="VMD93" s="563"/>
      <c r="VME93" s="563"/>
      <c r="VMF93" s="563"/>
      <c r="VMG93" s="563"/>
      <c r="VMH93" s="563"/>
      <c r="VMI93" s="563"/>
      <c r="VMJ93" s="563"/>
      <c r="VMK93" s="563"/>
      <c r="VML93" s="563"/>
      <c r="VMM93" s="563"/>
      <c r="VMN93" s="563"/>
      <c r="VMO93" s="563"/>
      <c r="VMP93" s="563"/>
      <c r="VMQ93" s="563"/>
      <c r="VMR93" s="563"/>
      <c r="VMS93" s="563"/>
      <c r="VMT93" s="563"/>
      <c r="VMU93" s="563"/>
      <c r="VMV93" s="563"/>
      <c r="VMW93" s="563"/>
      <c r="VMX93" s="563"/>
      <c r="VMY93" s="563"/>
      <c r="VMZ93" s="563"/>
      <c r="VNA93" s="563"/>
      <c r="VNB93" s="563"/>
      <c r="VNC93" s="563"/>
      <c r="VND93" s="563"/>
      <c r="VNE93" s="563"/>
      <c r="VNF93" s="563"/>
      <c r="VNG93" s="563"/>
      <c r="VNH93" s="563"/>
      <c r="VNI93" s="563"/>
      <c r="VNJ93" s="563"/>
      <c r="VNK93" s="563"/>
      <c r="VNL93" s="563"/>
      <c r="VNM93" s="563"/>
      <c r="VNN93" s="563"/>
      <c r="VNO93" s="563"/>
      <c r="VNP93" s="563"/>
      <c r="VNQ93" s="563"/>
      <c r="VNR93" s="563"/>
      <c r="VNS93" s="563"/>
      <c r="VNT93" s="563"/>
      <c r="VNU93" s="563"/>
      <c r="VNV93" s="563"/>
      <c r="VNW93" s="563"/>
      <c r="VNX93" s="563"/>
      <c r="VNY93" s="563"/>
      <c r="VNZ93" s="563"/>
      <c r="VOA93" s="563"/>
      <c r="VOB93" s="563"/>
      <c r="VOC93" s="563"/>
      <c r="VOD93" s="563"/>
      <c r="VOE93" s="563"/>
      <c r="VOF93" s="563"/>
      <c r="VOG93" s="563"/>
      <c r="VOH93" s="563"/>
      <c r="VOI93" s="563"/>
      <c r="VOJ93" s="563"/>
      <c r="VOK93" s="563"/>
      <c r="VOL93" s="563"/>
      <c r="VOM93" s="563"/>
      <c r="VON93" s="563"/>
      <c r="VOO93" s="563"/>
      <c r="VOP93" s="563"/>
      <c r="VOQ93" s="563"/>
      <c r="VOR93" s="563"/>
      <c r="VOS93" s="563"/>
      <c r="VOT93" s="563"/>
      <c r="VOU93" s="563"/>
      <c r="VOV93" s="563"/>
      <c r="VOW93" s="563"/>
      <c r="VOX93" s="563"/>
      <c r="VOY93" s="563"/>
      <c r="VOZ93" s="563"/>
      <c r="VPA93" s="563"/>
      <c r="VPB93" s="563"/>
      <c r="VPC93" s="563"/>
      <c r="VPD93" s="563"/>
      <c r="VPE93" s="563"/>
      <c r="VPF93" s="563"/>
      <c r="VPG93" s="563"/>
      <c r="VPH93" s="563"/>
      <c r="VPI93" s="563"/>
      <c r="VPJ93" s="563"/>
      <c r="VPK93" s="563"/>
      <c r="VPL93" s="563"/>
      <c r="VPM93" s="563"/>
      <c r="VPN93" s="563"/>
      <c r="VPO93" s="563"/>
      <c r="VPP93" s="563"/>
      <c r="VPQ93" s="563"/>
      <c r="VPR93" s="563"/>
      <c r="VPS93" s="563"/>
      <c r="VPT93" s="563"/>
      <c r="VPU93" s="563"/>
      <c r="VPV93" s="563"/>
      <c r="VPW93" s="563"/>
      <c r="VPX93" s="563"/>
      <c r="VPY93" s="563"/>
      <c r="VPZ93" s="563"/>
      <c r="VQA93" s="563"/>
      <c r="VQB93" s="563"/>
      <c r="VQC93" s="563"/>
      <c r="VQD93" s="563"/>
      <c r="VQE93" s="563"/>
      <c r="VQF93" s="563"/>
      <c r="VQG93" s="563"/>
      <c r="VQH93" s="563"/>
      <c r="VQI93" s="563"/>
      <c r="VQJ93" s="563"/>
      <c r="VQK93" s="563"/>
      <c r="VQL93" s="563"/>
      <c r="VQM93" s="563"/>
      <c r="VQN93" s="563"/>
      <c r="VQO93" s="563"/>
      <c r="VQP93" s="563"/>
      <c r="VQQ93" s="563"/>
      <c r="VQR93" s="563"/>
      <c r="VQS93" s="563"/>
      <c r="VQT93" s="563"/>
      <c r="VQU93" s="563"/>
      <c r="VQV93" s="563"/>
      <c r="VQW93" s="563"/>
      <c r="VQX93" s="563"/>
      <c r="VQY93" s="563"/>
      <c r="VQZ93" s="563"/>
      <c r="VRA93" s="563"/>
      <c r="VRB93" s="563"/>
      <c r="VRC93" s="563"/>
      <c r="VRD93" s="563"/>
      <c r="VRE93" s="563"/>
      <c r="VRF93" s="563"/>
      <c r="VRG93" s="563"/>
      <c r="VRH93" s="563"/>
      <c r="VRI93" s="563"/>
      <c r="VRJ93" s="563"/>
      <c r="VRK93" s="563"/>
      <c r="VRL93" s="563"/>
      <c r="VRM93" s="563"/>
      <c r="VRN93" s="563"/>
      <c r="VRO93" s="563"/>
      <c r="VRP93" s="563"/>
      <c r="VRQ93" s="563"/>
      <c r="VRR93" s="563"/>
      <c r="VRS93" s="563"/>
      <c r="VRT93" s="563"/>
      <c r="VRU93" s="563"/>
      <c r="VRV93" s="563"/>
      <c r="VRW93" s="563"/>
      <c r="VRX93" s="563"/>
      <c r="VRY93" s="563"/>
      <c r="VRZ93" s="563"/>
      <c r="VSA93" s="563"/>
      <c r="VSB93" s="563"/>
      <c r="VSC93" s="563"/>
      <c r="VSD93" s="563"/>
      <c r="VSE93" s="563"/>
      <c r="VSF93" s="563"/>
      <c r="VSG93" s="563"/>
      <c r="VSH93" s="563"/>
      <c r="VSI93" s="563"/>
      <c r="VSJ93" s="563"/>
      <c r="VSK93" s="563"/>
      <c r="VSL93" s="563"/>
      <c r="VSM93" s="563"/>
      <c r="VSN93" s="563"/>
      <c r="VSO93" s="563"/>
      <c r="VSP93" s="563"/>
      <c r="VSQ93" s="563"/>
      <c r="VSR93" s="563"/>
      <c r="VSS93" s="563"/>
      <c r="VST93" s="563"/>
      <c r="VSU93" s="563"/>
      <c r="VSV93" s="563"/>
      <c r="VSW93" s="563"/>
      <c r="VSX93" s="563"/>
      <c r="VSY93" s="563"/>
      <c r="VSZ93" s="563"/>
      <c r="VTA93" s="563"/>
      <c r="VTB93" s="563"/>
      <c r="VTC93" s="563"/>
      <c r="VTD93" s="563"/>
      <c r="VTE93" s="563"/>
      <c r="VTF93" s="563"/>
      <c r="VTG93" s="563"/>
      <c r="VTH93" s="563"/>
      <c r="VTI93" s="563"/>
      <c r="VTJ93" s="563"/>
      <c r="VTK93" s="563"/>
      <c r="VTL93" s="563"/>
      <c r="VTM93" s="563"/>
      <c r="VTN93" s="563"/>
      <c r="VTO93" s="563"/>
      <c r="VTP93" s="563"/>
      <c r="VTQ93" s="563"/>
      <c r="VTR93" s="563"/>
      <c r="VTS93" s="563"/>
      <c r="VTT93" s="563"/>
      <c r="VTU93" s="563"/>
      <c r="VTV93" s="563"/>
      <c r="VTW93" s="563"/>
      <c r="VTX93" s="563"/>
      <c r="VTY93" s="563"/>
      <c r="VTZ93" s="563"/>
      <c r="VUA93" s="563"/>
      <c r="VUB93" s="563"/>
      <c r="VUC93" s="563"/>
      <c r="VUD93" s="563"/>
      <c r="VUE93" s="563"/>
      <c r="VUF93" s="563"/>
      <c r="VUG93" s="563"/>
      <c r="VUH93" s="563"/>
      <c r="VUI93" s="563"/>
      <c r="VUJ93" s="563"/>
      <c r="VUK93" s="563"/>
      <c r="VUL93" s="563"/>
      <c r="VUM93" s="563"/>
      <c r="VUN93" s="563"/>
      <c r="VUO93" s="563"/>
      <c r="VUP93" s="563"/>
      <c r="VUQ93" s="563"/>
      <c r="VUR93" s="563"/>
      <c r="VUS93" s="563"/>
      <c r="VUT93" s="563"/>
      <c r="VUU93" s="563"/>
      <c r="VUV93" s="563"/>
      <c r="VUW93" s="563"/>
      <c r="VUX93" s="563"/>
      <c r="VUY93" s="563"/>
      <c r="VUZ93" s="563"/>
      <c r="VVA93" s="563"/>
      <c r="VVB93" s="563"/>
      <c r="VVC93" s="563"/>
      <c r="VVD93" s="563"/>
      <c r="VVE93" s="563"/>
      <c r="VVF93" s="563"/>
      <c r="VVG93" s="563"/>
      <c r="VVH93" s="563"/>
      <c r="VVI93" s="563"/>
      <c r="VVJ93" s="563"/>
      <c r="VVK93" s="563"/>
      <c r="VVL93" s="563"/>
      <c r="VVM93" s="563"/>
      <c r="VVN93" s="563"/>
      <c r="VVO93" s="563"/>
      <c r="VVP93" s="563"/>
      <c r="VVQ93" s="563"/>
      <c r="VVR93" s="563"/>
      <c r="VVS93" s="563"/>
      <c r="VVT93" s="563"/>
      <c r="VVU93" s="563"/>
      <c r="VVV93" s="563"/>
      <c r="VVW93" s="563"/>
      <c r="VVX93" s="563"/>
      <c r="VVY93" s="563"/>
      <c r="VVZ93" s="563"/>
      <c r="VWA93" s="563"/>
      <c r="VWB93" s="563"/>
      <c r="VWC93" s="563"/>
      <c r="VWD93" s="563"/>
      <c r="VWE93" s="563"/>
      <c r="VWF93" s="563"/>
      <c r="VWG93" s="563"/>
      <c r="VWH93" s="563"/>
      <c r="VWI93" s="563"/>
      <c r="VWJ93" s="563"/>
      <c r="VWK93" s="563"/>
      <c r="VWL93" s="563"/>
      <c r="VWM93" s="563"/>
      <c r="VWN93" s="563"/>
      <c r="VWO93" s="563"/>
      <c r="VWP93" s="563"/>
      <c r="VWQ93" s="563"/>
      <c r="VWR93" s="563"/>
      <c r="VWS93" s="563"/>
      <c r="VWT93" s="563"/>
      <c r="VWU93" s="563"/>
      <c r="VWV93" s="563"/>
      <c r="VWW93" s="563"/>
      <c r="VWX93" s="563"/>
      <c r="VWY93" s="563"/>
      <c r="VWZ93" s="563"/>
      <c r="VXA93" s="563"/>
      <c r="VXB93" s="563"/>
      <c r="VXC93" s="563"/>
      <c r="VXD93" s="563"/>
      <c r="VXE93" s="563"/>
      <c r="VXF93" s="563"/>
      <c r="VXG93" s="563"/>
      <c r="VXH93" s="563"/>
      <c r="VXI93" s="563"/>
      <c r="VXJ93" s="563"/>
      <c r="VXK93" s="563"/>
      <c r="VXL93" s="563"/>
      <c r="VXM93" s="563"/>
      <c r="VXN93" s="563"/>
      <c r="VXO93" s="563"/>
      <c r="VXP93" s="563"/>
      <c r="VXQ93" s="563"/>
      <c r="VXR93" s="563"/>
      <c r="VXS93" s="563"/>
      <c r="VXT93" s="563"/>
      <c r="VXU93" s="563"/>
      <c r="VXV93" s="563"/>
      <c r="VXW93" s="563"/>
      <c r="VXX93" s="563"/>
      <c r="VXY93" s="563"/>
      <c r="VXZ93" s="563"/>
      <c r="VYA93" s="563"/>
      <c r="VYB93" s="563"/>
      <c r="VYC93" s="563"/>
      <c r="VYD93" s="563"/>
      <c r="VYE93" s="563"/>
      <c r="VYF93" s="563"/>
      <c r="VYG93" s="563"/>
      <c r="VYH93" s="563"/>
      <c r="VYI93" s="563"/>
      <c r="VYJ93" s="563"/>
      <c r="VYK93" s="563"/>
      <c r="VYL93" s="563"/>
      <c r="VYM93" s="563"/>
      <c r="VYN93" s="563"/>
      <c r="VYO93" s="563"/>
      <c r="VYP93" s="563"/>
      <c r="VYQ93" s="563"/>
      <c r="VYR93" s="563"/>
      <c r="VYS93" s="563"/>
      <c r="VYT93" s="563"/>
      <c r="VYU93" s="563"/>
      <c r="VYV93" s="563"/>
      <c r="VYW93" s="563"/>
      <c r="VYX93" s="563"/>
      <c r="VYY93" s="563"/>
      <c r="VYZ93" s="563"/>
      <c r="VZA93" s="563"/>
      <c r="VZB93" s="563"/>
      <c r="VZC93" s="563"/>
      <c r="VZD93" s="563"/>
      <c r="VZE93" s="563"/>
      <c r="VZF93" s="563"/>
      <c r="VZG93" s="563"/>
      <c r="VZH93" s="563"/>
      <c r="VZI93" s="563"/>
      <c r="VZJ93" s="563"/>
      <c r="VZK93" s="563"/>
      <c r="VZL93" s="563"/>
      <c r="VZM93" s="563"/>
      <c r="VZN93" s="563"/>
      <c r="VZO93" s="563"/>
      <c r="VZP93" s="563"/>
      <c r="VZQ93" s="563"/>
      <c r="VZR93" s="563"/>
      <c r="VZS93" s="563"/>
      <c r="VZT93" s="563"/>
      <c r="VZU93" s="563"/>
      <c r="VZV93" s="563"/>
      <c r="VZW93" s="563"/>
      <c r="VZX93" s="563"/>
      <c r="VZY93" s="563"/>
      <c r="VZZ93" s="563"/>
      <c r="WAA93" s="563"/>
      <c r="WAB93" s="563"/>
      <c r="WAC93" s="563"/>
      <c r="WAD93" s="563"/>
      <c r="WAE93" s="563"/>
      <c r="WAF93" s="563"/>
      <c r="WAG93" s="563"/>
      <c r="WAH93" s="563"/>
      <c r="WAI93" s="563"/>
      <c r="WAJ93" s="563"/>
      <c r="WAK93" s="563"/>
      <c r="WAL93" s="563"/>
      <c r="WAM93" s="563"/>
      <c r="WAN93" s="563"/>
      <c r="WAO93" s="563"/>
      <c r="WAP93" s="563"/>
      <c r="WAQ93" s="563"/>
      <c r="WAR93" s="563"/>
      <c r="WAS93" s="563"/>
      <c r="WAT93" s="563"/>
      <c r="WAU93" s="563"/>
      <c r="WAV93" s="563"/>
      <c r="WAW93" s="563"/>
      <c r="WAX93" s="563"/>
      <c r="WAY93" s="563"/>
      <c r="WAZ93" s="563"/>
      <c r="WBA93" s="563"/>
      <c r="WBB93" s="563"/>
      <c r="WBC93" s="563"/>
      <c r="WBD93" s="563"/>
      <c r="WBE93" s="563"/>
      <c r="WBF93" s="563"/>
      <c r="WBG93" s="563"/>
      <c r="WBH93" s="563"/>
      <c r="WBI93" s="563"/>
      <c r="WBJ93" s="563"/>
      <c r="WBK93" s="563"/>
      <c r="WBL93" s="563"/>
      <c r="WBM93" s="563"/>
      <c r="WBN93" s="563"/>
      <c r="WBO93" s="563"/>
      <c r="WBP93" s="563"/>
      <c r="WBQ93" s="563"/>
      <c r="WBR93" s="563"/>
      <c r="WBS93" s="563"/>
      <c r="WBT93" s="563"/>
      <c r="WBU93" s="563"/>
      <c r="WBV93" s="563"/>
      <c r="WBW93" s="563"/>
      <c r="WBX93" s="563"/>
      <c r="WBY93" s="563"/>
      <c r="WBZ93" s="563"/>
      <c r="WCA93" s="563"/>
      <c r="WCB93" s="563"/>
      <c r="WCC93" s="563"/>
      <c r="WCD93" s="563"/>
      <c r="WCE93" s="563"/>
      <c r="WCF93" s="563"/>
      <c r="WCG93" s="563"/>
      <c r="WCH93" s="563"/>
      <c r="WCI93" s="563"/>
      <c r="WCJ93" s="563"/>
      <c r="WCK93" s="563"/>
      <c r="WCL93" s="563"/>
      <c r="WCM93" s="563"/>
      <c r="WCN93" s="563"/>
      <c r="WCO93" s="563"/>
      <c r="WCP93" s="563"/>
      <c r="WCQ93" s="563"/>
      <c r="WCR93" s="563"/>
      <c r="WCS93" s="563"/>
      <c r="WCT93" s="563"/>
      <c r="WCU93" s="563"/>
      <c r="WCV93" s="563"/>
      <c r="WCW93" s="563"/>
      <c r="WCX93" s="563"/>
      <c r="WCY93" s="563"/>
      <c r="WCZ93" s="563"/>
      <c r="WDA93" s="563"/>
      <c r="WDB93" s="563"/>
      <c r="WDC93" s="563"/>
      <c r="WDD93" s="563"/>
      <c r="WDE93" s="563"/>
      <c r="WDF93" s="563"/>
      <c r="WDG93" s="563"/>
      <c r="WDH93" s="563"/>
      <c r="WDI93" s="563"/>
      <c r="WDJ93" s="563"/>
      <c r="WDK93" s="563"/>
      <c r="WDL93" s="563"/>
      <c r="WDM93" s="563"/>
      <c r="WDN93" s="563"/>
      <c r="WDO93" s="563"/>
      <c r="WDP93" s="563"/>
      <c r="WDQ93" s="563"/>
      <c r="WDR93" s="563"/>
      <c r="WDS93" s="563"/>
      <c r="WDT93" s="563"/>
      <c r="WDU93" s="563"/>
      <c r="WDV93" s="563"/>
      <c r="WDW93" s="563"/>
      <c r="WDX93" s="563"/>
      <c r="WDY93" s="563"/>
      <c r="WDZ93" s="563"/>
      <c r="WEA93" s="563"/>
      <c r="WEB93" s="563"/>
      <c r="WEC93" s="563"/>
      <c r="WED93" s="563"/>
      <c r="WEE93" s="563"/>
      <c r="WEF93" s="563"/>
      <c r="WEG93" s="563"/>
      <c r="WEH93" s="563"/>
      <c r="WEI93" s="563"/>
      <c r="WEJ93" s="563"/>
      <c r="WEK93" s="563"/>
      <c r="WEL93" s="563"/>
      <c r="WEM93" s="563"/>
      <c r="WEN93" s="563"/>
      <c r="WEO93" s="563"/>
      <c r="WEP93" s="563"/>
      <c r="WEQ93" s="563"/>
      <c r="WER93" s="563"/>
      <c r="WES93" s="563"/>
      <c r="WET93" s="563"/>
      <c r="WEU93" s="563"/>
      <c r="WEV93" s="563"/>
      <c r="WEW93" s="563"/>
      <c r="WEX93" s="563"/>
      <c r="WEY93" s="563"/>
      <c r="WEZ93" s="563"/>
      <c r="WFA93" s="563"/>
      <c r="WFB93" s="563"/>
      <c r="WFC93" s="563"/>
      <c r="WFD93" s="563"/>
      <c r="WFE93" s="563"/>
      <c r="WFF93" s="563"/>
      <c r="WFG93" s="563"/>
      <c r="WFH93" s="563"/>
      <c r="WFI93" s="563"/>
      <c r="WFJ93" s="563"/>
      <c r="WFK93" s="563"/>
      <c r="WFL93" s="563"/>
      <c r="WFM93" s="563"/>
      <c r="WFN93" s="563"/>
      <c r="WFO93" s="563"/>
      <c r="WFP93" s="563"/>
      <c r="WFQ93" s="563"/>
      <c r="WFR93" s="563"/>
      <c r="WFS93" s="563"/>
      <c r="WFT93" s="563"/>
      <c r="WFU93" s="563"/>
      <c r="WFV93" s="563"/>
      <c r="WFW93" s="563"/>
      <c r="WFX93" s="563"/>
      <c r="WFY93" s="563"/>
      <c r="WFZ93" s="563"/>
      <c r="WGA93" s="563"/>
      <c r="WGB93" s="563"/>
      <c r="WGC93" s="563"/>
      <c r="WGD93" s="563"/>
      <c r="WGE93" s="563"/>
      <c r="WGF93" s="563"/>
      <c r="WGG93" s="563"/>
      <c r="WGH93" s="563"/>
      <c r="WGI93" s="563"/>
      <c r="WGJ93" s="563"/>
      <c r="WGK93" s="563"/>
      <c r="WGL93" s="563"/>
      <c r="WGM93" s="563"/>
      <c r="WGN93" s="563"/>
      <c r="WGO93" s="563"/>
      <c r="WGP93" s="563"/>
      <c r="WGQ93" s="563"/>
      <c r="WGR93" s="563"/>
      <c r="WGS93" s="563"/>
      <c r="WGT93" s="563"/>
      <c r="WGU93" s="563"/>
      <c r="WGV93" s="563"/>
      <c r="WGW93" s="563"/>
      <c r="WGX93" s="563"/>
      <c r="WGY93" s="563"/>
      <c r="WGZ93" s="563"/>
      <c r="WHA93" s="563"/>
      <c r="WHB93" s="563"/>
      <c r="WHC93" s="563"/>
      <c r="WHD93" s="563"/>
      <c r="WHE93" s="563"/>
      <c r="WHF93" s="563"/>
      <c r="WHG93" s="563"/>
      <c r="WHH93" s="563"/>
      <c r="WHI93" s="563"/>
      <c r="WHJ93" s="563"/>
      <c r="WHK93" s="563"/>
      <c r="WHL93" s="563"/>
      <c r="WHM93" s="563"/>
      <c r="WHN93" s="563"/>
      <c r="WHO93" s="563"/>
      <c r="WHP93" s="563"/>
      <c r="WHQ93" s="563"/>
      <c r="WHR93" s="563"/>
      <c r="WHS93" s="563"/>
      <c r="WHT93" s="563"/>
      <c r="WHU93" s="563"/>
      <c r="WHV93" s="563"/>
      <c r="WHW93" s="563"/>
      <c r="WHX93" s="563"/>
      <c r="WHY93" s="563"/>
      <c r="WHZ93" s="563"/>
      <c r="WIA93" s="563"/>
      <c r="WIB93" s="563"/>
      <c r="WIC93" s="563"/>
      <c r="WID93" s="563"/>
      <c r="WIE93" s="563"/>
      <c r="WIF93" s="563"/>
      <c r="WIG93" s="563"/>
      <c r="WIH93" s="563"/>
      <c r="WII93" s="563"/>
      <c r="WIJ93" s="563"/>
      <c r="WIK93" s="563"/>
      <c r="WIL93" s="563"/>
      <c r="WIM93" s="563"/>
      <c r="WIN93" s="563"/>
      <c r="WIO93" s="563"/>
      <c r="WIP93" s="563"/>
      <c r="WIQ93" s="563"/>
      <c r="WIR93" s="563"/>
      <c r="WIS93" s="563"/>
      <c r="WIT93" s="563"/>
      <c r="WIU93" s="563"/>
      <c r="WIV93" s="563"/>
      <c r="WIW93" s="563"/>
      <c r="WIX93" s="563"/>
      <c r="WIY93" s="563"/>
      <c r="WIZ93" s="563"/>
      <c r="WJA93" s="563"/>
      <c r="WJB93" s="563"/>
      <c r="WJC93" s="563"/>
      <c r="WJD93" s="563"/>
      <c r="WJE93" s="563"/>
      <c r="WJF93" s="563"/>
      <c r="WJG93" s="563"/>
      <c r="WJH93" s="563"/>
      <c r="WJI93" s="563"/>
      <c r="WJJ93" s="563"/>
      <c r="WJK93" s="563"/>
      <c r="WJL93" s="563"/>
      <c r="WJM93" s="563"/>
      <c r="WJN93" s="563"/>
      <c r="WJO93" s="563"/>
      <c r="WJP93" s="563"/>
      <c r="WJQ93" s="563"/>
      <c r="WJR93" s="563"/>
      <c r="WJS93" s="563"/>
      <c r="WJT93" s="563"/>
      <c r="WJU93" s="563"/>
      <c r="WJV93" s="563"/>
      <c r="WJW93" s="563"/>
      <c r="WJX93" s="563"/>
      <c r="WJY93" s="563"/>
      <c r="WJZ93" s="563"/>
      <c r="WKA93" s="563"/>
      <c r="WKB93" s="563"/>
      <c r="WKC93" s="563"/>
      <c r="WKD93" s="563"/>
      <c r="WKE93" s="563"/>
      <c r="WKF93" s="563"/>
      <c r="WKG93" s="563"/>
      <c r="WKH93" s="563"/>
      <c r="WKI93" s="563"/>
      <c r="WKJ93" s="563"/>
      <c r="WKK93" s="563"/>
      <c r="WKL93" s="563"/>
      <c r="WKM93" s="563"/>
      <c r="WKN93" s="563"/>
      <c r="WKO93" s="563"/>
      <c r="WKP93" s="563"/>
      <c r="WKQ93" s="563"/>
      <c r="WKR93" s="563"/>
      <c r="WKS93" s="563"/>
      <c r="WKT93" s="563"/>
      <c r="WKU93" s="563"/>
      <c r="WKV93" s="563"/>
      <c r="WKW93" s="563"/>
      <c r="WKX93" s="563"/>
      <c r="WKY93" s="563"/>
      <c r="WKZ93" s="563"/>
      <c r="WLA93" s="563"/>
      <c r="WLB93" s="563"/>
      <c r="WLC93" s="563"/>
      <c r="WLD93" s="563"/>
      <c r="WLE93" s="563"/>
      <c r="WLF93" s="563"/>
      <c r="WLG93" s="563"/>
      <c r="WLH93" s="563"/>
      <c r="WLI93" s="563"/>
      <c r="WLJ93" s="563"/>
      <c r="WLK93" s="563"/>
      <c r="WLL93" s="563"/>
      <c r="WLM93" s="563"/>
      <c r="WLN93" s="563"/>
      <c r="WLO93" s="563"/>
      <c r="WLP93" s="563"/>
      <c r="WLQ93" s="563"/>
      <c r="WLR93" s="563"/>
      <c r="WLS93" s="563"/>
      <c r="WLT93" s="563"/>
      <c r="WLU93" s="563"/>
      <c r="WLV93" s="563"/>
      <c r="WLW93" s="563"/>
      <c r="WLX93" s="563"/>
      <c r="WLY93" s="563"/>
      <c r="WLZ93" s="563"/>
      <c r="WMA93" s="563"/>
      <c r="WMB93" s="563"/>
      <c r="WMC93" s="563"/>
      <c r="WMD93" s="563"/>
      <c r="WME93" s="563"/>
      <c r="WMF93" s="563"/>
      <c r="WMG93" s="563"/>
      <c r="WMH93" s="563"/>
      <c r="WMI93" s="563"/>
      <c r="WMJ93" s="563"/>
      <c r="WMK93" s="563"/>
      <c r="WML93" s="563"/>
      <c r="WMM93" s="563"/>
      <c r="WMN93" s="563"/>
      <c r="WMO93" s="563"/>
      <c r="WMP93" s="563"/>
      <c r="WMQ93" s="563"/>
      <c r="WMR93" s="563"/>
      <c r="WMS93" s="563"/>
      <c r="WMT93" s="563"/>
      <c r="WMU93" s="563"/>
      <c r="WMV93" s="563"/>
      <c r="WMW93" s="563"/>
      <c r="WMX93" s="563"/>
      <c r="WMY93" s="563"/>
      <c r="WMZ93" s="563"/>
      <c r="WNA93" s="563"/>
      <c r="WNB93" s="563"/>
      <c r="WNC93" s="563"/>
      <c r="WND93" s="563"/>
      <c r="WNE93" s="563"/>
      <c r="WNF93" s="563"/>
      <c r="WNG93" s="563"/>
      <c r="WNH93" s="563"/>
      <c r="WNI93" s="563"/>
      <c r="WNJ93" s="563"/>
      <c r="WNK93" s="563"/>
      <c r="WNL93" s="563"/>
      <c r="WNM93" s="563"/>
      <c r="WNN93" s="563"/>
      <c r="WNO93" s="563"/>
      <c r="WNP93" s="563"/>
      <c r="WNQ93" s="563"/>
      <c r="WNR93" s="563"/>
      <c r="WNS93" s="563"/>
      <c r="WNT93" s="563"/>
      <c r="WNU93" s="563"/>
      <c r="WNV93" s="563"/>
      <c r="WNW93" s="563"/>
      <c r="WNX93" s="563"/>
      <c r="WNY93" s="563"/>
      <c r="WNZ93" s="563"/>
      <c r="WOA93" s="563"/>
      <c r="WOB93" s="563"/>
      <c r="WOC93" s="563"/>
      <c r="WOD93" s="563"/>
      <c r="WOE93" s="563"/>
      <c r="WOF93" s="563"/>
      <c r="WOG93" s="563"/>
      <c r="WOH93" s="563"/>
      <c r="WOI93" s="563"/>
      <c r="WOJ93" s="563"/>
      <c r="WOK93" s="563"/>
      <c r="WOL93" s="563"/>
      <c r="WOM93" s="563"/>
      <c r="WON93" s="563"/>
      <c r="WOO93" s="563"/>
      <c r="WOP93" s="563"/>
      <c r="WOQ93" s="563"/>
      <c r="WOR93" s="563"/>
      <c r="WOS93" s="563"/>
      <c r="WOT93" s="563"/>
      <c r="WOU93" s="563"/>
      <c r="WOV93" s="563"/>
      <c r="WOW93" s="563"/>
      <c r="WOX93" s="563"/>
      <c r="WOY93" s="563"/>
      <c r="WOZ93" s="563"/>
      <c r="WPA93" s="563"/>
      <c r="WPB93" s="563"/>
      <c r="WPC93" s="563"/>
      <c r="WPD93" s="563"/>
      <c r="WPE93" s="563"/>
      <c r="WPF93" s="563"/>
      <c r="WPG93" s="563"/>
      <c r="WPH93" s="563"/>
      <c r="WPI93" s="563"/>
      <c r="WPJ93" s="563"/>
      <c r="WPK93" s="563"/>
      <c r="WPL93" s="563"/>
      <c r="WPM93" s="563"/>
      <c r="WPN93" s="563"/>
      <c r="WPO93" s="563"/>
      <c r="WPP93" s="563"/>
      <c r="WPQ93" s="563"/>
      <c r="WPR93" s="563"/>
      <c r="WPS93" s="563"/>
      <c r="WPT93" s="563"/>
      <c r="WPU93" s="563"/>
      <c r="WPV93" s="563"/>
      <c r="WPW93" s="563"/>
      <c r="WPX93" s="563"/>
      <c r="WPY93" s="563"/>
      <c r="WPZ93" s="563"/>
      <c r="WQA93" s="563"/>
      <c r="WQB93" s="563"/>
      <c r="WQC93" s="563"/>
      <c r="WQD93" s="563"/>
      <c r="WQE93" s="563"/>
      <c r="WQF93" s="563"/>
      <c r="WQG93" s="563"/>
      <c r="WQH93" s="563"/>
      <c r="WQI93" s="563"/>
      <c r="WQJ93" s="563"/>
      <c r="WQK93" s="563"/>
      <c r="WQL93" s="563"/>
      <c r="WQM93" s="563"/>
      <c r="WQN93" s="563"/>
      <c r="WQO93" s="563"/>
      <c r="WQP93" s="563"/>
      <c r="WQQ93" s="563"/>
      <c r="WQR93" s="563"/>
      <c r="WQS93" s="563"/>
      <c r="WQT93" s="563"/>
      <c r="WQU93" s="563"/>
      <c r="WQV93" s="563"/>
      <c r="WQW93" s="563"/>
      <c r="WQX93" s="563"/>
      <c r="WQY93" s="563"/>
      <c r="WQZ93" s="563"/>
      <c r="WRA93" s="563"/>
      <c r="WRB93" s="563"/>
      <c r="WRC93" s="563"/>
      <c r="WRD93" s="563"/>
      <c r="WRE93" s="563"/>
      <c r="WRF93" s="563"/>
      <c r="WRG93" s="563"/>
      <c r="WRH93" s="563"/>
      <c r="WRI93" s="563"/>
      <c r="WRJ93" s="563"/>
      <c r="WRK93" s="563"/>
      <c r="WRL93" s="563"/>
      <c r="WRM93" s="563"/>
      <c r="WRN93" s="563"/>
      <c r="WRO93" s="563"/>
      <c r="WRP93" s="563"/>
      <c r="WRQ93" s="563"/>
      <c r="WRR93" s="563"/>
      <c r="WRS93" s="563"/>
      <c r="WRT93" s="563"/>
      <c r="WRU93" s="563"/>
      <c r="WRV93" s="563"/>
      <c r="WRW93" s="563"/>
      <c r="WRX93" s="563"/>
      <c r="WRY93" s="563"/>
      <c r="WRZ93" s="563"/>
      <c r="WSA93" s="563"/>
      <c r="WSB93" s="563"/>
      <c r="WSC93" s="563"/>
      <c r="WSD93" s="563"/>
      <c r="WSE93" s="563"/>
      <c r="WSF93" s="563"/>
      <c r="WSG93" s="563"/>
      <c r="WSH93" s="563"/>
      <c r="WSI93" s="563"/>
      <c r="WSJ93" s="563"/>
      <c r="WSK93" s="563"/>
      <c r="WSL93" s="563"/>
      <c r="WSM93" s="563"/>
      <c r="WSN93" s="563"/>
      <c r="WSO93" s="563"/>
      <c r="WSP93" s="563"/>
      <c r="WSQ93" s="563"/>
      <c r="WSR93" s="563"/>
      <c r="WSS93" s="563"/>
      <c r="WST93" s="563"/>
      <c r="WSU93" s="563"/>
      <c r="WSV93" s="563"/>
      <c r="WSW93" s="563"/>
      <c r="WSX93" s="563"/>
      <c r="WSY93" s="563"/>
      <c r="WSZ93" s="563"/>
      <c r="WTA93" s="563"/>
      <c r="WTB93" s="563"/>
      <c r="WTC93" s="563"/>
      <c r="WTD93" s="563"/>
      <c r="WTE93" s="563"/>
      <c r="WTF93" s="563"/>
      <c r="WTG93" s="563"/>
      <c r="WTH93" s="563"/>
      <c r="WTI93" s="563"/>
      <c r="WTJ93" s="563"/>
      <c r="WTK93" s="563"/>
      <c r="WTL93" s="563"/>
      <c r="WTM93" s="563"/>
      <c r="WTN93" s="563"/>
      <c r="WTO93" s="563"/>
      <c r="WTP93" s="563"/>
      <c r="WTQ93" s="563"/>
      <c r="WTR93" s="563"/>
      <c r="WTS93" s="563"/>
      <c r="WTT93" s="563"/>
      <c r="WTU93" s="563"/>
      <c r="WTV93" s="563"/>
      <c r="WTW93" s="563"/>
      <c r="WTX93" s="563"/>
      <c r="WTY93" s="563"/>
      <c r="WTZ93" s="563"/>
      <c r="WUA93" s="563"/>
      <c r="WUB93" s="563"/>
      <c r="WUC93" s="563"/>
      <c r="WUD93" s="563"/>
      <c r="WUE93" s="563"/>
      <c r="WUF93" s="563"/>
      <c r="WUG93" s="563"/>
      <c r="WUH93" s="563"/>
      <c r="WUI93" s="563"/>
      <c r="WUJ93" s="563"/>
      <c r="WUK93" s="563"/>
      <c r="WUL93" s="563"/>
      <c r="WUM93" s="563"/>
      <c r="WUN93" s="563"/>
      <c r="WUO93" s="563"/>
      <c r="WUP93" s="563"/>
      <c r="WUQ93" s="563"/>
      <c r="WUR93" s="563"/>
      <c r="WUS93" s="563"/>
      <c r="WUT93" s="563"/>
      <c r="WUU93" s="563"/>
      <c r="WUV93" s="563"/>
      <c r="WUW93" s="563"/>
      <c r="WUX93" s="563"/>
      <c r="WUY93" s="563"/>
      <c r="WUZ93" s="563"/>
      <c r="WVA93" s="563"/>
      <c r="WVB93" s="563"/>
      <c r="WVC93" s="563"/>
      <c r="WVD93" s="563"/>
      <c r="WVE93" s="563"/>
      <c r="WVF93" s="563"/>
      <c r="WVG93" s="563"/>
      <c r="WVH93" s="563"/>
      <c r="WVI93" s="563"/>
      <c r="WVJ93" s="563"/>
      <c r="WVK93" s="563"/>
      <c r="WVL93" s="563"/>
      <c r="WVM93" s="563"/>
      <c r="WVN93" s="563"/>
      <c r="WVO93" s="563"/>
      <c r="WVP93" s="563"/>
      <c r="WVQ93" s="563"/>
      <c r="WVR93" s="563"/>
      <c r="WVS93" s="563"/>
      <c r="WVT93" s="563"/>
      <c r="WVU93" s="563"/>
      <c r="WVV93" s="563"/>
      <c r="WVW93" s="563"/>
      <c r="WVX93" s="563"/>
      <c r="WVY93" s="563"/>
      <c r="WVZ93" s="563"/>
      <c r="WWA93" s="563"/>
      <c r="WWB93" s="563"/>
      <c r="WWC93" s="563"/>
      <c r="WWD93" s="563"/>
      <c r="WWE93" s="563"/>
      <c r="WWF93" s="563"/>
      <c r="WWG93" s="563"/>
      <c r="WWH93" s="563"/>
      <c r="WWI93" s="563"/>
      <c r="WWJ93" s="563"/>
      <c r="WWK93" s="563"/>
      <c r="WWL93" s="563"/>
      <c r="WWM93" s="563"/>
      <c r="WWN93" s="563"/>
      <c r="WWO93" s="563"/>
      <c r="WWP93" s="563"/>
      <c r="WWQ93" s="563"/>
      <c r="WWR93" s="563"/>
      <c r="WWS93" s="563"/>
      <c r="WWT93" s="563"/>
      <c r="WWU93" s="563"/>
      <c r="WWV93" s="563"/>
      <c r="WWW93" s="563"/>
      <c r="WWX93" s="563"/>
      <c r="WWY93" s="563"/>
      <c r="WWZ93" s="563"/>
      <c r="WXA93" s="563"/>
      <c r="WXB93" s="563"/>
      <c r="WXC93" s="563"/>
      <c r="WXD93" s="563"/>
      <c r="WXE93" s="563"/>
      <c r="WXF93" s="563"/>
      <c r="WXG93" s="563"/>
      <c r="WXH93" s="563"/>
      <c r="WXI93" s="563"/>
      <c r="WXJ93" s="563"/>
      <c r="WXK93" s="563"/>
      <c r="WXL93" s="563"/>
      <c r="WXM93" s="563"/>
      <c r="WXN93" s="563"/>
      <c r="WXO93" s="563"/>
      <c r="WXP93" s="563"/>
      <c r="WXQ93" s="563"/>
      <c r="WXR93" s="563"/>
      <c r="WXS93" s="563"/>
      <c r="WXT93" s="563"/>
      <c r="WXU93" s="563"/>
      <c r="WXV93" s="563"/>
      <c r="WXW93" s="563"/>
      <c r="WXX93" s="563"/>
      <c r="WXY93" s="563"/>
      <c r="WXZ93" s="563"/>
      <c r="WYA93" s="563"/>
      <c r="WYB93" s="563"/>
      <c r="WYC93" s="563"/>
      <c r="WYD93" s="563"/>
      <c r="WYE93" s="563"/>
      <c r="WYF93" s="563"/>
      <c r="WYG93" s="563"/>
      <c r="WYH93" s="563"/>
      <c r="WYI93" s="563"/>
      <c r="WYJ93" s="563"/>
      <c r="WYK93" s="563"/>
      <c r="WYL93" s="563"/>
      <c r="WYM93" s="563"/>
      <c r="WYN93" s="563"/>
      <c r="WYO93" s="563"/>
      <c r="WYP93" s="563"/>
      <c r="WYQ93" s="563"/>
      <c r="WYR93" s="563"/>
      <c r="WYS93" s="563"/>
      <c r="WYT93" s="563"/>
      <c r="WYU93" s="563"/>
      <c r="WYV93" s="563"/>
      <c r="WYW93" s="563"/>
      <c r="WYX93" s="563"/>
      <c r="WYY93" s="563"/>
      <c r="WYZ93" s="563"/>
      <c r="WZA93" s="563"/>
      <c r="WZB93" s="563"/>
      <c r="WZC93" s="563"/>
      <c r="WZD93" s="563"/>
      <c r="WZE93" s="563"/>
      <c r="WZF93" s="563"/>
      <c r="WZG93" s="563"/>
      <c r="WZH93" s="563"/>
      <c r="WZI93" s="563"/>
      <c r="WZJ93" s="563"/>
      <c r="WZK93" s="563"/>
      <c r="WZL93" s="563"/>
      <c r="WZM93" s="563"/>
      <c r="WZN93" s="563"/>
      <c r="WZO93" s="563"/>
      <c r="WZP93" s="563"/>
      <c r="WZQ93" s="563"/>
      <c r="WZR93" s="563"/>
      <c r="WZS93" s="563"/>
      <c r="WZT93" s="563"/>
      <c r="WZU93" s="563"/>
      <c r="WZV93" s="563"/>
      <c r="WZW93" s="563"/>
      <c r="WZX93" s="563"/>
      <c r="WZY93" s="563"/>
      <c r="WZZ93" s="563"/>
      <c r="XAA93" s="563"/>
      <c r="XAB93" s="563"/>
      <c r="XAC93" s="563"/>
      <c r="XAD93" s="563"/>
      <c r="XAE93" s="563"/>
      <c r="XAF93" s="563"/>
      <c r="XAG93" s="563"/>
      <c r="XAH93" s="563"/>
      <c r="XAI93" s="563"/>
      <c r="XAJ93" s="563"/>
      <c r="XAK93" s="563"/>
      <c r="XAL93" s="563"/>
      <c r="XAM93" s="563"/>
      <c r="XAN93" s="563"/>
      <c r="XAO93" s="563"/>
      <c r="XAP93" s="563"/>
      <c r="XAQ93" s="563"/>
      <c r="XAR93" s="563"/>
      <c r="XAS93" s="563"/>
      <c r="XAT93" s="563"/>
      <c r="XAU93" s="563"/>
      <c r="XAV93" s="563"/>
      <c r="XAW93" s="563"/>
      <c r="XAX93" s="563"/>
      <c r="XAY93" s="563"/>
      <c r="XAZ93" s="563"/>
      <c r="XBA93" s="563"/>
      <c r="XBB93" s="563"/>
      <c r="XBC93" s="563"/>
      <c r="XBD93" s="563"/>
      <c r="XBE93" s="563"/>
      <c r="XBF93" s="563"/>
      <c r="XBG93" s="563"/>
      <c r="XBH93" s="563"/>
      <c r="XBI93" s="563"/>
      <c r="XBJ93" s="563"/>
      <c r="XBK93" s="563"/>
      <c r="XBL93" s="563"/>
      <c r="XBM93" s="563"/>
      <c r="XBN93" s="563"/>
      <c r="XBO93" s="563"/>
      <c r="XBP93" s="563"/>
      <c r="XBQ93" s="563"/>
      <c r="XBR93" s="563"/>
      <c r="XBS93" s="563"/>
      <c r="XBT93" s="563"/>
      <c r="XBU93" s="563"/>
      <c r="XBV93" s="563"/>
      <c r="XBW93" s="563"/>
      <c r="XBX93" s="563"/>
      <c r="XBY93" s="563"/>
      <c r="XBZ93" s="563"/>
      <c r="XCA93" s="563"/>
      <c r="XCB93" s="563"/>
      <c r="XCC93" s="563"/>
      <c r="XCD93" s="563"/>
      <c r="XCE93" s="563"/>
      <c r="XCF93" s="563"/>
      <c r="XCG93" s="563"/>
      <c r="XCH93" s="563"/>
      <c r="XCI93" s="563"/>
      <c r="XCJ93" s="563"/>
      <c r="XCK93" s="563"/>
      <c r="XCL93" s="563"/>
      <c r="XCM93" s="563"/>
      <c r="XCN93" s="563"/>
      <c r="XCO93" s="563"/>
      <c r="XCP93" s="563"/>
      <c r="XCQ93" s="563"/>
      <c r="XCR93" s="563"/>
      <c r="XCS93" s="563"/>
      <c r="XCT93" s="563"/>
      <c r="XCU93" s="563"/>
      <c r="XCV93" s="563"/>
      <c r="XCW93" s="563"/>
      <c r="XCX93" s="563"/>
      <c r="XCY93" s="563"/>
      <c r="XCZ93" s="563"/>
      <c r="XDA93" s="563"/>
      <c r="XDB93" s="563"/>
      <c r="XDC93" s="563"/>
      <c r="XDD93" s="563"/>
      <c r="XDE93" s="563"/>
      <c r="XDF93" s="563"/>
      <c r="XDG93" s="563"/>
      <c r="XDH93" s="563"/>
      <c r="XDI93" s="563"/>
      <c r="XDJ93" s="563"/>
      <c r="XDK93" s="563"/>
      <c r="XDL93" s="563"/>
      <c r="XDM93" s="563"/>
      <c r="XDN93" s="563"/>
      <c r="XDO93" s="563"/>
      <c r="XDP93" s="563"/>
      <c r="XDQ93" s="563"/>
      <c r="XDR93" s="563"/>
      <c r="XDS93" s="563"/>
      <c r="XDT93" s="563"/>
      <c r="XDU93" s="563"/>
      <c r="XDV93" s="563"/>
      <c r="XDW93" s="563"/>
      <c r="XDX93" s="563"/>
      <c r="XDY93" s="563"/>
      <c r="XDZ93" s="563"/>
      <c r="XEA93" s="563"/>
      <c r="XEB93" s="563"/>
      <c r="XEC93" s="563"/>
      <c r="XED93" s="563"/>
      <c r="XEE93" s="563"/>
      <c r="XEF93" s="563"/>
      <c r="XEG93" s="563"/>
      <c r="XEH93" s="563"/>
      <c r="XEI93" s="563"/>
      <c r="XEJ93" s="563"/>
      <c r="XEK93" s="563"/>
      <c r="XEL93" s="563"/>
      <c r="XEM93" s="563"/>
      <c r="XEN93" s="563"/>
      <c r="XEO93" s="563"/>
      <c r="XEP93" s="563"/>
      <c r="XEQ93" s="563"/>
      <c r="XER93" s="563"/>
      <c r="XES93" s="563"/>
      <c r="XET93" s="563"/>
      <c r="XEU93" s="563"/>
      <c r="XEV93" s="563"/>
      <c r="XEW93" s="563"/>
      <c r="XEX93" s="563"/>
    </row>
    <row r="94" spans="1:16378" s="153" customFormat="1" x14ac:dyDescent="0.2">
      <c r="A94" s="49"/>
      <c r="B94" s="174"/>
      <c r="C94" s="114"/>
      <c r="D94" s="237"/>
      <c r="E94" s="51"/>
      <c r="G94" s="51"/>
      <c r="H94" s="115"/>
      <c r="I94" s="51"/>
      <c r="J94" s="51"/>
      <c r="K94" s="51"/>
      <c r="L94" s="66"/>
      <c r="M94" s="66"/>
      <c r="N94" s="66"/>
      <c r="O94" s="72"/>
      <c r="P94" s="10"/>
      <c r="Q94" s="242"/>
      <c r="R94" s="243">
        <f>1</f>
        <v>1</v>
      </c>
      <c r="S94" s="242">
        <f t="shared" si="9"/>
        <v>0</v>
      </c>
      <c r="T94" s="150"/>
      <c r="V94" s="156"/>
      <c r="W94" s="155"/>
      <c r="Z94" s="157"/>
    </row>
    <row r="95" spans="1:16378" s="153" customFormat="1" ht="409" customHeight="1" x14ac:dyDescent="0.2">
      <c r="A95" s="49">
        <f>A97+1</f>
        <v>25</v>
      </c>
      <c r="B95" s="319" t="s">
        <v>191</v>
      </c>
      <c r="C95" s="389" t="s">
        <v>558</v>
      </c>
      <c r="D95" s="390" t="s">
        <v>559</v>
      </c>
      <c r="E95" s="315">
        <f>LEN(D95)</f>
        <v>1573</v>
      </c>
      <c r="F95" s="391" t="s">
        <v>1451</v>
      </c>
      <c r="G95" s="315">
        <f>LEN(F95)</f>
        <v>1930</v>
      </c>
      <c r="H95" s="316" t="s">
        <v>436</v>
      </c>
      <c r="I95" s="315" t="s">
        <v>220</v>
      </c>
      <c r="J95" s="315" t="s">
        <v>220</v>
      </c>
      <c r="K95" s="315" t="s">
        <v>560</v>
      </c>
      <c r="L95" s="387" t="s">
        <v>561</v>
      </c>
      <c r="M95" s="387" t="s">
        <v>562</v>
      </c>
      <c r="N95" s="104"/>
      <c r="O95" s="72" t="s">
        <v>408</v>
      </c>
      <c r="P95" s="10"/>
      <c r="Q95" s="351">
        <v>46.247528076171875</v>
      </c>
      <c r="R95" s="241">
        <f>1</f>
        <v>1</v>
      </c>
      <c r="S95" s="351">
        <f t="shared" si="9"/>
        <v>46.247528076171875</v>
      </c>
      <c r="T95" s="150"/>
      <c r="V95" s="156" t="s">
        <v>230</v>
      </c>
      <c r="W95" s="155"/>
      <c r="Z95" s="157" t="s">
        <v>563</v>
      </c>
    </row>
    <row r="96" spans="1:16378" s="153" customFormat="1" ht="119" x14ac:dyDescent="0.2">
      <c r="A96" s="26">
        <v>28</v>
      </c>
      <c r="B96" s="205" t="s">
        <v>32</v>
      </c>
      <c r="C96" s="209" t="s">
        <v>32</v>
      </c>
      <c r="D96" s="38" t="s">
        <v>564</v>
      </c>
      <c r="E96" s="24">
        <f>LEN(D96)</f>
        <v>307</v>
      </c>
      <c r="F96" s="38" t="s">
        <v>565</v>
      </c>
      <c r="G96" s="24">
        <f>LEN(F96)</f>
        <v>357</v>
      </c>
      <c r="H96" s="36" t="s">
        <v>222</v>
      </c>
      <c r="I96" s="20" t="s">
        <v>220</v>
      </c>
      <c r="J96" s="20" t="s">
        <v>220</v>
      </c>
      <c r="K96" s="20" t="s">
        <v>223</v>
      </c>
      <c r="L96" s="29" t="s">
        <v>566</v>
      </c>
      <c r="M96" s="29" t="s">
        <v>567</v>
      </c>
      <c r="N96" s="22"/>
      <c r="O96" s="72"/>
      <c r="P96" s="10"/>
      <c r="Q96" s="242">
        <v>26.118782043457031</v>
      </c>
      <c r="R96" s="243">
        <f>1</f>
        <v>1</v>
      </c>
      <c r="S96" s="242">
        <f t="shared" si="9"/>
        <v>26.118782043457031</v>
      </c>
      <c r="T96" s="150"/>
      <c r="V96" s="156" t="s">
        <v>219</v>
      </c>
      <c r="W96" s="155"/>
      <c r="Z96" s="154" t="s">
        <v>568</v>
      </c>
    </row>
    <row r="97" spans="1:26" s="153" customFormat="1" ht="340" x14ac:dyDescent="0.2">
      <c r="A97" s="49">
        <f>A91+1</f>
        <v>24</v>
      </c>
      <c r="B97" s="319" t="s">
        <v>168</v>
      </c>
      <c r="C97" s="320" t="s">
        <v>569</v>
      </c>
      <c r="D97" s="328" t="s">
        <v>570</v>
      </c>
      <c r="E97" s="315">
        <f>LEN(D97)</f>
        <v>654</v>
      </c>
      <c r="F97" s="334" t="s">
        <v>1452</v>
      </c>
      <c r="G97" s="315">
        <f>LEN(F97)</f>
        <v>809</v>
      </c>
      <c r="H97" s="316" t="s">
        <v>571</v>
      </c>
      <c r="I97" s="315" t="s">
        <v>220</v>
      </c>
      <c r="J97" s="315" t="s">
        <v>220</v>
      </c>
      <c r="K97" s="315" t="s">
        <v>572</v>
      </c>
      <c r="L97" s="387" t="s">
        <v>573</v>
      </c>
      <c r="M97" s="387" t="s">
        <v>574</v>
      </c>
      <c r="N97" s="105"/>
      <c r="O97" s="152" t="s">
        <v>408</v>
      </c>
      <c r="P97" s="56"/>
      <c r="Q97" s="351">
        <v>56.471023559570312</v>
      </c>
      <c r="R97" s="241">
        <f>1</f>
        <v>1</v>
      </c>
      <c r="S97" s="351">
        <f t="shared" si="9"/>
        <v>56.471023559570312</v>
      </c>
      <c r="T97" s="150"/>
      <c r="V97" s="156" t="s">
        <v>230</v>
      </c>
      <c r="W97" s="155"/>
      <c r="Z97" s="157" t="s">
        <v>575</v>
      </c>
    </row>
    <row r="98" spans="1:26" s="153" customFormat="1" ht="17" thickBot="1" x14ac:dyDescent="0.25">
      <c r="A98" s="49"/>
      <c r="B98" s="174"/>
      <c r="C98" s="114"/>
      <c r="D98" s="94"/>
      <c r="E98" s="51"/>
      <c r="F98" s="94"/>
      <c r="G98" s="51"/>
      <c r="H98" s="115"/>
      <c r="I98" s="51"/>
      <c r="J98" s="51"/>
      <c r="K98" s="51"/>
      <c r="L98" s="66"/>
      <c r="M98" s="66"/>
      <c r="N98" s="105"/>
      <c r="O98" s="152"/>
      <c r="P98" s="56"/>
      <c r="Q98" s="242"/>
      <c r="R98" s="243">
        <f>1</f>
        <v>1</v>
      </c>
      <c r="S98" s="242">
        <f t="shared" si="9"/>
        <v>0</v>
      </c>
      <c r="T98" s="150"/>
      <c r="V98" s="156"/>
      <c r="W98" s="155"/>
      <c r="Z98" s="157"/>
    </row>
    <row r="99" spans="1:26" s="153" customFormat="1" ht="17" thickBot="1" x14ac:dyDescent="0.25">
      <c r="A99" s="591" t="s">
        <v>576</v>
      </c>
      <c r="B99" s="592"/>
      <c r="C99" s="592"/>
      <c r="D99" s="592"/>
      <c r="E99" s="592"/>
      <c r="F99" s="592"/>
      <c r="G99" s="592"/>
      <c r="H99" s="592"/>
      <c r="I99" s="592"/>
      <c r="J99" s="592"/>
      <c r="K99" s="592"/>
      <c r="L99" s="592"/>
      <c r="M99" s="592"/>
      <c r="N99" s="592"/>
      <c r="O99" s="592"/>
      <c r="P99" s="593"/>
      <c r="Q99" s="242"/>
      <c r="R99" s="243"/>
      <c r="S99" s="242"/>
      <c r="T99" s="150"/>
      <c r="V99" s="156"/>
      <c r="W99" s="155"/>
      <c r="Z99" s="154"/>
    </row>
    <row r="100" spans="1:26" s="153" customFormat="1" ht="170" x14ac:dyDescent="0.2">
      <c r="A100" s="113">
        <f>A96+1</f>
        <v>29</v>
      </c>
      <c r="B100" s="327" t="s">
        <v>577</v>
      </c>
      <c r="C100" s="320" t="s">
        <v>577</v>
      </c>
      <c r="D100" s="392" t="s">
        <v>1424</v>
      </c>
      <c r="E100" s="324">
        <f>LEN(D100)</f>
        <v>219</v>
      </c>
      <c r="F100" s="392" t="s">
        <v>1425</v>
      </c>
      <c r="G100" s="324">
        <f>LEN(F100)</f>
        <v>299</v>
      </c>
      <c r="H100" s="370" t="s">
        <v>239</v>
      </c>
      <c r="I100" s="324" t="s">
        <v>220</v>
      </c>
      <c r="J100" s="324" t="s">
        <v>578</v>
      </c>
      <c r="K100" s="315" t="s">
        <v>240</v>
      </c>
      <c r="L100" s="347" t="s">
        <v>579</v>
      </c>
      <c r="M100" s="384" t="s">
        <v>580</v>
      </c>
      <c r="N100" s="168"/>
      <c r="O100" s="72" t="s">
        <v>581</v>
      </c>
      <c r="P100" s="180"/>
      <c r="Q100" s="351">
        <v>7.5</v>
      </c>
      <c r="R100" s="243">
        <f>'Additional information'!$D$17</f>
        <v>0.91</v>
      </c>
      <c r="S100" s="351">
        <f t="shared" ref="S100:S125" si="10">Q100*R100</f>
        <v>6.8250000000000002</v>
      </c>
      <c r="T100" s="150"/>
      <c r="V100" s="156" t="s">
        <v>230</v>
      </c>
      <c r="W100" s="155"/>
      <c r="Z100" s="157" t="s">
        <v>582</v>
      </c>
    </row>
    <row r="101" spans="1:26" s="153" customFormat="1" x14ac:dyDescent="0.2">
      <c r="A101" s="113"/>
      <c r="B101" s="121"/>
      <c r="C101" s="114"/>
      <c r="D101" s="122"/>
      <c r="E101" s="120"/>
      <c r="F101" s="122"/>
      <c r="G101" s="120"/>
      <c r="H101" s="123"/>
      <c r="I101" s="120"/>
      <c r="J101" s="120"/>
      <c r="K101" s="51"/>
      <c r="L101" s="105"/>
      <c r="M101" s="168"/>
      <c r="N101" s="168"/>
      <c r="O101" s="72"/>
      <c r="P101" s="180"/>
      <c r="Q101" s="242"/>
      <c r="R101" s="243">
        <f>'Additional information'!$D$17</f>
        <v>0.91</v>
      </c>
      <c r="S101" s="242">
        <f t="shared" si="10"/>
        <v>0</v>
      </c>
      <c r="T101" s="150"/>
      <c r="V101" s="156"/>
      <c r="W101" s="155"/>
      <c r="Z101" s="157"/>
    </row>
    <row r="102" spans="1:26" s="207" customFormat="1" ht="102" x14ac:dyDescent="0.2">
      <c r="A102" s="291"/>
      <c r="B102" s="393" t="s">
        <v>583</v>
      </c>
      <c r="C102" s="315" t="s">
        <v>583</v>
      </c>
      <c r="D102" s="386" t="s">
        <v>584</v>
      </c>
      <c r="E102" s="315">
        <f>LEN(D102)</f>
        <v>237</v>
      </c>
      <c r="F102" s="343" t="s">
        <v>585</v>
      </c>
      <c r="G102" s="315">
        <f>LEN(F102)</f>
        <v>251</v>
      </c>
      <c r="H102" s="383" t="s">
        <v>328</v>
      </c>
      <c r="I102" s="315" t="s">
        <v>220</v>
      </c>
      <c r="J102" s="315" t="s">
        <v>220</v>
      </c>
      <c r="K102" s="315" t="s">
        <v>223</v>
      </c>
      <c r="L102" s="387" t="s">
        <v>586</v>
      </c>
      <c r="M102" s="384" t="s">
        <v>587</v>
      </c>
      <c r="N102" s="179"/>
      <c r="O102" s="72" t="s">
        <v>581</v>
      </c>
      <c r="P102" s="178"/>
      <c r="Q102" s="351">
        <v>17</v>
      </c>
      <c r="R102" s="243">
        <f>'Additional information'!$D$17</f>
        <v>0.91</v>
      </c>
      <c r="S102" s="351">
        <f t="shared" si="10"/>
        <v>15.47</v>
      </c>
      <c r="T102" s="150"/>
      <c r="V102" s="156" t="s">
        <v>230</v>
      </c>
      <c r="W102" s="155"/>
      <c r="Z102" s="157" t="s">
        <v>231</v>
      </c>
    </row>
    <row r="103" spans="1:26" s="207" customFormat="1" ht="187" x14ac:dyDescent="0.2">
      <c r="A103" s="291"/>
      <c r="B103" s="393" t="s">
        <v>588</v>
      </c>
      <c r="C103" s="315" t="s">
        <v>588</v>
      </c>
      <c r="D103" s="386" t="s">
        <v>589</v>
      </c>
      <c r="E103" s="315">
        <f>LEN(D103)</f>
        <v>157</v>
      </c>
      <c r="F103" s="386" t="s">
        <v>590</v>
      </c>
      <c r="G103" s="315">
        <f>LEN(F103)</f>
        <v>159</v>
      </c>
      <c r="H103" s="383" t="s">
        <v>239</v>
      </c>
      <c r="I103" s="315" t="s">
        <v>220</v>
      </c>
      <c r="J103" s="315" t="s">
        <v>220</v>
      </c>
      <c r="K103" s="315" t="s">
        <v>240</v>
      </c>
      <c r="L103" s="387" t="s">
        <v>591</v>
      </c>
      <c r="M103" s="384" t="s">
        <v>592</v>
      </c>
      <c r="N103" s="168"/>
      <c r="O103" s="72" t="s">
        <v>581</v>
      </c>
      <c r="P103" s="176"/>
      <c r="Q103" s="351">
        <v>0</v>
      </c>
      <c r="R103" s="243">
        <f>'Additional information'!$D$17</f>
        <v>0.91</v>
      </c>
      <c r="S103" s="351">
        <f t="shared" si="10"/>
        <v>0</v>
      </c>
      <c r="T103" s="150"/>
      <c r="V103" s="156" t="s">
        <v>230</v>
      </c>
      <c r="W103" s="155"/>
      <c r="Z103" s="157" t="s">
        <v>231</v>
      </c>
    </row>
    <row r="104" spans="1:26" s="207" customFormat="1" x14ac:dyDescent="0.2">
      <c r="A104" s="141"/>
      <c r="B104" s="236"/>
      <c r="C104" s="120"/>
      <c r="D104" s="122"/>
      <c r="E104" s="120"/>
      <c r="F104" s="122"/>
      <c r="G104" s="120"/>
      <c r="H104" s="114"/>
      <c r="I104" s="120"/>
      <c r="J104" s="120"/>
      <c r="K104" s="120"/>
      <c r="L104" s="105"/>
      <c r="M104" s="208"/>
      <c r="N104" s="177"/>
      <c r="O104" s="72"/>
      <c r="P104" s="176"/>
      <c r="Q104" s="242"/>
      <c r="R104" s="243">
        <f>'Additional information'!$D$17</f>
        <v>0.91</v>
      </c>
      <c r="S104" s="242">
        <f t="shared" si="10"/>
        <v>0</v>
      </c>
      <c r="T104" s="150"/>
      <c r="V104" s="156"/>
      <c r="W104" s="155"/>
      <c r="Z104" s="157"/>
    </row>
    <row r="105" spans="1:26" s="153" customFormat="1" ht="119" x14ac:dyDescent="0.2">
      <c r="A105" s="113">
        <f>A100+1</f>
        <v>30</v>
      </c>
      <c r="B105" s="321" t="s">
        <v>33</v>
      </c>
      <c r="C105" s="320" t="s">
        <v>33</v>
      </c>
      <c r="D105" s="392" t="s">
        <v>593</v>
      </c>
      <c r="E105" s="324">
        <f>LEN(D105)</f>
        <v>217</v>
      </c>
      <c r="F105" s="343" t="s">
        <v>594</v>
      </c>
      <c r="G105" s="315">
        <f>LEN(F105)</f>
        <v>287</v>
      </c>
      <c r="H105" s="370" t="s">
        <v>239</v>
      </c>
      <c r="I105" s="324" t="s">
        <v>220</v>
      </c>
      <c r="J105" s="324" t="s">
        <v>220</v>
      </c>
      <c r="K105" s="320" t="s">
        <v>595</v>
      </c>
      <c r="L105" s="347" t="s">
        <v>596</v>
      </c>
      <c r="M105" s="394" t="s">
        <v>597</v>
      </c>
      <c r="N105" s="175"/>
      <c r="O105" s="72" t="s">
        <v>581</v>
      </c>
      <c r="P105" s="56"/>
      <c r="Q105" s="351">
        <v>27.057552337646484</v>
      </c>
      <c r="R105" s="243">
        <f>'Additional information'!$D$17</f>
        <v>0.91</v>
      </c>
      <c r="S105" s="351">
        <f t="shared" si="10"/>
        <v>24.622372627258301</v>
      </c>
      <c r="T105" s="150"/>
      <c r="V105" s="156" t="s">
        <v>230</v>
      </c>
      <c r="W105" s="155"/>
      <c r="Z105" s="154" t="s">
        <v>598</v>
      </c>
    </row>
    <row r="106" spans="1:26" s="153" customFormat="1" ht="102" x14ac:dyDescent="0.2">
      <c r="A106" s="113"/>
      <c r="B106" s="321" t="s">
        <v>599</v>
      </c>
      <c r="C106" s="320"/>
      <c r="D106" s="392" t="s">
        <v>600</v>
      </c>
      <c r="E106" s="324">
        <f>LEN(D106)</f>
        <v>173</v>
      </c>
      <c r="F106" s="392" t="s">
        <v>1453</v>
      </c>
      <c r="G106" s="315">
        <f>LEN(F106)</f>
        <v>238</v>
      </c>
      <c r="H106" s="370" t="s">
        <v>239</v>
      </c>
      <c r="I106" s="324" t="s">
        <v>220</v>
      </c>
      <c r="J106" s="324" t="s">
        <v>220</v>
      </c>
      <c r="K106" s="320" t="s">
        <v>240</v>
      </c>
      <c r="L106" s="347" t="s">
        <v>601</v>
      </c>
      <c r="M106" s="394" t="s">
        <v>602</v>
      </c>
      <c r="N106" s="175"/>
      <c r="O106" s="72" t="s">
        <v>603</v>
      </c>
      <c r="P106" s="56"/>
      <c r="Q106" s="351">
        <v>0</v>
      </c>
      <c r="R106" s="243">
        <f>'Additional information'!$D$17</f>
        <v>0.91</v>
      </c>
      <c r="S106" s="351">
        <f t="shared" si="10"/>
        <v>0</v>
      </c>
      <c r="T106" s="150"/>
      <c r="V106" s="156" t="s">
        <v>230</v>
      </c>
      <c r="W106" s="155"/>
      <c r="Z106" s="154"/>
    </row>
    <row r="107" spans="1:26" s="153" customFormat="1" x14ac:dyDescent="0.2">
      <c r="A107" s="113"/>
      <c r="B107" s="232"/>
      <c r="C107" s="114"/>
      <c r="D107" s="122"/>
      <c r="E107" s="120"/>
      <c r="F107" s="122"/>
      <c r="G107" s="120"/>
      <c r="H107" s="123"/>
      <c r="I107" s="120"/>
      <c r="J107" s="120"/>
      <c r="K107" s="114"/>
      <c r="L107" s="105"/>
      <c r="M107" s="274"/>
      <c r="N107" s="175"/>
      <c r="O107" s="72"/>
      <c r="P107" s="56"/>
      <c r="Q107" s="242"/>
      <c r="R107" s="243">
        <f>'Additional information'!$D$17</f>
        <v>0.91</v>
      </c>
      <c r="S107" s="242">
        <f t="shared" si="10"/>
        <v>0</v>
      </c>
      <c r="T107" s="150"/>
      <c r="V107" s="156"/>
      <c r="W107" s="155"/>
      <c r="Z107" s="154"/>
    </row>
    <row r="108" spans="1:26" s="153" customFormat="1" ht="238" x14ac:dyDescent="0.2">
      <c r="A108" s="49">
        <f>A105+1</f>
        <v>31</v>
      </c>
      <c r="B108" s="393" t="s">
        <v>37</v>
      </c>
      <c r="C108" s="315" t="s">
        <v>37</v>
      </c>
      <c r="D108" s="562" t="s">
        <v>604</v>
      </c>
      <c r="E108" s="315">
        <f>LEN(D108)</f>
        <v>365</v>
      </c>
      <c r="F108" s="275" t="s">
        <v>605</v>
      </c>
      <c r="G108" s="315">
        <f>LEN(F108)</f>
        <v>481</v>
      </c>
      <c r="H108" s="383" t="s">
        <v>285</v>
      </c>
      <c r="I108" s="315" t="s">
        <v>220</v>
      </c>
      <c r="J108" s="315" t="s">
        <v>220</v>
      </c>
      <c r="K108" s="315" t="s">
        <v>240</v>
      </c>
      <c r="L108" s="387" t="s">
        <v>606</v>
      </c>
      <c r="M108" s="395" t="s">
        <v>607</v>
      </c>
      <c r="N108" s="81"/>
      <c r="O108" s="72" t="s">
        <v>608</v>
      </c>
      <c r="P108" s="10"/>
      <c r="Q108" s="351">
        <v>15.95429515838623</v>
      </c>
      <c r="R108" s="243">
        <f>'Additional information'!$D$17</f>
        <v>0.91</v>
      </c>
      <c r="S108" s="351">
        <f t="shared" si="10"/>
        <v>14.51840859413147</v>
      </c>
      <c r="T108" s="150"/>
      <c r="V108" s="156" t="s">
        <v>230</v>
      </c>
      <c r="W108" s="155"/>
      <c r="Z108" s="157" t="s">
        <v>609</v>
      </c>
    </row>
    <row r="109" spans="1:26" s="153" customFormat="1" x14ac:dyDescent="0.2">
      <c r="A109" s="49"/>
      <c r="B109" s="174"/>
      <c r="C109" s="173"/>
      <c r="D109" s="172"/>
      <c r="E109" s="51"/>
      <c r="G109" s="51"/>
      <c r="H109" s="115"/>
      <c r="I109" s="51"/>
      <c r="J109" s="51"/>
      <c r="K109" s="51"/>
      <c r="L109" s="170"/>
      <c r="M109" s="235"/>
      <c r="N109" s="170"/>
      <c r="O109" s="72"/>
      <c r="P109" s="10"/>
      <c r="Q109" s="242"/>
      <c r="R109" s="243">
        <f>'Additional information'!$D$17</f>
        <v>0.91</v>
      </c>
      <c r="S109" s="242">
        <f t="shared" si="10"/>
        <v>0</v>
      </c>
      <c r="T109" s="150"/>
      <c r="V109" s="156"/>
      <c r="W109" s="155"/>
      <c r="Z109" s="157"/>
    </row>
    <row r="110" spans="1:26" s="153" customFormat="1" ht="221" x14ac:dyDescent="0.2">
      <c r="A110" s="14">
        <f>A108+1</f>
        <v>32</v>
      </c>
      <c r="B110" s="40" t="s">
        <v>38</v>
      </c>
      <c r="C110" s="20" t="s">
        <v>610</v>
      </c>
      <c r="D110" s="39" t="s">
        <v>611</v>
      </c>
      <c r="E110" s="20">
        <f>LEN(D110)</f>
        <v>304</v>
      </c>
      <c r="F110" s="200" t="s">
        <v>612</v>
      </c>
      <c r="G110" s="20">
        <f>LEN(F110)</f>
        <v>376</v>
      </c>
      <c r="H110" s="17" t="s">
        <v>571</v>
      </c>
      <c r="I110" s="16" t="s">
        <v>220</v>
      </c>
      <c r="J110" s="16" t="s">
        <v>220</v>
      </c>
      <c r="K110" s="16" t="s">
        <v>613</v>
      </c>
      <c r="L110" s="142" t="s">
        <v>614</v>
      </c>
      <c r="M110" s="140" t="s">
        <v>615</v>
      </c>
      <c r="N110" s="71"/>
      <c r="O110" s="72" t="s">
        <v>608</v>
      </c>
      <c r="P110" s="10"/>
      <c r="Q110" s="242">
        <v>17.928909301757812</v>
      </c>
      <c r="R110" s="243">
        <f>'Additional information'!$D$17</f>
        <v>0.91</v>
      </c>
      <c r="S110" s="242">
        <f t="shared" si="10"/>
        <v>16.315307464599609</v>
      </c>
      <c r="T110" s="150"/>
      <c r="V110" s="156" t="s">
        <v>219</v>
      </c>
      <c r="W110" s="155"/>
      <c r="Z110" s="154"/>
    </row>
    <row r="111" spans="1:26" s="153" customFormat="1" x14ac:dyDescent="0.2">
      <c r="A111" s="49"/>
      <c r="B111" s="174"/>
      <c r="C111" s="173"/>
      <c r="D111" s="172"/>
      <c r="E111" s="51"/>
      <c r="G111" s="51"/>
      <c r="H111" s="115"/>
      <c r="I111" s="51"/>
      <c r="J111" s="51"/>
      <c r="K111" s="51"/>
      <c r="L111" s="170"/>
      <c r="M111" s="171"/>
      <c r="N111" s="170"/>
      <c r="O111" s="72"/>
      <c r="P111" s="10"/>
      <c r="Q111" s="242"/>
      <c r="R111" s="243">
        <f>'Additional information'!$D$17</f>
        <v>0.91</v>
      </c>
      <c r="S111" s="242">
        <f t="shared" si="10"/>
        <v>0</v>
      </c>
      <c r="T111" s="150"/>
      <c r="V111" s="156"/>
      <c r="W111" s="155"/>
      <c r="Z111" s="157"/>
    </row>
    <row r="112" spans="1:26" s="153" customFormat="1" ht="204" x14ac:dyDescent="0.2">
      <c r="A112" s="49">
        <f>A110+1</f>
        <v>33</v>
      </c>
      <c r="B112" s="319" t="s">
        <v>39</v>
      </c>
      <c r="C112" s="396" t="s">
        <v>39</v>
      </c>
      <c r="D112" s="386" t="s">
        <v>1433</v>
      </c>
      <c r="E112" s="315">
        <f>LEN(D112)</f>
        <v>255</v>
      </c>
      <c r="F112" s="275" t="s">
        <v>1434</v>
      </c>
      <c r="G112" s="315">
        <f>LEN(F112)</f>
        <v>356</v>
      </c>
      <c r="H112" s="316" t="s">
        <v>239</v>
      </c>
      <c r="I112" s="315" t="s">
        <v>220</v>
      </c>
      <c r="J112" s="315" t="s">
        <v>220</v>
      </c>
      <c r="K112" s="315" t="s">
        <v>240</v>
      </c>
      <c r="L112" s="387" t="s">
        <v>616</v>
      </c>
      <c r="M112" s="387" t="s">
        <v>617</v>
      </c>
      <c r="N112" s="66"/>
      <c r="O112" s="72" t="s">
        <v>608</v>
      </c>
      <c r="P112" s="10"/>
      <c r="Q112" s="351">
        <v>25.436874389648438</v>
      </c>
      <c r="R112" s="243">
        <f>'Additional information'!$D$17</f>
        <v>0.91</v>
      </c>
      <c r="S112" s="351">
        <f t="shared" si="10"/>
        <v>23.147555694580078</v>
      </c>
      <c r="T112" s="150"/>
      <c r="V112" s="156" t="s">
        <v>230</v>
      </c>
      <c r="W112" s="155"/>
      <c r="Z112" s="157" t="s">
        <v>618</v>
      </c>
    </row>
    <row r="113" spans="1:27" s="153" customFormat="1" x14ac:dyDescent="0.2">
      <c r="A113" s="49"/>
      <c r="B113" s="174"/>
      <c r="C113" s="173"/>
      <c r="D113" s="172"/>
      <c r="E113" s="51"/>
      <c r="F113" s="172"/>
      <c r="G113" s="51"/>
      <c r="H113" s="115"/>
      <c r="I113" s="51"/>
      <c r="J113" s="51"/>
      <c r="K113" s="51"/>
      <c r="L113" s="170"/>
      <c r="M113" s="171"/>
      <c r="N113" s="170"/>
      <c r="O113" s="72"/>
      <c r="P113" s="10"/>
      <c r="Q113" s="242"/>
      <c r="R113" s="243">
        <f>'Additional information'!$D$17</f>
        <v>0.91</v>
      </c>
      <c r="S113" s="242">
        <f t="shared" si="10"/>
        <v>0</v>
      </c>
      <c r="T113" s="150"/>
      <c r="V113" s="156"/>
      <c r="W113" s="155"/>
      <c r="Z113" s="157"/>
    </row>
    <row r="114" spans="1:27" s="153" customFormat="1" ht="204" x14ac:dyDescent="0.2">
      <c r="A114" s="49">
        <f>A112+1</f>
        <v>34</v>
      </c>
      <c r="B114" s="393" t="s">
        <v>40</v>
      </c>
      <c r="C114" s="315" t="s">
        <v>40</v>
      </c>
      <c r="D114" s="386" t="s">
        <v>1441</v>
      </c>
      <c r="E114" s="315">
        <f>LEN(D114)</f>
        <v>275</v>
      </c>
      <c r="F114" s="275" t="s">
        <v>1435</v>
      </c>
      <c r="G114" s="315">
        <f>LEN(F114)</f>
        <v>364</v>
      </c>
      <c r="H114" s="316" t="s">
        <v>239</v>
      </c>
      <c r="I114" s="315" t="s">
        <v>220</v>
      </c>
      <c r="J114" s="315" t="s">
        <v>220</v>
      </c>
      <c r="K114" s="315" t="s">
        <v>240</v>
      </c>
      <c r="L114" s="317" t="s">
        <v>619</v>
      </c>
      <c r="M114" s="397" t="s">
        <v>620</v>
      </c>
      <c r="N114" s="169"/>
      <c r="O114" s="72" t="s">
        <v>608</v>
      </c>
      <c r="P114" s="143"/>
      <c r="Q114" s="351">
        <v>19.364946365356445</v>
      </c>
      <c r="R114" s="243">
        <f>'Additional information'!$D$17</f>
        <v>0.91</v>
      </c>
      <c r="S114" s="351">
        <f t="shared" si="10"/>
        <v>17.622101192474364</v>
      </c>
      <c r="T114" s="150"/>
      <c r="V114" s="156" t="s">
        <v>621</v>
      </c>
      <c r="W114" s="155"/>
      <c r="Z114" s="157" t="s">
        <v>622</v>
      </c>
    </row>
    <row r="115" spans="1:27" s="153" customFormat="1" ht="119" x14ac:dyDescent="0.2">
      <c r="A115" s="14">
        <f>A114+1</f>
        <v>35</v>
      </c>
      <c r="B115" s="58" t="s">
        <v>623</v>
      </c>
      <c r="C115" s="59" t="s">
        <v>623</v>
      </c>
      <c r="D115" s="19" t="s">
        <v>624</v>
      </c>
      <c r="E115" s="20">
        <f>LEN(D115)</f>
        <v>234</v>
      </c>
      <c r="F115" s="19" t="s">
        <v>625</v>
      </c>
      <c r="G115" s="20">
        <f>LEN(F115)</f>
        <v>309</v>
      </c>
      <c r="H115" s="60" t="s">
        <v>328</v>
      </c>
      <c r="I115" s="20" t="s">
        <v>220</v>
      </c>
      <c r="J115" s="20" t="s">
        <v>220</v>
      </c>
      <c r="K115" s="20" t="s">
        <v>223</v>
      </c>
      <c r="L115" s="22" t="s">
        <v>626</v>
      </c>
      <c r="M115" s="61" t="s">
        <v>627</v>
      </c>
      <c r="N115" s="79"/>
      <c r="O115" s="72" t="s">
        <v>608</v>
      </c>
      <c r="P115" s="595" t="s">
        <v>628</v>
      </c>
      <c r="Q115" s="242">
        <v>17</v>
      </c>
      <c r="R115" s="243">
        <f>'Additional information'!$D$17</f>
        <v>0.91</v>
      </c>
      <c r="S115" s="242">
        <f t="shared" si="10"/>
        <v>15.47</v>
      </c>
      <c r="T115" s="150"/>
      <c r="V115" s="156" t="s">
        <v>621</v>
      </c>
      <c r="W115" s="155"/>
      <c r="Z115" s="157" t="s">
        <v>320</v>
      </c>
    </row>
    <row r="116" spans="1:27" s="153" customFormat="1" ht="221" x14ac:dyDescent="0.2">
      <c r="A116" s="14">
        <f>A115+1</f>
        <v>36</v>
      </c>
      <c r="B116" s="58" t="s">
        <v>629</v>
      </c>
      <c r="C116" s="59" t="s">
        <v>629</v>
      </c>
      <c r="D116" s="65" t="s">
        <v>630</v>
      </c>
      <c r="E116" s="20">
        <f>LEN(D116)</f>
        <v>173</v>
      </c>
      <c r="F116" s="65" t="s">
        <v>631</v>
      </c>
      <c r="G116" s="20">
        <f>LEN(F116)</f>
        <v>191</v>
      </c>
      <c r="H116" s="60" t="s">
        <v>239</v>
      </c>
      <c r="I116" s="20" t="s">
        <v>220</v>
      </c>
      <c r="J116" s="20" t="s">
        <v>220</v>
      </c>
      <c r="K116" s="20" t="s">
        <v>240</v>
      </c>
      <c r="L116" s="22" t="s">
        <v>632</v>
      </c>
      <c r="M116" s="61" t="s">
        <v>633</v>
      </c>
      <c r="N116" s="79"/>
      <c r="O116" s="72" t="s">
        <v>608</v>
      </c>
      <c r="P116" s="596"/>
      <c r="Q116" s="242">
        <v>17</v>
      </c>
      <c r="R116" s="243">
        <f>'Additional information'!$D$17</f>
        <v>0.91</v>
      </c>
      <c r="S116" s="242">
        <f t="shared" si="10"/>
        <v>15.47</v>
      </c>
      <c r="T116" s="150"/>
      <c r="V116" s="156" t="s">
        <v>621</v>
      </c>
      <c r="W116" s="155"/>
      <c r="Z116" s="157" t="s">
        <v>320</v>
      </c>
    </row>
    <row r="117" spans="1:27" s="153" customFormat="1" ht="136" x14ac:dyDescent="0.2">
      <c r="A117" s="14">
        <f>A116+1</f>
        <v>37</v>
      </c>
      <c r="B117" s="58" t="s">
        <v>634</v>
      </c>
      <c r="C117" s="59" t="s">
        <v>634</v>
      </c>
      <c r="D117" s="65" t="s">
        <v>635</v>
      </c>
      <c r="E117" s="20">
        <f>LEN(D117)</f>
        <v>123</v>
      </c>
      <c r="F117" s="65" t="s">
        <v>636</v>
      </c>
      <c r="G117" s="20">
        <f>LEN(F117)</f>
        <v>167</v>
      </c>
      <c r="H117" s="60" t="s">
        <v>328</v>
      </c>
      <c r="I117" s="20" t="s">
        <v>220</v>
      </c>
      <c r="J117" s="20"/>
      <c r="K117" s="20" t="s">
        <v>223</v>
      </c>
      <c r="L117" s="22" t="s">
        <v>637</v>
      </c>
      <c r="M117" s="61" t="s">
        <v>638</v>
      </c>
      <c r="N117" s="79"/>
      <c r="O117" s="72" t="s">
        <v>639</v>
      </c>
      <c r="P117" s="597"/>
      <c r="Q117" s="242">
        <v>17</v>
      </c>
      <c r="R117" s="243">
        <f>'Additional information'!$D$17</f>
        <v>0.91</v>
      </c>
      <c r="S117" s="242">
        <f t="shared" si="10"/>
        <v>15.47</v>
      </c>
      <c r="T117" s="150"/>
      <c r="V117" s="156" t="s">
        <v>621</v>
      </c>
      <c r="W117" s="155"/>
      <c r="Z117" s="157" t="s">
        <v>320</v>
      </c>
    </row>
    <row r="118" spans="1:27" s="153" customFormat="1" ht="119" x14ac:dyDescent="0.2">
      <c r="A118" s="14">
        <f>A117+1</f>
        <v>38</v>
      </c>
      <c r="B118" s="58" t="s">
        <v>640</v>
      </c>
      <c r="C118" s="59" t="s">
        <v>640</v>
      </c>
      <c r="D118" s="62" t="s">
        <v>641</v>
      </c>
      <c r="E118" s="20">
        <f>LEN(D118)</f>
        <v>218</v>
      </c>
      <c r="F118" s="62" t="s">
        <v>642</v>
      </c>
      <c r="G118" s="20">
        <f>LEN(F118)</f>
        <v>279</v>
      </c>
      <c r="H118" s="60" t="s">
        <v>328</v>
      </c>
      <c r="I118" s="20" t="s">
        <v>220</v>
      </c>
      <c r="J118" s="20" t="s">
        <v>220</v>
      </c>
      <c r="K118" s="20" t="s">
        <v>223</v>
      </c>
      <c r="L118" s="22" t="s">
        <v>643</v>
      </c>
      <c r="M118" s="61" t="s">
        <v>644</v>
      </c>
      <c r="N118" s="79"/>
      <c r="O118" s="72" t="s">
        <v>645</v>
      </c>
      <c r="P118" s="576"/>
      <c r="Q118" s="242">
        <v>17</v>
      </c>
      <c r="R118" s="243">
        <f>'Additional information'!$D$17</f>
        <v>0.91</v>
      </c>
      <c r="S118" s="242">
        <f t="shared" si="10"/>
        <v>15.47</v>
      </c>
      <c r="T118" s="150"/>
      <c r="V118" s="156" t="s">
        <v>621</v>
      </c>
      <c r="W118" s="155"/>
      <c r="Z118" s="157" t="s">
        <v>320</v>
      </c>
    </row>
    <row r="119" spans="1:27" s="153" customFormat="1" x14ac:dyDescent="0.2">
      <c r="A119" s="49"/>
      <c r="B119" s="206"/>
      <c r="C119" s="114"/>
      <c r="D119" s="94"/>
      <c r="E119" s="51"/>
      <c r="G119" s="51"/>
      <c r="H119" s="115"/>
      <c r="I119" s="51"/>
      <c r="J119" s="51"/>
      <c r="K119" s="51"/>
      <c r="L119" s="99"/>
      <c r="M119" s="99"/>
      <c r="N119" s="99"/>
      <c r="O119" s="72"/>
      <c r="P119" s="10"/>
      <c r="Q119" s="242"/>
      <c r="R119" s="243">
        <f>'Additional information'!$D$17</f>
        <v>0.91</v>
      </c>
      <c r="S119" s="242">
        <f t="shared" si="10"/>
        <v>0</v>
      </c>
      <c r="T119" s="150"/>
      <c r="V119" s="156"/>
      <c r="W119" s="155"/>
      <c r="Z119" s="154"/>
    </row>
    <row r="120" spans="1:27" s="153" customFormat="1" ht="153" x14ac:dyDescent="0.2">
      <c r="A120" s="49">
        <f>A118+1</f>
        <v>39</v>
      </c>
      <c r="B120" s="393" t="s">
        <v>41</v>
      </c>
      <c r="C120" s="320" t="s">
        <v>171</v>
      </c>
      <c r="D120" s="328" t="s">
        <v>646</v>
      </c>
      <c r="E120" s="315">
        <f>LEN(D120)</f>
        <v>145</v>
      </c>
      <c r="F120" s="275" t="s">
        <v>647</v>
      </c>
      <c r="G120" s="315">
        <f>LEN(F120)</f>
        <v>179</v>
      </c>
      <c r="H120" s="316" t="s">
        <v>239</v>
      </c>
      <c r="I120" s="315" t="s">
        <v>220</v>
      </c>
      <c r="J120" s="315" t="s">
        <v>220</v>
      </c>
      <c r="K120" s="315" t="s">
        <v>240</v>
      </c>
      <c r="L120" s="317" t="s">
        <v>648</v>
      </c>
      <c r="M120" s="317" t="s">
        <v>649</v>
      </c>
      <c r="N120" s="67"/>
      <c r="O120" s="72" t="s">
        <v>581</v>
      </c>
      <c r="P120" s="10"/>
      <c r="Q120" s="351">
        <v>13.458864212036133</v>
      </c>
      <c r="R120" s="243">
        <f>'Additional information'!$D$17</f>
        <v>0.91</v>
      </c>
      <c r="S120" s="351">
        <f t="shared" si="10"/>
        <v>12.247566432952881</v>
      </c>
      <c r="T120" s="150"/>
      <c r="V120" s="156" t="s">
        <v>230</v>
      </c>
      <c r="W120" s="155"/>
      <c r="Z120" s="154"/>
    </row>
    <row r="121" spans="1:27" s="153" customFormat="1" ht="409.6" x14ac:dyDescent="0.2">
      <c r="A121" s="127">
        <f>A120+1</f>
        <v>40</v>
      </c>
      <c r="B121" s="374" t="s">
        <v>42</v>
      </c>
      <c r="C121" s="383" t="s">
        <v>650</v>
      </c>
      <c r="D121" s="376" t="s">
        <v>651</v>
      </c>
      <c r="E121" s="377">
        <f>LEN(D121)</f>
        <v>758</v>
      </c>
      <c r="F121" s="275" t="s">
        <v>652</v>
      </c>
      <c r="G121" s="315">
        <f>LEN(F121)</f>
        <v>926</v>
      </c>
      <c r="H121" s="398" t="s">
        <v>571</v>
      </c>
      <c r="I121" s="377" t="s">
        <v>220</v>
      </c>
      <c r="J121" s="377" t="s">
        <v>220</v>
      </c>
      <c r="K121" s="377" t="s">
        <v>653</v>
      </c>
      <c r="L121" s="380" t="s">
        <v>654</v>
      </c>
      <c r="M121" s="328" t="s">
        <v>655</v>
      </c>
      <c r="N121" s="67"/>
      <c r="O121" s="72" t="s">
        <v>656</v>
      </c>
      <c r="P121" s="10"/>
      <c r="Q121" s="351">
        <v>37.523288726806641</v>
      </c>
      <c r="R121" s="243">
        <f>'Additional information'!$D$17</f>
        <v>0.91</v>
      </c>
      <c r="S121" s="351">
        <f t="shared" si="10"/>
        <v>34.146192741394046</v>
      </c>
      <c r="T121" s="150"/>
      <c r="V121" s="156" t="s">
        <v>230</v>
      </c>
      <c r="W121" s="155"/>
      <c r="Z121" s="157" t="s">
        <v>657</v>
      </c>
    </row>
    <row r="122" spans="1:27" s="153" customFormat="1" x14ac:dyDescent="0.2">
      <c r="A122" s="49"/>
      <c r="B122" s="206"/>
      <c r="C122" s="114"/>
      <c r="D122" s="94"/>
      <c r="E122" s="51"/>
      <c r="G122" s="51"/>
      <c r="H122" s="115"/>
      <c r="I122" s="51"/>
      <c r="J122" s="51"/>
      <c r="K122" s="51"/>
      <c r="L122" s="99"/>
      <c r="M122" s="99"/>
      <c r="N122" s="99"/>
      <c r="O122" s="72"/>
      <c r="P122" s="10"/>
      <c r="Q122" s="242"/>
      <c r="R122" s="243">
        <f>'Additional information'!$D$17</f>
        <v>0.91</v>
      </c>
      <c r="S122" s="242">
        <f t="shared" si="10"/>
        <v>0</v>
      </c>
      <c r="T122" s="150"/>
      <c r="V122" s="156"/>
      <c r="W122" s="155"/>
      <c r="Z122" s="154"/>
    </row>
    <row r="123" spans="1:27" s="153" customFormat="1" ht="221" x14ac:dyDescent="0.2">
      <c r="A123" s="124">
        <f>A121+1</f>
        <v>41</v>
      </c>
      <c r="B123" s="199" t="s">
        <v>658</v>
      </c>
      <c r="C123" s="209" t="s">
        <v>658</v>
      </c>
      <c r="D123" s="22" t="s">
        <v>1454</v>
      </c>
      <c r="E123" s="20">
        <f>LEN(D123)</f>
        <v>278</v>
      </c>
      <c r="F123" s="22" t="s">
        <v>1455</v>
      </c>
      <c r="G123" s="20">
        <f>LEN(F123)</f>
        <v>359</v>
      </c>
      <c r="H123" s="21" t="s">
        <v>239</v>
      </c>
      <c r="I123" s="20" t="s">
        <v>220</v>
      </c>
      <c r="J123" s="553" t="s">
        <v>659</v>
      </c>
      <c r="K123" s="20" t="s">
        <v>240</v>
      </c>
      <c r="L123" s="22" t="s">
        <v>660</v>
      </c>
      <c r="M123" s="22" t="s">
        <v>661</v>
      </c>
      <c r="N123" s="31"/>
      <c r="O123" s="72" t="s">
        <v>581</v>
      </c>
      <c r="P123" s="10"/>
      <c r="Q123" s="242">
        <v>17</v>
      </c>
      <c r="R123" s="243">
        <f>'Additional information'!$D$17</f>
        <v>0.91</v>
      </c>
      <c r="S123" s="242">
        <f t="shared" si="10"/>
        <v>15.47</v>
      </c>
      <c r="T123" s="150"/>
      <c r="V123" s="156" t="s">
        <v>219</v>
      </c>
      <c r="W123" s="155"/>
      <c r="Z123" s="154" t="s">
        <v>320</v>
      </c>
    </row>
    <row r="124" spans="1:27" s="153" customFormat="1" ht="153" x14ac:dyDescent="0.2">
      <c r="A124" s="63"/>
      <c r="B124" s="205" t="s">
        <v>662</v>
      </c>
      <c r="C124" s="204" t="s">
        <v>663</v>
      </c>
      <c r="D124" s="15" t="s">
        <v>664</v>
      </c>
      <c r="E124" s="24">
        <f>LEN(D124)</f>
        <v>233</v>
      </c>
      <c r="F124" s="15" t="s">
        <v>665</v>
      </c>
      <c r="G124" s="20">
        <f>LEN(F124)</f>
        <v>281</v>
      </c>
      <c r="H124" s="28" t="s">
        <v>436</v>
      </c>
      <c r="I124" s="24" t="s">
        <v>220</v>
      </c>
      <c r="J124" s="553" t="s">
        <v>659</v>
      </c>
      <c r="K124" s="24" t="s">
        <v>666</v>
      </c>
      <c r="L124" s="29" t="s">
        <v>667</v>
      </c>
      <c r="M124" s="73" t="s">
        <v>668</v>
      </c>
      <c r="N124" s="73"/>
      <c r="O124" s="72" t="s">
        <v>669</v>
      </c>
      <c r="P124" s="143"/>
      <c r="Q124" s="242">
        <v>17</v>
      </c>
      <c r="R124" s="243">
        <f>'Additional information'!$D$17</f>
        <v>0.91</v>
      </c>
      <c r="S124" s="242">
        <f t="shared" si="10"/>
        <v>15.47</v>
      </c>
      <c r="T124" s="150"/>
      <c r="V124" s="156" t="s">
        <v>219</v>
      </c>
      <c r="W124" s="155"/>
      <c r="Z124" s="154"/>
    </row>
    <row r="125" spans="1:27" s="153" customFormat="1" ht="17" thickBot="1" x14ac:dyDescent="0.25">
      <c r="A125" s="127"/>
      <c r="B125" s="233"/>
      <c r="C125" s="128"/>
      <c r="D125" s="103"/>
      <c r="E125" s="117"/>
      <c r="F125" s="103"/>
      <c r="G125" s="117"/>
      <c r="H125" s="128"/>
      <c r="I125" s="117"/>
      <c r="J125" s="117"/>
      <c r="K125" s="117"/>
      <c r="L125" s="109"/>
      <c r="M125" s="103"/>
      <c r="N125" s="109"/>
      <c r="O125" s="146"/>
      <c r="P125" s="85"/>
      <c r="Q125" s="242"/>
      <c r="R125" s="243">
        <f>'Additional information'!$D$17</f>
        <v>0.91</v>
      </c>
      <c r="S125" s="242">
        <f t="shared" si="10"/>
        <v>0</v>
      </c>
      <c r="T125" s="150"/>
      <c r="V125" s="156"/>
      <c r="W125" s="155"/>
      <c r="Z125" s="157"/>
    </row>
    <row r="126" spans="1:27" s="153" customFormat="1" ht="17" thickBot="1" x14ac:dyDescent="0.25">
      <c r="A126" s="591" t="s">
        <v>670</v>
      </c>
      <c r="B126" s="592"/>
      <c r="C126" s="592"/>
      <c r="D126" s="592"/>
      <c r="E126" s="592"/>
      <c r="F126" s="592"/>
      <c r="G126" s="592"/>
      <c r="H126" s="592"/>
      <c r="I126" s="592"/>
      <c r="J126" s="592"/>
      <c r="K126" s="592"/>
      <c r="L126" s="592"/>
      <c r="M126" s="592"/>
      <c r="N126" s="592"/>
      <c r="O126" s="592"/>
      <c r="P126" s="593"/>
      <c r="Q126" s="242"/>
      <c r="R126" s="243"/>
      <c r="S126" s="242"/>
      <c r="T126" s="150"/>
      <c r="V126" s="156"/>
      <c r="W126" s="155"/>
      <c r="Z126" s="154"/>
    </row>
    <row r="127" spans="1:27" s="153" customFormat="1" ht="323" x14ac:dyDescent="0.2">
      <c r="A127" s="49"/>
      <c r="B127" s="319" t="s">
        <v>671</v>
      </c>
      <c r="C127" s="396" t="s">
        <v>671</v>
      </c>
      <c r="D127" s="564" t="s">
        <v>672</v>
      </c>
      <c r="E127" s="324">
        <f>LEN(D127)</f>
        <v>219</v>
      </c>
      <c r="F127" s="551" t="s">
        <v>673</v>
      </c>
      <c r="G127" s="324">
        <f>LEN(F127)</f>
        <v>282</v>
      </c>
      <c r="H127" s="370" t="s">
        <v>239</v>
      </c>
      <c r="I127" s="315" t="s">
        <v>220</v>
      </c>
      <c r="J127" s="320" t="s">
        <v>674</v>
      </c>
      <c r="K127" s="324" t="s">
        <v>240</v>
      </c>
      <c r="L127" s="317" t="s">
        <v>675</v>
      </c>
      <c r="M127" s="317" t="s">
        <v>676</v>
      </c>
      <c r="N127" s="99"/>
      <c r="O127" s="152" t="s">
        <v>677</v>
      </c>
      <c r="P127" s="10"/>
      <c r="Q127" s="351">
        <v>27.1</v>
      </c>
      <c r="R127" s="243">
        <f>'Additional information'!$D$17</f>
        <v>0.91</v>
      </c>
      <c r="S127" s="351">
        <f t="shared" ref="S127:S133" si="11">Q127*R127</f>
        <v>24.661000000000001</v>
      </c>
      <c r="T127" s="150"/>
      <c r="V127" s="156" t="s">
        <v>230</v>
      </c>
      <c r="W127" s="155"/>
      <c r="Z127" s="157" t="s">
        <v>320</v>
      </c>
      <c r="AA127" s="184"/>
    </row>
    <row r="128" spans="1:27" s="153" customFormat="1" x14ac:dyDescent="0.2">
      <c r="A128" s="49"/>
      <c r="B128" s="174"/>
      <c r="C128" s="114"/>
      <c r="D128" s="565"/>
      <c r="E128" s="120"/>
      <c r="F128" s="565"/>
      <c r="G128" s="120"/>
      <c r="H128" s="52"/>
      <c r="I128" s="51"/>
      <c r="J128" s="126"/>
      <c r="K128" s="51"/>
      <c r="L128" s="99"/>
      <c r="M128" s="101"/>
      <c r="N128" s="101"/>
      <c r="O128" s="72"/>
      <c r="P128" s="10"/>
      <c r="Q128" s="242"/>
      <c r="R128" s="243">
        <f>'Additional information'!$D$17</f>
        <v>0.91</v>
      </c>
      <c r="S128" s="242">
        <f t="shared" si="11"/>
        <v>0</v>
      </c>
      <c r="T128" s="156"/>
      <c r="U128" s="155"/>
      <c r="X128" s="157"/>
      <c r="Y128" s="184"/>
    </row>
    <row r="129" spans="1:26" s="153" customFormat="1" ht="222" customHeight="1" x14ac:dyDescent="0.2">
      <c r="A129" s="113">
        <f>A121+1</f>
        <v>41</v>
      </c>
      <c r="B129" s="399" t="s">
        <v>43</v>
      </c>
      <c r="C129" s="320" t="s">
        <v>172</v>
      </c>
      <c r="D129" s="323" t="s">
        <v>678</v>
      </c>
      <c r="E129" s="324">
        <f>LEN(D129)</f>
        <v>158</v>
      </c>
      <c r="F129" s="275" t="s">
        <v>679</v>
      </c>
      <c r="G129" s="324">
        <f>LEN(F129)</f>
        <v>190</v>
      </c>
      <c r="H129" s="370" t="s">
        <v>239</v>
      </c>
      <c r="I129" s="324" t="s">
        <v>220</v>
      </c>
      <c r="J129" s="320" t="s">
        <v>220</v>
      </c>
      <c r="K129" s="324" t="s">
        <v>240</v>
      </c>
      <c r="L129" s="325" t="s">
        <v>680</v>
      </c>
      <c r="M129" s="325" t="s">
        <v>681</v>
      </c>
      <c r="N129" s="101"/>
      <c r="O129" s="152" t="s">
        <v>682</v>
      </c>
      <c r="P129" s="56"/>
      <c r="Q129" s="351">
        <v>12.681487083435059</v>
      </c>
      <c r="R129" s="243">
        <f>'Additional information'!$D$17</f>
        <v>0.91</v>
      </c>
      <c r="S129" s="351">
        <f t="shared" si="11"/>
        <v>11.540153245925904</v>
      </c>
      <c r="T129" s="150"/>
      <c r="V129" s="156" t="s">
        <v>230</v>
      </c>
      <c r="W129" s="155"/>
      <c r="Z129" s="154" t="s">
        <v>683</v>
      </c>
    </row>
    <row r="130" spans="1:26" s="153" customFormat="1" ht="306" x14ac:dyDescent="0.2">
      <c r="A130" s="49">
        <f>A129+1</f>
        <v>42</v>
      </c>
      <c r="B130" s="319" t="s">
        <v>44</v>
      </c>
      <c r="C130" s="320" t="s">
        <v>684</v>
      </c>
      <c r="D130" s="566" t="s">
        <v>685</v>
      </c>
      <c r="E130" s="324">
        <f>LEN(D130)</f>
        <v>620</v>
      </c>
      <c r="F130" s="275" t="s">
        <v>686</v>
      </c>
      <c r="G130" s="324">
        <f>LEN(F130)</f>
        <v>817</v>
      </c>
      <c r="H130" s="383" t="s">
        <v>571</v>
      </c>
      <c r="I130" s="315" t="s">
        <v>220</v>
      </c>
      <c r="J130" s="345" t="s">
        <v>220</v>
      </c>
      <c r="K130" s="315" t="s">
        <v>687</v>
      </c>
      <c r="L130" s="317" t="s">
        <v>688</v>
      </c>
      <c r="M130" s="317" t="s">
        <v>689</v>
      </c>
      <c r="N130" s="99"/>
      <c r="O130" s="72" t="s">
        <v>690</v>
      </c>
      <c r="P130" s="10"/>
      <c r="Q130" s="351">
        <v>22.613609313964844</v>
      </c>
      <c r="R130" s="243">
        <f>'Additional information'!$D$17</f>
        <v>0.91</v>
      </c>
      <c r="S130" s="351">
        <f t="shared" si="11"/>
        <v>20.57838447570801</v>
      </c>
      <c r="T130" s="150"/>
      <c r="V130" s="156" t="s">
        <v>230</v>
      </c>
      <c r="W130" s="155"/>
      <c r="Z130" s="157" t="s">
        <v>691</v>
      </c>
    </row>
    <row r="131" spans="1:26" s="153" customFormat="1" x14ac:dyDescent="0.2">
      <c r="A131" s="49"/>
      <c r="B131" s="174"/>
      <c r="C131" s="114"/>
      <c r="D131" s="565"/>
      <c r="E131" s="120"/>
      <c r="F131" s="565"/>
      <c r="G131" s="120"/>
      <c r="H131" s="52"/>
      <c r="I131" s="51"/>
      <c r="J131" s="125"/>
      <c r="K131" s="51"/>
      <c r="L131" s="99"/>
      <c r="M131" s="101"/>
      <c r="N131" s="101"/>
      <c r="O131" s="72"/>
      <c r="P131" s="10"/>
      <c r="Q131" s="242"/>
      <c r="R131" s="243">
        <f>'Additional information'!$D$17</f>
        <v>0.91</v>
      </c>
      <c r="S131" s="242">
        <f t="shared" si="11"/>
        <v>0</v>
      </c>
      <c r="T131" s="150"/>
      <c r="V131" s="156"/>
      <c r="W131" s="155"/>
      <c r="Z131" s="157"/>
    </row>
    <row r="132" spans="1:26" s="153" customFormat="1" ht="260.25" customHeight="1" x14ac:dyDescent="0.2">
      <c r="A132" s="49">
        <f>A130+1</f>
        <v>43</v>
      </c>
      <c r="B132" s="319" t="s">
        <v>45</v>
      </c>
      <c r="C132" s="320" t="s">
        <v>45</v>
      </c>
      <c r="D132" s="328" t="s">
        <v>1427</v>
      </c>
      <c r="E132" s="315">
        <f>LEN(D132)</f>
        <v>344</v>
      </c>
      <c r="F132" s="275" t="s">
        <v>1428</v>
      </c>
      <c r="G132" s="315">
        <f>LEN(F132)</f>
        <v>420</v>
      </c>
      <c r="H132" s="316" t="s">
        <v>239</v>
      </c>
      <c r="I132" s="315" t="s">
        <v>220</v>
      </c>
      <c r="J132" s="315" t="s">
        <v>220</v>
      </c>
      <c r="K132" s="315" t="s">
        <v>240</v>
      </c>
      <c r="L132" s="387" t="s">
        <v>692</v>
      </c>
      <c r="M132" s="384" t="s">
        <v>693</v>
      </c>
      <c r="N132" s="168"/>
      <c r="O132" s="548" t="s">
        <v>682</v>
      </c>
      <c r="P132" s="10"/>
      <c r="Q132" s="351">
        <v>21.701908111572266</v>
      </c>
      <c r="R132" s="243">
        <f>'Additional information'!$D$17</f>
        <v>0.91</v>
      </c>
      <c r="S132" s="351">
        <f t="shared" si="11"/>
        <v>19.748736381530762</v>
      </c>
      <c r="T132" s="150"/>
      <c r="V132" s="156" t="s">
        <v>230</v>
      </c>
      <c r="W132" s="155"/>
      <c r="Z132" s="167" t="s">
        <v>694</v>
      </c>
    </row>
    <row r="133" spans="1:26" s="153" customFormat="1" ht="17" thickBot="1" x14ac:dyDescent="0.25">
      <c r="A133" s="49"/>
      <c r="B133" s="174"/>
      <c r="C133" s="114"/>
      <c r="D133" s="565"/>
      <c r="E133" s="120"/>
      <c r="F133" s="565"/>
      <c r="G133" s="120"/>
      <c r="H133" s="52"/>
      <c r="I133" s="51"/>
      <c r="J133" s="125"/>
      <c r="K133" s="51"/>
      <c r="L133" s="99"/>
      <c r="M133" s="101"/>
      <c r="N133" s="101"/>
      <c r="O133" s="72"/>
      <c r="P133" s="10"/>
      <c r="Q133" s="242"/>
      <c r="R133" s="243">
        <f>'Additional information'!$D$17</f>
        <v>0.91</v>
      </c>
      <c r="S133" s="242">
        <f t="shared" si="11"/>
        <v>0</v>
      </c>
      <c r="T133" s="150"/>
      <c r="V133" s="156"/>
      <c r="W133" s="155"/>
      <c r="Z133" s="157"/>
    </row>
    <row r="134" spans="1:26" s="153" customFormat="1" ht="17" thickBot="1" x14ac:dyDescent="0.25">
      <c r="A134" s="591" t="s">
        <v>695</v>
      </c>
      <c r="B134" s="592"/>
      <c r="C134" s="592"/>
      <c r="D134" s="592"/>
      <c r="E134" s="592"/>
      <c r="F134" s="592"/>
      <c r="G134" s="592"/>
      <c r="H134" s="592"/>
      <c r="I134" s="592"/>
      <c r="J134" s="592"/>
      <c r="K134" s="592"/>
      <c r="L134" s="592"/>
      <c r="M134" s="592"/>
      <c r="N134" s="592"/>
      <c r="O134" s="592"/>
      <c r="P134" s="593"/>
      <c r="Q134" s="242"/>
      <c r="R134" s="243"/>
      <c r="S134" s="242"/>
      <c r="T134" s="150"/>
      <c r="V134" s="156"/>
      <c r="W134" s="155"/>
      <c r="Z134" s="154"/>
    </row>
    <row r="135" spans="1:26" s="153" customFormat="1" ht="170" x14ac:dyDescent="0.2">
      <c r="A135" s="113">
        <f>A132+1</f>
        <v>44</v>
      </c>
      <c r="B135" s="400" t="s">
        <v>696</v>
      </c>
      <c r="C135" s="567" t="s">
        <v>696</v>
      </c>
      <c r="D135" s="568" t="s">
        <v>697</v>
      </c>
      <c r="E135" s="324">
        <f>LEN(D135)</f>
        <v>173</v>
      </c>
      <c r="F135" s="568" t="s">
        <v>698</v>
      </c>
      <c r="G135" s="324">
        <f>LEN(F135)</f>
        <v>216</v>
      </c>
      <c r="H135" s="324" t="s">
        <v>239</v>
      </c>
      <c r="I135" s="324" t="s">
        <v>220</v>
      </c>
      <c r="J135" s="324" t="s">
        <v>699</v>
      </c>
      <c r="K135" s="324" t="s">
        <v>240</v>
      </c>
      <c r="L135" s="325" t="s">
        <v>700</v>
      </c>
      <c r="M135" s="384" t="s">
        <v>701</v>
      </c>
      <c r="N135" s="168"/>
      <c r="O135" s="152" t="s">
        <v>702</v>
      </c>
      <c r="P135" s="9"/>
      <c r="Q135" s="351">
        <v>7.5</v>
      </c>
      <c r="R135" s="241">
        <f>'Additional information'!$D$18</f>
        <v>0.91</v>
      </c>
      <c r="S135" s="351">
        <f t="shared" ref="S135:S147" si="12">Q135*R135</f>
        <v>6.8250000000000002</v>
      </c>
      <c r="T135" s="150"/>
      <c r="V135" s="156" t="s">
        <v>230</v>
      </c>
      <c r="W135" s="155"/>
      <c r="Z135" s="154" t="s">
        <v>320</v>
      </c>
    </row>
    <row r="136" spans="1:26" s="153" customFormat="1" x14ac:dyDescent="0.2">
      <c r="A136" s="49"/>
      <c r="B136" s="174"/>
      <c r="C136" s="114"/>
      <c r="D136" s="565"/>
      <c r="E136" s="120"/>
      <c r="F136" s="565"/>
      <c r="G136" s="120"/>
      <c r="H136" s="52"/>
      <c r="I136" s="51"/>
      <c r="J136" s="126"/>
      <c r="K136" s="51"/>
      <c r="L136" s="99"/>
      <c r="M136" s="101"/>
      <c r="N136" s="101"/>
      <c r="O136" s="72"/>
      <c r="P136" s="10"/>
      <c r="Q136" s="242"/>
      <c r="R136" s="241">
        <f>'Additional information'!$D$18</f>
        <v>0.91</v>
      </c>
      <c r="S136" s="242">
        <f t="shared" si="12"/>
        <v>0</v>
      </c>
      <c r="T136" s="150"/>
      <c r="V136" s="156"/>
      <c r="W136" s="155"/>
      <c r="Z136" s="157"/>
    </row>
    <row r="137" spans="1:26" s="153" customFormat="1" ht="323" x14ac:dyDescent="0.2">
      <c r="A137" s="113">
        <f>A135+1</f>
        <v>45</v>
      </c>
      <c r="B137" s="321" t="s">
        <v>51</v>
      </c>
      <c r="C137" s="320" t="s">
        <v>51</v>
      </c>
      <c r="D137" s="323" t="s">
        <v>703</v>
      </c>
      <c r="E137" s="324">
        <f>LEN(D137)</f>
        <v>582</v>
      </c>
      <c r="F137" s="343" t="s">
        <v>704</v>
      </c>
      <c r="G137" s="324">
        <f>LEN(F137)</f>
        <v>650</v>
      </c>
      <c r="H137" s="324" t="s">
        <v>285</v>
      </c>
      <c r="I137" s="324" t="s">
        <v>220</v>
      </c>
      <c r="J137" s="324" t="s">
        <v>220</v>
      </c>
      <c r="K137" s="320" t="s">
        <v>705</v>
      </c>
      <c r="L137" s="325" t="s">
        <v>706</v>
      </c>
      <c r="M137" s="384" t="s">
        <v>707</v>
      </c>
      <c r="N137" s="168"/>
      <c r="O137" s="152" t="s">
        <v>702</v>
      </c>
      <c r="P137" s="56"/>
      <c r="Q137" s="351">
        <v>20.294422149658203</v>
      </c>
      <c r="R137" s="241">
        <f>'Additional information'!$D$18</f>
        <v>0.91</v>
      </c>
      <c r="S137" s="351">
        <f t="shared" si="12"/>
        <v>18.467924156188964</v>
      </c>
      <c r="T137" s="150"/>
      <c r="V137" s="156" t="s">
        <v>230</v>
      </c>
      <c r="W137" s="155"/>
      <c r="Z137" s="154" t="s">
        <v>708</v>
      </c>
    </row>
    <row r="138" spans="1:26" s="153" customFormat="1" x14ac:dyDescent="0.2">
      <c r="A138" s="113"/>
      <c r="B138" s="232"/>
      <c r="C138" s="114"/>
      <c r="D138" s="165"/>
      <c r="E138" s="120"/>
      <c r="F138" s="165"/>
      <c r="G138" s="120"/>
      <c r="H138" s="120"/>
      <c r="I138" s="120"/>
      <c r="J138" s="120"/>
      <c r="K138" s="114"/>
      <c r="L138" s="101"/>
      <c r="M138" s="168"/>
      <c r="N138" s="168"/>
      <c r="O138" s="152"/>
      <c r="P138" s="56"/>
      <c r="Q138" s="242"/>
      <c r="R138" s="241">
        <f>'Additional information'!$D$18</f>
        <v>0.91</v>
      </c>
      <c r="S138" s="242">
        <f t="shared" si="12"/>
        <v>0</v>
      </c>
      <c r="T138" s="150"/>
      <c r="V138" s="156"/>
      <c r="W138" s="155"/>
      <c r="Z138" s="154"/>
    </row>
    <row r="139" spans="1:26" s="153" customFormat="1" ht="119" x14ac:dyDescent="0.2">
      <c r="A139" s="49">
        <f>A137+1</f>
        <v>46</v>
      </c>
      <c r="B139" s="319" t="s">
        <v>52</v>
      </c>
      <c r="C139" s="320" t="s">
        <v>52</v>
      </c>
      <c r="D139" s="328" t="s">
        <v>709</v>
      </c>
      <c r="E139" s="315">
        <f>LEN(D139)</f>
        <v>152</v>
      </c>
      <c r="F139" s="275" t="s">
        <v>1456</v>
      </c>
      <c r="G139" s="315">
        <f>LEN(F139)</f>
        <v>162</v>
      </c>
      <c r="H139" s="316" t="s">
        <v>328</v>
      </c>
      <c r="I139" s="315" t="s">
        <v>220</v>
      </c>
      <c r="J139" s="315" t="s">
        <v>220</v>
      </c>
      <c r="K139" s="315" t="s">
        <v>710</v>
      </c>
      <c r="L139" s="317" t="s">
        <v>711</v>
      </c>
      <c r="M139" s="317" t="s">
        <v>712</v>
      </c>
      <c r="N139" s="101"/>
      <c r="O139" s="152" t="s">
        <v>713</v>
      </c>
      <c r="P139" s="10"/>
      <c r="Q139" s="351">
        <v>18.539077758789062</v>
      </c>
      <c r="R139" s="241">
        <f>'Additional information'!$D$18</f>
        <v>0.91</v>
      </c>
      <c r="S139" s="351">
        <f t="shared" si="12"/>
        <v>16.870560760498048</v>
      </c>
      <c r="T139" s="150"/>
      <c r="V139" s="156" t="s">
        <v>230</v>
      </c>
      <c r="W139" s="155"/>
      <c r="Z139" s="154"/>
    </row>
    <row r="140" spans="1:26" s="153" customFormat="1" ht="119" x14ac:dyDescent="0.2">
      <c r="A140" s="49">
        <f>A139+1</f>
        <v>47</v>
      </c>
      <c r="B140" s="319" t="s">
        <v>53</v>
      </c>
      <c r="C140" s="320" t="s">
        <v>53</v>
      </c>
      <c r="D140" s="386" t="s">
        <v>714</v>
      </c>
      <c r="E140" s="315">
        <f>LEN(D140)</f>
        <v>128</v>
      </c>
      <c r="F140" s="275" t="s">
        <v>715</v>
      </c>
      <c r="G140" s="315">
        <f>LEN(F140)</f>
        <v>153</v>
      </c>
      <c r="H140" s="316" t="s">
        <v>328</v>
      </c>
      <c r="I140" s="315" t="s">
        <v>220</v>
      </c>
      <c r="J140" s="315" t="s">
        <v>220</v>
      </c>
      <c r="K140" s="315" t="s">
        <v>710</v>
      </c>
      <c r="L140" s="317" t="s">
        <v>716</v>
      </c>
      <c r="M140" s="317" t="s">
        <v>717</v>
      </c>
      <c r="N140" s="101"/>
      <c r="O140" s="152" t="s">
        <v>713</v>
      </c>
      <c r="P140" s="10"/>
      <c r="Q140" s="351">
        <v>8.9158916473388672</v>
      </c>
      <c r="R140" s="241">
        <f>'Additional information'!$D$18</f>
        <v>0.91</v>
      </c>
      <c r="S140" s="351">
        <f t="shared" si="12"/>
        <v>8.1134613990783695</v>
      </c>
      <c r="T140" s="150"/>
      <c r="V140" s="156" t="s">
        <v>230</v>
      </c>
      <c r="W140" s="155"/>
      <c r="Z140" s="154"/>
    </row>
    <row r="141" spans="1:26" s="153" customFormat="1" ht="400" customHeight="1" x14ac:dyDescent="0.2">
      <c r="A141" s="49">
        <v>44</v>
      </c>
      <c r="B141" s="319" t="s">
        <v>54</v>
      </c>
      <c r="C141" s="320" t="s">
        <v>718</v>
      </c>
      <c r="D141" s="566" t="s">
        <v>719</v>
      </c>
      <c r="E141" s="315">
        <f>LEN(D141)</f>
        <v>707</v>
      </c>
      <c r="F141" s="275" t="s">
        <v>1457</v>
      </c>
      <c r="G141" s="315">
        <f>LEN(F141)</f>
        <v>888</v>
      </c>
      <c r="H141" s="383" t="s">
        <v>571</v>
      </c>
      <c r="I141" s="315" t="s">
        <v>220</v>
      </c>
      <c r="J141" s="315" t="s">
        <v>220</v>
      </c>
      <c r="K141" s="315" t="s">
        <v>720</v>
      </c>
      <c r="L141" s="317" t="s">
        <v>721</v>
      </c>
      <c r="M141" s="384" t="s">
        <v>722</v>
      </c>
      <c r="N141" s="30"/>
      <c r="O141" s="152" t="s">
        <v>713</v>
      </c>
      <c r="P141" s="10"/>
      <c r="Q141" s="351">
        <v>25.81001091003418</v>
      </c>
      <c r="R141" s="241">
        <f>'Additional information'!$D$18</f>
        <v>0.91</v>
      </c>
      <c r="S141" s="351">
        <f t="shared" si="12"/>
        <v>23.487109928131105</v>
      </c>
      <c r="T141" s="150"/>
      <c r="V141" s="156" t="s">
        <v>230</v>
      </c>
      <c r="W141" s="155"/>
      <c r="Z141" s="157" t="s">
        <v>723</v>
      </c>
    </row>
    <row r="142" spans="1:26" s="153" customFormat="1" ht="238" customHeight="1" x14ac:dyDescent="0.2">
      <c r="A142" s="14">
        <v>45</v>
      </c>
      <c r="B142" s="199" t="s">
        <v>55</v>
      </c>
      <c r="C142" s="17" t="s">
        <v>724</v>
      </c>
      <c r="D142" s="22" t="s">
        <v>725</v>
      </c>
      <c r="E142" s="20">
        <f>LEN(D142)</f>
        <v>262</v>
      </c>
      <c r="F142" s="203" t="s">
        <v>726</v>
      </c>
      <c r="G142" s="20">
        <f>LEN(F142)</f>
        <v>312</v>
      </c>
      <c r="H142" s="21" t="s">
        <v>571</v>
      </c>
      <c r="I142" s="20" t="s">
        <v>220</v>
      </c>
      <c r="J142" s="20" t="s">
        <v>220</v>
      </c>
      <c r="K142" s="20" t="s">
        <v>727</v>
      </c>
      <c r="L142" s="31" t="s">
        <v>728</v>
      </c>
      <c r="M142" s="140" t="s">
        <v>729</v>
      </c>
      <c r="N142" s="71"/>
      <c r="O142" s="152" t="s">
        <v>713</v>
      </c>
      <c r="P142" s="10"/>
      <c r="Q142" s="242">
        <v>19.553197860717773</v>
      </c>
      <c r="R142" s="241">
        <f>'Additional information'!$D$18</f>
        <v>0.91</v>
      </c>
      <c r="S142" s="242">
        <f t="shared" si="12"/>
        <v>17.793410053253176</v>
      </c>
      <c r="T142" s="150"/>
      <c r="V142" s="156" t="s">
        <v>219</v>
      </c>
      <c r="W142" s="155"/>
      <c r="Z142" s="154"/>
    </row>
    <row r="143" spans="1:26" s="153" customFormat="1" x14ac:dyDescent="0.2">
      <c r="A143" s="49"/>
      <c r="B143" s="174"/>
      <c r="C143" s="114"/>
      <c r="D143" s="94"/>
      <c r="E143" s="51"/>
      <c r="G143" s="51"/>
      <c r="H143" s="115"/>
      <c r="I143" s="51"/>
      <c r="J143" s="51"/>
      <c r="K143" s="51"/>
      <c r="L143" s="99"/>
      <c r="M143" s="99"/>
      <c r="N143" s="101"/>
      <c r="O143" s="152"/>
      <c r="P143" s="10"/>
      <c r="Q143" s="242"/>
      <c r="R143" s="241">
        <f>'Additional information'!$D$18</f>
        <v>0.91</v>
      </c>
      <c r="S143" s="242">
        <f t="shared" si="12"/>
        <v>0</v>
      </c>
      <c r="T143" s="150"/>
      <c r="V143" s="156"/>
      <c r="W143" s="155"/>
      <c r="Z143" s="154"/>
    </row>
    <row r="144" spans="1:26" s="153" customFormat="1" ht="153" x14ac:dyDescent="0.2">
      <c r="A144" s="49">
        <f>A142+1</f>
        <v>46</v>
      </c>
      <c r="B144" s="319" t="s">
        <v>56</v>
      </c>
      <c r="C144" s="320" t="s">
        <v>174</v>
      </c>
      <c r="D144" s="328" t="s">
        <v>730</v>
      </c>
      <c r="E144" s="315">
        <f>LEN(D144)</f>
        <v>155</v>
      </c>
      <c r="F144" s="275" t="s">
        <v>731</v>
      </c>
      <c r="G144" s="315">
        <f>LEN(F144)</f>
        <v>178</v>
      </c>
      <c r="H144" s="316" t="s">
        <v>239</v>
      </c>
      <c r="I144" s="315" t="s">
        <v>220</v>
      </c>
      <c r="J144" s="315" t="s">
        <v>220</v>
      </c>
      <c r="K144" s="315" t="s">
        <v>240</v>
      </c>
      <c r="L144" s="317" t="s">
        <v>732</v>
      </c>
      <c r="M144" s="317" t="s">
        <v>733</v>
      </c>
      <c r="N144" s="46"/>
      <c r="O144" s="152" t="s">
        <v>702</v>
      </c>
      <c r="P144" s="10"/>
      <c r="Q144" s="351">
        <v>13.613316535949707</v>
      </c>
      <c r="R144" s="241">
        <f>'Additional information'!$D$18</f>
        <v>0.91</v>
      </c>
      <c r="S144" s="351">
        <f t="shared" si="12"/>
        <v>12.388118047714233</v>
      </c>
      <c r="T144" s="150"/>
      <c r="V144" s="156" t="s">
        <v>230</v>
      </c>
      <c r="W144" s="155"/>
      <c r="Z144" s="154"/>
    </row>
    <row r="145" spans="1:26" s="153" customFormat="1" ht="372" x14ac:dyDescent="0.2">
      <c r="A145" s="127">
        <f>A144+1</f>
        <v>47</v>
      </c>
      <c r="B145" s="374" t="s">
        <v>57</v>
      </c>
      <c r="C145" s="401" t="s">
        <v>734</v>
      </c>
      <c r="D145" s="566" t="s">
        <v>735</v>
      </c>
      <c r="E145" s="315">
        <f>LEN(D145)</f>
        <v>668</v>
      </c>
      <c r="F145" s="275" t="s">
        <v>736</v>
      </c>
      <c r="G145" s="315">
        <f>LEN(F145)</f>
        <v>804</v>
      </c>
      <c r="H145" s="383" t="s">
        <v>571</v>
      </c>
      <c r="I145" s="315" t="s">
        <v>220</v>
      </c>
      <c r="J145" s="315" t="s">
        <v>220</v>
      </c>
      <c r="K145" s="315" t="s">
        <v>720</v>
      </c>
      <c r="L145" s="402" t="s">
        <v>737</v>
      </c>
      <c r="M145" s="328" t="s">
        <v>738</v>
      </c>
      <c r="N145" s="67"/>
      <c r="O145" s="72" t="s">
        <v>739</v>
      </c>
      <c r="P145" s="10"/>
      <c r="Q145" s="351">
        <v>27.754648208618164</v>
      </c>
      <c r="R145" s="241">
        <f>'Additional information'!$D$18</f>
        <v>0.91</v>
      </c>
      <c r="S145" s="351">
        <f t="shared" si="12"/>
        <v>25.25672986984253</v>
      </c>
      <c r="T145" s="150"/>
      <c r="V145" s="156" t="s">
        <v>230</v>
      </c>
      <c r="W145" s="155"/>
      <c r="Z145" s="154" t="s">
        <v>740</v>
      </c>
    </row>
    <row r="146" spans="1:26" s="153" customFormat="1" ht="211" thickBot="1" x14ac:dyDescent="0.25">
      <c r="A146" s="14"/>
      <c r="B146" s="201" t="s">
        <v>741</v>
      </c>
      <c r="C146" s="234" t="s">
        <v>742</v>
      </c>
      <c r="D146" s="15" t="s">
        <v>743</v>
      </c>
      <c r="E146" s="24">
        <f>LEN(D146)</f>
        <v>241</v>
      </c>
      <c r="F146" s="15" t="s">
        <v>744</v>
      </c>
      <c r="G146" s="24">
        <f>LEN(F146)</f>
        <v>278</v>
      </c>
      <c r="H146" s="28" t="s">
        <v>436</v>
      </c>
      <c r="I146" s="24" t="s">
        <v>220</v>
      </c>
      <c r="J146" s="24" t="s">
        <v>220</v>
      </c>
      <c r="K146" s="24" t="s">
        <v>745</v>
      </c>
      <c r="L146" s="29" t="s">
        <v>746</v>
      </c>
      <c r="M146" s="73" t="s">
        <v>747</v>
      </c>
      <c r="N146" s="73"/>
      <c r="O146" s="72" t="s">
        <v>702</v>
      </c>
      <c r="P146" s="74"/>
      <c r="Q146" s="242">
        <v>17</v>
      </c>
      <c r="R146" s="241">
        <f>'Additional information'!$D$18</f>
        <v>0.91</v>
      </c>
      <c r="S146" s="242">
        <f t="shared" si="12"/>
        <v>15.47</v>
      </c>
      <c r="T146" s="150"/>
      <c r="V146" s="156" t="s">
        <v>219</v>
      </c>
      <c r="W146" s="155"/>
      <c r="Z146" s="154"/>
    </row>
    <row r="147" spans="1:26" s="153" customFormat="1" ht="17" thickBot="1" x14ac:dyDescent="0.25">
      <c r="A147" s="49"/>
      <c r="B147" s="174"/>
      <c r="C147" s="114"/>
      <c r="D147" s="94"/>
      <c r="E147" s="51"/>
      <c r="F147" s="94"/>
      <c r="G147" s="51"/>
      <c r="H147" s="115"/>
      <c r="I147" s="51"/>
      <c r="J147" s="51"/>
      <c r="K147" s="51"/>
      <c r="L147" s="99"/>
      <c r="M147" s="99"/>
      <c r="N147" s="101"/>
      <c r="O147" s="152"/>
      <c r="P147" s="10"/>
      <c r="Q147" s="242"/>
      <c r="R147" s="241">
        <f>'Additional information'!$D$18</f>
        <v>0.91</v>
      </c>
      <c r="S147" s="242">
        <f t="shared" si="12"/>
        <v>0</v>
      </c>
      <c r="T147" s="150"/>
      <c r="V147" s="156"/>
      <c r="W147" s="155"/>
      <c r="Z147" s="154"/>
    </row>
    <row r="148" spans="1:26" s="153" customFormat="1" ht="17" thickBot="1" x14ac:dyDescent="0.25">
      <c r="A148" s="591" t="s">
        <v>748</v>
      </c>
      <c r="B148" s="592"/>
      <c r="C148" s="592"/>
      <c r="D148" s="592"/>
      <c r="E148" s="592"/>
      <c r="F148" s="592"/>
      <c r="G148" s="592"/>
      <c r="H148" s="592"/>
      <c r="I148" s="592"/>
      <c r="J148" s="592"/>
      <c r="K148" s="592"/>
      <c r="L148" s="592"/>
      <c r="M148" s="592"/>
      <c r="N148" s="592"/>
      <c r="O148" s="592"/>
      <c r="P148" s="593"/>
      <c r="Q148" s="242"/>
      <c r="R148" s="241"/>
      <c r="S148" s="242"/>
      <c r="T148" s="150"/>
      <c r="V148" s="156"/>
      <c r="W148" s="155"/>
      <c r="Z148" s="154"/>
    </row>
    <row r="149" spans="1:26" s="153" customFormat="1" ht="323" x14ac:dyDescent="0.2">
      <c r="A149" s="113">
        <f>A145+1</f>
        <v>48</v>
      </c>
      <c r="B149" s="321" t="s">
        <v>58</v>
      </c>
      <c r="C149" s="320" t="s">
        <v>58</v>
      </c>
      <c r="D149" s="392" t="s">
        <v>749</v>
      </c>
      <c r="E149" s="324">
        <f>LEN(D149)</f>
        <v>510</v>
      </c>
      <c r="F149" s="275" t="s">
        <v>750</v>
      </c>
      <c r="G149" s="324">
        <f>LEN(F149)</f>
        <v>564</v>
      </c>
      <c r="H149" s="370" t="s">
        <v>239</v>
      </c>
      <c r="I149" s="324" t="s">
        <v>220</v>
      </c>
      <c r="J149" s="324" t="s">
        <v>751</v>
      </c>
      <c r="K149" s="320" t="s">
        <v>752</v>
      </c>
      <c r="L149" s="325" t="s">
        <v>753</v>
      </c>
      <c r="M149" s="325" t="s">
        <v>754</v>
      </c>
      <c r="N149" s="101"/>
      <c r="O149" s="152" t="s">
        <v>755</v>
      </c>
      <c r="P149" s="9"/>
      <c r="Q149" s="351">
        <v>13.999390602111816</v>
      </c>
      <c r="R149" s="241">
        <f>'Additional information'!$D$18</f>
        <v>0.91</v>
      </c>
      <c r="S149" s="351">
        <f t="shared" ref="S149:S155" si="13">Q149*R149</f>
        <v>12.739445447921753</v>
      </c>
      <c r="T149" s="150"/>
      <c r="V149" s="156" t="s">
        <v>230</v>
      </c>
      <c r="W149" s="155"/>
      <c r="Z149" s="154" t="s">
        <v>756</v>
      </c>
    </row>
    <row r="150" spans="1:26" s="153" customFormat="1" x14ac:dyDescent="0.2">
      <c r="A150" s="113"/>
      <c r="B150" s="232"/>
      <c r="C150" s="114"/>
      <c r="D150" s="122"/>
      <c r="E150" s="120"/>
      <c r="F150" s="122"/>
      <c r="G150" s="120"/>
      <c r="H150" s="123"/>
      <c r="I150" s="120"/>
      <c r="J150" s="120"/>
      <c r="K150" s="114"/>
      <c r="L150" s="101"/>
      <c r="M150" s="101"/>
      <c r="N150" s="101"/>
      <c r="O150" s="152"/>
      <c r="P150" s="56"/>
      <c r="Q150" s="242"/>
      <c r="R150" s="241">
        <f>'Additional information'!$D$18</f>
        <v>0.91</v>
      </c>
      <c r="S150" s="242">
        <f t="shared" si="13"/>
        <v>0</v>
      </c>
      <c r="T150" s="150"/>
      <c r="V150" s="156"/>
      <c r="W150" s="155"/>
      <c r="Z150" s="154"/>
    </row>
    <row r="151" spans="1:26" s="153" customFormat="1" ht="153" x14ac:dyDescent="0.2">
      <c r="A151" s="49">
        <f>A149+1</f>
        <v>49</v>
      </c>
      <c r="B151" s="393" t="s">
        <v>59</v>
      </c>
      <c r="C151" s="320" t="s">
        <v>175</v>
      </c>
      <c r="D151" s="328" t="s">
        <v>757</v>
      </c>
      <c r="E151" s="315">
        <f>LEN(D151)</f>
        <v>157</v>
      </c>
      <c r="F151" s="275" t="s">
        <v>758</v>
      </c>
      <c r="G151" s="51">
        <f>LEN(F151)</f>
        <v>188</v>
      </c>
      <c r="H151" s="316" t="s">
        <v>239</v>
      </c>
      <c r="I151" s="315" t="s">
        <v>220</v>
      </c>
      <c r="J151" s="315" t="s">
        <v>220</v>
      </c>
      <c r="K151" s="315" t="s">
        <v>240</v>
      </c>
      <c r="L151" s="317" t="s">
        <v>759</v>
      </c>
      <c r="M151" s="317" t="s">
        <v>760</v>
      </c>
      <c r="N151" s="99"/>
      <c r="O151" s="72" t="s">
        <v>761</v>
      </c>
      <c r="P151" s="10"/>
      <c r="Q151" s="351">
        <v>10.25279426574707</v>
      </c>
      <c r="R151" s="241">
        <f>'Additional information'!$D$18</f>
        <v>0.91</v>
      </c>
      <c r="S151" s="351">
        <f t="shared" si="13"/>
        <v>9.3300427818298335</v>
      </c>
      <c r="T151" s="150"/>
      <c r="V151" s="156" t="s">
        <v>230</v>
      </c>
      <c r="W151" s="155"/>
      <c r="Z151" s="154"/>
    </row>
    <row r="152" spans="1:26" s="153" customFormat="1" ht="323" x14ac:dyDescent="0.2">
      <c r="A152" s="49">
        <f>A151+1</f>
        <v>50</v>
      </c>
      <c r="B152" s="319" t="s">
        <v>60</v>
      </c>
      <c r="C152" s="320" t="s">
        <v>762</v>
      </c>
      <c r="D152" s="403" t="s">
        <v>763</v>
      </c>
      <c r="E152" s="315">
        <f>LEN(D152)</f>
        <v>736</v>
      </c>
      <c r="F152" s="275" t="s">
        <v>764</v>
      </c>
      <c r="G152" s="51">
        <f>LEN(F152)</f>
        <v>945</v>
      </c>
      <c r="H152" s="383" t="s">
        <v>571</v>
      </c>
      <c r="I152" s="315" t="s">
        <v>220</v>
      </c>
      <c r="J152" s="315" t="s">
        <v>220</v>
      </c>
      <c r="K152" s="315" t="s">
        <v>613</v>
      </c>
      <c r="L152" s="317" t="s">
        <v>765</v>
      </c>
      <c r="M152" s="317" t="s">
        <v>766</v>
      </c>
      <c r="N152" s="99"/>
      <c r="O152" s="72" t="s">
        <v>767</v>
      </c>
      <c r="P152" s="10"/>
      <c r="Q152" s="351">
        <v>24.194343566894531</v>
      </c>
      <c r="R152" s="241">
        <f>'Additional information'!$D$18</f>
        <v>0.91</v>
      </c>
      <c r="S152" s="351">
        <f t="shared" si="13"/>
        <v>22.016852645874025</v>
      </c>
      <c r="T152" s="150"/>
      <c r="V152" s="156" t="s">
        <v>230</v>
      </c>
      <c r="W152" s="155"/>
      <c r="Z152" s="167" t="s">
        <v>691</v>
      </c>
    </row>
    <row r="153" spans="1:26" s="153" customFormat="1" x14ac:dyDescent="0.2">
      <c r="A153" s="49"/>
      <c r="B153" s="174"/>
      <c r="C153" s="114"/>
      <c r="D153" s="144"/>
      <c r="E153" s="51"/>
      <c r="F153" s="144"/>
      <c r="G153" s="51"/>
      <c r="H153" s="52"/>
      <c r="I153" s="51"/>
      <c r="J153" s="51"/>
      <c r="K153" s="51"/>
      <c r="L153" s="99"/>
      <c r="M153" s="99"/>
      <c r="N153" s="99"/>
      <c r="O153" s="72"/>
      <c r="P153" s="10"/>
      <c r="Q153" s="242"/>
      <c r="R153" s="241">
        <f>'Additional information'!$D$18</f>
        <v>0.91</v>
      </c>
      <c r="S153" s="242">
        <f t="shared" si="13"/>
        <v>0</v>
      </c>
      <c r="T153" s="150"/>
      <c r="V153" s="156"/>
      <c r="W153" s="155"/>
      <c r="Z153" s="167"/>
    </row>
    <row r="154" spans="1:26" s="153" customFormat="1" ht="221" x14ac:dyDescent="0.2">
      <c r="A154" s="49">
        <f>A152+1</f>
        <v>51</v>
      </c>
      <c r="B154" s="319" t="s">
        <v>61</v>
      </c>
      <c r="C154" s="320" t="s">
        <v>61</v>
      </c>
      <c r="D154" s="328" t="s">
        <v>1429</v>
      </c>
      <c r="E154" s="315">
        <f>LEN(D154)</f>
        <v>342</v>
      </c>
      <c r="F154" s="275" t="s">
        <v>1430</v>
      </c>
      <c r="G154" s="51">
        <f>LEN(F154)</f>
        <v>418</v>
      </c>
      <c r="H154" s="316" t="s">
        <v>239</v>
      </c>
      <c r="I154" s="315" t="s">
        <v>220</v>
      </c>
      <c r="J154" s="315" t="s">
        <v>220</v>
      </c>
      <c r="K154" s="315" t="s">
        <v>240</v>
      </c>
      <c r="L154" s="387" t="s">
        <v>768</v>
      </c>
      <c r="M154" s="387" t="s">
        <v>769</v>
      </c>
      <c r="N154" s="66"/>
      <c r="O154" s="72" t="s">
        <v>761</v>
      </c>
      <c r="P154" s="10"/>
      <c r="Q154" s="351">
        <v>19.321737289428711</v>
      </c>
      <c r="R154" s="241">
        <f>'Additional information'!$D$18</f>
        <v>0.91</v>
      </c>
      <c r="S154" s="351">
        <f t="shared" si="13"/>
        <v>17.582780933380128</v>
      </c>
      <c r="T154" s="150"/>
      <c r="V154" s="156" t="s">
        <v>230</v>
      </c>
      <c r="W154" s="155"/>
      <c r="Z154" s="167" t="s">
        <v>770</v>
      </c>
    </row>
    <row r="155" spans="1:26" s="153" customFormat="1" ht="17" thickBot="1" x14ac:dyDescent="0.25">
      <c r="A155" s="49"/>
      <c r="B155" s="174"/>
      <c r="C155" s="114"/>
      <c r="D155" s="94"/>
      <c r="E155" s="51"/>
      <c r="F155" s="94"/>
      <c r="G155" s="51"/>
      <c r="H155" s="115"/>
      <c r="I155" s="51"/>
      <c r="J155" s="51"/>
      <c r="K155" s="51"/>
      <c r="L155" s="66"/>
      <c r="M155" s="66"/>
      <c r="N155" s="66"/>
      <c r="O155" s="72"/>
      <c r="P155" s="10"/>
      <c r="Q155" s="242"/>
      <c r="R155" s="241">
        <f>'Additional information'!$D$18</f>
        <v>0.91</v>
      </c>
      <c r="S155" s="242">
        <f t="shared" si="13"/>
        <v>0</v>
      </c>
      <c r="T155" s="150"/>
      <c r="V155" s="156"/>
      <c r="W155" s="155"/>
      <c r="Z155" s="167"/>
    </row>
    <row r="156" spans="1:26" s="153" customFormat="1" ht="17" thickBot="1" x14ac:dyDescent="0.25">
      <c r="A156" s="591" t="s">
        <v>771</v>
      </c>
      <c r="B156" s="592"/>
      <c r="C156" s="592"/>
      <c r="D156" s="592"/>
      <c r="E156" s="592"/>
      <c r="F156" s="592"/>
      <c r="G156" s="592"/>
      <c r="H156" s="592"/>
      <c r="I156" s="592"/>
      <c r="J156" s="592"/>
      <c r="K156" s="592"/>
      <c r="L156" s="592"/>
      <c r="M156" s="592"/>
      <c r="N156" s="592"/>
      <c r="O156" s="592"/>
      <c r="P156" s="593"/>
      <c r="Q156" s="242"/>
      <c r="R156" s="243"/>
      <c r="S156" s="242"/>
      <c r="T156" s="150"/>
      <c r="V156" s="156"/>
      <c r="W156" s="155"/>
      <c r="Z156" s="154"/>
    </row>
    <row r="157" spans="1:26" s="153" customFormat="1" ht="120" customHeight="1" x14ac:dyDescent="0.2">
      <c r="A157" s="113">
        <f>A154+1</f>
        <v>52</v>
      </c>
      <c r="B157" s="321" t="s">
        <v>772</v>
      </c>
      <c r="C157" s="320" t="s">
        <v>772</v>
      </c>
      <c r="D157" s="561" t="s">
        <v>773</v>
      </c>
      <c r="E157" s="324">
        <f>LEN(D157)</f>
        <v>197</v>
      </c>
      <c r="F157" s="561" t="s">
        <v>774</v>
      </c>
      <c r="G157" s="324">
        <f>LEN(F157)</f>
        <v>240</v>
      </c>
      <c r="H157" s="324" t="s">
        <v>239</v>
      </c>
      <c r="I157" s="324" t="s">
        <v>220</v>
      </c>
      <c r="J157" s="324" t="s">
        <v>775</v>
      </c>
      <c r="K157" s="315" t="s">
        <v>240</v>
      </c>
      <c r="L157" s="325" t="s">
        <v>776</v>
      </c>
      <c r="M157" s="384" t="s">
        <v>777</v>
      </c>
      <c r="N157" s="168"/>
      <c r="O157" s="152" t="s">
        <v>778</v>
      </c>
      <c r="P157" s="9"/>
      <c r="Q157" s="351">
        <v>7.5</v>
      </c>
      <c r="R157" s="241">
        <f>'Additional information'!$D$19</f>
        <v>0.05</v>
      </c>
      <c r="S157" s="351">
        <f t="shared" ref="S157:S166" si="14">Q157*R157</f>
        <v>0.375</v>
      </c>
      <c r="T157" s="150"/>
      <c r="V157" s="156" t="s">
        <v>230</v>
      </c>
      <c r="W157" s="155"/>
      <c r="Z157" s="154" t="s">
        <v>320</v>
      </c>
    </row>
    <row r="158" spans="1:26" s="153" customFormat="1" x14ac:dyDescent="0.2">
      <c r="A158" s="49"/>
      <c r="B158" s="174"/>
      <c r="C158" s="114"/>
      <c r="D158" s="94"/>
      <c r="E158" s="51"/>
      <c r="F158" s="94"/>
      <c r="G158" s="51"/>
      <c r="H158" s="115"/>
      <c r="I158" s="51"/>
      <c r="J158" s="51"/>
      <c r="K158" s="51"/>
      <c r="L158" s="66"/>
      <c r="M158" s="66"/>
      <c r="N158" s="66"/>
      <c r="O158" s="72"/>
      <c r="P158" s="10"/>
      <c r="Q158" s="242"/>
      <c r="R158" s="241">
        <f>'Additional information'!$D$19</f>
        <v>0.05</v>
      </c>
      <c r="S158" s="242">
        <f t="shared" si="14"/>
        <v>0</v>
      </c>
      <c r="T158" s="150"/>
      <c r="V158" s="156"/>
      <c r="W158" s="155"/>
      <c r="Z158" s="167"/>
    </row>
    <row r="159" spans="1:26" s="153" customFormat="1" ht="170" x14ac:dyDescent="0.2">
      <c r="A159" s="113">
        <f>A157+1</f>
        <v>53</v>
      </c>
      <c r="B159" s="321" t="s">
        <v>70</v>
      </c>
      <c r="C159" s="320" t="s">
        <v>779</v>
      </c>
      <c r="D159" s="561" t="s">
        <v>780</v>
      </c>
      <c r="E159" s="324">
        <f>LEN(D159)</f>
        <v>235</v>
      </c>
      <c r="F159" s="343" t="s">
        <v>781</v>
      </c>
      <c r="G159" s="324">
        <f>LEN(F159)</f>
        <v>236</v>
      </c>
      <c r="H159" s="320" t="s">
        <v>436</v>
      </c>
      <c r="I159" s="324" t="s">
        <v>220</v>
      </c>
      <c r="J159" s="324" t="s">
        <v>220</v>
      </c>
      <c r="K159" s="324" t="s">
        <v>782</v>
      </c>
      <c r="L159" s="325" t="s">
        <v>783</v>
      </c>
      <c r="M159" s="325" t="s">
        <v>784</v>
      </c>
      <c r="N159" s="101"/>
      <c r="O159" s="152" t="s">
        <v>778</v>
      </c>
      <c r="P159" s="56"/>
      <c r="Q159" s="351">
        <v>19.090116500854492</v>
      </c>
      <c r="R159" s="241">
        <f>'Additional information'!$D$19</f>
        <v>0.05</v>
      </c>
      <c r="S159" s="351">
        <f t="shared" si="14"/>
        <v>0.95450582504272463</v>
      </c>
      <c r="T159" s="150"/>
      <c r="V159" s="156" t="s">
        <v>230</v>
      </c>
      <c r="W159" s="155"/>
      <c r="Z159" s="157" t="s">
        <v>785</v>
      </c>
    </row>
    <row r="160" spans="1:26" s="153" customFormat="1" x14ac:dyDescent="0.2">
      <c r="A160" s="113"/>
      <c r="B160" s="232"/>
      <c r="C160" s="114"/>
      <c r="D160" s="569"/>
      <c r="E160" s="120"/>
      <c r="F160" s="569"/>
      <c r="G160" s="120"/>
      <c r="H160" s="114"/>
      <c r="I160" s="120"/>
      <c r="J160" s="120"/>
      <c r="K160" s="120"/>
      <c r="L160" s="101"/>
      <c r="M160" s="101"/>
      <c r="N160" s="101"/>
      <c r="O160" s="152"/>
      <c r="P160" s="56"/>
      <c r="Q160" s="242"/>
      <c r="R160" s="241">
        <f>'Additional information'!$D$19</f>
        <v>0.05</v>
      </c>
      <c r="S160" s="242">
        <f t="shared" si="14"/>
        <v>0</v>
      </c>
      <c r="T160" s="150"/>
      <c r="V160" s="156"/>
      <c r="W160" s="155"/>
      <c r="Z160" s="157"/>
    </row>
    <row r="161" spans="1:26" ht="204" x14ac:dyDescent="0.2">
      <c r="A161" s="113">
        <f>A159+1</f>
        <v>54</v>
      </c>
      <c r="B161" s="404" t="s">
        <v>71</v>
      </c>
      <c r="C161" s="405" t="s">
        <v>71</v>
      </c>
      <c r="D161" s="328" t="s">
        <v>786</v>
      </c>
      <c r="E161" s="324">
        <f>LEN(D161)</f>
        <v>269</v>
      </c>
      <c r="F161" s="343" t="s">
        <v>787</v>
      </c>
      <c r="G161" s="324">
        <f>LEN(F161)</f>
        <v>355</v>
      </c>
      <c r="H161" s="405" t="s">
        <v>239</v>
      </c>
      <c r="I161" s="405" t="s">
        <v>220</v>
      </c>
      <c r="J161" s="405" t="s">
        <v>220</v>
      </c>
      <c r="K161" s="405" t="s">
        <v>240</v>
      </c>
      <c r="L161" s="406" t="s">
        <v>788</v>
      </c>
      <c r="M161" s="406" t="s">
        <v>789</v>
      </c>
      <c r="N161" s="106"/>
      <c r="O161" s="152" t="s">
        <v>778</v>
      </c>
      <c r="P161" s="10"/>
      <c r="Q161" s="351">
        <v>17.656976699829102</v>
      </c>
      <c r="R161" s="241">
        <f>'Additional information'!$D$19</f>
        <v>0.05</v>
      </c>
      <c r="S161" s="351">
        <f t="shared" si="14"/>
        <v>0.88284883499145517</v>
      </c>
      <c r="T161" s="150"/>
      <c r="V161" s="156" t="s">
        <v>230</v>
      </c>
      <c r="Z161" s="157" t="s">
        <v>790</v>
      </c>
    </row>
    <row r="162" spans="1:26" x14ac:dyDescent="0.2">
      <c r="A162" s="113"/>
      <c r="B162" s="166"/>
      <c r="C162" s="164"/>
      <c r="D162" s="165"/>
      <c r="E162" s="120"/>
      <c r="F162" s="165"/>
      <c r="G162" s="120"/>
      <c r="H162" s="164"/>
      <c r="I162" s="164"/>
      <c r="J162" s="164"/>
      <c r="K162" s="164"/>
      <c r="L162" s="106"/>
      <c r="M162" s="163"/>
      <c r="N162" s="106"/>
      <c r="O162" s="152"/>
      <c r="P162" s="10"/>
      <c r="Q162" s="242"/>
      <c r="R162" s="241">
        <f>'Additional information'!$D$19</f>
        <v>0.05</v>
      </c>
      <c r="S162" s="242">
        <f t="shared" si="14"/>
        <v>0</v>
      </c>
      <c r="T162" s="150"/>
      <c r="V162" s="156"/>
      <c r="Z162" s="157"/>
    </row>
    <row r="163" spans="1:26" s="153" customFormat="1" ht="153" x14ac:dyDescent="0.2">
      <c r="A163" s="113">
        <f>A161+1</f>
        <v>55</v>
      </c>
      <c r="B163" s="321" t="s">
        <v>72</v>
      </c>
      <c r="C163" s="320" t="s">
        <v>178</v>
      </c>
      <c r="D163" s="323" t="s">
        <v>791</v>
      </c>
      <c r="E163" s="324">
        <f>LEN(D163)</f>
        <v>168</v>
      </c>
      <c r="F163" s="343" t="s">
        <v>792</v>
      </c>
      <c r="G163" s="324">
        <f>LEN(F163)</f>
        <v>203</v>
      </c>
      <c r="H163" s="370" t="s">
        <v>239</v>
      </c>
      <c r="I163" s="324" t="s">
        <v>220</v>
      </c>
      <c r="J163" s="324" t="s">
        <v>220</v>
      </c>
      <c r="K163" s="324" t="s">
        <v>240</v>
      </c>
      <c r="L163" s="325" t="s">
        <v>793</v>
      </c>
      <c r="M163" s="317" t="s">
        <v>794</v>
      </c>
      <c r="N163" s="46"/>
      <c r="O163" s="152" t="s">
        <v>778</v>
      </c>
      <c r="P163" s="10"/>
      <c r="Q163" s="351">
        <v>8.7647056579589844</v>
      </c>
      <c r="R163" s="241">
        <f>'Additional information'!$D$19</f>
        <v>0.05</v>
      </c>
      <c r="S163" s="351">
        <f t="shared" si="14"/>
        <v>0.43823528289794922</v>
      </c>
      <c r="T163" s="150"/>
      <c r="V163" s="156" t="s">
        <v>230</v>
      </c>
      <c r="W163" s="155"/>
      <c r="Z163" s="154"/>
    </row>
    <row r="164" spans="1:26" s="153" customFormat="1" ht="306" x14ac:dyDescent="0.2">
      <c r="A164" s="49">
        <f>A163+1</f>
        <v>56</v>
      </c>
      <c r="B164" s="321" t="s">
        <v>73</v>
      </c>
      <c r="C164" s="320" t="s">
        <v>795</v>
      </c>
      <c r="D164" s="407" t="s">
        <v>796</v>
      </c>
      <c r="E164" s="315">
        <f>LEN(D164)</f>
        <v>622</v>
      </c>
      <c r="F164" s="275" t="s">
        <v>797</v>
      </c>
      <c r="G164" s="315">
        <f>LEN(F164)</f>
        <v>776</v>
      </c>
      <c r="H164" s="383" t="s">
        <v>571</v>
      </c>
      <c r="I164" s="315" t="s">
        <v>220</v>
      </c>
      <c r="J164" s="315" t="s">
        <v>220</v>
      </c>
      <c r="K164" s="315" t="s">
        <v>687</v>
      </c>
      <c r="L164" s="317" t="s">
        <v>798</v>
      </c>
      <c r="M164" s="317" t="s">
        <v>799</v>
      </c>
      <c r="N164" s="67"/>
      <c r="O164" s="72" t="s">
        <v>800</v>
      </c>
      <c r="P164" s="10"/>
      <c r="Q164" s="351">
        <v>27.953845977783203</v>
      </c>
      <c r="R164" s="241">
        <f>'Additional information'!$D$19</f>
        <v>0.05</v>
      </c>
      <c r="S164" s="351">
        <f t="shared" si="14"/>
        <v>1.3976922988891602</v>
      </c>
      <c r="T164" s="150"/>
      <c r="V164" s="156" t="s">
        <v>230</v>
      </c>
      <c r="W164" s="155"/>
      <c r="Z164" s="154"/>
    </row>
    <row r="165" spans="1:26" s="153" customFormat="1" ht="238" x14ac:dyDescent="0.2">
      <c r="A165" s="14">
        <f>A164+1</f>
        <v>57</v>
      </c>
      <c r="B165" s="199" t="s">
        <v>74</v>
      </c>
      <c r="C165" s="21" t="s">
        <v>801</v>
      </c>
      <c r="D165" s="22" t="s">
        <v>802</v>
      </c>
      <c r="E165" s="20">
        <f>LEN(D165)</f>
        <v>246</v>
      </c>
      <c r="F165" s="200" t="s">
        <v>803</v>
      </c>
      <c r="G165" s="20">
        <f>LEN(F165)</f>
        <v>313</v>
      </c>
      <c r="H165" s="21" t="s">
        <v>571</v>
      </c>
      <c r="I165" s="20" t="s">
        <v>220</v>
      </c>
      <c r="J165" s="20" t="s">
        <v>804</v>
      </c>
      <c r="K165" s="20" t="s">
        <v>805</v>
      </c>
      <c r="L165" s="31" t="s">
        <v>806</v>
      </c>
      <c r="M165" s="31" t="s">
        <v>807</v>
      </c>
      <c r="N165" s="31"/>
      <c r="O165" s="72" t="s">
        <v>808</v>
      </c>
      <c r="P165" s="10"/>
      <c r="Q165" s="242">
        <v>21.25</v>
      </c>
      <c r="R165" s="241">
        <f>'Additional information'!$D$19</f>
        <v>0.05</v>
      </c>
      <c r="S165" s="242">
        <f t="shared" si="14"/>
        <v>1.0625</v>
      </c>
      <c r="T165" s="150"/>
      <c r="V165" s="156" t="s">
        <v>219</v>
      </c>
      <c r="W165" s="155"/>
      <c r="Z165" s="154"/>
    </row>
    <row r="166" spans="1:26" s="153" customFormat="1" ht="17" thickBot="1" x14ac:dyDescent="0.25">
      <c r="A166" s="113"/>
      <c r="B166" s="232"/>
      <c r="C166" s="114"/>
      <c r="D166" s="165"/>
      <c r="E166" s="120"/>
      <c r="F166" s="165"/>
      <c r="G166" s="120"/>
      <c r="H166" s="123"/>
      <c r="I166" s="120"/>
      <c r="J166" s="120"/>
      <c r="K166" s="120"/>
      <c r="L166" s="101"/>
      <c r="M166" s="101"/>
      <c r="N166" s="101"/>
      <c r="O166" s="152"/>
      <c r="P166" s="56"/>
      <c r="Q166" s="242"/>
      <c r="R166" s="241">
        <f>'Additional information'!$D$19</f>
        <v>0.05</v>
      </c>
      <c r="S166" s="242">
        <f t="shared" si="14"/>
        <v>0</v>
      </c>
      <c r="T166" s="150"/>
      <c r="V166" s="156"/>
      <c r="W166" s="155"/>
      <c r="Z166" s="154"/>
    </row>
    <row r="167" spans="1:26" s="153" customFormat="1" ht="17" thickBot="1" x14ac:dyDescent="0.25">
      <c r="A167" s="591" t="s">
        <v>809</v>
      </c>
      <c r="B167" s="592"/>
      <c r="C167" s="592"/>
      <c r="D167" s="592"/>
      <c r="E167" s="592"/>
      <c r="F167" s="592"/>
      <c r="G167" s="592"/>
      <c r="H167" s="592"/>
      <c r="I167" s="592"/>
      <c r="J167" s="592"/>
      <c r="K167" s="592"/>
      <c r="L167" s="592"/>
      <c r="M167" s="592"/>
      <c r="N167" s="592"/>
      <c r="O167" s="592"/>
      <c r="P167" s="593"/>
      <c r="Q167" s="242"/>
      <c r="R167" s="241"/>
      <c r="S167" s="242"/>
      <c r="T167" s="150"/>
      <c r="V167" s="156"/>
      <c r="W167" s="155"/>
      <c r="Z167" s="154"/>
    </row>
    <row r="168" spans="1:26" s="153" customFormat="1" ht="204" x14ac:dyDescent="0.2">
      <c r="A168" s="113">
        <f>A165+1</f>
        <v>58</v>
      </c>
      <c r="B168" s="321" t="s">
        <v>75</v>
      </c>
      <c r="C168" s="320" t="s">
        <v>75</v>
      </c>
      <c r="D168" s="392" t="s">
        <v>810</v>
      </c>
      <c r="E168" s="324">
        <f>LEN(D168)</f>
        <v>233</v>
      </c>
      <c r="F168" s="275" t="s">
        <v>811</v>
      </c>
      <c r="G168" s="324">
        <f>LEN(F168)</f>
        <v>294</v>
      </c>
      <c r="H168" s="370" t="s">
        <v>285</v>
      </c>
      <c r="I168" s="324" t="s">
        <v>220</v>
      </c>
      <c r="J168" s="324" t="s">
        <v>220</v>
      </c>
      <c r="K168" s="324" t="s">
        <v>812</v>
      </c>
      <c r="L168" s="347" t="s">
        <v>813</v>
      </c>
      <c r="M168" s="552" t="s">
        <v>814</v>
      </c>
      <c r="N168" s="107"/>
      <c r="O168" s="162" t="s">
        <v>815</v>
      </c>
      <c r="P168" s="9"/>
      <c r="Q168" s="351">
        <v>14.384955406188965</v>
      </c>
      <c r="R168" s="241">
        <f>'Additional information'!$D$19</f>
        <v>0.05</v>
      </c>
      <c r="S168" s="351">
        <f t="shared" ref="S168:S174" si="15">Q168*R168</f>
        <v>0.71924777030944831</v>
      </c>
      <c r="T168" s="150"/>
      <c r="V168" s="156" t="s">
        <v>230</v>
      </c>
      <c r="W168" s="155"/>
      <c r="Z168" s="154"/>
    </row>
    <row r="169" spans="1:26" s="153" customFormat="1" x14ac:dyDescent="0.2">
      <c r="A169" s="113"/>
      <c r="B169" s="232"/>
      <c r="C169" s="114"/>
      <c r="D169" s="122"/>
      <c r="E169" s="120"/>
      <c r="F169" s="122"/>
      <c r="G169" s="120"/>
      <c r="H169" s="123"/>
      <c r="I169" s="120"/>
      <c r="J169" s="120"/>
      <c r="K169" s="120"/>
      <c r="L169" s="105"/>
      <c r="M169" s="102"/>
      <c r="N169" s="102"/>
      <c r="O169" s="162"/>
      <c r="P169" s="56"/>
      <c r="Q169" s="242"/>
      <c r="R169" s="241">
        <f>'Additional information'!$D$19</f>
        <v>0.05</v>
      </c>
      <c r="S169" s="242">
        <f t="shared" si="15"/>
        <v>0</v>
      </c>
      <c r="T169" s="150"/>
      <c r="V169" s="156"/>
      <c r="W169" s="155"/>
      <c r="Z169" s="154"/>
    </row>
    <row r="170" spans="1:26" s="153" customFormat="1" ht="153" x14ac:dyDescent="0.2">
      <c r="A170" s="49">
        <f>A168+1</f>
        <v>59</v>
      </c>
      <c r="B170" s="393" t="s">
        <v>76</v>
      </c>
      <c r="C170" s="315" t="s">
        <v>77</v>
      </c>
      <c r="D170" s="328" t="s">
        <v>816</v>
      </c>
      <c r="E170" s="315">
        <f>LEN(D170)</f>
        <v>159</v>
      </c>
      <c r="F170" s="275" t="s">
        <v>817</v>
      </c>
      <c r="G170" s="315">
        <f>LEN(F170)</f>
        <v>190</v>
      </c>
      <c r="H170" s="316" t="s">
        <v>239</v>
      </c>
      <c r="I170" s="315" t="s">
        <v>220</v>
      </c>
      <c r="J170" s="315" t="s">
        <v>220</v>
      </c>
      <c r="K170" s="315" t="s">
        <v>240</v>
      </c>
      <c r="L170" s="317" t="s">
        <v>818</v>
      </c>
      <c r="M170" s="408" t="s">
        <v>819</v>
      </c>
      <c r="N170" s="108"/>
      <c r="O170" s="162" t="s">
        <v>815</v>
      </c>
      <c r="P170" s="10"/>
      <c r="Q170" s="351">
        <v>9.4380531311035156</v>
      </c>
      <c r="R170" s="241">
        <f>'Additional information'!$D$19</f>
        <v>0.05</v>
      </c>
      <c r="S170" s="351">
        <f t="shared" si="15"/>
        <v>0.47190265655517583</v>
      </c>
      <c r="T170" s="150"/>
      <c r="V170" s="156" t="s">
        <v>230</v>
      </c>
      <c r="W170" s="155"/>
      <c r="Z170" s="154"/>
    </row>
    <row r="171" spans="1:26" s="153" customFormat="1" ht="306" x14ac:dyDescent="0.2">
      <c r="A171" s="49">
        <f>A170+1</f>
        <v>60</v>
      </c>
      <c r="B171" s="319" t="s">
        <v>77</v>
      </c>
      <c r="C171" s="320" t="s">
        <v>820</v>
      </c>
      <c r="D171" s="566" t="s">
        <v>821</v>
      </c>
      <c r="E171" s="315">
        <f>LEN(D171)</f>
        <v>644</v>
      </c>
      <c r="F171" s="275" t="s">
        <v>822</v>
      </c>
      <c r="G171" s="315">
        <f>LEN(F171)</f>
        <v>824</v>
      </c>
      <c r="H171" s="383" t="s">
        <v>571</v>
      </c>
      <c r="I171" s="315" t="s">
        <v>220</v>
      </c>
      <c r="J171" s="315" t="s">
        <v>220</v>
      </c>
      <c r="K171" s="315" t="s">
        <v>687</v>
      </c>
      <c r="L171" s="317" t="s">
        <v>823</v>
      </c>
      <c r="M171" s="380" t="s">
        <v>824</v>
      </c>
      <c r="N171" s="109"/>
      <c r="O171" s="72" t="s">
        <v>825</v>
      </c>
      <c r="P171" s="10"/>
      <c r="Q171" s="351">
        <v>27.766990661621094</v>
      </c>
      <c r="R171" s="241">
        <f>'Additional information'!$D$19</f>
        <v>0.05</v>
      </c>
      <c r="S171" s="351">
        <f t="shared" si="15"/>
        <v>1.3883495330810547</v>
      </c>
      <c r="T171" s="150"/>
      <c r="V171" s="156" t="s">
        <v>230</v>
      </c>
      <c r="W171" s="155"/>
      <c r="Z171" s="154" t="s">
        <v>826</v>
      </c>
    </row>
    <row r="172" spans="1:26" s="153" customFormat="1" x14ac:dyDescent="0.2">
      <c r="A172" s="127"/>
      <c r="B172" s="233"/>
      <c r="C172" s="52"/>
      <c r="D172" s="570"/>
      <c r="E172" s="117"/>
      <c r="F172" s="570"/>
      <c r="G172" s="117"/>
      <c r="H172" s="128"/>
      <c r="I172" s="117"/>
      <c r="J172" s="117"/>
      <c r="K172" s="117"/>
      <c r="L172" s="109"/>
      <c r="M172" s="109"/>
      <c r="N172" s="109"/>
      <c r="O172" s="72"/>
      <c r="P172" s="25"/>
      <c r="Q172" s="242"/>
      <c r="R172" s="241">
        <f>'Additional information'!$D$19</f>
        <v>0.05</v>
      </c>
      <c r="S172" s="242">
        <f t="shared" si="15"/>
        <v>0</v>
      </c>
      <c r="T172" s="150"/>
      <c r="V172" s="156"/>
      <c r="W172" s="155"/>
      <c r="Z172" s="154"/>
    </row>
    <row r="173" spans="1:26" s="153" customFormat="1" ht="221" x14ac:dyDescent="0.2">
      <c r="A173" s="127">
        <f>A171+1</f>
        <v>61</v>
      </c>
      <c r="B173" s="374" t="s">
        <v>78</v>
      </c>
      <c r="C173" s="383" t="s">
        <v>78</v>
      </c>
      <c r="D173" s="376" t="s">
        <v>1432</v>
      </c>
      <c r="E173" s="377">
        <f>LEN(D173)</f>
        <v>348</v>
      </c>
      <c r="F173" s="378" t="s">
        <v>1431</v>
      </c>
      <c r="G173" s="377">
        <f>LEN(F173)</f>
        <v>408</v>
      </c>
      <c r="H173" s="379" t="s">
        <v>239</v>
      </c>
      <c r="I173" s="377" t="s">
        <v>220</v>
      </c>
      <c r="J173" s="377" t="s">
        <v>220</v>
      </c>
      <c r="K173" s="377" t="s">
        <v>240</v>
      </c>
      <c r="L173" s="380" t="s">
        <v>827</v>
      </c>
      <c r="M173" s="380" t="s">
        <v>828</v>
      </c>
      <c r="N173" s="109"/>
      <c r="O173" s="162" t="s">
        <v>815</v>
      </c>
      <c r="P173" s="10"/>
      <c r="Q173" s="351">
        <v>13.705752372741699</v>
      </c>
      <c r="R173" s="241">
        <f>'Additional information'!$D$19</f>
        <v>0.05</v>
      </c>
      <c r="S173" s="351">
        <f t="shared" si="15"/>
        <v>0.68528761863708498</v>
      </c>
      <c r="T173" s="150"/>
      <c r="V173" s="156" t="s">
        <v>230</v>
      </c>
      <c r="W173" s="155"/>
      <c r="Z173" s="157" t="s">
        <v>790</v>
      </c>
    </row>
    <row r="174" spans="1:26" s="153" customFormat="1" ht="17" thickBot="1" x14ac:dyDescent="0.25">
      <c r="A174" s="127"/>
      <c r="B174" s="233"/>
      <c r="C174" s="129"/>
      <c r="D174" s="570"/>
      <c r="E174" s="117"/>
      <c r="F174" s="570"/>
      <c r="G174" s="117"/>
      <c r="H174" s="128"/>
      <c r="I174" s="117"/>
      <c r="J174" s="117"/>
      <c r="K174" s="117"/>
      <c r="L174" s="109"/>
      <c r="M174" s="109"/>
      <c r="N174" s="109"/>
      <c r="O174" s="72"/>
      <c r="P174" s="85"/>
      <c r="Q174" s="242"/>
      <c r="R174" s="241">
        <f>'Additional information'!$D$19</f>
        <v>0.05</v>
      </c>
      <c r="S174" s="242">
        <f t="shared" si="15"/>
        <v>0</v>
      </c>
      <c r="T174" s="150"/>
      <c r="V174" s="156"/>
      <c r="W174" s="155"/>
      <c r="Z174" s="154"/>
    </row>
    <row r="175" spans="1:26" s="153" customFormat="1" ht="17" thickBot="1" x14ac:dyDescent="0.25">
      <c r="A175" s="292" t="s">
        <v>829</v>
      </c>
      <c r="B175" s="594" t="s">
        <v>829</v>
      </c>
      <c r="C175" s="592"/>
      <c r="D175" s="592"/>
      <c r="E175" s="592"/>
      <c r="F175" s="592"/>
      <c r="G175" s="592"/>
      <c r="H175" s="592"/>
      <c r="I175" s="592"/>
      <c r="J175" s="592"/>
      <c r="K175" s="592"/>
      <c r="L175" s="592"/>
      <c r="M175" s="592"/>
      <c r="N175" s="592"/>
      <c r="O175" s="592"/>
      <c r="P175" s="593"/>
      <c r="Q175" s="242"/>
      <c r="R175" s="243"/>
      <c r="S175" s="242"/>
      <c r="T175" s="150"/>
      <c r="V175" s="156"/>
      <c r="W175" s="155"/>
      <c r="Z175" s="154"/>
    </row>
    <row r="176" spans="1:26" s="153" customFormat="1" ht="153" x14ac:dyDescent="0.2">
      <c r="A176" s="113">
        <f>A173+1</f>
        <v>62</v>
      </c>
      <c r="B176" s="321" t="s">
        <v>79</v>
      </c>
      <c r="C176" s="320" t="s">
        <v>79</v>
      </c>
      <c r="D176" s="323" t="s">
        <v>830</v>
      </c>
      <c r="E176" s="324">
        <f t="shared" ref="E176:E207" si="16">LEN(D176)</f>
        <v>335</v>
      </c>
      <c r="F176" s="323" t="s">
        <v>831</v>
      </c>
      <c r="G176" s="324">
        <f t="shared" ref="G176:G207" si="17">LEN(F176)</f>
        <v>439</v>
      </c>
      <c r="H176" s="370" t="s">
        <v>239</v>
      </c>
      <c r="I176" s="324" t="s">
        <v>220</v>
      </c>
      <c r="J176" s="324" t="s">
        <v>220</v>
      </c>
      <c r="K176" s="324" t="s">
        <v>240</v>
      </c>
      <c r="L176" s="325" t="s">
        <v>832</v>
      </c>
      <c r="M176" s="325" t="s">
        <v>833</v>
      </c>
      <c r="N176" s="101"/>
      <c r="O176" s="152" t="s">
        <v>408</v>
      </c>
      <c r="P176" s="161" t="s">
        <v>834</v>
      </c>
      <c r="Q176" s="351">
        <v>12.77690315246582</v>
      </c>
      <c r="R176" s="241">
        <v>1</v>
      </c>
      <c r="S176" s="351">
        <f t="shared" ref="S176:S225" si="18">Q176*R176</f>
        <v>12.77690315246582</v>
      </c>
      <c r="T176" s="150"/>
      <c r="V176" s="156" t="s">
        <v>230</v>
      </c>
      <c r="W176" s="155"/>
      <c r="Z176" s="154"/>
    </row>
    <row r="177" spans="1:26" s="153" customFormat="1" ht="170" x14ac:dyDescent="0.2">
      <c r="A177" s="49">
        <f t="shared" ref="A177:A218" si="19">A176+1</f>
        <v>63</v>
      </c>
      <c r="B177" s="319" t="s">
        <v>80</v>
      </c>
      <c r="C177" s="320" t="s">
        <v>80</v>
      </c>
      <c r="D177" s="386" t="s">
        <v>835</v>
      </c>
      <c r="E177" s="315">
        <f t="shared" si="16"/>
        <v>236</v>
      </c>
      <c r="F177" s="378" t="s">
        <v>836</v>
      </c>
      <c r="G177" s="315">
        <f t="shared" si="17"/>
        <v>256</v>
      </c>
      <c r="H177" s="316" t="s">
        <v>239</v>
      </c>
      <c r="I177" s="315" t="s">
        <v>220</v>
      </c>
      <c r="J177" s="315" t="s">
        <v>220</v>
      </c>
      <c r="K177" s="315" t="s">
        <v>240</v>
      </c>
      <c r="L177" s="317" t="s">
        <v>837</v>
      </c>
      <c r="M177" s="409" t="s">
        <v>838</v>
      </c>
      <c r="N177" s="110"/>
      <c r="O177" s="72" t="s">
        <v>408</v>
      </c>
      <c r="P177" s="10"/>
      <c r="Q177" s="351">
        <v>21.398605346679688</v>
      </c>
      <c r="R177" s="241">
        <v>1</v>
      </c>
      <c r="S177" s="351">
        <f t="shared" si="18"/>
        <v>21.398605346679688</v>
      </c>
      <c r="T177" s="150"/>
      <c r="V177" s="156" t="s">
        <v>230</v>
      </c>
      <c r="W177" s="155"/>
      <c r="Z177" s="154"/>
    </row>
    <row r="178" spans="1:26" s="153" customFormat="1" ht="170" x14ac:dyDescent="0.2">
      <c r="A178" s="49">
        <f t="shared" si="19"/>
        <v>64</v>
      </c>
      <c r="B178" s="319" t="s">
        <v>81</v>
      </c>
      <c r="C178" s="320" t="s">
        <v>81</v>
      </c>
      <c r="D178" s="386" t="s">
        <v>839</v>
      </c>
      <c r="E178" s="315">
        <f t="shared" si="16"/>
        <v>234</v>
      </c>
      <c r="F178" s="378" t="s">
        <v>840</v>
      </c>
      <c r="G178" s="315">
        <f t="shared" si="17"/>
        <v>253</v>
      </c>
      <c r="H178" s="316" t="s">
        <v>239</v>
      </c>
      <c r="I178" s="315" t="s">
        <v>220</v>
      </c>
      <c r="J178" s="315" t="s">
        <v>220</v>
      </c>
      <c r="K178" s="315" t="s">
        <v>240</v>
      </c>
      <c r="L178" s="317" t="s">
        <v>841</v>
      </c>
      <c r="M178" s="409" t="s">
        <v>842</v>
      </c>
      <c r="N178" s="110"/>
      <c r="O178" s="72" t="s">
        <v>408</v>
      </c>
      <c r="P178" s="10"/>
      <c r="Q178" s="351">
        <v>14.980740547180176</v>
      </c>
      <c r="R178" s="241">
        <v>1</v>
      </c>
      <c r="S178" s="351">
        <f t="shared" si="18"/>
        <v>14.980740547180176</v>
      </c>
      <c r="T178" s="150"/>
      <c r="V178" s="156" t="s">
        <v>230</v>
      </c>
      <c r="W178" s="155"/>
      <c r="Z178" s="154"/>
    </row>
    <row r="179" spans="1:26" s="153" customFormat="1" ht="153" x14ac:dyDescent="0.2">
      <c r="A179" s="49">
        <f t="shared" si="19"/>
        <v>65</v>
      </c>
      <c r="B179" s="319" t="s">
        <v>82</v>
      </c>
      <c r="C179" s="320" t="s">
        <v>82</v>
      </c>
      <c r="D179" s="386" t="s">
        <v>843</v>
      </c>
      <c r="E179" s="315">
        <f t="shared" si="16"/>
        <v>217</v>
      </c>
      <c r="F179" s="378" t="s">
        <v>844</v>
      </c>
      <c r="G179" s="315">
        <f t="shared" si="17"/>
        <v>235</v>
      </c>
      <c r="H179" s="316" t="s">
        <v>239</v>
      </c>
      <c r="I179" s="315" t="s">
        <v>220</v>
      </c>
      <c r="J179" s="315" t="s">
        <v>220</v>
      </c>
      <c r="K179" s="315" t="s">
        <v>240</v>
      </c>
      <c r="L179" s="317" t="s">
        <v>845</v>
      </c>
      <c r="M179" s="409" t="s">
        <v>846</v>
      </c>
      <c r="N179" s="110"/>
      <c r="O179" s="72" t="s">
        <v>408</v>
      </c>
      <c r="P179" s="10"/>
      <c r="Q179" s="351">
        <v>13.723021507263184</v>
      </c>
      <c r="R179" s="241">
        <v>1</v>
      </c>
      <c r="S179" s="351">
        <f t="shared" si="18"/>
        <v>13.723021507263184</v>
      </c>
      <c r="T179" s="150"/>
      <c r="V179" s="156" t="s">
        <v>230</v>
      </c>
      <c r="W179" s="155"/>
      <c r="Z179" s="154"/>
    </row>
    <row r="180" spans="1:26" s="153" customFormat="1" ht="170" x14ac:dyDescent="0.2">
      <c r="A180" s="49">
        <f t="shared" si="19"/>
        <v>66</v>
      </c>
      <c r="B180" s="319" t="s">
        <v>83</v>
      </c>
      <c r="C180" s="320" t="s">
        <v>83</v>
      </c>
      <c r="D180" s="386" t="s">
        <v>847</v>
      </c>
      <c r="E180" s="315">
        <f t="shared" si="16"/>
        <v>218</v>
      </c>
      <c r="F180" s="378" t="s">
        <v>848</v>
      </c>
      <c r="G180" s="315">
        <f t="shared" si="17"/>
        <v>272</v>
      </c>
      <c r="H180" s="316" t="s">
        <v>239</v>
      </c>
      <c r="I180" s="315" t="s">
        <v>220</v>
      </c>
      <c r="J180" s="315" t="s">
        <v>220</v>
      </c>
      <c r="K180" s="315" t="s">
        <v>240</v>
      </c>
      <c r="L180" s="317" t="s">
        <v>849</v>
      </c>
      <c r="M180" s="317" t="s">
        <v>850</v>
      </c>
      <c r="N180" s="99"/>
      <c r="O180" s="72" t="s">
        <v>408</v>
      </c>
      <c r="P180" s="10"/>
      <c r="Q180" s="351">
        <v>13.062200546264648</v>
      </c>
      <c r="R180" s="241">
        <v>1</v>
      </c>
      <c r="S180" s="351">
        <f t="shared" si="18"/>
        <v>13.062200546264648</v>
      </c>
      <c r="T180" s="150"/>
      <c r="V180" s="156" t="s">
        <v>230</v>
      </c>
      <c r="W180" s="155"/>
      <c r="Z180" s="154"/>
    </row>
    <row r="181" spans="1:26" s="153" customFormat="1" ht="170" x14ac:dyDescent="0.2">
      <c r="A181" s="49">
        <f t="shared" si="19"/>
        <v>67</v>
      </c>
      <c r="B181" s="319" t="s">
        <v>84</v>
      </c>
      <c r="C181" s="320" t="s">
        <v>84</v>
      </c>
      <c r="D181" s="386" t="s">
        <v>851</v>
      </c>
      <c r="E181" s="315">
        <f t="shared" si="16"/>
        <v>224</v>
      </c>
      <c r="F181" s="378" t="s">
        <v>852</v>
      </c>
      <c r="G181" s="315">
        <f t="shared" si="17"/>
        <v>301</v>
      </c>
      <c r="H181" s="316" t="s">
        <v>239</v>
      </c>
      <c r="I181" s="315" t="s">
        <v>220</v>
      </c>
      <c r="J181" s="315" t="s">
        <v>220</v>
      </c>
      <c r="K181" s="315" t="s">
        <v>240</v>
      </c>
      <c r="L181" s="317" t="s">
        <v>853</v>
      </c>
      <c r="M181" s="317" t="s">
        <v>854</v>
      </c>
      <c r="N181" s="99"/>
      <c r="O181" s="72" t="s">
        <v>408</v>
      </c>
      <c r="P181" s="10"/>
      <c r="Q181" s="351">
        <v>13.09532356262207</v>
      </c>
      <c r="R181" s="241">
        <v>1</v>
      </c>
      <c r="S181" s="351">
        <f t="shared" si="18"/>
        <v>13.09532356262207</v>
      </c>
      <c r="T181" s="150"/>
      <c r="V181" s="156" t="s">
        <v>230</v>
      </c>
      <c r="W181" s="155"/>
      <c r="Z181" s="154"/>
    </row>
    <row r="182" spans="1:26" s="153" customFormat="1" ht="170" x14ac:dyDescent="0.2">
      <c r="A182" s="49">
        <f t="shared" si="19"/>
        <v>68</v>
      </c>
      <c r="B182" s="319" t="s">
        <v>85</v>
      </c>
      <c r="C182" s="396" t="s">
        <v>85</v>
      </c>
      <c r="D182" s="411" t="s">
        <v>855</v>
      </c>
      <c r="E182" s="315">
        <f t="shared" si="16"/>
        <v>182</v>
      </c>
      <c r="F182" s="385" t="s">
        <v>856</v>
      </c>
      <c r="G182" s="315">
        <f t="shared" si="17"/>
        <v>280</v>
      </c>
      <c r="H182" s="316" t="s">
        <v>239</v>
      </c>
      <c r="I182" s="315" t="s">
        <v>220</v>
      </c>
      <c r="J182" s="315" t="s">
        <v>220</v>
      </c>
      <c r="K182" s="315" t="s">
        <v>240</v>
      </c>
      <c r="L182" s="317" t="s">
        <v>857</v>
      </c>
      <c r="M182" s="409" t="s">
        <v>858</v>
      </c>
      <c r="N182" s="110"/>
      <c r="O182" s="72" t="s">
        <v>408</v>
      </c>
      <c r="P182" s="10"/>
      <c r="Q182" s="351">
        <v>16.101019184652277</v>
      </c>
      <c r="R182" s="241">
        <v>1</v>
      </c>
      <c r="S182" s="351">
        <f t="shared" si="18"/>
        <v>16.101019184652277</v>
      </c>
      <c r="T182" s="150"/>
      <c r="V182" s="156" t="s">
        <v>230</v>
      </c>
      <c r="W182" s="155"/>
      <c r="Z182" s="154" t="s">
        <v>859</v>
      </c>
    </row>
    <row r="183" spans="1:26" s="293" customFormat="1" ht="153" x14ac:dyDescent="0.2">
      <c r="A183" s="49">
        <f t="shared" si="19"/>
        <v>69</v>
      </c>
      <c r="B183" s="319" t="s">
        <v>86</v>
      </c>
      <c r="C183" s="396" t="s">
        <v>86</v>
      </c>
      <c r="D183" s="410" t="s">
        <v>860</v>
      </c>
      <c r="E183" s="315">
        <f t="shared" si="16"/>
        <v>214</v>
      </c>
      <c r="F183" s="275" t="s">
        <v>861</v>
      </c>
      <c r="G183" s="315">
        <f t="shared" si="17"/>
        <v>280</v>
      </c>
      <c r="H183" s="316" t="s">
        <v>239</v>
      </c>
      <c r="I183" s="315" t="s">
        <v>220</v>
      </c>
      <c r="J183" s="315" t="s">
        <v>862</v>
      </c>
      <c r="K183" s="315" t="s">
        <v>240</v>
      </c>
      <c r="L183" s="317" t="s">
        <v>863</v>
      </c>
      <c r="M183" s="317" t="s">
        <v>864</v>
      </c>
      <c r="N183" s="99"/>
      <c r="O183" s="72" t="s">
        <v>865</v>
      </c>
      <c r="P183" s="10"/>
      <c r="Q183" s="351">
        <v>11.765043258666992</v>
      </c>
      <c r="R183" s="241">
        <v>1</v>
      </c>
      <c r="S183" s="351">
        <f t="shared" si="18"/>
        <v>11.765043258666992</v>
      </c>
      <c r="T183" s="150"/>
      <c r="V183" s="156" t="s">
        <v>230</v>
      </c>
      <c r="W183" s="155"/>
      <c r="Z183" s="154" t="s">
        <v>866</v>
      </c>
    </row>
    <row r="184" spans="1:26" s="153" customFormat="1" ht="153" x14ac:dyDescent="0.2">
      <c r="A184" s="49">
        <f t="shared" si="19"/>
        <v>70</v>
      </c>
      <c r="B184" s="319" t="s">
        <v>87</v>
      </c>
      <c r="C184" s="320" t="s">
        <v>87</v>
      </c>
      <c r="D184" s="411" t="s">
        <v>867</v>
      </c>
      <c r="E184" s="315">
        <f t="shared" si="16"/>
        <v>184</v>
      </c>
      <c r="F184" s="385" t="s">
        <v>868</v>
      </c>
      <c r="G184" s="315">
        <f t="shared" si="17"/>
        <v>230</v>
      </c>
      <c r="H184" s="316" t="s">
        <v>239</v>
      </c>
      <c r="I184" s="315" t="s">
        <v>220</v>
      </c>
      <c r="J184" s="315" t="s">
        <v>220</v>
      </c>
      <c r="K184" s="315" t="s">
        <v>240</v>
      </c>
      <c r="L184" s="317" t="s">
        <v>869</v>
      </c>
      <c r="M184" s="409" t="s">
        <v>870</v>
      </c>
      <c r="N184" s="110"/>
      <c r="O184" s="72" t="s">
        <v>408</v>
      </c>
      <c r="P184" s="10"/>
      <c r="Q184" s="351">
        <v>12.432478904724121</v>
      </c>
      <c r="R184" s="241">
        <v>1</v>
      </c>
      <c r="S184" s="351">
        <f t="shared" si="18"/>
        <v>12.432478904724121</v>
      </c>
      <c r="T184" s="150"/>
      <c r="V184" s="156" t="s">
        <v>230</v>
      </c>
      <c r="W184" s="155"/>
      <c r="Z184" s="154" t="s">
        <v>859</v>
      </c>
    </row>
    <row r="185" spans="1:26" s="153" customFormat="1" ht="153" x14ac:dyDescent="0.2">
      <c r="A185" s="49">
        <f t="shared" si="19"/>
        <v>71</v>
      </c>
      <c r="B185" s="319" t="s">
        <v>88</v>
      </c>
      <c r="C185" s="396" t="s">
        <v>88</v>
      </c>
      <c r="D185" s="410" t="s">
        <v>860</v>
      </c>
      <c r="E185" s="315">
        <f t="shared" si="16"/>
        <v>214</v>
      </c>
      <c r="F185" s="275" t="s">
        <v>861</v>
      </c>
      <c r="G185" s="315">
        <f t="shared" si="17"/>
        <v>280</v>
      </c>
      <c r="H185" s="316" t="s">
        <v>239</v>
      </c>
      <c r="I185" s="315" t="s">
        <v>220</v>
      </c>
      <c r="J185" s="315" t="s">
        <v>871</v>
      </c>
      <c r="K185" s="315" t="s">
        <v>240</v>
      </c>
      <c r="L185" s="317" t="s">
        <v>872</v>
      </c>
      <c r="M185" s="317" t="s">
        <v>873</v>
      </c>
      <c r="N185" s="99"/>
      <c r="O185" s="72" t="s">
        <v>874</v>
      </c>
      <c r="P185" s="10"/>
      <c r="Q185" s="351">
        <v>8.9801836013793945</v>
      </c>
      <c r="R185" s="241">
        <v>1</v>
      </c>
      <c r="S185" s="351">
        <f t="shared" si="18"/>
        <v>8.9801836013793945</v>
      </c>
      <c r="T185" s="150"/>
      <c r="V185" s="156" t="s">
        <v>230</v>
      </c>
      <c r="W185" s="155"/>
      <c r="Z185" s="154" t="s">
        <v>866</v>
      </c>
    </row>
    <row r="186" spans="1:26" s="153" customFormat="1" ht="170" x14ac:dyDescent="0.2">
      <c r="A186" s="49">
        <f t="shared" si="19"/>
        <v>72</v>
      </c>
      <c r="B186" s="319" t="s">
        <v>89</v>
      </c>
      <c r="C186" s="320" t="s">
        <v>89</v>
      </c>
      <c r="D186" s="411" t="s">
        <v>875</v>
      </c>
      <c r="E186" s="315">
        <f t="shared" si="16"/>
        <v>212</v>
      </c>
      <c r="F186" s="385" t="s">
        <v>876</v>
      </c>
      <c r="G186" s="315">
        <f t="shared" si="17"/>
        <v>253</v>
      </c>
      <c r="H186" s="316" t="s">
        <v>239</v>
      </c>
      <c r="I186" s="315" t="s">
        <v>220</v>
      </c>
      <c r="J186" s="315" t="s">
        <v>220</v>
      </c>
      <c r="K186" s="315" t="s">
        <v>240</v>
      </c>
      <c r="L186" s="317" t="s">
        <v>877</v>
      </c>
      <c r="M186" s="409" t="s">
        <v>878</v>
      </c>
      <c r="N186" s="45"/>
      <c r="O186" s="72" t="s">
        <v>408</v>
      </c>
      <c r="P186" s="10"/>
      <c r="Q186" s="351">
        <v>11.089328765869141</v>
      </c>
      <c r="R186" s="241">
        <v>1</v>
      </c>
      <c r="S186" s="351">
        <f t="shared" si="18"/>
        <v>11.089328765869141</v>
      </c>
      <c r="T186" s="150"/>
      <c r="V186" s="156" t="s">
        <v>230</v>
      </c>
      <c r="W186" s="155"/>
      <c r="Z186" s="154" t="s">
        <v>859</v>
      </c>
    </row>
    <row r="187" spans="1:26" s="153" customFormat="1" ht="153" x14ac:dyDescent="0.2">
      <c r="A187" s="49">
        <f t="shared" si="19"/>
        <v>73</v>
      </c>
      <c r="B187" s="319" t="s">
        <v>90</v>
      </c>
      <c r="C187" s="396" t="s">
        <v>90</v>
      </c>
      <c r="D187" s="410" t="s">
        <v>860</v>
      </c>
      <c r="E187" s="315">
        <f t="shared" si="16"/>
        <v>214</v>
      </c>
      <c r="F187" s="275" t="s">
        <v>861</v>
      </c>
      <c r="G187" s="315">
        <f t="shared" si="17"/>
        <v>280</v>
      </c>
      <c r="H187" s="316" t="s">
        <v>239</v>
      </c>
      <c r="I187" s="315" t="s">
        <v>220</v>
      </c>
      <c r="J187" s="315" t="s">
        <v>879</v>
      </c>
      <c r="K187" s="315" t="s">
        <v>240</v>
      </c>
      <c r="L187" s="317" t="s">
        <v>880</v>
      </c>
      <c r="M187" s="409" t="s">
        <v>881</v>
      </c>
      <c r="N187" s="45"/>
      <c r="O187" s="72" t="s">
        <v>882</v>
      </c>
      <c r="P187" s="10"/>
      <c r="Q187" s="351">
        <v>8.0683355331420898</v>
      </c>
      <c r="R187" s="241">
        <v>1</v>
      </c>
      <c r="S187" s="351">
        <f t="shared" si="18"/>
        <v>8.0683355331420898</v>
      </c>
      <c r="T187" s="150"/>
      <c r="V187" s="156" t="s">
        <v>230</v>
      </c>
      <c r="W187" s="155"/>
      <c r="Z187" s="154" t="s">
        <v>866</v>
      </c>
    </row>
    <row r="188" spans="1:26" s="153" customFormat="1" ht="372" x14ac:dyDescent="0.2">
      <c r="A188" s="130">
        <f t="shared" si="19"/>
        <v>74</v>
      </c>
      <c r="B188" s="199" t="s">
        <v>91</v>
      </c>
      <c r="C188" s="17" t="s">
        <v>91</v>
      </c>
      <c r="D188" s="39" t="s">
        <v>883</v>
      </c>
      <c r="E188" s="20">
        <f t="shared" si="16"/>
        <v>148</v>
      </c>
      <c r="F188" s="200" t="s">
        <v>884</v>
      </c>
      <c r="G188" s="20">
        <f t="shared" si="17"/>
        <v>211</v>
      </c>
      <c r="H188" s="36" t="s">
        <v>239</v>
      </c>
      <c r="I188" s="20" t="s">
        <v>220</v>
      </c>
      <c r="J188" s="20" t="s">
        <v>220</v>
      </c>
      <c r="K188" s="20" t="s">
        <v>240</v>
      </c>
      <c r="L188" s="31" t="s">
        <v>885</v>
      </c>
      <c r="M188" s="537"/>
      <c r="N188" s="538"/>
      <c r="O188" s="72" t="s">
        <v>408</v>
      </c>
      <c r="P188" s="139" t="s">
        <v>886</v>
      </c>
      <c r="Q188" s="242">
        <v>5.7112536430358887</v>
      </c>
      <c r="R188" s="243">
        <v>1</v>
      </c>
      <c r="S188" s="242">
        <f t="shared" si="18"/>
        <v>5.7112536430358887</v>
      </c>
      <c r="T188" s="150"/>
      <c r="V188" s="156" t="s">
        <v>219</v>
      </c>
      <c r="W188" s="155"/>
      <c r="Z188" s="154"/>
    </row>
    <row r="189" spans="1:26" s="153" customFormat="1" ht="221" x14ac:dyDescent="0.2">
      <c r="A189" s="130">
        <f t="shared" si="19"/>
        <v>75</v>
      </c>
      <c r="B189" s="539" t="s">
        <v>92</v>
      </c>
      <c r="C189" s="17" t="s">
        <v>887</v>
      </c>
      <c r="D189" s="22" t="s">
        <v>888</v>
      </c>
      <c r="E189" s="20">
        <f t="shared" si="16"/>
        <v>406</v>
      </c>
      <c r="F189" s="22" t="s">
        <v>889</v>
      </c>
      <c r="G189" s="20">
        <f t="shared" si="17"/>
        <v>473</v>
      </c>
      <c r="H189" s="36" t="s">
        <v>239</v>
      </c>
      <c r="I189" s="20" t="s">
        <v>220</v>
      </c>
      <c r="J189" s="20" t="s">
        <v>220</v>
      </c>
      <c r="K189" s="20" t="s">
        <v>240</v>
      </c>
      <c r="L189" s="31" t="s">
        <v>890</v>
      </c>
      <c r="M189" s="44"/>
      <c r="N189" s="44"/>
      <c r="O189" s="72" t="s">
        <v>408</v>
      </c>
      <c r="P189" s="10"/>
      <c r="Q189" s="242">
        <v>19.851530075073242</v>
      </c>
      <c r="R189" s="243">
        <v>1</v>
      </c>
      <c r="S189" s="242">
        <f t="shared" si="18"/>
        <v>19.851530075073242</v>
      </c>
      <c r="T189" s="150"/>
      <c r="V189" s="156" t="s">
        <v>219</v>
      </c>
      <c r="W189" s="155"/>
      <c r="Z189" s="154"/>
    </row>
    <row r="190" spans="1:26" s="153" customFormat="1" ht="204" x14ac:dyDescent="0.2">
      <c r="A190" s="130">
        <f t="shared" si="19"/>
        <v>76</v>
      </c>
      <c r="B190" s="539" t="s">
        <v>93</v>
      </c>
      <c r="C190" s="17" t="s">
        <v>891</v>
      </c>
      <c r="D190" s="22" t="s">
        <v>892</v>
      </c>
      <c r="E190" s="20">
        <f t="shared" si="16"/>
        <v>344</v>
      </c>
      <c r="F190" s="22" t="s">
        <v>893</v>
      </c>
      <c r="G190" s="20">
        <f t="shared" si="17"/>
        <v>423</v>
      </c>
      <c r="H190" s="36" t="s">
        <v>239</v>
      </c>
      <c r="I190" s="20" t="s">
        <v>220</v>
      </c>
      <c r="J190" s="20" t="s">
        <v>220</v>
      </c>
      <c r="K190" s="20" t="s">
        <v>240</v>
      </c>
      <c r="L190" s="31" t="s">
        <v>890</v>
      </c>
      <c r="M190" s="44"/>
      <c r="N190" s="44"/>
      <c r="O190" s="72" t="s">
        <v>408</v>
      </c>
      <c r="P190" s="10"/>
      <c r="Q190" s="242">
        <v>15.436671257019043</v>
      </c>
      <c r="R190" s="243">
        <v>1</v>
      </c>
      <c r="S190" s="242">
        <f t="shared" si="18"/>
        <v>15.436671257019043</v>
      </c>
      <c r="T190" s="150"/>
      <c r="V190" s="156" t="s">
        <v>219</v>
      </c>
      <c r="W190" s="155"/>
      <c r="Z190" s="154"/>
    </row>
    <row r="191" spans="1:26" s="153" customFormat="1" ht="221" x14ac:dyDescent="0.2">
      <c r="A191" s="130">
        <f t="shared" si="19"/>
        <v>77</v>
      </c>
      <c r="B191" s="539" t="s">
        <v>128</v>
      </c>
      <c r="C191" s="17" t="s">
        <v>128</v>
      </c>
      <c r="D191" s="22" t="s">
        <v>894</v>
      </c>
      <c r="E191" s="20">
        <f t="shared" si="16"/>
        <v>378</v>
      </c>
      <c r="F191" s="22" t="s">
        <v>895</v>
      </c>
      <c r="G191" s="20">
        <f t="shared" si="17"/>
        <v>457</v>
      </c>
      <c r="H191" s="36" t="s">
        <v>239</v>
      </c>
      <c r="I191" s="20" t="s">
        <v>220</v>
      </c>
      <c r="J191" s="20" t="s">
        <v>220</v>
      </c>
      <c r="K191" s="20" t="s">
        <v>240</v>
      </c>
      <c r="L191" s="31" t="s">
        <v>890</v>
      </c>
      <c r="M191" s="44"/>
      <c r="N191" s="44"/>
      <c r="O191" s="72" t="s">
        <v>408</v>
      </c>
      <c r="P191" s="10"/>
      <c r="Q191" s="242">
        <v>13.399938583374023</v>
      </c>
      <c r="R191" s="243">
        <v>1</v>
      </c>
      <c r="S191" s="242">
        <f t="shared" si="18"/>
        <v>13.399938583374023</v>
      </c>
      <c r="T191" s="150"/>
      <c r="V191" s="156" t="s">
        <v>219</v>
      </c>
      <c r="W191" s="155"/>
      <c r="Z191" s="154"/>
    </row>
    <row r="192" spans="1:26" s="153" customFormat="1" ht="221" x14ac:dyDescent="0.2">
      <c r="A192" s="130">
        <f t="shared" si="19"/>
        <v>78</v>
      </c>
      <c r="B192" s="539" t="s">
        <v>129</v>
      </c>
      <c r="C192" s="17" t="s">
        <v>129</v>
      </c>
      <c r="D192" s="22" t="s">
        <v>896</v>
      </c>
      <c r="E192" s="20">
        <f t="shared" si="16"/>
        <v>370</v>
      </c>
      <c r="F192" s="22" t="s">
        <v>897</v>
      </c>
      <c r="G192" s="20">
        <f t="shared" si="17"/>
        <v>451</v>
      </c>
      <c r="H192" s="36" t="s">
        <v>239</v>
      </c>
      <c r="I192" s="20" t="s">
        <v>220</v>
      </c>
      <c r="J192" s="20" t="s">
        <v>220</v>
      </c>
      <c r="K192" s="20" t="s">
        <v>240</v>
      </c>
      <c r="L192" s="31" t="s">
        <v>890</v>
      </c>
      <c r="M192" s="44"/>
      <c r="N192" s="44"/>
      <c r="O192" s="72" t="s">
        <v>408</v>
      </c>
      <c r="P192" s="10"/>
      <c r="Q192" s="242">
        <v>14.625933647155762</v>
      </c>
      <c r="R192" s="243">
        <v>1</v>
      </c>
      <c r="S192" s="242">
        <f t="shared" si="18"/>
        <v>14.625933647155762</v>
      </c>
      <c r="T192" s="150"/>
      <c r="V192" s="156" t="s">
        <v>219</v>
      </c>
      <c r="W192" s="155"/>
      <c r="Z192" s="154"/>
    </row>
    <row r="193" spans="1:26" s="153" customFormat="1" ht="221" x14ac:dyDescent="0.2">
      <c r="A193" s="130">
        <f t="shared" si="19"/>
        <v>79</v>
      </c>
      <c r="B193" s="539" t="s">
        <v>190</v>
      </c>
      <c r="C193" s="17" t="s">
        <v>190</v>
      </c>
      <c r="D193" s="22" t="s">
        <v>898</v>
      </c>
      <c r="E193" s="20">
        <f t="shared" si="16"/>
        <v>384</v>
      </c>
      <c r="F193" s="22" t="s">
        <v>899</v>
      </c>
      <c r="G193" s="20">
        <f t="shared" si="17"/>
        <v>470</v>
      </c>
      <c r="H193" s="36" t="s">
        <v>239</v>
      </c>
      <c r="I193" s="20" t="s">
        <v>220</v>
      </c>
      <c r="J193" s="20" t="s">
        <v>220</v>
      </c>
      <c r="K193" s="20" t="s">
        <v>240</v>
      </c>
      <c r="L193" s="31" t="s">
        <v>890</v>
      </c>
      <c r="M193" s="44"/>
      <c r="N193" s="44"/>
      <c r="O193" s="72" t="s">
        <v>408</v>
      </c>
      <c r="P193" s="10"/>
      <c r="Q193" s="242">
        <v>11.787801742553711</v>
      </c>
      <c r="R193" s="243">
        <v>1</v>
      </c>
      <c r="S193" s="242">
        <f t="shared" si="18"/>
        <v>11.787801742553711</v>
      </c>
      <c r="T193" s="150"/>
      <c r="V193" s="156" t="s">
        <v>219</v>
      </c>
      <c r="W193" s="155"/>
      <c r="Z193" s="154"/>
    </row>
    <row r="194" spans="1:26" s="153" customFormat="1" ht="221" x14ac:dyDescent="0.2">
      <c r="A194" s="130">
        <f t="shared" si="19"/>
        <v>80</v>
      </c>
      <c r="B194" s="539" t="s">
        <v>94</v>
      </c>
      <c r="C194" s="17" t="s">
        <v>94</v>
      </c>
      <c r="D194" s="22" t="s">
        <v>900</v>
      </c>
      <c r="E194" s="20">
        <f t="shared" si="16"/>
        <v>371</v>
      </c>
      <c r="F194" s="22" t="s">
        <v>901</v>
      </c>
      <c r="G194" s="20">
        <f t="shared" si="17"/>
        <v>464</v>
      </c>
      <c r="H194" s="36" t="s">
        <v>239</v>
      </c>
      <c r="I194" s="20" t="s">
        <v>220</v>
      </c>
      <c r="J194" s="20" t="s">
        <v>220</v>
      </c>
      <c r="K194" s="20" t="s">
        <v>240</v>
      </c>
      <c r="L194" s="31" t="s">
        <v>890</v>
      </c>
      <c r="M194" s="44"/>
      <c r="N194" s="44"/>
      <c r="O194" s="72" t="s">
        <v>408</v>
      </c>
      <c r="P194" s="10"/>
      <c r="Q194" s="242">
        <v>12.408086776733398</v>
      </c>
      <c r="R194" s="243">
        <v>1</v>
      </c>
      <c r="S194" s="242">
        <f t="shared" si="18"/>
        <v>12.408086776733398</v>
      </c>
      <c r="T194" s="150"/>
      <c r="V194" s="156" t="s">
        <v>219</v>
      </c>
      <c r="W194" s="155"/>
      <c r="Z194" s="154"/>
    </row>
    <row r="195" spans="1:26" s="153" customFormat="1" ht="204" x14ac:dyDescent="0.2">
      <c r="A195" s="130">
        <f t="shared" si="19"/>
        <v>81</v>
      </c>
      <c r="B195" s="539" t="s">
        <v>95</v>
      </c>
      <c r="C195" s="17" t="s">
        <v>95</v>
      </c>
      <c r="D195" s="22" t="s">
        <v>902</v>
      </c>
      <c r="E195" s="20">
        <f t="shared" si="16"/>
        <v>345</v>
      </c>
      <c r="F195" s="22" t="s">
        <v>903</v>
      </c>
      <c r="G195" s="20">
        <f t="shared" si="17"/>
        <v>422</v>
      </c>
      <c r="H195" s="36" t="s">
        <v>239</v>
      </c>
      <c r="I195" s="20" t="s">
        <v>220</v>
      </c>
      <c r="J195" s="20" t="s">
        <v>220</v>
      </c>
      <c r="K195" s="20" t="s">
        <v>240</v>
      </c>
      <c r="L195" s="31" t="s">
        <v>890</v>
      </c>
      <c r="M195" s="44"/>
      <c r="N195" s="44"/>
      <c r="O195" s="72" t="s">
        <v>408</v>
      </c>
      <c r="P195" s="10"/>
      <c r="Q195" s="242">
        <v>9.2894678115844727</v>
      </c>
      <c r="R195" s="243">
        <v>1</v>
      </c>
      <c r="S195" s="242">
        <f t="shared" si="18"/>
        <v>9.2894678115844727</v>
      </c>
      <c r="T195" s="150"/>
      <c r="V195" s="156" t="s">
        <v>219</v>
      </c>
      <c r="W195" s="155"/>
      <c r="Z195" s="154"/>
    </row>
    <row r="196" spans="1:26" s="153" customFormat="1" ht="221" x14ac:dyDescent="0.2">
      <c r="A196" s="130">
        <f t="shared" si="19"/>
        <v>82</v>
      </c>
      <c r="B196" s="539" t="s">
        <v>904</v>
      </c>
      <c r="C196" s="17" t="s">
        <v>904</v>
      </c>
      <c r="D196" s="22" t="s">
        <v>905</v>
      </c>
      <c r="E196" s="20">
        <f t="shared" si="16"/>
        <v>369</v>
      </c>
      <c r="F196" s="22" t="s">
        <v>906</v>
      </c>
      <c r="G196" s="20">
        <f t="shared" si="17"/>
        <v>450</v>
      </c>
      <c r="H196" s="36" t="s">
        <v>239</v>
      </c>
      <c r="I196" s="20" t="s">
        <v>220</v>
      </c>
      <c r="J196" s="20" t="s">
        <v>220</v>
      </c>
      <c r="K196" s="20" t="s">
        <v>240</v>
      </c>
      <c r="L196" s="31" t="s">
        <v>890</v>
      </c>
      <c r="M196" s="44"/>
      <c r="N196" s="44"/>
      <c r="O196" s="72" t="s">
        <v>408</v>
      </c>
      <c r="P196" s="10"/>
      <c r="Q196" s="242">
        <v>12</v>
      </c>
      <c r="R196" s="243">
        <v>1</v>
      </c>
      <c r="S196" s="242">
        <f t="shared" si="18"/>
        <v>12</v>
      </c>
      <c r="T196" s="150"/>
      <c r="V196" s="156" t="s">
        <v>219</v>
      </c>
      <c r="W196" s="155"/>
      <c r="Z196" s="154"/>
    </row>
    <row r="197" spans="1:26" s="153" customFormat="1" ht="221" x14ac:dyDescent="0.2">
      <c r="A197" s="130">
        <f t="shared" si="19"/>
        <v>83</v>
      </c>
      <c r="B197" s="539" t="s">
        <v>907</v>
      </c>
      <c r="C197" s="17" t="s">
        <v>907</v>
      </c>
      <c r="D197" s="22" t="s">
        <v>908</v>
      </c>
      <c r="E197" s="20">
        <f t="shared" si="16"/>
        <v>425</v>
      </c>
      <c r="F197" s="22" t="s">
        <v>909</v>
      </c>
      <c r="G197" s="20">
        <f t="shared" si="17"/>
        <v>496</v>
      </c>
      <c r="H197" s="36" t="s">
        <v>239</v>
      </c>
      <c r="I197" s="20" t="s">
        <v>220</v>
      </c>
      <c r="J197" s="20" t="s">
        <v>220</v>
      </c>
      <c r="K197" s="20" t="s">
        <v>240</v>
      </c>
      <c r="L197" s="31" t="s">
        <v>890</v>
      </c>
      <c r="M197" s="44"/>
      <c r="N197" s="44"/>
      <c r="O197" s="72" t="s">
        <v>408</v>
      </c>
      <c r="P197" s="10"/>
      <c r="Q197" s="242">
        <v>14.410958904109588</v>
      </c>
      <c r="R197" s="243">
        <v>1</v>
      </c>
      <c r="S197" s="242">
        <f t="shared" si="18"/>
        <v>14.410958904109588</v>
      </c>
      <c r="T197" s="150"/>
      <c r="V197" s="156" t="s">
        <v>219</v>
      </c>
      <c r="W197" s="155"/>
      <c r="Z197" s="154"/>
    </row>
    <row r="198" spans="1:26" s="153" customFormat="1" ht="204" x14ac:dyDescent="0.2">
      <c r="A198" s="130">
        <f t="shared" si="19"/>
        <v>84</v>
      </c>
      <c r="B198" s="539" t="s">
        <v>148</v>
      </c>
      <c r="C198" s="17" t="s">
        <v>148</v>
      </c>
      <c r="D198" s="22" t="s">
        <v>910</v>
      </c>
      <c r="E198" s="20">
        <f t="shared" si="16"/>
        <v>360</v>
      </c>
      <c r="F198" s="22" t="s">
        <v>911</v>
      </c>
      <c r="G198" s="20">
        <f t="shared" si="17"/>
        <v>431</v>
      </c>
      <c r="H198" s="36" t="s">
        <v>239</v>
      </c>
      <c r="I198" s="20" t="s">
        <v>220</v>
      </c>
      <c r="J198" s="20" t="s">
        <v>220</v>
      </c>
      <c r="K198" s="20" t="s">
        <v>240</v>
      </c>
      <c r="L198" s="31" t="s">
        <v>890</v>
      </c>
      <c r="M198" s="22"/>
      <c r="N198" s="31"/>
      <c r="O198" s="72" t="s">
        <v>408</v>
      </c>
      <c r="P198" s="10"/>
      <c r="Q198" s="242">
        <v>15.408385276794434</v>
      </c>
      <c r="R198" s="243">
        <v>1</v>
      </c>
      <c r="S198" s="242">
        <f t="shared" si="18"/>
        <v>15.408385276794434</v>
      </c>
      <c r="T198" s="150"/>
      <c r="V198" s="156" t="s">
        <v>219</v>
      </c>
      <c r="W198" s="155"/>
      <c r="Z198" s="154"/>
    </row>
    <row r="199" spans="1:26" s="153" customFormat="1" ht="221" x14ac:dyDescent="0.2">
      <c r="A199" s="130">
        <f t="shared" si="19"/>
        <v>85</v>
      </c>
      <c r="B199" s="539" t="s">
        <v>97</v>
      </c>
      <c r="C199" s="17" t="s">
        <v>97</v>
      </c>
      <c r="D199" s="22" t="s">
        <v>912</v>
      </c>
      <c r="E199" s="20">
        <f t="shared" si="16"/>
        <v>374</v>
      </c>
      <c r="F199" s="22" t="s">
        <v>913</v>
      </c>
      <c r="G199" s="20">
        <f t="shared" si="17"/>
        <v>458</v>
      </c>
      <c r="H199" s="36" t="s">
        <v>239</v>
      </c>
      <c r="I199" s="20" t="s">
        <v>220</v>
      </c>
      <c r="J199" s="20" t="s">
        <v>220</v>
      </c>
      <c r="K199" s="20" t="s">
        <v>240</v>
      </c>
      <c r="L199" s="31" t="s">
        <v>890</v>
      </c>
      <c r="M199" s="540"/>
      <c r="N199" s="541"/>
      <c r="O199" s="72" t="s">
        <v>408</v>
      </c>
      <c r="P199" s="10"/>
      <c r="Q199" s="242">
        <v>15.543986320495605</v>
      </c>
      <c r="R199" s="243">
        <v>1</v>
      </c>
      <c r="S199" s="242">
        <f t="shared" si="18"/>
        <v>15.543986320495605</v>
      </c>
      <c r="T199" s="150"/>
      <c r="V199" s="156" t="s">
        <v>219</v>
      </c>
      <c r="W199" s="155"/>
      <c r="Z199" s="154"/>
    </row>
    <row r="200" spans="1:26" s="153" customFormat="1" ht="221" x14ac:dyDescent="0.2">
      <c r="A200" s="130">
        <f t="shared" si="19"/>
        <v>86</v>
      </c>
      <c r="B200" s="539" t="s">
        <v>914</v>
      </c>
      <c r="C200" s="17" t="s">
        <v>914</v>
      </c>
      <c r="D200" s="22" t="s">
        <v>915</v>
      </c>
      <c r="E200" s="20">
        <f t="shared" si="16"/>
        <v>379</v>
      </c>
      <c r="F200" s="22" t="s">
        <v>916</v>
      </c>
      <c r="G200" s="20">
        <f t="shared" si="17"/>
        <v>476</v>
      </c>
      <c r="H200" s="36" t="s">
        <v>239</v>
      </c>
      <c r="I200" s="20" t="s">
        <v>220</v>
      </c>
      <c r="J200" s="20" t="s">
        <v>220</v>
      </c>
      <c r="K200" s="20" t="s">
        <v>240</v>
      </c>
      <c r="L200" s="31" t="s">
        <v>890</v>
      </c>
      <c r="M200" s="542"/>
      <c r="N200" s="543"/>
      <c r="O200" s="72" t="s">
        <v>408</v>
      </c>
      <c r="P200" s="10"/>
      <c r="Q200" s="242">
        <v>12</v>
      </c>
      <c r="R200" s="243">
        <v>1</v>
      </c>
      <c r="S200" s="242">
        <f t="shared" si="18"/>
        <v>12</v>
      </c>
      <c r="T200" s="150"/>
      <c r="V200" s="156" t="s">
        <v>219</v>
      </c>
      <c r="W200" s="155"/>
      <c r="Z200" s="154"/>
    </row>
    <row r="201" spans="1:26" s="153" customFormat="1" ht="221" x14ac:dyDescent="0.2">
      <c r="A201" s="130">
        <f t="shared" si="19"/>
        <v>87</v>
      </c>
      <c r="B201" s="539" t="s">
        <v>98</v>
      </c>
      <c r="C201" s="17" t="s">
        <v>98</v>
      </c>
      <c r="D201" s="22" t="s">
        <v>917</v>
      </c>
      <c r="E201" s="20">
        <f t="shared" si="16"/>
        <v>398</v>
      </c>
      <c r="F201" s="22" t="s">
        <v>918</v>
      </c>
      <c r="G201" s="20">
        <f t="shared" si="17"/>
        <v>497</v>
      </c>
      <c r="H201" s="36" t="s">
        <v>239</v>
      </c>
      <c r="I201" s="20" t="s">
        <v>220</v>
      </c>
      <c r="J201" s="20" t="s">
        <v>220</v>
      </c>
      <c r="K201" s="20" t="s">
        <v>240</v>
      </c>
      <c r="L201" s="31" t="s">
        <v>890</v>
      </c>
      <c r="M201" s="542"/>
      <c r="N201" s="543"/>
      <c r="O201" s="72" t="s">
        <v>408</v>
      </c>
      <c r="P201" s="10"/>
      <c r="Q201" s="242">
        <v>12.996181488037109</v>
      </c>
      <c r="R201" s="243">
        <v>1</v>
      </c>
      <c r="S201" s="242">
        <f t="shared" si="18"/>
        <v>12.996181488037109</v>
      </c>
      <c r="T201" s="150"/>
      <c r="V201" s="156" t="s">
        <v>219</v>
      </c>
      <c r="W201" s="155"/>
      <c r="Z201" s="154"/>
    </row>
    <row r="202" spans="1:26" s="153" customFormat="1" ht="221" x14ac:dyDescent="0.2">
      <c r="A202" s="130">
        <f t="shared" si="19"/>
        <v>88</v>
      </c>
      <c r="B202" s="539" t="s">
        <v>130</v>
      </c>
      <c r="C202" s="17" t="s">
        <v>130</v>
      </c>
      <c r="D202" s="22" t="s">
        <v>919</v>
      </c>
      <c r="E202" s="20">
        <f t="shared" si="16"/>
        <v>421</v>
      </c>
      <c r="F202" s="22" t="s">
        <v>920</v>
      </c>
      <c r="G202" s="20">
        <f t="shared" si="17"/>
        <v>503</v>
      </c>
      <c r="H202" s="36" t="s">
        <v>239</v>
      </c>
      <c r="I202" s="20" t="s">
        <v>220</v>
      </c>
      <c r="J202" s="20" t="s">
        <v>220</v>
      </c>
      <c r="K202" s="20" t="s">
        <v>240</v>
      </c>
      <c r="L202" s="31" t="s">
        <v>890</v>
      </c>
      <c r="M202" s="542"/>
      <c r="N202" s="543"/>
      <c r="O202" s="72" t="s">
        <v>408</v>
      </c>
      <c r="P202" s="10"/>
      <c r="Q202" s="242">
        <v>14.752389907836914</v>
      </c>
      <c r="R202" s="243">
        <v>1</v>
      </c>
      <c r="S202" s="242">
        <f t="shared" si="18"/>
        <v>14.752389907836914</v>
      </c>
      <c r="T202" s="150"/>
      <c r="V202" s="156" t="s">
        <v>219</v>
      </c>
      <c r="W202" s="155"/>
      <c r="Z202" s="154"/>
    </row>
    <row r="203" spans="1:26" s="153" customFormat="1" ht="204" x14ac:dyDescent="0.2">
      <c r="A203" s="130">
        <f t="shared" si="19"/>
        <v>89</v>
      </c>
      <c r="B203" s="539" t="s">
        <v>99</v>
      </c>
      <c r="C203" s="17" t="s">
        <v>99</v>
      </c>
      <c r="D203" s="22" t="s">
        <v>921</v>
      </c>
      <c r="E203" s="20">
        <f t="shared" si="16"/>
        <v>349</v>
      </c>
      <c r="F203" s="22" t="s">
        <v>922</v>
      </c>
      <c r="G203" s="20">
        <f t="shared" si="17"/>
        <v>431</v>
      </c>
      <c r="H203" s="36" t="s">
        <v>239</v>
      </c>
      <c r="I203" s="20" t="s">
        <v>220</v>
      </c>
      <c r="J203" s="20" t="s">
        <v>220</v>
      </c>
      <c r="K203" s="20" t="s">
        <v>240</v>
      </c>
      <c r="L203" s="31" t="s">
        <v>890</v>
      </c>
      <c r="M203" s="542"/>
      <c r="N203" s="543"/>
      <c r="O203" s="72" t="s">
        <v>408</v>
      </c>
      <c r="P203" s="10"/>
      <c r="Q203" s="242">
        <v>10.668112754821777</v>
      </c>
      <c r="R203" s="243">
        <v>1</v>
      </c>
      <c r="S203" s="242">
        <f t="shared" si="18"/>
        <v>10.668112754821777</v>
      </c>
      <c r="T203" s="150"/>
      <c r="V203" s="156" t="s">
        <v>219</v>
      </c>
      <c r="W203" s="155"/>
      <c r="Z203" s="154"/>
    </row>
    <row r="204" spans="1:26" s="153" customFormat="1" ht="204" x14ac:dyDescent="0.2">
      <c r="A204" s="130">
        <f t="shared" si="19"/>
        <v>90</v>
      </c>
      <c r="B204" s="539" t="s">
        <v>100</v>
      </c>
      <c r="C204" s="17" t="s">
        <v>100</v>
      </c>
      <c r="D204" s="22" t="s">
        <v>923</v>
      </c>
      <c r="E204" s="20">
        <f t="shared" si="16"/>
        <v>334</v>
      </c>
      <c r="F204" s="22" t="s">
        <v>924</v>
      </c>
      <c r="G204" s="20">
        <f t="shared" si="17"/>
        <v>408</v>
      </c>
      <c r="H204" s="36" t="s">
        <v>239</v>
      </c>
      <c r="I204" s="20" t="s">
        <v>220</v>
      </c>
      <c r="J204" s="20" t="s">
        <v>220</v>
      </c>
      <c r="K204" s="20" t="s">
        <v>240</v>
      </c>
      <c r="L204" s="31" t="s">
        <v>890</v>
      </c>
      <c r="M204" s="542"/>
      <c r="N204" s="543"/>
      <c r="O204" s="72" t="s">
        <v>408</v>
      </c>
      <c r="P204" s="10"/>
      <c r="Q204" s="242">
        <v>9.716710090637207</v>
      </c>
      <c r="R204" s="243">
        <v>1</v>
      </c>
      <c r="S204" s="242">
        <f t="shared" si="18"/>
        <v>9.716710090637207</v>
      </c>
      <c r="T204" s="150"/>
      <c r="V204" s="156" t="s">
        <v>219</v>
      </c>
      <c r="W204" s="155"/>
      <c r="Z204" s="154"/>
    </row>
    <row r="205" spans="1:26" s="153" customFormat="1" ht="221" x14ac:dyDescent="0.2">
      <c r="A205" s="130">
        <f t="shared" si="19"/>
        <v>91</v>
      </c>
      <c r="B205" s="539" t="s">
        <v>101</v>
      </c>
      <c r="C205" s="17" t="s">
        <v>101</v>
      </c>
      <c r="D205" s="22" t="s">
        <v>925</v>
      </c>
      <c r="E205" s="20">
        <f t="shared" si="16"/>
        <v>401</v>
      </c>
      <c r="F205" s="22" t="s">
        <v>926</v>
      </c>
      <c r="G205" s="20">
        <f t="shared" si="17"/>
        <v>511</v>
      </c>
      <c r="H205" s="36" t="s">
        <v>239</v>
      </c>
      <c r="I205" s="20" t="s">
        <v>220</v>
      </c>
      <c r="J205" s="20" t="s">
        <v>220</v>
      </c>
      <c r="K205" s="20" t="s">
        <v>240</v>
      </c>
      <c r="L205" s="31" t="s">
        <v>890</v>
      </c>
      <c r="M205" s="542"/>
      <c r="N205" s="543"/>
      <c r="O205" s="72" t="s">
        <v>408</v>
      </c>
      <c r="P205" s="10"/>
      <c r="Q205" s="242">
        <v>10.953365325927734</v>
      </c>
      <c r="R205" s="243">
        <v>1</v>
      </c>
      <c r="S205" s="242">
        <f t="shared" si="18"/>
        <v>10.953365325927734</v>
      </c>
      <c r="T205" s="150"/>
      <c r="V205" s="156" t="s">
        <v>219</v>
      </c>
      <c r="W205" s="155"/>
      <c r="Z205" s="154"/>
    </row>
    <row r="206" spans="1:26" s="153" customFormat="1" ht="220" customHeight="1" x14ac:dyDescent="0.2">
      <c r="A206" s="130">
        <f t="shared" si="19"/>
        <v>92</v>
      </c>
      <c r="B206" s="539" t="s">
        <v>102</v>
      </c>
      <c r="C206" s="17" t="s">
        <v>102</v>
      </c>
      <c r="D206" s="22" t="s">
        <v>927</v>
      </c>
      <c r="E206" s="20">
        <f t="shared" si="16"/>
        <v>355</v>
      </c>
      <c r="F206" s="22" t="s">
        <v>928</v>
      </c>
      <c r="G206" s="20">
        <f t="shared" si="17"/>
        <v>439</v>
      </c>
      <c r="H206" s="36" t="s">
        <v>239</v>
      </c>
      <c r="I206" s="20" t="s">
        <v>220</v>
      </c>
      <c r="J206" s="20" t="s">
        <v>220</v>
      </c>
      <c r="K206" s="20" t="s">
        <v>240</v>
      </c>
      <c r="L206" s="31" t="s">
        <v>890</v>
      </c>
      <c r="M206" s="542"/>
      <c r="N206" s="543"/>
      <c r="O206" s="72" t="s">
        <v>408</v>
      </c>
      <c r="P206" s="10"/>
      <c r="Q206" s="242">
        <v>10.114131927490234</v>
      </c>
      <c r="R206" s="243">
        <v>1</v>
      </c>
      <c r="S206" s="242">
        <f t="shared" si="18"/>
        <v>10.114131927490234</v>
      </c>
      <c r="T206" s="150"/>
      <c r="V206" s="156" t="s">
        <v>219</v>
      </c>
      <c r="W206" s="155"/>
      <c r="Y206" s="160"/>
      <c r="Z206" s="154"/>
    </row>
    <row r="207" spans="1:26" s="153" customFormat="1" ht="204" x14ac:dyDescent="0.2">
      <c r="A207" s="130">
        <f t="shared" si="19"/>
        <v>93</v>
      </c>
      <c r="B207" s="539" t="s">
        <v>104</v>
      </c>
      <c r="C207" s="17" t="s">
        <v>104</v>
      </c>
      <c r="D207" s="22" t="s">
        <v>929</v>
      </c>
      <c r="E207" s="20">
        <f t="shared" si="16"/>
        <v>335</v>
      </c>
      <c r="F207" s="22" t="s">
        <v>930</v>
      </c>
      <c r="G207" s="20">
        <f t="shared" si="17"/>
        <v>399</v>
      </c>
      <c r="H207" s="36" t="s">
        <v>239</v>
      </c>
      <c r="I207" s="20" t="s">
        <v>220</v>
      </c>
      <c r="J207" s="20" t="s">
        <v>220</v>
      </c>
      <c r="K207" s="20" t="s">
        <v>240</v>
      </c>
      <c r="L207" s="31" t="s">
        <v>890</v>
      </c>
      <c r="M207" s="542"/>
      <c r="N207" s="543"/>
      <c r="O207" s="72" t="s">
        <v>408</v>
      </c>
      <c r="P207" s="10"/>
      <c r="Q207" s="242">
        <v>10.867705345153809</v>
      </c>
      <c r="R207" s="243">
        <v>1</v>
      </c>
      <c r="S207" s="242">
        <f t="shared" si="18"/>
        <v>10.867705345153809</v>
      </c>
      <c r="T207" s="150"/>
      <c r="V207" s="156" t="s">
        <v>219</v>
      </c>
      <c r="W207" s="155"/>
      <c r="Z207" s="154"/>
    </row>
    <row r="208" spans="1:26" s="153" customFormat="1" ht="409.6" x14ac:dyDescent="0.2">
      <c r="A208" s="49">
        <f>A207+1</f>
        <v>94</v>
      </c>
      <c r="B208" s="319" t="s">
        <v>106</v>
      </c>
      <c r="C208" s="320" t="s">
        <v>931</v>
      </c>
      <c r="D208" s="586" t="s">
        <v>1462</v>
      </c>
      <c r="E208" s="315">
        <f t="shared" ref="E208:E225" si="20">LEN(D208)</f>
        <v>1374</v>
      </c>
      <c r="F208" s="275" t="s">
        <v>1463</v>
      </c>
      <c r="G208" s="315">
        <f t="shared" ref="G208:G225" si="21">LEN(F208)</f>
        <v>1624</v>
      </c>
      <c r="H208" s="316" t="s">
        <v>436</v>
      </c>
      <c r="I208" s="315" t="s">
        <v>220</v>
      </c>
      <c r="J208" s="315" t="s">
        <v>220</v>
      </c>
      <c r="K208" s="315" t="s">
        <v>437</v>
      </c>
      <c r="L208" s="317" t="s">
        <v>932</v>
      </c>
      <c r="M208" s="317" t="s">
        <v>933</v>
      </c>
      <c r="N208" s="99"/>
      <c r="O208" s="72" t="s">
        <v>408</v>
      </c>
      <c r="P208" s="159"/>
      <c r="Q208" s="351">
        <v>72.295135498046875</v>
      </c>
      <c r="R208" s="241">
        <v>1</v>
      </c>
      <c r="S208" s="351">
        <f t="shared" si="18"/>
        <v>72.295135498046875</v>
      </c>
      <c r="T208" s="150"/>
      <c r="V208" s="156" t="s">
        <v>230</v>
      </c>
      <c r="W208" s="155"/>
      <c r="Z208" s="154"/>
    </row>
    <row r="209" spans="1:26" s="153" customFormat="1" ht="170" x14ac:dyDescent="0.2">
      <c r="A209" s="294">
        <f t="shared" si="19"/>
        <v>95</v>
      </c>
      <c r="B209" s="374" t="s">
        <v>107</v>
      </c>
      <c r="C209" s="396" t="s">
        <v>107</v>
      </c>
      <c r="D209" s="376" t="s">
        <v>934</v>
      </c>
      <c r="E209" s="377">
        <f t="shared" si="20"/>
        <v>327</v>
      </c>
      <c r="F209" s="343" t="s">
        <v>935</v>
      </c>
      <c r="G209" s="377">
        <f t="shared" si="21"/>
        <v>485</v>
      </c>
      <c r="H209" s="412" t="s">
        <v>239</v>
      </c>
      <c r="I209" s="413" t="s">
        <v>220</v>
      </c>
      <c r="J209" s="413" t="s">
        <v>220</v>
      </c>
      <c r="K209" s="413" t="s">
        <v>240</v>
      </c>
      <c r="L209" s="381" t="s">
        <v>936</v>
      </c>
      <c r="M209" s="381" t="s">
        <v>937</v>
      </c>
      <c r="N209" s="48"/>
      <c r="O209" s="146" t="s">
        <v>220</v>
      </c>
      <c r="P209" s="158"/>
      <c r="Q209" s="351">
        <v>3.7052218914031982</v>
      </c>
      <c r="R209" s="241">
        <v>1</v>
      </c>
      <c r="S209" s="351">
        <f t="shared" si="18"/>
        <v>3.7052218914031982</v>
      </c>
      <c r="T209" s="150"/>
      <c r="V209" s="156" t="s">
        <v>230</v>
      </c>
      <c r="W209" s="155"/>
      <c r="Z209" s="154"/>
    </row>
    <row r="210" spans="1:26" s="153" customFormat="1" ht="85" x14ac:dyDescent="0.2">
      <c r="A210" s="14">
        <f t="shared" si="19"/>
        <v>96</v>
      </c>
      <c r="B210" s="199" t="s">
        <v>938</v>
      </c>
      <c r="C210" s="209" t="s">
        <v>938</v>
      </c>
      <c r="D210" s="571" t="s">
        <v>939</v>
      </c>
      <c r="E210" s="20">
        <f t="shared" si="20"/>
        <v>177</v>
      </c>
      <c r="F210" s="571" t="s">
        <v>940</v>
      </c>
      <c r="G210" s="20">
        <f t="shared" si="21"/>
        <v>218</v>
      </c>
      <c r="H210" s="36" t="s">
        <v>239</v>
      </c>
      <c r="I210" s="20" t="s">
        <v>220</v>
      </c>
      <c r="J210" s="20" t="s">
        <v>220</v>
      </c>
      <c r="K210" s="20" t="s">
        <v>240</v>
      </c>
      <c r="L210" s="31" t="s">
        <v>941</v>
      </c>
      <c r="M210" s="31" t="s">
        <v>942</v>
      </c>
      <c r="N210" s="31"/>
      <c r="O210" s="72" t="s">
        <v>408</v>
      </c>
      <c r="P210" s="550"/>
      <c r="Q210" s="242"/>
      <c r="R210" s="243">
        <v>1</v>
      </c>
      <c r="S210" s="242">
        <f t="shared" si="18"/>
        <v>0</v>
      </c>
      <c r="T210" s="150"/>
      <c r="V210" s="156" t="s">
        <v>219</v>
      </c>
      <c r="W210" s="155"/>
      <c r="Z210" s="154" t="s">
        <v>320</v>
      </c>
    </row>
    <row r="211" spans="1:26" s="153" customFormat="1" ht="102" x14ac:dyDescent="0.2">
      <c r="A211" s="14">
        <f t="shared" si="19"/>
        <v>97</v>
      </c>
      <c r="B211" s="199" t="s">
        <v>943</v>
      </c>
      <c r="C211" s="209" t="s">
        <v>943</v>
      </c>
      <c r="D211" s="571" t="s">
        <v>944</v>
      </c>
      <c r="E211" s="20">
        <f t="shared" si="20"/>
        <v>231</v>
      </c>
      <c r="F211" s="571" t="s">
        <v>945</v>
      </c>
      <c r="G211" s="20">
        <f t="shared" si="21"/>
        <v>345</v>
      </c>
      <c r="H211" s="36" t="s">
        <v>328</v>
      </c>
      <c r="I211" s="20" t="s">
        <v>220</v>
      </c>
      <c r="J211" s="20" t="s">
        <v>220</v>
      </c>
      <c r="K211" s="20" t="s">
        <v>223</v>
      </c>
      <c r="L211" s="31" t="s">
        <v>946</v>
      </c>
      <c r="M211" s="31" t="s">
        <v>947</v>
      </c>
      <c r="N211" s="31"/>
      <c r="O211" s="72" t="s">
        <v>408</v>
      </c>
      <c r="P211" s="143"/>
      <c r="Q211" s="242">
        <v>17</v>
      </c>
      <c r="R211" s="243">
        <v>1</v>
      </c>
      <c r="S211" s="242">
        <f t="shared" si="18"/>
        <v>17</v>
      </c>
      <c r="T211" s="150"/>
      <c r="V211" s="156" t="s">
        <v>219</v>
      </c>
      <c r="W211" s="155"/>
      <c r="Z211" s="154" t="s">
        <v>320</v>
      </c>
    </row>
    <row r="212" spans="1:26" s="153" customFormat="1" ht="102" x14ac:dyDescent="0.2">
      <c r="A212" s="14">
        <f t="shared" si="19"/>
        <v>98</v>
      </c>
      <c r="B212" s="199" t="s">
        <v>948</v>
      </c>
      <c r="C212" s="209" t="s">
        <v>948</v>
      </c>
      <c r="D212" s="571" t="s">
        <v>949</v>
      </c>
      <c r="E212" s="20">
        <f t="shared" si="20"/>
        <v>207</v>
      </c>
      <c r="F212" s="571" t="s">
        <v>950</v>
      </c>
      <c r="G212" s="20">
        <f t="shared" si="21"/>
        <v>324</v>
      </c>
      <c r="H212" s="36" t="s">
        <v>328</v>
      </c>
      <c r="I212" s="20" t="s">
        <v>220</v>
      </c>
      <c r="J212" s="20" t="s">
        <v>220</v>
      </c>
      <c r="K212" s="20" t="s">
        <v>223</v>
      </c>
      <c r="L212" s="31" t="s">
        <v>951</v>
      </c>
      <c r="M212" s="31" t="s">
        <v>952</v>
      </c>
      <c r="N212" s="31"/>
      <c r="O212" s="72" t="s">
        <v>408</v>
      </c>
      <c r="P212" s="143"/>
      <c r="Q212" s="242">
        <v>17</v>
      </c>
      <c r="R212" s="243">
        <v>1</v>
      </c>
      <c r="S212" s="242">
        <f t="shared" si="18"/>
        <v>17</v>
      </c>
      <c r="T212" s="150"/>
      <c r="V212" s="156" t="s">
        <v>219</v>
      </c>
      <c r="W212" s="155"/>
      <c r="Z212" s="154" t="s">
        <v>320</v>
      </c>
    </row>
    <row r="213" spans="1:26" s="153" customFormat="1" ht="85" x14ac:dyDescent="0.2">
      <c r="A213" s="14">
        <f t="shared" si="19"/>
        <v>99</v>
      </c>
      <c r="B213" s="199" t="s">
        <v>953</v>
      </c>
      <c r="C213" s="209" t="s">
        <v>953</v>
      </c>
      <c r="D213" s="571" t="s">
        <v>954</v>
      </c>
      <c r="E213" s="20">
        <f t="shared" si="20"/>
        <v>191</v>
      </c>
      <c r="F213" s="571" t="s">
        <v>955</v>
      </c>
      <c r="G213" s="20">
        <f t="shared" si="21"/>
        <v>262</v>
      </c>
      <c r="H213" s="36" t="s">
        <v>328</v>
      </c>
      <c r="I213" s="20" t="s">
        <v>220</v>
      </c>
      <c r="J213" s="20" t="s">
        <v>220</v>
      </c>
      <c r="K213" s="20" t="s">
        <v>223</v>
      </c>
      <c r="L213" s="31" t="s">
        <v>956</v>
      </c>
      <c r="M213" s="31" t="s">
        <v>957</v>
      </c>
      <c r="N213" s="31"/>
      <c r="O213" s="72" t="s">
        <v>408</v>
      </c>
      <c r="P213" s="143"/>
      <c r="Q213" s="242">
        <v>17</v>
      </c>
      <c r="R213" s="243">
        <v>1</v>
      </c>
      <c r="S213" s="242">
        <f t="shared" si="18"/>
        <v>17</v>
      </c>
      <c r="T213" s="150"/>
      <c r="V213" s="156" t="s">
        <v>219</v>
      </c>
      <c r="W213" s="155"/>
      <c r="Z213" s="154" t="s">
        <v>320</v>
      </c>
    </row>
    <row r="214" spans="1:26" s="153" customFormat="1" ht="68" x14ac:dyDescent="0.2">
      <c r="A214" s="14">
        <f t="shared" si="19"/>
        <v>100</v>
      </c>
      <c r="B214" s="199" t="s">
        <v>958</v>
      </c>
      <c r="C214" s="209" t="s">
        <v>958</v>
      </c>
      <c r="D214" s="571" t="s">
        <v>959</v>
      </c>
      <c r="E214" s="20">
        <f t="shared" si="20"/>
        <v>161</v>
      </c>
      <c r="F214" s="571" t="s">
        <v>960</v>
      </c>
      <c r="G214" s="20">
        <f t="shared" si="21"/>
        <v>231</v>
      </c>
      <c r="H214" s="36" t="s">
        <v>328</v>
      </c>
      <c r="I214" s="20" t="s">
        <v>220</v>
      </c>
      <c r="J214" s="20" t="s">
        <v>220</v>
      </c>
      <c r="K214" s="20" t="s">
        <v>223</v>
      </c>
      <c r="L214" s="31" t="s">
        <v>961</v>
      </c>
      <c r="M214" s="31" t="s">
        <v>962</v>
      </c>
      <c r="N214" s="31"/>
      <c r="O214" s="72" t="s">
        <v>408</v>
      </c>
      <c r="P214" s="143"/>
      <c r="Q214" s="242">
        <v>17</v>
      </c>
      <c r="R214" s="243">
        <v>1</v>
      </c>
      <c r="S214" s="242">
        <f t="shared" si="18"/>
        <v>17</v>
      </c>
      <c r="T214" s="150"/>
      <c r="V214" s="156" t="s">
        <v>219</v>
      </c>
      <c r="W214" s="155"/>
      <c r="Z214" s="154" t="s">
        <v>320</v>
      </c>
    </row>
    <row r="215" spans="1:26" s="153" customFormat="1" ht="102" x14ac:dyDescent="0.2">
      <c r="A215" s="14">
        <f t="shared" si="19"/>
        <v>101</v>
      </c>
      <c r="B215" s="199" t="s">
        <v>963</v>
      </c>
      <c r="C215" s="209" t="s">
        <v>963</v>
      </c>
      <c r="D215" s="578" t="s">
        <v>1444</v>
      </c>
      <c r="E215" s="20">
        <f t="shared" si="20"/>
        <v>213</v>
      </c>
      <c r="F215" s="578" t="s">
        <v>1445</v>
      </c>
      <c r="G215" s="20">
        <f t="shared" si="21"/>
        <v>317</v>
      </c>
      <c r="H215" s="36" t="s">
        <v>328</v>
      </c>
      <c r="I215" s="20" t="s">
        <v>220</v>
      </c>
      <c r="J215" s="20" t="s">
        <v>220</v>
      </c>
      <c r="K215" s="20" t="s">
        <v>223</v>
      </c>
      <c r="L215" s="31" t="s">
        <v>964</v>
      </c>
      <c r="M215" s="31" t="s">
        <v>965</v>
      </c>
      <c r="N215" s="31"/>
      <c r="O215" s="72" t="s">
        <v>408</v>
      </c>
      <c r="P215" s="143"/>
      <c r="Q215" s="242">
        <v>17</v>
      </c>
      <c r="R215" s="243">
        <v>1</v>
      </c>
      <c r="S215" s="242">
        <f t="shared" si="18"/>
        <v>17</v>
      </c>
      <c r="T215" s="150"/>
      <c r="V215" s="156" t="s">
        <v>219</v>
      </c>
      <c r="W215" s="155"/>
      <c r="Z215" s="154" t="s">
        <v>320</v>
      </c>
    </row>
    <row r="216" spans="1:26" s="153" customFormat="1" ht="119" x14ac:dyDescent="0.2">
      <c r="A216" s="14">
        <f t="shared" si="19"/>
        <v>102</v>
      </c>
      <c r="B216" s="199" t="s">
        <v>966</v>
      </c>
      <c r="C216" s="209" t="s">
        <v>966</v>
      </c>
      <c r="D216" s="571" t="s">
        <v>967</v>
      </c>
      <c r="E216" s="20">
        <f t="shared" si="20"/>
        <v>247</v>
      </c>
      <c r="F216" s="571" t="s">
        <v>968</v>
      </c>
      <c r="G216" s="20">
        <f t="shared" si="21"/>
        <v>347</v>
      </c>
      <c r="H216" s="36" t="s">
        <v>328</v>
      </c>
      <c r="I216" s="20" t="s">
        <v>220</v>
      </c>
      <c r="J216" s="20" t="s">
        <v>220</v>
      </c>
      <c r="K216" s="20" t="s">
        <v>223</v>
      </c>
      <c r="L216" s="31" t="s">
        <v>969</v>
      </c>
      <c r="M216" s="31" t="s">
        <v>970</v>
      </c>
      <c r="N216" s="31"/>
      <c r="O216" s="72" t="s">
        <v>408</v>
      </c>
      <c r="P216" s="143"/>
      <c r="Q216" s="242">
        <v>17</v>
      </c>
      <c r="R216" s="243">
        <v>1</v>
      </c>
      <c r="S216" s="242">
        <f t="shared" si="18"/>
        <v>17</v>
      </c>
      <c r="T216" s="150"/>
      <c r="V216" s="156" t="s">
        <v>219</v>
      </c>
      <c r="W216" s="155"/>
      <c r="Z216" s="154" t="s">
        <v>320</v>
      </c>
    </row>
    <row r="217" spans="1:26" s="153" customFormat="1" ht="102" x14ac:dyDescent="0.2">
      <c r="A217" s="14">
        <f t="shared" si="19"/>
        <v>103</v>
      </c>
      <c r="B217" s="199" t="s">
        <v>971</v>
      </c>
      <c r="C217" s="209" t="s">
        <v>971</v>
      </c>
      <c r="D217" s="571" t="s">
        <v>972</v>
      </c>
      <c r="E217" s="20">
        <f t="shared" si="20"/>
        <v>231</v>
      </c>
      <c r="F217" s="571" t="s">
        <v>973</v>
      </c>
      <c r="G217" s="20">
        <f t="shared" si="21"/>
        <v>352</v>
      </c>
      <c r="H217" s="36" t="s">
        <v>328</v>
      </c>
      <c r="I217" s="20" t="s">
        <v>220</v>
      </c>
      <c r="J217" s="20" t="s">
        <v>220</v>
      </c>
      <c r="K217" s="20" t="s">
        <v>223</v>
      </c>
      <c r="L217" s="31" t="s">
        <v>974</v>
      </c>
      <c r="M217" s="31" t="s">
        <v>975</v>
      </c>
      <c r="N217" s="31"/>
      <c r="O217" s="72" t="s">
        <v>408</v>
      </c>
      <c r="P217" s="143"/>
      <c r="Q217" s="242">
        <v>17</v>
      </c>
      <c r="R217" s="243">
        <v>1</v>
      </c>
      <c r="S217" s="242">
        <f t="shared" si="18"/>
        <v>17</v>
      </c>
      <c r="T217" s="150"/>
      <c r="V217" s="156" t="s">
        <v>219</v>
      </c>
      <c r="W217" s="155"/>
      <c r="Z217" s="154" t="s">
        <v>320</v>
      </c>
    </row>
    <row r="218" spans="1:26" s="153" customFormat="1" ht="102" x14ac:dyDescent="0.2">
      <c r="A218" s="14">
        <f t="shared" si="19"/>
        <v>104</v>
      </c>
      <c r="B218" s="199" t="s">
        <v>976</v>
      </c>
      <c r="C218" s="209" t="s">
        <v>976</v>
      </c>
      <c r="D218" s="571" t="s">
        <v>977</v>
      </c>
      <c r="E218" s="20">
        <f t="shared" si="20"/>
        <v>202</v>
      </c>
      <c r="F218" s="571" t="s">
        <v>978</v>
      </c>
      <c r="G218" s="20">
        <f t="shared" si="21"/>
        <v>325</v>
      </c>
      <c r="H218" s="36" t="s">
        <v>328</v>
      </c>
      <c r="I218" s="20" t="s">
        <v>220</v>
      </c>
      <c r="J218" s="20" t="s">
        <v>220</v>
      </c>
      <c r="K218" s="20" t="s">
        <v>223</v>
      </c>
      <c r="L218" s="31" t="s">
        <v>979</v>
      </c>
      <c r="M218" s="31" t="s">
        <v>980</v>
      </c>
      <c r="N218" s="31"/>
      <c r="O218" s="72" t="s">
        <v>408</v>
      </c>
      <c r="P218" s="143"/>
      <c r="Q218" s="242">
        <v>17</v>
      </c>
      <c r="R218" s="243">
        <v>1</v>
      </c>
      <c r="S218" s="242">
        <f t="shared" si="18"/>
        <v>17</v>
      </c>
      <c r="T218" s="150"/>
      <c r="V218" s="156" t="s">
        <v>219</v>
      </c>
      <c r="W218" s="155"/>
      <c r="Z218" s="154" t="s">
        <v>320</v>
      </c>
    </row>
    <row r="219" spans="1:26" s="153" customFormat="1" ht="102" x14ac:dyDescent="0.2">
      <c r="A219" s="14"/>
      <c r="B219" s="199" t="s">
        <v>981</v>
      </c>
      <c r="C219" s="209" t="s">
        <v>981</v>
      </c>
      <c r="D219" s="571" t="s">
        <v>982</v>
      </c>
      <c r="E219" s="20">
        <f t="shared" si="20"/>
        <v>257</v>
      </c>
      <c r="F219" s="571" t="s">
        <v>983</v>
      </c>
      <c r="G219" s="20">
        <f t="shared" si="21"/>
        <v>378</v>
      </c>
      <c r="H219" s="36" t="s">
        <v>328</v>
      </c>
      <c r="I219" s="20" t="s">
        <v>220</v>
      </c>
      <c r="J219" s="20" t="s">
        <v>220</v>
      </c>
      <c r="K219" s="20" t="s">
        <v>223</v>
      </c>
      <c r="L219" s="31" t="s">
        <v>984</v>
      </c>
      <c r="M219" s="31" t="s">
        <v>985</v>
      </c>
      <c r="N219" s="31"/>
      <c r="O219" s="72" t="s">
        <v>408</v>
      </c>
      <c r="P219" s="143"/>
      <c r="Q219" s="242">
        <v>17</v>
      </c>
      <c r="R219" s="243">
        <v>1</v>
      </c>
      <c r="S219" s="242">
        <f t="shared" si="18"/>
        <v>17</v>
      </c>
      <c r="T219" s="150"/>
      <c r="V219" s="156" t="s">
        <v>219</v>
      </c>
      <c r="W219" s="155"/>
      <c r="Z219" s="154"/>
    </row>
    <row r="220" spans="1:26" s="153" customFormat="1" ht="85" x14ac:dyDescent="0.2">
      <c r="A220" s="14">
        <f>A218+1</f>
        <v>105</v>
      </c>
      <c r="B220" s="199" t="s">
        <v>986</v>
      </c>
      <c r="C220" s="209" t="s">
        <v>986</v>
      </c>
      <c r="D220" s="571" t="s">
        <v>987</v>
      </c>
      <c r="E220" s="20">
        <f t="shared" si="20"/>
        <v>204</v>
      </c>
      <c r="F220" s="571" t="s">
        <v>988</v>
      </c>
      <c r="G220" s="20">
        <f t="shared" si="21"/>
        <v>244</v>
      </c>
      <c r="H220" s="36" t="s">
        <v>239</v>
      </c>
      <c r="I220" s="20" t="s">
        <v>220</v>
      </c>
      <c r="J220" s="20" t="s">
        <v>220</v>
      </c>
      <c r="K220" s="20" t="s">
        <v>240</v>
      </c>
      <c r="L220" s="31" t="s">
        <v>989</v>
      </c>
      <c r="M220" s="31" t="s">
        <v>990</v>
      </c>
      <c r="N220" s="31"/>
      <c r="O220" s="72" t="s">
        <v>408</v>
      </c>
      <c r="P220" s="143"/>
      <c r="Q220" s="242"/>
      <c r="R220" s="243">
        <v>1</v>
      </c>
      <c r="S220" s="242">
        <f t="shared" si="18"/>
        <v>0</v>
      </c>
      <c r="T220" s="150"/>
      <c r="V220" s="156" t="s">
        <v>219</v>
      </c>
      <c r="W220" s="155"/>
      <c r="Z220" s="154" t="s">
        <v>320</v>
      </c>
    </row>
    <row r="221" spans="1:26" s="153" customFormat="1" ht="85" x14ac:dyDescent="0.2">
      <c r="A221" s="14">
        <f>A220+1</f>
        <v>106</v>
      </c>
      <c r="B221" s="199" t="s">
        <v>991</v>
      </c>
      <c r="C221" s="209" t="s">
        <v>991</v>
      </c>
      <c r="D221" s="571" t="s">
        <v>992</v>
      </c>
      <c r="E221" s="20">
        <f t="shared" si="20"/>
        <v>169</v>
      </c>
      <c r="F221" s="571" t="s">
        <v>993</v>
      </c>
      <c r="G221" s="20">
        <f t="shared" si="21"/>
        <v>242</v>
      </c>
      <c r="H221" s="131" t="s">
        <v>328</v>
      </c>
      <c r="I221" s="20" t="s">
        <v>220</v>
      </c>
      <c r="J221" s="20" t="s">
        <v>220</v>
      </c>
      <c r="K221" s="20" t="s">
        <v>223</v>
      </c>
      <c r="L221" s="31" t="s">
        <v>994</v>
      </c>
      <c r="M221" s="31" t="s">
        <v>995</v>
      </c>
      <c r="N221" s="31"/>
      <c r="O221" s="72" t="s">
        <v>408</v>
      </c>
      <c r="P221" s="143"/>
      <c r="Q221" s="242">
        <v>17</v>
      </c>
      <c r="R221" s="243">
        <v>1</v>
      </c>
      <c r="S221" s="242">
        <f t="shared" si="18"/>
        <v>17</v>
      </c>
      <c r="T221" s="150"/>
      <c r="V221" s="156" t="s">
        <v>219</v>
      </c>
      <c r="W221" s="155"/>
      <c r="Z221" s="154" t="s">
        <v>320</v>
      </c>
    </row>
    <row r="222" spans="1:26" s="153" customFormat="1" ht="85" x14ac:dyDescent="0.2">
      <c r="A222" s="14">
        <f>A221+1</f>
        <v>107</v>
      </c>
      <c r="B222" s="199" t="s">
        <v>996</v>
      </c>
      <c r="C222" s="209" t="s">
        <v>996</v>
      </c>
      <c r="D222" s="571" t="s">
        <v>997</v>
      </c>
      <c r="E222" s="20">
        <f t="shared" si="20"/>
        <v>192</v>
      </c>
      <c r="F222" s="571" t="s">
        <v>998</v>
      </c>
      <c r="G222" s="20">
        <f t="shared" si="21"/>
        <v>294</v>
      </c>
      <c r="H222" s="131" t="s">
        <v>328</v>
      </c>
      <c r="I222" s="20" t="s">
        <v>220</v>
      </c>
      <c r="J222" s="20" t="s">
        <v>220</v>
      </c>
      <c r="K222" s="20" t="s">
        <v>223</v>
      </c>
      <c r="L222" s="31" t="s">
        <v>999</v>
      </c>
      <c r="M222" s="31" t="s">
        <v>1008</v>
      </c>
      <c r="N222" s="31"/>
      <c r="O222" s="72" t="s">
        <v>408</v>
      </c>
      <c r="P222" s="143"/>
      <c r="Q222" s="242">
        <v>17</v>
      </c>
      <c r="R222" s="243">
        <v>1</v>
      </c>
      <c r="S222" s="242">
        <f t="shared" si="18"/>
        <v>17</v>
      </c>
      <c r="T222" s="150"/>
      <c r="V222" s="156" t="s">
        <v>219</v>
      </c>
      <c r="W222" s="155"/>
      <c r="Z222" s="154" t="s">
        <v>320</v>
      </c>
    </row>
    <row r="223" spans="1:26" s="153" customFormat="1" ht="85" x14ac:dyDescent="0.2">
      <c r="A223" s="14">
        <f>A222+1</f>
        <v>108</v>
      </c>
      <c r="B223" s="201" t="s">
        <v>1000</v>
      </c>
      <c r="C223" s="202" t="s">
        <v>1000</v>
      </c>
      <c r="D223" s="571" t="s">
        <v>1001</v>
      </c>
      <c r="E223" s="20">
        <f t="shared" si="20"/>
        <v>178</v>
      </c>
      <c r="F223" s="571" t="s">
        <v>1002</v>
      </c>
      <c r="G223" s="20">
        <f t="shared" si="21"/>
        <v>264</v>
      </c>
      <c r="H223" s="131" t="s">
        <v>328</v>
      </c>
      <c r="I223" s="20" t="s">
        <v>220</v>
      </c>
      <c r="J223" s="20" t="s">
        <v>220</v>
      </c>
      <c r="K223" s="20" t="s">
        <v>223</v>
      </c>
      <c r="L223" s="31" t="s">
        <v>1003</v>
      </c>
      <c r="M223" s="31" t="s">
        <v>1466</v>
      </c>
      <c r="N223" s="31"/>
      <c r="O223" s="72" t="s">
        <v>408</v>
      </c>
      <c r="P223" s="143"/>
      <c r="Q223" s="242">
        <v>17</v>
      </c>
      <c r="R223" s="243">
        <v>1</v>
      </c>
      <c r="S223" s="242">
        <f t="shared" si="18"/>
        <v>17</v>
      </c>
      <c r="T223" s="150"/>
      <c r="V223" s="156" t="s">
        <v>219</v>
      </c>
      <c r="W223" s="155"/>
      <c r="Z223" s="154" t="s">
        <v>320</v>
      </c>
    </row>
    <row r="224" spans="1:26" s="153" customFormat="1" ht="85" x14ac:dyDescent="0.2">
      <c r="A224" s="14">
        <f>A223+1</f>
        <v>109</v>
      </c>
      <c r="B224" s="199" t="s">
        <v>1004</v>
      </c>
      <c r="C224" s="209" t="s">
        <v>1004</v>
      </c>
      <c r="D224" s="571" t="s">
        <v>1005</v>
      </c>
      <c r="E224" s="20">
        <f t="shared" si="20"/>
        <v>169</v>
      </c>
      <c r="F224" s="571" t="s">
        <v>1006</v>
      </c>
      <c r="G224" s="20">
        <f t="shared" si="21"/>
        <v>281</v>
      </c>
      <c r="H224" s="131" t="s">
        <v>328</v>
      </c>
      <c r="I224" s="20" t="s">
        <v>220</v>
      </c>
      <c r="J224" s="20" t="s">
        <v>220</v>
      </c>
      <c r="K224" s="20" t="s">
        <v>223</v>
      </c>
      <c r="L224" s="31" t="s">
        <v>1007</v>
      </c>
      <c r="M224" s="31" t="s">
        <v>1467</v>
      </c>
      <c r="N224" s="31"/>
      <c r="O224" s="72" t="s">
        <v>408</v>
      </c>
      <c r="P224" s="550"/>
      <c r="Q224" s="242">
        <v>17</v>
      </c>
      <c r="R224" s="243">
        <v>1</v>
      </c>
      <c r="S224" s="242">
        <f t="shared" si="18"/>
        <v>17</v>
      </c>
      <c r="T224" s="150"/>
      <c r="V224" s="156" t="s">
        <v>219</v>
      </c>
      <c r="W224" s="155"/>
      <c r="Z224" s="154" t="s">
        <v>320</v>
      </c>
    </row>
    <row r="225" spans="1:26" s="153" customFormat="1" ht="86" thickBot="1" x14ac:dyDescent="0.25">
      <c r="A225" s="14">
        <f>A224+1</f>
        <v>110</v>
      </c>
      <c r="B225" s="199" t="s">
        <v>1009</v>
      </c>
      <c r="C225" s="209" t="s">
        <v>1009</v>
      </c>
      <c r="D225" s="42" t="s">
        <v>1010</v>
      </c>
      <c r="E225" s="20">
        <f t="shared" si="20"/>
        <v>190</v>
      </c>
      <c r="F225" s="42" t="s">
        <v>1011</v>
      </c>
      <c r="G225" s="20">
        <f t="shared" si="21"/>
        <v>302</v>
      </c>
      <c r="H225" s="131" t="s">
        <v>328</v>
      </c>
      <c r="I225" s="24" t="s">
        <v>220</v>
      </c>
      <c r="J225" s="24" t="s">
        <v>220</v>
      </c>
      <c r="K225" s="20" t="s">
        <v>223</v>
      </c>
      <c r="L225" s="29" t="s">
        <v>1012</v>
      </c>
      <c r="M225" s="29" t="s">
        <v>1013</v>
      </c>
      <c r="N225" s="29"/>
      <c r="O225" s="72" t="s">
        <v>408</v>
      </c>
      <c r="P225" s="550"/>
      <c r="Q225" s="242">
        <v>17</v>
      </c>
      <c r="R225" s="243">
        <v>1</v>
      </c>
      <c r="S225" s="242">
        <f t="shared" si="18"/>
        <v>17</v>
      </c>
      <c r="T225" s="150"/>
      <c r="V225" s="156" t="s">
        <v>219</v>
      </c>
      <c r="W225" s="155"/>
      <c r="Z225" s="154" t="s">
        <v>320</v>
      </c>
    </row>
    <row r="226" spans="1:26" s="153" customFormat="1" ht="17" thickBot="1" x14ac:dyDescent="0.25">
      <c r="A226" s="591" t="s">
        <v>1014</v>
      </c>
      <c r="B226" s="592"/>
      <c r="C226" s="592"/>
      <c r="D226" s="592"/>
      <c r="E226" s="592"/>
      <c r="F226" s="592"/>
      <c r="G226" s="592"/>
      <c r="H226" s="592"/>
      <c r="I226" s="592"/>
      <c r="J226" s="592"/>
      <c r="K226" s="592"/>
      <c r="L226" s="592"/>
      <c r="M226" s="592"/>
      <c r="N226" s="592"/>
      <c r="O226" s="592"/>
      <c r="P226" s="593"/>
      <c r="Q226" s="242"/>
      <c r="R226" s="243"/>
      <c r="S226" s="242"/>
      <c r="T226" s="150"/>
      <c r="V226" s="156"/>
      <c r="W226" s="155"/>
      <c r="Z226" s="154"/>
    </row>
    <row r="227" spans="1:26" s="196" customFormat="1" ht="153" x14ac:dyDescent="0.2">
      <c r="A227" s="295">
        <f>A225+1</f>
        <v>111</v>
      </c>
      <c r="B227" s="321" t="s">
        <v>120</v>
      </c>
      <c r="C227" s="320" t="s">
        <v>189</v>
      </c>
      <c r="D227" s="323" t="s">
        <v>1015</v>
      </c>
      <c r="E227" s="324">
        <f>LEN(D227)</f>
        <v>129</v>
      </c>
      <c r="F227" s="343" t="s">
        <v>1016</v>
      </c>
      <c r="G227" s="324">
        <f>LEN(F227)</f>
        <v>167</v>
      </c>
      <c r="H227" s="370" t="s">
        <v>239</v>
      </c>
      <c r="I227" s="324" t="s">
        <v>220</v>
      </c>
      <c r="J227" s="320" t="s">
        <v>220</v>
      </c>
      <c r="K227" s="315" t="s">
        <v>240</v>
      </c>
      <c r="L227" s="325" t="s">
        <v>1017</v>
      </c>
      <c r="M227" s="325" t="s">
        <v>1018</v>
      </c>
      <c r="N227" s="46"/>
      <c r="O227" s="152" t="s">
        <v>408</v>
      </c>
      <c r="P227" s="9"/>
      <c r="Q227" s="414">
        <v>19.828245162963867</v>
      </c>
      <c r="R227" s="241">
        <v>1</v>
      </c>
      <c r="S227" s="351">
        <f t="shared" ref="S227:S232" si="22">Q227*R227</f>
        <v>19.828245162963867</v>
      </c>
      <c r="T227" s="151"/>
      <c r="V227" s="296" t="s">
        <v>230</v>
      </c>
      <c r="W227" s="191"/>
      <c r="Z227" s="157"/>
    </row>
    <row r="228" spans="1:26" s="153" customFormat="1" ht="409.6" x14ac:dyDescent="0.2">
      <c r="A228" s="49">
        <f>A227+1</f>
        <v>112</v>
      </c>
      <c r="B228" s="321" t="s">
        <v>121</v>
      </c>
      <c r="C228" s="320" t="s">
        <v>1019</v>
      </c>
      <c r="D228" s="328" t="s">
        <v>1020</v>
      </c>
      <c r="E228" s="315">
        <f>LEN(D228)</f>
        <v>929</v>
      </c>
      <c r="F228" s="275" t="s">
        <v>1021</v>
      </c>
      <c r="G228" s="315">
        <f>LEN(F228)</f>
        <v>1086</v>
      </c>
      <c r="H228" s="383" t="s">
        <v>571</v>
      </c>
      <c r="I228" s="315" t="s">
        <v>220</v>
      </c>
      <c r="J228" s="315" t="s">
        <v>220</v>
      </c>
      <c r="K228" s="315" t="s">
        <v>1022</v>
      </c>
      <c r="L228" s="317" t="s">
        <v>1023</v>
      </c>
      <c r="M228" s="384" t="s">
        <v>1024</v>
      </c>
      <c r="N228" s="30"/>
      <c r="O228" s="152" t="s">
        <v>1025</v>
      </c>
      <c r="P228" s="10"/>
      <c r="Q228" s="351">
        <v>49.529693603515625</v>
      </c>
      <c r="R228" s="241">
        <v>1</v>
      </c>
      <c r="S228" s="351">
        <f t="shared" si="22"/>
        <v>49.529693603515625</v>
      </c>
      <c r="T228" s="150"/>
      <c r="V228" s="156" t="s">
        <v>230</v>
      </c>
      <c r="W228" s="155"/>
      <c r="Z228" s="154" t="s">
        <v>1026</v>
      </c>
    </row>
    <row r="229" spans="1:26" s="153" customFormat="1" x14ac:dyDescent="0.2">
      <c r="A229" s="127"/>
      <c r="B229" s="232"/>
      <c r="C229" s="114"/>
      <c r="D229" s="137"/>
      <c r="E229" s="117"/>
      <c r="F229" s="276"/>
      <c r="G229" s="117"/>
      <c r="H229" s="128"/>
      <c r="I229" s="117"/>
      <c r="J229" s="117"/>
      <c r="K229" s="117"/>
      <c r="L229" s="109"/>
      <c r="M229" s="231"/>
      <c r="N229" s="231"/>
      <c r="O229" s="220"/>
      <c r="P229" s="10"/>
      <c r="Q229" s="242"/>
      <c r="R229" s="243">
        <v>1</v>
      </c>
      <c r="S229" s="242">
        <f t="shared" si="22"/>
        <v>0</v>
      </c>
      <c r="T229" s="150"/>
      <c r="V229" s="156"/>
      <c r="W229" s="155"/>
      <c r="Z229" s="154"/>
    </row>
    <row r="230" spans="1:26" s="153" customFormat="1" ht="255" x14ac:dyDescent="0.2">
      <c r="A230" s="41">
        <f>A228+1</f>
        <v>113</v>
      </c>
      <c r="B230" s="199" t="s">
        <v>125</v>
      </c>
      <c r="C230" s="21" t="s">
        <v>1027</v>
      </c>
      <c r="D230" s="42" t="s">
        <v>1460</v>
      </c>
      <c r="E230" s="23">
        <f>LEN(D230)</f>
        <v>289</v>
      </c>
      <c r="F230" s="198" t="s">
        <v>1461</v>
      </c>
      <c r="G230" s="23">
        <f>LEN(F230)</f>
        <v>329</v>
      </c>
      <c r="H230" s="43" t="s">
        <v>571</v>
      </c>
      <c r="I230" s="23" t="s">
        <v>220</v>
      </c>
      <c r="J230" s="23" t="s">
        <v>220</v>
      </c>
      <c r="K230" s="23" t="s">
        <v>1028</v>
      </c>
      <c r="L230" s="44" t="s">
        <v>1029</v>
      </c>
      <c r="M230" s="44" t="s">
        <v>1030</v>
      </c>
      <c r="N230" s="44"/>
      <c r="O230" s="146" t="s">
        <v>408</v>
      </c>
      <c r="P230" s="10"/>
      <c r="Q230" s="242">
        <v>22.029750823974609</v>
      </c>
      <c r="R230" s="243">
        <v>1</v>
      </c>
      <c r="S230" s="242">
        <f t="shared" si="22"/>
        <v>22.029750823974609</v>
      </c>
      <c r="T230" s="150"/>
      <c r="V230" s="156" t="s">
        <v>219</v>
      </c>
      <c r="W230" s="155"/>
      <c r="Z230" s="154"/>
    </row>
    <row r="231" spans="1:26" s="153" customFormat="1" ht="171" thickBot="1" x14ac:dyDescent="0.25">
      <c r="A231" s="41">
        <f>A230+1</f>
        <v>114</v>
      </c>
      <c r="B231" s="247" t="s">
        <v>1031</v>
      </c>
      <c r="C231" s="21" t="s">
        <v>1031</v>
      </c>
      <c r="D231" s="42" t="s">
        <v>1032</v>
      </c>
      <c r="E231" s="23">
        <f>LEN(D231)</f>
        <v>154</v>
      </c>
      <c r="F231" s="42" t="s">
        <v>1033</v>
      </c>
      <c r="G231" s="23">
        <f>LEN(F231)</f>
        <v>174</v>
      </c>
      <c r="H231" s="43" t="s">
        <v>239</v>
      </c>
      <c r="I231" s="23" t="s">
        <v>220</v>
      </c>
      <c r="J231" s="23" t="s">
        <v>1034</v>
      </c>
      <c r="K231" s="23" t="s">
        <v>240</v>
      </c>
      <c r="L231" s="44" t="s">
        <v>1035</v>
      </c>
      <c r="M231" s="31" t="s">
        <v>1036</v>
      </c>
      <c r="N231" s="22"/>
      <c r="O231" s="72" t="s">
        <v>408</v>
      </c>
      <c r="P231" s="84"/>
      <c r="Q231" s="242">
        <v>17</v>
      </c>
      <c r="R231" s="243">
        <v>1</v>
      </c>
      <c r="S231" s="242">
        <f t="shared" si="22"/>
        <v>17</v>
      </c>
      <c r="T231" s="150"/>
      <c r="V231" s="156" t="s">
        <v>219</v>
      </c>
      <c r="W231" s="155"/>
      <c r="Z231" s="154" t="s">
        <v>1037</v>
      </c>
    </row>
    <row r="232" spans="1:26" s="153" customFormat="1" ht="17" thickBot="1" x14ac:dyDescent="0.25">
      <c r="A232" s="127"/>
      <c r="B232" s="232"/>
      <c r="C232" s="114"/>
      <c r="D232" s="137"/>
      <c r="E232" s="117"/>
      <c r="F232" s="137"/>
      <c r="G232" s="117"/>
      <c r="H232" s="128"/>
      <c r="I232" s="117"/>
      <c r="J232" s="117"/>
      <c r="K232" s="117"/>
      <c r="L232" s="109"/>
      <c r="M232" s="231"/>
      <c r="N232" s="231"/>
      <c r="O232" s="220"/>
      <c r="P232" s="10"/>
      <c r="Q232" s="242"/>
      <c r="R232" s="243">
        <v>1</v>
      </c>
      <c r="S232" s="242">
        <f t="shared" si="22"/>
        <v>0</v>
      </c>
      <c r="T232" s="150"/>
      <c r="V232" s="156"/>
      <c r="W232" s="155"/>
      <c r="Z232" s="154"/>
    </row>
    <row r="233" spans="1:26" s="153" customFormat="1" ht="17" thickBot="1" x14ac:dyDescent="0.25">
      <c r="A233" s="591" t="s">
        <v>1038</v>
      </c>
      <c r="B233" s="592"/>
      <c r="C233" s="592"/>
      <c r="D233" s="592"/>
      <c r="E233" s="592"/>
      <c r="F233" s="592"/>
      <c r="G233" s="592"/>
      <c r="H233" s="592"/>
      <c r="I233" s="592"/>
      <c r="J233" s="592"/>
      <c r="K233" s="592"/>
      <c r="L233" s="592"/>
      <c r="M233" s="592"/>
      <c r="N233" s="592"/>
      <c r="O233" s="592"/>
      <c r="P233" s="593"/>
      <c r="Q233" s="242"/>
      <c r="R233" s="243"/>
      <c r="S233" s="242"/>
      <c r="T233" s="150"/>
      <c r="V233" s="156"/>
      <c r="W233" s="155"/>
      <c r="Z233" s="154"/>
    </row>
    <row r="234" spans="1:26" s="153" customFormat="1" ht="136" x14ac:dyDescent="0.2">
      <c r="A234" s="113" t="s">
        <v>220</v>
      </c>
      <c r="B234" s="321" t="s">
        <v>126</v>
      </c>
      <c r="C234" s="320" t="s">
        <v>126</v>
      </c>
      <c r="D234" s="323" t="s">
        <v>1039</v>
      </c>
      <c r="E234" s="324">
        <f t="shared" ref="E234:E240" si="23">LEN(D234)</f>
        <v>162</v>
      </c>
      <c r="F234" s="415" t="s">
        <v>1040</v>
      </c>
      <c r="G234" s="324">
        <f t="shared" ref="G234:G240" si="24">LEN(F234)</f>
        <v>191</v>
      </c>
      <c r="H234" s="324" t="s">
        <v>239</v>
      </c>
      <c r="I234" s="324" t="s">
        <v>220</v>
      </c>
      <c r="J234" s="324" t="s">
        <v>220</v>
      </c>
      <c r="K234" s="324" t="s">
        <v>240</v>
      </c>
      <c r="L234" s="325" t="s">
        <v>1041</v>
      </c>
      <c r="M234" s="325" t="s">
        <v>1042</v>
      </c>
      <c r="N234" s="101"/>
      <c r="O234" s="152" t="s">
        <v>408</v>
      </c>
      <c r="P234" s="9"/>
      <c r="Q234" s="351">
        <v>36.783046722412109</v>
      </c>
      <c r="R234" s="241">
        <v>1</v>
      </c>
      <c r="S234" s="351">
        <f t="shared" ref="S234:S243" si="25">Q234*R234</f>
        <v>36.783046722412109</v>
      </c>
      <c r="T234" s="150"/>
      <c r="V234" s="156" t="s">
        <v>230</v>
      </c>
      <c r="W234" s="155"/>
      <c r="Z234" s="154"/>
    </row>
    <row r="235" spans="1:26" s="255" customFormat="1" ht="137.25" customHeight="1" x14ac:dyDescent="0.2">
      <c r="A235" s="248"/>
      <c r="B235" s="416" t="s">
        <v>1043</v>
      </c>
      <c r="C235" s="417" t="s">
        <v>1044</v>
      </c>
      <c r="D235" s="418" t="s">
        <v>1045</v>
      </c>
      <c r="E235" s="419">
        <f t="shared" si="23"/>
        <v>144</v>
      </c>
      <c r="F235" s="420" t="s">
        <v>1046</v>
      </c>
      <c r="G235" s="419">
        <f t="shared" si="24"/>
        <v>165</v>
      </c>
      <c r="H235" s="419" t="s">
        <v>239</v>
      </c>
      <c r="I235" s="419" t="s">
        <v>220</v>
      </c>
      <c r="J235" s="419" t="s">
        <v>220</v>
      </c>
      <c r="K235" s="419" t="s">
        <v>240</v>
      </c>
      <c r="L235" s="366" t="s">
        <v>1047</v>
      </c>
      <c r="M235" s="366" t="s">
        <v>1048</v>
      </c>
      <c r="N235" s="249"/>
      <c r="O235" s="250" t="s">
        <v>408</v>
      </c>
      <c r="P235" s="251"/>
      <c r="Q235" s="422">
        <v>10</v>
      </c>
      <c r="R235" s="253">
        <v>1</v>
      </c>
      <c r="S235" s="369">
        <f t="shared" si="25"/>
        <v>10</v>
      </c>
      <c r="T235" s="254"/>
      <c r="V235" s="256" t="s">
        <v>1049</v>
      </c>
      <c r="W235" s="257"/>
      <c r="Z235" s="258" t="s">
        <v>1050</v>
      </c>
    </row>
    <row r="236" spans="1:26" s="262" customFormat="1" ht="187" x14ac:dyDescent="0.2">
      <c r="A236" s="259"/>
      <c r="B236" s="416" t="s">
        <v>1051</v>
      </c>
      <c r="C236" s="417" t="s">
        <v>1051</v>
      </c>
      <c r="D236" s="418" t="s">
        <v>1052</v>
      </c>
      <c r="E236" s="419">
        <f t="shared" si="23"/>
        <v>234</v>
      </c>
      <c r="F236" s="420" t="s">
        <v>1053</v>
      </c>
      <c r="G236" s="419">
        <f t="shared" si="24"/>
        <v>285</v>
      </c>
      <c r="H236" s="419" t="s">
        <v>239</v>
      </c>
      <c r="I236" s="419" t="s">
        <v>220</v>
      </c>
      <c r="J236" s="419" t="s">
        <v>220</v>
      </c>
      <c r="K236" s="419" t="s">
        <v>240</v>
      </c>
      <c r="L236" s="366" t="s">
        <v>1054</v>
      </c>
      <c r="M236" s="366" t="s">
        <v>1055</v>
      </c>
      <c r="N236" s="249"/>
      <c r="O236" s="250" t="s">
        <v>1056</v>
      </c>
      <c r="P236" s="251"/>
      <c r="Q236" s="422">
        <v>10</v>
      </c>
      <c r="R236" s="253">
        <v>1</v>
      </c>
      <c r="S236" s="369">
        <f t="shared" si="25"/>
        <v>10</v>
      </c>
      <c r="T236" s="261"/>
      <c r="V236" s="256" t="s">
        <v>1049</v>
      </c>
      <c r="W236" s="263"/>
      <c r="Z236" s="258" t="s">
        <v>1050</v>
      </c>
    </row>
    <row r="237" spans="1:26" s="262" customFormat="1" ht="68" x14ac:dyDescent="0.2">
      <c r="A237" s="259"/>
      <c r="B237" s="416" t="s">
        <v>1057</v>
      </c>
      <c r="C237" s="417" t="s">
        <v>1057</v>
      </c>
      <c r="D237" s="418" t="s">
        <v>1058</v>
      </c>
      <c r="E237" s="419">
        <f t="shared" si="23"/>
        <v>34</v>
      </c>
      <c r="F237" s="420" t="s">
        <v>1059</v>
      </c>
      <c r="G237" s="419">
        <f t="shared" si="24"/>
        <v>65</v>
      </c>
      <c r="H237" s="419" t="s">
        <v>222</v>
      </c>
      <c r="I237" s="363" t="s">
        <v>220</v>
      </c>
      <c r="J237" s="363" t="s">
        <v>220</v>
      </c>
      <c r="K237" s="363" t="s">
        <v>223</v>
      </c>
      <c r="L237" s="366" t="s">
        <v>1060</v>
      </c>
      <c r="M237" s="366" t="s">
        <v>1061</v>
      </c>
      <c r="N237" s="249"/>
      <c r="O237" s="250" t="s">
        <v>1056</v>
      </c>
      <c r="P237" s="251"/>
      <c r="Q237" s="422">
        <v>10</v>
      </c>
      <c r="R237" s="253">
        <v>1</v>
      </c>
      <c r="S237" s="369">
        <f t="shared" si="25"/>
        <v>10</v>
      </c>
      <c r="T237" s="261"/>
      <c r="V237" s="256" t="s">
        <v>1049</v>
      </c>
      <c r="W237" s="263"/>
      <c r="Z237" s="258" t="s">
        <v>1050</v>
      </c>
    </row>
    <row r="238" spans="1:26" s="262" customFormat="1" ht="17" x14ac:dyDescent="0.2">
      <c r="A238" s="259"/>
      <c r="B238" s="416" t="s">
        <v>1062</v>
      </c>
      <c r="C238" s="417" t="s">
        <v>1062</v>
      </c>
      <c r="D238" s="418" t="s">
        <v>1063</v>
      </c>
      <c r="E238" s="419">
        <f t="shared" si="23"/>
        <v>26</v>
      </c>
      <c r="F238" s="420" t="s">
        <v>1064</v>
      </c>
      <c r="G238" s="419">
        <f t="shared" si="24"/>
        <v>49</v>
      </c>
      <c r="H238" s="419" t="s">
        <v>222</v>
      </c>
      <c r="I238" s="419" t="s">
        <v>220</v>
      </c>
      <c r="J238" s="419" t="s">
        <v>220</v>
      </c>
      <c r="K238" s="363" t="s">
        <v>223</v>
      </c>
      <c r="L238" s="366" t="s">
        <v>1065</v>
      </c>
      <c r="M238" s="366" t="s">
        <v>1066</v>
      </c>
      <c r="N238" s="249"/>
      <c r="O238" s="250"/>
      <c r="P238" s="251"/>
      <c r="Q238" s="252">
        <v>10</v>
      </c>
      <c r="R238" s="289">
        <v>1</v>
      </c>
      <c r="S238" s="260">
        <f t="shared" si="25"/>
        <v>10</v>
      </c>
      <c r="T238" s="261"/>
      <c r="V238" s="256" t="s">
        <v>1049</v>
      </c>
      <c r="W238" s="263"/>
      <c r="Z238" s="258"/>
    </row>
    <row r="239" spans="1:26" s="263" customFormat="1" ht="187" x14ac:dyDescent="0.2">
      <c r="A239" s="297"/>
      <c r="B239" s="416" t="s">
        <v>1067</v>
      </c>
      <c r="C239" s="417" t="s">
        <v>1068</v>
      </c>
      <c r="D239" s="418" t="s">
        <v>1069</v>
      </c>
      <c r="E239" s="419">
        <f t="shared" si="23"/>
        <v>166</v>
      </c>
      <c r="F239" s="420" t="s">
        <v>1070</v>
      </c>
      <c r="G239" s="419">
        <f t="shared" si="24"/>
        <v>191</v>
      </c>
      <c r="H239" s="419" t="s">
        <v>436</v>
      </c>
      <c r="I239" s="419" t="s">
        <v>220</v>
      </c>
      <c r="J239" s="419" t="s">
        <v>220</v>
      </c>
      <c r="K239" s="419" t="s">
        <v>437</v>
      </c>
      <c r="L239" s="421" t="s">
        <v>1071</v>
      </c>
      <c r="M239" s="366" t="s">
        <v>1072</v>
      </c>
      <c r="N239" s="249"/>
      <c r="O239" s="264" t="s">
        <v>408</v>
      </c>
      <c r="P239" s="265"/>
      <c r="Q239" s="422">
        <v>10</v>
      </c>
      <c r="R239" s="253">
        <v>1</v>
      </c>
      <c r="S239" s="369">
        <f t="shared" si="25"/>
        <v>10</v>
      </c>
      <c r="T239" s="261"/>
      <c r="V239" s="256" t="s">
        <v>339</v>
      </c>
      <c r="Z239" s="298" t="s">
        <v>320</v>
      </c>
    </row>
    <row r="240" spans="1:26" s="263" customFormat="1" ht="136" x14ac:dyDescent="0.2">
      <c r="A240" s="297"/>
      <c r="B240" s="416" t="s">
        <v>1073</v>
      </c>
      <c r="C240" s="417" t="s">
        <v>1074</v>
      </c>
      <c r="D240" s="418" t="s">
        <v>1075</v>
      </c>
      <c r="E240" s="419">
        <f t="shared" si="23"/>
        <v>130</v>
      </c>
      <c r="F240" s="420" t="s">
        <v>1076</v>
      </c>
      <c r="G240" s="419">
        <f t="shared" si="24"/>
        <v>179</v>
      </c>
      <c r="H240" s="419" t="s">
        <v>436</v>
      </c>
      <c r="I240" s="419" t="s">
        <v>220</v>
      </c>
      <c r="J240" s="419" t="s">
        <v>220</v>
      </c>
      <c r="K240" s="419" t="s">
        <v>437</v>
      </c>
      <c r="L240" s="421" t="s">
        <v>1077</v>
      </c>
      <c r="M240" s="366" t="s">
        <v>1078</v>
      </c>
      <c r="N240" s="249"/>
      <c r="O240" s="264" t="s">
        <v>408</v>
      </c>
      <c r="P240" s="265"/>
      <c r="Q240" s="422">
        <v>10</v>
      </c>
      <c r="R240" s="253">
        <v>1</v>
      </c>
      <c r="S240" s="369">
        <f t="shared" si="25"/>
        <v>10</v>
      </c>
      <c r="T240" s="261"/>
      <c r="V240" s="256" t="s">
        <v>339</v>
      </c>
      <c r="Z240" s="298" t="s">
        <v>320</v>
      </c>
    </row>
    <row r="241" spans="1:26" s="148" customFormat="1" x14ac:dyDescent="0.2">
      <c r="A241" s="230"/>
      <c r="B241" s="229"/>
      <c r="C241" s="228"/>
      <c r="D241" s="227"/>
      <c r="E241" s="226"/>
      <c r="G241" s="226"/>
      <c r="H241" s="226"/>
      <c r="I241" s="225"/>
      <c r="J241" s="225"/>
      <c r="K241" s="225"/>
      <c r="L241" s="224"/>
      <c r="M241" s="224"/>
      <c r="N241" s="223"/>
      <c r="O241" s="222"/>
      <c r="P241" s="221"/>
      <c r="Q241" s="245"/>
      <c r="R241" s="243">
        <v>1</v>
      </c>
      <c r="S241" s="242">
        <f t="shared" si="25"/>
        <v>0</v>
      </c>
      <c r="T241" s="150"/>
      <c r="V241" s="149"/>
      <c r="Z241" s="197"/>
    </row>
    <row r="242" spans="1:26" s="196" customFormat="1" ht="103" thickBot="1" x14ac:dyDescent="0.25">
      <c r="A242" s="299" t="s">
        <v>220</v>
      </c>
      <c r="B242" s="424" t="s">
        <v>164</v>
      </c>
      <c r="C242" s="401" t="s">
        <v>164</v>
      </c>
      <c r="D242" s="572" t="s">
        <v>1079</v>
      </c>
      <c r="E242" s="413">
        <f>LEN(D242)</f>
        <v>158</v>
      </c>
      <c r="F242" s="573" t="s">
        <v>1080</v>
      </c>
      <c r="G242" s="413">
        <f>LEN(F243)</f>
        <v>161</v>
      </c>
      <c r="H242" s="413" t="s">
        <v>239</v>
      </c>
      <c r="I242" s="413" t="s">
        <v>220</v>
      </c>
      <c r="J242" s="413" t="s">
        <v>220</v>
      </c>
      <c r="K242" s="413" t="s">
        <v>240</v>
      </c>
      <c r="L242" s="381" t="s">
        <v>1081</v>
      </c>
      <c r="M242" s="425" t="s">
        <v>220</v>
      </c>
      <c r="N242" s="138"/>
      <c r="O242" s="220" t="s">
        <v>408</v>
      </c>
      <c r="P242" s="219"/>
      <c r="Q242" s="351">
        <v>3</v>
      </c>
      <c r="R242" s="241">
        <v>1</v>
      </c>
      <c r="S242" s="351">
        <f t="shared" si="25"/>
        <v>3</v>
      </c>
      <c r="T242" s="150"/>
      <c r="V242" s="156" t="s">
        <v>230</v>
      </c>
      <c r="W242" s="155"/>
      <c r="Z242" s="157"/>
    </row>
    <row r="243" spans="1:26" s="153" customFormat="1" ht="52" thickBot="1" x14ac:dyDescent="0.25">
      <c r="A243" s="300" t="s">
        <v>220</v>
      </c>
      <c r="B243" s="426" t="s">
        <v>1082</v>
      </c>
      <c r="C243" s="427" t="s">
        <v>1082</v>
      </c>
      <c r="D243" s="428" t="s">
        <v>1083</v>
      </c>
      <c r="E243" s="429">
        <f>LEN(D243)</f>
        <v>141</v>
      </c>
      <c r="F243" s="428" t="s">
        <v>1084</v>
      </c>
      <c r="G243" s="429" t="e">
        <f>LEN(#REF!)</f>
        <v>#REF!</v>
      </c>
      <c r="H243" s="429" t="s">
        <v>220</v>
      </c>
      <c r="I243" s="429" t="s">
        <v>220</v>
      </c>
      <c r="J243" s="429" t="s">
        <v>220</v>
      </c>
      <c r="K243" s="429" t="s">
        <v>220</v>
      </c>
      <c r="L243" s="430" t="s">
        <v>220</v>
      </c>
      <c r="M243" s="431" t="s">
        <v>220</v>
      </c>
      <c r="N243" s="111"/>
      <c r="O243" s="145" t="s">
        <v>408</v>
      </c>
      <c r="P243" s="112"/>
      <c r="Q243" s="423"/>
      <c r="R243" s="241">
        <v>1</v>
      </c>
      <c r="S243" s="351">
        <f t="shared" si="25"/>
        <v>0</v>
      </c>
      <c r="T243" s="155"/>
      <c r="V243" s="156" t="s">
        <v>219</v>
      </c>
      <c r="W243" s="155"/>
      <c r="Z243" s="154"/>
    </row>
    <row r="244" spans="1:26" x14ac:dyDescent="0.2">
      <c r="Q244" s="301"/>
    </row>
    <row r="245" spans="1:26" ht="17" thickBot="1" x14ac:dyDescent="0.25"/>
    <row r="246" spans="1:26" ht="18" customHeight="1" thickBot="1" x14ac:dyDescent="0.25">
      <c r="D246" s="195" t="s">
        <v>1085</v>
      </c>
      <c r="E246" s="194"/>
      <c r="F246" s="438"/>
      <c r="G246" s="194"/>
      <c r="H246" s="194"/>
      <c r="I246" s="194"/>
      <c r="J246" s="194"/>
      <c r="K246" s="194"/>
      <c r="L246" s="194"/>
      <c r="M246" s="194"/>
      <c r="N246" s="194"/>
      <c r="O246" s="194"/>
      <c r="P246" s="194"/>
      <c r="Q246" s="304"/>
      <c r="R246" s="305"/>
      <c r="S246" s="439">
        <f>(SUM(S5:S244))/60</f>
        <v>37.665610350805949</v>
      </c>
    </row>
    <row r="247" spans="1:26" ht="18" thickBot="1" x14ac:dyDescent="0.25">
      <c r="D247" s="433" t="s">
        <v>1086</v>
      </c>
      <c r="E247" s="434"/>
      <c r="F247" s="434"/>
      <c r="G247" s="434"/>
      <c r="H247" s="434"/>
      <c r="I247" s="434"/>
      <c r="J247" s="434"/>
      <c r="K247" s="434"/>
      <c r="L247" s="434"/>
      <c r="M247" s="434"/>
      <c r="N247" s="434"/>
      <c r="O247" s="434"/>
      <c r="P247" s="434"/>
      <c r="Q247" s="435"/>
      <c r="R247" s="436"/>
      <c r="S247" s="437">
        <f>(SUM(S6:S155)+SUM(S176:S244))/60</f>
        <v>37.526017520465878</v>
      </c>
    </row>
    <row r="248" spans="1:26" ht="18" thickBot="1" x14ac:dyDescent="0.25">
      <c r="D248" s="195" t="s">
        <v>1087</v>
      </c>
      <c r="E248" s="194"/>
      <c r="F248" s="194"/>
      <c r="G248" s="194"/>
      <c r="H248" s="194"/>
      <c r="I248" s="194"/>
      <c r="J248" s="194"/>
      <c r="K248" s="194"/>
      <c r="L248" s="194"/>
      <c r="M248" s="194"/>
      <c r="N248" s="194"/>
      <c r="O248" s="194"/>
      <c r="P248" s="194"/>
      <c r="Q248" s="304"/>
      <c r="R248" s="305"/>
      <c r="S248" s="432">
        <f>(SUM(S6:S26)+SUM(S35:S155)+SUM(S175:S234)+SUM(S241:S244))/60</f>
        <v>35.192684187132542</v>
      </c>
    </row>
  </sheetData>
  <sheetProtection algorithmName="SHA-512" hashValue="O0+jrmLQKiPXTY12onH/iuPpbZ6r052EBGCaCG9ux/O/IgVyWB1i1NkmF3y894m2QBP0XLTuRqJTfvFlSAH7uw==" saltValue="YZxKQR9J24jgLGKpEZdn1A==" spinCount="100000" sheet="1" formatCells="0" formatRows="0" insertRows="0" deleteRows="0"/>
  <mergeCells count="24">
    <mergeCell ref="A1:P1"/>
    <mergeCell ref="A2:O2"/>
    <mergeCell ref="P2:P3"/>
    <mergeCell ref="M36:M38"/>
    <mergeCell ref="N37:N38"/>
    <mergeCell ref="P37:P38"/>
    <mergeCell ref="A21:P21"/>
    <mergeCell ref="A4:P4"/>
    <mergeCell ref="P48:P50"/>
    <mergeCell ref="P66:P67"/>
    <mergeCell ref="P77:P78"/>
    <mergeCell ref="P88:P89"/>
    <mergeCell ref="A42:P42"/>
    <mergeCell ref="A233:P233"/>
    <mergeCell ref="B175:P175"/>
    <mergeCell ref="A58:P58"/>
    <mergeCell ref="A134:P134"/>
    <mergeCell ref="A148:P148"/>
    <mergeCell ref="A226:P226"/>
    <mergeCell ref="A167:P167"/>
    <mergeCell ref="A156:P156"/>
    <mergeCell ref="A126:P126"/>
    <mergeCell ref="A99:P99"/>
    <mergeCell ref="P115:P117"/>
  </mergeCells>
  <conditionalFormatting sqref="B145">
    <cfRule type="duplicateValues" dxfId="212" priority="346"/>
  </conditionalFormatting>
  <conditionalFormatting sqref="B145">
    <cfRule type="duplicateValues" dxfId="211" priority="347"/>
  </conditionalFormatting>
  <conditionalFormatting sqref="B15:B19">
    <cfRule type="duplicateValues" dxfId="210" priority="345"/>
  </conditionalFormatting>
  <conditionalFormatting sqref="B20">
    <cfRule type="duplicateValues" dxfId="209" priority="344"/>
  </conditionalFormatting>
  <conditionalFormatting sqref="C40:C41">
    <cfRule type="duplicateValues" dxfId="208" priority="343"/>
  </conditionalFormatting>
  <conditionalFormatting sqref="B67:B68">
    <cfRule type="duplicateValues" dxfId="207" priority="342"/>
  </conditionalFormatting>
  <conditionalFormatting sqref="C67:C68">
    <cfRule type="duplicateValues" dxfId="206" priority="341"/>
  </conditionalFormatting>
  <conditionalFormatting sqref="B78:B79">
    <cfRule type="duplicateValues" dxfId="205" priority="340"/>
  </conditionalFormatting>
  <conditionalFormatting sqref="C78:C79">
    <cfRule type="duplicateValues" dxfId="204" priority="339"/>
  </conditionalFormatting>
  <conditionalFormatting sqref="B89:B90">
    <cfRule type="duplicateValues" dxfId="203" priority="338"/>
  </conditionalFormatting>
  <conditionalFormatting sqref="C89:C90">
    <cfRule type="duplicateValues" dxfId="202" priority="337"/>
  </conditionalFormatting>
  <conditionalFormatting sqref="C96">
    <cfRule type="duplicateValues" dxfId="201" priority="336"/>
  </conditionalFormatting>
  <conditionalFormatting sqref="B112:B114">
    <cfRule type="duplicateValues" dxfId="200" priority="335"/>
  </conditionalFormatting>
  <conditionalFormatting sqref="C112:C114">
    <cfRule type="duplicateValues" dxfId="199" priority="334"/>
  </conditionalFormatting>
  <conditionalFormatting sqref="B152:B153">
    <cfRule type="duplicateValues" dxfId="198" priority="333"/>
  </conditionalFormatting>
  <conditionalFormatting sqref="B159:B160">
    <cfRule type="duplicateValues" dxfId="197" priority="332"/>
  </conditionalFormatting>
  <conditionalFormatting sqref="B170:B173">
    <cfRule type="duplicateValues" dxfId="196" priority="331"/>
  </conditionalFormatting>
  <conditionalFormatting sqref="C170">
    <cfRule type="duplicateValues" dxfId="195" priority="330"/>
  </conditionalFormatting>
  <conditionalFormatting sqref="B182">
    <cfRule type="duplicateValues" dxfId="194" priority="329"/>
  </conditionalFormatting>
  <conditionalFormatting sqref="C182">
    <cfRule type="duplicateValues" dxfId="193" priority="328"/>
  </conditionalFormatting>
  <conditionalFormatting sqref="B183">
    <cfRule type="duplicateValues" dxfId="192" priority="327"/>
  </conditionalFormatting>
  <conditionalFormatting sqref="C183">
    <cfRule type="duplicateValues" dxfId="191" priority="326"/>
  </conditionalFormatting>
  <conditionalFormatting sqref="B185">
    <cfRule type="duplicateValues" dxfId="190" priority="325"/>
  </conditionalFormatting>
  <conditionalFormatting sqref="C185">
    <cfRule type="duplicateValues" dxfId="189" priority="324"/>
  </conditionalFormatting>
  <conditionalFormatting sqref="B187">
    <cfRule type="duplicateValues" dxfId="188" priority="323"/>
  </conditionalFormatting>
  <conditionalFormatting sqref="C187">
    <cfRule type="duplicateValues" dxfId="187" priority="322"/>
  </conditionalFormatting>
  <conditionalFormatting sqref="B209">
    <cfRule type="duplicateValues" dxfId="186" priority="321"/>
  </conditionalFormatting>
  <conditionalFormatting sqref="C209">
    <cfRule type="duplicateValues" dxfId="185" priority="320"/>
  </conditionalFormatting>
  <conditionalFormatting sqref="C56">
    <cfRule type="duplicateValues" dxfId="184" priority="319"/>
  </conditionalFormatting>
  <conditionalFormatting sqref="B121">
    <cfRule type="duplicateValues" dxfId="183" priority="348"/>
  </conditionalFormatting>
  <conditionalFormatting sqref="C57">
    <cfRule type="duplicateValues" dxfId="182" priority="318"/>
  </conditionalFormatting>
  <conditionalFormatting sqref="C50:C51">
    <cfRule type="duplicateValues" dxfId="181" priority="317"/>
  </conditionalFormatting>
  <conditionalFormatting sqref="B50:B51">
    <cfRule type="duplicateValues" dxfId="180" priority="316"/>
  </conditionalFormatting>
  <conditionalFormatting sqref="B142">
    <cfRule type="duplicateValues" dxfId="179" priority="349"/>
  </conditionalFormatting>
  <conditionalFormatting sqref="D44">
    <cfRule type="cellIs" dxfId="178" priority="315" operator="notEqual">
      <formula>$D$44</formula>
    </cfRule>
  </conditionalFormatting>
  <conditionalFormatting sqref="B54:B55">
    <cfRule type="duplicateValues" dxfId="177" priority="314"/>
  </conditionalFormatting>
  <conditionalFormatting sqref="C61:C65">
    <cfRule type="duplicateValues" dxfId="176" priority="312"/>
  </conditionalFormatting>
  <conditionalFormatting sqref="B72:B76">
    <cfRule type="duplicateValues" dxfId="175" priority="311"/>
  </conditionalFormatting>
  <conditionalFormatting sqref="C72:C76">
    <cfRule type="duplicateValues" dxfId="174" priority="310"/>
  </conditionalFormatting>
  <conditionalFormatting sqref="B77">
    <cfRule type="duplicateValues" dxfId="173" priority="309"/>
  </conditionalFormatting>
  <conditionalFormatting sqref="B83:B87">
    <cfRule type="duplicateValues" dxfId="172" priority="308"/>
  </conditionalFormatting>
  <conditionalFormatting sqref="C83:C87">
    <cfRule type="duplicateValues" dxfId="171" priority="307"/>
  </conditionalFormatting>
  <conditionalFormatting sqref="B123">
    <cfRule type="duplicateValues" dxfId="170" priority="306"/>
  </conditionalFormatting>
  <conditionalFormatting sqref="C123">
    <cfRule type="duplicateValues" dxfId="169" priority="305"/>
  </conditionalFormatting>
  <conditionalFormatting sqref="B157">
    <cfRule type="duplicateValues" dxfId="168" priority="304"/>
  </conditionalFormatting>
  <conditionalFormatting sqref="B224 C210:C218 C220:C222">
    <cfRule type="duplicateValues" dxfId="167" priority="350"/>
  </conditionalFormatting>
  <conditionalFormatting sqref="B155">
    <cfRule type="duplicateValues" dxfId="166" priority="303"/>
  </conditionalFormatting>
  <conditionalFormatting sqref="B242:B247 B234 B227:B230 B184 B168:B169 B129:B132 B2:B3 B149:B151 B69:B71 B80:B82 B91 B120 B137:B141 B144:B145 B154 B161:B165 B176:B181 B186 B188 B44 B52:B53 B5 B24:B27 B60:B66 B208 B56:B57 B88 B95:B97 B105:B107 B8:B20 B29:B33 B46:B47 B36:B41 B249:B1048576">
    <cfRule type="duplicateValues" dxfId="165" priority="351"/>
  </conditionalFormatting>
  <conditionalFormatting sqref="B98">
    <cfRule type="duplicateValues" dxfId="164" priority="302"/>
  </conditionalFormatting>
  <conditionalFormatting sqref="C93">
    <cfRule type="duplicateValues" dxfId="163" priority="300"/>
  </conditionalFormatting>
  <conditionalFormatting sqref="B93">
    <cfRule type="duplicateValues" dxfId="162" priority="301"/>
  </conditionalFormatting>
  <conditionalFormatting sqref="D235:D241">
    <cfRule type="expression" dxfId="161" priority="298" stopIfTrue="1">
      <formula>$A235="begin group"</formula>
    </cfRule>
  </conditionalFormatting>
  <conditionalFormatting sqref="D235:D241">
    <cfRule type="expression" dxfId="160" priority="295" stopIfTrue="1">
      <formula>$A235="begin repeat"</formula>
    </cfRule>
  </conditionalFormatting>
  <conditionalFormatting sqref="D235:D241">
    <cfRule type="expression" dxfId="159" priority="292" stopIfTrue="1">
      <formula>$A235="text"</formula>
    </cfRule>
  </conditionalFormatting>
  <conditionalFormatting sqref="D235:D241">
    <cfRule type="expression" dxfId="158" priority="290" stopIfTrue="1">
      <formula>$A235="integer"</formula>
    </cfRule>
  </conditionalFormatting>
  <conditionalFormatting sqref="D235:D241">
    <cfRule type="expression" dxfId="157" priority="288" stopIfTrue="1">
      <formula>$A235="decimal"</formula>
    </cfRule>
  </conditionalFormatting>
  <conditionalFormatting sqref="D235:D241">
    <cfRule type="expression" dxfId="156" priority="286" stopIfTrue="1">
      <formula>OR(AND(LEFT($A235, 16)="select_multiple ", LEN($A235)&gt;16, NOT(ISNUMBER(SEARCH(" ", $A235, 17)))), AND(LEFT($A235, 11)="select_one ", LEN($A235)&gt;11, NOT(ISNUMBER(SEARCH(" ", $A235, 12)))))</formula>
    </cfRule>
  </conditionalFormatting>
  <conditionalFormatting sqref="D235:D241">
    <cfRule type="expression" dxfId="155" priority="278" stopIfTrue="1">
      <formula>$A235="note"</formula>
    </cfRule>
    <cfRule type="expression" dxfId="154" priority="280" stopIfTrue="1">
      <formula>$A235="barcode"</formula>
    </cfRule>
    <cfRule type="expression" dxfId="153" priority="282" stopIfTrue="1">
      <formula>$A235="geopoint"</formula>
    </cfRule>
  </conditionalFormatting>
  <conditionalFormatting sqref="D235:D241">
    <cfRule type="expression" dxfId="152" priority="275" stopIfTrue="1">
      <formula>OR($A235="date", $A235="datetime")</formula>
    </cfRule>
  </conditionalFormatting>
  <conditionalFormatting sqref="D235:D241">
    <cfRule type="expression" dxfId="151" priority="273" stopIfTrue="1">
      <formula>$A235="image"</formula>
    </cfRule>
  </conditionalFormatting>
  <conditionalFormatting sqref="D235:D241">
    <cfRule type="expression" dxfId="150" priority="271" stopIfTrue="1">
      <formula>OR($A235="audio", $A235="video")</formula>
    </cfRule>
  </conditionalFormatting>
  <conditionalFormatting sqref="D235:D241">
    <cfRule type="expression" dxfId="149" priority="272" stopIfTrue="1">
      <formula>OR($A235="audio", $A235="video")</formula>
    </cfRule>
    <cfRule type="expression" dxfId="148" priority="274" stopIfTrue="1">
      <formula>$A235="image"</formula>
    </cfRule>
    <cfRule type="expression" dxfId="147" priority="276" stopIfTrue="1">
      <formula>OR($A235="date", $A235="datetime")</formula>
    </cfRule>
    <cfRule type="expression" dxfId="146" priority="277" stopIfTrue="1">
      <formula>OR($A235="calculate", $A235="calculate_here")</formula>
    </cfRule>
    <cfRule type="expression" dxfId="145" priority="279" stopIfTrue="1">
      <formula>$A235="note"</formula>
    </cfRule>
    <cfRule type="expression" dxfId="144" priority="281" stopIfTrue="1">
      <formula>$A235="barcode"</formula>
    </cfRule>
    <cfRule type="expression" dxfId="143" priority="283" stopIfTrue="1">
      <formula>$A235="geopoint"</formula>
    </cfRule>
    <cfRule type="expression" dxfId="142" priority="284" stopIfTrue="1">
      <formula>OR($A235="audio audit", $A235="text audit")</formula>
    </cfRule>
    <cfRule type="expression" dxfId="141" priority="285" stopIfTrue="1">
      <formula>OR($A235="username", $A235="phonenumber", $A235="start", $A235="end", $A235="deviceid", $A235="subscriberid", $A235="simserial")</formula>
    </cfRule>
    <cfRule type="expression" dxfId="140" priority="287" stopIfTrue="1">
      <formula>OR(AND(LEFT($A235, 16)="select_multiple ", LEN($A235)&gt;16, NOT(ISNUMBER(SEARCH(" ", $A235, 17)))), AND(LEFT($A235, 11)="select_one ", LEN($A235)&gt;11, NOT(ISNUMBER(SEARCH(" ", $A235, 12)))))</formula>
    </cfRule>
    <cfRule type="expression" dxfId="139" priority="289" stopIfTrue="1">
      <formula>$A235="decimal"</formula>
    </cfRule>
    <cfRule type="expression" dxfId="138" priority="291" stopIfTrue="1">
      <formula>$A235="integer"</formula>
    </cfRule>
    <cfRule type="expression" dxfId="137" priority="293" stopIfTrue="1">
      <formula>$A235="text"</formula>
    </cfRule>
    <cfRule type="expression" dxfId="136" priority="294" stopIfTrue="1">
      <formula>$A235="end repeat"</formula>
    </cfRule>
    <cfRule type="expression" dxfId="135" priority="296" stopIfTrue="1">
      <formula>$A235="begin repeat"</formula>
    </cfRule>
    <cfRule type="expression" dxfId="134" priority="297" stopIfTrue="1">
      <formula>$A235="end group"</formula>
    </cfRule>
    <cfRule type="expression" dxfId="133" priority="299" stopIfTrue="1">
      <formula>$A235="begin group"</formula>
    </cfRule>
  </conditionalFormatting>
  <conditionalFormatting sqref="D27:D32">
    <cfRule type="expression" dxfId="132" priority="269" stopIfTrue="1">
      <formula>$A27="begin group"</formula>
    </cfRule>
  </conditionalFormatting>
  <conditionalFormatting sqref="D27:D32">
    <cfRule type="expression" dxfId="131" priority="266" stopIfTrue="1">
      <formula>$A27="begin repeat"</formula>
    </cfRule>
  </conditionalFormatting>
  <conditionalFormatting sqref="D27:D32">
    <cfRule type="expression" dxfId="130" priority="263" stopIfTrue="1">
      <formula>$A27="text"</formula>
    </cfRule>
  </conditionalFormatting>
  <conditionalFormatting sqref="D27:D32">
    <cfRule type="expression" dxfId="129" priority="261" stopIfTrue="1">
      <formula>$A27="integer"</formula>
    </cfRule>
  </conditionalFormatting>
  <conditionalFormatting sqref="D27:D32">
    <cfRule type="expression" dxfId="128" priority="259" stopIfTrue="1">
      <formula>$A27="decimal"</formula>
    </cfRule>
  </conditionalFormatting>
  <conditionalFormatting sqref="D27:D32">
    <cfRule type="expression" dxfId="127" priority="257" stopIfTrue="1">
      <formula>OR(AND(LEFT($A27, 16)="select_multiple ", LEN($A27)&gt;16, NOT(ISNUMBER(SEARCH(" ", $A27, 17)))), AND(LEFT($A27, 11)="select_one ", LEN($A27)&gt;11, NOT(ISNUMBER(SEARCH(" ", $A27, 12)))))</formula>
    </cfRule>
  </conditionalFormatting>
  <conditionalFormatting sqref="D27:D32">
    <cfRule type="expression" dxfId="126" priority="249" stopIfTrue="1">
      <formula>$A27="note"</formula>
    </cfRule>
    <cfRule type="expression" dxfId="125" priority="251" stopIfTrue="1">
      <formula>$A27="barcode"</formula>
    </cfRule>
    <cfRule type="expression" dxfId="124" priority="253" stopIfTrue="1">
      <formula>$A27="geopoint"</formula>
    </cfRule>
  </conditionalFormatting>
  <conditionalFormatting sqref="D27:D32">
    <cfRule type="expression" dxfId="123" priority="246" stopIfTrue="1">
      <formula>OR($A27="date", $A27="datetime")</formula>
    </cfRule>
  </conditionalFormatting>
  <conditionalFormatting sqref="D27:D32">
    <cfRule type="expression" dxfId="122" priority="244" stopIfTrue="1">
      <formula>$A27="image"</formula>
    </cfRule>
  </conditionalFormatting>
  <conditionalFormatting sqref="D27:D32">
    <cfRule type="expression" dxfId="121" priority="242" stopIfTrue="1">
      <formula>OR($A27="audio", $A27="video")</formula>
    </cfRule>
  </conditionalFormatting>
  <conditionalFormatting sqref="D27:D32">
    <cfRule type="expression" dxfId="120" priority="243" stopIfTrue="1">
      <formula>OR($A27="audio", $A27="video")</formula>
    </cfRule>
    <cfRule type="expression" dxfId="119" priority="245" stopIfTrue="1">
      <formula>$A27="image"</formula>
    </cfRule>
    <cfRule type="expression" dxfId="118" priority="247" stopIfTrue="1">
      <formula>OR($A27="date", $A27="datetime")</formula>
    </cfRule>
    <cfRule type="expression" dxfId="117" priority="248" stopIfTrue="1">
      <formula>OR($A27="calculate", $A27="calculate_here")</formula>
    </cfRule>
    <cfRule type="expression" dxfId="116" priority="250" stopIfTrue="1">
      <formula>$A27="note"</formula>
    </cfRule>
    <cfRule type="expression" dxfId="115" priority="252" stopIfTrue="1">
      <formula>$A27="barcode"</formula>
    </cfRule>
    <cfRule type="expression" dxfId="114" priority="254" stopIfTrue="1">
      <formula>$A27="geopoint"</formula>
    </cfRule>
    <cfRule type="expression" dxfId="113" priority="255" stopIfTrue="1">
      <formula>OR($A27="audio audit", $A27="text audit")</formula>
    </cfRule>
    <cfRule type="expression" dxfId="112" priority="256" stopIfTrue="1">
      <formula>OR($A27="username", $A27="phonenumber", $A27="start", $A27="end", $A27="deviceid", $A27="subscriberid", $A27="simserial")</formula>
    </cfRule>
    <cfRule type="expression" dxfId="111" priority="258" stopIfTrue="1">
      <formula>OR(AND(LEFT($A27, 16)="select_multiple ", LEN($A27)&gt;16, NOT(ISNUMBER(SEARCH(" ", $A27, 17)))), AND(LEFT($A27, 11)="select_one ", LEN($A27)&gt;11, NOT(ISNUMBER(SEARCH(" ", $A27, 12)))))</formula>
    </cfRule>
    <cfRule type="expression" dxfId="110" priority="260" stopIfTrue="1">
      <formula>$A27="decimal"</formula>
    </cfRule>
    <cfRule type="expression" dxfId="109" priority="262" stopIfTrue="1">
      <formula>$A27="integer"</formula>
    </cfRule>
    <cfRule type="expression" dxfId="108" priority="264" stopIfTrue="1">
      <formula>$A27="text"</formula>
    </cfRule>
    <cfRule type="expression" dxfId="107" priority="265" stopIfTrue="1">
      <formula>$A27="end repeat"</formula>
    </cfRule>
    <cfRule type="expression" dxfId="106" priority="267" stopIfTrue="1">
      <formula>$A27="begin repeat"</formula>
    </cfRule>
    <cfRule type="expression" dxfId="105" priority="268" stopIfTrue="1">
      <formula>$A27="end group"</formula>
    </cfRule>
    <cfRule type="expression" dxfId="104" priority="270" stopIfTrue="1">
      <formula>$A27="begin group"</formula>
    </cfRule>
  </conditionalFormatting>
  <conditionalFormatting sqref="D33">
    <cfRule type="expression" dxfId="103" priority="240" stopIfTrue="1">
      <formula>$A33="begin group"</formula>
    </cfRule>
  </conditionalFormatting>
  <conditionalFormatting sqref="D33">
    <cfRule type="expression" dxfId="102" priority="237" stopIfTrue="1">
      <formula>$A33="begin repeat"</formula>
    </cfRule>
  </conditionalFormatting>
  <conditionalFormatting sqref="D33">
    <cfRule type="expression" dxfId="101" priority="234" stopIfTrue="1">
      <formula>$A33="text"</formula>
    </cfRule>
  </conditionalFormatting>
  <conditionalFormatting sqref="D33">
    <cfRule type="expression" dxfId="100" priority="232" stopIfTrue="1">
      <formula>$A33="integer"</formula>
    </cfRule>
  </conditionalFormatting>
  <conditionalFormatting sqref="D33">
    <cfRule type="expression" dxfId="99" priority="230" stopIfTrue="1">
      <formula>$A33="decimal"</formula>
    </cfRule>
  </conditionalFormatting>
  <conditionalFormatting sqref="D33">
    <cfRule type="expression" dxfId="98" priority="228" stopIfTrue="1">
      <formula>OR(AND(LEFT($A33, 16)="select_multiple ", LEN($A33)&gt;16, NOT(ISNUMBER(SEARCH(" ", $A33, 17)))), AND(LEFT($A33, 11)="select_one ", LEN($A33)&gt;11, NOT(ISNUMBER(SEARCH(" ", $A33, 12)))))</formula>
    </cfRule>
  </conditionalFormatting>
  <conditionalFormatting sqref="D33">
    <cfRule type="expression" dxfId="97" priority="220" stopIfTrue="1">
      <formula>$A33="note"</formula>
    </cfRule>
    <cfRule type="expression" dxfId="96" priority="222" stopIfTrue="1">
      <formula>$A33="barcode"</formula>
    </cfRule>
    <cfRule type="expression" dxfId="95" priority="224" stopIfTrue="1">
      <formula>$A33="geopoint"</formula>
    </cfRule>
  </conditionalFormatting>
  <conditionalFormatting sqref="D33">
    <cfRule type="expression" dxfId="94" priority="217" stopIfTrue="1">
      <formula>OR($A33="date", $A33="datetime")</formula>
    </cfRule>
  </conditionalFormatting>
  <conditionalFormatting sqref="D33">
    <cfRule type="expression" dxfId="93" priority="215" stopIfTrue="1">
      <formula>$A33="image"</formula>
    </cfRule>
  </conditionalFormatting>
  <conditionalFormatting sqref="D33">
    <cfRule type="expression" dxfId="92" priority="213" stopIfTrue="1">
      <formula>OR($A33="audio", $A33="video")</formula>
    </cfRule>
  </conditionalFormatting>
  <conditionalFormatting sqref="D33">
    <cfRule type="expression" dxfId="91" priority="214" stopIfTrue="1">
      <formula>OR($A33="audio", $A33="video")</formula>
    </cfRule>
    <cfRule type="expression" dxfId="90" priority="216" stopIfTrue="1">
      <formula>$A33="image"</formula>
    </cfRule>
    <cfRule type="expression" dxfId="89" priority="218" stopIfTrue="1">
      <formula>OR($A33="date", $A33="datetime")</formula>
    </cfRule>
    <cfRule type="expression" dxfId="88" priority="219" stopIfTrue="1">
      <formula>OR($A33="calculate", $A33="calculate_here")</formula>
    </cfRule>
    <cfRule type="expression" dxfId="87" priority="221" stopIfTrue="1">
      <formula>$A33="note"</formula>
    </cfRule>
    <cfRule type="expression" dxfId="86" priority="223" stopIfTrue="1">
      <formula>$A33="barcode"</formula>
    </cfRule>
    <cfRule type="expression" dxfId="85" priority="225" stopIfTrue="1">
      <formula>$A33="geopoint"</formula>
    </cfRule>
    <cfRule type="expression" dxfId="84" priority="226" stopIfTrue="1">
      <formula>OR($A33="audio audit", $A33="text audit")</formula>
    </cfRule>
    <cfRule type="expression" dxfId="83" priority="227" stopIfTrue="1">
      <formula>OR($A33="username", $A33="phonenumber", $A33="start", $A33="end", $A33="deviceid", $A33="subscriberid", $A33="simserial")</formula>
    </cfRule>
    <cfRule type="expression" dxfId="82" priority="229" stopIfTrue="1">
      <formula>OR(AND(LEFT($A33, 16)="select_multiple ", LEN($A33)&gt;16, NOT(ISNUMBER(SEARCH(" ", $A33, 17)))), AND(LEFT($A33, 11)="select_one ", LEN($A33)&gt;11, NOT(ISNUMBER(SEARCH(" ", $A33, 12)))))</formula>
    </cfRule>
    <cfRule type="expression" dxfId="81" priority="231" stopIfTrue="1">
      <formula>$A33="decimal"</formula>
    </cfRule>
    <cfRule type="expression" dxfId="80" priority="233" stopIfTrue="1">
      <formula>$A33="integer"</formula>
    </cfRule>
    <cfRule type="expression" dxfId="79" priority="235" stopIfTrue="1">
      <formula>$A33="text"</formula>
    </cfRule>
    <cfRule type="expression" dxfId="78" priority="236" stopIfTrue="1">
      <formula>$A33="end repeat"</formula>
    </cfRule>
    <cfRule type="expression" dxfId="77" priority="238" stopIfTrue="1">
      <formula>$A33="begin repeat"</formula>
    </cfRule>
    <cfRule type="expression" dxfId="76" priority="239" stopIfTrue="1">
      <formula>$A33="end group"</formula>
    </cfRule>
    <cfRule type="expression" dxfId="75" priority="241" stopIfTrue="1">
      <formula>$A33="begin group"</formula>
    </cfRule>
  </conditionalFormatting>
  <conditionalFormatting sqref="C146">
    <cfRule type="duplicateValues" dxfId="74" priority="212"/>
  </conditionalFormatting>
  <conditionalFormatting sqref="B146">
    <cfRule type="duplicateValues" dxfId="73" priority="352"/>
  </conditionalFormatting>
  <conditionalFormatting sqref="C124">
    <cfRule type="duplicateValues" dxfId="72" priority="211"/>
  </conditionalFormatting>
  <conditionalFormatting sqref="B124">
    <cfRule type="duplicateValues" dxfId="71" priority="353"/>
  </conditionalFormatting>
  <conditionalFormatting sqref="B219">
    <cfRule type="duplicateValues" dxfId="70" priority="209"/>
  </conditionalFormatting>
  <conditionalFormatting sqref="C219">
    <cfRule type="duplicateValues" dxfId="69" priority="210"/>
  </conditionalFormatting>
  <conditionalFormatting sqref="B225">
    <cfRule type="duplicateValues" dxfId="68" priority="208"/>
  </conditionalFormatting>
  <conditionalFormatting sqref="B223">
    <cfRule type="duplicateValues" dxfId="67" priority="207"/>
  </conditionalFormatting>
  <conditionalFormatting sqref="B210:B218 B220:B222">
    <cfRule type="duplicateValues" dxfId="66" priority="354"/>
  </conditionalFormatting>
  <conditionalFormatting sqref="C224">
    <cfRule type="duplicateValues" dxfId="65" priority="206"/>
  </conditionalFormatting>
  <conditionalFormatting sqref="C225">
    <cfRule type="duplicateValues" dxfId="64" priority="205"/>
  </conditionalFormatting>
  <conditionalFormatting sqref="C223">
    <cfRule type="duplicateValues" dxfId="63" priority="204"/>
  </conditionalFormatting>
  <conditionalFormatting sqref="C27">
    <cfRule type="duplicateValues" dxfId="62" priority="203"/>
  </conditionalFormatting>
  <conditionalFormatting sqref="B28">
    <cfRule type="duplicateValues" dxfId="61" priority="202"/>
  </conditionalFormatting>
  <conditionalFormatting sqref="C28">
    <cfRule type="duplicateValues" dxfId="60" priority="201"/>
  </conditionalFormatting>
  <conditionalFormatting sqref="C29:C30 C32:C33">
    <cfRule type="duplicateValues" dxfId="59" priority="200"/>
  </conditionalFormatting>
  <conditionalFormatting sqref="B133">
    <cfRule type="duplicateValues" dxfId="58" priority="199"/>
  </conditionalFormatting>
  <conditionalFormatting sqref="B136">
    <cfRule type="duplicateValues" dxfId="57" priority="198"/>
  </conditionalFormatting>
  <conditionalFormatting sqref="B158">
    <cfRule type="duplicateValues" dxfId="56" priority="197"/>
  </conditionalFormatting>
  <conditionalFormatting sqref="B174">
    <cfRule type="duplicateValues" dxfId="55" priority="196"/>
  </conditionalFormatting>
  <conditionalFormatting sqref="C48">
    <cfRule type="duplicateValues" dxfId="54" priority="355"/>
  </conditionalFormatting>
  <conditionalFormatting sqref="B48">
    <cfRule type="duplicateValues" dxfId="53" priority="356"/>
  </conditionalFormatting>
  <conditionalFormatting sqref="C49">
    <cfRule type="duplicateValues" dxfId="52" priority="357"/>
  </conditionalFormatting>
  <conditionalFormatting sqref="B49">
    <cfRule type="duplicateValues" dxfId="51" priority="358"/>
  </conditionalFormatting>
  <conditionalFormatting sqref="B34:B35">
    <cfRule type="duplicateValues" dxfId="50" priority="195"/>
  </conditionalFormatting>
  <conditionalFormatting sqref="D34:D35">
    <cfRule type="expression" dxfId="49" priority="193" stopIfTrue="1">
      <formula>$A34="begin group"</formula>
    </cfRule>
  </conditionalFormatting>
  <conditionalFormatting sqref="D34:D35">
    <cfRule type="expression" dxfId="48" priority="190" stopIfTrue="1">
      <formula>$A34="begin repeat"</formula>
    </cfRule>
  </conditionalFormatting>
  <conditionalFormatting sqref="D34:D35">
    <cfRule type="expression" dxfId="47" priority="187" stopIfTrue="1">
      <formula>$A34="text"</formula>
    </cfRule>
  </conditionalFormatting>
  <conditionalFormatting sqref="D34:D35">
    <cfRule type="expression" dxfId="46" priority="185" stopIfTrue="1">
      <formula>$A34="integer"</formula>
    </cfRule>
  </conditionalFormatting>
  <conditionalFormatting sqref="D34:D35">
    <cfRule type="expression" dxfId="45" priority="183" stopIfTrue="1">
      <formula>$A34="decimal"</formula>
    </cfRule>
  </conditionalFormatting>
  <conditionalFormatting sqref="D34:D35">
    <cfRule type="expression" dxfId="44" priority="181" stopIfTrue="1">
      <formula>OR(AND(LEFT($A34, 16)="select_multiple ", LEN($A34)&gt;16, NOT(ISNUMBER(SEARCH(" ", $A34, 17)))), AND(LEFT($A34, 11)="select_one ", LEN($A34)&gt;11, NOT(ISNUMBER(SEARCH(" ", $A34, 12)))))</formula>
    </cfRule>
  </conditionalFormatting>
  <conditionalFormatting sqref="D34:D35">
    <cfRule type="expression" dxfId="43" priority="173" stopIfTrue="1">
      <formula>$A34="note"</formula>
    </cfRule>
    <cfRule type="expression" dxfId="42" priority="175" stopIfTrue="1">
      <formula>$A34="barcode"</formula>
    </cfRule>
    <cfRule type="expression" dxfId="41" priority="177" stopIfTrue="1">
      <formula>$A34="geopoint"</formula>
    </cfRule>
  </conditionalFormatting>
  <conditionalFormatting sqref="D34:D35">
    <cfRule type="expression" dxfId="40" priority="170" stopIfTrue="1">
      <formula>OR($A34="date", $A34="datetime")</formula>
    </cfRule>
  </conditionalFormatting>
  <conditionalFormatting sqref="D34:D35">
    <cfRule type="expression" dxfId="39" priority="168" stopIfTrue="1">
      <formula>$A34="image"</formula>
    </cfRule>
  </conditionalFormatting>
  <conditionalFormatting sqref="D34:D35">
    <cfRule type="expression" dxfId="38" priority="166" stopIfTrue="1">
      <formula>OR($A34="audio", $A34="video")</formula>
    </cfRule>
  </conditionalFormatting>
  <conditionalFormatting sqref="D34:D35">
    <cfRule type="expression" dxfId="37" priority="167" stopIfTrue="1">
      <formula>OR($A34="audio", $A34="video")</formula>
    </cfRule>
    <cfRule type="expression" dxfId="36" priority="169" stopIfTrue="1">
      <formula>$A34="image"</formula>
    </cfRule>
    <cfRule type="expression" dxfId="35" priority="171" stopIfTrue="1">
      <formula>OR($A34="date", $A34="datetime")</formula>
    </cfRule>
    <cfRule type="expression" dxfId="34" priority="172" stopIfTrue="1">
      <formula>OR($A34="calculate", $A34="calculate_here")</formula>
    </cfRule>
    <cfRule type="expression" dxfId="33" priority="174" stopIfTrue="1">
      <formula>$A34="note"</formula>
    </cfRule>
    <cfRule type="expression" dxfId="32" priority="176" stopIfTrue="1">
      <formula>$A34="barcode"</formula>
    </cfRule>
    <cfRule type="expression" dxfId="31" priority="178" stopIfTrue="1">
      <formula>$A34="geopoint"</formula>
    </cfRule>
    <cfRule type="expression" dxfId="30" priority="179" stopIfTrue="1">
      <formula>OR($A34="audio audit", $A34="text audit")</formula>
    </cfRule>
    <cfRule type="expression" dxfId="29" priority="180" stopIfTrue="1">
      <formula>OR($A34="username", $A34="phonenumber", $A34="start", $A34="end", $A34="deviceid", $A34="subscriberid", $A34="simserial")</formula>
    </cfRule>
    <cfRule type="expression" dxfId="28" priority="182" stopIfTrue="1">
      <formula>OR(AND(LEFT($A34, 16)="select_multiple ", LEN($A34)&gt;16, NOT(ISNUMBER(SEARCH(" ", $A34, 17)))), AND(LEFT($A34, 11)="select_one ", LEN($A34)&gt;11, NOT(ISNUMBER(SEARCH(" ", $A34, 12)))))</formula>
    </cfRule>
    <cfRule type="expression" dxfId="27" priority="184" stopIfTrue="1">
      <formula>$A34="decimal"</formula>
    </cfRule>
    <cfRule type="expression" dxfId="26" priority="186" stopIfTrue="1">
      <formula>$A34="integer"</formula>
    </cfRule>
    <cfRule type="expression" dxfId="25" priority="188" stopIfTrue="1">
      <formula>$A34="text"</formula>
    </cfRule>
    <cfRule type="expression" dxfId="24" priority="189" stopIfTrue="1">
      <formula>$A34="end repeat"</formula>
    </cfRule>
    <cfRule type="expression" dxfId="23" priority="191" stopIfTrue="1">
      <formula>$A34="begin repeat"</formula>
    </cfRule>
    <cfRule type="expression" dxfId="22" priority="192" stopIfTrue="1">
      <formula>$A34="end group"</formula>
    </cfRule>
    <cfRule type="expression" dxfId="21" priority="194" stopIfTrue="1">
      <formula>$A34="begin group"</formula>
    </cfRule>
  </conditionalFormatting>
  <conditionalFormatting sqref="C34:C35">
    <cfRule type="duplicateValues" dxfId="20" priority="165"/>
  </conditionalFormatting>
  <conditionalFormatting sqref="C31">
    <cfRule type="duplicateValues" dxfId="19" priority="164"/>
  </conditionalFormatting>
  <conditionalFormatting sqref="B94">
    <cfRule type="duplicateValues" dxfId="18" priority="163"/>
  </conditionalFormatting>
  <conditionalFormatting sqref="B92">
    <cfRule type="duplicateValues" dxfId="17" priority="162"/>
  </conditionalFormatting>
  <conditionalFormatting sqref="B119">
    <cfRule type="duplicateValues" dxfId="16" priority="161"/>
  </conditionalFormatting>
  <conditionalFormatting sqref="B125">
    <cfRule type="duplicateValues" dxfId="15" priority="160"/>
  </conditionalFormatting>
  <conditionalFormatting sqref="B143">
    <cfRule type="duplicateValues" dxfId="14" priority="159"/>
  </conditionalFormatting>
  <conditionalFormatting sqref="B147">
    <cfRule type="duplicateValues" dxfId="13" priority="158"/>
  </conditionalFormatting>
  <conditionalFormatting sqref="B166">
    <cfRule type="duplicateValues" dxfId="12" priority="157"/>
  </conditionalFormatting>
  <conditionalFormatting sqref="B232">
    <cfRule type="duplicateValues" dxfId="11" priority="156"/>
  </conditionalFormatting>
  <conditionalFormatting sqref="B111">
    <cfRule type="duplicateValues" dxfId="10" priority="155"/>
  </conditionalFormatting>
  <conditionalFormatting sqref="C111">
    <cfRule type="duplicateValues" dxfId="9" priority="154"/>
  </conditionalFormatting>
  <conditionalFormatting sqref="B109">
    <cfRule type="duplicateValues" dxfId="8" priority="153"/>
  </conditionalFormatting>
  <conditionalFormatting sqref="C109">
    <cfRule type="duplicateValues" dxfId="7" priority="152"/>
  </conditionalFormatting>
  <conditionalFormatting sqref="B122">
    <cfRule type="duplicateValues" dxfId="6" priority="151"/>
  </conditionalFormatting>
  <conditionalFormatting sqref="B248">
    <cfRule type="duplicateValues" dxfId="5" priority="2"/>
  </conditionalFormatting>
  <conditionalFormatting sqref="C54:C55">
    <cfRule type="duplicateValues" dxfId="4" priority="1"/>
  </conditionalFormatting>
  <conditionalFormatting sqref="B127:B128">
    <cfRule type="duplicateValues" dxfId="3" priority="395"/>
  </conditionalFormatting>
  <conditionalFormatting sqref="C127">
    <cfRule type="duplicateValues" dxfId="2" priority="396"/>
  </conditionalFormatting>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2:I94"/>
  <sheetViews>
    <sheetView workbookViewId="0">
      <pane ySplit="3" topLeftCell="A4" activePane="bottomLeft" state="frozen"/>
      <selection pane="bottomLeft" activeCell="C44" sqref="C44"/>
    </sheetView>
  </sheetViews>
  <sheetFormatPr baseColWidth="10" defaultColWidth="10.83203125" defaultRowHeight="15" x14ac:dyDescent="0.2"/>
  <cols>
    <col min="1" max="2" width="10.83203125" style="1"/>
    <col min="3" max="3" width="15.1640625" style="2" customWidth="1"/>
    <col min="4" max="4" width="10.83203125" style="283" hidden="1" customWidth="1"/>
    <col min="5" max="5" width="10.83203125" style="283"/>
    <col min="6" max="6" width="41.6640625" style="1" customWidth="1"/>
    <col min="7" max="7" width="32" style="449" customWidth="1"/>
    <col min="8" max="8" width="10.83203125" style="1"/>
    <col min="9" max="9" width="10.83203125" style="1" hidden="1" customWidth="1"/>
    <col min="10" max="16384" width="10.83203125" style="1"/>
  </cols>
  <sheetData>
    <row r="2" spans="2:9" ht="32" x14ac:dyDescent="0.2">
      <c r="C2" s="4"/>
      <c r="D2" s="280"/>
      <c r="E2" s="280"/>
      <c r="F2" s="5"/>
      <c r="G2" s="453"/>
      <c r="I2" s="55" t="s">
        <v>1088</v>
      </c>
    </row>
    <row r="3" spans="2:9" ht="32" x14ac:dyDescent="0.2">
      <c r="B3" s="3"/>
      <c r="C3" s="281" t="s">
        <v>1089</v>
      </c>
      <c r="D3" s="278" t="s">
        <v>1090</v>
      </c>
      <c r="E3" s="278" t="s">
        <v>1091</v>
      </c>
      <c r="F3" s="278" t="s">
        <v>1092</v>
      </c>
      <c r="G3" s="281" t="s">
        <v>1093</v>
      </c>
      <c r="I3" s="47">
        <f>MAX(D:D)</f>
        <v>94</v>
      </c>
    </row>
    <row r="4" spans="2:9" ht="16" x14ac:dyDescent="0.2">
      <c r="B4" s="3"/>
      <c r="C4" s="54"/>
      <c r="D4" s="8">
        <v>1</v>
      </c>
      <c r="E4" s="279" t="s">
        <v>1094</v>
      </c>
      <c r="F4" s="8" t="s">
        <v>1095</v>
      </c>
      <c r="G4" s="452" t="s">
        <v>1096</v>
      </c>
    </row>
    <row r="5" spans="2:9" ht="16" x14ac:dyDescent="0.2">
      <c r="B5" s="3"/>
      <c r="C5" s="54"/>
      <c r="D5" s="8">
        <v>2</v>
      </c>
      <c r="E5" s="279" t="s">
        <v>1097</v>
      </c>
      <c r="F5" s="8" t="s">
        <v>1098</v>
      </c>
      <c r="G5" s="452" t="s">
        <v>1099</v>
      </c>
      <c r="I5" s="5"/>
    </row>
    <row r="6" spans="2:9" ht="16" x14ac:dyDescent="0.2">
      <c r="B6" s="3"/>
      <c r="C6" s="54"/>
      <c r="D6" s="8">
        <v>3</v>
      </c>
      <c r="E6" s="279" t="s">
        <v>1100</v>
      </c>
      <c r="F6" s="8" t="s">
        <v>1101</v>
      </c>
      <c r="G6" s="452" t="s">
        <v>1102</v>
      </c>
    </row>
    <row r="7" spans="2:9" ht="16" x14ac:dyDescent="0.2">
      <c r="B7" s="3"/>
      <c r="C7" s="54"/>
      <c r="D7" s="8">
        <v>4</v>
      </c>
      <c r="E7" s="279" t="s">
        <v>1103</v>
      </c>
      <c r="F7" s="8" t="s">
        <v>1104</v>
      </c>
      <c r="G7" s="452" t="s">
        <v>1105</v>
      </c>
    </row>
    <row r="8" spans="2:9" ht="16" x14ac:dyDescent="0.2">
      <c r="B8" s="3"/>
      <c r="C8" s="54"/>
      <c r="D8" s="8">
        <v>5</v>
      </c>
      <c r="E8" s="279" t="s">
        <v>1106</v>
      </c>
      <c r="F8" s="8" t="s">
        <v>1107</v>
      </c>
      <c r="G8" s="452" t="s">
        <v>1108</v>
      </c>
    </row>
    <row r="9" spans="2:9" ht="16" x14ac:dyDescent="0.2">
      <c r="B9" s="3"/>
      <c r="C9" s="54"/>
      <c r="D9" s="8">
        <v>6</v>
      </c>
      <c r="E9" s="279" t="s">
        <v>1109</v>
      </c>
      <c r="F9" s="8" t="s">
        <v>1110</v>
      </c>
      <c r="G9" s="452" t="s">
        <v>1111</v>
      </c>
    </row>
    <row r="10" spans="2:9" ht="16" x14ac:dyDescent="0.2">
      <c r="B10" s="3"/>
      <c r="C10" s="554"/>
      <c r="D10" s="8">
        <v>7</v>
      </c>
      <c r="E10" s="279" t="s">
        <v>1112</v>
      </c>
      <c r="F10" s="53" t="s">
        <v>1113</v>
      </c>
      <c r="G10" s="451" t="s">
        <v>1114</v>
      </c>
    </row>
    <row r="11" spans="2:9" ht="16" x14ac:dyDescent="0.2">
      <c r="B11" s="3"/>
      <c r="C11" s="54"/>
      <c r="D11" s="8">
        <v>8</v>
      </c>
      <c r="E11" s="279" t="s">
        <v>1115</v>
      </c>
      <c r="F11" s="8" t="s">
        <v>1116</v>
      </c>
      <c r="G11" s="452" t="s">
        <v>1117</v>
      </c>
    </row>
    <row r="12" spans="2:9" ht="16" x14ac:dyDescent="0.2">
      <c r="B12" s="3"/>
      <c r="C12" s="54"/>
      <c r="D12" s="8">
        <v>9</v>
      </c>
      <c r="E12" s="279" t="s">
        <v>1118</v>
      </c>
      <c r="F12" s="8" t="s">
        <v>1119</v>
      </c>
      <c r="G12" s="452" t="s">
        <v>1120</v>
      </c>
    </row>
    <row r="13" spans="2:9" ht="16" x14ac:dyDescent="0.2">
      <c r="B13" s="3"/>
      <c r="C13" s="54"/>
      <c r="D13" s="8">
        <v>10</v>
      </c>
      <c r="E13" s="279" t="s">
        <v>1121</v>
      </c>
      <c r="F13" s="8" t="s">
        <v>1122</v>
      </c>
      <c r="G13" s="452" t="s">
        <v>1123</v>
      </c>
    </row>
    <row r="14" spans="2:9" ht="16" x14ac:dyDescent="0.2">
      <c r="B14" s="3"/>
      <c r="C14" s="54"/>
      <c r="D14" s="8">
        <v>11</v>
      </c>
      <c r="E14" s="279" t="s">
        <v>1124</v>
      </c>
      <c r="F14" s="8" t="s">
        <v>1125</v>
      </c>
      <c r="G14" s="452" t="s">
        <v>1126</v>
      </c>
    </row>
    <row r="15" spans="2:9" ht="16" x14ac:dyDescent="0.2">
      <c r="B15" s="3"/>
      <c r="C15" s="54"/>
      <c r="D15" s="8">
        <v>12</v>
      </c>
      <c r="E15" s="279" t="s">
        <v>1127</v>
      </c>
      <c r="F15" s="8" t="s">
        <v>1128</v>
      </c>
      <c r="G15" s="452" t="s">
        <v>1129</v>
      </c>
    </row>
    <row r="16" spans="2:9" ht="16" x14ac:dyDescent="0.2">
      <c r="B16" s="3"/>
      <c r="C16" s="54"/>
      <c r="D16" s="8">
        <v>13</v>
      </c>
      <c r="E16" s="279" t="s">
        <v>1130</v>
      </c>
      <c r="F16" s="8" t="s">
        <v>1131</v>
      </c>
      <c r="G16" s="452" t="s">
        <v>1132</v>
      </c>
    </row>
    <row r="17" spans="2:7" ht="16" x14ac:dyDescent="0.2">
      <c r="B17" s="3"/>
      <c r="C17" s="554"/>
      <c r="D17" s="8">
        <v>14</v>
      </c>
      <c r="E17" s="279" t="s">
        <v>1133</v>
      </c>
      <c r="F17" s="53" t="s">
        <v>1134</v>
      </c>
      <c r="G17" s="451" t="s">
        <v>1135</v>
      </c>
    </row>
    <row r="18" spans="2:7" ht="16" x14ac:dyDescent="0.2">
      <c r="B18" s="3"/>
      <c r="C18" s="54"/>
      <c r="D18" s="8">
        <v>15</v>
      </c>
      <c r="E18" s="279" t="s">
        <v>1136</v>
      </c>
      <c r="F18" s="8" t="s">
        <v>1137</v>
      </c>
      <c r="G18" s="452" t="s">
        <v>1138</v>
      </c>
    </row>
    <row r="19" spans="2:7" ht="16" x14ac:dyDescent="0.2">
      <c r="B19" s="3"/>
      <c r="C19" s="54"/>
      <c r="D19" s="8">
        <v>16</v>
      </c>
      <c r="E19" s="279" t="s">
        <v>1139</v>
      </c>
      <c r="F19" s="8" t="s">
        <v>1140</v>
      </c>
      <c r="G19" s="452" t="s">
        <v>1141</v>
      </c>
    </row>
    <row r="20" spans="2:7" ht="16" x14ac:dyDescent="0.2">
      <c r="B20" s="3"/>
      <c r="C20" s="54"/>
      <c r="D20" s="8">
        <v>17</v>
      </c>
      <c r="E20" s="279" t="s">
        <v>1142</v>
      </c>
      <c r="F20" s="8" t="s">
        <v>1143</v>
      </c>
      <c r="G20" s="452" t="s">
        <v>1144</v>
      </c>
    </row>
    <row r="21" spans="2:7" ht="16" x14ac:dyDescent="0.2">
      <c r="B21" s="3"/>
      <c r="C21" s="54"/>
      <c r="D21" s="8">
        <v>18</v>
      </c>
      <c r="E21" s="279" t="s">
        <v>1145</v>
      </c>
      <c r="F21" s="8" t="s">
        <v>1146</v>
      </c>
      <c r="G21" s="452" t="s">
        <v>1147</v>
      </c>
    </row>
    <row r="22" spans="2:7" ht="16" x14ac:dyDescent="0.2">
      <c r="B22" s="3"/>
      <c r="C22" s="54"/>
      <c r="D22" s="8">
        <v>76</v>
      </c>
      <c r="E22" s="279" t="s">
        <v>1148</v>
      </c>
      <c r="F22" s="8" t="s">
        <v>1149</v>
      </c>
      <c r="G22" s="452" t="s">
        <v>1150</v>
      </c>
    </row>
    <row r="23" spans="2:7" ht="16" x14ac:dyDescent="0.2">
      <c r="B23" s="3"/>
      <c r="C23" s="54"/>
      <c r="D23" s="8">
        <v>77</v>
      </c>
      <c r="E23" s="279" t="s">
        <v>1151</v>
      </c>
      <c r="F23" s="8" t="s">
        <v>1152</v>
      </c>
      <c r="G23" s="452" t="s">
        <v>1153</v>
      </c>
    </row>
    <row r="24" spans="2:7" ht="16" x14ac:dyDescent="0.2">
      <c r="B24" s="3"/>
      <c r="C24" s="54"/>
      <c r="D24" s="8">
        <v>78</v>
      </c>
      <c r="E24" s="279" t="s">
        <v>1154</v>
      </c>
      <c r="F24" s="8" t="s">
        <v>1155</v>
      </c>
      <c r="G24" s="452" t="s">
        <v>1156</v>
      </c>
    </row>
    <row r="25" spans="2:7" ht="16" x14ac:dyDescent="0.2">
      <c r="B25" s="3"/>
      <c r="C25" s="554"/>
      <c r="D25" s="8">
        <v>19</v>
      </c>
      <c r="E25" s="279" t="s">
        <v>1157</v>
      </c>
      <c r="F25" s="53" t="s">
        <v>1158</v>
      </c>
      <c r="G25" s="451" t="s">
        <v>1159</v>
      </c>
    </row>
    <row r="26" spans="2:7" ht="16" x14ac:dyDescent="0.2">
      <c r="B26" s="3"/>
      <c r="C26" s="54"/>
      <c r="D26" s="8">
        <v>20</v>
      </c>
      <c r="E26" s="279" t="s">
        <v>1160</v>
      </c>
      <c r="F26" s="8" t="s">
        <v>1161</v>
      </c>
      <c r="G26" s="452" t="s">
        <v>1162</v>
      </c>
    </row>
    <row r="27" spans="2:7" ht="16" x14ac:dyDescent="0.2">
      <c r="B27" s="3"/>
      <c r="C27" s="54"/>
      <c r="D27" s="8">
        <v>21</v>
      </c>
      <c r="E27" s="279" t="s">
        <v>1163</v>
      </c>
      <c r="F27" s="8" t="s">
        <v>1164</v>
      </c>
      <c r="G27" s="452" t="s">
        <v>1165</v>
      </c>
    </row>
    <row r="28" spans="2:7" ht="16" x14ac:dyDescent="0.2">
      <c r="B28" s="3"/>
      <c r="C28" s="54"/>
      <c r="D28" s="8">
        <v>22</v>
      </c>
      <c r="E28" s="279" t="s">
        <v>1166</v>
      </c>
      <c r="F28" s="8" t="s">
        <v>1167</v>
      </c>
      <c r="G28" s="452" t="s">
        <v>1168</v>
      </c>
    </row>
    <row r="29" spans="2:7" ht="16" x14ac:dyDescent="0.2">
      <c r="B29" s="3"/>
      <c r="C29" s="54"/>
      <c r="D29" s="8">
        <v>23</v>
      </c>
      <c r="E29" s="279" t="s">
        <v>1169</v>
      </c>
      <c r="F29" s="8" t="s">
        <v>1170</v>
      </c>
      <c r="G29" s="452" t="s">
        <v>1171</v>
      </c>
    </row>
    <row r="30" spans="2:7" ht="16" x14ac:dyDescent="0.2">
      <c r="B30" s="3"/>
      <c r="C30" s="54"/>
      <c r="D30" s="8">
        <v>24</v>
      </c>
      <c r="E30" s="279" t="s">
        <v>1172</v>
      </c>
      <c r="F30" s="8" t="s">
        <v>1173</v>
      </c>
      <c r="G30" s="452" t="s">
        <v>1174</v>
      </c>
    </row>
    <row r="31" spans="2:7" ht="16" x14ac:dyDescent="0.2">
      <c r="B31" s="3"/>
      <c r="C31" s="54"/>
      <c r="D31" s="8">
        <v>25</v>
      </c>
      <c r="E31" s="279" t="s">
        <v>1175</v>
      </c>
      <c r="F31" s="8" t="s">
        <v>1176</v>
      </c>
      <c r="G31" s="452" t="s">
        <v>1176</v>
      </c>
    </row>
    <row r="32" spans="2:7" ht="16" x14ac:dyDescent="0.2">
      <c r="B32" s="3"/>
      <c r="C32" s="54"/>
      <c r="D32" s="8">
        <v>26</v>
      </c>
      <c r="E32" s="279" t="s">
        <v>1177</v>
      </c>
      <c r="F32" s="8" t="s">
        <v>1178</v>
      </c>
      <c r="G32" s="452" t="s">
        <v>1179</v>
      </c>
    </row>
    <row r="33" spans="2:7" ht="32" x14ac:dyDescent="0.2">
      <c r="B33" s="3"/>
      <c r="C33" s="54"/>
      <c r="D33" s="8">
        <v>79</v>
      </c>
      <c r="E33" s="279" t="s">
        <v>1180</v>
      </c>
      <c r="F33" s="8" t="s">
        <v>1181</v>
      </c>
      <c r="G33" s="452" t="s">
        <v>1182</v>
      </c>
    </row>
    <row r="34" spans="2:7" ht="16" x14ac:dyDescent="0.2">
      <c r="B34" s="3"/>
      <c r="C34" s="54"/>
      <c r="D34" s="8">
        <v>80</v>
      </c>
      <c r="E34" s="279" t="s">
        <v>1183</v>
      </c>
      <c r="F34" s="8" t="s">
        <v>1184</v>
      </c>
      <c r="G34" s="452" t="s">
        <v>1185</v>
      </c>
    </row>
    <row r="35" spans="2:7" ht="16" x14ac:dyDescent="0.2">
      <c r="B35" s="3"/>
      <c r="C35" s="554"/>
      <c r="D35" s="8">
        <v>28</v>
      </c>
      <c r="E35" s="279" t="s">
        <v>1186</v>
      </c>
      <c r="F35" s="53" t="s">
        <v>1187</v>
      </c>
      <c r="G35" s="451" t="s">
        <v>1188</v>
      </c>
    </row>
    <row r="36" spans="2:7" ht="16" x14ac:dyDescent="0.2">
      <c r="B36" s="3"/>
      <c r="C36" s="54"/>
      <c r="D36" s="8">
        <v>29</v>
      </c>
      <c r="E36" s="279" t="s">
        <v>1189</v>
      </c>
      <c r="F36" s="8" t="s">
        <v>1190</v>
      </c>
      <c r="G36" s="452" t="s">
        <v>1191</v>
      </c>
    </row>
    <row r="37" spans="2:7" ht="16" x14ac:dyDescent="0.2">
      <c r="B37" s="3"/>
      <c r="C37" s="54"/>
      <c r="D37" s="8">
        <v>30</v>
      </c>
      <c r="E37" s="279" t="s">
        <v>1192</v>
      </c>
      <c r="F37" s="8" t="s">
        <v>1193</v>
      </c>
      <c r="G37" s="452" t="s">
        <v>1194</v>
      </c>
    </row>
    <row r="38" spans="2:7" ht="16" x14ac:dyDescent="0.2">
      <c r="B38" s="3"/>
      <c r="C38" s="54"/>
      <c r="D38" s="8">
        <v>31</v>
      </c>
      <c r="E38" s="279" t="s">
        <v>1195</v>
      </c>
      <c r="F38" s="8" t="s">
        <v>1196</v>
      </c>
      <c r="G38" s="452" t="s">
        <v>1197</v>
      </c>
    </row>
    <row r="39" spans="2:7" ht="16" x14ac:dyDescent="0.2">
      <c r="B39" s="3"/>
      <c r="C39" s="54"/>
      <c r="D39" s="8">
        <v>32</v>
      </c>
      <c r="E39" s="279" t="s">
        <v>1198</v>
      </c>
      <c r="F39" s="8" t="s">
        <v>1199</v>
      </c>
      <c r="G39" s="452" t="s">
        <v>1200</v>
      </c>
    </row>
    <row r="40" spans="2:7" ht="16" x14ac:dyDescent="0.2">
      <c r="B40" s="3"/>
      <c r="C40" s="54"/>
      <c r="D40" s="8">
        <v>33</v>
      </c>
      <c r="E40" s="279" t="s">
        <v>1201</v>
      </c>
      <c r="F40" s="8" t="s">
        <v>1202</v>
      </c>
      <c r="G40" s="452" t="s">
        <v>1203</v>
      </c>
    </row>
    <row r="41" spans="2:7" ht="16" x14ac:dyDescent="0.2">
      <c r="B41" s="3"/>
      <c r="C41" s="54"/>
      <c r="D41" s="8">
        <v>34</v>
      </c>
      <c r="E41" s="279" t="s">
        <v>1204</v>
      </c>
      <c r="F41" s="8" t="s">
        <v>1205</v>
      </c>
      <c r="G41" s="452" t="s">
        <v>1205</v>
      </c>
    </row>
    <row r="42" spans="2:7" ht="16" x14ac:dyDescent="0.2">
      <c r="B42" s="3"/>
      <c r="C42" s="54"/>
      <c r="D42" s="8">
        <v>35</v>
      </c>
      <c r="E42" s="279" t="s">
        <v>1206</v>
      </c>
      <c r="F42" s="8" t="s">
        <v>1207</v>
      </c>
      <c r="G42" s="452" t="s">
        <v>1208</v>
      </c>
    </row>
    <row r="43" spans="2:7" ht="16" x14ac:dyDescent="0.2">
      <c r="B43" s="3"/>
      <c r="C43" s="54"/>
      <c r="D43" s="8">
        <v>36</v>
      </c>
      <c r="E43" s="279" t="s">
        <v>1209</v>
      </c>
      <c r="F43" s="8" t="s">
        <v>1210</v>
      </c>
      <c r="G43" s="452" t="s">
        <v>1211</v>
      </c>
    </row>
    <row r="44" spans="2:7" ht="16" x14ac:dyDescent="0.2">
      <c r="B44" s="3"/>
      <c r="C44" s="54"/>
      <c r="D44" s="8">
        <v>81</v>
      </c>
      <c r="E44" s="279" t="s">
        <v>1212</v>
      </c>
      <c r="F44" s="8" t="s">
        <v>1213</v>
      </c>
      <c r="G44" s="452" t="s">
        <v>1214</v>
      </c>
    </row>
    <row r="45" spans="2:7" ht="16" x14ac:dyDescent="0.2">
      <c r="B45" s="3"/>
      <c r="C45" s="54"/>
      <c r="D45" s="8">
        <v>82</v>
      </c>
      <c r="E45" s="279" t="s">
        <v>1215</v>
      </c>
      <c r="F45" s="8" t="s">
        <v>1216</v>
      </c>
      <c r="G45" s="452" t="s">
        <v>1217</v>
      </c>
    </row>
    <row r="46" spans="2:7" ht="16" x14ac:dyDescent="0.2">
      <c r="B46" s="3"/>
      <c r="C46" s="54"/>
      <c r="D46" s="8">
        <v>83</v>
      </c>
      <c r="E46" s="279" t="s">
        <v>1218</v>
      </c>
      <c r="F46" s="8" t="s">
        <v>1219</v>
      </c>
      <c r="G46" s="452" t="s">
        <v>1220</v>
      </c>
    </row>
    <row r="47" spans="2:7" ht="16" x14ac:dyDescent="0.2">
      <c r="B47" s="3"/>
      <c r="C47" s="554"/>
      <c r="D47" s="8">
        <v>37</v>
      </c>
      <c r="E47" s="279" t="s">
        <v>1221</v>
      </c>
      <c r="F47" s="53" t="s">
        <v>1222</v>
      </c>
      <c r="G47" s="451" t="s">
        <v>1223</v>
      </c>
    </row>
    <row r="48" spans="2:7" ht="16" x14ac:dyDescent="0.2">
      <c r="B48" s="3"/>
      <c r="C48" s="54"/>
      <c r="D48" s="8">
        <v>38</v>
      </c>
      <c r="E48" s="279" t="s">
        <v>1224</v>
      </c>
      <c r="F48" s="8" t="s">
        <v>1225</v>
      </c>
      <c r="G48" s="452" t="s">
        <v>1225</v>
      </c>
    </row>
    <row r="49" spans="2:7" ht="16" x14ac:dyDescent="0.2">
      <c r="B49" s="3"/>
      <c r="C49" s="54"/>
      <c r="D49" s="8">
        <v>39</v>
      </c>
      <c r="E49" s="279" t="s">
        <v>1226</v>
      </c>
      <c r="F49" s="8" t="s">
        <v>1227</v>
      </c>
      <c r="G49" s="452" t="s">
        <v>1228</v>
      </c>
    </row>
    <row r="50" spans="2:7" ht="16" x14ac:dyDescent="0.2">
      <c r="B50" s="3"/>
      <c r="C50" s="54"/>
      <c r="D50" s="8">
        <v>40</v>
      </c>
      <c r="E50" s="279" t="s">
        <v>1229</v>
      </c>
      <c r="F50" s="8" t="s">
        <v>1230</v>
      </c>
      <c r="G50" s="452" t="s">
        <v>1231</v>
      </c>
    </row>
    <row r="51" spans="2:7" ht="16" x14ac:dyDescent="0.2">
      <c r="B51" s="3"/>
      <c r="C51" s="54"/>
      <c r="D51" s="8">
        <v>84</v>
      </c>
      <c r="E51" s="279" t="s">
        <v>1232</v>
      </c>
      <c r="F51" s="8" t="s">
        <v>1233</v>
      </c>
      <c r="G51" s="452" t="s">
        <v>1234</v>
      </c>
    </row>
    <row r="52" spans="2:7" ht="16" x14ac:dyDescent="0.2">
      <c r="B52" s="3"/>
      <c r="C52" s="554"/>
      <c r="D52" s="8">
        <v>41</v>
      </c>
      <c r="E52" s="279" t="s">
        <v>1235</v>
      </c>
      <c r="F52" s="53" t="s">
        <v>1236</v>
      </c>
      <c r="G52" s="451" t="s">
        <v>1237</v>
      </c>
    </row>
    <row r="53" spans="2:7" ht="16" x14ac:dyDescent="0.2">
      <c r="B53" s="3"/>
      <c r="C53" s="54"/>
      <c r="D53" s="8">
        <v>42</v>
      </c>
      <c r="E53" s="279" t="s">
        <v>1238</v>
      </c>
      <c r="F53" s="8" t="s">
        <v>1239</v>
      </c>
      <c r="G53" s="452" t="s">
        <v>1240</v>
      </c>
    </row>
    <row r="54" spans="2:7" ht="16" x14ac:dyDescent="0.2">
      <c r="B54" s="3"/>
      <c r="C54" s="54"/>
      <c r="D54" s="8">
        <v>43</v>
      </c>
      <c r="E54" s="279" t="s">
        <v>1241</v>
      </c>
      <c r="F54" s="8" t="s">
        <v>1242</v>
      </c>
      <c r="G54" s="452" t="s">
        <v>1243</v>
      </c>
    </row>
    <row r="55" spans="2:7" ht="16" x14ac:dyDescent="0.2">
      <c r="B55" s="3"/>
      <c r="C55" s="54"/>
      <c r="D55" s="8">
        <v>44</v>
      </c>
      <c r="E55" s="279" t="s">
        <v>1244</v>
      </c>
      <c r="F55" s="8" t="s">
        <v>1245</v>
      </c>
      <c r="G55" s="452" t="s">
        <v>1246</v>
      </c>
    </row>
    <row r="56" spans="2:7" ht="16" x14ac:dyDescent="0.2">
      <c r="B56" s="3"/>
      <c r="C56" s="54"/>
      <c r="D56" s="8">
        <v>45</v>
      </c>
      <c r="E56" s="279" t="s">
        <v>1247</v>
      </c>
      <c r="F56" s="8" t="s">
        <v>1248</v>
      </c>
      <c r="G56" s="452" t="s">
        <v>1249</v>
      </c>
    </row>
    <row r="57" spans="2:7" ht="16" x14ac:dyDescent="0.2">
      <c r="B57" s="3"/>
      <c r="C57" s="54"/>
      <c r="D57" s="8">
        <v>46</v>
      </c>
      <c r="E57" s="279" t="s">
        <v>1250</v>
      </c>
      <c r="F57" s="8" t="s">
        <v>1251</v>
      </c>
      <c r="G57" s="452" t="s">
        <v>1252</v>
      </c>
    </row>
    <row r="58" spans="2:7" ht="16" x14ac:dyDescent="0.2">
      <c r="B58" s="3"/>
      <c r="C58" s="54"/>
      <c r="D58" s="8">
        <v>47</v>
      </c>
      <c r="E58" s="279" t="s">
        <v>1253</v>
      </c>
      <c r="F58" s="8" t="s">
        <v>1254</v>
      </c>
      <c r="G58" s="452" t="s">
        <v>1255</v>
      </c>
    </row>
    <row r="59" spans="2:7" ht="16" x14ac:dyDescent="0.2">
      <c r="B59" s="3"/>
      <c r="C59" s="54"/>
      <c r="D59" s="8">
        <v>48</v>
      </c>
      <c r="E59" s="279" t="s">
        <v>1256</v>
      </c>
      <c r="F59" s="8" t="s">
        <v>1257</v>
      </c>
      <c r="G59" s="452" t="s">
        <v>1258</v>
      </c>
    </row>
    <row r="60" spans="2:7" ht="16" x14ac:dyDescent="0.2">
      <c r="B60" s="3"/>
      <c r="C60" s="54"/>
      <c r="D60" s="8">
        <v>49</v>
      </c>
      <c r="E60" s="279" t="s">
        <v>1259</v>
      </c>
      <c r="F60" s="8" t="s">
        <v>1260</v>
      </c>
      <c r="G60" s="452" t="s">
        <v>1261</v>
      </c>
    </row>
    <row r="61" spans="2:7" ht="16" x14ac:dyDescent="0.2">
      <c r="B61" s="3"/>
      <c r="C61" s="54"/>
      <c r="D61" s="8">
        <v>70</v>
      </c>
      <c r="E61" s="279" t="s">
        <v>1262</v>
      </c>
      <c r="F61" s="8" t="s">
        <v>1263</v>
      </c>
      <c r="G61" s="452" t="s">
        <v>1264</v>
      </c>
    </row>
    <row r="62" spans="2:7" ht="16" x14ac:dyDescent="0.2">
      <c r="B62" s="3"/>
      <c r="C62" s="54"/>
      <c r="D62" s="8">
        <v>71</v>
      </c>
      <c r="E62" s="279" t="s">
        <v>1265</v>
      </c>
      <c r="F62" s="8" t="s">
        <v>1266</v>
      </c>
      <c r="G62" s="452" t="s">
        <v>1267</v>
      </c>
    </row>
    <row r="63" spans="2:7" ht="16" x14ac:dyDescent="0.2">
      <c r="B63" s="3"/>
      <c r="C63" s="54"/>
      <c r="D63" s="8">
        <v>72</v>
      </c>
      <c r="E63" s="279" t="s">
        <v>1268</v>
      </c>
      <c r="F63" s="8" t="s">
        <v>1269</v>
      </c>
      <c r="G63" s="452" t="s">
        <v>1270</v>
      </c>
    </row>
    <row r="64" spans="2:7" ht="16" x14ac:dyDescent="0.2">
      <c r="B64" s="3"/>
      <c r="C64" s="54"/>
      <c r="D64" s="8">
        <v>73</v>
      </c>
      <c r="E64" s="279" t="s">
        <v>1271</v>
      </c>
      <c r="F64" s="8" t="s">
        <v>1272</v>
      </c>
      <c r="G64" s="452" t="s">
        <v>1272</v>
      </c>
    </row>
    <row r="65" spans="2:7" ht="16" x14ac:dyDescent="0.2">
      <c r="B65" s="3"/>
      <c r="C65" s="54"/>
      <c r="D65" s="8">
        <v>85</v>
      </c>
      <c r="E65" s="279" t="s">
        <v>1273</v>
      </c>
      <c r="F65" s="8" t="s">
        <v>1274</v>
      </c>
      <c r="G65" s="452" t="s">
        <v>1275</v>
      </c>
    </row>
    <row r="66" spans="2:7" ht="16" x14ac:dyDescent="0.2">
      <c r="B66" s="3"/>
      <c r="C66" s="54"/>
      <c r="D66" s="8">
        <v>86</v>
      </c>
      <c r="E66" s="279" t="s">
        <v>1276</v>
      </c>
      <c r="F66" s="8" t="s">
        <v>1277</v>
      </c>
      <c r="G66" s="452" t="s">
        <v>1278</v>
      </c>
    </row>
    <row r="67" spans="2:7" ht="16" x14ac:dyDescent="0.2">
      <c r="B67" s="3"/>
      <c r="C67" s="54"/>
      <c r="D67" s="8">
        <v>87</v>
      </c>
      <c r="E67" s="279" t="s">
        <v>1279</v>
      </c>
      <c r="F67" s="8" t="s">
        <v>1280</v>
      </c>
      <c r="G67" s="452" t="s">
        <v>1281</v>
      </c>
    </row>
    <row r="68" spans="2:7" ht="16" x14ac:dyDescent="0.2">
      <c r="B68" s="3"/>
      <c r="C68" s="54"/>
      <c r="D68" s="8">
        <v>88</v>
      </c>
      <c r="E68" s="279" t="s">
        <v>1282</v>
      </c>
      <c r="F68" s="8" t="s">
        <v>1283</v>
      </c>
      <c r="G68" s="452" t="s">
        <v>1284</v>
      </c>
    </row>
    <row r="69" spans="2:7" ht="16" x14ac:dyDescent="0.2">
      <c r="B69" s="3"/>
      <c r="C69" s="54"/>
      <c r="D69" s="8">
        <v>89</v>
      </c>
      <c r="E69" s="279" t="s">
        <v>1285</v>
      </c>
      <c r="F69" s="8" t="s">
        <v>1286</v>
      </c>
      <c r="G69" s="452" t="s">
        <v>1287</v>
      </c>
    </row>
    <row r="70" spans="2:7" ht="16" x14ac:dyDescent="0.2">
      <c r="B70" s="3"/>
      <c r="C70" s="54"/>
      <c r="D70" s="8">
        <v>90</v>
      </c>
      <c r="E70" s="279" t="s">
        <v>1288</v>
      </c>
      <c r="F70" s="8" t="s">
        <v>1289</v>
      </c>
      <c r="G70" s="452" t="s">
        <v>1290</v>
      </c>
    </row>
    <row r="71" spans="2:7" ht="16" x14ac:dyDescent="0.2">
      <c r="B71" s="3"/>
      <c r="C71" s="554"/>
      <c r="D71" s="8">
        <v>50</v>
      </c>
      <c r="E71" s="279" t="s">
        <v>1291</v>
      </c>
      <c r="F71" s="53" t="s">
        <v>1292</v>
      </c>
      <c r="G71" s="451" t="s">
        <v>1293</v>
      </c>
    </row>
    <row r="72" spans="2:7" ht="16" x14ac:dyDescent="0.2">
      <c r="B72" s="3"/>
      <c r="C72" s="54"/>
      <c r="D72" s="8">
        <v>51</v>
      </c>
      <c r="E72" s="279" t="s">
        <v>1294</v>
      </c>
      <c r="F72" s="8" t="s">
        <v>1295</v>
      </c>
      <c r="G72" s="452" t="s">
        <v>1296</v>
      </c>
    </row>
    <row r="73" spans="2:7" ht="16" x14ac:dyDescent="0.2">
      <c r="B73" s="3"/>
      <c r="C73" s="54"/>
      <c r="D73" s="8">
        <v>52</v>
      </c>
      <c r="E73" s="279" t="s">
        <v>1297</v>
      </c>
      <c r="F73" s="8" t="s">
        <v>1298</v>
      </c>
      <c r="G73" s="452" t="s">
        <v>1299</v>
      </c>
    </row>
    <row r="74" spans="2:7" ht="16" x14ac:dyDescent="0.2">
      <c r="B74" s="3"/>
      <c r="C74" s="54"/>
      <c r="D74" s="8">
        <v>53</v>
      </c>
      <c r="E74" s="279" t="s">
        <v>1300</v>
      </c>
      <c r="F74" s="8" t="s">
        <v>1301</v>
      </c>
      <c r="G74" s="452" t="s">
        <v>1302</v>
      </c>
    </row>
    <row r="75" spans="2:7" ht="16" x14ac:dyDescent="0.2">
      <c r="B75" s="3"/>
      <c r="C75" s="54"/>
      <c r="D75" s="8">
        <v>54</v>
      </c>
      <c r="E75" s="279" t="s">
        <v>1303</v>
      </c>
      <c r="F75" s="8" t="s">
        <v>1304</v>
      </c>
      <c r="G75" s="452" t="s">
        <v>1305</v>
      </c>
    </row>
    <row r="76" spans="2:7" ht="16" x14ac:dyDescent="0.2">
      <c r="B76" s="3"/>
      <c r="C76" s="54"/>
      <c r="D76" s="8">
        <v>55</v>
      </c>
      <c r="E76" s="279" t="s">
        <v>1306</v>
      </c>
      <c r="F76" s="8" t="s">
        <v>1307</v>
      </c>
      <c r="G76" s="452" t="s">
        <v>1308</v>
      </c>
    </row>
    <row r="77" spans="2:7" ht="16" x14ac:dyDescent="0.2">
      <c r="B77" s="3"/>
      <c r="C77" s="54"/>
      <c r="D77" s="8">
        <v>56</v>
      </c>
      <c r="E77" s="279" t="s">
        <v>1309</v>
      </c>
      <c r="F77" s="8" t="s">
        <v>1310</v>
      </c>
      <c r="G77" s="452" t="s">
        <v>1311</v>
      </c>
    </row>
    <row r="78" spans="2:7" ht="16" x14ac:dyDescent="0.2">
      <c r="B78" s="3"/>
      <c r="C78" s="54"/>
      <c r="D78" s="8">
        <v>91</v>
      </c>
      <c r="E78" s="279" t="s">
        <v>1312</v>
      </c>
      <c r="F78" s="8" t="s">
        <v>1313</v>
      </c>
      <c r="G78" s="452" t="s">
        <v>1314</v>
      </c>
    </row>
    <row r="79" spans="2:7" ht="16" x14ac:dyDescent="0.2">
      <c r="B79" s="3"/>
      <c r="C79" s="54"/>
      <c r="D79" s="8">
        <v>92</v>
      </c>
      <c r="E79" s="279" t="s">
        <v>1315</v>
      </c>
      <c r="F79" s="8" t="s">
        <v>1316</v>
      </c>
      <c r="G79" s="452" t="s">
        <v>1317</v>
      </c>
    </row>
    <row r="80" spans="2:7" ht="16" x14ac:dyDescent="0.2">
      <c r="B80" s="3"/>
      <c r="C80" s="554"/>
      <c r="D80" s="8">
        <v>57</v>
      </c>
      <c r="E80" s="279" t="s">
        <v>1318</v>
      </c>
      <c r="F80" s="53" t="s">
        <v>1319</v>
      </c>
      <c r="G80" s="451" t="s">
        <v>1320</v>
      </c>
    </row>
    <row r="81" spans="2:7" ht="16" x14ac:dyDescent="0.2">
      <c r="B81" s="3"/>
      <c r="C81" s="54"/>
      <c r="D81" s="8">
        <v>58</v>
      </c>
      <c r="E81" s="279" t="s">
        <v>1321</v>
      </c>
      <c r="F81" s="8" t="s">
        <v>1322</v>
      </c>
      <c r="G81" s="452" t="s">
        <v>1323</v>
      </c>
    </row>
    <row r="82" spans="2:7" ht="16" x14ac:dyDescent="0.2">
      <c r="B82" s="3"/>
      <c r="C82" s="54"/>
      <c r="D82" s="8">
        <v>59</v>
      </c>
      <c r="E82" s="279" t="s">
        <v>1324</v>
      </c>
      <c r="F82" s="8" t="s">
        <v>1325</v>
      </c>
      <c r="G82" s="452" t="s">
        <v>1326</v>
      </c>
    </row>
    <row r="83" spans="2:7" ht="16" x14ac:dyDescent="0.2">
      <c r="B83" s="3"/>
      <c r="C83" s="54"/>
      <c r="D83" s="8">
        <v>60</v>
      </c>
      <c r="E83" s="279" t="s">
        <v>1327</v>
      </c>
      <c r="F83" s="8" t="s">
        <v>1328</v>
      </c>
      <c r="G83" s="452" t="s">
        <v>1329</v>
      </c>
    </row>
    <row r="84" spans="2:7" ht="16" x14ac:dyDescent="0.2">
      <c r="B84" s="3"/>
      <c r="C84" s="54"/>
      <c r="D84" s="8">
        <v>61</v>
      </c>
      <c r="E84" s="279" t="s">
        <v>1330</v>
      </c>
      <c r="F84" s="8" t="s">
        <v>1331</v>
      </c>
      <c r="G84" s="452" t="s">
        <v>1332</v>
      </c>
    </row>
    <row r="85" spans="2:7" ht="16" x14ac:dyDescent="0.2">
      <c r="B85" s="3"/>
      <c r="C85" s="54"/>
      <c r="D85" s="8">
        <v>75</v>
      </c>
      <c r="E85" s="279" t="s">
        <v>1333</v>
      </c>
      <c r="F85" s="8" t="s">
        <v>1334</v>
      </c>
      <c r="G85" s="452" t="s">
        <v>1335</v>
      </c>
    </row>
    <row r="86" spans="2:7" ht="16" x14ac:dyDescent="0.2">
      <c r="B86" s="3"/>
      <c r="C86" s="554"/>
      <c r="D86" s="8">
        <v>62</v>
      </c>
      <c r="E86" s="279" t="s">
        <v>1336</v>
      </c>
      <c r="F86" s="53" t="s">
        <v>1337</v>
      </c>
      <c r="G86" s="451" t="s">
        <v>1338</v>
      </c>
    </row>
    <row r="87" spans="2:7" ht="16" x14ac:dyDescent="0.2">
      <c r="B87" s="3"/>
      <c r="C87" s="54"/>
      <c r="D87" s="8">
        <v>63</v>
      </c>
      <c r="E87" s="279" t="s">
        <v>1339</v>
      </c>
      <c r="F87" s="8" t="s">
        <v>1340</v>
      </c>
      <c r="G87" s="452" t="s">
        <v>1341</v>
      </c>
    </row>
    <row r="88" spans="2:7" ht="16" x14ac:dyDescent="0.2">
      <c r="B88" s="3"/>
      <c r="C88" s="54"/>
      <c r="D88" s="8">
        <v>64</v>
      </c>
      <c r="E88" s="279" t="s">
        <v>1342</v>
      </c>
      <c r="F88" s="8" t="s">
        <v>1343</v>
      </c>
      <c r="G88" s="452" t="s">
        <v>1344</v>
      </c>
    </row>
    <row r="89" spans="2:7" ht="16" x14ac:dyDescent="0.2">
      <c r="B89" s="3"/>
      <c r="C89" s="54"/>
      <c r="D89" s="8">
        <v>65</v>
      </c>
      <c r="E89" s="279" t="s">
        <v>1345</v>
      </c>
      <c r="F89" s="8" t="s">
        <v>1346</v>
      </c>
      <c r="G89" s="452" t="s">
        <v>1346</v>
      </c>
    </row>
    <row r="90" spans="2:7" ht="16" x14ac:dyDescent="0.2">
      <c r="B90" s="3"/>
      <c r="C90" s="54"/>
      <c r="D90" s="8">
        <v>74</v>
      </c>
      <c r="E90" s="279" t="s">
        <v>1347</v>
      </c>
      <c r="F90" s="8" t="s">
        <v>1348</v>
      </c>
      <c r="G90" s="452" t="s">
        <v>1349</v>
      </c>
    </row>
    <row r="91" spans="2:7" ht="16" x14ac:dyDescent="0.2">
      <c r="B91" s="3"/>
      <c r="C91" s="54"/>
      <c r="D91" s="8">
        <v>93</v>
      </c>
      <c r="E91" s="279" t="s">
        <v>1350</v>
      </c>
      <c r="F91" s="8" t="s">
        <v>1351</v>
      </c>
      <c r="G91" s="452" t="s">
        <v>1352</v>
      </c>
    </row>
    <row r="92" spans="2:7" ht="16" x14ac:dyDescent="0.2">
      <c r="B92" s="3"/>
      <c r="C92" s="54"/>
      <c r="D92" s="8">
        <v>94</v>
      </c>
      <c r="E92" s="279" t="s">
        <v>1353</v>
      </c>
      <c r="F92" s="8" t="s">
        <v>1354</v>
      </c>
      <c r="G92" s="452" t="s">
        <v>1354</v>
      </c>
    </row>
    <row r="93" spans="2:7" ht="32" x14ac:dyDescent="0.2">
      <c r="B93" s="3"/>
      <c r="C93" s="554"/>
      <c r="D93" s="8">
        <v>66</v>
      </c>
      <c r="E93" s="279" t="s">
        <v>1355</v>
      </c>
      <c r="F93" s="53" t="s">
        <v>1356</v>
      </c>
      <c r="G93" s="451" t="s">
        <v>1357</v>
      </c>
    </row>
    <row r="94" spans="2:7" x14ac:dyDescent="0.2">
      <c r="C94" s="6"/>
      <c r="D94" s="282"/>
      <c r="E94" s="282"/>
      <c r="F94" s="7"/>
      <c r="G94" s="450"/>
    </row>
  </sheetData>
  <sheetProtection algorithmName="SHA-512" hashValue="XXj70uNNnNEe56OWY6a9ccfoZGSKvT/fzdvdhsROlL3n18xX2YVU+k+P8KYSqlxIruLVcH9J5sJf0tlFy2BFDQ==" saltValue="eNKCPLR0irnLzfrSyZ+qFg==" spinCount="100000" sheet="1" selectLockedCells="1"/>
  <conditionalFormatting sqref="D86:D1048576 D1:D84">
    <cfRule type="duplicateValues" dxfId="1" priority="2"/>
  </conditionalFormatting>
  <conditionalFormatting sqref="D85">
    <cfRule type="duplicateValues" dxfId="0" priority="1"/>
  </conditionalFormatting>
  <dataValidations count="1">
    <dataValidation type="list" allowBlank="1" showInputMessage="1" showErrorMessage="1" sqref="C87:C92 C81:C85 C72:C79 C53:C70 C48:C51 C36:C46 C26:C34 C18:C24 C4:C9 C11:C16" xr:uid="{00000000-0002-0000-0200-000000000000}">
      <formula1>"x"</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90532-84F0-AB40-9FF0-EA55DF84D422}">
  <sheetPr codeName="Sheet4"/>
  <dimension ref="A1:K20"/>
  <sheetViews>
    <sheetView zoomScale="80" zoomScaleNormal="80" workbookViewId="0">
      <selection activeCell="E3" sqref="E3"/>
    </sheetView>
  </sheetViews>
  <sheetFormatPr baseColWidth="10" defaultColWidth="10.83203125" defaultRowHeight="16" x14ac:dyDescent="0.2"/>
  <cols>
    <col min="1" max="1" width="10.83203125" style="458"/>
    <col min="2" max="2" width="8.83203125" style="458" customWidth="1"/>
    <col min="3" max="3" width="27.6640625" style="458" customWidth="1"/>
    <col min="4" max="5" width="20.83203125" style="458" customWidth="1"/>
    <col min="6" max="7" width="46.5" style="470" customWidth="1"/>
    <col min="8" max="8" width="20.83203125" style="470" customWidth="1"/>
    <col min="9" max="9" width="20.83203125" style="458" customWidth="1"/>
    <col min="10" max="16384" width="10.83203125" style="458"/>
  </cols>
  <sheetData>
    <row r="1" spans="1:11" ht="17" thickBot="1" x14ac:dyDescent="0.25">
      <c r="C1" s="459"/>
      <c r="D1" s="459"/>
      <c r="E1" s="459"/>
      <c r="F1" s="460"/>
      <c r="G1" s="460"/>
      <c r="H1" s="460"/>
      <c r="I1" s="459"/>
    </row>
    <row r="2" spans="1:11" s="470" customFormat="1" ht="33" thickBot="1" x14ac:dyDescent="0.25">
      <c r="A2" s="461"/>
      <c r="B2" s="462"/>
      <c r="C2" s="463" t="s">
        <v>1358</v>
      </c>
      <c r="D2" s="464" t="s">
        <v>1359</v>
      </c>
      <c r="E2" s="465" t="s">
        <v>1360</v>
      </c>
      <c r="F2" s="466" t="s">
        <v>1361</v>
      </c>
      <c r="G2" s="467" t="s">
        <v>1362</v>
      </c>
      <c r="H2" s="464" t="s">
        <v>1363</v>
      </c>
      <c r="I2" s="468" t="s">
        <v>1364</v>
      </c>
      <c r="J2" s="469"/>
    </row>
    <row r="3" spans="1:11" ht="43.25" customHeight="1" x14ac:dyDescent="0.2">
      <c r="A3" s="471"/>
      <c r="B3" s="617" t="s">
        <v>1365</v>
      </c>
      <c r="C3" s="472" t="s">
        <v>1366</v>
      </c>
      <c r="D3" s="473"/>
      <c r="E3" s="447"/>
      <c r="F3" s="474" t="s">
        <v>1367</v>
      </c>
      <c r="G3" s="475" t="s">
        <v>1368</v>
      </c>
      <c r="H3" s="476" t="s">
        <v>1369</v>
      </c>
      <c r="I3" s="477" t="s">
        <v>1369</v>
      </c>
      <c r="J3" s="478"/>
    </row>
    <row r="4" spans="1:11" ht="32" x14ac:dyDescent="0.2">
      <c r="A4" s="471"/>
      <c r="B4" s="618"/>
      <c r="C4" s="479" t="s">
        <v>1370</v>
      </c>
      <c r="D4" s="473"/>
      <c r="E4" s="447"/>
      <c r="F4" s="480" t="s">
        <v>1371</v>
      </c>
      <c r="G4" s="475" t="s">
        <v>1372</v>
      </c>
      <c r="H4" s="481" t="s">
        <v>1373</v>
      </c>
      <c r="I4" s="482" t="s">
        <v>1373</v>
      </c>
      <c r="J4" s="478"/>
    </row>
    <row r="5" spans="1:11" ht="96" x14ac:dyDescent="0.2">
      <c r="A5" s="471"/>
      <c r="B5" s="618"/>
      <c r="C5" s="574" t="s">
        <v>1426</v>
      </c>
      <c r="D5" s="473"/>
      <c r="E5" s="447"/>
      <c r="F5" s="575" t="s">
        <v>1421</v>
      </c>
      <c r="G5" s="577" t="s">
        <v>1442</v>
      </c>
      <c r="H5" s="481" t="s">
        <v>1422</v>
      </c>
      <c r="I5" s="482" t="s">
        <v>1423</v>
      </c>
      <c r="J5" s="478"/>
    </row>
    <row r="6" spans="1:11" ht="80" x14ac:dyDescent="0.2">
      <c r="A6" s="471"/>
      <c r="B6" s="618"/>
      <c r="C6" s="479" t="s">
        <v>1374</v>
      </c>
      <c r="D6" s="447"/>
      <c r="E6" s="447"/>
      <c r="F6" s="483" t="s">
        <v>1375</v>
      </c>
      <c r="G6" s="484" t="s">
        <v>1376</v>
      </c>
      <c r="H6" s="485" t="s">
        <v>1377</v>
      </c>
      <c r="I6" s="486" t="s">
        <v>1378</v>
      </c>
      <c r="J6" s="478"/>
    </row>
    <row r="7" spans="1:11" ht="96" x14ac:dyDescent="0.2">
      <c r="A7" s="471"/>
      <c r="B7" s="618"/>
      <c r="C7" s="479" t="s">
        <v>1379</v>
      </c>
      <c r="D7" s="487" t="str">
        <f>IF(E7="Pas encore en saison","Not yet in season",IF(E7="Préparation du terrain","Land preparation",IF(E7="Semis / plantation","Planting",IF(E7="Début de la croissance","Early growing",IF(E7="Croissance","Growing",IF(E7="Proche de la récolte","Maturing",IF(E7="Récolte","Harvesting",IF(E7="Post-récolte","Recently finished",""))))))))</f>
        <v/>
      </c>
      <c r="E7" s="446"/>
      <c r="F7" s="544" t="s">
        <v>1380</v>
      </c>
      <c r="G7" s="545" t="s">
        <v>1381</v>
      </c>
      <c r="H7" s="485" t="s">
        <v>1382</v>
      </c>
      <c r="I7" s="486" t="s">
        <v>1383</v>
      </c>
      <c r="J7" s="478"/>
    </row>
    <row r="8" spans="1:11" ht="64" x14ac:dyDescent="0.2">
      <c r="A8" s="471"/>
      <c r="B8" s="618"/>
      <c r="C8" s="587" t="s">
        <v>1469</v>
      </c>
      <c r="D8" s="580"/>
      <c r="E8" s="589"/>
      <c r="F8" s="581" t="s">
        <v>1384</v>
      </c>
      <c r="G8" s="582" t="s">
        <v>1385</v>
      </c>
      <c r="H8" s="485" t="s">
        <v>1386</v>
      </c>
      <c r="I8" s="486" t="s">
        <v>1386</v>
      </c>
      <c r="J8" s="478"/>
    </row>
    <row r="9" spans="1:11" s="493" customFormat="1" ht="49" thickBot="1" x14ac:dyDescent="0.25">
      <c r="A9" s="491"/>
      <c r="B9" s="619"/>
      <c r="C9" s="588" t="s">
        <v>1468</v>
      </c>
      <c r="D9" s="590" t="str">
        <f>IF(E9&lt;&gt;"",E9,"")</f>
        <v/>
      </c>
      <c r="E9" s="583"/>
      <c r="F9" s="546" t="s">
        <v>1458</v>
      </c>
      <c r="G9" s="547" t="s">
        <v>1459</v>
      </c>
      <c r="H9" s="584">
        <v>0.2</v>
      </c>
      <c r="I9" s="585">
        <v>0.2</v>
      </c>
      <c r="J9" s="492"/>
    </row>
    <row r="10" spans="1:11" ht="32" x14ac:dyDescent="0.2">
      <c r="A10" s="471"/>
      <c r="B10" s="617" t="s">
        <v>1387</v>
      </c>
      <c r="C10" s="530" t="s">
        <v>1388</v>
      </c>
      <c r="D10" s="531" t="str">
        <f>IF(E10="","",E10)</f>
        <v/>
      </c>
      <c r="E10" s="448"/>
      <c r="F10" s="532" t="s">
        <v>1389</v>
      </c>
      <c r="G10" s="533" t="s">
        <v>1390</v>
      </c>
      <c r="H10" s="534" t="s">
        <v>1391</v>
      </c>
      <c r="I10" s="535" t="s">
        <v>1391</v>
      </c>
      <c r="J10" s="478"/>
    </row>
    <row r="11" spans="1:11" ht="112" x14ac:dyDescent="0.2">
      <c r="A11" s="471"/>
      <c r="B11" s="618"/>
      <c r="C11" s="494" t="s">
        <v>1392</v>
      </c>
      <c r="D11" s="495" t="str">
        <f>IF(E11="","",E11)</f>
        <v/>
      </c>
      <c r="E11" s="457"/>
      <c r="F11" s="488" t="s">
        <v>1393</v>
      </c>
      <c r="G11" s="496" t="s">
        <v>1394</v>
      </c>
      <c r="H11" s="495">
        <v>5</v>
      </c>
      <c r="I11" s="536">
        <v>5</v>
      </c>
      <c r="J11" s="497"/>
      <c r="K11" s="498"/>
    </row>
    <row r="12" spans="1:11" ht="192" x14ac:dyDescent="0.2">
      <c r="A12" s="471"/>
      <c r="B12" s="618"/>
      <c r="C12" s="494" t="s">
        <v>1395</v>
      </c>
      <c r="D12" s="495" t="str">
        <f>IF(E12="","",E12)</f>
        <v/>
      </c>
      <c r="E12" s="457"/>
      <c r="F12" s="528" t="s">
        <v>1396</v>
      </c>
      <c r="G12" s="529" t="s">
        <v>1397</v>
      </c>
      <c r="H12" s="495">
        <v>5000000</v>
      </c>
      <c r="I12" s="536">
        <v>5000000</v>
      </c>
      <c r="J12" s="497"/>
      <c r="K12" s="498"/>
    </row>
    <row r="13" spans="1:11" ht="149.5" customHeight="1" x14ac:dyDescent="0.2">
      <c r="A13" s="471"/>
      <c r="B13" s="618"/>
      <c r="C13" s="494" t="s">
        <v>1398</v>
      </c>
      <c r="D13" s="495" t="str">
        <f>IF(E13="","",E13)</f>
        <v/>
      </c>
      <c r="E13" s="457"/>
      <c r="F13" s="488" t="s">
        <v>1399</v>
      </c>
      <c r="G13" s="496" t="s">
        <v>1400</v>
      </c>
      <c r="H13" s="495">
        <v>1200000</v>
      </c>
      <c r="I13" s="536">
        <v>1200000</v>
      </c>
      <c r="J13" s="478"/>
    </row>
    <row r="14" spans="1:11" ht="48" x14ac:dyDescent="0.2">
      <c r="A14" s="471"/>
      <c r="B14" s="618"/>
      <c r="C14" s="490" t="s">
        <v>1401</v>
      </c>
      <c r="D14" s="447"/>
      <c r="E14" s="446"/>
      <c r="F14" s="488" t="s">
        <v>1402</v>
      </c>
      <c r="G14" s="489" t="s">
        <v>1403</v>
      </c>
      <c r="H14" s="485" t="s">
        <v>1404</v>
      </c>
      <c r="I14" s="486" t="s">
        <v>1405</v>
      </c>
      <c r="J14" s="478"/>
    </row>
    <row r="15" spans="1:11" ht="49" thickBot="1" x14ac:dyDescent="0.25">
      <c r="A15" s="471"/>
      <c r="B15" s="619"/>
      <c r="C15" s="499" t="s">
        <v>1406</v>
      </c>
      <c r="D15" s="445"/>
      <c r="E15" s="444"/>
      <c r="F15" s="500" t="s">
        <v>1407</v>
      </c>
      <c r="G15" s="501" t="s">
        <v>1408</v>
      </c>
      <c r="H15" s="502" t="s">
        <v>1409</v>
      </c>
      <c r="I15" s="503" t="s">
        <v>1410</v>
      </c>
      <c r="J15" s="478"/>
    </row>
    <row r="16" spans="1:11" s="513" customFormat="1" ht="5.5" customHeight="1" thickBot="1" x14ac:dyDescent="0.25">
      <c r="A16" s="504"/>
      <c r="B16" s="505"/>
      <c r="C16" s="506"/>
      <c r="D16" s="507"/>
      <c r="E16" s="508"/>
      <c r="F16" s="509"/>
      <c r="G16" s="510"/>
      <c r="H16" s="511"/>
      <c r="I16" s="512"/>
      <c r="J16" s="498"/>
    </row>
    <row r="17" spans="1:10" ht="192" x14ac:dyDescent="0.2">
      <c r="A17" s="471"/>
      <c r="B17" s="620" t="s">
        <v>1411</v>
      </c>
      <c r="C17" s="514" t="s">
        <v>1412</v>
      </c>
      <c r="D17" s="515">
        <f>IF(E17="","",E17)</f>
        <v>0.91</v>
      </c>
      <c r="E17" s="454">
        <v>0.91</v>
      </c>
      <c r="F17" s="516" t="s">
        <v>1413</v>
      </c>
      <c r="G17" s="517" t="s">
        <v>1414</v>
      </c>
      <c r="H17" s="443">
        <v>0.91</v>
      </c>
      <c r="I17" s="442">
        <v>0.91</v>
      </c>
      <c r="J17" s="478"/>
    </row>
    <row r="18" spans="1:10" ht="176" x14ac:dyDescent="0.2">
      <c r="A18" s="471"/>
      <c r="B18" s="621"/>
      <c r="C18" s="518" t="s">
        <v>1415</v>
      </c>
      <c r="D18" s="519">
        <f>IF(E18="","",E18)</f>
        <v>0.91</v>
      </c>
      <c r="E18" s="455">
        <v>0.91</v>
      </c>
      <c r="F18" s="520" t="s">
        <v>1416</v>
      </c>
      <c r="G18" s="521" t="s">
        <v>1417</v>
      </c>
      <c r="H18" s="441">
        <v>0.91</v>
      </c>
      <c r="I18" s="133">
        <v>0.91</v>
      </c>
      <c r="J18" s="478"/>
    </row>
    <row r="19" spans="1:10" ht="141" customHeight="1" thickBot="1" x14ac:dyDescent="0.25">
      <c r="A19" s="471"/>
      <c r="B19" s="622"/>
      <c r="C19" s="522" t="s">
        <v>1418</v>
      </c>
      <c r="D19" s="523">
        <f>IF(E19="","",E19)</f>
        <v>0.05</v>
      </c>
      <c r="E19" s="456">
        <v>0.05</v>
      </c>
      <c r="F19" s="524" t="s">
        <v>1419</v>
      </c>
      <c r="G19" s="525" t="s">
        <v>1420</v>
      </c>
      <c r="H19" s="440">
        <v>0.05</v>
      </c>
      <c r="I19" s="134">
        <v>0.05</v>
      </c>
      <c r="J19" s="478"/>
    </row>
    <row r="20" spans="1:10" x14ac:dyDescent="0.2">
      <c r="B20" s="526"/>
      <c r="C20" s="526"/>
      <c r="D20" s="526"/>
      <c r="E20" s="526"/>
      <c r="F20" s="527"/>
      <c r="G20" s="527"/>
      <c r="H20" s="527"/>
      <c r="I20" s="526"/>
    </row>
  </sheetData>
  <sheetProtection algorithmName="SHA-512" hashValue="xy7B+um9dvHYlIRr9TKjUHQ00LSAaZsES53AJ3vNlUNtbRMG2K/8hhywJRSqoiJNtzB2h6BN0Ecr5s5MXdUWAg==" saltValue="KIsiVuTqnD9EH1mGgnntIA==" spinCount="100000" sheet="1" objects="1" scenarios="1"/>
  <mergeCells count="3">
    <mergeCell ref="B10:B15"/>
    <mergeCell ref="B17:B19"/>
    <mergeCell ref="B3:B9"/>
  </mergeCells>
  <dataValidations count="2">
    <dataValidation type="list" allowBlank="1" showInputMessage="1" showErrorMessage="1" sqref="E7" xr:uid="{909B2DD5-0080-F14F-ACF3-115E61033E5B}">
      <formula1>"Pas encore en saison,Préparation du terrain,Semis / plantation,Début de la croissance,Croissance,Proche de la récolte,Récolte,Post-récolte"</formula1>
    </dataValidation>
    <dataValidation type="list" allowBlank="1" showInputMessage="1" showErrorMessage="1" sqref="E5" xr:uid="{58122674-CF0B-B04C-B8F3-A05D6D71EB8C}">
      <formula1>"l'année dernière, une année normale"</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51ac188-b77a-445d-b0b3-bedb0cff8e72">
      <Terms xmlns="http://schemas.microsoft.com/office/infopath/2007/PartnerControls"/>
    </lcf76f155ced4ddcb4097134ff3c332f>
    <TaxCatchAll xmlns="4efa6d18-7e22-4963-b4bf-16e1a76dd52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A0901C00BE8754680E1F02E394963D6" ma:contentTypeVersion="16" ma:contentTypeDescription="Create a new document." ma:contentTypeScope="" ma:versionID="4828c5410de3b85b98104ed3a3ae4778">
  <xsd:schema xmlns:xsd="http://www.w3.org/2001/XMLSchema" xmlns:xs="http://www.w3.org/2001/XMLSchema" xmlns:p="http://schemas.microsoft.com/office/2006/metadata/properties" xmlns:ns2="651ac188-b77a-445d-b0b3-bedb0cff8e72" xmlns:ns3="4efa6d18-7e22-4963-b4bf-16e1a76dd523" targetNamespace="http://schemas.microsoft.com/office/2006/metadata/properties" ma:root="true" ma:fieldsID="a29beb268dca3c918c18ecb5e9e0442b" ns2:_="" ns3:_="">
    <xsd:import namespace="651ac188-b77a-445d-b0b3-bedb0cff8e72"/>
    <xsd:import namespace="4efa6d18-7e22-4963-b4bf-16e1a76dd52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1ac188-b77a-445d-b0b3-bedb0cff8e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40eee1e-ad38-437e-be40-fc9f033adc9a"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efa6d18-7e22-4963-b4bf-16e1a76dd52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d7dcf17-34ce-4834-a227-7b447e9c0ccd}" ma:internalName="TaxCatchAll" ma:showField="CatchAllData" ma:web="4efa6d18-7e22-4963-b4bf-16e1a76dd5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436B137-5CF2-43EE-A8CA-ED4DE3DC60C8}">
  <ds:schemaRefs>
    <ds:schemaRef ds:uri="http://purl.org/dc/elements/1.1/"/>
    <ds:schemaRef ds:uri="http://schemas.openxmlformats.org/package/2006/metadata/core-properties"/>
    <ds:schemaRef ds:uri="http://schemas.microsoft.com/office/infopath/2007/PartnerControls"/>
    <ds:schemaRef ds:uri="http://schemas.microsoft.com/office/2006/metadata/properties"/>
    <ds:schemaRef ds:uri="http://www.w3.org/XML/1998/namespace"/>
    <ds:schemaRef ds:uri="http://purl.org/dc/dcmitype/"/>
    <ds:schemaRef ds:uri="http://schemas.microsoft.com/office/2006/documentManagement/types"/>
    <ds:schemaRef ds:uri="http://purl.org/dc/terms/"/>
    <ds:schemaRef ds:uri="4efa6d18-7e22-4963-b4bf-16e1a76dd523"/>
    <ds:schemaRef ds:uri="651ac188-b77a-445d-b0b3-bedb0cff8e72"/>
  </ds:schemaRefs>
</ds:datastoreItem>
</file>

<file path=customXml/itemProps2.xml><?xml version="1.0" encoding="utf-8"?>
<ds:datastoreItem xmlns:ds="http://schemas.openxmlformats.org/officeDocument/2006/customXml" ds:itemID="{2E10B01E-6CDD-4D5B-82DD-4739BD098F6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1ac188-b77a-445d-b0b3-bedb0cff8e72"/>
    <ds:schemaRef ds:uri="4efa6d18-7e22-4963-b4bf-16e1a76dd5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D89E0E9-3F6C-4457-BD7D-786E54CF282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New Durations</vt:lpstr>
      <vt:lpstr>survey</vt:lpstr>
      <vt:lpstr>Crop list</vt:lpstr>
      <vt:lpstr>Additional information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Lawi Analo</dc:creator>
  <cp:keywords/>
  <dc:description/>
  <cp:lastModifiedBy>Ines Lecland</cp:lastModifiedBy>
  <cp:revision/>
  <dcterms:created xsi:type="dcterms:W3CDTF">2020-12-10T15:46:11Z</dcterms:created>
  <dcterms:modified xsi:type="dcterms:W3CDTF">2022-10-12T09:15:33Z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0x010100AA0901C00BE8754680E1F02E394963D6</vt:lpwstr>
  </property>
  <property fmtid="{D5CDD505-2E9C-101B-9397-08002B2CF9AE}" pid="3" name="MediaServiceImageTags">
    <vt:lpwstr/>
  </property>
</Properties>
</file>