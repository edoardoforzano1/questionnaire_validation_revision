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5"/>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201" documentId="8_{60CB6889-E352-4C30-BA15-A7B49B373A2C}" xr6:coauthVersionLast="47" xr6:coauthVersionMax="47" xr10:uidLastSave="{3584279F-DBA8-4E78-A381-4A04B3B7A8E1}"/>
  <bookViews>
    <workbookView xWindow="0" yWindow="500" windowWidth="28800" windowHeight="1662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2" i="21" l="1"/>
  <c r="G93" i="21"/>
  <c r="G91" i="21"/>
  <c r="G90" i="21"/>
  <c r="G88" i="21"/>
  <c r="G87" i="21"/>
  <c r="G86" i="21"/>
  <c r="G85" i="21"/>
  <c r="G80" i="21"/>
  <c r="G81" i="21"/>
  <c r="G79" i="21"/>
  <c r="G78" i="21"/>
  <c r="G71" i="21"/>
  <c r="G68" i="21"/>
  <c r="G69" i="21"/>
  <c r="G67" i="21"/>
  <c r="G66" i="21"/>
  <c r="G64" i="21"/>
  <c r="G11" i="21"/>
  <c r="G12" i="21"/>
  <c r="G13" i="21"/>
  <c r="G10" i="21"/>
  <c r="G6" i="21"/>
  <c r="G7" i="21"/>
  <c r="G8" i="21"/>
  <c r="G9" i="21"/>
  <c r="G99" i="21"/>
  <c r="G98" i="21"/>
  <c r="G97" i="21"/>
  <c r="G95" i="21"/>
  <c r="G83" i="21"/>
  <c r="G76" i="21"/>
  <c r="G75" i="21"/>
  <c r="G74" i="21"/>
  <c r="G73" i="21"/>
  <c r="G40" i="21"/>
  <c r="G39" i="21"/>
  <c r="E32" i="21"/>
  <c r="Y15" i="21" l="1"/>
  <c r="G15" i="21"/>
  <c r="E15" i="21"/>
  <c r="D13" i="8" l="1"/>
  <c r="D12" i="8"/>
  <c r="D11" i="8"/>
  <c r="D10" i="8"/>
  <c r="D5" i="8"/>
  <c r="D7" i="8"/>
  <c r="D19" i="8" l="1"/>
  <c r="D18" i="8"/>
  <c r="D17" i="8"/>
  <c r="D9" i="8" l="1"/>
  <c r="E231" i="21" l="1"/>
  <c r="E232" i="21"/>
  <c r="E234" i="21"/>
  <c r="E235" i="21"/>
  <c r="E237" i="21"/>
  <c r="E240" i="21"/>
  <c r="E241" i="21"/>
  <c r="E242" i="21"/>
  <c r="E244" i="21"/>
  <c r="E44" i="21" l="1"/>
  <c r="E45" i="21"/>
  <c r="E47" i="21"/>
  <c r="E49" i="21"/>
  <c r="E50" i="21"/>
  <c r="E51" i="21"/>
  <c r="E53" i="21"/>
  <c r="E54" i="21"/>
  <c r="E55" i="21"/>
  <c r="E56" i="21"/>
  <c r="E57" i="21"/>
  <c r="E58" i="21"/>
  <c r="G245" i="21"/>
  <c r="G244" i="21"/>
  <c r="G242" i="21"/>
  <c r="G241" i="21"/>
  <c r="G240" i="21"/>
  <c r="G237" i="21"/>
  <c r="G235" i="21"/>
  <c r="G234" i="21"/>
  <c r="G232" i="21"/>
  <c r="G231" i="21"/>
  <c r="G229"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7" i="21"/>
  <c r="G175" i="21"/>
  <c r="G174" i="21"/>
  <c r="G172" i="21"/>
  <c r="G169" i="21"/>
  <c r="G168" i="21"/>
  <c r="G167" i="21"/>
  <c r="G165" i="21"/>
  <c r="G163" i="21"/>
  <c r="G161" i="21"/>
  <c r="G158" i="21"/>
  <c r="G156" i="21"/>
  <c r="G155" i="21"/>
  <c r="G153" i="21"/>
  <c r="G150" i="21"/>
  <c r="G149" i="21"/>
  <c r="G148" i="21"/>
  <c r="G146" i="21"/>
  <c r="G145" i="21"/>
  <c r="G144" i="21"/>
  <c r="G143" i="21"/>
  <c r="G141" i="21"/>
  <c r="G139" i="21"/>
  <c r="G136" i="21"/>
  <c r="G134" i="21"/>
  <c r="G133" i="21"/>
  <c r="G131" i="21"/>
  <c r="G128" i="21"/>
  <c r="G127" i="21"/>
  <c r="G125" i="21"/>
  <c r="G124" i="21"/>
  <c r="G122" i="21"/>
  <c r="G121" i="21"/>
  <c r="G120" i="21"/>
  <c r="G119" i="21"/>
  <c r="G118" i="21"/>
  <c r="G116" i="21"/>
  <c r="G114" i="21"/>
  <c r="G113" i="21"/>
  <c r="G112" i="21"/>
  <c r="G110" i="21"/>
  <c r="G108" i="21"/>
  <c r="G107" i="21"/>
  <c r="G105" i="21"/>
  <c r="G104" i="21"/>
  <c r="G102" i="21"/>
  <c r="G63" i="21"/>
  <c r="G62" i="21"/>
  <c r="G61" i="21"/>
  <c r="G58" i="21"/>
  <c r="G57" i="21"/>
  <c r="G56" i="21"/>
  <c r="G55" i="21"/>
  <c r="G54" i="21"/>
  <c r="G53" i="21"/>
  <c r="G51" i="21"/>
  <c r="G50" i="21"/>
  <c r="G49" i="21"/>
  <c r="G47" i="21"/>
  <c r="G45" i="21"/>
  <c r="G44" i="21"/>
  <c r="G38" i="21"/>
  <c r="G37" i="21"/>
  <c r="G36" i="21"/>
  <c r="G34" i="21"/>
  <c r="G33" i="21"/>
  <c r="G32" i="21"/>
  <c r="G31" i="21"/>
  <c r="G30" i="21"/>
  <c r="G29" i="21"/>
  <c r="G28" i="21"/>
  <c r="G27" i="21"/>
  <c r="G25" i="21"/>
  <c r="G24" i="21"/>
  <c r="G23" i="21"/>
  <c r="G22" i="21"/>
  <c r="G20" i="21"/>
  <c r="G19" i="21"/>
  <c r="G18" i="21"/>
  <c r="G17" i="21"/>
  <c r="G16" i="21"/>
  <c r="G14" i="21"/>
  <c r="G5" i="21"/>
  <c r="Y44" i="21" l="1"/>
  <c r="Z137" i="21"/>
  <c r="Y137" i="21"/>
  <c r="Q137" i="21"/>
  <c r="D4" i="10" a="1"/>
  <c r="D4" i="10" s="1"/>
  <c r="E38" i="21"/>
  <c r="Q88" i="21" l="1"/>
  <c r="E88" i="21"/>
  <c r="Q87" i="21"/>
  <c r="E87" i="21"/>
  <c r="Q86" i="21"/>
  <c r="Y86" i="21" s="1"/>
  <c r="Z86" i="21" s="1"/>
  <c r="E86" i="21"/>
  <c r="Q76" i="21"/>
  <c r="Y76" i="21" s="1"/>
  <c r="Z76" i="21" s="1"/>
  <c r="E76" i="21"/>
  <c r="Q75" i="21"/>
  <c r="E75" i="21"/>
  <c r="Q74" i="21"/>
  <c r="Y74" i="21" s="1"/>
  <c r="Z74" i="21" s="1"/>
  <c r="E74" i="21"/>
  <c r="Y87" i="21" l="1"/>
  <c r="Z87" i="21" s="1"/>
  <c r="Y88" i="21"/>
  <c r="Z88" i="21" s="1"/>
  <c r="Y75" i="21"/>
  <c r="Z75" i="21" s="1"/>
  <c r="Q64" i="21" l="1"/>
  <c r="Y64" i="21" s="1"/>
  <c r="Z64" i="21" s="1"/>
  <c r="E64" i="21"/>
  <c r="Q63" i="21"/>
  <c r="Y63" i="21" s="1"/>
  <c r="Z63" i="21" s="1"/>
  <c r="E63" i="21"/>
  <c r="E113" i="21" l="1"/>
  <c r="E112" i="21"/>
  <c r="Z236" i="21" l="1"/>
  <c r="Z237" i="21"/>
  <c r="Y237" i="21"/>
  <c r="Q95" i="21" l="1"/>
  <c r="E95" i="21"/>
  <c r="A95" i="21"/>
  <c r="Z94" i="21"/>
  <c r="Y94" i="21"/>
  <c r="Q94" i="21"/>
  <c r="Y95" i="21" l="1"/>
  <c r="Z95" i="21" s="1"/>
  <c r="Z69" i="21" l="1"/>
  <c r="Q69" i="21"/>
  <c r="Y69" i="21" s="1"/>
  <c r="E69" i="21"/>
  <c r="Q68" i="21"/>
  <c r="Y68" i="21" s="1"/>
  <c r="Z68" i="21" s="1"/>
  <c r="E68" i="21"/>
  <c r="Z81" i="21"/>
  <c r="Q81" i="21"/>
  <c r="Y81" i="21" s="1"/>
  <c r="E81" i="21"/>
  <c r="Q80" i="21"/>
  <c r="Y80" i="21" s="1"/>
  <c r="Z80" i="21" s="1"/>
  <c r="E80" i="21"/>
  <c r="Z93" i="21"/>
  <c r="Q93" i="21"/>
  <c r="Y93" i="21" s="1"/>
  <c r="E93" i="21"/>
  <c r="Q92" i="21"/>
  <c r="E92" i="21"/>
  <c r="E62" i="21"/>
  <c r="Q62" i="21"/>
  <c r="Y92" i="21" l="1"/>
  <c r="Z92" i="21" s="1"/>
  <c r="Y62" i="21"/>
  <c r="Z62" i="21" s="1"/>
  <c r="Z44" i="21"/>
  <c r="Z46" i="21"/>
  <c r="Z48" i="21"/>
  <c r="Z52" i="21"/>
  <c r="Z53" i="21"/>
  <c r="Z54" i="21"/>
  <c r="Z55" i="21"/>
  <c r="Z56" i="21"/>
  <c r="Z57" i="21"/>
  <c r="Z58" i="21"/>
  <c r="Z59" i="21"/>
  <c r="Z60" i="21"/>
  <c r="Z65" i="21"/>
  <c r="Z66" i="21"/>
  <c r="Z67" i="21"/>
  <c r="Z70" i="21"/>
  <c r="Z72" i="21"/>
  <c r="Z77" i="21"/>
  <c r="Z78" i="21"/>
  <c r="Z79" i="21"/>
  <c r="Z82" i="21"/>
  <c r="Z84" i="21"/>
  <c r="Z89" i="21"/>
  <c r="Z90" i="21"/>
  <c r="Z91" i="21"/>
  <c r="Z96" i="21"/>
  <c r="Z98" i="21"/>
  <c r="Z99" i="21"/>
  <c r="Z100" i="21"/>
  <c r="Z101" i="21"/>
  <c r="Z103" i="21"/>
  <c r="Z106" i="21"/>
  <c r="Z109" i="21"/>
  <c r="Z111" i="21"/>
  <c r="Z114" i="21"/>
  <c r="Z115" i="21"/>
  <c r="Z117" i="21"/>
  <c r="Z119" i="21"/>
  <c r="Z120" i="21"/>
  <c r="Z121" i="21"/>
  <c r="Z122" i="21"/>
  <c r="Z123" i="21"/>
  <c r="Z126" i="21"/>
  <c r="Z127" i="21"/>
  <c r="Z128" i="21"/>
  <c r="Z129" i="21"/>
  <c r="Z130" i="21"/>
  <c r="Z132" i="21"/>
  <c r="Z135" i="21"/>
  <c r="Z138" i="21"/>
  <c r="Z140" i="21"/>
  <c r="Z142" i="21"/>
  <c r="Z146" i="21"/>
  <c r="Z147" i="21"/>
  <c r="Z150" i="21"/>
  <c r="Z151" i="21"/>
  <c r="Z152" i="21"/>
  <c r="Z154" i="21"/>
  <c r="Z157" i="21"/>
  <c r="Z159" i="21"/>
  <c r="Z160" i="21"/>
  <c r="Z162" i="21"/>
  <c r="Z164" i="21"/>
  <c r="Z166" i="21"/>
  <c r="Z169" i="21"/>
  <c r="Z170" i="21"/>
  <c r="Z171" i="21"/>
  <c r="Z173" i="21"/>
  <c r="Z176" i="21"/>
  <c r="Z178" i="21"/>
  <c r="Z179" i="21"/>
  <c r="Z192" i="21"/>
  <c r="Z193" i="21"/>
  <c r="Z194" i="21"/>
  <c r="Z195" i="21"/>
  <c r="Z196" i="21"/>
  <c r="Z197" i="21"/>
  <c r="Z198" i="21"/>
  <c r="Z199" i="21"/>
  <c r="Z200" i="21"/>
  <c r="Z201" i="21"/>
  <c r="Z202" i="21"/>
  <c r="Z203" i="21"/>
  <c r="Z204" i="21"/>
  <c r="Z205" i="21"/>
  <c r="Z206" i="21"/>
  <c r="Z207" i="21"/>
  <c r="Z208" i="21"/>
  <c r="Z209" i="21"/>
  <c r="Z210" i="21"/>
  <c r="Z211" i="21"/>
  <c r="Z214" i="21"/>
  <c r="Z215" i="21"/>
  <c r="Z216" i="21"/>
  <c r="Z217" i="21"/>
  <c r="Z218" i="21"/>
  <c r="Z219" i="21"/>
  <c r="Z220" i="21"/>
  <c r="Z221" i="21"/>
  <c r="Z222" i="21"/>
  <c r="Z223" i="21"/>
  <c r="Z224" i="21"/>
  <c r="Z225" i="21"/>
  <c r="Z226" i="21"/>
  <c r="Z227" i="21"/>
  <c r="Z228" i="21"/>
  <c r="Z229" i="21"/>
  <c r="Z230" i="21"/>
  <c r="Z233" i="21"/>
  <c r="Z238" i="21"/>
  <c r="Z239" i="21"/>
  <c r="Z241" i="21"/>
  <c r="Z242" i="21"/>
  <c r="Z243" i="21"/>
  <c r="Z245"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1" i="21"/>
  <c r="Z42" i="21"/>
  <c r="Z43" i="21"/>
  <c r="Z4" i="21" l="1"/>
  <c r="Y236" i="21" l="1"/>
  <c r="Y6" i="21" l="1"/>
  <c r="Z6" i="21" s="1"/>
  <c r="Y7" i="21"/>
  <c r="Y8" i="21"/>
  <c r="Y9" i="21"/>
  <c r="Y10" i="21"/>
  <c r="Y11" i="21"/>
  <c r="Y12" i="21"/>
  <c r="Y13" i="21"/>
  <c r="Y14" i="21"/>
  <c r="Y16" i="21"/>
  <c r="Y17" i="21"/>
  <c r="Y18" i="21"/>
  <c r="Y19" i="21"/>
  <c r="Y20" i="21"/>
  <c r="Y21" i="21"/>
  <c r="Y26" i="21"/>
  <c r="Y35" i="21"/>
  <c r="Y41" i="21"/>
  <c r="Y42" i="21"/>
  <c r="Y43" i="21"/>
  <c r="Y46" i="21"/>
  <c r="Y48" i="21"/>
  <c r="Y52" i="21"/>
  <c r="Y59" i="21"/>
  <c r="Y60" i="21"/>
  <c r="Y65" i="21"/>
  <c r="Y70" i="21"/>
  <c r="Y72" i="21"/>
  <c r="Y77" i="21"/>
  <c r="Y82" i="21"/>
  <c r="Y84" i="21"/>
  <c r="Y89" i="21"/>
  <c r="Y96" i="21"/>
  <c r="Y98" i="21"/>
  <c r="Y100" i="21"/>
  <c r="Y101" i="21"/>
  <c r="Y103" i="21"/>
  <c r="Y106" i="21"/>
  <c r="Y109" i="21"/>
  <c r="Y111" i="21"/>
  <c r="Y115" i="21"/>
  <c r="Y117" i="21"/>
  <c r="Y123" i="21"/>
  <c r="Y126" i="21"/>
  <c r="Y129" i="21"/>
  <c r="Y130" i="21"/>
  <c r="Y132" i="21"/>
  <c r="Y135" i="21"/>
  <c r="Y138" i="21"/>
  <c r="Y140" i="21"/>
  <c r="Y142" i="21"/>
  <c r="Y147" i="21"/>
  <c r="Y151" i="21"/>
  <c r="Y152" i="21"/>
  <c r="Y154" i="21"/>
  <c r="Y157" i="21"/>
  <c r="Y159" i="21"/>
  <c r="Y160" i="21"/>
  <c r="Y162" i="21"/>
  <c r="Y164" i="21"/>
  <c r="Y166" i="21"/>
  <c r="Y170" i="21"/>
  <c r="Y171" i="21"/>
  <c r="Y173" i="21"/>
  <c r="Y176" i="21"/>
  <c r="Y178" i="21"/>
  <c r="Y179" i="2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Z190" i="21" s="1"/>
  <c r="Y191" i="21"/>
  <c r="Z191" i="21" s="1"/>
  <c r="Y192" i="21"/>
  <c r="Y193" i="21"/>
  <c r="Y194" i="21"/>
  <c r="Y195" i="21"/>
  <c r="Y196" i="21"/>
  <c r="Y197" i="21"/>
  <c r="Y198" i="21"/>
  <c r="Y199" i="21"/>
  <c r="Y200" i="21"/>
  <c r="Y201" i="21"/>
  <c r="Y202" i="21"/>
  <c r="Y203" i="21"/>
  <c r="Y204" i="21"/>
  <c r="Y205" i="21"/>
  <c r="Y206" i="21"/>
  <c r="Y207" i="21"/>
  <c r="Y208" i="21"/>
  <c r="Y209" i="21"/>
  <c r="Y210" i="21"/>
  <c r="Y211" i="21"/>
  <c r="Y212" i="21"/>
  <c r="Z212" i="21" s="1"/>
  <c r="Y213" i="21"/>
  <c r="Z213" i="21" s="1"/>
  <c r="Y214" i="21"/>
  <c r="Y215" i="21"/>
  <c r="Y216" i="21"/>
  <c r="Y217" i="21"/>
  <c r="Y218" i="21"/>
  <c r="Y219" i="21"/>
  <c r="Y220" i="21"/>
  <c r="Y221" i="21"/>
  <c r="Y222" i="21"/>
  <c r="Y223" i="21"/>
  <c r="Y224" i="21"/>
  <c r="Y225" i="21"/>
  <c r="Y226" i="21"/>
  <c r="Y227" i="21"/>
  <c r="Y228" i="21"/>
  <c r="Y229" i="21"/>
  <c r="Y230" i="21"/>
  <c r="Y231" i="21"/>
  <c r="Z231" i="21" s="1"/>
  <c r="Y232" i="21"/>
  <c r="Z232" i="21" s="1"/>
  <c r="Y233" i="21"/>
  <c r="Y234" i="21"/>
  <c r="Z234" i="21" s="1"/>
  <c r="Y235" i="21"/>
  <c r="Z235" i="21" s="1"/>
  <c r="Y238" i="21"/>
  <c r="Y239" i="21"/>
  <c r="Y240" i="21"/>
  <c r="Z240" i="21" s="1"/>
  <c r="Y241" i="21"/>
  <c r="Y242" i="21"/>
  <c r="Y243" i="21"/>
  <c r="Y244" i="21"/>
  <c r="Z244" i="21" s="1"/>
  <c r="Y245" i="21"/>
  <c r="Y5" i="21"/>
  <c r="Y4" i="21"/>
  <c r="E119" i="21" l="1"/>
  <c r="Q119" i="21"/>
  <c r="E120" i="21"/>
  <c r="Q120" i="21"/>
  <c r="E121" i="21"/>
  <c r="Q121" i="21"/>
  <c r="E122" i="21"/>
  <c r="Q122" i="21"/>
  <c r="Q178" i="21"/>
  <c r="Q177" i="21"/>
  <c r="Y177" i="21" s="1"/>
  <c r="Z177" i="21" s="1"/>
  <c r="Q176" i="21"/>
  <c r="Q175" i="21"/>
  <c r="Q174" i="21"/>
  <c r="Q173" i="21"/>
  <c r="Q172" i="21"/>
  <c r="Q170" i="21"/>
  <c r="Q169" i="21"/>
  <c r="Q168" i="21"/>
  <c r="Q167" i="21"/>
  <c r="Q166" i="21"/>
  <c r="Q165" i="21"/>
  <c r="Q164" i="21"/>
  <c r="Q163" i="21"/>
  <c r="Q162" i="21"/>
  <c r="Q161" i="21"/>
  <c r="Q136" i="21"/>
  <c r="Q134" i="21"/>
  <c r="Q133" i="21"/>
  <c r="Q132" i="21"/>
  <c r="Q131" i="21"/>
  <c r="Q129" i="21"/>
  <c r="Q128" i="21"/>
  <c r="Y128" i="21" s="1"/>
  <c r="Q127" i="21"/>
  <c r="Q126" i="21"/>
  <c r="Q125" i="21"/>
  <c r="Q124" i="21"/>
  <c r="Q123" i="21"/>
  <c r="Q118" i="21"/>
  <c r="Q117" i="21"/>
  <c r="Q116" i="21"/>
  <c r="Q115" i="21"/>
  <c r="Q114" i="21"/>
  <c r="Q111" i="21"/>
  <c r="Q110" i="21"/>
  <c r="Y110" i="21" s="1"/>
  <c r="Z110" i="21" s="1"/>
  <c r="Q109" i="21"/>
  <c r="Q108" i="21"/>
  <c r="Q107" i="21"/>
  <c r="Y107" i="21" s="1"/>
  <c r="Z107" i="21" s="1"/>
  <c r="Q106" i="21"/>
  <c r="Q105" i="21"/>
  <c r="Q104" i="21"/>
  <c r="Q103" i="21"/>
  <c r="Q102" i="21"/>
  <c r="Q135" i="21"/>
  <c r="Q139" i="21"/>
  <c r="Y139" i="21" s="1"/>
  <c r="Z139" i="21" s="1"/>
  <c r="Q158" i="21"/>
  <c r="Q157" i="21"/>
  <c r="Q156" i="21"/>
  <c r="Q155" i="21"/>
  <c r="Q154" i="21"/>
  <c r="Q153" i="21"/>
  <c r="Q151" i="21"/>
  <c r="Q150" i="21"/>
  <c r="Q149" i="21"/>
  <c r="Y149" i="21" s="1"/>
  <c r="Z149" i="21" s="1"/>
  <c r="Q148" i="21"/>
  <c r="Q147" i="21"/>
  <c r="Q146" i="21"/>
  <c r="Q145" i="21"/>
  <c r="Q144" i="21"/>
  <c r="Q143" i="21"/>
  <c r="Q142" i="21"/>
  <c r="Q141" i="21"/>
  <c r="Q140" i="21"/>
  <c r="Q159"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Q32" i="21"/>
  <c r="E33" i="21"/>
  <c r="Q33" i="21"/>
  <c r="Y33" i="21" s="1"/>
  <c r="E34" i="21"/>
  <c r="Q34" i="21"/>
  <c r="Q35" i="21"/>
  <c r="E36" i="21"/>
  <c r="Q36" i="21"/>
  <c r="A37" i="21"/>
  <c r="A39" i="21" s="1"/>
  <c r="E37" i="21"/>
  <c r="Q37" i="21"/>
  <c r="Y37" i="21" s="1"/>
  <c r="Z37" i="21" s="1"/>
  <c r="E39" i="21"/>
  <c r="Q39" i="21"/>
  <c r="Q41" i="21"/>
  <c r="Q43" i="21"/>
  <c r="Q45" i="21"/>
  <c r="Y45" i="21" s="1"/>
  <c r="Z45" i="21" s="1"/>
  <c r="Q46" i="21"/>
  <c r="Q47" i="21"/>
  <c r="Q48" i="21"/>
  <c r="Q49" i="21"/>
  <c r="Q50" i="21"/>
  <c r="Q51" i="21"/>
  <c r="Q52" i="21"/>
  <c r="A53" i="21"/>
  <c r="Q53" i="21"/>
  <c r="Y53" i="21" s="1"/>
  <c r="Q54" i="21"/>
  <c r="Q55" i="21"/>
  <c r="Q56" i="21"/>
  <c r="Q57" i="21"/>
  <c r="Q58" i="21"/>
  <c r="Q60" i="21"/>
  <c r="E61" i="21"/>
  <c r="Q61" i="21"/>
  <c r="Q65" i="21"/>
  <c r="E66" i="21"/>
  <c r="Q66" i="21"/>
  <c r="Y66" i="21" s="1"/>
  <c r="E67" i="21"/>
  <c r="Q67" i="21"/>
  <c r="Y67" i="21" s="1"/>
  <c r="Q70" i="21"/>
  <c r="A71" i="21"/>
  <c r="A73" i="21" s="1"/>
  <c r="E71" i="21"/>
  <c r="Q71" i="21"/>
  <c r="Q72" i="21"/>
  <c r="E73" i="21"/>
  <c r="Q73" i="21"/>
  <c r="Y73" i="21" s="1"/>
  <c r="Z73" i="21" s="1"/>
  <c r="Q77" i="21"/>
  <c r="E78" i="21"/>
  <c r="Q78" i="21"/>
  <c r="A79" i="21"/>
  <c r="E79" i="21"/>
  <c r="Q79" i="21"/>
  <c r="Y79" i="21" s="1"/>
  <c r="Q82" i="21"/>
  <c r="A83" i="21"/>
  <c r="A85" i="21" s="1"/>
  <c r="A90" i="21" s="1"/>
  <c r="A91" i="21" s="1"/>
  <c r="A99" i="21" s="1"/>
  <c r="A97" i="21" s="1"/>
  <c r="E83" i="21"/>
  <c r="Q83" i="21"/>
  <c r="Y83" i="21" s="1"/>
  <c r="Z83" i="21" s="1"/>
  <c r="Q84" i="21"/>
  <c r="E85" i="21"/>
  <c r="Q85" i="21"/>
  <c r="Q89" i="21"/>
  <c r="E90" i="21"/>
  <c r="Q90" i="21"/>
  <c r="Y90" i="21" s="1"/>
  <c r="E91" i="21"/>
  <c r="Q91" i="21"/>
  <c r="Q96" i="21"/>
  <c r="E97" i="21"/>
  <c r="Q97" i="21"/>
  <c r="Y97" i="21" s="1"/>
  <c r="Z97" i="21" s="1"/>
  <c r="E98" i="21"/>
  <c r="Q98" i="21"/>
  <c r="E99" i="21"/>
  <c r="Q99" i="21"/>
  <c r="Q100" i="21"/>
  <c r="A102" i="21"/>
  <c r="A107" i="21" s="1"/>
  <c r="A110" i="21" s="1"/>
  <c r="A114" i="21" s="1"/>
  <c r="A116" i="21" s="1"/>
  <c r="A118" i="21" s="1"/>
  <c r="A119" i="21" s="1"/>
  <c r="A120" i="21" s="1"/>
  <c r="A121" i="21" s="1"/>
  <c r="A122" i="21" s="1"/>
  <c r="A124" i="21" s="1"/>
  <c r="A125" i="21" s="1"/>
  <c r="E102" i="21"/>
  <c r="E104" i="21"/>
  <c r="E105" i="21"/>
  <c r="E107" i="21"/>
  <c r="E108" i="21"/>
  <c r="E110" i="21"/>
  <c r="E114" i="21"/>
  <c r="E116" i="21"/>
  <c r="E118" i="21"/>
  <c r="E124" i="21"/>
  <c r="E125" i="21"/>
  <c r="E127" i="21"/>
  <c r="E128" i="21"/>
  <c r="E131" i="21"/>
  <c r="E133" i="21"/>
  <c r="E134" i="21"/>
  <c r="E136" i="21"/>
  <c r="E139" i="21"/>
  <c r="E141" i="21"/>
  <c r="E143" i="21"/>
  <c r="E144" i="21"/>
  <c r="E145" i="21"/>
  <c r="E146" i="21"/>
  <c r="A148" i="21"/>
  <c r="A149" i="21" s="1"/>
  <c r="A153" i="21" s="1"/>
  <c r="A155" i="21" s="1"/>
  <c r="A156" i="21" s="1"/>
  <c r="A158" i="21" s="1"/>
  <c r="A161" i="21" s="1"/>
  <c r="A163" i="21" s="1"/>
  <c r="A165" i="21" s="1"/>
  <c r="A167" i="21" s="1"/>
  <c r="A168" i="21" s="1"/>
  <c r="A169" i="21" s="1"/>
  <c r="A172" i="21" s="1"/>
  <c r="A174" i="21" s="1"/>
  <c r="A175" i="21" s="1"/>
  <c r="A177"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4" i="21" s="1"/>
  <c r="A225" i="21" s="1"/>
  <c r="A226" i="21" s="1"/>
  <c r="A227" i="21" s="1"/>
  <c r="A228" i="21" s="1"/>
  <c r="A229" i="21" s="1"/>
  <c r="A231" i="21" s="1"/>
  <c r="A232" i="21" s="1"/>
  <c r="A234" i="21" s="1"/>
  <c r="A235" i="21" s="1"/>
  <c r="E148" i="21"/>
  <c r="E149" i="21"/>
  <c r="E150" i="21"/>
  <c r="E153" i="21"/>
  <c r="E155" i="21"/>
  <c r="E156" i="21"/>
  <c r="E158" i="21"/>
  <c r="E161" i="21"/>
  <c r="E163" i="21"/>
  <c r="E165" i="21"/>
  <c r="E167" i="21"/>
  <c r="E168" i="21"/>
  <c r="E169" i="21"/>
  <c r="E172" i="21"/>
  <c r="E174" i="21"/>
  <c r="E175" i="21"/>
  <c r="E177"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45" i="21"/>
  <c r="A54" i="21" l="1"/>
  <c r="A44" i="21"/>
  <c r="Y99" i="21"/>
  <c r="Y56" i="21"/>
  <c r="Y49" i="21"/>
  <c r="Z49" i="21" s="1"/>
  <c r="Y141" i="21"/>
  <c r="Z141" i="21" s="1"/>
  <c r="Y158" i="21"/>
  <c r="Z158" i="21" s="1"/>
  <c r="Y122" i="21"/>
  <c r="Y61" i="21"/>
  <c r="Z61" i="21" s="1"/>
  <c r="Y34" i="21"/>
  <c r="Y150" i="21"/>
  <c r="Y108" i="21"/>
  <c r="Z108" i="21" s="1"/>
  <c r="Y118" i="21"/>
  <c r="Z118" i="21" s="1"/>
  <c r="Y131" i="21"/>
  <c r="Z131" i="21" s="1"/>
  <c r="Y163" i="21"/>
  <c r="Z163" i="21" s="1"/>
  <c r="Y172" i="21"/>
  <c r="Z172" i="21" s="1"/>
  <c r="Y143" i="21"/>
  <c r="Z143" i="21" s="1"/>
  <c r="Y47" i="21"/>
  <c r="Z47" i="21" s="1"/>
  <c r="Y39" i="21"/>
  <c r="Z39" i="21" s="1"/>
  <c r="Y29" i="21"/>
  <c r="Y25" i="21"/>
  <c r="Z25" i="21" s="1"/>
  <c r="Y144" i="21"/>
  <c r="Z144" i="21" s="1"/>
  <c r="Y153" i="21"/>
  <c r="Z153" i="21" s="1"/>
  <c r="Y102" i="21"/>
  <c r="Z102" i="21" s="1"/>
  <c r="Y124" i="21"/>
  <c r="Z124" i="21" s="1"/>
  <c r="Y133" i="21"/>
  <c r="Z133" i="21" s="1"/>
  <c r="Y165" i="21"/>
  <c r="Z165" i="21" s="1"/>
  <c r="Y174" i="21"/>
  <c r="Z174" i="21" s="1"/>
  <c r="Y85" i="21"/>
  <c r="Z85" i="21" s="1"/>
  <c r="Y58" i="21"/>
  <c r="Y54" i="21"/>
  <c r="Y51" i="21"/>
  <c r="Z51" i="21" s="1"/>
  <c r="Y145" i="21"/>
  <c r="Z145" i="21" s="1"/>
  <c r="Y125" i="21"/>
  <c r="Z125" i="21" s="1"/>
  <c r="Y134" i="21"/>
  <c r="Z134" i="21" s="1"/>
  <c r="Y175" i="21"/>
  <c r="Z175" i="21" s="1"/>
  <c r="Y120" i="21"/>
  <c r="Y55" i="21"/>
  <c r="Y121" i="21"/>
  <c r="Y32" i="21"/>
  <c r="Y146" i="21"/>
  <c r="Y155" i="21"/>
  <c r="Z155" i="21" s="1"/>
  <c r="Y104" i="21"/>
  <c r="Z104" i="21" s="1"/>
  <c r="Y114" i="21"/>
  <c r="Y167" i="21"/>
  <c r="Z167" i="21" s="1"/>
  <c r="Y91" i="21"/>
  <c r="Y78" i="21"/>
  <c r="Y71" i="21"/>
  <c r="Z71" i="21" s="1"/>
  <c r="Y57" i="21"/>
  <c r="Y50" i="21"/>
  <c r="Z50" i="21" s="1"/>
  <c r="Y36" i="21"/>
  <c r="Z36" i="21" s="1"/>
  <c r="Y156" i="21"/>
  <c r="Z156" i="21" s="1"/>
  <c r="Y105" i="21"/>
  <c r="Z105" i="21" s="1"/>
  <c r="Y127" i="21"/>
  <c r="Y136" i="21"/>
  <c r="Z136" i="21" s="1"/>
  <c r="Y168" i="21"/>
  <c r="Z168" i="21" s="1"/>
  <c r="Y119" i="21"/>
  <c r="Y31" i="21"/>
  <c r="Y27" i="21"/>
  <c r="Y148" i="21"/>
  <c r="Z148" i="21" s="1"/>
  <c r="Y116" i="21"/>
  <c r="Z116" i="21" s="1"/>
  <c r="Y161" i="21"/>
  <c r="Z161" i="21" s="1"/>
  <c r="Y169" i="21"/>
  <c r="A133" i="21"/>
  <c r="A134" i="21" s="1"/>
  <c r="A136" i="21" s="1"/>
  <c r="A139" i="21" s="1"/>
  <c r="A141" i="21" s="1"/>
  <c r="A143" i="21" s="1"/>
  <c r="A144" i="21" s="1"/>
  <c r="A127" i="21"/>
  <c r="A55" i="21" l="1"/>
  <c r="A45" i="21"/>
  <c r="Y248" i="21"/>
  <c r="Y250" i="21"/>
  <c r="Y249" i="21"/>
  <c r="Z248" i="21"/>
  <c r="A56" i="21" l="1"/>
  <c r="A47" i="21"/>
  <c r="A49" i="21" s="1"/>
  <c r="A57" i="21" l="1"/>
  <c r="A58" i="21" l="1"/>
  <c r="A61"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tc={618A727A-60D0-4FC6-BE2A-297C1171AD3F}</author>
    <author>tc={8EB12A64-9E2D-4BA6-A7E9-BCFDCDFC25F3}</author>
    <author>tc={0C9CA72A-3F18-4FA6-9EE1-8CF73B44F19F}</author>
    <author>tc={A013DBF9-EAC4-4E07-A022-56F4938B0EB8}</author>
    <author>tc={A8766570-4859-4D27-89EE-A3288F4F428D}</author>
    <author>tc={3A4CFD46-0727-46F9-B5A4-59198AA4995E}</author>
    <author>tc={C33DEA5E-8662-4C5D-A55E-098830E885DF}</author>
    <author>tc={843C1F0F-2B48-44E3-BDCF-BB4B14113C70}</author>
    <author>tc={E68CAAD6-3211-4EFE-B8A1-33E863B36157}</author>
    <author>tc={568B77EA-6C5C-4DA1-A9EE-0337B485FF54}</author>
    <author>tc={D0A5C266-F647-4FE2-8EA6-77E41B999D7C}</author>
  </authors>
  <commentList>
    <comment ref="F36" authorId="0" shapeId="0" xr:uid="{618A727A-60D0-4FC6-BE2A-297C1171AD3F}">
      <text>
        <t>[Threaded comment]
Your version of Excel allows you to read this threaded comment; however, any edits to it will get removed if the file is opened in a newer version of Excel. Learn more: https://go.microsoft.com/fwlink/?linkid=870924
Comment:
    The literal translation for "eating from the same pot" would be "comendo da mesma panela". However, to me it makes more sense and usual stating "eating from the same food" (comendo da mesma comida). This is to the Country Office to adapt according to what makes more sense based on the country's culture.</t>
      </text>
    </comment>
    <comment ref="F39" authorId="1" shapeId="0" xr:uid="{8EB12A64-9E2D-4BA6-A7E9-BCFDCDFC25F3}">
      <text>
        <t>[Threaded comment]
Your version of Excel allows you to read this threaded comment; however, any edits to it will get removed if the file is opened in a newer version of Excel. Learn more: https://go.microsoft.com/fwlink/?linkid=870924
Comment:
    Transhumance (transhumância) is not a usual word in Portuguese. Thus, I have used the term in red ("pastando animais" = grazing the animals) and the addition in parentheses and ref in the hint for probing, which means "in places that offer better conditions" - this part could be also incorporated to the question to improve clarity.</t>
      </text>
    </comment>
    <comment ref="F54" authorId="2" shapeId="0" xr:uid="{0C9CA72A-3F18-4FA6-9EE1-8CF73B44F19F}">
      <text>
        <t>[Threaded comment]
Your version of Excel allows you to read this threaded comment; however, any edits to it will get removed if the file is opened in a newer version of Excel. Learn more: https://go.microsoft.com/fwlink/?linkid=870924
Comment:
    See comment in hh_admin1: the same comment applies here.</t>
      </text>
    </comment>
    <comment ref="F99" authorId="3" shapeId="0" xr:uid="{A013DBF9-EAC4-4E07-A022-56F4938B0EB8}">
      <text>
        <t>[Threaded comment]
Your version of Excel allows you to read this threaded comment; however, any edits to it will get removed if the file is opened in a newer version of Excel. Learn more: https://go.microsoft.com/fwlink/?linkid=870924
Comment:
    Based on previous rounds for Mozambique, I see they have both "Encerramento" and "Fechamento" to refer to "closure". In the Brazilian Portuguese, I would use "Fechamento" in all the situations related to "closure" here presented. I have kept "Encerramento" as used for Mozambique, but I kindly ask future users of this questionnaire to check and consider the best word that applies to your country.</t>
      </text>
    </comment>
    <comment ref="F107" authorId="4" shapeId="0" xr:uid="{A8766570-4859-4D27-89EE-A3288F4F428D}">
      <text>
        <t xml:space="preserve">[Threaded comment]
Your version of Excel allows you to read this threaded comment; however, any edits to it will get removed if the file is opened in a newer version of Excel. Learn more: https://go.microsoft.com/fwlink/?linkid=870924
Comment:
    Here in red, it is just to remember to use the right complement (e.g., "na"/"no"/"em", etc) depending on what is informed in $season PT$. </t>
      </text>
    </comment>
    <comment ref="F112" authorId="5" shapeId="0" xr:uid="{3A4CFD46-0727-46F9-B5A4-59198AA4995E}">
      <text>
        <t xml:space="preserve">[Threaded comment]
Your version of Excel allows you to read this threaded comment; however, any edits to it will get removed if the file is opened in a newer version of Excel. Learn more: https://go.microsoft.com/fwlink/?linkid=870924
Comment:
    In Mozambique, as confirmed by a colleague from the CO, the best translations would be:
1)Não, tudo funciona por gravidade
2)Sim, há uma motobomba comunitária à diesel/gasolina
3)Sim, há uma bomba comunitária manual
4)Sim, há uma bomba manual na minha machamba
5)Sim, há uma bomba à diesel/gasolina na minha machamba
6)NÃO SABE
7)RECUSA 
Users from other countries, please evaluate which is more appropriate to your context.
</t>
      </text>
    </comment>
    <comment ref="F125" authorId="6" shapeId="0" xr:uid="{C33DEA5E-8662-4C5D-A55E-098830E885DF}">
      <text>
        <t>[Threaded comment]
Your version of Excel allows you to read this threaded comment; however, any edits to it will get removed if the file is opened in a newer version of Excel. Learn more: https://go.microsoft.com/fwlink/?linkid=870924
Comment:
    In Mozambique, based on previous rounds, I believe the best term to "access to plot" would be "acesso à machamba". I am not sure if it applies to other Portuguese-speaking countries. If not, please consider "Dificuldade de acesso à terra" instead.</t>
      </text>
    </comment>
    <comment ref="D204" authorId="7" shapeId="0" xr:uid="{843C1F0F-2B48-44E3-BDCF-BB4B14113C70}">
      <text>
        <t>[Threaded comment]
Your version of Excel allows you to read this threaded comment; however, any edits to it will get removed if the file is opened in a newer version of Excel. Learn more: https://go.microsoft.com/fwlink/?linkid=870924
Comment:
    The example provided for immature crops is not a happy one for the Portuguese version of the questionnaire. This because we actually call "green maize" (milho verde" the maize that is harvested also in the proper time. For this reason, I chose not to offer any example and leave it to the Country Office to decide on the best example.
Reply:
    Feedback from Mr. Custódio Amaral from FAOMZ: 
"Agree with you. Green maize is called "maçaroca". In the time to select 3 - 4 - 3 coping strategies, this one should not be selected mainly because is considered as livelihood activity (harvesting immature crops such as cowpea, maize, is normal for consumption and income generation) and not as coping strategy"</t>
      </text>
    </comment>
    <comment ref="F205" authorId="8" shapeId="0" xr:uid="{E68CAAD6-3211-4EFE-B8A1-33E863B36157}">
      <text>
        <t>[Threaded comment]
Your version of Excel allows you to read this threaded comment; however, any edits to it will get removed if the file is opened in a newer version of Excel. Learn more: https://go.microsoft.com/fwlink/?linkid=870924
Comment:
    Based on previous rounds for Mozambique, it seems that the best terminology for planting season would be "sementeira". For other countries, please choose the best and more meaningful term.</t>
      </text>
    </comment>
    <comment ref="F212" authorId="9" shapeId="0" xr:uid="{568B77EA-6C5C-4DA1-A9EE-0337B485FF54}">
      <text>
        <t>[Threaded comment]
Your version of Excel allows you to read this threaded comment; however, any edits to it will get removed if the file is opened in a newer version of Excel. Learn more: https://go.microsoft.com/fwlink/?linkid=870924
Comment:
    I kept the same terms used in previous rounds for Mozambique. However, note that if ever another Portuguese-speaking country joins DIEM, it is important to ensure the terms are aligned with those used in the country. (ex: café da manhã vs. Pequeno-almoço, sorgo vs. Mapira, etc.)
Mesmo comentário se aplica para os exemplos dados nas questões do FCS.</t>
      </text>
    </comment>
    <comment ref="F232" authorId="10" shapeId="0" xr:uid="{D0A5C266-F647-4FE2-8EA6-77E41B999D7C}">
      <text>
        <t>[Threaded comment]
Your version of Excel allows you to read this threaded comment; however, any edits to it will get removed if the file is opened in a newer version of Excel. Learn more: https://go.microsoft.com/fwlink/?linkid=870924
Comment:
    In red is for the country to check whether the term chosen when translating to Portuguese makes sense or whether there is another term that is used more often in the country to refer to the same original meaning in English.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tc={CE34E105-CA8A-4916-B107-61106FE4E2C1}</author>
    <author>tc={A115F4F4-E210-475E-AA4E-45932FF9A864}</author>
  </authors>
  <commentList>
    <comment ref="G3" authorId="0" shapeId="0" xr:uid="{CE34E105-CA8A-4916-B107-61106FE4E2C1}">
      <text>
        <t>[Threaded comment]
Your version of Excel allows you to read this threaded comment; however, any edits to it will get removed if the file is opened in a newer version of Excel. Learn more: https://go.microsoft.com/fwlink/?linkid=870924
Comment:
    In red, please check whether these are the usual terms / best translation in your country. Most of the time, I have kept those used in previous rounds in Mozambique, but I confess that I am not familiar with all of them, because I know them by different names.</t>
      </text>
    </comment>
    <comment ref="G44" authorId="1" shapeId="0" xr:uid="{A115F4F4-E210-475E-AA4E-45932FF9A864}">
      <text>
        <t xml:space="preserve">[Threaded comment]
Your version of Excel allows you to read this threaded comment; however, any edits to it will get removed if the file is opened in a newer version of Excel. Learn more: https://go.microsoft.com/fwlink/?linkid=870924
Comment:
    In Mozambique, haricot = feijão verde, according to the CO. In Brazil, it would be "vagem". Other countries, please choose the most appropriate translation.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<sst xmlns="http://schemas.openxmlformats.org/spreadsheetml/2006/main" count="2571" uniqueCount="1328">
  <si>
    <t>GeoPoll Submission Form</t>
  </si>
  <si>
    <t>FAO - Household Questionnaire</t>
  </si>
  <si>
    <t>Additional notes</t>
  </si>
  <si>
    <t>Q #</t>
  </si>
  <si>
    <t>Q Name</t>
  </si>
  <si>
    <t>Suggested Qname</t>
  </si>
  <si>
    <t>English</t>
  </si>
  <si>
    <t>Length</t>
  </si>
  <si>
    <t>Portuguese</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</si>
  <si>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</si>
  <si>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</si>
  <si>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</si>
  <si>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</si>
  <si>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</si>
  <si>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</si>
  <si>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</si>
  <si>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</si>
  <si>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</si>
  <si>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</si>
  <si>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</si>
  <si>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</si>
  <si>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</si>
  <si>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</si>
  <si>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</si>
  <si>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</si>
  <si>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</si>
  <si>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</si>
  <si>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</si>
  <si>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</si>
  <si>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</si>
  <si>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</si>
  <si>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Introduza o número de telefone que está a contactar:</t>
  </si>
  <si>
    <t>Any Response = calldispo</t>
  </si>
  <si>
    <t>yes</t>
  </si>
  <si>
    <t>calldispo</t>
  </si>
  <si>
    <t>Phone number: #CATI_MOBILENUMBER#
1)Someone answers
2)Answering machine
3)No answer
4)Hang up or refusal
5)Call back
6)Under review
7)Disconnected</t>
  </si>
  <si>
    <t>Número do telefone: #CATI_MOBILENUMBER#
1)Alguém responde
2)Atendedor automático [secretária electrônica]
3)Sem resposta
4)Desligou ou se recusou a responder
5)Voltar a ligar
6)Em revisão
7)Desligado/Fora de serviço</t>
  </si>
  <si>
    <t>Single Choice</t>
  </si>
  <si>
    <t>Form Type - Buttons</t>
  </si>
  <si>
    <t>1 = resp_language
2 = AnsweringMachine
3 = NoAnswer
4 = Refusal
5 = WhenCallBack
6 = UnderReview
7 = Disconnected</t>
  </si>
  <si>
    <t>AnsweringMachine</t>
  </si>
  <si>
    <t>calldispo_answeringmachine</t>
  </si>
  <si>
    <t>Reached an answering machine.</t>
  </si>
  <si>
    <t>Atendido pelo atendedor automático [secretária electrônica].</t>
  </si>
  <si>
    <t>End Poll AnsweringMachine</t>
  </si>
  <si>
    <t>NoAnswer</t>
  </si>
  <si>
    <t>calldispo_noanswer</t>
  </si>
  <si>
    <t>Phone rang and no one answered.</t>
  </si>
  <si>
    <t>O telefone tocou e ninguém respondeu.</t>
  </si>
  <si>
    <t>End Poll NoAnswer</t>
  </si>
  <si>
    <t>UnderReview</t>
  </si>
  <si>
    <t>calldispo_underreview</t>
  </si>
  <si>
    <t>Case needs review by a supervisor.</t>
  </si>
  <si>
    <t>O caso precisa de revisão por um supervisor.</t>
  </si>
  <si>
    <t>End Poll UnderReview</t>
  </si>
  <si>
    <t>Disconnected</t>
  </si>
  <si>
    <t>calldispo_disconnected</t>
  </si>
  <si>
    <t>Phone was disconnected or out of service.</t>
  </si>
  <si>
    <t>O telefone estava desligado ou fora de serviço.</t>
  </si>
  <si>
    <t>End Poll Disconnected</t>
  </si>
  <si>
    <t>resp_language</t>
  </si>
  <si>
    <r>
      <t>Which language do you wish to proceed with?
[OPERATOR: READ ANSWER CHOICES. SINGLE RESPONSE.]
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</si>
  <si>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Em que idioma gostaria de proceder?
[OPERADOR(A): LEIA AS OPÇÕES DE RESPOSTA. RESPOSTA ÚNICA]
1)Inglês [SOMENTE PARA TESTAGEM] 
2)</t>
    </r>
    <r>
      <rPr>
        <b/>
        <sz val="12"/>
        <color theme="4"/>
        <rFont val="Calibri"/>
        <family val="2"/>
        <scheme val="minor"/>
      </rPr>
      <t>other [insira todas as opções necessárias]</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</si>
  <si>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</si>
  <si>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</si>
  <si>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</si>
  <si>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</si>
  <si>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</si>
  <si>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Caro(a) senhor(a), meu nome é #OPERATOR#, e estou ligando da Agência de Pesquisas GeoPoll, em nome da organização humanitária das Nações Unidas para a Alimentação e a Agricultura (FAO). Estamos conduzindo uma pesquisa sobre os meios de subsistência das famílias e a capacidade de acesso aos alimentos na sua área de residência. Gostaria de lhe fazer algumas perguntas sobre o seu agregado familiar.
O inquérito leva normalmente </t>
    </r>
    <r>
      <rPr>
        <b/>
        <sz val="12"/>
        <color rgb="FF0070C0"/>
        <rFont val="Calibri"/>
        <family val="2"/>
        <scheme val="minor"/>
      </rPr>
      <t>15/20 minutos</t>
    </r>
    <r>
      <rPr>
        <sz val="12"/>
        <color rgb="FF0070C0"/>
        <rFont val="Calibri"/>
        <family val="2"/>
        <scheme val="minor"/>
      </rPr>
      <t xml:space="preserve"> </t>
    </r>
    <r>
      <rPr>
        <sz val="12"/>
        <rFont val="Calibri"/>
        <family val="2"/>
        <scheme val="minor"/>
      </rPr>
      <t xml:space="preserve">para ser concluído. Qualquer informação que nos fornecer será mantida estritamente confidencial e não será partilhada com outras pessoas. A sua participação voluntária no resultado desta entrevista NÃO ESTÁ DE QUALQUER FORMA vinculada à sua chance de receber qualquer tipo de assistência. Este inquérito é de caracter voluntário e o(a) senhor(a) pode optar por não responder a algumas ou a todas as perguntas, se assim o desejar. No entanto, esperamos que participe já que as suas opiniões são muito importantes. 
</t>
    </r>
    <r>
      <rPr>
        <b/>
        <sz val="12"/>
        <color rgb="FF0070C0"/>
        <rFont val="Calibri"/>
        <family val="2"/>
        <scheme val="minor"/>
      </rPr>
      <t>O(a) senhor(a) receberá #TOPUP#! de crédito de comunicação como um incentivo para a participação neste inquérito.</t>
    </r>
    <r>
      <rPr>
        <sz val="12"/>
        <color rgb="FF0070C0"/>
        <rFont val="Calibri"/>
        <family val="2"/>
        <scheme val="minor"/>
      </rPr>
      <t xml:space="preserve">
</t>
    </r>
    <r>
      <rPr>
        <b/>
        <sz val="12"/>
        <color rgb="FF0070C0"/>
        <rFont val="Calibri"/>
        <family val="2"/>
        <scheme val="minor"/>
      </rPr>
      <t>Por favor, note que esta chamada será gravada para fins de qualidade.</t>
    </r>
    <r>
      <rPr>
        <b/>
        <sz val="12"/>
        <color theme="4"/>
        <rFont val="Calibri"/>
        <family val="2"/>
        <scheme val="minor"/>
      </rPr>
      <t xml:space="preserve">
</t>
    </r>
    <r>
      <rPr>
        <sz val="12"/>
        <rFont val="Calibri"/>
        <family val="2"/>
        <scheme val="minor"/>
      </rPr>
      <t xml:space="preserve">
Tem alguma pergunta a fazer?
[OPERADOR(A): SE O RESPONDENTE TIVER ALGUMA PERGUNTA, RESPONDA-A] 
1) CONTINUAR</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</si>
  <si>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</si>
  <si>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</si>
  <si>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</si>
  <si>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</si>
  <si>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</si>
  <si>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</si>
  <si>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Está interessado em participar neste inquérito?
[OPERADOR(A): RESPOSTA ÚNICA]
1)Sim
2)Agora não, mas em outro momento nesta semana
3)Não</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</si>
  <si>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</si>
  <si>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</si>
  <si>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</si>
  <si>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id_panel</t>
  </si>
  <si>
    <t>Have you or any member of your household received a call on behalf of FAO regarding this topic in the past two years?
[OPERATOR: SINGLE RESPONSE.]
1)YES
2)NO
3)DON'T KNOW</t>
  </si>
  <si>
    <t>O(a) senhor(a) ou qualquer outro membro do seu agregado familiar recebeu alguma chamada em nome da FAO em relação a esse assunto nos últimos dois anos?
[OPERADOR(A): RESPOSTA ÚNICA.]
1)SIM
2)NÃO
3)NÃO SABE</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</si>
  <si>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</si>
  <si>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</si>
  <si>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</si>
  <si>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</si>
  <si>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</si>
  <si>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Por favor, poderia nos dizer por que motivo se RECUSOU a participar neste inquérito.
[OPERADOR(A): RESPOSTA ÚNICA]
1)Não estou interessado
2)Não quero ser gravado
3)Outro [especifique]</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</si>
  <si>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</si>
  <si>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</si>
  <si>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</si>
  <si>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</si>
  <si>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</si>
  <si>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</si>
  <si>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</si>
  <si>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Quando seria um bom momento para voltar a ligar?
[REGISTE HH/MM/DD/MM DE RETORNO DA CHAMADA]</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</si>
  <si>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</si>
  <si>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</si>
  <si>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</si>
  <si>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</si>
  <si>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</si>
  <si>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</si>
  <si>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Obrigado(a), voltaremos a ligar no {WhenCallBack} que solicitou. Mais uma vez, obrigado e tenha um ótimo dia!
[OPERADOR(A): INTRODUZA ABAIXO AS NOTAS DA CHAMADA, COM QUEM FALOU E O QUE DISSERAM]</t>
  </si>
  <si>
    <t>Any Response = End poll callback</t>
  </si>
  <si>
    <t>Ineligible</t>
  </si>
  <si>
    <t>You are ineligible for this survey. Thank you for your time and please look out for future surveys!</t>
  </si>
  <si>
    <t>O(a) senhor(a) não é elegível para este inquérito. Obrigado(a) pelo seu tempo e, por favor, fique atento a futuras pesquisas!</t>
  </si>
  <si>
    <t>End Poll Ineligible</t>
  </si>
  <si>
    <t>Refusal</t>
  </si>
  <si>
    <t>NA </t>
  </si>
  <si>
    <t>Thank you for your time, you will be removed from today's survey.</t>
  </si>
  <si>
    <t>Obrigado(a) pela atenção, o(a) senhor(a) será retirado(a) do inquérito de hoje.</t>
  </si>
  <si>
    <t>End poll declined</t>
  </si>
  <si>
    <t>B. GENERAL INFORMATION &amp; ELIGIBILITY CRITERIA</t>
  </si>
  <si>
    <t>resp_firstname</t>
  </si>
  <si>
    <t>What is your first name?
[OPERATOR: RECORD THE RESPONDENT'S FIRST NAME. ENTER 999 FOR REFUSED.]</t>
  </si>
  <si>
    <t>Qual o seu nome?
[OPERADOR(A): REGISTE O NOME DO RESPONDENTE. INSIRA 999 PARA RECUSA.]</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</si>
  <si>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</si>
  <si>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</si>
  <si>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</si>
  <si>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</si>
  <si>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Qual o seu sobrenome?
[OPERADOR(A): REGISTE O SOBRENOME DO RESPONDENTE. INSIRA 999 PARA RECUSA.]</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</si>
  <si>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</si>
  <si>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</si>
  <si>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</si>
  <si>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</si>
  <si>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 xml:space="preserve">Qual é a sua idade?
[OPERADOR(A): REGISTE A IDADE EM ANOS, ARREDONDADA ATÉ O NÚMERO INTEIRO MAIS PRÓXIMO. SE O RESPONDENTE FORNECER ANO DE NASCIMENTO, REPITA A PERGUNTA. INSIRA 00 PARA NÃO SABE.] </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</si>
  <si>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</si>
  <si>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</si>
  <si>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</si>
  <si>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</si>
  <si>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t>What is the gender of the respondent?
[OPERATOR: DO NOT ASK THIS QUESTION OUT LOUD. LISTEN TO THE VOICE AND SELECT THE GENDER.]
1)Male
2)Female
3)DON'T KNOW
4)REFUSED</t>
  </si>
  <si>
    <t>Qual é o sexo do respondente?
[OPERADOR(A): NÃO PERGUNTE ESTA QUESTÃO. ESCUTE A VOZ E ESCOLHA A OPÇÃO CORRETA.]
1)Masculino
2)Feminino
3)NÃO SABE
4)RECUSA</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</si>
  <si>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</si>
  <si>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</si>
  <si>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</si>
  <si>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family val="2"/>
        <scheme val="minor"/>
      </rPr>
      <t>phone number</t>
    </r>
    <r>
      <rPr>
        <sz val="12"/>
        <color theme="9" tint="-0.499984740745262"/>
        <rFont val="Calibri"/>
        <family val="2"/>
        <scheme val="minor"/>
      </rPr>
      <t xml:space="preserve"> I am calling you on yours or a household members?
[OPERATOR: SINGLE RESPONSE.]
1)YES
2)NO
3)DON'T KNOW
4)REFUSED</t>
    </r>
  </si>
  <si>
    <t>O número de telefone para o qual estou ligando é do(a) senhor(a) ou de um membro do agregado familiar?
[OPERADOR(A): RESPOSTA ÚNICA.]
1)SIM
2)NÃO
3)NÃO SABE
4)RECUSA</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</si>
  <si>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</si>
  <si>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</si>
  <si>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</si>
  <si>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</si>
  <si>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</si>
  <si>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</si>
  <si>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Qual é o seu número de telefone?
[OPERADOR: REGISTE O NÚMERO DADO]</t>
  </si>
  <si>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</si>
  <si>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</si>
  <si>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</si>
  <si>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</si>
  <si>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Poderia partilhar comigo um número de telefone adicional pertecente ao/(à) senhor(a), a outro membro do agregado familiar ou a um familiar ou amigo próximo que viva fora do agregado familiar, do qual poderemos lhe contactar?
[OPERADOR(A): RESPOSTA ÚNICA.]
1)SIM - meu
2)SIM - outro membro do agregado familiar
3)SIM - amigo ou familiar [que não é membro do agregado familiar]
4)NÃO
5)NÃO SABE
6)RECUSA</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</si>
  <si>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</si>
  <si>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</si>
  <si>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</si>
  <si>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</si>
  <si>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Qual é o número de telefone adicional?
[OPERADOR(A): REGISTE O NÚMERO FORNECIDO]</t>
  </si>
  <si>
    <t>Any Response = contact_2_name</t>
  </si>
  <si>
    <t>For any response, go to contact_2_name</t>
  </si>
  <si>
    <t>contact_2_name</t>
  </si>
  <si>
    <t>What is the name of the contact?
[OPERATOR: RECORD THE NAME OF THE CONTACT FOR THE PHONE NUMBER.]</t>
  </si>
  <si>
    <t>Qual é o nome do dono do telefone informado?
[OPERADOR(A): REGISTE O NOME DO CONTATO INFORMADO]</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</si>
  <si>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</si>
  <si>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</si>
  <si>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</si>
  <si>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</si>
  <si>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</si>
  <si>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</si>
  <si>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</si>
  <si>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</si>
  <si>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</si>
  <si>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</si>
  <si>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</si>
  <si>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Qual é o nome do dono do telefone informado?
[OPERADOR(A): REGISTE O NOME DO CONTACTO INFORMADO]</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</si>
  <si>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</si>
  <si>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</si>
  <si>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</si>
  <si>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</si>
  <si>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family val="2"/>
        <scheme val="minor"/>
      </rPr>
      <t xml:space="preserve">1)ADMIN1
</t>
    </r>
    <r>
      <rPr>
        <sz val="12"/>
        <rFont val="Calibri"/>
        <family val="2"/>
        <scheme val="minor"/>
      </rPr>
      <t xml:space="preserve">2)DON'T KNOW
3)REFUSED </t>
    </r>
  </si>
  <si>
    <r>
      <t xml:space="preserve">No momento, em que </t>
    </r>
    <r>
      <rPr>
        <b/>
        <sz val="12"/>
        <color rgb="FF7030A0"/>
        <rFont val="Calibri"/>
        <family val="2"/>
        <scheme val="minor"/>
      </rPr>
      <t xml:space="preserve">$ADMIN1 PT$ </t>
    </r>
    <r>
      <rPr>
        <sz val="12"/>
        <rFont val="Calibri"/>
        <family val="2"/>
        <scheme val="minor"/>
      </rPr>
      <t xml:space="preserve">o seu Agregado Familiar reside?
[OPERADOR: RESPOSTA ÚNICA.]
[DICA: O AGREGADO FAMILIAR É COMPOSTO POR TODOS OS MEMBROS QUE VIVEM JUNTOS, PARTILHANDO RECURSOS E </t>
    </r>
    <r>
      <rPr>
        <sz val="12"/>
        <color rgb="FFFF0000"/>
        <rFont val="Calibri"/>
        <family val="2"/>
        <scheme val="minor"/>
      </rPr>
      <t>COMENDO DA MESMA "PANELA"</t>
    </r>
    <r>
      <rPr>
        <sz val="12"/>
        <rFont val="Calibri"/>
        <family val="2"/>
        <scheme val="minor"/>
      </rPr>
      <t>.]
1)</t>
    </r>
    <r>
      <rPr>
        <b/>
        <sz val="12"/>
        <color theme="4"/>
        <rFont val="Calibri"/>
        <family val="2"/>
        <scheme val="minor"/>
      </rPr>
      <t>ADMIN1</t>
    </r>
    <r>
      <rPr>
        <sz val="12"/>
        <rFont val="Calibri"/>
        <family val="2"/>
        <scheme val="minor"/>
      </rPr>
      <t xml:space="preserve">
2)NÃO SABE
3)RECUSA</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</si>
  <si>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</si>
  <si>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</si>
  <si>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</si>
  <si>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</si>
  <si>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family val="2"/>
        <scheme val="minor"/>
      </rPr>
      <t xml:space="preserve">1)ADMIN2
</t>
    </r>
    <r>
      <rPr>
        <sz val="12"/>
        <rFont val="Calibri"/>
        <family val="2"/>
        <scheme val="minor"/>
      </rPr>
      <t xml:space="preserve">2)DON'T KNOW
3)REFUSED </t>
    </r>
  </si>
  <si>
    <r>
      <t xml:space="preserve">No momento, em que </t>
    </r>
    <r>
      <rPr>
        <b/>
        <sz val="12"/>
        <color rgb="FF7030A0"/>
        <rFont val="Calibri"/>
        <family val="2"/>
        <scheme val="minor"/>
      </rPr>
      <t xml:space="preserve">$ADMIN2 PT$ </t>
    </r>
    <r>
      <rPr>
        <sz val="12"/>
        <rFont val="Calibri"/>
        <family val="2"/>
        <scheme val="minor"/>
      </rPr>
      <t xml:space="preserve">o seu Agregado Familiar reside?
[OPERADOR: RESPOSTA ÚNICA.]
</t>
    </r>
    <r>
      <rPr>
        <b/>
        <sz val="12"/>
        <color theme="4"/>
        <rFont val="Calibri"/>
        <family val="2"/>
        <scheme val="minor"/>
      </rPr>
      <t>1)ADMIN2</t>
    </r>
    <r>
      <rPr>
        <sz val="12"/>
        <rFont val="Calibri"/>
        <family val="2"/>
        <scheme val="minor"/>
      </rPr>
      <t xml:space="preserve">
2)NÃO SABE
3)RECUSA</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</si>
  <si>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</si>
  <si>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</si>
  <si>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</si>
  <si>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</si>
  <si>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[OPERADOR: NÃO LEIA. RESPONDA A PERGUNTA ABAIXO.]
ESTE RESPONDENTE INFORMOU QUE RESIDE EM:
{ADM1}
{ADM2}
1)A QUOTA PARA ESTA LOCALIZAÇÃO FOI ALCANÇADA - FINALIZAR A ENTREVISTA
2)A QUOTA PARA ESTA LOCALIZAÇÃO AINDA NÃO FOI ALCANÇADA - CONTINUAR A ENTREVISTA</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</si>
  <si>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</si>
  <si>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</si>
  <si>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</si>
  <si>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r>
      <t xml:space="preserve">Alguém em seu Agregado Familiar produziu culturas ou criou animais para auto-consumo ou para venda nos últimos 12 meses, incluindo membros do Agregado Familiar que atualmente se encontrem fora do Agregado Familiar </t>
    </r>
    <r>
      <rPr>
        <sz val="12"/>
        <color rgb="FFFF0000"/>
        <rFont val="Calibri"/>
        <family val="2"/>
        <scheme val="minor"/>
      </rPr>
      <t>pastando animais</t>
    </r>
    <r>
      <rPr>
        <sz val="12"/>
        <rFont val="Calibri"/>
        <family val="2"/>
        <scheme val="minor"/>
      </rPr>
      <t xml:space="preserve">?
[OPERADOR(A): RESPOSTA ÚNICA. ESTA É A PRINCIPAL QUESTÃO DE FILTRAGEM.] 
[DICA PARA SONDAGEM: Vocês cultivam alguma planta ou vegetal para vender ou consumir? Vocês criam animais com a intenção de vendê-los ou consumí-los ou vender ou consumir seus produtos, como carne, leite, lã ou couro? Algum membro do seu agregado familiar está fora atualmente pastando animais </t>
    </r>
    <r>
      <rPr>
        <sz val="12"/>
        <color rgb="FFFF0000"/>
        <rFont val="Calibri"/>
        <family val="2"/>
        <scheme val="minor"/>
      </rPr>
      <t>(em locais que oferecem melhores condições de pasto)</t>
    </r>
    <r>
      <rPr>
        <sz val="12"/>
        <rFont val="Calibri"/>
        <family val="2"/>
        <scheme val="minor"/>
      </rPr>
      <t>?
1)Sim - produção agrícola
2)Sim - produção animal
3)Sim - tanto a produção agrícola como a produção animal
4)Não
5)NÃO SABE
6)RECUSA</t>
    </r>
  </si>
  <si>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</si>
  <si>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</si>
  <si>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</si>
  <si>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</si>
  <si>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Alguém do seu agregado familiar esteve envolvido na produção aquática [atividade pesqueira ou aquicultura] para consumo pelo agregado familiar ou venda nos últimos 12 meses?
[OPERADOR(A): RESPOSTA ÚNICA.]
[DICA PARA SONDAGEM: A resposta não deve incluir pesca esportiva. Deve ser sobre a produção de produtos aquáticos [atividade pesqueira ou aquicultura] para consumo pelo agregado familiar ou venda.]
1)SIM
2)NÃO
3)NÃO SABE
4)RECUSA</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</si>
  <si>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</si>
  <si>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</si>
  <si>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</si>
  <si>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</si>
  <si>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</si>
  <si>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</si>
  <si>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O(a) senhor(a) é o/a chefe do agregado familiar?
1)Sim
2)Não
3)NÃO SABE
4)RECUSA</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</si>
  <si>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</si>
  <si>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</si>
  <si>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</si>
  <si>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</si>
  <si>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O chefe do agregado familiar é do sexo masculino ou do sexo feminino?
[OPERADOR(A): RESPOSTA ÚNICA.]
1)Masculino
2)Feminino
3)NÃO SABE
4)RECUSA</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</si>
  <si>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</si>
  <si>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</si>
  <si>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</si>
  <si>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</si>
  <si>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Qual é o maior nível de escolaridade atingido pelo chefe do agregado familiar?
[OPERADOR(A): RESPOSTA ÚNICA]
1)Nenhum ou não concluiu o ensino primário
2)Concluiu o ensino primário
3)Concluiu o ensino secundário
4)Concluiu o ensino superior [Universidade / Instituto Superior]
5)Educação religiosa ou informal
6)NÃO SABE
7)RECUSA</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</si>
  <si>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</si>
  <si>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</si>
  <si>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</si>
  <si>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</si>
  <si>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De onde vem a água que vocês bebem em casa?
[OPERADOR(A): RESPOSTA ÚNICA.]
1)Água encanada no agregado familiar
2)Água encanada pública (fora do agregado familiar)
3)Poço coberto/protegido
4)Água engarrafada (mineral ou potável) 
5)Outra fonte segura
6)Rio
7)Poço descoberto/desprotegido
8)Água de nascente
9)Águas superficiais [por examplo, de canais, lagoas, barragens]
10)Outra fonte não segura
11)NÃO SABE
12)RECUSA</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</si>
  <si>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</si>
  <si>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</si>
  <si>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</si>
  <si>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</si>
  <si>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</si>
  <si>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Onde os membros do agregado familiar normalmente vão quando precisam usar o banheiro?
[OPERADOR(A): RESPOSTA ÚNICA.]
1)Latrina com descarga [vaso sanitário com água]
2)Latrina de fossa tradicional [sem água]
3)Fossa a céu aberto [buraco no solo para excrementos, sem água, teto ou parede]
4)Banheiro comunitário/ latrina comunitária [com ou sem água]
5)Nenhum - no mato
6)NÃO SABE
7)RECUSA</t>
  </si>
  <si>
    <r>
      <t xml:space="preserve">
</t>
    </r>
    <r>
      <rPr>
        <sz val="12"/>
        <rFont val="Calibri"/>
        <family val="2"/>
        <scheme val="minor"/>
      </rPr>
      <t>1-7 =</t>
    </r>
    <r>
      <rPr>
        <b/>
        <sz val="12"/>
        <color theme="4"/>
        <rFont val="Calibri"/>
        <family val="2"/>
        <scheme val="minor"/>
      </rPr>
      <t xml:space="preserve"> [income_main OR other optional question]</t>
    </r>
  </si>
  <si>
    <t>hh_wealth_light</t>
  </si>
  <si>
    <t>What is the main source of light in your dwelling?
[OPERATOR: SINGLE RESPONSE.]
1)Electricity [from generator or electrical grid]
2)Candle
3)Petrol lamp
4)Lamp with batteries
5)Solar panel
6)Other [no electric supply to the house]
7)DON'T KNOW
8)REFUSED</t>
  </si>
  <si>
    <t>Qual a principal fonte de energia que o agregado familiar utiliza para a iluminação da casa?
[OPERADOR(A). RESPOSTA ÚNICA.]
1)Eletricidade [de gerador ou da rede elétrica]
2)Vela
3)Candeeiro/lâmpada a petróleo
4)Candeeiro/lâmpada com baterias
5)Painel solar
6)Outras [sem energia elétrica para a casa]
7)NÃO SABE
8)RECUSA</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</si>
  <si>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</si>
  <si>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</si>
  <si>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</si>
  <si>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Qual dos seguintes tipos de residência descritos abaixo melhor descreve a situação do agregado familiar?
[OPERADOR(A): LEIA AS OPÇÕES. RESPOSTA ÚNICA.]
[DICA: SE O RESPONDENTE ESTIVER FORA DE CASA APENAS PARA TRABALHO SAZONAL CURTO (&lt; 6 MESES) OU PASTANDO ANIMAIS, CERTIFIQUE-SE DE REFERIR À CASA ONDE O MESMO NORMALMENTE VIVE.]
1)Residente Permanente - o agregado familiar vive na sua aldeia / cidade há mais de dois anos e é isso que o agregado familiar considera sua residência habitual
2)Migrante recente não deslocado à força - o agregado familiar vive em seu local de residência atual há menos de dois anos e se mudou para lá voluntariamente por trabalho / família ou outros motivos não relacionados com conflitos ou desastres naturais
3)Repatriado - o agregado familiar somente retornou a esta residência nos últimos dois anos depois de ter sido forçado a se mudar para outro local por ter fugido de conflito ou desastre natural [se o retorno foi há mais de 2 anos o agregado familiar é considerado um residente permanente]
4) Deslocado interno [IDP] - o agregado familiar foi forçado a fugir de sua aldeia ou cidade por causa de conflito ou desastre natural e agora é um deslocado interno em seu local de residência atual
5) Refugiado - o agregado familiar foi forçado a fugir de seu país por causa de um conflito ou desastre natural e agora voce é um refugiado em seu local de residência atual
6)NÃO SABE
7)RECUSA</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</si>
  <si>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</si>
  <si>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</si>
  <si>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</si>
  <si>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</si>
  <si>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Quantas pessoas fazem parte do agregado familiar?
[OPERADOR(A): REGISTE O NÚMERO DE MEMBROS DO AGREGADO FAMILIAR. INSIRA 88 PARA NÃO SABE &amp; 99 PARA RECUSA.]
[DICA: PARA FAZER PARTE DO MESMO AGREGADO FAMILIAR, OS MEMBROS PRECISAM VIVER SOB O MESMO TETO, PARTILHAR OS MESMOS RECURSOS E COMER DA MESMA "PANELA".</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</si>
  <si>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</si>
  <si>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</si>
  <si>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</si>
  <si>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</si>
  <si>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O seu agregado familiar possui algum dos seguintes bens de produção? 
[OPERADOR(A): MÚLTIPLAS RESPOSTAS PERMITIDAS. LEIA AS OPÇÕES DE RESPOSTA EM VOZ ALTA.]
1)Bens de processamento [p.ex: máquina de trituração/esmagamento, moinho, prensa de óleo, tanques de peixes]
2)Máquinas agrícolas [p.ex: trator, arado, foice, barcos, motores]
3)Máquina de costura ou ferramenta de tecelagem
4)Taxi
5)Caminhão
6)Outras máquinas ou ativos de produção
7)Nenhuma máquina ou ativos de produção
8)Não sabe
9)Recusa</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</si>
  <si>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</si>
  <si>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</si>
  <si>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</si>
  <si>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</si>
  <si>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</si>
  <si>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</si>
  <si>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t>hh_asset_transp_
1) hh_asset_transp_bici
2) hh_asset_transp_cart
3) hh_asset_transp_boat</t>
    </r>
    <r>
      <rPr>
        <sz val="12"/>
        <rFont val="Calibri (Body)"/>
      </rPr>
      <t>motor
4) hh_asset_transp_boatnomotor</t>
    </r>
    <r>
      <rPr>
        <sz val="12"/>
        <rFont val="Calibri"/>
        <family val="2"/>
        <scheme val="minor"/>
      </rPr>
      <t xml:space="preserve">
</t>
    </r>
    <r>
      <rPr>
        <sz val="12"/>
        <rFont val="Calibri (Body)"/>
      </rPr>
      <t>5</t>
    </r>
    <r>
      <rPr>
        <sz val="12"/>
        <rFont val="Calibri"/>
        <family val="2"/>
        <scheme val="minor"/>
      </rPr>
      <t xml:space="preserve">) hh_asset_transp_motorbike
</t>
    </r>
    <r>
      <rPr>
        <sz val="12"/>
        <rFont val="Calibri (Body)"/>
      </rPr>
      <t>6</t>
    </r>
    <r>
      <rPr>
        <sz val="12"/>
        <rFont val="Calibri"/>
        <family val="2"/>
        <scheme val="minor"/>
      </rPr>
      <t xml:space="preserve">) hh_asset_transp_car
</t>
    </r>
    <r>
      <rPr>
        <sz val="12"/>
        <rFont val="Calibri (Body)"/>
      </rPr>
      <t>7</t>
    </r>
    <r>
      <rPr>
        <sz val="12"/>
        <rFont val="Calibri"/>
        <family val="2"/>
        <scheme val="minor"/>
      </rPr>
      <t xml:space="preserve">) hh_asset_transp_van
</t>
    </r>
    <r>
      <rPr>
        <sz val="12"/>
        <rFont val="Calibri (Body)"/>
      </rPr>
      <t>8</t>
    </r>
    <r>
      <rPr>
        <sz val="12"/>
        <rFont val="Calibri"/>
        <family val="2"/>
        <scheme val="minor"/>
      </rPr>
      <t xml:space="preserve">) hh_asset_transp_other
</t>
    </r>
    <r>
      <rPr>
        <sz val="12"/>
        <rFont val="Calibri (Body)"/>
      </rPr>
      <t>9</t>
    </r>
    <r>
      <rPr>
        <sz val="12"/>
        <rFont val="Calibri"/>
        <family val="2"/>
        <scheme val="minor"/>
      </rPr>
      <t xml:space="preserve">) hh_asset_transp_none
</t>
    </r>
    <r>
      <rPr>
        <sz val="12"/>
        <rFont val="Calibri (Body)"/>
      </rPr>
      <t>10</t>
    </r>
    <r>
      <rPr>
        <sz val="12"/>
        <rFont val="Calibri"/>
        <family val="2"/>
        <scheme val="minor"/>
      </rPr>
      <t xml:space="preserve">) hh_asset_transp_dk
</t>
    </r>
    <r>
      <rPr>
        <sz val="12"/>
        <rFont val="Calibri (Body)"/>
      </rPr>
      <t>11</t>
    </r>
    <r>
      <rPr>
        <sz val="12"/>
        <rFont val="Calibri"/>
        <family val="2"/>
        <scheme val="minor"/>
      </rPr>
      <t>) hh_asset_transp_ref</t>
    </r>
  </si>
  <si>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</si>
  <si>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Algum membro do agregado familiar possui algum dos seguintes bens de transporte? 
[OPERADOR(A): MÚLTIPLAS RESPOSTAS PERMITIDAS. LEIA AS OPÇÕES DE RESPOSTA EM VOZ ALTA.]
1) Bicicleta
2) Carroça/Charrete/Carrinho [movido por animal]
3) Barco com motor [interior ou fora de borda]
4) Barco sem motor [p.ex: canoa]
5) Motocicleta/ moto/ scooter 
6) Carro
7) Van/ pequeno caminhão/ Kombi
8) Outro veículo a motor
9) Nenhuma das opções acima
10) NÃO SABE
11) RECUSA</t>
  </si>
  <si>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</si>
  <si>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</si>
  <si>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</si>
  <si>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</si>
  <si>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</si>
  <si>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t>Qual o estado civil atual do chefe do agregado familiar?
[OPERADOR(A): RESPOSTA ÚNICA.]
1)Solteiro/ nunca se casou
2)Casado
3)Separado
4)Divorciado
5)Viúvo
6)NÃO SABE
7)RECUSA</t>
  </si>
  <si>
    <r>
      <t>1-7 =</t>
    </r>
    <r>
      <rPr>
        <b/>
        <sz val="12"/>
        <color theme="4"/>
        <rFont val="Calibri"/>
        <family val="2"/>
        <scheme val="minor"/>
      </rPr>
      <t xml:space="preserve"> hh_age</t>
    </r>
  </si>
  <si>
    <t>hh_age</t>
  </si>
  <si>
    <t>How old is the head of household? 
[OPERATOR: SINGLE RESPONSE.]
1)Under 18
2)18 to 40 
3)41 to 65 
4)Over 65
5)DON'T KNOW
6)REFUSED</t>
  </si>
  <si>
    <t>Qual a idade do chefe do agredado familiar?
[OPERADOR(A): RESPOSTA ÚNICA.]
1)Menor de 18 anos
2)18 a 40 anos
3)41 a 65 anos
4)Acima de 65 anos
5)NÃO SABE
6)RECUSA</t>
  </si>
  <si>
    <r>
      <t xml:space="preserve">1-6 = </t>
    </r>
    <r>
      <rPr>
        <b/>
        <sz val="12"/>
        <color theme="4"/>
        <rFont val="Calibri"/>
        <family val="2"/>
        <scheme val="minor"/>
      </rPr>
      <t>income_main</t>
    </r>
  </si>
  <si>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</si>
  <si>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</si>
  <si>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</si>
  <si>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Qual foi a principal fonte de renda do seu agregado familiar nos últimos 3 meses?
[OPERADOR(A): RESPOSTA ÚNICA. A OPÇÃO RECUSA DEVE SER EVITADA TANTO QUANTO POSSÍVEL.]
1)Produção e venda de culturas alimentares básicas
2)Produção e venda de produtos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agrícola EXCLUINDO os produtores [formal ou informal]
9)Salário diário nas explorações agrícolas e outros empregos ocasionais no setor agrícola
10)Emprego estável no setor agrícola
11)Auto-emprego não agrícola ou profissional liberal/ médico/ arquitecto/ advogado/ incluindo restaurante
12)Salários diários fora da exploração agrícola e outros empregos ocasionais não agrícolas
13)Emprego estável no setor não agrícola
14)Emprego público
15)Renda não derivada do trabalho- Caridade
16)Renda não derivada do trabalho- Transferência de prestações sociais/ pensão/ assistência humanitária
17)Renda não derivada do trabalho- Remessas
18)Renda não derivada do trabalho- Renda de outras fontes
19)Nenhuma fonte de renda nos últimos 3 meses e utilizou exclusivamente poupança/ dívida
20)RECUSA</t>
  </si>
  <si>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</si>
  <si>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</si>
  <si>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</si>
  <si>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</si>
  <si>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</si>
  <si>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</si>
  <si>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 xml:space="preserve">As culturas vendidas também são produzidas pelo(a) senhor(a) ou por alguém do seu agregado familiar?  
[OPERADOR(A): RESPOSTA ÚNICA.]
1)SIM
2)NÃO
3)NÃO SABE
4)RECUSA </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</si>
  <si>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</si>
  <si>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</si>
  <si>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</si>
  <si>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</si>
  <si>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rFont val="Calibri (Body)"/>
      </rPr>
      <t>Are the livestock or livestock products sold also produced by you or anyone in your household?
[OPERATOR: SINGLE RESPONSE.]</t>
    </r>
    <r>
      <rPr>
        <sz val="12"/>
        <rFont val="Calibri"/>
        <family val="2"/>
        <scheme val="minor"/>
      </rPr>
      <t xml:space="preserve">
</t>
    </r>
    <r>
      <rPr>
        <sz val="12"/>
        <rFont val="Calibri (Body)"/>
      </rPr>
      <t xml:space="preserve">
1)YES
2)NO
3)DON'T KNOW
4)REFUSED </t>
    </r>
  </si>
  <si>
    <t>Os animais e subprodutos pecuários vendidos também são produzidos pelo(a) senhor(a) ou por alguém do seu agregado familiar?
[OPERADOR(A): RESPOSTA ÚNICA.]
1)SIM
2)NÃO
3)NÃO SABE
4)RECUSA</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</si>
  <si>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</si>
  <si>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</si>
  <si>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</si>
  <si>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</si>
  <si>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t>Os produtos de pesca vendidos também são pescados ou cultivados pelo(a) senhor(a)ou por alguém do seu agregado familiar?
[OPERADOR(A): RESPOSTA ÚNICA.]
1)SIM
2)NÃO
3)NÃO SABE
4)RECUSA</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</si>
  <si>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</si>
  <si>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</si>
  <si>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</si>
  <si>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Quanto o agregado familiar ganhou [em </t>
    </r>
    <r>
      <rPr>
        <b/>
        <sz val="12"/>
        <color rgb="FF7030A0"/>
        <rFont val="Calibri"/>
        <family val="2"/>
        <scheme val="minor"/>
      </rPr>
      <t>$currency PT$</t>
    </r>
    <r>
      <rPr>
        <sz val="12"/>
        <rFont val="Calibri"/>
        <family val="2"/>
        <scheme val="minor"/>
      </rPr>
      <t>] proveniente da principal fonte de renda, {income_main}, nos últimos 3 meses ?
[OPERADOR(A): ASSEGURE-SE DE QUE A INFORMAÇÃO ESTÁ REGISTADA NA MOEDA CORRETA. DIGITE 8888888 PARA NÃO SABE E 9999999 PARA RECUSA.]</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</si>
  <si>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</si>
  <si>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</si>
  <si>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</si>
  <si>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</si>
  <si>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</si>
  <si>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Poderia confirmar se o montante de renda que acabou de declarar está correto?
[OPERADOR(A): SE O MONTANTE GANHO COM ESTA FONTE DE RENDA NOS ÚLTIMOS 3 MESES FOR DE FATO SUPERIOR A </t>
    </r>
    <r>
      <rPr>
        <b/>
        <sz val="12"/>
        <color rgb="FF7030A0"/>
        <rFont val="Calibri"/>
        <family val="2"/>
        <scheme val="minor"/>
      </rPr>
      <t>$THRESHOLD$</t>
    </r>
    <r>
      <rPr>
        <sz val="12"/>
        <rFont val="Calibri"/>
        <family val="2"/>
        <scheme val="minor"/>
      </rPr>
      <t>, CLIQUE EM CONTINUAR. CASO CONTRÁRIO, VOLTE ATRÁS E ALTERE O MONTANTE REGISTADO.]
1)CONTINUE</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</si>
  <si>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</si>
  <si>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</si>
  <si>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</si>
  <si>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</si>
  <si>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Qual o sexo do(s) membro(s) do agregado familiar obtendo renda desta fonte?
[OPERADOR(A): RESPOSTA ÚNICA.]
1)Masculino
2)Feminino
3)Misto [tanto masculino quanto feminino]
4)NÃO SABE
5)RECUSA</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</si>
  <si>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</si>
  <si>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</si>
  <si>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</si>
  <si>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</si>
  <si>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Quem controla a receita obtida com esta fonte de renda?
[OPERADOR(A): RESPOSTA ÚNICA.]
1)Membro(s) do agregado familiar do sexo masculino
2)Membro(s) do agregado familiar do sexo feminino
3)Membros do agregado familiar de ambos os sexos
4)NÃO SABE
5)RECUSA</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</si>
  <si>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</si>
  <si>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</si>
  <si>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</si>
  <si>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to the same period of </t>
    </r>
    <r>
      <rPr>
        <b/>
        <sz val="12"/>
        <color rgb="FF7030A0"/>
        <rFont val="Calibri"/>
        <family val="2"/>
        <scheme val="minor"/>
      </rPr>
      <t>$reference year$</t>
    </r>
    <r>
      <rPr>
        <sz val="12"/>
        <rFont val="Calibri"/>
        <family val="2"/>
        <scheme val="minor"/>
      </rPr>
      <t>?
[OPERATOR: SINGLE RESPONSE.]
1)A lot more [increased by more than 50%]
2)Slightly more
3)Same
4)Slightly less
5)A lot less [less than half as much]
6)DON'T KNOW
7)REFUSED</t>
    </r>
  </si>
  <si>
    <r>
      <t xml:space="preserve">A renda do seu agregado familiar proveniente da {income_main} mudou nos últimos 3 meses comparando com o mesmo periodo do </t>
    </r>
    <r>
      <rPr>
        <b/>
        <sz val="12"/>
        <color rgb="FF7030A0"/>
        <rFont val="Calibri"/>
        <family val="2"/>
        <scheme val="minor"/>
      </rPr>
      <t>$reference year PT$</t>
    </r>
    <r>
      <rPr>
        <sz val="12"/>
        <rFont val="Calibri"/>
        <family val="2"/>
        <scheme val="minor"/>
      </rPr>
      <t>?
[OPERADOR(A): RESPOSTA ÚNICA].
1)Muito mais [aumentou em mais de 50%]
2)Um pouco mais
3)A mesma [não alterou]
4)Um pouco menos
5)Muito menos [menos de metade]
6)NÃO SABE
7)RECUSA</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</si>
  <si>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</si>
  <si>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</si>
  <si>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</si>
  <si>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</si>
  <si>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Qual foi a segunda principal fonte de renda do seu agregado familiar nos últimos 3 meses?
[OPERADOR(A): RESPOSTA ÚNICA. A OPÇÃO RECUSA DEVE SER EVITADA TANTO QUANTO POSSÍVEL.]
1)Produção e venda de culturas alimentares básicas
2)Produção e venda de produtos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agrícola EXCLUINDO os produtores [formal ou informal]
9)Salário diário nas explorações agrícolas e outros empregos ocasionais no setor agrícola
10)Emprego estável no setor agrícola
11)Auto-emprego não-agrícola ou prefissional liberal/ médico/ arquitecto/ advogado/ incluindo restaurante]
12)Salários diários fora da exploração agrícola e outros empregos ocasionais não agrícolas
13)Emprego estável no setor não agrícola
14)Emprego público
15)Renda não derivada do trabalho- Caridade
16)Renda não derivada do trabalho- Transferência de prestações sociais/ pensão/  assistência humanitária
17)Renda não derivada do trabalho- Remessas
18)Renda não derivada do trabalho- Renda de outras fontes
19)Nenhuma segunda mais importante fonte de renda
20)NÃO SABE
21)RECUSA</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</si>
  <si>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</si>
  <si>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</si>
  <si>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</si>
  <si>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</si>
  <si>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</si>
  <si>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t xml:space="preserve">As culturas vendidas também são produzidas pelo(a) senhor(a) ou por alguém do seu agregado familiar? 
[OPERADOR(A): RESPOSTA ÚNICA.]
1)SIM
2)NÃO
3)NÃO SABE
4)RECUSA </t>
  </si>
  <si>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</si>
  <si>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</si>
  <si>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</si>
  <si>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</si>
  <si>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t xml:space="preserve">Are the livestock or livestock products sold also produced by you or anyone in your household?
[OPERATOR: SINGLE RESPONSE.]
1)YES
2)NO
3)DON'T KNOW
4)REFUSED </t>
  </si>
  <si>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</si>
  <si>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</si>
  <si>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</si>
  <si>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</si>
  <si>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</si>
  <si>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</si>
  <si>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Quanto o agregado familiar ganhou [em </t>
    </r>
    <r>
      <rPr>
        <b/>
        <sz val="12"/>
        <color rgb="FF7030A0"/>
        <rFont val="Calibri"/>
        <family val="2"/>
        <scheme val="minor"/>
      </rPr>
      <t>$currency PT$</t>
    </r>
    <r>
      <rPr>
        <sz val="12"/>
        <rFont val="Calibri"/>
        <family val="2"/>
        <scheme val="minor"/>
      </rPr>
      <t xml:space="preserve">] proveniente da segunda principal fonte de renda, {income_sec}, nos últimos 3 meses ?
[OPERADOR: ASSEGURE-SE DE QUE A INFORMAÇÃO ESTÁ REGISTADA NA MOEDA CORRETA. DIGITE </t>
    </r>
    <r>
      <rPr>
        <sz val="12"/>
        <color theme="4"/>
        <rFont val="Calibri"/>
        <family val="2"/>
        <scheme val="minor"/>
      </rPr>
      <t>8888888</t>
    </r>
    <r>
      <rPr>
        <sz val="12"/>
        <rFont val="Calibri"/>
        <family val="2"/>
        <scheme val="minor"/>
      </rPr>
      <t xml:space="preserve"> PARA NÃO SABE E </t>
    </r>
    <r>
      <rPr>
        <sz val="12"/>
        <color theme="4"/>
        <rFont val="Calibri"/>
        <family val="2"/>
        <scheme val="minor"/>
      </rPr>
      <t xml:space="preserve">9999999 </t>
    </r>
    <r>
      <rPr>
        <sz val="12"/>
        <rFont val="Calibri"/>
        <family val="2"/>
        <scheme val="minor"/>
      </rPr>
      <t>PARA RECUSA.]</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</si>
  <si>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</si>
  <si>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</si>
  <si>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</si>
  <si>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</si>
  <si>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</si>
  <si>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</si>
  <si>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t>Qual o sexo do(s) membro(s) do agregado familiar obtendo renda desta fonte?
[OPERADOR(A): RESPOSTA ÚNICA.]
1)Masculino
2)Feminino
3)Ambos os sexos
4)NÃO SABE
5)RECUSA</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</si>
  <si>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</si>
  <si>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</si>
  <si>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</si>
  <si>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t>Quem controla a receita obtida com esta fonte de renda?
[OPERADOR(A): RESPOSTA ÚNICA.]
1)Membro(s) do agregado familiar do sexo masculino
2)Membro(s) do agregado familiar do sexo feminino
3)Ambos membros do agregado familiar do sexo masculino e feminino
4)NÃO SABE
5)RECUSA</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</si>
  <si>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</si>
  <si>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</si>
  <si>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</si>
  <si>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of </t>
    </r>
    <r>
      <rPr>
        <b/>
        <sz val="12"/>
        <color rgb="FF7030A0"/>
        <rFont val="Calibri"/>
        <family val="2"/>
        <scheme val="minor"/>
      </rPr>
      <t>$reference year$</t>
    </r>
    <r>
      <rPr>
        <sz val="12"/>
        <rFont val="Calibri"/>
        <family val="2"/>
        <scheme val="minor"/>
      </rPr>
      <t>? 
[OPERATOR: SINGLE RESPONSE.]
1)A lot more [increased by more than 50%]
2)Slightly more
3)Same
4)Slightly less
5)A lot less [less than half as much]
6)DON'T KNOW
7)REFUSED</t>
    </r>
  </si>
  <si>
    <r>
      <t xml:space="preserve">A renda do seu agregado familiar proveniente da {income_sec} mudou nos últimos 3 meses comparando com o mesmo período do </t>
    </r>
    <r>
      <rPr>
        <b/>
        <sz val="12"/>
        <color rgb="FF7030A0"/>
        <rFont val="Calibri"/>
        <family val="2"/>
        <scheme val="minor"/>
      </rPr>
      <t>$reference year PT$</t>
    </r>
    <r>
      <rPr>
        <sz val="12"/>
        <rFont val="Calibri"/>
        <family val="2"/>
        <scheme val="minor"/>
      </rPr>
      <t>?
[OPERADOR(A): RESPOSTA ÚNICA].
1)Muito mais [aumentou em mais de 50%]
2)Um pouco mais
3)A mesma [não alterou]
4)Um pouco menos
5)Muito menos [menos de metade]
6)NÃO SABE
7)RECUSA</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</si>
  <si>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</si>
  <si>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</si>
  <si>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</si>
  <si>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</si>
  <si>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Qual tem sido a terceira principal fonte de renda do seu agregado familiar nos últimos 3 meses?
[OPERADOR(A): RESPOSTA ÚNICA. A OPÇÃO RECUSA DEVE SER EVITADA TANTO QUANTO POSSÍVEL.]
1)Produção e venda de culturas alimentares básicas
2)Produção e venda de produtos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agrícola EXCLUINDO os produtores [formal ou informal]
9)Salário diário nas explorações agrícolas e outros empregos sazonais no setor agrícola
10)Emprego estável no setor agrícola
11)Auto-emprego não-agrícola ou profissional liberal / médico/ arquitecto/ advogado/ incluindo restaurante
12)Salários diários fora da exploração agrícola e outros empregos ocasionais não agrícolas
13)Emprego estável no setor não agrícola
14)Emprego público
15)Renda não derivada do trabalho- Caridade
16)Renda não derivada do trabalho- Transferência de prestações sociais/ pensão/ assistência humanitária
17)Renda não derivada do trabalho- Remessas
18)Renda não derivada do trabalho- Renda de outras fontes
19)Nenhuma terceira mais importante fonte de renda 
20)NÃO SABE
21)RECUSA</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</si>
  <si>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</si>
  <si>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</si>
  <si>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</si>
  <si>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</si>
  <si>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</si>
  <si>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</si>
  <si>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</si>
  <si>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</si>
  <si>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</si>
  <si>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</si>
  <si>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</si>
  <si>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</si>
  <si>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</si>
  <si>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</si>
  <si>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</si>
  <si>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Quanto o agregado familiar ganhou [em </t>
    </r>
    <r>
      <rPr>
        <b/>
        <sz val="12"/>
        <color rgb="FF7030A0"/>
        <rFont val="Calibri"/>
        <family val="2"/>
        <scheme val="minor"/>
      </rPr>
      <t>$currency PT$</t>
    </r>
    <r>
      <rPr>
        <sz val="12"/>
        <rFont val="Calibri"/>
        <family val="2"/>
        <scheme val="minor"/>
      </rPr>
      <t xml:space="preserve">] proveniente da terceira principal fonte de renda, {income_third}, nos últimos 3 meses ?
[OPERADOR(A): ASSEGURE-SE DE QUE A INFORMAÇÃO ESTÁ REGISTADA NA MOEDA CORRETA. DIGITE </t>
    </r>
    <r>
      <rPr>
        <sz val="12"/>
        <color theme="4"/>
        <rFont val="Calibri"/>
        <family val="2"/>
        <scheme val="minor"/>
      </rPr>
      <t>8888888</t>
    </r>
    <r>
      <rPr>
        <sz val="12"/>
        <rFont val="Calibri"/>
        <family val="2"/>
        <scheme val="minor"/>
      </rPr>
      <t xml:space="preserve"> PARA NÃO SABE E </t>
    </r>
    <r>
      <rPr>
        <sz val="12"/>
        <color theme="4"/>
        <rFont val="Calibri"/>
        <family val="2"/>
        <scheme val="minor"/>
      </rPr>
      <t>9999999</t>
    </r>
    <r>
      <rPr>
        <sz val="12"/>
        <rFont val="Calibri"/>
        <family val="2"/>
        <scheme val="minor"/>
      </rPr>
      <t xml:space="preserve"> PARA RECUSA.]</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</si>
  <si>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</si>
  <si>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</si>
  <si>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</si>
  <si>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Poderia confirmar se o montante de renda que acabou de declarar está correcto?
[OPERADOR: SE O MONTANTE GANHO COM ESTA FONTE DE RENDA NOS ÚLTIMOS 3 MESES FOR DE FACTO SUPERIOR A</t>
    </r>
    <r>
      <rPr>
        <b/>
        <sz val="12"/>
        <color rgb="FF7030A0"/>
        <rFont val="Calibri"/>
        <family val="2"/>
        <scheme val="minor"/>
      </rPr>
      <t xml:space="preserve"> $THRESHOLD$</t>
    </r>
    <r>
      <rPr>
        <sz val="12"/>
        <rFont val="Calibri"/>
        <family val="2"/>
        <scheme val="minor"/>
      </rPr>
      <t>, CLIQUE EM CONTINUAR. CASO CONTRÁRIO, VOLTE ATRÁS E ALTERE O MONTANTE REGISTADO.]
1)CONTINUE</t>
    </r>
  </si>
  <si>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</si>
  <si>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</si>
  <si>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</si>
  <si>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</si>
  <si>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</si>
  <si>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</si>
  <si>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</si>
  <si>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</si>
  <si>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</si>
  <si>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family val="2"/>
        <scheme val="minor"/>
      </rPr>
      <t>$reference year$</t>
    </r>
    <r>
      <rPr>
        <sz val="12"/>
        <rFont val="Calibri"/>
        <family val="2"/>
        <scheme val="minor"/>
      </rPr>
      <t>?
[OPERATOR: SINGLE RESPONSE.]
1)A lot more [increased by more than 50%]
2)Slightly more
3)Same
4)Slightly less
5)A lot less [less than half as much]
6)DON'T KNOW
7)REFUSED</t>
    </r>
  </si>
  <si>
    <r>
      <t xml:space="preserve">A renda do seu agregado familiar proveniente da  {income_third} mudou nos últimos 3 meses comparando com o mesmo periodo do </t>
    </r>
    <r>
      <rPr>
        <b/>
        <sz val="12"/>
        <color rgb="FF7030A0"/>
        <rFont val="Calibri"/>
        <family val="2"/>
        <scheme val="minor"/>
      </rPr>
      <t>$reference year PT$</t>
    </r>
    <r>
      <rPr>
        <sz val="12"/>
        <rFont val="Calibri"/>
        <family val="2"/>
        <scheme val="minor"/>
      </rPr>
      <t>?
[OPERADOR(A): RESPOSTA ÚNICA].
1)Muito mais [aumentou em mais de 50%]
2)Um pouco mais
3)A mesma [não alterou]
4)Um pouco menos
5)Muito menos [menos de metade]
6)NÃO SABE
7)RECUSA</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</si>
  <si>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</si>
  <si>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</si>
  <si>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</si>
  <si>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</si>
  <si>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</si>
  <si>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O seu agregado familiar ou comunidade enfrentou algum desastre ou crise em particular que afetou a capacidade de seu agregado familiar de gerar renda e/ou produzir alimentos para autoconsumo nos últimos 3 meses e, se sim, qual/quais?
[OPERADOR(A)? SELECIONE OS CHOQUES RELEVANTES EXPERIMENTADOS PELO AGREGADO FAMILIAR. É PERMITIDO SELECIONAR MÚLTIPLAS RESPOSTAS. CONSULTE CHOQUES ECONÔMICOS, CHOQUES AGRÍCOLAS E PECUÁRIOS, CHOQUES INTRADOMICILIAR E PERIGOS INDUZIDOS PELO HOMEM.]
1)Sem choque
2)Doença ou acidente ou morte de membro(s) do agregado familiar [doença do chefe de família / despesas médicas invulgarmente altas / despesas funerárias / morte do chefe de família]
3)Perda de emprego ou oportunidades de trabalho [não devido a doença/acidente]
4)Outros choques intradomiciliares
5)Preços dos alimentos muito mais elevados do que o habitual
6)Preços dos combustíveis ou transporte muito mais elevados do que o habitual
7)Restrições à circulação da população [por exemplo, devido a epidemias ou danos em infraestruturas]
8)Outro choque económico
9)Surto de pragas
10)Doença das plantas
11)Doença animal [afetando muitos animais] ou morte animal
12)Falta de acesso físico ao pasto
13)Outros choques agrícolas e pecuários
14)Baixas temperaturas ou granizo
15)Inundação / erosão das margens dos rios
16)Furacão / ciclone / tornado
17)Seca / estresse por calor
18)Terremoto
19)Deslizamentos de terra
20)Incêndio de desastre natural
21)Outros perigos naturais
22)Violência e insegurança / conflito
23)Roubo de ativos produtivos [terra, gado, ferramentas, etc ]
24)Incêndio causado por desastres provocados pelo homem
25)Outros perigos provocados pelo homem
26)NÃO SABE
27)RECUSA</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</si>
  <si>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</si>
  <si>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</si>
  <si>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</si>
  <si>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</si>
  <si>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</si>
  <si>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</si>
  <si>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Se o agregado familiar foi afetado por um grande choque recente, tal como indicado nesta avaliação [por exemplo, um terremoto], quais são as consequências (já observadas ou esperadas) para o seu agregado familiar nas suas próprias palavras? 
[OPERADOR(A): REGISTE EM POUCAS PALAVRAS A PRINCIPAL CONSEQUÊNCIA DOS CHOQUES RECENTES. DIGITE 88 PARA NÃO SABE E 99 PARA RECUSA.]</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</si>
  <si>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</si>
  <si>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</si>
  <si>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</si>
  <si>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</si>
  <si>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t>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7)Curfews
8)Closure of schools
9)Other [specify]
10)Not affected by restrictions
11)DON'T KNOW
12)REFUSED</t>
  </si>
  <si>
    <r>
      <t>O(a) senhor(a) ou alguém em seu agregado familiar tem sido afetado por restrições de movimento/circulação ou medidas de distanciamento social voltadas para conter a COVID-19 nos últimos 3 meses?
[OPERADOR(A): MÚLTIPLAS RESPOSTAS SÃO PERMITIDAS.]
1)Restrições de movimento/circulação [às vezes levando à escassez de produtos ou aumentos de preços]
2)</t>
    </r>
    <r>
      <rPr>
        <sz val="12"/>
        <color rgb="FFFF0000"/>
        <rFont val="Calibri"/>
        <family val="2"/>
        <scheme val="minor"/>
      </rPr>
      <t>Encerramento</t>
    </r>
    <r>
      <rPr>
        <sz val="12"/>
        <rFont val="Calibri"/>
        <family val="2"/>
        <scheme val="minor"/>
      </rPr>
      <t xml:space="preserve"> de mercados de alimentos ou de outros negócios
3)Fechamento de fronteiras internacionais [afetando a compra de insumos importados e a venda de bens para exportação ou transumância]
4)Obrigação de ficar em cada
5)Proibição de aglomerações
6)Fechamento de processadoras de alimentos [matadouros / cooperativas leiteiras, etc] ou restaurantes
7)Toques de recolher
8)Fechamento de escolas
9)Outro [especificar]
10)Não afetado pelas restrições
11)NÃO SABE
12)RECUSA
</t>
    </r>
  </si>
  <si>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</si>
  <si>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</si>
  <si>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</si>
  <si>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</si>
  <si>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</si>
  <si>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</si>
  <si>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</si>
  <si>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</si>
  <si>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</si>
  <si>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Agora, gostaria de perguntar sobre a produção agrícola. Estas perguntas se aplicam ao(à) senhor(a) e qualquer membro de seu agregado familiar que esteja envolvido na produção ou venda de cultivos. Todas as perguntas se referem às culturas cultivadas durante</t>
    </r>
    <r>
      <rPr>
        <b/>
        <sz val="12"/>
        <color rgb="FF7030A0"/>
        <rFont val="Calibri"/>
        <family val="2"/>
        <scheme val="minor"/>
      </rPr>
      <t xml:space="preserve"> $season PT$</t>
    </r>
    <r>
      <rPr>
        <sz val="12"/>
        <rFont val="Calibri"/>
        <family val="2"/>
        <scheme val="minor"/>
      </rPr>
      <t>.</t>
    </r>
    <r>
      <rPr>
        <b/>
        <sz val="12"/>
        <color rgb="FF7030A0"/>
        <rFont val="Calibri"/>
        <family val="2"/>
        <scheme val="minor"/>
      </rPr>
      <t xml:space="preserve">
</t>
    </r>
    <r>
      <rPr>
        <sz val="12"/>
        <rFont val="Calibri"/>
        <family val="2"/>
        <scheme val="minor"/>
      </rPr>
      <t>1)CONTINUAR</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</si>
  <si>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</si>
  <si>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</si>
  <si>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</si>
  <si>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</si>
  <si>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</si>
  <si>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Qual é a area total de terra que o seu agregado familiar pode cultivar?
[OPERADOR(A): REGISTA A ÁREA TOTAL DE TERRA DECLARADA PELO RESPONDENTE. DIGITE 8888888 PARA NÃO SABE E 9999999 PARA RECUSA.
AS UNIDADES DE MEDIDA SERÃO ESPECIFICADAS NA PERGUNTA A SEGUIR.]</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</si>
  <si>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</si>
  <si>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</si>
  <si>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</si>
  <si>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</si>
  <si>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Unidade de medida para tamanho da terra:
[OPERADOR(A): NÃO LEIA AS OPÇÕES DE RESPOSTA. RESPOSTA ÚNICA.]
1)Acres
2)Hectares
3)Metros quadrados
4)Pés quadrados
5)</t>
    </r>
    <r>
      <rPr>
        <b/>
        <sz val="12"/>
        <color rgb="FF7030A0"/>
        <rFont val="Calibri"/>
        <family val="2"/>
        <scheme val="minor"/>
      </rPr>
      <t>$local measurement unit PT$</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</si>
  <si>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</si>
  <si>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</si>
  <si>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</si>
  <si>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</si>
  <si>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Qual a principal cultura que o seu agregado familiar cultivou para a produção de alimentos ou geração de renda </t>
    </r>
    <r>
      <rPr>
        <sz val="12"/>
        <color rgb="FFFF0000"/>
        <rFont val="Calibri"/>
        <family val="2"/>
        <scheme val="minor"/>
      </rPr>
      <t>na</t>
    </r>
    <r>
      <rPr>
        <sz val="12"/>
        <rFont val="Calibri"/>
        <family val="2"/>
        <scheme val="minor"/>
      </rPr>
      <t xml:space="preserve"> </t>
    </r>
    <r>
      <rPr>
        <b/>
        <sz val="12"/>
        <color rgb="FF7030A0"/>
        <rFont val="Calibri"/>
        <family val="2"/>
        <scheme val="minor"/>
      </rPr>
      <t>$season PT$</t>
    </r>
    <r>
      <rPr>
        <sz val="12"/>
        <rFont val="Calibri"/>
        <family val="2"/>
        <scheme val="minor"/>
      </rPr>
      <t xml:space="preserve">?
[OPERADOR(A): RESPOSTA ÚNICA. "NENHUMA PRODUÇÃO AGRÍCOLA" APARECE NO FINAL DA LISTA DAS OPÇÕES.]
</t>
    </r>
    <r>
      <rPr>
        <b/>
        <sz val="12"/>
        <color rgb="FF7030A0"/>
        <rFont val="Calibri"/>
        <family val="2"/>
        <scheme val="minor"/>
      </rPr>
      <t>$TEN MOST COMMON CROP PT$</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</si>
  <si>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</si>
  <si>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</si>
  <si>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</si>
  <si>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</si>
  <si>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</si>
  <si>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</si>
  <si>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 xml:space="preserve">Por que não foi produzido nenhuma cultura </t>
    </r>
    <r>
      <rPr>
        <sz val="12"/>
        <color rgb="FFFF0000"/>
        <rFont val="Calibri"/>
        <family val="2"/>
        <scheme val="minor"/>
      </rPr>
      <t>na</t>
    </r>
    <r>
      <rPr>
        <sz val="12"/>
        <rFont val="Calibri"/>
        <family val="2"/>
        <scheme val="minor"/>
      </rPr>
      <t xml:space="preserve"> </t>
    </r>
    <r>
      <rPr>
        <b/>
        <sz val="12"/>
        <color rgb="FF7030A0"/>
        <rFont val="Calibri"/>
        <family val="2"/>
        <scheme val="minor"/>
      </rPr>
      <t>$season PT$</t>
    </r>
    <r>
      <rPr>
        <sz val="12"/>
        <rFont val="Calibri"/>
        <family val="2"/>
        <scheme val="minor"/>
      </rPr>
      <t>?</t>
    </r>
    <r>
      <rPr>
        <b/>
        <sz val="12"/>
        <color rgb="FF7030A0"/>
        <rFont val="Calibri"/>
        <family val="2"/>
        <scheme val="minor"/>
      </rPr>
      <t xml:space="preserve">
</t>
    </r>
    <r>
      <rPr>
        <sz val="12"/>
        <rFont val="Calibri"/>
        <family val="2"/>
        <scheme val="minor"/>
      </rPr>
      <t>[OPERADOR(A): RESPOSTA ÚNICA.]
1)Geralmente não produzo durante esta estação
2)Não pude produzir (p.ex. devido a dificuldades)</t>
    </r>
  </si>
  <si>
    <t>1 = crp_salesmain
2 = crp_proddif</t>
  </si>
  <si>
    <t>if crp_main_check = 1, go to crp_salesmain
if crp_main_check = 2, go to crp_proddif</t>
  </si>
  <si>
    <r>
      <t>crp_irrig</t>
    </r>
    <r>
      <rPr>
        <b/>
        <sz val="12"/>
        <rFont val="Calibri (Body)"/>
      </rPr>
      <t>_</t>
    </r>
    <r>
      <rPr>
        <b/>
        <sz val="12"/>
        <rFont val="Calibri"/>
        <family val="2"/>
        <scheme val="minor"/>
      </rPr>
      <t>source</t>
    </r>
  </si>
  <si>
    <r>
      <t>crp_irrig</t>
    </r>
    <r>
      <rPr>
        <sz val="12"/>
        <rFont val="Calibri (Body)"/>
      </rPr>
      <t>_source</t>
    </r>
  </si>
  <si>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</si>
  <si>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Normalmente, de onde o(a) senhor(a) obtém principalmente a água para a produção de {crp_main}?
[OPERADOR(A): RESPOSTA ÚNICA.]
1)Água da chuva [sequeiro]
2)Águas subterrâneas
3)Água natural superficial [rio / lago / riacho / lagoa / etc.]
4)Pontos de água construído [canal / represa / barragem / etc.]
5)Sistema de abastecimento de água público [p.ex: água da torneira]
6)Outro [especificar]
7)NÃO SABE
8)RECUSA</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</si>
  <si>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</si>
  <si>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</si>
  <si>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</si>
  <si>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</si>
  <si>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r>
      <t xml:space="preserve">O(a) senhor(a) [ou sua comunidade] utiliza uma bomba de água para seu sistema de irrigação próprio [ou comunitário]?
[OPERADOR(A): RESPOSTA ÚNICA.]
1)Não, tudo funciona por gravidade
2)Sim, há uma </t>
    </r>
    <r>
      <rPr>
        <sz val="12"/>
        <color rgb="FFFF0000"/>
        <rFont val="Calibri"/>
        <family val="2"/>
        <scheme val="minor"/>
      </rPr>
      <t>bomba</t>
    </r>
    <r>
      <rPr>
        <sz val="12"/>
        <rFont val="Calibri"/>
        <family val="2"/>
        <scheme val="minor"/>
      </rPr>
      <t xml:space="preserve"> comunitária à diesel/gasolina
3)Sim, há uma bomba comunitária manual
4)Sim, há uma bomba manual </t>
    </r>
    <r>
      <rPr>
        <sz val="12"/>
        <color rgb="FFFF0000"/>
        <rFont val="Calibri"/>
        <family val="2"/>
        <scheme val="minor"/>
      </rPr>
      <t>em meu terreno/campo</t>
    </r>
    <r>
      <rPr>
        <sz val="12"/>
        <rFont val="Calibri"/>
        <family val="2"/>
        <scheme val="minor"/>
      </rPr>
      <t xml:space="preserve">
5)Sim, há uma bomba à diesel/gasolina </t>
    </r>
    <r>
      <rPr>
        <sz val="12"/>
        <color rgb="FFFF0000"/>
        <rFont val="Calibri"/>
        <family val="2"/>
        <scheme val="minor"/>
      </rPr>
      <t>em meu terreno/campo</t>
    </r>
    <r>
      <rPr>
        <sz val="12"/>
        <rFont val="Calibri"/>
        <family val="2"/>
        <scheme val="minor"/>
      </rPr>
      <t xml:space="preserve">
6)NÃO SABE
7)RECUSA </t>
    </r>
  </si>
  <si>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</si>
  <si>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</si>
  <si>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</si>
  <si>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</si>
  <si>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</si>
  <si>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O(a) senhor(a) tem que pagar os direitos relativos à água [p.ex: direito de utilização da água, manutenção da infraestrutura comunal, combustível para a bomba comunitária, etc.] ?
[OPERADOR(A): RESPOSTA ÚNICA.] 
1)SIM
2)NÃO
3)NÃO SABE
4)RECUSA</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</si>
  <si>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</si>
  <si>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</si>
  <si>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</si>
  <si>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</si>
  <si>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t>Who do you normally procure your seeds from? 
[OPERATOR: MULTIPLE RESPONSES POSSIBLE.]
1)Own production
2)Local market or agro-input shop/dealer
3)Private seed company
4)NGOs
5)Community seed banks / farmer networks / farmers' association / etc.
6)Government [e.g. MoA]</t>
    </r>
    <r>
      <rPr>
        <strike/>
        <sz val="12"/>
        <rFont val="Calibri"/>
        <family val="2"/>
        <scheme val="minor"/>
      </rPr>
      <t xml:space="preserve">
</t>
    </r>
    <r>
      <rPr>
        <sz val="12"/>
        <rFont val="Calibri"/>
        <family val="2"/>
        <scheme val="minor"/>
      </rPr>
      <t>7)Relatives or friends
8)Other
9)DON'T KNOW
10)REFUSED</t>
    </r>
  </si>
  <si>
    <t>De onde o(a) senhor(a) adquire as sementes?
[OPERADOR(A): MÚLTIPLAS RESPOSTAS PERMITIDAS.]
1)Produção própria
2)Mercado local ou loja/revendedor de insumos agrícolas
3)Empresa privada de sementes
4)ONGs
5)Bancos comunitários de sementes / redes de agricultores / associações de agricultores / etc.
6)Governo [p.ex:. Ministério da Agricultura]
7)Familiares ou amigos
8)Outro
9)NÃO SABE
10)RECUSA</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</si>
  <si>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</si>
  <si>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</si>
  <si>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</si>
  <si>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</si>
  <si>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</si>
  <si>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</si>
  <si>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family val="2"/>
        <scheme val="minor"/>
      </rPr>
      <t>$reference year$</t>
    </r>
    <r>
      <rPr>
        <sz val="12"/>
        <rFont val="Calibri"/>
        <family val="2"/>
        <scheme val="minor"/>
      </rPr>
      <t>?
[OPERATOR: SINGLE RESPONSE.]
1)A lot more [increased by more than 50%]
2)Slightly more
3)Same
4)Slightly less
5)A lot less [less than half as much]
6)DON'T KNOW
7)REFUSED</t>
    </r>
  </si>
  <si>
    <r>
      <t xml:space="preserve">Como é que a área plantada de {crp_main} </t>
    </r>
    <r>
      <rPr>
        <sz val="12"/>
        <color rgb="FFFF0000"/>
        <rFont val="Calibri"/>
        <family val="2"/>
        <scheme val="minor"/>
      </rPr>
      <t>na</t>
    </r>
    <r>
      <rPr>
        <sz val="12"/>
        <rFont val="Calibri"/>
        <family val="2"/>
        <scheme val="minor"/>
      </rPr>
      <t xml:space="preserve"> </t>
    </r>
    <r>
      <rPr>
        <b/>
        <sz val="12"/>
        <color rgb="FF7030A0"/>
        <rFont val="Calibri"/>
        <family val="2"/>
        <scheme val="minor"/>
      </rPr>
      <t>$season PT$</t>
    </r>
    <r>
      <rPr>
        <sz val="12"/>
        <rFont val="Calibri"/>
        <family val="2"/>
        <scheme val="minor"/>
      </rPr>
      <t xml:space="preserve"> se compara àquela plantada</t>
    </r>
    <r>
      <rPr>
        <sz val="12"/>
        <color rgb="FFFF0000"/>
        <rFont val="Calibri"/>
        <family val="2"/>
        <scheme val="minor"/>
      </rPr>
      <t xml:space="preserve"> no</t>
    </r>
    <r>
      <rPr>
        <sz val="12"/>
        <rFont val="Calibri"/>
        <family val="2"/>
        <scheme val="minor"/>
      </rPr>
      <t xml:space="preserve"> </t>
    </r>
    <r>
      <rPr>
        <b/>
        <sz val="12"/>
        <color rgb="FF7030A0"/>
        <rFont val="Calibri"/>
        <family val="2"/>
        <scheme val="minor"/>
      </rPr>
      <t>$reference year PT$</t>
    </r>
    <r>
      <rPr>
        <sz val="12"/>
        <rFont val="Calibri"/>
        <family val="2"/>
        <scheme val="minor"/>
      </rPr>
      <t>?
[OPERADOR(A): RESPOSTA ÚNICA.]
1)Muito maior [aumentou em mais de 50%]
2)Un pouco maior
3)A mesma [não alterou]
4)Um pouco menor
5)Muito menor [menos da metade]
6)NÃO SABE
7)RECUSA</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</si>
  <si>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</si>
  <si>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</si>
  <si>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</si>
  <si>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family val="2"/>
        <scheme val="minor"/>
      </rPr>
      <t>$reference year$</t>
    </r>
    <r>
      <rPr>
        <sz val="12"/>
        <rFont val="Calibri"/>
        <family val="2"/>
        <scheme val="minor"/>
      </rPr>
      <t>? 
[OPERATOR: SINGLE RESPONSE.]
1)A lot more [increased by more than 50%]
2)Slightly more
3)Same
4)Slightly less
5)A lot less [less than half as much]
6)DON'T KNOW
7)REFUSED</t>
    </r>
  </si>
  <si>
    <r>
      <t>Como a colheita</t>
    </r>
    <r>
      <rPr>
        <b/>
        <sz val="12"/>
        <rFont val="Calibri"/>
        <family val="2"/>
        <scheme val="minor"/>
      </rPr>
      <t xml:space="preserve"> </t>
    </r>
    <r>
      <rPr>
        <b/>
        <sz val="12"/>
        <color rgb="FF7030A0"/>
        <rFont val="Calibri"/>
        <family val="2"/>
        <scheme val="minor"/>
      </rPr>
      <t>$expected or nothing PT$</t>
    </r>
    <r>
      <rPr>
        <b/>
        <sz val="12"/>
        <rFont val="Calibri"/>
        <family val="2"/>
        <scheme val="minor"/>
      </rPr>
      <t xml:space="preserve"> </t>
    </r>
    <r>
      <rPr>
        <sz val="12"/>
        <rFont val="Calibri"/>
        <family val="2"/>
        <scheme val="minor"/>
      </rPr>
      <t xml:space="preserve">de {crp_main} </t>
    </r>
    <r>
      <rPr>
        <sz val="12"/>
        <color rgb="FFFF0000"/>
        <rFont val="Calibri"/>
        <family val="2"/>
        <scheme val="minor"/>
      </rPr>
      <t>na</t>
    </r>
    <r>
      <rPr>
        <sz val="12"/>
        <rFont val="Calibri"/>
        <family val="2"/>
        <scheme val="minor"/>
      </rPr>
      <t xml:space="preserve"> </t>
    </r>
    <r>
      <rPr>
        <b/>
        <sz val="12"/>
        <color rgb="FF7030A0"/>
        <rFont val="Calibri"/>
        <family val="2"/>
        <scheme val="minor"/>
      </rPr>
      <t>$season PT$</t>
    </r>
    <r>
      <rPr>
        <sz val="12"/>
        <rFont val="Calibri"/>
        <family val="2"/>
        <scheme val="minor"/>
      </rPr>
      <t xml:space="preserve"> se compara àquela</t>
    </r>
    <r>
      <rPr>
        <sz val="12"/>
        <color rgb="FFFF0000"/>
        <rFont val="Calibri"/>
        <family val="2"/>
        <scheme val="minor"/>
      </rPr>
      <t xml:space="preserve"> do </t>
    </r>
    <r>
      <rPr>
        <b/>
        <sz val="12"/>
        <color rgb="FF7030A0"/>
        <rFont val="Calibri"/>
        <family val="2"/>
        <scheme val="minor"/>
      </rPr>
      <t>$reference year PT$</t>
    </r>
    <r>
      <rPr>
        <sz val="12"/>
        <rFont val="Calibri"/>
        <family val="2"/>
        <scheme val="minor"/>
      </rPr>
      <t>?
[OPERADOR(A): RESPOSTA ÚNICA.]
1)Muito maior [aumento de 50%]
2)Um pouco maior
3)A mesma [não alterou]
4)Um pouco menor
5)Muito menor [menos da metade]
6)NÃO SABE
7)RECUSA</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</si>
  <si>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</si>
  <si>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</si>
  <si>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</si>
  <si>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</si>
  <si>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Que quantidade [debulhada] de {crp_main} o(a) senhor(a) colheu </t>
    </r>
    <r>
      <rPr>
        <sz val="12"/>
        <color rgb="FFFF0000"/>
        <rFont val="Calibri"/>
        <family val="2"/>
        <scheme val="minor"/>
      </rPr>
      <t>na</t>
    </r>
    <r>
      <rPr>
        <sz val="12"/>
        <rFont val="Calibri"/>
        <family val="2"/>
        <scheme val="minor"/>
      </rPr>
      <t xml:space="preserve"> </t>
    </r>
    <r>
      <rPr>
        <b/>
        <sz val="12"/>
        <color rgb="FF7030A0"/>
        <rFont val="Calibri"/>
        <family val="2"/>
        <scheme val="minor"/>
      </rPr>
      <t>$season PT$</t>
    </r>
    <r>
      <rPr>
        <sz val="12"/>
        <color theme="1"/>
        <rFont val="Calibri"/>
        <family val="2"/>
        <scheme val="minor"/>
      </rPr>
      <t>?</t>
    </r>
    <r>
      <rPr>
        <sz val="12"/>
        <rFont val="Calibri"/>
        <family val="2"/>
        <scheme val="minor"/>
      </rPr>
      <t xml:space="preserve">
[OPERADOR(A): REGISTE A RESPOSTA DADA. A UNIDADE DE MEDIDA SERÁ ESPECIFICADA NA PERGUNDA SEGUINTE. INSIRA </t>
    </r>
    <r>
      <rPr>
        <b/>
        <sz val="12"/>
        <rFont val="Calibri"/>
        <family val="2"/>
        <scheme val="minor"/>
      </rPr>
      <t xml:space="preserve">8888888 </t>
    </r>
    <r>
      <rPr>
        <sz val="12"/>
        <rFont val="Calibri"/>
        <family val="2"/>
        <scheme val="minor"/>
      </rPr>
      <t xml:space="preserve">PARA NÃO SABE &amp; </t>
    </r>
    <r>
      <rPr>
        <b/>
        <sz val="12"/>
        <rFont val="Calibri"/>
        <family val="2"/>
        <scheme val="minor"/>
      </rPr>
      <t xml:space="preserve">9999999 </t>
    </r>
    <r>
      <rPr>
        <sz val="12"/>
        <rFont val="Calibri"/>
        <family val="2"/>
        <scheme val="minor"/>
      </rPr>
      <t>PARA RECUSA, PARA SER USADO RARAMENTE - EXPLORE!]</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</si>
  <si>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</si>
  <si>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</si>
  <si>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</si>
  <si>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</si>
  <si>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</si>
  <si>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Unidade de medida para a cultura de {crp_main} colhida:
[OPERADOR(A): RESPOSTA ÚNICA.]
1)Quilogramas [kg]
2)Toneladas
3)Onças
4)Libras
5)Sacos
6)Caixas
7)Molhos
8)Pacotes
9)Outros [especificar]</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</si>
  <si>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</si>
  <si>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</si>
  <si>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</si>
  <si>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</si>
  <si>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</si>
  <si>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</si>
  <si>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t>Quantos quilogramas [Kg] em cada unidade?
[OPERADOR(A): REGISTA A RESPOSTA DADA. INSERIR 88888 PARA NAO SABE &amp; 99999 PARA RECUSA]</t>
  </si>
  <si>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</si>
  <si>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</si>
  <si>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</si>
  <si>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</si>
  <si>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Que quantidade em {crp_harv_unit}  de {crp_main} (debulhado) o seu AF colheu no ano passado durante a mesma época?
[OPERADOR: REGISTA A RESPOSTA DADA. INSIRA 8888888 PARA NAO SABE &amp; 9999999 PARA RECUSA, PARA SER USADO RARAMENTE - EXPLORE!]</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</si>
  <si>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</si>
  <si>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</si>
  <si>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</si>
  <si>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significant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</si>
  <si>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O seu agregado familiar enfrentou alguma dificuldade significativa em termos de produção agrícola </t>
    </r>
    <r>
      <rPr>
        <sz val="12"/>
        <color rgb="FFFF0000"/>
        <rFont val="Calibri"/>
        <family val="2"/>
        <scheme val="minor"/>
      </rPr>
      <t>na</t>
    </r>
    <r>
      <rPr>
        <sz val="12"/>
        <rFont val="Calibri"/>
        <family val="2"/>
        <scheme val="minor"/>
      </rPr>
      <t xml:space="preserve"> </t>
    </r>
    <r>
      <rPr>
        <b/>
        <sz val="12"/>
        <color rgb="FF7030A0"/>
        <rFont val="Calibri"/>
        <family val="2"/>
        <scheme val="minor"/>
      </rPr>
      <t>$season PT$</t>
    </r>
    <r>
      <rPr>
        <sz val="12"/>
        <rFont val="Calibri"/>
        <family val="2"/>
        <scheme val="minor"/>
      </rPr>
      <t>?</t>
    </r>
    <r>
      <rPr>
        <b/>
        <sz val="12"/>
        <rFont val="Calibri"/>
        <family val="2"/>
        <scheme val="minor"/>
      </rPr>
      <t xml:space="preserve"> </t>
    </r>
    <r>
      <rPr>
        <sz val="12"/>
        <rFont val="Calibri"/>
        <family val="2"/>
        <scheme val="minor"/>
      </rPr>
      <t xml:space="preserve">
[OPERADOR(A): RESPOSTA ÚNICA.] 
1)SIM
2)NÃO
3)NÃO SABE
4)RECUSA</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</si>
  <si>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</si>
  <si>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</si>
  <si>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</si>
  <si>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</si>
  <si>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t>Which difficulty has your household faced with crop production in</t>
    </r>
    <r>
      <rPr>
        <b/>
        <sz val="12"/>
        <rFont val="Calibri"/>
        <family val="2"/>
        <scheme val="minor"/>
      </rPr>
      <t xml:space="preserve"> </t>
    </r>
    <r>
      <rPr>
        <b/>
        <sz val="12"/>
        <color rgb="FF7030A0"/>
        <rFont val="Calibri"/>
        <family val="2"/>
        <scheme val="minor"/>
      </rPr>
      <t>$season$</t>
    </r>
    <r>
      <rPr>
        <sz val="12"/>
        <rFont val="Calibri"/>
        <family val="2"/>
        <scheme val="minor"/>
      </rPr>
      <t>?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</si>
  <si>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Quais dificuldades seu agregado familiar enfrentou com a produção agrícola </t>
    </r>
    <r>
      <rPr>
        <sz val="12"/>
        <color rgb="FFFF0000"/>
        <rFont val="Calibri"/>
        <family val="2"/>
        <scheme val="minor"/>
      </rPr>
      <t>na</t>
    </r>
    <r>
      <rPr>
        <sz val="12"/>
        <rFont val="Calibri"/>
        <family val="2"/>
        <scheme val="minor"/>
      </rPr>
      <t xml:space="preserve"> </t>
    </r>
    <r>
      <rPr>
        <b/>
        <sz val="12"/>
        <color rgb="FF7030A0"/>
        <rFont val="Calibri"/>
        <family val="2"/>
        <scheme val="minor"/>
      </rPr>
      <t>$season PT$</t>
    </r>
    <r>
      <rPr>
        <sz val="12"/>
        <rFont val="Calibri"/>
        <family val="2"/>
        <scheme val="minor"/>
      </rPr>
      <t xml:space="preserve">?
[OPERADOR(A): MÚLTIPLAS RESPOSTAS POSSÍVEIS. SELECIONE AS OPÇÕES QUE MELHOR SE ADEQUEM À INFORMAÇÃO FORNECIDA PELOS RESPONDENTES.]
1)Doença das plantas
2)Surto de pragas [incluindo aves]
3)Pastoreio não controlado de animais
4)Dificuldade de acesso à </t>
    </r>
    <r>
      <rPr>
        <sz val="12"/>
        <color rgb="FFFF0000"/>
        <rFont val="Calibri"/>
        <family val="2"/>
        <scheme val="minor"/>
      </rPr>
      <t>machamba</t>
    </r>
    <r>
      <rPr>
        <sz val="12"/>
        <rFont val="Calibri"/>
        <family val="2"/>
        <scheme val="minor"/>
      </rPr>
      <t xml:space="preserve">
5)Dificuldade de acesso a fertilizantes [não disponíveis no mercado ou preços muito altos]
6)Dificuldade de acesso à sementes de qualidade
7)Dificuldade de aceso à sementes em quantidades suficientes [não disponíveis no mercado ou preços muito altos]
8)Dificuldade de aceso a pesticidas
9)Dificuldade de acesso à mão-de-obra
10)Dificuldade de acesso à maquinaria, ferramentas ou animais para lavoura
11)Dificuldade de acesso a combustível ou eletricidade para alimentar equipamentos agrícolas
12)Erosão do solo
13)Irrigação insuficiente [incluindo insuficiente água da chuva para irrigação]
14)Irrigação em excesso
15)Dificuldade de acesso ao crédito
16)Outro
17)NÃO SABE
18)RECUSA</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</si>
  <si>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</si>
  <si>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</si>
  <si>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</si>
  <si>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</si>
  <si>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</si>
  <si>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</si>
  <si>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No ano passado, que proporção do seu estoque de {crp_main} o(a) senhor(a) perdeu [devido a pragas, apodrecimento, bolor , etc.] após a colheita?
[OPERADOR(A): RESPOSTA ÚNICA.]
1)Nenhuma
2)Um pouco
3)Uma parte importante, porém menos da metade
4)A maioria [a metade ou mais]
5)Quase tudo
6)Tudo
7)NÃO SABE
8)RECUSA</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</si>
  <si>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</si>
  <si>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</si>
  <si>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</si>
  <si>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</si>
  <si>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</si>
  <si>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</si>
  <si>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O(a) senhor(a) cultiva outro produto além de {crp_main}? Caso sim, quais?
[OPERADOR(A): "Nenhuma outra cultura" APARECE NO FINAL DA LISTA DE OPÇÕES. SELECIONE TODAS AS CULTURAS LISTADAS.]
1)Nenhuma outra cultura
2)NÃO SABE
3)RECUSA</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</si>
  <si>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</si>
  <si>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</si>
  <si>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</si>
  <si>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</si>
  <si>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</si>
  <si>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family val="2"/>
        <scheme val="minor"/>
      </rPr>
      <t xml:space="preserve">
$CROPS SOLD$</t>
    </r>
  </si>
  <si>
    <r>
      <t xml:space="preserve">Qual a principal cultura que o(a) senhor(a) vendeu nos </t>
    </r>
    <r>
      <rPr>
        <b/>
        <sz val="12"/>
        <rFont val="Calibri"/>
        <family val="2"/>
        <scheme val="minor"/>
      </rPr>
      <t>últimos 3 meses</t>
    </r>
    <r>
      <rPr>
        <sz val="12"/>
        <rFont val="Calibri"/>
        <family val="2"/>
        <scheme val="minor"/>
      </rPr>
      <t xml:space="preserve">?
[OPERADOR(A) RESPOSTA ÚNICA.]
</t>
    </r>
    <r>
      <rPr>
        <b/>
        <sz val="12"/>
        <color rgb="FF7030A0"/>
        <rFont val="Calibri"/>
        <family val="2"/>
        <scheme val="minor"/>
      </rPr>
      <t>$CROPS SOLD PT$</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</si>
  <si>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</si>
  <si>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</si>
  <si>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</si>
  <si>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</si>
  <si>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</si>
  <si>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Has your household faced any significant 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</si>
  <si>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 xml:space="preserve">O seu agregado familiar tem enfrentado alguma dificuldade significativa para </t>
    </r>
    <r>
      <rPr>
        <b/>
        <sz val="12"/>
        <rFont val="Calibri"/>
        <family val="2"/>
        <scheme val="minor"/>
      </rPr>
      <t>vender</t>
    </r>
    <r>
      <rPr>
        <sz val="12"/>
        <rFont val="Calibri"/>
        <family val="2"/>
        <scheme val="minor"/>
      </rPr>
      <t xml:space="preserve"> </t>
    </r>
    <r>
      <rPr>
        <sz val="12"/>
        <color theme="1"/>
        <rFont val="Calibri"/>
        <family val="2"/>
        <scheme val="minor"/>
      </rPr>
      <t>sua cultura de</t>
    </r>
    <r>
      <rPr>
        <b/>
        <sz val="12"/>
        <color theme="1"/>
        <rFont val="Calibri"/>
        <family val="2"/>
        <scheme val="minor"/>
      </rPr>
      <t xml:space="preserve"> </t>
    </r>
    <r>
      <rPr>
        <sz val="12"/>
        <rFont val="Calibri"/>
        <family val="2"/>
        <scheme val="minor"/>
      </rPr>
      <t>{crp_salesmain} nos últimos 3 meses?
[OPERADOR(A): RESPOSTA ÚNICA.]
1)SIM
2)NÃO
3)NÃO SABE
4)RECUSA</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</si>
  <si>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</si>
  <si>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</si>
  <si>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</si>
  <si>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</si>
  <si>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t>
    </r>
    <r>
      <rPr>
        <strike/>
        <sz val="12"/>
        <rFont val="Calibri"/>
        <family val="2"/>
        <scheme val="minor"/>
      </rPr>
      <t xml:space="preserve">
</t>
    </r>
    <r>
      <rPr>
        <sz val="12"/>
        <rFont val="Calibri"/>
        <family val="2"/>
        <scheme val="minor"/>
      </rPr>
      <t>4)Payment delays from traders / buyers
5)Low selling prices [e.g. compared to input prices / inflation]
6)Difficulty processing product [lack of processing inputs / equipment / etc]
7)Market flooded with products
8)Other
9)DON'T KNOW
10)REFUSED</t>
    </r>
  </si>
  <si>
    <t>Quais dificuldades para vender sua cultura de {crp_salesmain} o seu agregado familiar tem enfrentado nos últimos 3 meses?
[OPERADOR(A): MÚLTIPLAS RESPOSTAS POSSÍVEIS. SELECIONE OPÇÃO(ÕES) QUE MELHOR SE ADEQUE(M) À INFORMAÇÃO FORNECIDA PELOS RESPONDENTES.]
1)Altos custos de transporte ou outros custos de comercialização
2)Danos e perdas devidos a dificuldades de armazenamento e/ou dificuldade de acesso ao mervado [p.ex: insegurança, infraestrutura deficiente, etc.]
3)Falta de demanda de comerciantes ou compradores habituais
4)Atrasos de pagamento por parte dos comerciantes / compradores
5)Baixos preços de venda [p.ex: comparado com os preços dos insumos / inflação]
6)Dificuldade de processamento do produto [falta de insumos de processamento / equipamentos/ etc]
7)Mercado saturado do produto
8)Outro
9)NÃO SABE
10)RECUSA</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</si>
  <si>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</si>
  <si>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</si>
  <si>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</si>
  <si>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</si>
  <si>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</si>
  <si>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family val="2"/>
        <scheme val="minor"/>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</si>
  <si>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Como o preço atual da principal cultura vendida por seu agregado familiar, {crp_salesmain}, se compara ao preço médio de venda no mesmo período </t>
    </r>
    <r>
      <rPr>
        <sz val="12"/>
        <color rgb="FFFF0000"/>
        <rFont val="Calibri"/>
        <family val="2"/>
        <scheme val="minor"/>
      </rPr>
      <t>do</t>
    </r>
    <r>
      <rPr>
        <sz val="12"/>
        <rFont val="Calibri"/>
        <family val="2"/>
        <scheme val="minor"/>
      </rPr>
      <t xml:space="preserve"> </t>
    </r>
    <r>
      <rPr>
        <b/>
        <sz val="12"/>
        <color rgb="FF7030A0"/>
        <rFont val="Calibri"/>
        <family val="2"/>
        <scheme val="minor"/>
      </rPr>
      <t>$reference year PT$?</t>
    </r>
    <r>
      <rPr>
        <sz val="12"/>
        <rFont val="Calibri"/>
        <family val="2"/>
        <scheme val="minor"/>
      </rPr>
      <t xml:space="preserve">
[OPERADOR(A): RESPOSTA ÚNICA. INSISTA NA PRINCIPAL CULTURA MENCIONADA ANTERIORMENTE]
1)Muito mais alto [aumentou em mais de 50%]
2)Um pouco mais alto
3)O mesmo [não alterou]
4)Um pouco mais baixo
5)Muito mais baixo [menos da metade]
6)NÃO SABE
7)RECUSA</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</si>
  <si>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</si>
  <si>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</si>
  <si>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</si>
  <si>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</si>
  <si>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</si>
  <si>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 xml:space="preserve">Agora vamos fazer-lhe algumas perguntas relacionadas com a produção pecuária, que se aplica ao(à) senhor(a) ou a qualquer outro membro do seu agregado familiar que esteja envolvido na produção ou venda de animais.
1)CONTINUAR   </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</si>
  <si>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</si>
  <si>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</si>
  <si>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</si>
  <si>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</si>
  <si>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</si>
  <si>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Qual foi o principal animal criado pelo seu agregado familiar para consumo ou geração de renda nos últimos 12 meses?
[OPERADOR(A): RESPOSTA ÚNICA. PERGUNTE APENAS SOBRE O ANIMAL MAIS IMPORTANTE.][DICA: NÃO SE ESQUEÇA DE SONDAR SOBRE TRANSUMÂNCIA - MOVER O GADO/ANIMAIS DE PASTAGEM DE UMA ÁREA DE PASTAGEM PARA A OUTRA.]
1)Gado bovino [vaca / vitelo / boi selvagem / búfalo]
2)Gado caprino [cabra / bode]
3)Gado ovino [ovelha / carneiro]
4)Gado suíno [porco / javali / etc]
5)Gado equino [burro/cavalo/ etc]
6)Pequenos mamíferos domesticados [coelhos / martas / cobaias / etc]
7)Aves [galinha / galinha do mato / pato / codorniz / peru / etc]
8)Camelídeos [camelo / lhama / etc]
9)Outro [especificar]
10)NÃO SABE
11)RECUSA</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</si>
  <si>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</si>
  <si>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</si>
  <si>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</si>
  <si>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</si>
  <si>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</si>
  <si>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Quantos {ls_main} o(a) senhor(a) teve ao mesmo tempo no ano passado?
[OPERADOR(A): REGISTA O NUMERO DE ANIMAIS. INSIRA 88888 PARA NÃO SABE &amp; 99999 PARA RECUSA.]</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</si>
  <si>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</si>
  <si>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</si>
  <si>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</si>
  <si>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</si>
  <si>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Quantos {ls_main} o(a) senhor(a) tem agora?
[OPERADOR: REGISTA O NUMERO DE ANIMAIS. INSIRA 88888 PARA NÃO SABE &amp; 99999 PARA RECUSA.]</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</si>
  <si>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</si>
  <si>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</si>
  <si>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</si>
  <si>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</si>
  <si>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</si>
  <si>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 xml:space="preserve">Por que o número de animais mudou?
[OPERADOR(A): MÚLTIPLAS RESPOSTAS PERMITIDAS.]
1)Não houve mudancas significativas do número de animais
2)Não vendeu tantos
3)Muitos mais nasceram
4)Comprou ou trocou mais animais este ano
5)Recebeu animais gratuitamente [repovoamento/oferta]
6)Morte de animais devido à desnutrição, seca, falta de alimentos
7)Morte de animais devido a outros fatores [p.ex: doenças, parasitas, ferimentos]
8)Vendeu mais do que o habitual por causa dos bons preços
9)Vendeu mais do que o habitual devido à aflições/venda desesperada [incapacidade de alimentar os animais / necessidade urgente de dinheiro para as necessidades básicas domésticas mesmo que as vendas fossem insustentáveis]
10)Fuga, perda ou roubo de animais
11)Matou ou deu mais animais do que o habitual para autoconsumo ou cerimônias familiares [casamento/funerais. etc.]
12)Outro
13)NÃO SABE
14)RECUSA </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</si>
  <si>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</si>
  <si>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</si>
  <si>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</si>
  <si>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</si>
  <si>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</si>
  <si>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</si>
  <si>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t>Where do you usually access feed for your {ls_main}?  
[OPERATOR: MULTIPLE RESPONSES POSSIBLE.] 
1)Open pasture
2)Community-managed pasture land
3)Owned or rented field or self-produced fodder
4)Purchase feed or fodder at the market
5)Free distribution
6)Other
7)DON'T KNOW
8)REFUSED</t>
  </si>
  <si>
    <r>
      <t xml:space="preserve">¿Onde geralmente encontra alimentos para </t>
    </r>
    <r>
      <rPr>
        <sz val="12"/>
        <color rgb="FFFF0000"/>
        <rFont val="Calibri"/>
        <family val="2"/>
        <scheme val="minor"/>
      </rPr>
      <t>seu(s)/suas</t>
    </r>
    <r>
      <rPr>
        <sz val="12"/>
        <rFont val="Calibri"/>
        <family val="2"/>
        <scheme val="minor"/>
      </rPr>
      <t xml:space="preserve"> {ls_main}?
[OPERADOR(A): MÚLTIPLAS RESPOSTAS SÃO PERMITIDAS.]
1)Pastagem aberta
2)Pastagem gerida pela comunidade
3)Campo próprio ou alugado ou forragem de produção própria
4)Compra de alimento ou forragem nos mercados
5)Distribuição gratuita
6)Outro
7)NÃO SABE
8)RECUSA
</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</si>
  <si>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</si>
  <si>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t>
    </r>
  </si>
  <si>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</si>
  <si>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</si>
  <si>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</si>
  <si>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</si>
  <si>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Seu agregado familiar enfrentou alguma dificuldade significativa na produção pecuária nos últimos 3 meses?
[OPERADOR(A): RESPOSTA ÚNICA.]
1)SIM
2)NÃO
3)NÃO SABE
4)RECUSA</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</si>
  <si>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</si>
  <si>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</si>
  <si>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</si>
  <si>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</si>
  <si>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</si>
  <si>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Quais dificuldades na produção pecuária seu agregado familiar enfrentou nos últimos 3 meses?
[OPERADOR(A): MÚLTIPLAS RESPOSTAS POSSÍVEIS. SELECCIONE A(S) OPÇÃO(ÕES) QUE MELHOR SE ADEQUE(M) À INFORMAÇÃO FORNECIDA PELOS RESPONDENTES.]
1)Dificuldade para comprar alimentos [p.ex: preços ou acesso ao mercado]
2)Dificuldade de acesso a pastos
3)Dificuldade de acesso à água
4)Dificuldade de acesso a serviços veterinários [vacinas / tratamentos / banhos / assesoramento / etc]
5)Dificuldade de acesso a insumos veterinários [medicamentos para animais / ferramentas para a saúde animal / etc]
6)Morte ou doença dos animais
7)Roubo de animais
8)Dificuldade de acesso ao mercado de animais para comprar animais jovens
9)Dificuldade de acesso ao crédito
10)Dificuldade de acesso à mão-de-obra
11)Outro
12)NÃO SABE 
13)RECUSA</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</si>
  <si>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</si>
  <si>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</si>
  <si>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</si>
  <si>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</si>
  <si>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</si>
  <si>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</si>
  <si>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</si>
  <si>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O(a) senhor(a) tem outros animais além de {ls_main}, e caso afirmativo, quais?
[OPERADOR(A): "Não tem outros animais" APARECE NO FINAL DA LISTA DE OPÇÕES. SELECIONE TODOS OS ANIMAIS LISTADOS PELO RESPONDENTE.]
1)Não tem outros animais
2)NÃO SABE
3)RECUSA</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</si>
  <si>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</si>
  <si>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</si>
  <si>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</si>
  <si>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</si>
  <si>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</si>
  <si>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</si>
  <si>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</si>
  <si>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</si>
  <si>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Qual a principal espécie ou produto animal que seu agregado familiar vendeu nos últimos 3 meses?
[OPERADOR(A): RESPOSTA ÚNICA. INSISTA NO PRINCIPAL PRODUTO.]
1)Gado bovinos [vaca / vitelo / boi selvagem / búfalo]
2)Gado caprino [cabra / bode]
3)Gado ovino [ovelha / carneiro]
4)Gado suíno [porco / javali / etc]
5)Gado equino [burro / cavalo / etc]
6)Pequenos mamíferos domesticados [coelhos / martas / cobaias / etc]
7)Aves [galinha / galinha do mato / pato / codorniz / peru / etc]
8)Camelídeos [camelo / lhama / etc]
9)Ovos
10)Leite ou produtos lácteos
11)Pele, couro ou lã
12)NÃO SABE
13)RECUSA</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</si>
  <si>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</si>
  <si>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</si>
  <si>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</si>
  <si>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t>
    </r>
    <r>
      <rPr>
        <sz val="12"/>
        <rFont val="Calibri (Body)"/>
      </rPr>
      <t>or</t>
    </r>
    <r>
      <rPr>
        <sz val="12"/>
        <rFont val="Calibri"/>
        <family val="2"/>
        <scheme val="minor"/>
      </rPr>
      <t xml:space="preserve"> livestock products"</t>
    </r>
    <r>
      <rPr>
        <sz val="12"/>
        <rFont val="Calibri (Body)"/>
      </rPr>
      <t>,</t>
    </r>
    <r>
      <rPr>
        <sz val="12"/>
        <rFont val="Calibri"/>
        <family val="2"/>
        <scheme val="minor"/>
      </rPr>
      <t xml:space="preserve">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rFont val="Calibri"/>
        <family val="2"/>
        <scheme val="minor"/>
      </rPr>
      <t xml:space="preserve"> fish_intro</t>
    </r>
  </si>
  <si>
    <t>ls_salesdif</t>
  </si>
  <si>
    <t>Has your household faced any significant difficulty in the last 3 months selling your {ls_salesmain}?
[OPERATOR: SINGLE RESPONSE.]
1)YES
2)NO
3)DON'T KNOW
4)REFUSED</t>
  </si>
  <si>
    <r>
      <t xml:space="preserve">Seu agregado familiar enfrentou alguma dificuldade significativa para vender </t>
    </r>
    <r>
      <rPr>
        <sz val="12"/>
        <color rgb="FFFF0000"/>
        <rFont val="Calibri"/>
        <family val="2"/>
        <scheme val="minor"/>
      </rPr>
      <t>seu(s)/suas</t>
    </r>
    <r>
      <rPr>
        <sz val="12"/>
        <rFont val="Calibri"/>
        <family val="2"/>
        <scheme val="minor"/>
      </rPr>
      <t xml:space="preserve">  {ls_salesmain} nos últimos 3 meses?
[OPERADOR(A): RESPOSTA ÚNICA.]
1)SIM
2)NÃO
3)NÃO SABE
4)RECUSA</t>
    </r>
  </si>
  <si>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</si>
  <si>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</si>
  <si>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</si>
  <si>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</si>
  <si>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r>
      <t xml:space="preserve">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t>
    </r>
    <r>
      <rPr>
        <strike/>
        <sz val="12"/>
        <rFont val="Calibri"/>
        <family val="2"/>
        <scheme val="minor"/>
      </rPr>
      <t xml:space="preserve"> </t>
    </r>
    <r>
      <rPr>
        <sz val="12"/>
        <rFont val="Calibri"/>
        <family val="2"/>
        <scheme val="minor"/>
      </rPr>
      <t xml:space="preserve">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r>
  </si>
  <si>
    <r>
      <t xml:space="preserve">Quais dificuldades seu agregado familiar enfrentou para vender </t>
    </r>
    <r>
      <rPr>
        <sz val="12"/>
        <color rgb="FFFF0000"/>
        <rFont val="Calibri"/>
        <family val="2"/>
        <scheme val="minor"/>
      </rPr>
      <t>seu(s)/suas</t>
    </r>
    <r>
      <rPr>
        <sz val="12"/>
        <rFont val="Calibri"/>
        <family val="2"/>
        <scheme val="minor"/>
      </rPr>
      <t xml:space="preserve"> {ls_salesmain} nos últimos 3 meses?
[OPERADOR(A): MÚLTIPLAS RESPOSTAS POSSÍVEIS. SELECIONE A(S) OPÇÃO(ÕES) QUE MELHOR SE ADEQUE(M) À INFORMAÇÃO FORNECIDA PELOS RESPONDENTES.]
1)Altos custos de transporte ou outros custos de comercialização
2)Danos e perdas durante o transporte ou dificuldade de acesso ao mercado
3)Falta de demanda de comerciantes ou compradores habituais
4)Atrasos de pagamento por parte dos comerciantes / compradores
5)Baixos preços de venda [p.ex: comparado com os preços dos insumos / inflação]
6)Encerramento de matadouros ou dificuldade de acessar aos matadouros
7)Dificuldade de processamento do produto para além de encerramento de matadouros [falta de acesso aos insumos de processamento / equipamentos / etc.]
8)Mercado saturado do produto
9)Outro
10)NÃO SABE
11)RECUSA</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</si>
  <si>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</si>
  <si>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</si>
  <si>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</si>
  <si>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</si>
  <si>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</si>
  <si>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</si>
  <si>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Como é que o preço atual de {ls_salesmain} se compara ao preço médio no mesmo período </t>
    </r>
    <r>
      <rPr>
        <sz val="12"/>
        <color rgb="FFFF0000"/>
        <rFont val="Calibri"/>
        <family val="2"/>
        <scheme val="minor"/>
      </rPr>
      <t>do</t>
    </r>
    <r>
      <rPr>
        <sz val="12"/>
        <rFont val="Calibri"/>
        <family val="2"/>
        <scheme val="minor"/>
      </rPr>
      <t xml:space="preserve"> </t>
    </r>
    <r>
      <rPr>
        <b/>
        <sz val="12"/>
        <color rgb="FF7030A0"/>
        <rFont val="Calibri"/>
        <family val="2"/>
        <scheme val="minor"/>
      </rPr>
      <t>$reference year PT$</t>
    </r>
    <r>
      <rPr>
        <sz val="12"/>
        <rFont val="Calibri"/>
        <family val="2"/>
        <scheme val="minor"/>
      </rPr>
      <t>?
[OPERADOR(A): RESPOSTA ÚNICA. INSISTA NO PRINCIPAL PRODUTO MENCIONADO.]
1)Muito mais alto [aumentou em mais de 50%]
2)Um pouco mais alto
3)O mesmo
4)Um pouco mais baixo
5)Muito mais baixo [menos de metade]
6)NÃO SABE
7)RECUSA</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</si>
  <si>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</si>
  <si>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</si>
  <si>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</si>
  <si>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</si>
  <si>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</si>
  <si>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Agora vamos fazer-lhe algumas perguntas relacionadas com a produção de peixe e aquicultura, que se aplicam ao(à) senhor(a) ou qualquer outro membro de seu agregado familiar que esteja envolvido na captura ou produção de peixe e produtos aquáticos.
1)CONTINUAR</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</si>
  <si>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</si>
  <si>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</si>
  <si>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</si>
  <si>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</si>
  <si>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</si>
  <si>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</si>
  <si>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 tipo de atividade pesqueira é geralmente praticada por seu agregado familiar?
[OPERADOR(A): MÚLTIPLAS RESPOSTAS POSSÍVEIS.]
1)Pesca costeira, delta, lagoa de pesca
2)Pesca em alto mar
3)Pesca em águas doces [lagos / reservatórios / tanques / rios / zonas úmidas]
4)Aquicultura
5)NÃO SABE
6)RECUSA</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</si>
  <si>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</si>
  <si>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</si>
  <si>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</si>
  <si>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</si>
  <si>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</si>
  <si>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</si>
  <si>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Como se compara a sua captura de pescados [pesca/cultivo] nos últimos 3 meses [ou última captura] com o mesmo período [de captura] do ano passado?
[OPERADOR(A): RESPOSTA ÚNICA]
1)Muito mais alta [aumentou em mais de 50%]
2)Um pouco mais alta
3)A mesma
4)Um pouco mais baixa
5)Muito mais baixa [menos da metade]
6)NÃO SABE
7)RECUSA</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</si>
  <si>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</si>
  <si>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</si>
  <si>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</si>
  <si>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</si>
  <si>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t>O seu agregado familiar enfrentou alguma dificuldade significativa com a pesca / captura / cultivo de pescados nos últimos 3 meses?
[OPERADOR(A): RESPOSTA ÚNICA.]
1)SIM
2)NÃO
3)NÃO SABE
4)RECUSA</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</si>
  <si>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</si>
  <si>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</si>
  <si>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</si>
  <si>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</si>
  <si>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</si>
  <si>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Quais dificuldades na captura de pescados / colheita / cultivo o seu agregado familiar enfrentou nos últimos 3 meses?
[OPERADOR(A): MÚLTIPLAS RESPOSTAS POSSÍVEIS. SELECIONE A(S) OPÇÃO(ÕES) QUE MELHOR SE ADEQUE(M) À INFORMAÇÃO FORNECIDA PELOS RESPONDENTES.]
1)Está mais difícil encontrar peixe do que no mesmo período de anos anteriores [pesca]
2)Pragas e enfermidades nos peixes [aquicultura]
3)Dificuldade de acesso à zona de pesca ou aquicultura [p.ex: devido ao clima ou segurança]
4)Dificuldade de acesso a combustíveis [preços mais altos ou não disponíveis]
5)Acceso restringido a otros insumos para la pesca o siembra [preços mais altos ou não disponíveis]
6)Dificuldade de acesso à mão-de-obra ou tripulação [preços mais altos ou não disponíveis]
7)Dano ou destruição de infraestrutura [tanques, gaiolas, portos, locais de embarque]
8)Dano ou destruição de embarcações ou ferramentas
9)Outro
10)NÃO SABE
11)RECUSA</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</si>
  <si>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</si>
  <si>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</si>
  <si>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</si>
  <si>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</si>
  <si>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</si>
  <si>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</si>
  <si>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Quais materiais ou insumos de pesca/aquicultura o seu agregado familiar teve dificuldade para ter acesso nos últimos 3 meses?
[OPERADOR(A): MÚLTIPLAS RESPOSTAS POSSÍVEIS.] 
1)Ração ou isca
2)Alevinos
3)Equipamentos de pesca [p.ex: barras, ganchos, redes]
4)Gelo
5)Combustível
6)Conserto de equipamentos [incluindo barcos] ou peças de reposição
7)Mão-de-obra
8)Outro [especificar]
9)NÃO SABE
10)RECUSA</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</si>
  <si>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</si>
  <si>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</si>
  <si>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</si>
  <si>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</si>
  <si>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</si>
  <si>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</si>
  <si>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</si>
  <si>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</si>
  <si>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Qual o principal produto pesqueiro ou aquático vendido por seu agregado familiar nos últimos 3 meses?
OPERADOR(A): RESPOSTA ÚNICA.]
1)Produto fresco [de qualquer tipo, incluindo invertebrados]
2)Produto em conserva [incluindo seco, defumado, fermentado, salgado]
3)Produto congelado
4)Produto enlatado
5)Outro [especificar]
6)NÃO SABE
7)RECUSA</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</si>
  <si>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</si>
  <si>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</si>
  <si>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</si>
  <si>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</si>
  <si>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t>Has your household faced any significant difficulty marketing / selling your {fish_salesmain} in the last 3 months?
[OPERATOR: SINGLE RESPONSE]
1)YES
2)NO
3)DON'T KNOW
4)REFUSED</t>
  </si>
  <si>
    <t>Seu agregado familiar enfrentou alguma dificuldade significativa para vender / comercializar seu {fish_salesmain} nos últimos 3 meses?
[OPERADOR(A): RESPOSTA ÚNICA.]
1)SIM
2)NÃO
3)NÃO SABE
4)RECUSA</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</si>
  <si>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</si>
  <si>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</si>
  <si>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</si>
  <si>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</si>
  <si>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</si>
  <si>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Quais dificuldades seu agregado familiar enfrentou para vender seu {fish_salesmain} nos últimos 3 meses?
[OPERADOR(A): MÚLTIPLAS RESPOSTAS POSSÍVEIS. SELECIONE A(S) OPÇÃO(ÕES) QUE MELHOR SE ADEQUE(M) À INFORMAÇÃO FORNECIDA PELOS RESPONDENTES.]
1)Altos custos de transporte ou outros custos de comercialização
2)Deterioração ou perdas devido à dificuldade de armazenamento ou atrasos ou incapacidade de acessar fisicamente os mercados
3)Falta de demanda de comerciantes/compradores habituais
4)Atrasos de pagamento por parte dos comerciantes/compradores
5)Baixos preços de venda [p.ex: comparado com os preços dos insumos / inflação]
6)Dificuldade de processamento do produto [falta de insumos de processamento / equipamentos/ etc]
7)Mercado saturado do produto
8)Outro
10)NÃO SABE
11)RECUSA</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</si>
  <si>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</si>
  <si>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</si>
  <si>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</si>
  <si>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</si>
  <si>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family val="2"/>
        <scheme val="minor"/>
      </rPr>
      <t>How does the current price of your household's {fish_salesmain} sold compare to the average price in the same period/harvest of</t>
    </r>
    <r>
      <rPr>
        <sz val="12"/>
        <color rgb="FF7030A0"/>
        <rFont val="Calibri"/>
        <family val="2"/>
        <scheme val="minor"/>
      </rPr>
      <t xml:space="preserve"> </t>
    </r>
    <r>
      <rPr>
        <b/>
        <sz val="12"/>
        <color rgb="FF7030A0"/>
        <rFont val="Calibri"/>
        <family val="2"/>
        <scheme val="minor"/>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</si>
  <si>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Como é que o preço atual do {fish_salesmain} vendido por seu agregado familiar se compara ao preço médio no mesmo período </t>
    </r>
    <r>
      <rPr>
        <sz val="12"/>
        <rFont val="Calibri (Body)"/>
      </rPr>
      <t>do</t>
    </r>
    <r>
      <rPr>
        <sz val="12"/>
        <rFont val="Calibri"/>
        <family val="2"/>
        <scheme val="minor"/>
      </rPr>
      <t xml:space="preserve"> </t>
    </r>
    <r>
      <rPr>
        <b/>
        <sz val="12"/>
        <color rgb="FF7030A0"/>
        <rFont val="Calibri"/>
        <family val="2"/>
        <scheme val="minor"/>
      </rPr>
      <t>$reference years PT$</t>
    </r>
    <r>
      <rPr>
        <sz val="12"/>
        <rFont val="Calibri"/>
        <family val="2"/>
        <scheme val="minor"/>
      </rPr>
      <t>?
[OPERADOR: RESPOSTA ÚNICA. INSISTA NO PRINCIPAL PRODUTO MENCIONADO]
1)Muito mais alto [aumentou em mais de 50%]
2)Um pouco mais alto
3)O mesmo
4)Um pouco mais baixo
5)Muito mais baixo [menos da metade]
6)NÃO SABE
7)RECUSA</t>
    </r>
  </si>
  <si>
    <r>
      <t xml:space="preserve">1-7 = </t>
    </r>
    <r>
      <rPr>
        <i/>
        <sz val="12"/>
        <color theme="4"/>
        <rFont val="Calibri (Body)"/>
      </rPr>
      <t>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</si>
  <si>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</si>
  <si>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</si>
  <si>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</si>
  <si>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</si>
  <si>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Agora gostaria de lhe fazer algumas perguntas sobre consumo de alimentos, utilização de alimentos e os mecanismos de sobrevivência. Certifique-se de se referir ao periodo de tempo correto para cada grupo de questões. O primeiro grupo de questões refere-se a experiências vividas pelo(a) senhor(a) ou qualquer membro do agregado familiar nos últimos 30 dias em relação às dificuldades de acesso aos alimentos.
[OPERADOR(A): RESPOSTA ÚNICA]
1)SEGUINTE</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</si>
  <si>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</si>
  <si>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</si>
  <si>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</si>
  <si>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</si>
  <si>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</si>
  <si>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Nos últimos 30 dias, houve algum momento em que o(a) senhor(a) ou outro membro do seu agregado familiar teve preocupação de não ter comida suficiente para comer por falta de dinheiro ou outros recursos?
[OPERADOR(A): RESPOSTA ÚNICA.]
1)SIM
2)NÃO
3)NÃO SABE
4)RECUSA</t>
  </si>
  <si>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</si>
  <si>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</si>
  <si>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</si>
  <si>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t>During the last 30 days, was there a time when you or others in your household were unable to eat healthy and nutritious food because of lack of money or other resources?
[OPERATOR: SINGLE RESPONSE]
1)YES
2)NO
3)DON'T KNOW
4)REFUSED</t>
  </si>
  <si>
    <t>Nos últimos 30 dias, alguma vez o(a) senhor(a) ou outro membro do seu agregado familiar não conseguiu ter uma alimentação saudável e nutritiva por falta de dinheiro ou outros recursos?
[OPERADOR(A): RESPOSTA ÚNICA]
1)SIM
2)NÃO
3)NÃO SABE
4)RECUSA</t>
  </si>
  <si>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</si>
  <si>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</si>
  <si>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</si>
  <si>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t>During the last 30 days, was there a time when you or others in your household ate only a few kinds of foods because of lack of money or other resources?
[OPERATOR: SINGLE RESPONSE]
1)YES
2)NO
3)DON'T KNOW
4)REFUSED</t>
  </si>
  <si>
    <t>Nos últimos 30 dias, alguma vez o(a) senhor(a) ou outros membros do seu agregado familiar comeu alguns poucos tipos de alimentos por falta de dinheiro ou outros recursos?
[OPERADOR(A): RESPOSTA ÚNICA]
1)SIM
2)NÃO
3)NÃO SABE
4)RECUSA</t>
  </si>
  <si>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</si>
  <si>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</si>
  <si>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</si>
  <si>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t>During the last 30 days, was there a time when you or others in your household had to skip a meal because of lack of money or other resources to get food?
[OPERATOR: SINGLE RESPONSE]
1)YES
2)NO
3)DON'T KNOW
4)REFUSED</t>
  </si>
  <si>
    <t>Nos últimos 30 dias, alguma vez o(a) senhor(a) ou outro membro do seu agregado familiar deixou de ter alguma refeição, porque não havia dinheiro ou outros recursos para obter comida?
[OPERADOR(A): RESPOSTA ÚNICA]
1)SIM
2)NÃO
3)NÃO SABE
4)RECUSA</t>
  </si>
  <si>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</si>
  <si>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</si>
  <si>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</si>
  <si>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t>During the last 30 days, was there a time when you or others in your household ate less than you thought you should because of lack of money or other resources?
[OPERATOR: SINGLE RESPONSE]
1)YES
2)NO
3)DON'T KNOW
4)REFUSED</t>
  </si>
  <si>
    <t>Nos últimos 30 dias, alguma vez o(a) senhor(a) ou outro membro do seu agregado familiar comeu menos do que achou que devia, por falta de dinheiro ou outros recursos?
[OPERADOR(A): RESPOSTA ÚNICA]
1)SIM
2)NÃO
3)NÃO SABE
4)RECUSA</t>
  </si>
  <si>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</si>
  <si>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</si>
  <si>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</si>
  <si>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t>In the past 30 days, was there ever no food to eat of any kind in your house because of lack of resources to get food?
[OPERATOR: SINGLE RESPONSE]
1)YES
2)NO
3)DON'T KNOW
4)REFUSED</t>
  </si>
  <si>
    <t>Nos últimos 30 dias, alguma vez ficaram sem nenhuma comida em casa devido à falta de recursos para obter comida?
[OPERADOR(A): RESPOSTA ÚNICA]
1)SIM
2)NÃO
3)NÃO SABE
4)RECUSA</t>
  </si>
  <si>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</si>
  <si>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</si>
  <si>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</si>
  <si>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How often did this happen?
[OPERATOR: SINGLE RESPONSE]
1)Rarely [1-2 times in the past 30 days]
2)Sometimes [3-10 times in the past 30 days]
3)Often [more than 10 times in the last 30 days]
4)DON'T KNOW
5)REFUSED</t>
  </si>
  <si>
    <t>Com que frequência isto ocorreu?
[OPERADOR(A): RESPOSTA ÚNICA.]
1)Raramente [1 ou 2 vezes nos últimos 30 dias]
2)Algumas vezes [3-10 vezes nos últimos 30 dias]
3)Frequentemente [mais de 10 vezes nos últimos 30 dias]
4)NÃO SABE
5)RECUSA</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</si>
  <si>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</si>
  <si>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</si>
  <si>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</si>
  <si>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t>In the past 30 days, did you or any household member ever go to sleep at night hungry because there was not enough food?
[OPERATOR: SINGLE RESPONSE]
1)YES
2)NO
3)DON'T KNOW
4)REFUSED</t>
  </si>
  <si>
    <t>Nos últimos 30 dias, alguma vez o(a) senhor(a) ou outro membro do seu agregado familiar for dormir com fome de noite porque não havia comida suficiente?
[OPERADOR(A): RESPOSTA ÚNICA.]
1)SIM
2)NÃO
3)NÃO SABE
4)RECUSA</t>
  </si>
  <si>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</si>
  <si>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</si>
  <si>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</si>
  <si>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</si>
  <si>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</si>
  <si>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</si>
  <si>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t>In the past 30 days, did you or any household member ever go a whole day and night without eating anything at all because there was not enough food?
[OPERATOR: SINGLE RESPONSE]
1)YES
2)NO
3)DON'T KNOW
4)REFUSED</t>
  </si>
  <si>
    <t>Nos últimos 30 dias, alguma vez o(a) senhor(a) ou outro membro do seu agregado familiar ficou um dia inteiro (dia e noite) sem comer nada porque não havia comida suficiente?
[OPERADOR(A): RESPOSTA ÚNICA.]
1)SIM
2)NÃO
3)NÃO SABE
4)RECUSA</t>
  </si>
  <si>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</si>
  <si>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</si>
  <si>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</si>
  <si>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</si>
  <si>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</si>
  <si>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</si>
  <si>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t>Now I would like to ask you another set of questions on coping strategies, referring to the past 30 days.
[OPERATOR: SINGLE RESPONSE]
1)NEXT</t>
  </si>
  <si>
    <t>Agora, gostaria de perguntar-lhe sobre um conjunto de perguntas relacionadas às estratégias de sobrevivência baseadas nos meios de existência, que se refere aos últimos 30 dias.
[OPERADOR(A): RESPOSTA ÚNICA.]
1)CONTINUAR</t>
  </si>
  <si>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</si>
  <si>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</si>
  <si>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</si>
  <si>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</si>
  <si>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</si>
  <si>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precisou vender ativos / bens domésticos [rádio, móveis, televisão, jóias, etc.] devido à falta de comida ou dinheiro?
OPERADOR(A): RESPOSTA ÚNICA]
1)Sim
2)Não - não foi necessário
3)Não - porque o(a) senhor(a) já vendeu esses ativos ou fez esta atividade nos últimos 12 meses e não pode continuar a fazê-la
4)Não se aplica
5)NÃO SABE
6)RECUSA</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</si>
  <si>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</si>
  <si>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</si>
  <si>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</si>
  <si>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</si>
  <si>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gastar as poupanças porque nao tinha comida ou dinheiro?
OPERADOR(A): RESPOSTA ÚNICA]
1)Sim
2)Não - não foi necessário
3)Não - porque o(a) senhor(a) já vendeu esses ativos ou fez esta atividade nos últimos 12 meses e não pode continuar a fazê-la
4)Não se aplica
5)NÃO SABE
6)RECUSA</t>
    </r>
  </si>
  <si>
    <t>cs_stress_sold_more_animals</t>
  </si>
  <si>
    <r>
      <t xml:space="preserve">Over the </t>
    </r>
    <r>
      <rPr>
        <b/>
        <sz val="12"/>
        <rFont val="Calibri"/>
        <family val="2"/>
        <scheme val="minor"/>
      </rPr>
      <t>past 30 days</t>
    </r>
    <r>
      <rPr>
        <sz val="12"/>
        <rFont val="Calibri"/>
        <family val="2"/>
        <scheme val="minor"/>
      </rPr>
      <t>,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</si>
  <si>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vender mais animais [não-reprodutivos] do que o habitual devido à falta de comida ou dinheiro?
[OPERADOR(A): RESPOSTA ÚNICA]
1)Sim
2)Não - não foi necessário
3)Não - porque o(a) senhor(a) já vendeu esses ativos ou fez esta atividade nos últimos 12 meses e não pode continuar a fazê-la
4)Não se aplica
5)NÃO SABE
6)RECUSA</t>
    </r>
  </si>
  <si>
    <t>cs_stress_eat_elsewhere</t>
  </si>
  <si>
    <r>
      <t xml:space="preserve">Over the </t>
    </r>
    <r>
      <rPr>
        <b/>
        <sz val="12"/>
        <rFont val="Calibri"/>
        <family val="2"/>
        <scheme val="minor"/>
      </rPr>
      <t>past 30 days</t>
    </r>
    <r>
      <rPr>
        <sz val="12"/>
        <rFont val="Calibri"/>
        <family val="2"/>
        <scheme val="minor"/>
      </rPr>
      <t>,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</si>
  <si>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enviar membros do agregado familiar para comer noutro lugar por falta de comida ou dinheiro?
OPERADOR(A): RESPOSTA ÚNICA]
1)Sim
2)Não - não foi necessário
3)Não - porque o(a) senhor(a) já vendeu esses ativos ou fez esta atividade nos últimos 12 meses e não pode continuar a fazê-la
4)Não se aplica
5)NÃO SABE
6)RECUSA</t>
    </r>
  </si>
  <si>
    <t>cs_stress_borrowed_or_helped</t>
  </si>
  <si>
    <r>
      <t>Over the</t>
    </r>
    <r>
      <rPr>
        <b/>
        <sz val="12"/>
        <rFont val="Calibri"/>
        <family val="2"/>
        <scheme val="minor"/>
      </rPr>
      <t xml:space="preserve"> past 30 days</t>
    </r>
    <r>
      <rPr>
        <sz val="12"/>
        <rFont val="Calibri"/>
        <family val="2"/>
        <scheme val="minor"/>
      </rPr>
      <t>,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</si>
  <si>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precisou pegar comida emprestada ou contar com a ajuda de amigos e familiares devido à falta de comida ou dinheiro?
OPERADOR(A): RESPOSTA ÚNICA]
1)Sim
2)Não - não foi necessário
3)Não - porque o(a) senhor(a) já vendeu esses ativos ou fez esta atividade nos últimos 12 meses e não pode continuar a fazê-la
4)Não se aplica
5)NÃO SABE
6)RECUSA</t>
    </r>
  </si>
  <si>
    <t>cs_stress_credit</t>
  </si>
  <si>
    <r>
      <t>Over the</t>
    </r>
    <r>
      <rPr>
        <b/>
        <sz val="12"/>
        <rFont val="Calibri"/>
        <family val="2"/>
        <scheme val="minor"/>
      </rPr>
      <t xml:space="preserve"> past 30 days</t>
    </r>
    <r>
      <rPr>
        <sz val="12"/>
        <rFont val="Calibri"/>
        <family val="2"/>
        <scheme val="minor"/>
      </rPr>
      <t>,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</si>
  <si>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comprar comida a crédito ou pedir comida emprestada devido à falta de comida ou dinheiro?
OPERADOR(A): RESPOSTA ÚNICA]
1)Sim
2)Não - não foi necessário
3)Não - porque o(a) senhor(a) já vendeu esses ativos ou fez esta atividade nos últimos 12 meses e não pode continuar a fazê-la
4)Não se aplica
5)NÃO SABE
6)RECUSA</t>
    </r>
  </si>
  <si>
    <t>cs_stress_borrowed_money</t>
  </si>
  <si>
    <r>
      <t xml:space="preserve">Over the </t>
    </r>
    <r>
      <rPr>
        <b/>
        <sz val="12"/>
        <rFont val="Calibri"/>
        <family val="2"/>
        <scheme val="minor"/>
      </rPr>
      <t>past 30 days</t>
    </r>
    <r>
      <rPr>
        <sz val="12"/>
        <rFont val="Calibri"/>
        <family val="2"/>
        <scheme val="minor"/>
      </rPr>
      <t>,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</si>
  <si>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precisou pegar dinheiro emprestado devido à falta de comida ou dinheiro?
OPERADOR(A): RESPOSTA ÚNICA]
1)Sim
2)Não - não foi necessário
3)Não - porque o(a) senhor(a) já vendeu esses ativos ou fez esta atividade nos últimos 12 meses e não pode continuar a fazê-la
4)Não se aplica
5)NÃO SABE
6)RECUSA</t>
    </r>
  </si>
  <si>
    <t>cs_stress_changed_school</t>
  </si>
  <si>
    <r>
      <t xml:space="preserve">Over the </t>
    </r>
    <r>
      <rPr>
        <b/>
        <sz val="12"/>
        <rFont val="Calibri"/>
        <family val="2"/>
        <scheme val="minor"/>
      </rPr>
      <t>past 30 days</t>
    </r>
    <r>
      <rPr>
        <sz val="12"/>
        <rFont val="Calibri"/>
        <family val="2"/>
        <scheme val="minor"/>
      </rPr>
      <t>, did anyone in your household have to move children to less expensive schools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</si>
  <si>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mudar as crianças para uma escola que custasse menos devido à falta de comida ou dinheiro?
OPERADOR(A): RESPOSTA ÚNICA]
1)Sim
2)Não - não foi necessário
3)Não - porque o(a) senhor(a) já vendeu esses ativos ou fez esta atividade nos últimos 12 meses e não pode continuar a fazê-la
4)Não se aplica
5)NÃO SABE
6)RECUSA</t>
    </r>
  </si>
  <si>
    <t>cs_crisis_sold_prod_assets</t>
  </si>
  <si>
    <r>
      <t xml:space="preserve">Over the </t>
    </r>
    <r>
      <rPr>
        <b/>
        <sz val="12"/>
        <rFont val="Calibri"/>
        <family val="2"/>
        <scheme val="minor"/>
      </rPr>
      <t>past 30 days</t>
    </r>
    <r>
      <rPr>
        <sz val="12"/>
        <rFont val="Calibri"/>
        <family val="2"/>
        <scheme val="minor"/>
      </rPr>
      <t>,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</si>
  <si>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vender bens produtivos ou meios de transporte (máquina de costura, carrinho de mão, bicicleta, carro, etc.) devido à falta de comida ou dinheiro?
OPERADOR(A): RESPOSTA ÚNICA]
1)Sim
2)Não - não foi necessário
3)Não - porque o(a) senhor(a) já vendeu esses ativos ou fez esta atividade nos últimos 12 meses e não pode continuar a fazê-la
4)Não se aplica
5)NÃO SABE
6)RECUSA</t>
    </r>
  </si>
  <si>
    <t>cs_crisis_no_school</t>
  </si>
  <si>
    <r>
      <t xml:space="preserve">Over the </t>
    </r>
    <r>
      <rPr>
        <b/>
        <sz val="12"/>
        <rFont val="Calibri"/>
        <family val="2"/>
        <scheme val="minor"/>
      </rPr>
      <t>past 30 days</t>
    </r>
    <r>
      <rPr>
        <sz val="12"/>
        <rFont val="Calibri"/>
        <family val="2"/>
        <scheme val="minor"/>
      </rPr>
      <t>,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</si>
  <si>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que tirar as crianças da escola devido à falta de comida ou dinheiro?
OPERADOR(A): RESPOSTA ÚNICA]
1)Sim
2)Não - não foi necessário
3)Não - porque o(a) senhor(a) já vendeu esses ativos ou fez esta atividade nos últimos 12 meses e não pode continuar a fazê-la
4)Não se aplica
5)NÃO SABE
6)RECUSA</t>
    </r>
  </si>
  <si>
    <t>cs_crisis_reduced_health_exp</t>
  </si>
  <si>
    <r>
      <t xml:space="preserve">Over the </t>
    </r>
    <r>
      <rPr>
        <b/>
        <sz val="12"/>
        <rFont val="Calibri"/>
        <family val="2"/>
        <scheme val="minor"/>
      </rPr>
      <t>past 30 days</t>
    </r>
    <r>
      <rPr>
        <sz val="12"/>
        <rFont val="Calibri"/>
        <family val="2"/>
        <scheme val="minor"/>
      </rPr>
      <t>,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</si>
  <si>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diminuir as despesas com saúde [incluindo medicamentos] devido à falta de comida ou dinheiro?
OPERADOR(A): RESPOSTA ÚNICA]
1)Sim
2)Não - não foi necessário
3)Não - porque o(a) senhor(a) já vendeu esses ativos ou fez esta atividade nos últimos 12 meses e não pode continuar a fazê-la
4)Não se aplica
5)NÃO SABE
6)RECUSA</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</si>
  <si>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</si>
  <si>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harvest immature crops </t>
    </r>
    <r>
      <rPr>
        <sz val="12"/>
        <color rgb="FFFF0000"/>
        <rFont val="Calibri"/>
        <family val="2"/>
        <scheme val="minor"/>
      </rPr>
      <t>[e.g. green maize]</t>
    </r>
    <r>
      <rPr>
        <sz val="12"/>
        <rFont val="Calibri"/>
        <family val="2"/>
        <scheme val="minor"/>
      </rPr>
      <t xml:space="preserve"> to eat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</si>
  <si>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colher culturas imaturas para comer devido à falta de comida ou dinheiro?
OPERADOR(A): RESPOSTA ÚNICA]
1)Sim
2)Não - não foi necessário
3)Não - porque o(a) senhor(a) já vendeu esses ativos ou fez esta atividade nos últimos 12 meses e não pode continuar a fazê-la
4)Não se aplica
5)NÃO SABE
6)RECUSA</t>
    </r>
  </si>
  <si>
    <t>cs_crisis_consume_seed_stock</t>
  </si>
  <si>
    <r>
      <t>Over the</t>
    </r>
    <r>
      <rPr>
        <b/>
        <sz val="12"/>
        <rFont val="Calibri"/>
        <family val="2"/>
        <scheme val="minor"/>
      </rPr>
      <t xml:space="preserve"> past 30 days</t>
    </r>
    <r>
      <rPr>
        <sz val="12"/>
        <rFont val="Calibri"/>
        <family val="2"/>
        <scheme val="minor"/>
      </rPr>
      <t>,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</si>
  <si>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xml:space="preserve">, alguém em seu agregado familiar teve que consumir sementes que seriam guardadas para a </t>
    </r>
    <r>
      <rPr>
        <sz val="12"/>
        <color rgb="FFFF0000"/>
        <rFont val="Calibri"/>
        <family val="2"/>
        <scheme val="minor"/>
      </rPr>
      <t>sementeira</t>
    </r>
    <r>
      <rPr>
        <sz val="12"/>
        <rFont val="Calibri"/>
        <family val="2"/>
        <scheme val="minor"/>
      </rPr>
      <t xml:space="preserve"> na próxima época de </t>
    </r>
    <r>
      <rPr>
        <sz val="12"/>
        <color rgb="FFFF0000"/>
        <rFont val="Calibri"/>
        <family val="2"/>
        <scheme val="minor"/>
      </rPr>
      <t xml:space="preserve">sementeira </t>
    </r>
    <r>
      <rPr>
        <sz val="12"/>
        <rFont val="Calibri"/>
        <family val="2"/>
        <scheme val="minor"/>
      </rPr>
      <t>devido à falta de comida ou dinheiro?
OPERADOR(A): RESPOSTA ÚNICA]
1)Sim
2)Não - não foi necessário
3)Não - porque o(a) senhor(a) já vendeu esses ativos ou fez esta atividade nos últimos 12 meses e não pode continuar a fazê-la
4)Não se aplica
5)NÃO SABE
6)RECUSA</t>
    </r>
  </si>
  <si>
    <t>cs_crisis_decrease_input_exp</t>
  </si>
  <si>
    <r>
      <t xml:space="preserve">Over the </t>
    </r>
    <r>
      <rPr>
        <b/>
        <sz val="12"/>
        <rFont val="Calibri"/>
        <family val="2"/>
        <scheme val="minor"/>
      </rPr>
      <t>past 30 days</t>
    </r>
    <r>
      <rPr>
        <sz val="12"/>
        <rFont val="Calibri"/>
        <family val="2"/>
        <scheme val="minor"/>
      </rPr>
      <t>,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</si>
  <si>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diminuir as despesas com fertilizantes, pesticidas, forragens, ração animal, serviços veterinários, etc., devido à falta de comida ou dinheiro?
OPERADOR(A): RESPOSTA ÚNICA]
1)Sim
2)Não - não foi necessário
3)Não - porque o(a) senhor(a) já vendeu esses ativos ou fez esta atividade nos últimos 12 meses e não pode continuar a fazê-la
4)Não se aplica
5)NÃO SABE
6)RECUSA</t>
    </r>
  </si>
  <si>
    <t>cs_emergency_sold_house</t>
  </si>
  <si>
    <r>
      <t xml:space="preserve">Over the </t>
    </r>
    <r>
      <rPr>
        <b/>
        <sz val="12"/>
        <rFont val="Calibri"/>
        <family val="2"/>
        <scheme val="minor"/>
      </rPr>
      <t>past 30 days</t>
    </r>
    <r>
      <rPr>
        <sz val="12"/>
        <rFont val="Calibri"/>
        <family val="2"/>
        <scheme val="minor"/>
      </rPr>
      <t>,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</si>
  <si>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que vender uma casa ou terreno devido à falta de comida ou dinheiro?
OPERADOR(A): RESPOSTA ÚNICA]
1)Sim
2)Não - não foi necessário
3)Não - porque o(a) senhor(a) já vendeu esses ativos ou fez esta atividade nos últimos 12 meses e não pode continuar a fazê-la
4)Não se aplica
5)NÃO SABE
6)RECUSA</t>
    </r>
  </si>
  <si>
    <t>cs_emergency_begged</t>
  </si>
  <si>
    <r>
      <t>Over the</t>
    </r>
    <r>
      <rPr>
        <b/>
        <sz val="12"/>
        <rFont val="Calibri"/>
        <family val="2"/>
        <scheme val="minor"/>
      </rPr>
      <t xml:space="preserve"> past 30 days</t>
    </r>
    <r>
      <rPr>
        <sz val="12"/>
        <rFont val="Calibri"/>
        <family val="2"/>
        <scheme val="minor"/>
      </rPr>
      <t>,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</si>
  <si>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pedir esmola/ mendigar devido à falta de comida ou dinheiro?
OPERADOR(A): RESPOSTA ÚNICA]
1)Sim
2)Não - não foi necessário
3)Não - porque o(a) senhor(a) já vendeu esses ativos ou fez esta atividade nos últimos 12 meses e não pode continuar a fazê-la
4)Não se aplica
5)NÃO SABE
6)RECUSA</t>
    </r>
  </si>
  <si>
    <t>cs_emergency_illegal</t>
  </si>
  <si>
    <r>
      <t xml:space="preserve">Over the </t>
    </r>
    <r>
      <rPr>
        <b/>
        <sz val="12"/>
        <rFont val="Calibri"/>
        <family val="2"/>
        <scheme val="minor"/>
      </rPr>
      <t>past 30 days</t>
    </r>
    <r>
      <rPr>
        <sz val="12"/>
        <rFont val="Calibri"/>
        <family val="2"/>
        <scheme val="minor"/>
      </rPr>
      <t>,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</si>
  <si>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se envolver em atividades ilegais ou degradantes para obter renda [roubo, prostituição] devido à falta de comida ou dinheiro?
OPERADOR(A): RESPOSTA ÚNICA]
1)Sim
2)Não - não foi necessário
3)Não - porque o(a) senhor(a) já vendeu esses ativos ou fez esta atividade nos últimos 12 meses e não pode continuar a fazê-la
4)Não se aplica
5)NÃO SABE
6)RECUSA</t>
    </r>
  </si>
  <si>
    <t>cs_emergency_sold_last_female</t>
  </si>
  <si>
    <r>
      <t xml:space="preserve">Over the </t>
    </r>
    <r>
      <rPr>
        <b/>
        <sz val="12"/>
        <rFont val="Calibri"/>
        <family val="2"/>
        <scheme val="minor"/>
      </rPr>
      <t>past 30 days</t>
    </r>
    <r>
      <rPr>
        <sz val="12"/>
        <rFont val="Calibri"/>
        <family val="2"/>
        <scheme val="minor"/>
      </rPr>
      <t>,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</si>
  <si>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alguém em seu agregado familiar teve de vender seus últimos animais fêmeas devido à falta
OPERADOR(A): RESPOSTA ÚNICA]
1)Sim
2)Não - não foi necessário
3)Não - porque o(a) senhor(a) já vendeu esses ativos ou fez esta atividade nos últimos 12 meses e não pode continuar a fazer isso
4)Não se aplica
5)NÃO SABE
6)RECUSA</t>
    </r>
  </si>
  <si>
    <t>cs_emergency_hh_migration</t>
  </si>
  <si>
    <r>
      <t xml:space="preserve">Over the </t>
    </r>
    <r>
      <rPr>
        <b/>
        <sz val="12"/>
        <rFont val="Calibri"/>
        <family val="2"/>
        <scheme val="minor"/>
      </rPr>
      <t>past 30 days</t>
    </r>
    <r>
      <rPr>
        <sz val="12"/>
        <rFont val="Calibri"/>
        <family val="2"/>
        <scheme val="minor"/>
      </rPr>
      <t>,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</si>
  <si>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Nos </t>
    </r>
    <r>
      <rPr>
        <b/>
        <sz val="12"/>
        <rFont val="Calibri"/>
        <family val="2"/>
        <scheme val="minor"/>
      </rPr>
      <t>últimos 30 dias</t>
    </r>
    <r>
      <rPr>
        <sz val="12"/>
        <rFont val="Calibri"/>
        <family val="2"/>
        <scheme val="minor"/>
      </rPr>
      <t>, todos os membros do seu agregado familiar tiveram de migrar devido à falta de comida ou dinheiro?
OPERADOR(A): RESPOSTA ÚNICA]
1)Sim
2)Não - não foi necessário
3)Não - porque o(a) senhor(a) já vendeu esses ativos ou fez esta atividade nos últimos 12 meses e não pode continuar a fazer isso
4)Não se aplica
5)NÃO SABE
6)RECUSA</t>
    </r>
  </si>
  <si>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</si>
  <si>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</si>
  <si>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</si>
  <si>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r>
      <t>Agora gostaria de lhe fazer um conjunto de perguntas sobre o consumo de alimentos em relação às 24 horas de ontem. Por favor descreva os alimentos (refeições e lanches) que o(a) senhor(a) ou qualquer membro do agregado familiar comeu ou bebeu em casa ontem (nas 24 horas de ontem:</t>
    </r>
    <r>
      <rPr>
        <sz val="12"/>
        <color theme="1"/>
        <rFont val="Calibri"/>
        <family val="2"/>
        <scheme val="minor"/>
      </rPr>
      <t xml:space="preserve"> pequeno-almoço</t>
    </r>
    <r>
      <rPr>
        <sz val="12"/>
        <rFont val="Calibri"/>
        <family val="2"/>
        <scheme val="minor"/>
      </rPr>
      <t>, almoço, jantar e lanches).
[OPERADOR(A): SELECIONE TODOS OS GRUPOS DE ALIMENTOS CONSUMIDOS NAS 24 HORAS DE ONTEM A MEDIDA QUE O RESPONDENTE RESPONDE. MÚLTIPLAS RESPOSTAS POSSÍVEIS.]
1)Cereais [mapira / mexoeira / milho / trigo / arroz / esparguete / pão ou qualquer outro grão de cereal disponível localmente]
2)Raízes e tubérculos [batata doce / batata reno / inhame / mandioca ou outros tubérculos]
3)Hortícolas [todas]
4)Frutas [todas]
5)Carne/frango e miudezas [carne de vaca / porco / ovelha / cabrito / coelho / carne de caça / galinha / pato / rins / fígado / coração / ou outros órgãos]
6)Ovos
7)Peixe ou marisco [peixe fresco ou seco / marisco]
8)Leguminosas, nozes e sementes [feijão / ervilha / amendoim / lentilhas / amêndoa ou outras nozes]
9)Leite e outros produtos lácteos [leite fresco / iogurte / queijo / outros produtos lácteos]
10)Óleos e gorduras [oleo de cozinha / manteiga / margarina / gordura / oleo ou outro óleo]
11)Açúcar ou produtos açucarados [mel / jamo / donuts / doces / chocolate / biscoitos / pastéis / bolos e outros produtos doces]
12)Condimentos [cacau / sal / alho / temperos / fermento / leverina / molho de tomate ou tomate / carne ou peixe como condimento e café / chá]</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</si>
  <si>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</si>
  <si>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</si>
  <si>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</si>
  <si>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</si>
  <si>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</si>
  <si>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</si>
  <si>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[OPERADOR(A): LEMBRE-SE DE SONDAR PARA SNACKS, ALIMENTOS ESPECIAIS DADOS ÀS CRIANÇAS OU MULHERES GRÁVIDAS, INGREDIENTES EM PREPARAÇÕES / PRATOS MISTOS. NO FINAL, SONDAR PARA GRUPOS DE ALIMENTOS NÃO MENCIONADOS.
SE JÁ TIVER SONDADO, POR FAVOR CLIQUE EM CONTINUAR. CASO CONTRÁRIO, POR FAVOR, VOLTE E CERTIFIQUE-SE DE QUE TODOS OS GRUPOS DE ALIMENTOS CONSUMIDOS NAS 24 HRS DE ONTEM FORAM SELECIONADOS.]
1)CONTINUAR</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</si>
  <si>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</si>
  <si>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</si>
  <si>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t>fcs_intro</t>
  </si>
  <si>
    <t xml:space="preserve">Now I would like to ask you about the foods and drinks your household ate or drank in the last 7 days during the day and at night [breakfast, lunch, dinner, snacks]. 
1)CONTINUE
</t>
  </si>
  <si>
    <t>Agora gostaria de perguntar-lhe sobre comidas e bebidas que o seu agregado familiar consumiu ou bebeu durante o dia e a noite [pequeno-almoco, almoco, jantar e lanches] nos ultimos 7 dias.
1) CONTINUAR</t>
  </si>
  <si>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</si>
  <si>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</si>
  <si>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</si>
  <si>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did members of your household eat starches, roots and tubers such as rice, maize, pasta, bread, sorghum, millet, potato, yam, cassava, white sweet potato?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</si>
  <si>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os membros de seu agregado familiar consumiram cereais, raízes e tubérculos, tais como arroz, milho, macarrão, pão, mapira, mexoeira, batata, inhame, mandioca, batata doce de polpa branca? 
[OPERADOR(A): REGISTA O NÚMERO DE DIAS 0 - 7.]
[DICA: SE CONSUMIDO SOMENTE EM PEQUENA QUANTIDADE, NÃO INCLUA.]</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</si>
  <si>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</si>
  <si>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</si>
  <si>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</si>
  <si>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did members of your household eat pulses and nuts such as beans, lentils, cowpeas, soybean, pigeon peas and peanuts or other nuts?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</si>
  <si>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os membros de seu agregado familiar consumiram leguminosas e nozes, tais como feijões, lentilha, feijão nhemba, soja, feijão bóer, ervilha e amendoim ou outras nozes? 
[OPERADOR(A): REGISTA O NÚMERO DE DIAS 0 - 7.]
[DICA: SE CONSUMIDO SOMENTE EM PEQUENA QUANTIDADE, NÃO INCLUA.]</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</si>
  <si>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</si>
  <si>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</si>
  <si>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</si>
  <si>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vegetables or leaves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</si>
  <si>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xml:space="preserve">, os membros de seu agregado familiar consumiram hortícolas ou folhas, tais como </t>
    </r>
    <r>
      <rPr>
        <b/>
        <sz val="12"/>
        <color rgb="FF7030A0"/>
        <rFont val="Calibri"/>
        <family val="2"/>
        <scheme val="minor"/>
      </rPr>
      <t>$local vegetables PT$</t>
    </r>
    <r>
      <rPr>
        <sz val="12"/>
        <color theme="1"/>
        <rFont val="Calibri"/>
        <family val="2"/>
        <scheme val="minor"/>
      </rPr>
      <t xml:space="preserve"> e/ou outras folhas/hortícolas?
[OPERADOR(A): REGISTA O NÚMERO DE DIAS 0 - 7.]
[DICA: SE CONSUMIDO SOMENTE EM PEQUENA QUANTIDADE, NÃO INCLUA.]</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</si>
  <si>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</si>
  <si>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</si>
  <si>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</si>
  <si>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did members of your household eat fruit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</si>
  <si>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xml:space="preserve">, os membros de seu agregado familiar consumiram frutas, tais como </t>
    </r>
    <r>
      <rPr>
        <b/>
        <sz val="12"/>
        <color rgb="FF7030A0"/>
        <rFont val="Calibri"/>
        <family val="2"/>
        <scheme val="minor"/>
      </rPr>
      <t>$local vegetables PT$</t>
    </r>
    <r>
      <rPr>
        <sz val="12"/>
        <color theme="1"/>
        <rFont val="Calibri"/>
        <family val="2"/>
        <scheme val="minor"/>
      </rPr>
      <t xml:space="preserve"> e/ou outras frutas?
</t>
    </r>
    <r>
      <rPr>
        <sz val="12"/>
        <rFont val="Calibri"/>
        <family val="2"/>
        <scheme val="minor"/>
      </rPr>
      <t xml:space="preserve">
[OPERADOR(A): REGISTA O NÚMERO DE DIAS 0 - 7.]
[DICA: SE CONSUMIDO SOMENTE EM PEQUENA QUANTIDADE, NÃO INCLUA.]</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</si>
  <si>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</si>
  <si>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</si>
  <si>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</si>
  <si>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did members of your household eat meat, eggs or fish [any type of meat or fish including insects, birds, bush meat, seafood, or organs]?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</si>
  <si>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os membros de seu agregado familiar consumiram carne, ovos ou peixe [qualquer tipo de carne ou peixe incluindo insetos, aves, carne de caça, mariscos, ou orgãos]?
[OPERADOR(A): REGISTA O NÚMERO DE DIAS 0 - 7.]
[DICA: SE CONSUMIDO SOMENTE EM PEQUENA QUANTIDADE, NÃO INCLUA.]</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</si>
  <si>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</si>
  <si>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</si>
  <si>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</si>
  <si>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did members of your household consume fresh milk, sour milk, yogurt, cheese or other dairy products? [Excluding margarine/butter or small amounts of milk for tea/ coffee]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</si>
  <si>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os membros de seu agregado familiar consumiram leite fresco, leite azedo, iogurte, queijo ou outros produtos lácteos? [Excluindo margarina/manteiga ou pequenas quantidades de leite para chá/café] 
[OPERADOR(A): REGISTA O NÚMERO DE DIAS 0 - 7.]
[DICA: SE CONSUMIDO SOMENTE EM PEQUENA QUANTIDADE, NÃO INCLUA.]</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</si>
  <si>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</si>
  <si>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</si>
  <si>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</si>
  <si>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did members of your household consume sugar or sweets such as sugar, honey, jam, cakes, candy, cookies, pastries, cakes and other sweets and sugary drinks?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</si>
  <si>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os membros de seu agregado familiar consumiram açúcar ou doces tais como açúcar, mel, geléia, bolos, docinhos, biscoitos e outros doces e bebidas açucaradas? 
[OPERADOR(A): REGISTA O NÚMERO DE DIAS 0 - 7.]
[DICA: SE CONSUMIDO SOMENTE EM PEQUENA QUANTIDADE, NÃO INCLUA.]</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</si>
  <si>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</si>
  <si>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</si>
  <si>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</si>
  <si>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did members of your household eat oil/fat/butter such as vegetable oil, palm oil, groundnut oil, margarine, other fats / oil?
[OPERATOR: RECORD NUMBER OF DAYS 0 - 7]
[HINT: IF CONSUMED ONLY IN SMALL QUANTITY, DO NOT INCLUDE.]</t>
    </r>
  </si>
  <si>
    <r>
      <t xml:space="preserve">Quantos dias nos </t>
    </r>
    <r>
      <rPr>
        <b/>
        <sz val="12"/>
        <color theme="1"/>
        <rFont val="Calibri"/>
        <family val="2"/>
        <scheme val="minor"/>
      </rPr>
      <t>últimos 7 dias</t>
    </r>
    <r>
      <rPr>
        <sz val="12"/>
        <color theme="1"/>
        <rFont val="Calibri"/>
        <family val="2"/>
        <scheme val="minor"/>
      </rPr>
      <t>, os membros de seu agregado familiar consumiram óleo/gorduras/manteiga, tais como óleo vegetal, óleo de coco, óleo de amendoim, margarina, outras gorduras e óleos?
[OPERADOR(A): REGISTA O NÚMERO DE DIAS 0 - 7.]
[DICA: SE CONSUMIDO SOMENTE EM PEQUENA QUANTIDADE, NÃO INCLUA.]</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</si>
  <si>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</si>
  <si>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</si>
  <si>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</si>
  <si>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did members of your household eat spices or condiments such as tea, coffee, cocoa, salt, garlic, spices, yeast, meat fish as a condiment or small amounts of milk for tea or coffee?
[OPERATOR: RECORD NUMBER OF DAYS 0 - 7]</t>
    </r>
  </si>
  <si>
    <r>
      <t xml:space="preserve">Quantos dias nos </t>
    </r>
    <r>
      <rPr>
        <b/>
        <sz val="12"/>
        <rFont val="Calibri"/>
        <family val="2"/>
        <scheme val="minor"/>
      </rPr>
      <t>últimos 7 dias</t>
    </r>
    <r>
      <rPr>
        <sz val="12"/>
        <rFont val="Calibri"/>
        <family val="2"/>
        <scheme val="minor"/>
      </rPr>
      <t>, os membros de seu agregado familiar consumiram temperos ou condimentos como chá, café, cacau, sal, alho, temperos, fermento, carne de peixe como condimento ou pequenas quantidades de leite para chá ou café? 
[OPERADOR(A): REGISTA O NÚMERO DE DIAS 0 - 7.]
[DICA: SE CONSUMIDO SOMENTE EM PEQUENA QUANTIDADE, NÃO INCLUA.]</t>
    </r>
  </si>
  <si>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</si>
  <si>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</si>
  <si>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</si>
  <si>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</si>
  <si>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Agora vou perguntar-lhe sobre o número de dias nos últimos 7 dias em que o agregado familiar precisou fazer algumas das ações que irei mencionar para lidar com a falta de comida ou dinheiro para comprar comida. 
1) CONTINUAR</t>
  </si>
  <si>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</si>
  <si>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</si>
  <si>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</si>
  <si>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 rely on less preferred or less expensive food due to lack of food/money?  
[OPERATOR: RECORD NUMBER OF DAYS 0 - 7 ]</t>
    </r>
  </si>
  <si>
    <r>
      <t xml:space="preserve">Nos </t>
    </r>
    <r>
      <rPr>
        <b/>
        <sz val="12"/>
        <color theme="1"/>
        <rFont val="Calibri"/>
        <family val="2"/>
        <scheme val="minor"/>
      </rPr>
      <t>últimos 7 dias</t>
    </r>
    <r>
      <rPr>
        <sz val="12"/>
        <color theme="1"/>
        <rFont val="Calibri"/>
        <family val="2"/>
        <scheme val="minor"/>
      </rPr>
      <t>, quantos dias o seu agregado familiar dependeu de alimentos menos preferidos ou menos caros devido à falta de alimentos/dinheiro? 
[OPERADOR: REGISTA O NÚMERO DE DIAS 0 - 7]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</si>
  <si>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</si>
  <si>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</si>
  <si>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</si>
  <si>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how many days did your household borrow food, or rely on help from a friend or relative due to lack of food or money to buy food? 
[OPERATOR: RECORD NUMBER OF DAYS 0 - 7 ]</t>
    </r>
  </si>
  <si>
    <r>
      <t>Nos</t>
    </r>
    <r>
      <rPr>
        <b/>
        <sz val="12"/>
        <color theme="1"/>
        <rFont val="Calibri"/>
        <family val="2"/>
        <scheme val="minor"/>
      </rPr>
      <t xml:space="preserve"> últimos 7 dias</t>
    </r>
    <r>
      <rPr>
        <sz val="12"/>
        <color theme="1"/>
        <rFont val="Calibri"/>
        <family val="2"/>
        <scheme val="minor"/>
      </rPr>
      <t>, quantos dias o seu agregado familiar pediu emprestado comida ou  dependeu de ajuda de amigos ou familiares para comprar comida devido à falta de alimentos ou dinheiro? 
[OPERADOR: REGISTA O NÚMERO DE DIAS 0 - 7]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</si>
  <si>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</si>
  <si>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</si>
  <si>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</si>
  <si>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how many days did your household reduce the number of meals eaten in a day due to lack of food or money to buy food?
[OPERATOR: RECORD NUMBER OF DAYS 0 - 7 ]</t>
    </r>
  </si>
  <si>
    <r>
      <t xml:space="preserve">Nos </t>
    </r>
    <r>
      <rPr>
        <b/>
        <sz val="12"/>
        <color theme="1"/>
        <rFont val="Calibri"/>
        <family val="2"/>
        <scheme val="minor"/>
      </rPr>
      <t>últimos 7 dias</t>
    </r>
    <r>
      <rPr>
        <sz val="12"/>
        <color theme="1"/>
        <rFont val="Calibri"/>
        <family val="2"/>
        <scheme val="minor"/>
      </rPr>
      <t>, quantos dias o seu agregado familiar reduziu o número de refeições realizadas por dia devido à falta de comida ou dinheiro para comprar alimentos? 
[OPERADOR: REGISTA O NÚMERO DE DIAS 0 - 7]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</si>
  <si>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</si>
  <si>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</si>
  <si>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</si>
  <si>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how many days did your household limit portion sizes at mealtime due to lack of food or money to buy food? 
[OPERATOR: RECORD NUMBER OF DAYS 0 - 7 ]</t>
    </r>
  </si>
  <si>
    <r>
      <t>Nos</t>
    </r>
    <r>
      <rPr>
        <b/>
        <sz val="12"/>
        <color theme="1"/>
        <rFont val="Calibri"/>
        <family val="2"/>
        <scheme val="minor"/>
      </rPr>
      <t xml:space="preserve"> últimos 7 dias</t>
    </r>
    <r>
      <rPr>
        <sz val="12"/>
        <color theme="1"/>
        <rFont val="Calibri"/>
        <family val="2"/>
        <scheme val="minor"/>
      </rPr>
      <t>, quantos dias o seu agregado familiar limitou as quantidades de comida na hora das refeições devido à falta de comida ou dinheiro para comprar alimentos? 
[OPERADOR: REGISTA O NÚMERO DE DIAS 0 - 7]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</si>
  <si>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</si>
  <si>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</si>
  <si>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</si>
  <si>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how many days did your household restrict consumption by adults so children could eat, due to lack of food or money to buy food?
[OPERATOR: RECORD NUMBER OF DAYS 0 - 7 ]</t>
    </r>
  </si>
  <si>
    <r>
      <t xml:space="preserve">Nos </t>
    </r>
    <r>
      <rPr>
        <b/>
        <sz val="12"/>
        <rFont val="Calibri"/>
        <family val="2"/>
        <scheme val="minor"/>
      </rPr>
      <t>últimos 7 dias</t>
    </r>
    <r>
      <rPr>
        <sz val="12"/>
        <rFont val="Calibri"/>
        <family val="2"/>
        <scheme val="minor"/>
      </rPr>
      <t>, quantos dias o seu agregado familiar restringiu o consumo de adultos para que as crianças pudessem comer devido à falta de comida ou dinheiro para comprar alimentos? 
[OPERADOR: REGISTA O NÚMERO DE DIAS 0 - 7]</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</si>
  <si>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</si>
  <si>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</si>
  <si>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</si>
  <si>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</si>
  <si>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</si>
  <si>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t>O seu agregado familiar necessita de assistência para as atividades agrícolas [incluindo atividades agrícolas, pecuárias e de pesca/aquicultura] nos próximos 3 a 6 meses?
[OPERADOR(A): RESPOSTA ÚNICA.]
1)SIM
2)NÃO
3)NÃO SABE
4)RECUSA</t>
  </si>
  <si>
    <r>
      <rPr>
        <sz val="12"/>
        <color rgb="FF000000"/>
        <rFont val="Calibri"/>
        <scheme val="minor"/>
      </rPr>
      <t xml:space="preserve">Send if "hh_agricactivity" "Equals" "Yes - crop production" Or "hh_agricactivity" "Equals" "Yes - livestock production" Or "hh_agricactivity" "Equals" "Yes - both crop and livestock production" </t>
    </r>
    <r>
      <rPr>
        <b/>
        <sz val="12"/>
        <color rgb="FF4472C4"/>
        <rFont val="Calibri"/>
      </rPr>
      <t>Or "hh_fish" "Equals" "YES"</t>
    </r>
    <r>
      <rPr>
        <sz val="12"/>
        <color rgb="FF000000"/>
        <rFont val="Calibri"/>
        <scheme val="minor"/>
      </rPr>
      <t xml:space="preserve">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t>
    </r>
    <r>
      <rPr>
        <b/>
        <sz val="12"/>
        <color rgb="FF4472C4"/>
        <rFont val="Calibri"/>
      </rPr>
      <t>callback</t>
    </r>
    <r>
      <rPr>
        <sz val="12"/>
        <color rgb="FF000000"/>
        <rFont val="Calibri"/>
        <scheme val="minor"/>
      </rPr>
      <t>"</t>
    </r>
  </si>
  <si>
    <r>
      <t xml:space="preserve">1 = need_2
2-4= </t>
    </r>
    <r>
      <rPr>
        <b/>
        <sz val="12"/>
        <color theme="4"/>
        <rFont val="Calibri (Body)"/>
      </rPr>
      <t>need_received</t>
    </r>
  </si>
  <si>
    <r>
      <rPr>
        <i/>
        <sz val="12"/>
        <rFont val="Calibri"/>
        <family val="2"/>
        <scheme val="minor"/>
      </rPr>
      <t xml:space="preserve">Only administered to households </t>
    </r>
    <r>
      <rPr>
        <i/>
        <sz val="12"/>
        <rFont val="Calibri (Body)"/>
      </rPr>
      <t>involved in agricultural production [crop, livestock and/or fish].</t>
    </r>
    <r>
      <rPr>
        <i/>
        <sz val="12"/>
        <rFont val="Calibri"/>
        <family val="2"/>
        <scheme val="minor"/>
      </rPr>
      <t xml:space="preserve"> Otherwise, go to "</t>
    </r>
    <r>
      <rPr>
        <b/>
        <i/>
        <sz val="12"/>
        <color theme="4"/>
        <rFont val="Calibri (Body)"/>
      </rPr>
      <t>callback</t>
    </r>
    <r>
      <rPr>
        <i/>
        <sz val="12"/>
        <rFont val="Calibri"/>
        <family val="2"/>
        <scheme val="minor"/>
      </rPr>
      <t xml:space="preserve">".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</si>
  <si>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</si>
  <si>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</si>
  <si>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</si>
  <si>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r>
      <t>Quais são as maiores necessidades de assistência às atividades agrícolas [incluindo atividades agrícolas, pecuária ou de pesca/aquicultura] do seu agregado familiar nos próximos 3 a 6 meses?
[OPERADOR(A): RESPOSTA MÚLTIPLA. NÃO LER AS OÇÕES.]
1)Alimento
2)Dinheiro
3)Vouchers ou</t>
    </r>
    <r>
      <rPr>
        <sz val="12"/>
        <color rgb="FFFF0000"/>
        <rFont val="Calibri"/>
        <family val="2"/>
        <scheme val="minor"/>
      </rPr>
      <t xml:space="preserve"> </t>
    </r>
    <r>
      <rPr>
        <sz val="12"/>
        <rFont val="Calibri"/>
        <family val="2"/>
        <scheme val="minor"/>
      </rPr>
      <t>feiras de insumos
4)Insumos para a produção de culturas e/ou produtos hortícolas [p.ex: sementes, fertilizantes, ferramentas]
5)Infraestructura para a produção de culturas e/ou produtos hortícolas [p.ex: irrigação, reabilitação de canais, bombas]
6)Capacitação e conhecimento/assessoramento técnico para a produção de culturas
7)Alimentação de animais [forragem ou alimentos complementares]
8)Serviços veterinários [p.ex: vacinação,</t>
    </r>
    <r>
      <rPr>
        <sz val="12"/>
        <color theme="1"/>
        <rFont val="Calibri"/>
        <family val="2"/>
        <scheme val="minor"/>
      </rPr>
      <t xml:space="preserve"> banhos de imersão, d</t>
    </r>
    <r>
      <rPr>
        <sz val="12"/>
        <rFont val="Calibri"/>
        <family val="2"/>
        <scheme val="minor"/>
      </rPr>
      <t xml:space="preserve">esparasitação]
9)Infraestrutura para a pecuária [p.ex: pontos de </t>
    </r>
    <r>
      <rPr>
        <sz val="12"/>
        <color rgb="FFFF0000"/>
        <rFont val="Calibri"/>
        <family val="2"/>
        <scheme val="minor"/>
      </rPr>
      <t>abeberamento</t>
    </r>
    <r>
      <rPr>
        <sz val="12"/>
        <rFont val="Calibri"/>
        <family val="2"/>
        <scheme val="minor"/>
      </rPr>
      <t>, corredores para a pastagem, currais, pontos de tratamento]
10)Capacitação e conhecimento/assesoramento técnico para a produção animal
11)Insumos para a produção pesqueira ou aquícola
12)Infraestrutura para a produção pesqueira ou aquícola [reabilitação do porto; reparação de lagoas]
13)Capacitação e conhecimento/assesoramento técnico para a produção pesqueira ou aquícola
14)Reabilitação ambiental ou de infraestrutura [em nível comunitário / em toda a comunidade]
15)Armazenamento refrigerado
16)Apoio à comercialização ou vendas [p.ex: contratos públicos]
17)Outro [especificar]
18)NÃO SABE
19)RECUSA</t>
    </r>
  </si>
  <si>
    <t>Form Type - Checklist
18,19 = IsNone</t>
  </si>
  <si>
    <r>
      <t>1-19 =</t>
    </r>
    <r>
      <rPr>
        <b/>
        <sz val="12"/>
        <rFont val="Calibri"/>
        <family val="2"/>
        <scheme val="minor"/>
      </rPr>
      <t xml:space="preserve"> 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</si>
  <si>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</si>
  <si>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</si>
  <si>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</si>
  <si>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</si>
  <si>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</si>
  <si>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O seu agregado familiar recebeu alguma assistência nos últimos 3 meses e, em caso afirmativo, que tipo de assistência recebeu?
[OPERADOR(A): É POSSÍVEL SELECIONAR MÚLTIPLAS RESPOSTAS. LEIA AS OPÇÕES DE RESPOSTA.]
1)Alimento
2)Dinheiro
3)Vouchers/feiras de insumos
4)Assistência para a produção de culturas e/ou produtos hortícolas
5)Assistência para a produção animal
6)Assistência para a pesca e/ou aquicultura
7)Reabilitação ambiental ou de infraestrutura [em nível comunitário / em toda a comunidade]
8))Apoio à comercialização ou vendas [p.ex: contratos públicos]
9)Outro [especificar]
10)Não recebeu assistência
11)NÃO SABE
12)RECUSA</t>
  </si>
  <si>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</si>
  <si>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</si>
  <si>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</si>
  <si>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</si>
  <si>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</si>
  <si>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</si>
  <si>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t>O(a) senhor(a) ficou satisfeito com a qualidade da assistência recebida?
[OPERADOR(A): RESPOSTA ÚNICA. QUALIDADE DA ASSISTÊNCIA EM TERMOS DE ASSISTÊNCIA SUFICIENTE PARA ENFRENTAR AS DIFICULDADES DE PRODUÇÃO E VENDA.]
1)Sim
2)Não - não a recebi a tempo
3)Não - não satisfez minhas necessidades
4)Não - a quantidade não foi suficiente
5)Não - houve um problema com o provedor da assistência
6)Não - houve um mal funcionamento da assistência provida em espécie [p.ex: ferramentas de má qualidade]
7)NÃO SABE
8)RECUSA</t>
  </si>
  <si>
    <r>
      <t>1-8 =</t>
    </r>
    <r>
      <rPr>
        <b/>
        <sz val="12"/>
        <rFont val="Calibri"/>
        <family val="2"/>
        <scheme val="minor"/>
      </rPr>
      <t xml:space="preserve"> </t>
    </r>
    <r>
      <rPr>
        <b/>
        <sz val="12"/>
        <color rgb="FF4472C4"/>
        <rFont val="Calibri"/>
        <family val="2"/>
        <scheme val="minor"/>
      </rPr>
      <t>[callback or optional question]</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</si>
  <si>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</si>
  <si>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</si>
  <si>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</si>
  <si>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</si>
  <si>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Quem forneceu assistência a seu agregado familiar?
[OPERADOR(A): É POSSÍVEL SELECIONAR MÚLTIPLAS RESPOSTAS.]
1)FAO
2)PMA
3)Outras agências da ONU
4)Governo
5)Organização não-governamental/organização local
6)NÃO SABE
7)RECUSA</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</si>
  <si>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</si>
  <si>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</si>
  <si>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</si>
  <si>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</si>
  <si>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</si>
  <si>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</si>
  <si>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</si>
  <si>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 xml:space="preserve">Suas respostas nos ajudarão a entender e responder às necessidades de sua comunidade. Podemos ligar de volta em alguns meses?
[OPERADOR(A): RESPOSTA ÚNICA.]
1) SIM
2) NÃO </t>
  </si>
  <si>
    <r>
      <t xml:space="preserve">1 = </t>
    </r>
    <r>
      <rPr>
        <sz val="12"/>
        <color theme="4"/>
        <rFont val="Calibri (Body)"/>
      </rPr>
      <t>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</si>
  <si>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</si>
  <si>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</si>
  <si>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</si>
  <si>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</si>
  <si>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Para futuras entrevistas, em que dia(s) da semana podemos ligar para o(a) senhor(a)?
[OPERADOR: MÚLTIPLAS RESPOSTAS SE POSSÍVEL.]
1)Segunda-feira
2)Terca-feira
3)Quarta-feira
4)Quinta-feira
5)Sexta-feira
6)Sábado
7)Domingo</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</si>
  <si>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</si>
  <si>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</si>
  <si>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</si>
  <si>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</si>
  <si>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family val="2"/>
        <scheme val="minor"/>
      </rPr>
      <t>time[s]</t>
    </r>
    <r>
      <rPr>
        <sz val="12"/>
        <color theme="9" tint="-0.499984740745262"/>
        <rFont val="Calibri"/>
        <family val="2"/>
        <scheme val="minor"/>
      </rPr>
      <t xml:space="preserve"> can I call you?
[OPERATOR: MULTIPLE ANSWERS POSSIBLE.]
1)Mornings
2)Afternoons
3)Evenings</t>
    </r>
  </si>
  <si>
    <t>Para futuras entrevistas, a que horas podemos ligar?
[OPERADOR(A):MÚLTIPLAS RESPOSTAS POSSÍVEIS.]
1)De manhã
2)A tarde
3)A noite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</si>
  <si>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</si>
  <si>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</si>
  <si>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</si>
  <si>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</si>
  <si>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Selecione o idioma que foi mais usado para completar a entrevista.
[OPERADOR(A): RESPOSTA ÚNICA.]
1)Inglês
</t>
    </r>
    <r>
      <rPr>
        <b/>
        <sz val="12"/>
        <color theme="4"/>
        <rFont val="Calibri"/>
        <family val="2"/>
        <scheme val="minor"/>
      </rPr>
      <t>2)outros idiomas [consistente com resp_language]</t>
    </r>
  </si>
  <si>
    <r>
      <rPr>
        <b/>
        <sz val="12"/>
        <color rgb="FF0070C0"/>
        <rFont val="Calibri"/>
        <family val="2"/>
        <scheme val="minor"/>
      </rPr>
      <t xml:space="preserve">1-2 </t>
    </r>
    <r>
      <rPr>
        <sz val="12"/>
        <rFont val="Calibri"/>
        <family val="2"/>
        <scheme val="minor"/>
      </rPr>
      <t>= closeout</t>
    </r>
  </si>
  <si>
    <t>closeout</t>
  </si>
  <si>
    <r>
      <t>Thank you for your time. The interview has come to an end.</t>
    </r>
    <r>
      <rPr>
        <sz val="12"/>
        <color theme="4"/>
        <rFont val="Calibri"/>
        <family val="2"/>
        <scheme val="minor"/>
      </rPr>
      <t xml:space="preserve"> </t>
    </r>
    <r>
      <rPr>
        <b/>
        <sz val="12"/>
        <color theme="4"/>
        <rFont val="Calibri"/>
        <family val="2"/>
        <scheme val="minor"/>
      </rPr>
      <t>You will receive your #TOPUP# airtime credit on this phone within the next 2 days.</t>
    </r>
  </si>
  <si>
    <r>
      <t xml:space="preserve">Muito obrigado pelo seu tempo. A entrevista chegou ao fim. </t>
    </r>
    <r>
      <rPr>
        <b/>
        <sz val="12"/>
        <color theme="4"/>
        <rFont val="Calibri"/>
        <family val="2"/>
        <scheme val="minor"/>
      </rPr>
      <t>O(a) senhor(a) receberá seu crédito de #TOPUP# neste telefone nos próximos 2 dias.</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</si>
  <si>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</si>
  <si>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</si>
  <si>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</si>
  <si>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</si>
  <si>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</si>
  <si>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</si>
  <si>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</si>
  <si>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Etiqueta (PT)</t>
  </si>
  <si>
    <t>1.1</t>
  </si>
  <si>
    <t>Rice</t>
  </si>
  <si>
    <t>Arroz</t>
  </si>
  <si>
    <t>1.2</t>
  </si>
  <si>
    <t>Wheat</t>
  </si>
  <si>
    <t>Trigo</t>
  </si>
  <si>
    <t>1.3</t>
  </si>
  <si>
    <t>Millet</t>
  </si>
  <si>
    <t>Mexoeira</t>
  </si>
  <si>
    <t>1.4</t>
  </si>
  <si>
    <t>Sorghum</t>
  </si>
  <si>
    <t>Mapira</t>
  </si>
  <si>
    <t>1.5</t>
  </si>
  <si>
    <t>Maize</t>
  </si>
  <si>
    <t>Milho</t>
  </si>
  <si>
    <t>1.6</t>
  </si>
  <si>
    <t>Barley</t>
  </si>
  <si>
    <t>Cevada</t>
  </si>
  <si>
    <t>1.99</t>
  </si>
  <si>
    <t>Other Cereal</t>
  </si>
  <si>
    <t>Outros cereais</t>
  </si>
  <si>
    <t>2.1</t>
  </si>
  <si>
    <t>Cassava</t>
  </si>
  <si>
    <t>Mandioca</t>
  </si>
  <si>
    <t>2.2</t>
  </si>
  <si>
    <t>Potatoe</t>
  </si>
  <si>
    <t>Batata</t>
  </si>
  <si>
    <t>2.3</t>
  </si>
  <si>
    <t>Sweet Potatoes</t>
  </si>
  <si>
    <t>Batata doce</t>
  </si>
  <si>
    <t>2.4</t>
  </si>
  <si>
    <t>Yams</t>
  </si>
  <si>
    <t>Inhames</t>
  </si>
  <si>
    <t>2.5</t>
  </si>
  <si>
    <t>Carrots</t>
  </si>
  <si>
    <t>Cenouras</t>
  </si>
  <si>
    <t>2.6</t>
  </si>
  <si>
    <t>Cocoyam</t>
  </si>
  <si>
    <t>2.99</t>
  </si>
  <si>
    <t>Other tubers</t>
  </si>
  <si>
    <t>Outros tubérculos</t>
  </si>
  <si>
    <t>3.1</t>
  </si>
  <si>
    <t>Beans</t>
  </si>
  <si>
    <t>Feijões</t>
  </si>
  <si>
    <t>3.2</t>
  </si>
  <si>
    <t>Lentils</t>
  </si>
  <si>
    <t>Lentilha</t>
  </si>
  <si>
    <t>3.3</t>
  </si>
  <si>
    <t>Peas</t>
  </si>
  <si>
    <t>Ervilha</t>
  </si>
  <si>
    <t>3.4</t>
  </si>
  <si>
    <t>Soybeans</t>
  </si>
  <si>
    <t>Soja</t>
  </si>
  <si>
    <t>3.5</t>
  </si>
  <si>
    <t>Chickpeas</t>
  </si>
  <si>
    <t>Grão de bico</t>
  </si>
  <si>
    <t>3.6</t>
  </si>
  <si>
    <t>Fava beans</t>
  </si>
  <si>
    <t>Grãos de fava</t>
  </si>
  <si>
    <t>3.7</t>
  </si>
  <si>
    <t>Broad beans</t>
  </si>
  <si>
    <t>Favas</t>
  </si>
  <si>
    <t>3.99</t>
  </si>
  <si>
    <t>Other pulses</t>
  </si>
  <si>
    <t>Outras leguminosas</t>
  </si>
  <si>
    <t>4.1</t>
  </si>
  <si>
    <t>Cabbage</t>
  </si>
  <si>
    <t>Couve/repolho</t>
  </si>
  <si>
    <t>4.2</t>
  </si>
  <si>
    <t>Lettuce</t>
  </si>
  <si>
    <t>Alface</t>
  </si>
  <si>
    <t>4.3</t>
  </si>
  <si>
    <t>Spinach-Amaranth</t>
  </si>
  <si>
    <t>Espinafre-Amaranto</t>
  </si>
  <si>
    <t>4.4</t>
  </si>
  <si>
    <t>Cassava leaves</t>
  </si>
  <si>
    <t>Folha de mandioca</t>
  </si>
  <si>
    <t>4.5</t>
  </si>
  <si>
    <t>Potatoe leaves</t>
  </si>
  <si>
    <t>Folha de batata</t>
  </si>
  <si>
    <t>4.6</t>
  </si>
  <si>
    <t>Moringa</t>
  </si>
  <si>
    <t>4.7</t>
  </si>
  <si>
    <t>Sorrel Hibiscus / Rosselle</t>
  </si>
  <si>
    <t>Rosella / Flor de jamaica</t>
  </si>
  <si>
    <t>4.9</t>
  </si>
  <si>
    <t>Green salad herbs [thyme, parsley, mint, rocca, other]</t>
  </si>
  <si>
    <t>Ervas verdes para salada [tomilho, salsa, hortelã, etc]</t>
  </si>
  <si>
    <t>4.101</t>
  </si>
  <si>
    <t>Cauliflower</t>
  </si>
  <si>
    <t>Couve-flor</t>
  </si>
  <si>
    <t>4.99</t>
  </si>
  <si>
    <t>Other leafy vegetables</t>
  </si>
  <si>
    <t>Outros vegetais folhosos</t>
  </si>
  <si>
    <t>5.1</t>
  </si>
  <si>
    <t>Tomatoes</t>
  </si>
  <si>
    <t>Tomates</t>
  </si>
  <si>
    <t>5.2</t>
  </si>
  <si>
    <t>Cucumber</t>
  </si>
  <si>
    <t>Pepino</t>
  </si>
  <si>
    <t>5.3</t>
  </si>
  <si>
    <t>Pumpkin</t>
  </si>
  <si>
    <t>Abóbora</t>
  </si>
  <si>
    <t>5.4</t>
  </si>
  <si>
    <t>Eggplant/aubergine</t>
  </si>
  <si>
    <t>Berinjela</t>
  </si>
  <si>
    <t>5.5</t>
  </si>
  <si>
    <t>Zucchini</t>
  </si>
  <si>
    <t>Abobrinha</t>
  </si>
  <si>
    <t>5.6</t>
  </si>
  <si>
    <t>Okra</t>
  </si>
  <si>
    <t>Quiabo</t>
  </si>
  <si>
    <t>5.7</t>
  </si>
  <si>
    <t>Bell pepper</t>
  </si>
  <si>
    <t>Pimenta</t>
  </si>
  <si>
    <t>5.8</t>
  </si>
  <si>
    <t>Onions</t>
  </si>
  <si>
    <t>Cebolas</t>
  </si>
  <si>
    <t>5.9</t>
  </si>
  <si>
    <t>Haricot</t>
  </si>
  <si>
    <t>Feijão verde</t>
  </si>
  <si>
    <t>5.101</t>
  </si>
  <si>
    <t>Green peas</t>
  </si>
  <si>
    <t>Ervilhas verdes</t>
  </si>
  <si>
    <t>5.11</t>
  </si>
  <si>
    <t>Fava beans green</t>
  </si>
  <si>
    <t>Fava verde</t>
  </si>
  <si>
    <t>5.99</t>
  </si>
  <si>
    <t>Other non leafy vegs</t>
  </si>
  <si>
    <t xml:space="preserve">Outros vegetais não folhosos </t>
  </si>
  <si>
    <t>6.1</t>
  </si>
  <si>
    <t>Orange</t>
  </si>
  <si>
    <t>Laranja</t>
  </si>
  <si>
    <t>6.2</t>
  </si>
  <si>
    <t>Lemon</t>
  </si>
  <si>
    <t>Limão</t>
  </si>
  <si>
    <t>6.3</t>
  </si>
  <si>
    <t>Grapefruit</t>
  </si>
  <si>
    <t>Grapefruit / toranja</t>
  </si>
  <si>
    <t>6.4</t>
  </si>
  <si>
    <t>Mandarins/clementines</t>
  </si>
  <si>
    <t>Mandarinas/ clementinas</t>
  </si>
  <si>
    <t>6.99</t>
  </si>
  <si>
    <t>Other citrus fruit</t>
  </si>
  <si>
    <t>Outros cítricos</t>
  </si>
  <si>
    <t>7.1</t>
  </si>
  <si>
    <t>Sweet Banana</t>
  </si>
  <si>
    <t>Banana madura (para consumo - fresca)</t>
  </si>
  <si>
    <t>7.2</t>
  </si>
  <si>
    <t>Plantains</t>
  </si>
  <si>
    <t>Banana macaco verde (para consumo - cozida)</t>
  </si>
  <si>
    <t>7.3</t>
  </si>
  <si>
    <t>Papaya</t>
  </si>
  <si>
    <t>Papaya/ mamão</t>
  </si>
  <si>
    <t>7.4</t>
  </si>
  <si>
    <t>Mango</t>
  </si>
  <si>
    <t>Manga</t>
  </si>
  <si>
    <t>7.5</t>
  </si>
  <si>
    <t>Guava</t>
  </si>
  <si>
    <t>Goiaba</t>
  </si>
  <si>
    <t>7.6</t>
  </si>
  <si>
    <t>Pineapple</t>
  </si>
  <si>
    <t>Abacaxi</t>
  </si>
  <si>
    <t>7.7</t>
  </si>
  <si>
    <t>Avocado</t>
  </si>
  <si>
    <t>Abacate</t>
  </si>
  <si>
    <t>7.8</t>
  </si>
  <si>
    <t>Water Melon</t>
  </si>
  <si>
    <t>Melancia</t>
  </si>
  <si>
    <t>7.9</t>
  </si>
  <si>
    <t>Dates</t>
  </si>
  <si>
    <t>Tâmaras</t>
  </si>
  <si>
    <t>7.101</t>
  </si>
  <si>
    <t>Figs</t>
  </si>
  <si>
    <t>Figos</t>
  </si>
  <si>
    <t>7.11</t>
  </si>
  <si>
    <t>Grapes</t>
  </si>
  <si>
    <t>Uvas</t>
  </si>
  <si>
    <t>7.12</t>
  </si>
  <si>
    <t>Olives</t>
  </si>
  <si>
    <t>Azeitonas</t>
  </si>
  <si>
    <t>7.13</t>
  </si>
  <si>
    <t>Apple</t>
  </si>
  <si>
    <t>Maça</t>
  </si>
  <si>
    <t>7.14</t>
  </si>
  <si>
    <t>Apricot</t>
  </si>
  <si>
    <t>Damasco</t>
  </si>
  <si>
    <t>7.15</t>
  </si>
  <si>
    <t>Cherries</t>
  </si>
  <si>
    <t>Cerejas</t>
  </si>
  <si>
    <t>7.16</t>
  </si>
  <si>
    <t>Peach/nectarine</t>
  </si>
  <si>
    <t>Pêssego/nectarina</t>
  </si>
  <si>
    <t>7.17</t>
  </si>
  <si>
    <t>Strawberries</t>
  </si>
  <si>
    <t>Morango</t>
  </si>
  <si>
    <t>7.18</t>
  </si>
  <si>
    <t>Melon [Cantaloupe]</t>
  </si>
  <si>
    <t>Melão [Cantalupo]</t>
  </si>
  <si>
    <t>7.99</t>
  </si>
  <si>
    <t>Other fruit</t>
  </si>
  <si>
    <t>Outras frutas</t>
  </si>
  <si>
    <t>8.1</t>
  </si>
  <si>
    <t>Coconuts</t>
  </si>
  <si>
    <t>Coco</t>
  </si>
  <si>
    <t>8.2</t>
  </si>
  <si>
    <t>Groundnut/peanut</t>
  </si>
  <si>
    <t>Amendoim</t>
  </si>
  <si>
    <t>8.3</t>
  </si>
  <si>
    <t>Cashew Nut</t>
  </si>
  <si>
    <t>Castanha de cajú</t>
  </si>
  <si>
    <t>8.4</t>
  </si>
  <si>
    <t>Kola Nut</t>
  </si>
  <si>
    <t>Noz de cola</t>
  </si>
  <si>
    <t>8.5</t>
  </si>
  <si>
    <t>Sesame</t>
  </si>
  <si>
    <t>Gergelim</t>
  </si>
  <si>
    <t>8.6</t>
  </si>
  <si>
    <t>Bambara nut</t>
  </si>
  <si>
    <t>8.7</t>
  </si>
  <si>
    <t>Almond</t>
  </si>
  <si>
    <t>Amêndoa</t>
  </si>
  <si>
    <t>8.8</t>
  </si>
  <si>
    <t>Walnut</t>
  </si>
  <si>
    <t>Nozes</t>
  </si>
  <si>
    <t>8.99</t>
  </si>
  <si>
    <t>Other nuts</t>
  </si>
  <si>
    <t>Outras nozes/oleaginosas</t>
  </si>
  <si>
    <t>9.1</t>
  </si>
  <si>
    <t>Cocoa</t>
  </si>
  <si>
    <t>Cacau</t>
  </si>
  <si>
    <t>9.2</t>
  </si>
  <si>
    <t>Coffee</t>
  </si>
  <si>
    <t>Café</t>
  </si>
  <si>
    <t>9.3</t>
  </si>
  <si>
    <t>Tea</t>
  </si>
  <si>
    <t>Chá</t>
  </si>
  <si>
    <t>9.4</t>
  </si>
  <si>
    <t>Sugarcane</t>
  </si>
  <si>
    <t>Cana-de-açúcar</t>
  </si>
  <si>
    <t>9.5</t>
  </si>
  <si>
    <t>Sunflower</t>
  </si>
  <si>
    <t>Girassol</t>
  </si>
  <si>
    <t>9.99</t>
  </si>
  <si>
    <t>Other food cash crop</t>
  </si>
  <si>
    <t>Outras culturas alimentares comerciais/ de rendimento</t>
  </si>
  <si>
    <t>10.1</t>
  </si>
  <si>
    <t>Cotton</t>
  </si>
  <si>
    <t>Algodão</t>
  </si>
  <si>
    <t>10.2</t>
  </si>
  <si>
    <t>Rubber</t>
  </si>
  <si>
    <t>Borracha</t>
  </si>
  <si>
    <t>10.3</t>
  </si>
  <si>
    <t>Jute</t>
  </si>
  <si>
    <t>Cisal</t>
  </si>
  <si>
    <t>10.4</t>
  </si>
  <si>
    <t>Fodder</t>
  </si>
  <si>
    <t>Forragem</t>
  </si>
  <si>
    <t>10.5</t>
  </si>
  <si>
    <t>Tobacco</t>
  </si>
  <si>
    <t>Tabaco</t>
  </si>
  <si>
    <t>10.6</t>
  </si>
  <si>
    <t>Qat</t>
  </si>
  <si>
    <t>10.99</t>
  </si>
  <si>
    <t>Other non-food cash crop</t>
  </si>
  <si>
    <t>Outras culturas comerciais/ de rendimento não alimentares</t>
  </si>
  <si>
    <t>Original</t>
  </si>
  <si>
    <t xml:space="preserve">Replacement (EN) </t>
  </si>
  <si>
    <t>Substituição (PT)</t>
  </si>
  <si>
    <t>Comment (EN)</t>
  </si>
  <si>
    <t>Comentário (PT)</t>
  </si>
  <si>
    <t>Examples (EN)</t>
  </si>
  <si>
    <t>Exemplo (PT)</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</si>
  <si>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</si>
  <si>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</si>
  <si>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</si>
  <si>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 xml:space="preserve">A primeira subdivisão do país, depois do nível nacional; região; província; estado; etc. </t>
  </si>
  <si>
    <t>region</t>
  </si>
  <si>
    <t>região</t>
  </si>
  <si>
    <t>ADMIN2</t>
  </si>
  <si>
    <t>The second subdivision of the country; district; municipality; LGA; etc.</t>
  </si>
  <si>
    <t>A segunda subdivisão do país; distrito; município; LGA; etc.</t>
  </si>
  <si>
    <t>district</t>
  </si>
  <si>
    <t>distrito</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</si>
  <si>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</si>
  <si>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</si>
  <si>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As perguntas de comparação precisam de um ano de referência. Selecione se deseja utilizar "ano passado" ou "um ano normal" como baseline/referência. Um "ano normal" deve se referir a um ano médio dos últimos 5 anos - certifique-se de capacitar os entrevistadores adequadamente em relação a isso.</t>
  </si>
  <si>
    <t>a normal year</t>
  </si>
  <si>
    <t>um ano normal</t>
  </si>
  <si>
    <t>season</t>
  </si>
  <si>
    <t>Name the crop season(s) of interest if there are several cropping seasons in the country (e.g. Meher and Belg in Ethiopia, rainy season / flood-recession cropping / irrigated dry season in the Sahel). You can refer to the “last season” or “ongoing season".</t>
  </si>
  <si>
    <t>Indique a(s) época(s) de cultivo de interesse caso haja várias épocas de cultivo no país (p.ex: Meher e Belg em Etiópia, temporada de chuvas / cultivo de recessão por inundação / temporada seca irrigada no Sahel). Você pode se referir à "última temporada" ou "temporada em andamento".</t>
  </si>
  <si>
    <t>wet season</t>
  </si>
  <si>
    <t>estação chuvosa</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</si>
  <si>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</si>
  <si>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</si>
  <si>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Indique a fase da estação/temporada </t>
    </r>
    <r>
      <rPr>
        <b/>
        <sz val="11"/>
        <rFont val="Calibri"/>
        <family val="2"/>
      </rPr>
      <t>no momento da coleta de dados</t>
    </r>
    <r>
      <rPr>
        <sz val="11"/>
        <rFont val="Calibri"/>
        <family val="2"/>
      </rPr>
      <t xml:space="preserve">. Caso a colheita da estação ainda não ocorreu, a pergunta sobre a colheita da principal cultura (crp_harv_change) incluirá a palavra "esperado" (no lugar de </t>
    </r>
    <r>
      <rPr>
        <i/>
        <sz val="11"/>
        <rFont val="Calibri"/>
        <family val="2"/>
      </rPr>
      <t>#expected or nothing#</t>
    </r>
    <r>
      <rPr>
        <sz val="11"/>
        <rFont val="Calibri"/>
        <family val="2"/>
      </rPr>
      <t>). Se a colheita já tiver ocorrido, a palavra "esperado" não será inserida na pergunta.</t>
    </r>
  </si>
  <si>
    <t>Harvesting</t>
  </si>
  <si>
    <t>Colheita</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</si>
  <si>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</si>
  <si>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</si>
  <si>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Especifique a unidade de medida local para a área de terra para cultivo, exceto acres, hectares, metros quadrados e pés quadrados. Se nenhuma outra unidade de medida for necessária,</t>
    </r>
    <r>
      <rPr>
        <b/>
        <sz val="11"/>
        <rFont val="Calibri"/>
        <family val="2"/>
      </rPr>
      <t xml:space="preserve"> mantenha a célula em branco</t>
    </r>
    <r>
      <rPr>
        <sz val="11"/>
        <rFont val="Calibri"/>
        <family val="2"/>
      </rPr>
      <t>.</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</si>
  <si>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</si>
  <si>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</si>
  <si>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</si>
  <si>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Inclua a conversão da unidade de medida local para hectares. Em outras palavras, quantas unidades da medida local corresponde a 1 ha.</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</si>
  <si>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</si>
  <si>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</si>
  <si>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</si>
  <si>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O nome da principal moeda utilizada nacionalmente; USD; Naira; Real; Pesos; etc.</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</si>
  <si>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</si>
  <si>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</si>
  <si>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</si>
  <si>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O montante mínimo para uma fonte de rendimento deve ser fixado em 0 ou em qualquer valor abaixo do qual não seja possível efetuar uma transação. Por exemplo, a menor moeda/nota de uma moeda pode ser 1000, caso em que você definiria o mínimo como 1000. Forneça essa informação na mesma moeda especificada acima. </t>
    </r>
    <r>
      <rPr>
        <b/>
        <sz val="11"/>
        <rFont val="Calibri"/>
        <family val="2"/>
      </rPr>
      <t>Apenas dígitos devem ser inseridos.</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</si>
  <si>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</si>
  <si>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</si>
  <si>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r>
      <t xml:space="preserve">Defina o valor máximo para uma fonte de renda ao longo de 3 meses. Os entrevistadores não poderão introduzir valores acima deste montante em questões relacionadas aos valores de rendimentos. Com base em pesquisas representativas anteriores, você pode estimar esse valor usando a renda média mais cinco (5) desvios-padrão, a não ser que o país tenha inflação alta. Neste último caso, defina o valor máximo com base no contexto do seu país (valor superior à abordagem proposta). Forneça essa informação na mesma moeda especificada acima. </t>
    </r>
    <r>
      <rPr>
        <b/>
        <sz val="11"/>
        <rFont val="Calibri"/>
        <family val="2"/>
      </rPr>
      <t>Apenas dígitos devem ser inseridos.</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</si>
  <si>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</si>
  <si>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</si>
  <si>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 xml:space="preserve">O salário limite/máximo deve ser calculado para sinalizar valores atípicos (respostas que parecem suspeitamente altas). Com base em inquéritos representativos anteriores, uma boa estimativa é a média mais três (3) desvios-padrão, o que daria o limiar para os 3 ou 4% valores de rendimentos mais altos. Forneça essa informação na mesma moeda especificada acima. </t>
    </r>
    <r>
      <rPr>
        <b/>
        <sz val="11"/>
        <rFont val="Calibri"/>
        <family val="2"/>
      </rPr>
      <t>Somente dígitos devem ser inseridos.</t>
    </r>
  </si>
  <si>
    <t>local vegetables</t>
  </si>
  <si>
    <t>Input some common local vegetables [to be used as examples in the food consumption score indicator].</t>
  </si>
  <si>
    <t>Insira alguns vegetais locais comuns [para serem usados como axemplos no indicador de pontuação de consumo alimentar / Food Consumption Score]</t>
  </si>
  <si>
    <t>eggplants, zucchini, cauliflower</t>
  </si>
  <si>
    <t>berinjela, abobrinha, couve-flor</t>
  </si>
  <si>
    <t>local fruits</t>
  </si>
  <si>
    <t>Input some common local fruits [to be used as examples in the food consumption score indicator].</t>
  </si>
  <si>
    <t>Insira algumas frutas locais comuns [para serem usados como axemplos no indicador de pontuação de consumo alimentar / Food Consumption Score]</t>
  </si>
  <si>
    <t>apples, bananas, oranges</t>
  </si>
  <si>
    <t>maçãs, bananas, laranjas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</si>
  <si>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</si>
  <si>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</si>
  <si>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</si>
  <si>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Se o inquérito é representativo e não utiliza quotas, escreva a proporção de agregados familiares rurais que cultivam culturas a nível nacional, ou se o inquérito segue uma rodada anterior com o mesmo desenho amostral, somente informe o percentual desses agregados familiares da rodada anterior. Se está utilizando quotas, calcule a razão entre a quota e o tamanho mínimo da amostra no nível em que a quota é implementada (portanto, se o tamanho mínimo da mostra por estratos é de 110 agregados familiares com uma quota de 100 produtores agrícolas, então esse valor é 100/110 = 91% (o máximo que você deveria escrever é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</si>
  <si>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</si>
  <si>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</si>
  <si>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Se o inquérito é representativo e não utiliza quotas, escreva a proporção de agregados familiares rurais que criam animais a nível nacional, ou se o inquérito segue uma rodada anterior com o mesmo desenho amostral, somente informe o percentual desses agregados familiares da rodada anterior. Se está utilizando quotas, calcule a razão entre a quota e o tamanho mínimo da amostra no nível em que a quota é implementada (portanto, se o tamanho mínimo da mostra por estratos é de 110 agregados familiares com uma quota de 100 produtores de animais, então esse valor é 100/110 = 91% (o máximo que você deveria escrever é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</si>
  <si>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</si>
  <si>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</si>
  <si>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Se o inquérito é representativo e não utiliza quotas, escreva a proporção de agregados familiares rurais envolvidos com pesca/aquicultura a nível nacional. Se está utilizando quotas, calcule a razão entre a quota e o tamanho mínimo da amostra no nível em que a quota é implementada. (então, se não definiu uma quota e espera ter uma proporção representativa de pescadores/criadores de peixe, apenas escreva este percentual de pescadores/criadores de peixe na população de referência; no exemplo à direita,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</si>
</sst>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6">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sz val="10"/>
      <color theme="4"/>
      <name val="Calibri"/>
      <family val="2"/>
      <scheme val="minor"/>
    </font>
    <font>
      <sz val="12"/>
      <name val="Calibri (Body)"/>
    </font>
    <font>
      <sz val="12"/>
      <color rgb="FFFF0000"/>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sz val="14"/>
      <name val="Calibri"/>
      <family val="2"/>
      <scheme val="minor"/>
    </font>
    <font>
      <i/>
      <sz val="10.5"/>
      <name val="Calibri"/>
      <family val="2"/>
    </font>
    <font>
      <b/>
      <sz val="12"/>
      <color rgb="FF4472C4"/>
      <name val="Calibri"/>
      <family val="2"/>
      <scheme val="minor"/>
    </font>
    <font>
      <b/>
      <i/>
      <sz val="12"/>
      <color theme="4"/>
      <name val="Calibri (Body)"/>
    </font>
    <font>
      <strike/>
      <sz val="12"/>
      <name val="Calibri"/>
      <family val="2"/>
      <scheme val="minor"/>
    </font>
    <font>
      <sz val="12"/>
      <color rgb="FF000000"/>
      <name val="Calibri"/>
      <family val="2"/>
    </font>
    <font>
      <sz val="12"/>
      <color rgb="FF375623"/>
      <name val="Calibri"/>
      <family val="2"/>
    </font>
    <font>
      <b/>
      <sz val="12"/>
      <color rgb="FF375623"/>
      <name val="Calibri"/>
      <family val="2"/>
    </font>
    <font>
      <sz val="12"/>
      <color rgb="FF000000"/>
      <name val="Calibri"/>
      <scheme val="minor"/>
    </font>
    <font>
      <b/>
      <sz val="12"/>
      <color rgb="FF4472C4"/>
      <name val="Calibri"/>
    </font>
    <font>
      <sz val="12"/>
      <name val="Calibri"/>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20">
    <xf numFmtId="0" fontId="0"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applyNumberFormat="0" applyAlignment="0" applyProtection="0"/>
    <xf numFmtId="0" fontId="8" fillId="0" borderId="0"/>
    <xf numFmtId="0" fontId="8" fillId="0" borderId="0"/>
    <xf numFmtId="0" fontId="7" fillId="0" borderId="0"/>
    <xf numFmtId="9" fontId="9" fillId="0" borderId="0" applyFont="0" applyFill="0" applyBorder="0" applyAlignment="0" applyProtection="0"/>
    <xf numFmtId="0" fontId="6"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cellStyleXfs>
  <cellXfs count="625">
    <xf numFmtId="0" fontId="0" fillId="0" borderId="0" xfId="0"/>
    <xf numFmtId="0" fontId="13" fillId="0" borderId="36" xfId="3" applyFont="1" applyBorder="1" applyAlignment="1" applyProtection="1">
      <alignment horizontal="left" vertical="center" wrapText="1"/>
      <protection locked="0"/>
    </xf>
    <xf numFmtId="0" fontId="13" fillId="0" borderId="37" xfId="3" applyFont="1" applyBorder="1" applyAlignment="1" applyProtection="1">
      <alignment horizontal="left" vertical="center" wrapText="1"/>
      <protection locked="0"/>
    </xf>
    <xf numFmtId="0" fontId="13" fillId="0" borderId="37" xfId="5" applyFont="1" applyBorder="1" applyAlignment="1" applyProtection="1">
      <alignment horizontal="left" vertical="center" wrapText="1"/>
      <protection locked="0"/>
    </xf>
    <xf numFmtId="0" fontId="20" fillId="9" borderId="37" xfId="3" applyFont="1" applyFill="1" applyBorder="1" applyAlignment="1" applyProtection="1">
      <alignment horizontal="left" vertical="center" wrapText="1"/>
      <protection locked="0"/>
    </xf>
    <xf numFmtId="0" fontId="13" fillId="0" borderId="38" xfId="3" applyFont="1" applyBorder="1" applyAlignment="1" applyProtection="1">
      <alignment horizontal="left" vertical="center" wrapText="1"/>
      <protection locked="0"/>
    </xf>
    <xf numFmtId="0" fontId="13" fillId="6" borderId="8" xfId="2" applyFont="1" applyFill="1" applyBorder="1" applyAlignment="1" applyProtection="1">
      <alignment horizontal="center" vertical="center"/>
      <protection locked="0"/>
    </xf>
    <xf numFmtId="0" fontId="13" fillId="6" borderId="13" xfId="0" applyFont="1" applyFill="1" applyBorder="1" applyAlignment="1" applyProtection="1">
      <alignment horizontal="left" vertical="center" wrapText="1"/>
      <protection locked="0"/>
    </xf>
    <xf numFmtId="0" fontId="13" fillId="6" borderId="3" xfId="2" applyFont="1" applyFill="1" applyBorder="1" applyAlignment="1" applyProtection="1">
      <alignment horizontal="center" vertical="center" wrapText="1"/>
      <protection locked="0"/>
    </xf>
    <xf numFmtId="0" fontId="13" fillId="6" borderId="3" xfId="0" applyFont="1" applyFill="1" applyBorder="1" applyAlignment="1" applyProtection="1">
      <alignment horizontal="center" vertical="center" wrapText="1"/>
      <protection locked="0"/>
    </xf>
    <xf numFmtId="0" fontId="13" fillId="6" borderId="3" xfId="3" applyFont="1" applyFill="1" applyBorder="1" applyAlignment="1" applyProtection="1">
      <alignment horizontal="left" vertical="center" wrapText="1"/>
      <protection locked="0"/>
    </xf>
    <xf numFmtId="0" fontId="13" fillId="6" borderId="1" xfId="0" applyFont="1" applyFill="1" applyBorder="1" applyAlignment="1" applyProtection="1">
      <alignment horizontal="left" vertical="center" wrapText="1"/>
      <protection locked="0"/>
    </xf>
    <xf numFmtId="0" fontId="13" fillId="6" borderId="1" xfId="2" applyFont="1" applyFill="1" applyBorder="1" applyAlignment="1" applyProtection="1">
      <alignment horizontal="center" vertical="center" wrapText="1"/>
      <protection locked="0"/>
    </xf>
    <xf numFmtId="0" fontId="13" fillId="6" borderId="1" xfId="0" applyFont="1" applyFill="1" applyBorder="1" applyAlignment="1" applyProtection="1">
      <alignment horizontal="center" vertical="center" wrapText="1"/>
      <protection locked="0"/>
    </xf>
    <xf numFmtId="0" fontId="13" fillId="6" borderId="1" xfId="3" applyFont="1" applyFill="1" applyBorder="1" applyAlignment="1" applyProtection="1">
      <alignment horizontal="left" vertical="center" wrapText="1"/>
      <protection locked="0"/>
    </xf>
    <xf numFmtId="0" fontId="13" fillId="6" borderId="2" xfId="2" applyFont="1" applyFill="1" applyBorder="1" applyAlignment="1" applyProtection="1">
      <alignment horizontal="center" vertical="center" wrapText="1"/>
      <protection locked="0"/>
    </xf>
    <xf numFmtId="0" fontId="13" fillId="6" borderId="13" xfId="2" applyFont="1" applyFill="1" applyBorder="1" applyAlignment="1" applyProtection="1">
      <alignment horizontal="center" vertical="center" wrapText="1"/>
      <protection locked="0"/>
    </xf>
    <xf numFmtId="0" fontId="13" fillId="0" borderId="35" xfId="3" applyFont="1" applyBorder="1" applyAlignment="1" applyProtection="1">
      <alignment horizontal="left" vertical="center" wrapText="1"/>
      <protection locked="0"/>
    </xf>
    <xf numFmtId="0" fontId="13" fillId="6" borderId="19" xfId="2"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wrapText="1"/>
      <protection locked="0"/>
    </xf>
    <xf numFmtId="0" fontId="13" fillId="6" borderId="13" xfId="0" applyFont="1" applyFill="1" applyBorder="1" applyAlignment="1" applyProtection="1">
      <alignment horizontal="center" vertical="center" wrapText="1"/>
      <protection locked="0"/>
    </xf>
    <xf numFmtId="0" fontId="13" fillId="6" borderId="20" xfId="3"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13" fillId="6" borderId="14" xfId="3" applyFont="1" applyFill="1" applyBorder="1" applyAlignment="1" applyProtection="1">
      <alignment horizontal="left" vertical="center" wrapText="1"/>
      <protection locked="0"/>
    </xf>
    <xf numFmtId="0" fontId="20" fillId="7" borderId="14" xfId="0" applyFont="1" applyFill="1" applyBorder="1" applyAlignment="1" applyProtection="1">
      <alignment horizontal="left" vertical="center" wrapText="1"/>
      <protection locked="0"/>
    </xf>
    <xf numFmtId="0" fontId="13" fillId="6" borderId="3" xfId="3" applyFont="1" applyFill="1" applyBorder="1" applyAlignment="1" applyProtection="1">
      <alignment horizontal="center" vertical="center" wrapText="1"/>
      <protection locked="0"/>
    </xf>
    <xf numFmtId="0" fontId="13" fillId="6" borderId="17" xfId="3" applyFont="1" applyFill="1" applyBorder="1" applyAlignment="1" applyProtection="1">
      <alignment horizontal="left" vertical="center" wrapText="1"/>
      <protection locked="0"/>
    </xf>
    <xf numFmtId="0" fontId="13" fillId="7" borderId="17" xfId="0" applyFont="1" applyFill="1" applyBorder="1" applyAlignment="1" applyProtection="1">
      <alignment horizontal="left" vertical="center" wrapText="1"/>
      <protection locked="0"/>
    </xf>
    <xf numFmtId="0" fontId="13" fillId="6" borderId="1" xfId="3" applyFont="1" applyFill="1" applyBorder="1" applyAlignment="1" applyProtection="1">
      <alignment horizontal="center" vertical="center" wrapText="1"/>
      <protection locked="0"/>
    </xf>
    <xf numFmtId="0" fontId="13" fillId="6" borderId="13" xfId="3" applyFont="1" applyFill="1" applyBorder="1" applyAlignment="1" applyProtection="1">
      <alignment horizontal="left" vertical="center" wrapText="1"/>
      <protection locked="0"/>
    </xf>
    <xf numFmtId="0" fontId="13" fillId="6" borderId="1" xfId="3" applyFont="1" applyFill="1" applyBorder="1" applyAlignment="1" applyProtection="1">
      <alignment vertical="center" wrapText="1"/>
      <protection locked="0"/>
    </xf>
    <xf numFmtId="0" fontId="15" fillId="6" borderId="1" xfId="2" applyFont="1" applyFill="1" applyBorder="1" applyAlignment="1" applyProtection="1">
      <alignment horizontal="center" vertical="center" wrapText="1"/>
      <protection locked="0"/>
    </xf>
    <xf numFmtId="0" fontId="13" fillId="6" borderId="6" xfId="2" applyFont="1" applyFill="1" applyBorder="1" applyAlignment="1" applyProtection="1">
      <alignment horizontal="center" vertical="center"/>
      <protection locked="0"/>
    </xf>
    <xf numFmtId="0" fontId="13" fillId="6" borderId="2" xfId="3" applyFont="1" applyFill="1" applyBorder="1" applyAlignment="1" applyProtection="1">
      <alignment horizontal="left" vertical="center" wrapText="1"/>
      <protection locked="0"/>
    </xf>
    <xf numFmtId="0" fontId="13" fillId="6" borderId="15" xfId="3" applyFont="1" applyFill="1" applyBorder="1" applyAlignment="1" applyProtection="1">
      <alignment horizontal="left" vertical="center" wrapText="1"/>
      <protection locked="0"/>
    </xf>
    <xf numFmtId="0" fontId="13" fillId="9" borderId="14" xfId="0" applyFont="1" applyFill="1" applyBorder="1" applyAlignment="1" applyProtection="1">
      <alignment horizontal="left" vertical="center" wrapText="1"/>
      <protection locked="0"/>
    </xf>
    <xf numFmtId="0" fontId="13" fillId="9" borderId="17" xfId="3" applyFont="1" applyFill="1" applyBorder="1" applyAlignment="1" applyProtection="1">
      <alignment horizontal="left" vertical="center" wrapText="1"/>
      <protection locked="0"/>
    </xf>
    <xf numFmtId="0" fontId="13" fillId="9" borderId="20" xfId="3" applyFont="1" applyFill="1" applyBorder="1" applyAlignment="1" applyProtection="1">
      <alignment horizontal="left" vertical="center" wrapText="1"/>
      <protection locked="0"/>
    </xf>
    <xf numFmtId="0" fontId="13" fillId="0" borderId="8" xfId="2" applyFont="1" applyBorder="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13" fillId="0" borderId="1" xfId="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50" xfId="3" applyFont="1" applyBorder="1" applyAlignment="1" applyProtection="1">
      <alignment horizontal="left" vertical="center" wrapText="1"/>
      <protection locked="0"/>
    </xf>
    <xf numFmtId="0" fontId="31" fillId="10" borderId="17" xfId="0" applyFont="1" applyFill="1" applyBorder="1" applyAlignment="1" applyProtection="1">
      <alignment horizontal="left" vertical="center" wrapText="1"/>
      <protection locked="0"/>
    </xf>
    <xf numFmtId="0" fontId="15" fillId="6" borderId="49" xfId="0" applyFont="1" applyFill="1" applyBorder="1" applyAlignment="1" applyProtection="1">
      <alignment horizontal="center" vertical="center"/>
      <protection locked="0"/>
    </xf>
    <xf numFmtId="0" fontId="13" fillId="6" borderId="49" xfId="0" applyFont="1" applyFill="1" applyBorder="1" applyAlignment="1" applyProtection="1">
      <alignment horizontal="center" vertical="center"/>
      <protection locked="0"/>
    </xf>
    <xf numFmtId="0" fontId="13" fillId="6" borderId="49" xfId="3" applyFont="1" applyFill="1" applyBorder="1" applyAlignment="1" applyProtection="1">
      <alignment horizontal="center" vertical="center" wrapText="1"/>
      <protection locked="0"/>
    </xf>
    <xf numFmtId="0" fontId="35" fillId="6" borderId="1" xfId="0" applyFont="1" applyFill="1" applyBorder="1" applyAlignment="1" applyProtection="1">
      <alignment horizontal="left" vertical="center" wrapText="1"/>
      <protection locked="0"/>
    </xf>
    <xf numFmtId="0" fontId="13" fillId="6" borderId="49" xfId="3" applyFont="1" applyFill="1" applyBorder="1" applyAlignment="1" applyProtection="1">
      <alignment vertical="center" wrapText="1"/>
      <protection locked="0"/>
    </xf>
    <xf numFmtId="0" fontId="13" fillId="6" borderId="7" xfId="2" applyFont="1" applyFill="1" applyBorder="1" applyAlignment="1" applyProtection="1">
      <alignment horizontal="center" vertical="center"/>
      <protection locked="0"/>
    </xf>
    <xf numFmtId="0" fontId="13" fillId="6" borderId="3" xfId="0" applyFont="1" applyFill="1" applyBorder="1" applyAlignment="1" applyProtection="1">
      <alignment horizontal="left" vertical="center" wrapText="1"/>
      <protection locked="0"/>
    </xf>
    <xf numFmtId="0" fontId="13" fillId="0" borderId="14" xfId="2" applyFont="1" applyBorder="1" applyAlignment="1" applyProtection="1">
      <alignment horizontal="left" vertical="center" wrapText="1"/>
      <protection locked="0"/>
    </xf>
    <xf numFmtId="0" fontId="13" fillId="9"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center" vertical="center" wrapText="1"/>
      <protection locked="0"/>
    </xf>
    <xf numFmtId="0" fontId="22" fillId="12" borderId="17" xfId="0" applyFont="1" applyFill="1" applyBorder="1" applyAlignment="1" applyProtection="1">
      <alignment horizontal="center" vertical="center" wrapText="1"/>
      <protection locked="0"/>
    </xf>
    <xf numFmtId="0" fontId="22" fillId="6" borderId="17" xfId="3" applyFont="1" applyFill="1" applyBorder="1" applyAlignment="1" applyProtection="1">
      <alignment horizontal="left" vertical="center" wrapText="1"/>
      <protection locked="0"/>
    </xf>
    <xf numFmtId="0" fontId="13" fillId="9" borderId="14" xfId="3" applyFont="1" applyFill="1" applyBorder="1" applyAlignment="1" applyProtection="1">
      <alignment vertical="center" wrapText="1"/>
      <protection locked="0"/>
    </xf>
    <xf numFmtId="0" fontId="22" fillId="6" borderId="20" xfId="3" applyFont="1" applyFill="1" applyBorder="1" applyAlignment="1" applyProtection="1">
      <alignment horizontal="center" vertical="center" wrapText="1"/>
      <protection locked="0"/>
    </xf>
    <xf numFmtId="0" fontId="35" fillId="6" borderId="14" xfId="0" applyFont="1" applyFill="1" applyBorder="1" applyAlignment="1" applyProtection="1">
      <alignment horizontal="left" vertical="center" wrapText="1"/>
      <protection locked="0"/>
    </xf>
    <xf numFmtId="0" fontId="13" fillId="0" borderId="50" xfId="3" applyFont="1" applyBorder="1" applyAlignment="1" applyProtection="1">
      <alignment horizontal="left" vertical="center"/>
      <protection locked="0"/>
    </xf>
    <xf numFmtId="0" fontId="9" fillId="9" borderId="53" xfId="2" applyFont="1" applyFill="1" applyBorder="1" applyAlignment="1" applyProtection="1">
      <alignment horizontal="left" vertical="center" wrapText="1"/>
      <protection locked="0"/>
    </xf>
    <xf numFmtId="0" fontId="37" fillId="4" borderId="37" xfId="3" applyFont="1" applyFill="1" applyBorder="1" applyAlignment="1" applyProtection="1">
      <alignment horizontal="left" vertical="center" wrapText="1"/>
      <protection locked="0"/>
    </xf>
    <xf numFmtId="0" fontId="20" fillId="0" borderId="37" xfId="3" applyFont="1" applyBorder="1" applyAlignment="1" applyProtection="1">
      <alignment horizontal="left" vertical="center" wrapText="1"/>
      <protection locked="0"/>
    </xf>
    <xf numFmtId="0" fontId="13" fillId="0" borderId="30" xfId="3" applyFont="1" applyBorder="1" applyAlignment="1" applyProtection="1">
      <alignment horizontal="left" vertical="center" wrapText="1"/>
      <protection locked="0"/>
    </xf>
    <xf numFmtId="0" fontId="37" fillId="4" borderId="7" xfId="2" applyFont="1" applyFill="1" applyBorder="1" applyAlignment="1" applyProtection="1">
      <alignment horizontal="center" vertical="center"/>
      <protection locked="0"/>
    </xf>
    <xf numFmtId="0" fontId="46" fillId="4" borderId="3" xfId="2" applyFont="1" applyFill="1" applyBorder="1" applyAlignment="1" applyProtection="1">
      <alignment horizontal="center" vertical="center" wrapText="1"/>
      <protection locked="0"/>
    </xf>
    <xf numFmtId="0" fontId="46" fillId="4" borderId="3" xfId="3" applyFont="1" applyFill="1" applyBorder="1" applyAlignment="1" applyProtection="1">
      <alignment horizontal="center" vertical="center" wrapText="1"/>
      <protection locked="0"/>
    </xf>
    <xf numFmtId="0" fontId="46" fillId="4" borderId="17" xfId="3" applyFont="1" applyFill="1" applyBorder="1" applyAlignment="1" applyProtection="1">
      <alignment horizontal="left" vertical="center" wrapText="1"/>
      <protection locked="0"/>
    </xf>
    <xf numFmtId="49" fontId="46" fillId="4" borderId="61" xfId="0" applyNumberFormat="1" applyFont="1" applyFill="1" applyBorder="1" applyAlignment="1" applyProtection="1">
      <alignment vertical="center" wrapText="1"/>
      <protection locked="0"/>
    </xf>
    <xf numFmtId="0" fontId="46" fillId="4" borderId="3" xfId="3" applyFont="1" applyFill="1" applyBorder="1" applyAlignment="1" applyProtection="1">
      <alignment horizontal="left" vertical="center" wrapText="1"/>
      <protection locked="0"/>
    </xf>
    <xf numFmtId="0" fontId="37" fillId="4" borderId="3" xfId="3" applyFont="1" applyFill="1" applyBorder="1" applyAlignment="1" applyProtection="1">
      <alignment horizontal="left" vertical="center" wrapText="1"/>
      <protection locked="0"/>
    </xf>
    <xf numFmtId="0" fontId="13" fillId="0" borderId="1" xfId="3"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13" fillId="0" borderId="14" xfId="3" applyFont="1" applyBorder="1" applyAlignment="1" applyProtection="1">
      <alignment horizontal="center" vertical="center" wrapText="1"/>
      <protection locked="0"/>
    </xf>
    <xf numFmtId="0" fontId="13" fillId="0" borderId="14" xfId="5" applyFont="1" applyBorder="1" applyAlignment="1" applyProtection="1">
      <alignment horizontal="center" vertical="center" wrapText="1"/>
      <protection locked="0"/>
    </xf>
    <xf numFmtId="0" fontId="20" fillId="0" borderId="14" xfId="3" applyFont="1" applyBorder="1" applyAlignment="1" applyProtection="1">
      <alignment horizontal="left" vertical="center" wrapText="1"/>
      <protection locked="0"/>
    </xf>
    <xf numFmtId="0" fontId="13" fillId="0" borderId="14" xfId="3" applyFont="1" applyBorder="1" applyAlignment="1" applyProtection="1">
      <alignment horizontal="left" vertical="center" wrapText="1"/>
      <protection locked="0"/>
    </xf>
    <xf numFmtId="0" fontId="13" fillId="0" borderId="15" xfId="3" applyFont="1" applyBorder="1" applyAlignment="1" applyProtection="1">
      <alignment horizontal="center" vertical="center" wrapText="1"/>
      <protection locked="0"/>
    </xf>
    <xf numFmtId="0" fontId="13" fillId="0" borderId="17" xfId="3" applyFont="1" applyBorder="1" applyAlignment="1" applyProtection="1">
      <alignment horizontal="left" vertical="center" wrapText="1"/>
      <protection locked="0"/>
    </xf>
    <xf numFmtId="0" fontId="13" fillId="0" borderId="20" xfId="3" applyFont="1" applyBorder="1" applyAlignment="1" applyProtection="1">
      <alignment horizontal="left" vertical="center" wrapText="1"/>
      <protection locked="0"/>
    </xf>
    <xf numFmtId="0" fontId="13" fillId="0" borderId="2" xfId="3" applyFont="1" applyBorder="1" applyAlignment="1" applyProtection="1">
      <alignment horizontal="left" vertical="center" wrapText="1"/>
      <protection locked="0"/>
    </xf>
    <xf numFmtId="0" fontId="13" fillId="9" borderId="14" xfId="2" applyFont="1" applyFill="1" applyBorder="1" applyAlignment="1" applyProtection="1">
      <alignment horizontal="left" vertical="center" wrapText="1"/>
      <protection locked="0"/>
    </xf>
    <xf numFmtId="0" fontId="13" fillId="0" borderId="17" xfId="2" applyFont="1" applyBorder="1" applyAlignment="1" applyProtection="1">
      <alignment horizontal="left" vertical="center" wrapText="1"/>
      <protection locked="0"/>
    </xf>
    <xf numFmtId="0" fontId="13" fillId="0" borderId="17" xfId="0" applyFont="1" applyBorder="1" applyAlignment="1" applyProtection="1">
      <alignment vertical="center"/>
      <protection locked="0"/>
    </xf>
    <xf numFmtId="0" fontId="13" fillId="0" borderId="45" xfId="3"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13" fillId="0" borderId="15" xfId="3"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6" xfId="2" applyFont="1" applyBorder="1" applyAlignment="1" applyProtection="1">
      <alignment horizontal="center" vertical="center" wrapText="1"/>
      <protection locked="0"/>
    </xf>
    <xf numFmtId="0" fontId="13" fillId="0" borderId="28" xfId="3" applyFont="1" applyBorder="1" applyAlignment="1" applyProtection="1">
      <alignment horizontal="left" vertical="center" wrapText="1"/>
      <protection locked="0"/>
    </xf>
    <xf numFmtId="0" fontId="13" fillId="0" borderId="7" xfId="2" applyFont="1" applyBorder="1" applyAlignment="1" applyProtection="1">
      <alignment horizontal="center" vertical="center"/>
      <protection locked="0"/>
    </xf>
    <xf numFmtId="0" fontId="13" fillId="0" borderId="3" xfId="0" applyFont="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xf numFmtId="0" fontId="13" fillId="0" borderId="2"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13" fillId="0" borderId="3" xfId="0"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5" fillId="0" borderId="3" xfId="0" applyFont="1" applyBorder="1" applyAlignment="1" applyProtection="1">
      <alignment horizontal="center" vertical="center" wrapText="1"/>
      <protection locked="0"/>
    </xf>
    <xf numFmtId="0" fontId="13" fillId="0" borderId="3" xfId="3" applyFont="1" applyBorder="1" applyAlignment="1" applyProtection="1">
      <alignment vertical="center" wrapText="1"/>
      <protection locked="0"/>
    </xf>
    <xf numFmtId="0" fontId="13" fillId="0" borderId="3" xfId="3" applyFont="1" applyBorder="1" applyAlignment="1" applyProtection="1">
      <alignment horizontal="center" vertical="center" wrapText="1"/>
      <protection locked="0"/>
    </xf>
    <xf numFmtId="0" fontId="13" fillId="6" borderId="1" xfId="2" applyFont="1" applyFill="1" applyBorder="1" applyAlignment="1" applyProtection="1">
      <alignment horizontal="center" vertical="center"/>
      <protection locked="0"/>
    </xf>
    <xf numFmtId="0" fontId="13" fillId="0" borderId="0" xfId="3" applyFont="1" applyAlignment="1" applyProtection="1">
      <alignment horizontal="center" vertical="center"/>
      <protection locked="0"/>
    </xf>
    <xf numFmtId="0" fontId="13" fillId="0" borderId="1" xfId="3" applyFont="1" applyBorder="1" applyAlignment="1" applyProtection="1">
      <alignment horizontal="center" vertical="center"/>
      <protection locked="0"/>
    </xf>
    <xf numFmtId="0" fontId="13" fillId="0" borderId="6" xfId="2"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2" fillId="6" borderId="1" xfId="3" applyFont="1" applyFill="1" applyBorder="1" applyAlignment="1" applyProtection="1">
      <alignment horizontal="center" vertical="center" wrapText="1"/>
      <protection locked="0"/>
    </xf>
    <xf numFmtId="9" fontId="28" fillId="0" borderId="43" xfId="11" applyFont="1" applyBorder="1" applyAlignment="1" applyProtection="1">
      <alignment horizontal="center" vertical="center" wrapText="1"/>
    </xf>
    <xf numFmtId="9" fontId="28" fillId="0" borderId="48" xfId="11" applyFont="1" applyBorder="1" applyAlignment="1" applyProtection="1">
      <alignment horizontal="center" vertical="center" wrapText="1"/>
    </xf>
    <xf numFmtId="0" fontId="21" fillId="0" borderId="3" xfId="3" applyFont="1" applyBorder="1" applyAlignment="1" applyProtection="1">
      <alignment vertical="center" wrapText="1"/>
      <protection locked="0"/>
    </xf>
    <xf numFmtId="0" fontId="13" fillId="0" borderId="20" xfId="3" applyFont="1" applyBorder="1" applyAlignment="1" applyProtection="1">
      <alignment horizontal="center" vertical="center" wrapText="1"/>
      <protection locked="0"/>
    </xf>
    <xf numFmtId="0" fontId="22" fillId="9" borderId="37" xfId="3" applyFont="1" applyFill="1" applyBorder="1" applyAlignment="1" applyProtection="1">
      <alignment horizontal="left" vertical="center" wrapText="1"/>
      <protection locked="0"/>
    </xf>
    <xf numFmtId="0" fontId="20" fillId="12" borderId="17" xfId="0" applyFont="1" applyFill="1" applyBorder="1" applyAlignment="1" applyProtection="1">
      <alignment horizontal="left" vertical="center" wrapText="1"/>
      <protection locked="0"/>
    </xf>
    <xf numFmtId="0" fontId="13" fillId="4" borderId="7" xfId="2" applyFont="1" applyFill="1" applyBorder="1" applyAlignment="1" applyProtection="1">
      <alignment horizontal="center" vertical="center"/>
      <protection locked="0"/>
    </xf>
    <xf numFmtId="0" fontId="13" fillId="6" borderId="17" xfId="2" applyFont="1" applyFill="1" applyBorder="1" applyAlignment="1" applyProtection="1">
      <alignment horizontal="left" vertical="center" wrapText="1"/>
      <protection locked="0"/>
    </xf>
    <xf numFmtId="0" fontId="13" fillId="0" borderId="37" xfId="3" applyFont="1" applyBorder="1" applyAlignment="1" applyProtection="1">
      <alignment horizontal="center" vertical="center" wrapText="1"/>
      <protection locked="0"/>
    </xf>
    <xf numFmtId="0" fontId="13" fillId="0" borderId="50" xfId="3" applyFont="1" applyBorder="1" applyAlignment="1" applyProtection="1">
      <alignment horizontal="center" vertical="center" wrapText="1"/>
      <protection locked="0"/>
    </xf>
    <xf numFmtId="0" fontId="13" fillId="0" borderId="0" xfId="3" applyFont="1" applyAlignment="1" applyProtection="1">
      <alignment horizontal="left" vertical="center" wrapText="1"/>
      <protection locked="0"/>
    </xf>
    <xf numFmtId="0" fontId="13" fillId="0" borderId="16" xfId="2" applyFont="1" applyBorder="1" applyAlignment="1">
      <alignment horizontal="center" vertical="center" wrapText="1"/>
    </xf>
    <xf numFmtId="0" fontId="13" fillId="0" borderId="16" xfId="2" applyFont="1" applyBorder="1" applyAlignment="1">
      <alignment horizontal="left" vertical="center" wrapText="1"/>
    </xf>
    <xf numFmtId="0" fontId="13" fillId="0" borderId="4" xfId="2" applyFont="1" applyBorder="1" applyAlignment="1">
      <alignment horizontal="center" vertical="center" wrapText="1"/>
    </xf>
    <xf numFmtId="0" fontId="13" fillId="0" borderId="4" xfId="3" applyFont="1" applyBorder="1" applyAlignment="1">
      <alignment horizontal="left" vertical="center" wrapText="1"/>
    </xf>
    <xf numFmtId="0" fontId="13" fillId="0" borderId="4" xfId="0" applyFont="1" applyBorder="1" applyAlignment="1">
      <alignment horizontal="center" vertical="center" wrapText="1"/>
    </xf>
    <xf numFmtId="0" fontId="13" fillId="0" borderId="2"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3" xfId="0" applyFont="1" applyBorder="1" applyAlignment="1">
      <alignment horizontal="center" vertical="center" wrapText="1"/>
    </xf>
    <xf numFmtId="0" fontId="37" fillId="0" borderId="0" xfId="3" applyFont="1" applyProtection="1">
      <protection locked="0"/>
    </xf>
    <xf numFmtId="0" fontId="37" fillId="0" borderId="0" xfId="0" applyFont="1" applyProtection="1">
      <protection locked="0"/>
    </xf>
    <xf numFmtId="0" fontId="45" fillId="0" borderId="0" xfId="3" applyFont="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7" xfId="3" applyFont="1" applyBorder="1" applyAlignment="1">
      <alignment horizontal="left" vertical="center" wrapText="1"/>
    </xf>
    <xf numFmtId="0" fontId="13" fillId="0" borderId="3" xfId="2" applyFont="1" applyBorder="1" applyAlignment="1">
      <alignment horizontal="center" vertical="center" wrapText="1"/>
    </xf>
    <xf numFmtId="0" fontId="13" fillId="0" borderId="3" xfId="3" applyFont="1" applyBorder="1" applyAlignment="1">
      <alignment horizontal="left" vertical="center" wrapText="1"/>
    </xf>
    <xf numFmtId="0" fontId="13" fillId="0" borderId="3" xfId="0" applyFont="1" applyBorder="1" applyAlignment="1">
      <alignment horizontal="center" vertical="center" wrapText="1"/>
    </xf>
    <xf numFmtId="0" fontId="13" fillId="0" borderId="0" xfId="3" applyFont="1" applyProtection="1">
      <protection locked="0"/>
    </xf>
    <xf numFmtId="0" fontId="13" fillId="0" borderId="0" xfId="0" applyFont="1" applyProtection="1">
      <protection locked="0"/>
    </xf>
    <xf numFmtId="0" fontId="15" fillId="0" borderId="0" xfId="3" applyFont="1" applyAlignment="1" applyProtection="1">
      <alignment horizontal="center" vertical="center"/>
      <protection locked="0"/>
    </xf>
    <xf numFmtId="0" fontId="13" fillId="0" borderId="17" xfId="0" applyFont="1" applyBorder="1" applyAlignment="1">
      <alignment horizontal="left" vertical="center" wrapText="1"/>
    </xf>
    <xf numFmtId="0" fontId="13" fillId="0" borderId="14" xfId="3" applyFont="1" applyBorder="1" applyAlignment="1">
      <alignment horizontal="left"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3" applyFont="1" applyBorder="1" applyAlignment="1">
      <alignment horizontal="center" vertical="center" wrapText="1"/>
    </xf>
    <xf numFmtId="0" fontId="13" fillId="0" borderId="0" xfId="3" applyFont="1" applyAlignment="1" applyProtection="1">
      <alignment vertical="center" wrapText="1"/>
      <protection locked="0"/>
    </xf>
    <xf numFmtId="0" fontId="13" fillId="0" borderId="50" xfId="3" applyFont="1" applyBorder="1" applyAlignment="1" applyProtection="1">
      <alignment vertical="center" wrapText="1"/>
      <protection locked="0"/>
    </xf>
    <xf numFmtId="0" fontId="13" fillId="0" borderId="20" xfId="3" applyFont="1" applyBorder="1" applyAlignment="1">
      <alignment horizontal="left" vertical="center" wrapText="1"/>
    </xf>
    <xf numFmtId="0" fontId="13" fillId="0" borderId="13" xfId="3" applyFont="1" applyBorder="1" applyAlignment="1">
      <alignment horizontal="center" vertical="center" wrapText="1"/>
    </xf>
    <xf numFmtId="0" fontId="13" fillId="0" borderId="2" xfId="3" applyFont="1" applyBorder="1" applyAlignment="1">
      <alignment horizontal="left" vertical="center" wrapText="1"/>
    </xf>
    <xf numFmtId="0" fontId="13" fillId="0" borderId="37" xfId="3" applyFont="1" applyBorder="1" applyAlignment="1" applyProtection="1">
      <alignment vertical="center" wrapText="1"/>
      <protection locked="0"/>
    </xf>
    <xf numFmtId="0" fontId="13" fillId="0" borderId="1" xfId="3" applyFont="1" applyBorder="1" applyAlignment="1">
      <alignment horizontal="center" vertical="center" wrapText="1"/>
    </xf>
    <xf numFmtId="0" fontId="9" fillId="0" borderId="0" xfId="0" applyFont="1" applyProtection="1">
      <protection locked="0"/>
    </xf>
    <xf numFmtId="0" fontId="13" fillId="0" borderId="14" xfId="0" applyFont="1" applyBorder="1" applyAlignment="1">
      <alignment horizontal="left" vertical="center" wrapText="1"/>
    </xf>
    <xf numFmtId="0" fontId="13" fillId="0" borderId="1" xfId="3" applyFont="1" applyBorder="1" applyAlignment="1">
      <alignment vertical="center" wrapText="1"/>
    </xf>
    <xf numFmtId="0" fontId="13" fillId="0" borderId="1" xfId="3" applyFont="1" applyBorder="1" applyAlignment="1">
      <alignment horizontal="left" vertical="center" wrapText="1"/>
    </xf>
    <xf numFmtId="0" fontId="15" fillId="0" borderId="1" xfId="2" applyFont="1" applyBorder="1" applyAlignment="1">
      <alignment horizontal="center" vertical="center" wrapText="1"/>
    </xf>
    <xf numFmtId="0" fontId="13" fillId="0" borderId="17" xfId="2" applyFont="1" applyBorder="1" applyAlignment="1">
      <alignment horizontal="left" vertical="center" wrapText="1"/>
    </xf>
    <xf numFmtId="0" fontId="13" fillId="0" borderId="3" xfId="3" applyFont="1" applyBorder="1" applyAlignment="1">
      <alignment vertical="center" wrapText="1"/>
    </xf>
    <xf numFmtId="0" fontId="13" fillId="0" borderId="14"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3" xfId="3" applyFont="1" applyBorder="1" applyAlignment="1" applyProtection="1">
      <alignment horizontal="left" vertical="center" wrapText="1"/>
      <protection locked="0"/>
    </xf>
    <xf numFmtId="0" fontId="15" fillId="0" borderId="3" xfId="0" applyFont="1" applyBorder="1" applyAlignment="1" applyProtection="1">
      <alignment horizontal="center" vertical="center"/>
      <protection locked="0"/>
    </xf>
    <xf numFmtId="0" fontId="13" fillId="0" borderId="17" xfId="0" applyFont="1" applyBorder="1" applyAlignment="1" applyProtection="1">
      <alignment horizontal="left" vertical="center" wrapText="1"/>
      <protection locked="0"/>
    </xf>
    <xf numFmtId="0" fontId="13" fillId="0" borderId="14" xfId="2" applyFont="1" applyBorder="1" applyAlignment="1">
      <alignment horizontal="left" vertical="center" wrapText="1"/>
    </xf>
    <xf numFmtId="0" fontId="13" fillId="0" borderId="1" xfId="3" applyFont="1" applyBorder="1" applyAlignment="1">
      <alignment horizontal="center" vertical="center"/>
    </xf>
    <xf numFmtId="0" fontId="35" fillId="9" borderId="0" xfId="0" applyFont="1" applyFill="1" applyAlignment="1" applyProtection="1">
      <alignment horizontal="left" vertical="center" wrapText="1"/>
      <protection locked="0"/>
    </xf>
    <xf numFmtId="0" fontId="35" fillId="0" borderId="51" xfId="0" applyFont="1" applyBorder="1" applyAlignment="1">
      <alignment horizontal="left" vertical="center" wrapText="1"/>
    </xf>
    <xf numFmtId="0" fontId="13" fillId="0" borderId="1" xfId="2" applyFont="1" applyBorder="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1" xfId="3" applyFont="1" applyBorder="1" applyAlignment="1" applyProtection="1">
      <alignment vertical="center" wrapText="1"/>
      <protection locked="0"/>
    </xf>
    <xf numFmtId="0" fontId="13" fillId="0" borderId="1" xfId="14" applyFont="1" applyBorder="1" applyAlignment="1" applyProtection="1">
      <alignment horizontal="center" vertical="center" wrapText="1"/>
      <protection locked="0"/>
    </xf>
    <xf numFmtId="0" fontId="15" fillId="0" borderId="1" xfId="14" applyFont="1" applyBorder="1" applyAlignment="1" applyProtection="1">
      <alignment horizontal="center" vertical="center" wrapText="1"/>
      <protection locked="0"/>
    </xf>
    <xf numFmtId="0" fontId="13" fillId="0" borderId="1" xfId="14" applyFont="1" applyBorder="1" applyAlignment="1">
      <alignment horizontal="center" vertical="center" wrapText="1"/>
    </xf>
    <xf numFmtId="0" fontId="15" fillId="0" borderId="1" xfId="14" applyFont="1" applyBorder="1" applyAlignment="1">
      <alignment horizontal="center" vertical="center" wrapText="1"/>
    </xf>
    <xf numFmtId="0" fontId="9"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0" fillId="0" borderId="50" xfId="3" applyFont="1" applyBorder="1" applyAlignment="1" applyProtection="1">
      <alignment vertical="center" wrapText="1"/>
      <protection locked="0"/>
    </xf>
    <xf numFmtId="0" fontId="13" fillId="0" borderId="61" xfId="0" applyFont="1" applyBorder="1" applyAlignment="1" applyProtection="1">
      <alignment horizontal="left" vertical="center" wrapText="1"/>
      <protection locked="0"/>
    </xf>
    <xf numFmtId="0" fontId="20" fillId="0" borderId="37" xfId="3" applyFont="1" applyBorder="1" applyAlignment="1" applyProtection="1">
      <alignment vertical="center" wrapText="1"/>
      <protection locked="0"/>
    </xf>
    <xf numFmtId="0" fontId="22" fillId="0" borderId="17" xfId="0" applyFont="1" applyBorder="1" applyAlignment="1" applyProtection="1">
      <alignment horizontal="center" vertical="center" wrapText="1"/>
      <protection locked="0"/>
    </xf>
    <xf numFmtId="0" fontId="15" fillId="0" borderId="37" xfId="3" applyFont="1" applyBorder="1" applyAlignment="1" applyProtection="1">
      <alignment horizontal="center" vertical="center" wrapText="1"/>
      <protection locked="0"/>
    </xf>
    <xf numFmtId="0" fontId="15" fillId="0" borderId="3" xfId="0" applyFont="1" applyBorder="1" applyAlignment="1">
      <alignment horizontal="center" vertical="center" wrapText="1"/>
    </xf>
    <xf numFmtId="0" fontId="13" fillId="0" borderId="1" xfId="0" applyFont="1" applyBorder="1" applyAlignment="1">
      <alignment vertical="center" wrapText="1"/>
    </xf>
    <xf numFmtId="0" fontId="13" fillId="0" borderId="3" xfId="2"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5" fillId="0" borderId="0" xfId="0" applyFont="1" applyAlignment="1" applyProtection="1">
      <alignment horizontal="center" vertical="center"/>
      <protection locked="0"/>
    </xf>
    <xf numFmtId="0" fontId="13" fillId="0" borderId="0" xfId="3" applyFont="1" applyAlignment="1" applyProtection="1">
      <alignment horizontal="left" vertical="center"/>
      <protection locked="0"/>
    </xf>
    <xf numFmtId="0" fontId="20" fillId="0" borderId="17" xfId="3" applyFont="1" applyBorder="1" applyAlignment="1" applyProtection="1">
      <alignment horizontal="left" vertical="center"/>
      <protection locked="0"/>
    </xf>
    <xf numFmtId="0" fontId="20" fillId="0" borderId="17" xfId="3" applyFont="1" applyBorder="1" applyAlignment="1">
      <alignment horizontal="left" vertical="center" wrapText="1"/>
    </xf>
    <xf numFmtId="0" fontId="13" fillId="0" borderId="3" xfId="2" applyFont="1" applyBorder="1" applyAlignment="1">
      <alignment horizontal="center" vertical="center"/>
    </xf>
    <xf numFmtId="0" fontId="13" fillId="0" borderId="3" xfId="0" applyFont="1" applyBorder="1" applyAlignment="1">
      <alignment horizontal="center" vertical="center"/>
    </xf>
    <xf numFmtId="0" fontId="13" fillId="0" borderId="17" xfId="2" applyFont="1" applyBorder="1" applyAlignment="1" applyProtection="1">
      <alignment horizontal="left" vertical="center"/>
      <protection locked="0"/>
    </xf>
    <xf numFmtId="0" fontId="13" fillId="0" borderId="17" xfId="2" applyFont="1" applyBorder="1" applyAlignment="1">
      <alignment horizontal="left" vertical="center"/>
    </xf>
    <xf numFmtId="0" fontId="13" fillId="0" borderId="1" xfId="2" applyFont="1" applyBorder="1" applyAlignment="1">
      <alignment horizontal="center" vertical="center"/>
    </xf>
    <xf numFmtId="0" fontId="13" fillId="0" borderId="3" xfId="2" applyFont="1" applyBorder="1" applyAlignment="1">
      <alignment horizontal="left" vertical="center" wrapText="1"/>
    </xf>
    <xf numFmtId="0" fontId="15" fillId="0" borderId="3" xfId="2" applyFont="1" applyBorder="1" applyAlignment="1">
      <alignment horizontal="center" vertical="center"/>
    </xf>
    <xf numFmtId="0" fontId="13" fillId="0" borderId="14" xfId="3" applyFont="1" applyBorder="1" applyAlignment="1">
      <alignment horizontal="center" vertical="center" wrapText="1"/>
    </xf>
    <xf numFmtId="0" fontId="13" fillId="0" borderId="18" xfId="3" applyFont="1" applyBorder="1" applyAlignment="1">
      <alignment horizontal="left" vertical="center" wrapText="1"/>
    </xf>
    <xf numFmtId="0" fontId="13" fillId="0" borderId="10" xfId="2" applyFont="1" applyBorder="1" applyAlignment="1">
      <alignment horizontal="center" vertical="center" wrapText="1"/>
    </xf>
    <xf numFmtId="0" fontId="13" fillId="0" borderId="10" xfId="3" applyFont="1" applyBorder="1" applyAlignment="1">
      <alignment horizontal="center" vertical="center" wrapText="1"/>
    </xf>
    <xf numFmtId="0" fontId="13" fillId="0" borderId="10" xfId="3" applyFont="1" applyBorder="1" applyAlignment="1">
      <alignment horizontal="left" vertical="center" wrapText="1"/>
    </xf>
    <xf numFmtId="0" fontId="13" fillId="0" borderId="12" xfId="0" applyFont="1" applyBorder="1" applyAlignment="1">
      <alignment horizontal="center" vertical="center" wrapText="1"/>
    </xf>
    <xf numFmtId="0" fontId="15" fillId="0" borderId="10" xfId="14" applyFont="1" applyBorder="1" applyAlignment="1">
      <alignment horizontal="center" vertical="center" wrapText="1"/>
    </xf>
    <xf numFmtId="0" fontId="20" fillId="0" borderId="14" xfId="3" applyFont="1" applyBorder="1" applyAlignment="1">
      <alignment horizontal="left" vertical="center" wrapText="1"/>
    </xf>
    <xf numFmtId="0" fontId="13" fillId="0" borderId="14" xfId="5" applyFont="1" applyBorder="1" applyAlignment="1">
      <alignment horizontal="center" vertical="center" wrapText="1"/>
    </xf>
    <xf numFmtId="0" fontId="13" fillId="0" borderId="14" xfId="5" applyFont="1" applyBorder="1" applyAlignment="1">
      <alignment horizontal="left" vertical="center" wrapText="1"/>
    </xf>
    <xf numFmtId="0" fontId="13" fillId="0" borderId="1" xfId="5" applyFont="1" applyBorder="1" applyAlignment="1">
      <alignment horizontal="left" vertical="center" wrapText="1"/>
    </xf>
    <xf numFmtId="0" fontId="13" fillId="0" borderId="17" xfId="3" applyFont="1" applyBorder="1" applyAlignment="1">
      <alignment horizontal="center" vertical="center" wrapText="1"/>
    </xf>
    <xf numFmtId="0" fontId="15" fillId="3" borderId="15" xfId="2" applyFont="1" applyFill="1" applyBorder="1" applyAlignment="1">
      <alignment horizontal="center" vertical="center" wrapText="1"/>
    </xf>
    <xf numFmtId="0" fontId="15" fillId="0" borderId="15" xfId="2" applyFont="1" applyBorder="1" applyAlignment="1">
      <alignment horizontal="center" vertical="center" wrapText="1"/>
    </xf>
    <xf numFmtId="0" fontId="15" fillId="0" borderId="2" xfId="2" applyFont="1" applyBorder="1" applyAlignment="1">
      <alignment horizontal="center" vertical="center" wrapText="1"/>
    </xf>
    <xf numFmtId="0" fontId="15" fillId="4" borderId="2" xfId="2"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0" borderId="6" xfId="2" applyFont="1" applyBorder="1" applyAlignment="1">
      <alignment horizontal="center" vertical="center"/>
    </xf>
    <xf numFmtId="0" fontId="13" fillId="0" borderId="0" xfId="0" applyFont="1" applyAlignment="1" applyProtection="1">
      <alignment wrapText="1"/>
      <protection locked="0"/>
    </xf>
    <xf numFmtId="0" fontId="13" fillId="0" borderId="0" xfId="0" applyFont="1" applyAlignment="1" applyProtection="1">
      <alignment horizontal="center"/>
      <protection locked="0"/>
    </xf>
    <xf numFmtId="0" fontId="15" fillId="0" borderId="0" xfId="0" applyFont="1" applyProtection="1">
      <protection locked="0"/>
    </xf>
    <xf numFmtId="0" fontId="15" fillId="0" borderId="33" xfId="0" applyFont="1" applyBorder="1" applyProtection="1">
      <protection locked="0"/>
    </xf>
    <xf numFmtId="0" fontId="15" fillId="0" borderId="32" xfId="0" applyFont="1" applyBorder="1" applyAlignment="1" applyProtection="1">
      <alignment wrapText="1"/>
      <protection locked="0"/>
    </xf>
    <xf numFmtId="0" fontId="15" fillId="0" borderId="4" xfId="14" applyFont="1" applyBorder="1" applyAlignment="1">
      <alignment horizontal="center" vertical="center" wrapText="1"/>
    </xf>
    <xf numFmtId="0" fontId="13" fillId="0" borderId="0" xfId="3" applyFont="1" applyAlignment="1" applyProtection="1">
      <alignment wrapText="1"/>
      <protection locked="0"/>
    </xf>
    <xf numFmtId="0" fontId="15" fillId="0" borderId="13" xfId="14" applyFont="1" applyBorder="1" applyAlignment="1">
      <alignment horizontal="center" vertical="center" wrapText="1"/>
    </xf>
    <xf numFmtId="0" fontId="15" fillId="0" borderId="3" xfId="14" applyFont="1" applyBorder="1" applyAlignment="1">
      <alignment horizontal="center" vertical="center" wrapText="1"/>
    </xf>
    <xf numFmtId="0" fontId="15" fillId="6" borderId="1" xfId="14" applyFont="1" applyFill="1" applyBorder="1" applyAlignment="1" applyProtection="1">
      <alignment horizontal="center" vertical="center" wrapText="1"/>
      <protection locked="0"/>
    </xf>
    <xf numFmtId="0" fontId="15" fillId="0" borderId="2" xfId="14" applyFont="1" applyBorder="1" applyAlignment="1">
      <alignment horizontal="center" vertical="center" wrapText="1"/>
    </xf>
    <xf numFmtId="0" fontId="15" fillId="6" borderId="2" xfId="14" applyFont="1" applyFill="1" applyBorder="1" applyAlignment="1" applyProtection="1">
      <alignment horizontal="center" vertical="center" wrapText="1"/>
      <protection locked="0"/>
    </xf>
    <xf numFmtId="0" fontId="13"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5" fillId="0" borderId="1" xfId="2" applyFont="1" applyBorder="1" applyAlignment="1" applyProtection="1">
      <alignment horizontal="center" vertical="center" wrapText="1"/>
      <protection locked="0"/>
    </xf>
    <xf numFmtId="0" fontId="16" fillId="0" borderId="0" xfId="3" applyFont="1" applyProtection="1">
      <protection locked="0"/>
    </xf>
    <xf numFmtId="0" fontId="13" fillId="0" borderId="0" xfId="0" applyFont="1" applyAlignment="1" applyProtection="1">
      <alignment horizontal="left" vertical="center" wrapText="1"/>
      <protection locked="0"/>
    </xf>
    <xf numFmtId="0" fontId="13" fillId="6" borderId="1" xfId="14" applyFont="1" applyFill="1" applyBorder="1" applyAlignment="1" applyProtection="1">
      <alignment horizontal="center" vertical="center" wrapText="1"/>
      <protection locked="0"/>
    </xf>
    <xf numFmtId="0" fontId="13" fillId="0" borderId="3" xfId="14" applyFont="1" applyBorder="1" applyAlignment="1">
      <alignment horizontal="center" vertical="center" wrapText="1"/>
    </xf>
    <xf numFmtId="0" fontId="21" fillId="0" borderId="2" xfId="3" applyFont="1" applyBorder="1" applyAlignment="1" applyProtection="1">
      <alignment vertical="center" wrapText="1"/>
      <protection locked="0"/>
    </xf>
    <xf numFmtId="0" fontId="45" fillId="4"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xf>
    <xf numFmtId="0" fontId="15" fillId="0" borderId="0" xfId="0" applyFont="1" applyAlignment="1" applyProtection="1">
      <alignment horizontal="center" vertical="center" wrapText="1"/>
      <protection locked="0"/>
    </xf>
    <xf numFmtId="0" fontId="13" fillId="0" borderId="30" xfId="3" applyFont="1" applyBorder="1" applyAlignment="1" applyProtection="1">
      <alignment horizontal="center" vertical="center" wrapText="1"/>
      <protection locked="0"/>
    </xf>
    <xf numFmtId="0" fontId="13" fillId="0" borderId="20" xfId="3" applyFont="1" applyBorder="1" applyAlignment="1">
      <alignment horizontal="center" vertical="center" wrapText="1"/>
    </xf>
    <xf numFmtId="0" fontId="37" fillId="0" borderId="37" xfId="3" applyFont="1" applyBorder="1" applyAlignment="1" applyProtection="1">
      <alignment horizontal="left" vertical="center" wrapText="1"/>
      <protection locked="0"/>
    </xf>
    <xf numFmtId="0" fontId="37" fillId="0" borderId="17" xfId="3" applyFont="1" applyBorder="1" applyAlignment="1" applyProtection="1">
      <alignment horizontal="left" vertical="center" wrapText="1"/>
      <protection locked="0"/>
    </xf>
    <xf numFmtId="0" fontId="46" fillId="0" borderId="14" xfId="3" applyFont="1" applyBorder="1" applyAlignment="1" applyProtection="1">
      <alignment horizontal="left" vertical="center" wrapText="1"/>
      <protection locked="0"/>
    </xf>
    <xf numFmtId="0" fontId="46" fillId="0" borderId="1" xfId="2" applyFont="1" applyBorder="1" applyAlignment="1" applyProtection="1">
      <alignment horizontal="center" vertical="center" wrapText="1"/>
      <protection locked="0"/>
    </xf>
    <xf numFmtId="0" fontId="46" fillId="0" borderId="3" xfId="2" applyFont="1" applyBorder="1" applyAlignment="1" applyProtection="1">
      <alignment horizontal="center" vertical="center" wrapText="1"/>
      <protection locked="0"/>
    </xf>
    <xf numFmtId="49" fontId="46" fillId="0" borderId="61" xfId="0" applyNumberFormat="1" applyFont="1" applyBorder="1" applyAlignment="1" applyProtection="1">
      <alignment horizontal="left" vertical="center" wrapText="1"/>
      <protection locked="0"/>
    </xf>
    <xf numFmtId="0" fontId="46" fillId="0" borderId="3" xfId="0" applyFont="1" applyBorder="1" applyAlignment="1" applyProtection="1">
      <alignment horizontal="center" vertical="center" wrapText="1"/>
      <protection locked="0"/>
    </xf>
    <xf numFmtId="0" fontId="45" fillId="0" borderId="3" xfId="0" applyFont="1" applyBorder="1" applyAlignment="1" applyProtection="1">
      <alignment horizontal="center" vertical="center" wrapText="1"/>
      <protection locked="0"/>
    </xf>
    <xf numFmtId="0" fontId="37" fillId="0" borderId="6" xfId="2" applyFont="1" applyBorder="1" applyAlignment="1" applyProtection="1">
      <alignment horizontal="center" vertical="center"/>
      <protection locked="0"/>
    </xf>
    <xf numFmtId="0" fontId="13" fillId="0" borderId="20" xfId="0" applyFont="1" applyBorder="1" applyAlignment="1" applyProtection="1">
      <alignment horizontal="left" vertical="center" wrapText="1"/>
      <protection locked="0"/>
    </xf>
    <xf numFmtId="0" fontId="15" fillId="0" borderId="3" xfId="14" applyFont="1" applyBorder="1" applyAlignment="1" applyProtection="1">
      <alignment horizontal="center" vertical="center" wrapText="1"/>
      <protection locked="0"/>
    </xf>
    <xf numFmtId="0" fontId="15" fillId="0" borderId="2" xfId="14" applyFont="1" applyBorder="1" applyAlignment="1" applyProtection="1">
      <alignment horizontal="center" vertical="center" wrapText="1"/>
      <protection locked="0"/>
    </xf>
    <xf numFmtId="0" fontId="13" fillId="0" borderId="61" xfId="2"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0" fontId="13" fillId="0" borderId="3" xfId="14" applyFont="1" applyBorder="1" applyAlignment="1" applyProtection="1">
      <alignment horizontal="center" vertical="center" wrapText="1"/>
      <protection locked="0"/>
    </xf>
    <xf numFmtId="0" fontId="13" fillId="0" borderId="49" xfId="3" applyFont="1" applyBorder="1" applyAlignment="1" applyProtection="1">
      <alignment vertical="center" wrapText="1"/>
      <protection locked="0"/>
    </xf>
    <xf numFmtId="0" fontId="13" fillId="0" borderId="17" xfId="3" applyFont="1" applyBorder="1" applyAlignment="1" applyProtection="1">
      <alignment vertical="center" wrapText="1"/>
      <protection locked="0"/>
    </xf>
    <xf numFmtId="9" fontId="28" fillId="0" borderId="0" xfId="11" applyFont="1" applyFill="1" applyAlignment="1" applyProtection="1">
      <alignment horizontal="center" vertical="center"/>
    </xf>
    <xf numFmtId="0" fontId="32" fillId="3" borderId="4" xfId="2" applyFont="1" applyFill="1" applyBorder="1" applyAlignment="1">
      <alignment horizontal="center" vertical="center" wrapText="1"/>
    </xf>
    <xf numFmtId="0" fontId="32" fillId="3" borderId="34" xfId="2" applyFont="1" applyFill="1" applyBorder="1" applyAlignment="1">
      <alignment horizontal="center" vertical="center" wrapText="1"/>
    </xf>
    <xf numFmtId="165" fontId="28" fillId="0" borderId="0" xfId="0" applyNumberFormat="1" applyFont="1" applyAlignment="1">
      <alignment horizontal="center" vertical="center"/>
    </xf>
    <xf numFmtId="165" fontId="28" fillId="0" borderId="0" xfId="0" applyNumberFormat="1" applyFont="1" applyAlignment="1" applyProtection="1">
      <alignment horizontal="center" vertical="center"/>
      <protection locked="0"/>
    </xf>
    <xf numFmtId="9" fontId="28" fillId="0" borderId="0" xfId="11" applyFont="1" applyFill="1" applyAlignment="1" applyProtection="1">
      <alignment horizontal="center" vertical="center"/>
      <protection locked="0"/>
    </xf>
    <xf numFmtId="0" fontId="28" fillId="0" borderId="0" xfId="0" applyFont="1" applyAlignment="1" applyProtection="1">
      <alignment horizontal="center" vertical="center"/>
      <protection locked="0"/>
    </xf>
    <xf numFmtId="165" fontId="28" fillId="0" borderId="0" xfId="0" applyNumberFormat="1" applyFont="1" applyAlignment="1">
      <alignment horizontal="center" vertical="center" wrapText="1"/>
    </xf>
    <xf numFmtId="165" fontId="28" fillId="0" borderId="0" xfId="0" applyNumberFormat="1" applyFont="1" applyAlignment="1" applyProtection="1">
      <alignment horizontal="center" vertical="center" wrapText="1"/>
      <protection locked="0"/>
    </xf>
    <xf numFmtId="165" fontId="28" fillId="0" borderId="0" xfId="0" applyNumberFormat="1" applyFont="1" applyAlignment="1">
      <alignment horizontal="right" vertical="center"/>
    </xf>
    <xf numFmtId="0" fontId="13" fillId="0" borderId="63" xfId="3" applyFont="1" applyBorder="1" applyAlignment="1" applyProtection="1">
      <alignment horizontal="left" vertical="center" wrapText="1"/>
      <protection locked="0"/>
    </xf>
    <xf numFmtId="0" fontId="50" fillId="4" borderId="17" xfId="3" applyFont="1" applyFill="1" applyBorder="1" applyAlignment="1" applyProtection="1">
      <alignment horizontal="left" vertical="center" wrapText="1"/>
      <protection locked="0"/>
    </xf>
    <xf numFmtId="9" fontId="53" fillId="0" borderId="0" xfId="11" applyFont="1" applyFill="1" applyAlignment="1" applyProtection="1">
      <alignment horizontal="center" vertical="center"/>
    </xf>
    <xf numFmtId="165" fontId="53" fillId="0" borderId="0" xfId="0" applyNumberFormat="1" applyFont="1" applyAlignment="1">
      <alignment horizontal="center" vertical="center"/>
    </xf>
    <xf numFmtId="0" fontId="50" fillId="4" borderId="7" xfId="2" applyFont="1" applyFill="1" applyBorder="1" applyAlignment="1" applyProtection="1">
      <alignment horizontal="center" vertical="center"/>
      <protection locked="0"/>
    </xf>
    <xf numFmtId="0" fontId="50" fillId="0" borderId="0" xfId="0" applyFont="1" applyAlignment="1" applyProtection="1">
      <alignment horizontal="center" vertical="center"/>
      <protection locked="0"/>
    </xf>
    <xf numFmtId="0" fontId="50" fillId="0" borderId="0" xfId="3" applyFont="1" applyProtection="1">
      <protection locked="0"/>
    </xf>
    <xf numFmtId="0" fontId="50" fillId="0" borderId="0" xfId="0" applyFont="1" applyProtection="1">
      <protection locked="0"/>
    </xf>
    <xf numFmtId="0" fontId="51" fillId="4" borderId="1" xfId="0" applyFont="1" applyFill="1" applyBorder="1" applyAlignment="1">
      <alignment horizontal="center" vertical="center" wrapText="1"/>
    </xf>
    <xf numFmtId="0" fontId="50" fillId="4" borderId="1" xfId="0" applyFont="1" applyFill="1" applyBorder="1" applyAlignment="1">
      <alignment horizontal="center" vertical="center" wrapText="1"/>
    </xf>
    <xf numFmtId="0" fontId="50" fillId="4" borderId="3" xfId="2" applyFont="1" applyFill="1" applyBorder="1" applyAlignment="1">
      <alignment horizontal="center" vertical="center" wrapText="1"/>
    </xf>
    <xf numFmtId="0" fontId="50" fillId="4" borderId="14" xfId="3" applyFont="1" applyFill="1" applyBorder="1" applyAlignment="1">
      <alignment horizontal="left" vertical="center" wrapText="1"/>
    </xf>
    <xf numFmtId="0" fontId="50" fillId="4" borderId="17" xfId="3" applyFont="1" applyFill="1" applyBorder="1" applyAlignment="1">
      <alignment horizontal="left" vertical="center" wrapText="1"/>
    </xf>
    <xf numFmtId="0" fontId="50" fillId="4" borderId="37" xfId="3" applyFont="1" applyFill="1" applyBorder="1" applyAlignment="1" applyProtection="1">
      <alignment horizontal="left" vertical="center" wrapText="1"/>
      <protection locked="0"/>
    </xf>
    <xf numFmtId="0" fontId="50" fillId="4" borderId="1" xfId="2" applyFont="1" applyFill="1" applyBorder="1" applyAlignment="1">
      <alignment horizontal="center" vertical="center" wrapText="1"/>
    </xf>
    <xf numFmtId="0" fontId="51" fillId="0" borderId="3" xfId="14" applyFont="1" applyBorder="1" applyAlignment="1">
      <alignment horizontal="center" vertical="center" wrapText="1"/>
    </xf>
    <xf numFmtId="0" fontId="50" fillId="0" borderId="3" xfId="14" applyFont="1" applyBorder="1" applyAlignment="1">
      <alignment horizontal="center" vertical="center" wrapText="1"/>
    </xf>
    <xf numFmtId="0" fontId="50" fillId="0" borderId="1" xfId="2" applyFont="1" applyBorder="1" applyAlignment="1">
      <alignment horizontal="center" vertical="center" wrapText="1"/>
    </xf>
    <xf numFmtId="0" fontId="50" fillId="0" borderId="1" xfId="3" applyFont="1" applyBorder="1" applyAlignment="1">
      <alignment horizontal="center" vertical="center" wrapText="1"/>
    </xf>
    <xf numFmtId="0" fontId="50" fillId="0" borderId="17" xfId="3" applyFont="1" applyBorder="1" applyAlignment="1">
      <alignment horizontal="left" vertical="center" wrapText="1"/>
    </xf>
    <xf numFmtId="0" fontId="50" fillId="0" borderId="17" xfId="3" applyFont="1" applyBorder="1" applyAlignment="1" applyProtection="1">
      <alignment horizontal="left" vertical="center" wrapText="1"/>
      <protection locked="0"/>
    </xf>
    <xf numFmtId="0" fontId="50" fillId="0" borderId="37" xfId="3" applyFont="1" applyBorder="1" applyAlignment="1" applyProtection="1">
      <alignment horizontal="left" vertical="center" wrapText="1"/>
      <protection locked="0"/>
    </xf>
    <xf numFmtId="0" fontId="50" fillId="0" borderId="1" xfId="3" applyFont="1" applyBorder="1" applyAlignment="1">
      <alignment horizontal="left" vertical="center" wrapText="1"/>
    </xf>
    <xf numFmtId="0" fontId="50" fillId="0" borderId="14" xfId="3" applyFont="1" applyBorder="1" applyAlignment="1" applyProtection="1">
      <alignment horizontal="left" vertical="center" wrapText="1"/>
      <protection locked="0"/>
    </xf>
    <xf numFmtId="0" fontId="51" fillId="4" borderId="3" xfId="14" applyFont="1" applyFill="1" applyBorder="1" applyAlignment="1">
      <alignment horizontal="center" vertical="center" wrapText="1"/>
    </xf>
    <xf numFmtId="0" fontId="50" fillId="4" borderId="3" xfId="14" applyFont="1" applyFill="1" applyBorder="1" applyAlignment="1">
      <alignment horizontal="center" vertical="center" wrapText="1"/>
    </xf>
    <xf numFmtId="0" fontId="50" fillId="4" borderId="1" xfId="3" applyFont="1" applyFill="1" applyBorder="1" applyAlignment="1">
      <alignment horizontal="center" vertical="center" wrapText="1"/>
    </xf>
    <xf numFmtId="0" fontId="50" fillId="4" borderId="17" xfId="0" applyFont="1" applyFill="1" applyBorder="1" applyAlignment="1">
      <alignment horizontal="left" vertical="center" wrapText="1"/>
    </xf>
    <xf numFmtId="0" fontId="50" fillId="4" borderId="17" xfId="0" applyFont="1" applyFill="1" applyBorder="1" applyAlignment="1" applyProtection="1">
      <alignment horizontal="left" vertical="center" wrapText="1"/>
      <protection locked="0"/>
    </xf>
    <xf numFmtId="0" fontId="50" fillId="4" borderId="1" xfId="3" applyFont="1" applyFill="1" applyBorder="1" applyAlignment="1">
      <alignment horizontal="left" vertical="center" wrapText="1"/>
    </xf>
    <xf numFmtId="0" fontId="50" fillId="4" borderId="14" xfId="3" applyFont="1" applyFill="1" applyBorder="1" applyAlignment="1" applyProtection="1">
      <alignment horizontal="left" vertical="center" wrapText="1"/>
      <protection locked="0"/>
    </xf>
    <xf numFmtId="0" fontId="9" fillId="0" borderId="49" xfId="2" applyFont="1" applyBorder="1" applyAlignment="1" applyProtection="1">
      <alignment horizontal="left" vertical="center" wrapText="1"/>
      <protection locked="0"/>
    </xf>
    <xf numFmtId="0" fontId="13" fillId="4" borderId="8" xfId="2" applyFont="1" applyFill="1" applyBorder="1" applyAlignment="1" applyProtection="1">
      <alignment horizontal="center" vertical="center"/>
      <protection locked="0"/>
    </xf>
    <xf numFmtId="0" fontId="28" fillId="0" borderId="0" xfId="0" applyFont="1" applyAlignment="1" applyProtection="1">
      <alignment horizontal="right" vertical="center"/>
      <protection locked="0"/>
    </xf>
    <xf numFmtId="9" fontId="28" fillId="0" borderId="0" xfId="11" applyFont="1" applyFill="1" applyBorder="1" applyAlignment="1" applyProtection="1">
      <alignment horizontal="right" vertical="center"/>
      <protection locked="0"/>
    </xf>
    <xf numFmtId="9" fontId="32" fillId="0" borderId="33" xfId="11" applyFont="1" applyFill="1" applyBorder="1" applyAlignment="1" applyProtection="1">
      <alignment horizontal="right" vertical="center"/>
      <protection locked="0"/>
    </xf>
    <xf numFmtId="0" fontId="32" fillId="0" borderId="33" xfId="0" applyFont="1" applyBorder="1" applyAlignment="1" applyProtection="1">
      <alignment horizontal="right" vertical="center"/>
      <protection locked="0"/>
    </xf>
    <xf numFmtId="9" fontId="32" fillId="0" borderId="66" xfId="11" applyFont="1" applyFill="1" applyBorder="1" applyAlignment="1" applyProtection="1">
      <alignment horizontal="right" vertical="center"/>
      <protection locked="0"/>
    </xf>
    <xf numFmtId="0" fontId="32" fillId="0" borderId="66" xfId="0" applyFont="1" applyBorder="1" applyAlignment="1" applyProtection="1">
      <alignment horizontal="right" vertical="center"/>
      <protection locked="0"/>
    </xf>
    <xf numFmtId="0" fontId="15" fillId="0" borderId="66" xfId="0" applyFont="1" applyBorder="1" applyProtection="1">
      <protection locked="0"/>
    </xf>
    <xf numFmtId="0" fontId="15" fillId="0" borderId="67" xfId="0" applyFont="1" applyBorder="1" applyAlignment="1" applyProtection="1">
      <alignment wrapText="1"/>
      <protection locked="0"/>
    </xf>
    <xf numFmtId="165" fontId="28" fillId="0" borderId="0" xfId="0" applyNumberFormat="1" applyFont="1" applyAlignment="1" applyProtection="1">
      <alignment horizontal="right" vertical="center"/>
      <protection locked="0"/>
    </xf>
    <xf numFmtId="0" fontId="13" fillId="0" borderId="5" xfId="2" applyFont="1" applyBorder="1" applyAlignment="1" applyProtection="1">
      <alignment horizontal="center" vertical="center"/>
      <protection locked="0"/>
    </xf>
    <xf numFmtId="0" fontId="13" fillId="0" borderId="6" xfId="2" applyFont="1" applyBorder="1" applyAlignment="1" applyProtection="1">
      <alignment horizontal="center" vertical="center" wrapText="1"/>
      <protection locked="0"/>
    </xf>
    <xf numFmtId="0" fontId="50" fillId="4" borderId="8" xfId="2" applyFont="1" applyFill="1" applyBorder="1" applyAlignment="1" applyProtection="1">
      <alignment horizontal="center" vertical="center"/>
      <protection locked="0"/>
    </xf>
    <xf numFmtId="0" fontId="13" fillId="0" borderId="7" xfId="2" applyFont="1" applyBorder="1" applyAlignment="1" applyProtection="1">
      <alignment horizontal="center" vertical="center" wrapText="1"/>
      <protection locked="0"/>
    </xf>
    <xf numFmtId="0" fontId="13" fillId="0" borderId="19" xfId="2" applyFont="1" applyBorder="1" applyAlignment="1" applyProtection="1">
      <alignment horizontal="center" vertical="center"/>
      <protection locked="0"/>
    </xf>
    <xf numFmtId="0" fontId="15" fillId="0" borderId="0" xfId="3" applyFont="1" applyProtection="1">
      <protection locked="0"/>
    </xf>
    <xf numFmtId="0" fontId="22" fillId="0" borderId="50" xfId="3" applyFont="1" applyBorder="1" applyAlignment="1" applyProtection="1">
      <alignment horizontal="center" vertical="center" wrapText="1"/>
      <protection locked="0"/>
    </xf>
    <xf numFmtId="0" fontId="50" fillId="0" borderId="7" xfId="2" applyFont="1" applyBorder="1" applyAlignment="1" applyProtection="1">
      <alignment horizontal="center" vertical="center"/>
      <protection locked="0"/>
    </xf>
    <xf numFmtId="0" fontId="13" fillId="0" borderId="44" xfId="2" applyFont="1" applyBorder="1" applyAlignment="1" applyProtection="1">
      <alignment horizontal="center" vertical="center"/>
      <protection locked="0"/>
    </xf>
    <xf numFmtId="0" fontId="13" fillId="0" borderId="9" xfId="2" applyFont="1" applyBorder="1" applyAlignment="1" applyProtection="1">
      <alignment horizontal="center" vertical="center"/>
      <protection locked="0"/>
    </xf>
    <xf numFmtId="9" fontId="28" fillId="0" borderId="0" xfId="11" applyFont="1" applyFill="1" applyBorder="1" applyAlignment="1" applyProtection="1">
      <alignment horizontal="center" vertical="center"/>
      <protection locked="0"/>
    </xf>
    <xf numFmtId="0" fontId="15" fillId="3" borderId="28" xfId="0" applyFont="1" applyFill="1" applyBorder="1" applyAlignment="1" applyProtection="1">
      <alignment horizontal="center" vertical="center" wrapText="1"/>
      <protection locked="0"/>
    </xf>
    <xf numFmtId="0" fontId="22" fillId="6" borderId="2" xfId="3" applyFont="1" applyFill="1" applyBorder="1" applyAlignment="1" applyProtection="1">
      <alignment vertical="center" wrapText="1"/>
      <protection locked="0"/>
    </xf>
    <xf numFmtId="0" fontId="22" fillId="6" borderId="15" xfId="3" applyFont="1" applyFill="1" applyBorder="1" applyAlignment="1" applyProtection="1">
      <alignment vertical="center" wrapText="1"/>
      <protection locked="0"/>
    </xf>
    <xf numFmtId="0" fontId="15" fillId="6" borderId="3" xfId="0" applyFont="1" applyFill="1" applyBorder="1" applyAlignment="1" applyProtection="1">
      <alignment horizontal="center" vertical="center" wrapText="1"/>
      <protection locked="0"/>
    </xf>
    <xf numFmtId="0" fontId="13" fillId="6" borderId="1" xfId="3" applyFont="1" applyFill="1" applyBorder="1" applyProtection="1">
      <protection locked="0"/>
    </xf>
    <xf numFmtId="0" fontId="13" fillId="6" borderId="14" xfId="3" applyFont="1" applyFill="1" applyBorder="1" applyProtection="1">
      <protection locked="0"/>
    </xf>
    <xf numFmtId="0" fontId="22" fillId="6" borderId="1" xfId="3" applyFont="1" applyFill="1" applyBorder="1" applyAlignment="1" applyProtection="1">
      <alignment vertical="center" wrapText="1"/>
      <protection locked="0"/>
    </xf>
    <xf numFmtId="0" fontId="22" fillId="6" borderId="14" xfId="3" applyFont="1" applyFill="1" applyBorder="1" applyAlignment="1" applyProtection="1">
      <alignment vertical="center" wrapText="1"/>
      <protection locked="0"/>
    </xf>
    <xf numFmtId="0" fontId="20" fillId="0" borderId="50" xfId="3" applyFont="1" applyBorder="1" applyAlignment="1" applyProtection="1">
      <alignment horizontal="center" vertical="center" wrapText="1"/>
      <protection locked="0"/>
    </xf>
    <xf numFmtId="0" fontId="15" fillId="0" borderId="1" xfId="7" applyFont="1" applyFill="1" applyBorder="1" applyAlignment="1" applyProtection="1">
      <alignment horizontal="center" vertical="center"/>
    </xf>
    <xf numFmtId="0" fontId="13" fillId="0" borderId="6" xfId="2" applyFont="1" applyBorder="1" applyAlignment="1">
      <alignment horizontal="center" vertical="center"/>
    </xf>
    <xf numFmtId="0" fontId="31" fillId="0" borderId="1" xfId="2" applyFont="1" applyBorder="1" applyAlignment="1">
      <alignment horizontal="center" vertical="center" wrapText="1"/>
    </xf>
    <xf numFmtId="0" fontId="13" fillId="0" borderId="68" xfId="0" applyFont="1" applyBorder="1" applyAlignment="1" applyProtection="1">
      <alignment horizontal="left" vertical="center" wrapText="1"/>
      <protection locked="0"/>
    </xf>
    <xf numFmtId="0" fontId="13" fillId="6" borderId="68" xfId="3" applyFont="1" applyFill="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3" fillId="12" borderId="17" xfId="0" applyFont="1" applyFill="1" applyBorder="1" applyAlignment="1" applyProtection="1">
      <alignment horizontal="left" vertical="center" wrapText="1"/>
      <protection locked="0"/>
    </xf>
    <xf numFmtId="0" fontId="13" fillId="6" borderId="17" xfId="0" applyFont="1" applyFill="1" applyBorder="1" applyAlignment="1" applyProtection="1">
      <alignment horizontal="left" vertical="center" wrapText="1"/>
      <protection locked="0"/>
    </xf>
    <xf numFmtId="0" fontId="16" fillId="6" borderId="68" xfId="3" applyFont="1" applyFill="1" applyBorder="1" applyAlignment="1" applyProtection="1">
      <alignment horizontal="left" vertical="center" wrapText="1"/>
      <protection locked="0"/>
    </xf>
    <xf numFmtId="49" fontId="46" fillId="0" borderId="39" xfId="0" applyNumberFormat="1" applyFont="1" applyBorder="1" applyAlignment="1">
      <alignment vertical="center" wrapText="1"/>
    </xf>
    <xf numFmtId="9" fontId="59" fillId="0" borderId="0" xfId="11" applyFont="1" applyFill="1" applyAlignment="1" applyProtection="1">
      <alignment horizontal="center" vertical="center"/>
      <protection locked="0"/>
    </xf>
    <xf numFmtId="0" fontId="55" fillId="0" borderId="7" xfId="2" applyFont="1" applyBorder="1" applyAlignment="1" applyProtection="1">
      <alignment horizontal="center" vertical="center"/>
      <protection locked="0"/>
    </xf>
    <xf numFmtId="0" fontId="55" fillId="0" borderId="17" xfId="2" applyFont="1" applyBorder="1" applyAlignment="1" applyProtection="1">
      <alignment horizontal="center" vertical="center"/>
      <protection locked="0"/>
    </xf>
    <xf numFmtId="0" fontId="55" fillId="0" borderId="50" xfId="3" applyFont="1" applyBorder="1" applyAlignment="1" applyProtection="1">
      <alignment horizontal="left" vertical="center" wrapText="1"/>
      <protection locked="0"/>
    </xf>
    <xf numFmtId="0" fontId="55" fillId="0" borderId="0" xfId="0" applyFont="1" applyAlignment="1" applyProtection="1">
      <alignment horizontal="center" vertical="center"/>
      <protection locked="0"/>
    </xf>
    <xf numFmtId="0" fontId="55" fillId="0" borderId="0" xfId="3" applyFont="1" applyProtection="1">
      <protection locked="0"/>
    </xf>
    <xf numFmtId="0" fontId="55" fillId="0" borderId="0" xfId="0" applyFont="1" applyProtection="1">
      <protection locked="0"/>
    </xf>
    <xf numFmtId="0" fontId="21" fillId="0" borderId="1" xfId="3" applyFont="1" applyBorder="1" applyAlignment="1" applyProtection="1">
      <alignment vertical="center" wrapText="1"/>
      <protection locked="0"/>
    </xf>
    <xf numFmtId="0" fontId="20" fillId="6" borderId="14" xfId="0" applyFont="1" applyFill="1" applyBorder="1" applyAlignment="1" applyProtection="1">
      <alignment horizontal="left" vertical="center" wrapText="1"/>
      <protection locked="0"/>
    </xf>
    <xf numFmtId="0" fontId="16" fillId="6" borderId="3" xfId="2" applyFont="1" applyFill="1" applyBorder="1" applyAlignment="1" applyProtection="1">
      <alignment horizontal="center" vertical="center" wrapText="1"/>
      <protection locked="0"/>
    </xf>
    <xf numFmtId="0" fontId="16" fillId="6" borderId="14" xfId="3" applyFont="1" applyFill="1" applyBorder="1" applyAlignment="1" applyProtection="1">
      <alignment horizontal="left" vertical="center" wrapText="1"/>
      <protection locked="0"/>
    </xf>
    <xf numFmtId="0" fontId="15" fillId="6" borderId="3" xfId="14"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56" fillId="6" borderId="14" xfId="3" applyFont="1" applyFill="1" applyBorder="1" applyAlignment="1" applyProtection="1">
      <alignment horizontal="left" vertical="center" wrapText="1"/>
      <protection locked="0"/>
    </xf>
    <xf numFmtId="0" fontId="24" fillId="12" borderId="14" xfId="0" applyFont="1" applyFill="1" applyBorder="1" applyAlignment="1" applyProtection="1">
      <alignment horizontal="left" vertical="center" wrapText="1"/>
      <protection locked="0"/>
    </xf>
    <xf numFmtId="0" fontId="20" fillId="12" borderId="14" xfId="0" applyFont="1" applyFill="1" applyBorder="1" applyAlignment="1" applyProtection="1">
      <alignment horizontal="left" vertical="center" wrapText="1"/>
      <protection locked="0"/>
    </xf>
    <xf numFmtId="0" fontId="31" fillId="0" borderId="3" xfId="0" applyFont="1" applyBorder="1" applyAlignment="1">
      <alignment horizontal="center" vertical="center" wrapText="1"/>
    </xf>
    <xf numFmtId="0" fontId="55" fillId="6" borderId="1" xfId="2" applyFont="1" applyFill="1" applyBorder="1" applyAlignment="1" applyProtection="1">
      <alignment horizontal="center" vertical="center" wrapText="1"/>
      <protection locked="0"/>
    </xf>
    <xf numFmtId="0" fontId="13" fillId="6" borderId="14" xfId="2" applyFont="1" applyFill="1" applyBorder="1" applyAlignment="1" applyProtection="1">
      <alignment horizontal="left" vertical="center" wrapText="1"/>
      <protection locked="0"/>
    </xf>
    <xf numFmtId="0" fontId="13" fillId="12" borderId="3" xfId="0" applyFont="1" applyFill="1" applyBorder="1" applyAlignment="1" applyProtection="1">
      <alignment horizontal="center" vertical="center" wrapText="1"/>
      <protection locked="0"/>
    </xf>
    <xf numFmtId="0" fontId="13" fillId="6" borderId="49" xfId="3" applyFont="1" applyFill="1" applyBorder="1" applyAlignment="1" applyProtection="1">
      <alignment horizontal="left" vertical="center" wrapText="1"/>
      <protection locked="0"/>
    </xf>
    <xf numFmtId="0" fontId="22" fillId="9" borderId="36" xfId="3" applyFont="1" applyFill="1" applyBorder="1" applyAlignment="1" applyProtection="1">
      <alignment horizontal="left" vertical="center" wrapText="1"/>
      <protection locked="0"/>
    </xf>
    <xf numFmtId="49" fontId="46" fillId="0" borderId="39" xfId="0" applyNumberFormat="1" applyFont="1" applyBorder="1" applyAlignment="1">
      <alignment horizontal="left" vertical="center" wrapText="1"/>
    </xf>
    <xf numFmtId="0" fontId="13" fillId="6" borderId="2" xfId="0" applyFont="1" applyFill="1" applyBorder="1" applyAlignment="1" applyProtection="1">
      <alignment horizontal="center" vertical="center" wrapText="1"/>
      <protection locked="0"/>
    </xf>
    <xf numFmtId="0" fontId="12" fillId="0" borderId="49" xfId="2" applyFont="1" applyBorder="1" applyAlignment="1">
      <alignment horizontal="left" vertical="center" wrapText="1"/>
    </xf>
    <xf numFmtId="0" fontId="13" fillId="0" borderId="68" xfId="3" applyFont="1" applyBorder="1" applyAlignment="1" applyProtection="1">
      <alignment horizontal="center" vertical="center" wrapText="1"/>
      <protection locked="0"/>
    </xf>
    <xf numFmtId="9" fontId="28" fillId="0" borderId="0" xfId="11" applyFont="1" applyFill="1" applyAlignment="1" applyProtection="1">
      <alignment horizontal="center" vertical="center" wrapText="1"/>
    </xf>
    <xf numFmtId="0" fontId="22" fillId="0" borderId="37" xfId="3" applyFont="1" applyBorder="1" applyAlignment="1" applyProtection="1">
      <alignment horizontal="left" vertical="center" wrapText="1"/>
      <protection locked="0"/>
    </xf>
    <xf numFmtId="0" fontId="23" fillId="0" borderId="17" xfId="3" applyFont="1" applyBorder="1" applyAlignment="1">
      <alignment horizontal="center" vertical="center" wrapText="1"/>
    </xf>
    <xf numFmtId="0" fontId="61" fillId="0" borderId="3" xfId="2" applyFont="1" applyBorder="1" applyAlignment="1">
      <alignment horizontal="center" vertical="center"/>
    </xf>
    <xf numFmtId="0" fontId="55" fillId="0" borderId="3" xfId="2" applyFont="1" applyBorder="1" applyAlignment="1">
      <alignment horizontal="center" vertical="center"/>
    </xf>
    <xf numFmtId="0" fontId="55" fillId="0" borderId="17" xfId="2" applyFont="1" applyBorder="1" applyAlignment="1">
      <alignment horizontal="left" vertical="center" wrapText="1"/>
    </xf>
    <xf numFmtId="0" fontId="58" fillId="0" borderId="17" xfId="3" applyFont="1" applyBorder="1" applyAlignment="1">
      <alignment horizontal="left" vertical="center" wrapText="1"/>
    </xf>
    <xf numFmtId="0" fontId="13" fillId="0" borderId="2" xfId="0" applyFont="1" applyBorder="1" applyAlignment="1">
      <alignment horizontal="left" vertical="center" wrapText="1"/>
    </xf>
    <xf numFmtId="0" fontId="21" fillId="0" borderId="14" xfId="3" applyFont="1" applyBorder="1" applyAlignment="1">
      <alignment horizontal="left" vertical="center" wrapText="1"/>
    </xf>
    <xf numFmtId="0" fontId="65" fillId="0" borderId="1" xfId="2" applyFont="1" applyBorder="1" applyAlignment="1">
      <alignment horizontal="center" vertical="center" wrapText="1"/>
    </xf>
    <xf numFmtId="0" fontId="13" fillId="0" borderId="2" xfId="14" applyFont="1" applyBorder="1" applyAlignment="1">
      <alignment horizontal="center" vertical="center" wrapText="1"/>
    </xf>
    <xf numFmtId="0" fontId="13" fillId="0" borderId="2" xfId="3" applyFont="1" applyBorder="1" applyAlignment="1">
      <alignment horizontal="center" vertical="center" wrapText="1"/>
    </xf>
    <xf numFmtId="0" fontId="13" fillId="0" borderId="15" xfId="3" applyFont="1" applyBorder="1" applyAlignment="1">
      <alignment horizontal="left" vertical="center" wrapText="1"/>
    </xf>
    <xf numFmtId="0" fontId="54" fillId="12" borderId="1" xfId="0" applyFont="1" applyFill="1" applyBorder="1" applyAlignment="1" applyProtection="1">
      <alignment horizontal="center" vertical="center"/>
      <protection locked="0"/>
    </xf>
    <xf numFmtId="0" fontId="64"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3" fillId="0" borderId="49" xfId="3" applyFont="1" applyBorder="1" applyAlignment="1">
      <alignment horizontal="left" vertical="center" wrapText="1"/>
    </xf>
    <xf numFmtId="0" fontId="15" fillId="0" borderId="3" xfId="2" applyFont="1" applyBorder="1" applyAlignment="1">
      <alignment horizontal="center" vertical="center" wrapText="1"/>
    </xf>
    <xf numFmtId="0" fontId="17" fillId="0" borderId="1" xfId="3" applyFont="1" applyBorder="1" applyAlignment="1">
      <alignment horizontal="left" vertical="center" wrapText="1"/>
    </xf>
    <xf numFmtId="0" fontId="34" fillId="0" borderId="49" xfId="0" applyFont="1" applyBorder="1" applyAlignment="1">
      <alignment horizontal="center" vertical="center"/>
    </xf>
    <xf numFmtId="0" fontId="13" fillId="0" borderId="49" xfId="0" applyFont="1" applyBorder="1" applyAlignment="1">
      <alignment vertical="center" wrapText="1"/>
    </xf>
    <xf numFmtId="0" fontId="13" fillId="0" borderId="49"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vertical="center"/>
    </xf>
    <xf numFmtId="0" fontId="17" fillId="0" borderId="14" xfId="3" applyFont="1" applyBorder="1" applyAlignment="1">
      <alignment horizontal="left" vertical="center" wrapText="1"/>
    </xf>
    <xf numFmtId="0" fontId="13" fillId="0" borderId="49" xfId="3" applyFont="1" applyBorder="1" applyAlignment="1">
      <alignment vertical="center" wrapText="1"/>
    </xf>
    <xf numFmtId="0" fontId="13" fillId="0" borderId="60" xfId="3" applyFont="1" applyBorder="1" applyAlignment="1">
      <alignment horizontal="left" vertical="center" wrapText="1"/>
    </xf>
    <xf numFmtId="0" fontId="13" fillId="0" borderId="15" xfId="0" applyFont="1" applyBorder="1" applyAlignment="1">
      <alignment horizontal="left" vertical="center" wrapText="1"/>
    </xf>
    <xf numFmtId="0" fontId="16" fillId="0" borderId="49" xfId="3" applyFont="1" applyBorder="1" applyAlignment="1">
      <alignment horizontal="left" vertical="center" wrapText="1"/>
    </xf>
    <xf numFmtId="0" fontId="57"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5" fillId="0" borderId="49" xfId="0" applyFont="1" applyBorder="1" applyAlignment="1">
      <alignment horizontal="center" vertical="center"/>
    </xf>
    <xf numFmtId="0" fontId="13" fillId="0" borderId="49" xfId="0" applyFont="1" applyBorder="1" applyAlignment="1">
      <alignment horizontal="center" vertical="center"/>
    </xf>
    <xf numFmtId="0" fontId="55" fillId="0" borderId="2" xfId="2" applyFont="1" applyBorder="1" applyAlignment="1">
      <alignment horizontal="center" vertical="center" wrapText="1"/>
    </xf>
    <xf numFmtId="0" fontId="13" fillId="0" borderId="0" xfId="3" applyFont="1"/>
    <xf numFmtId="0" fontId="13" fillId="6" borderId="49" xfId="0" applyFont="1" applyFill="1" applyBorder="1" applyAlignment="1" applyProtection="1">
      <alignment horizontal="center" vertical="center" wrapText="1"/>
      <protection locked="0"/>
    </xf>
    <xf numFmtId="0" fontId="55" fillId="6" borderId="2" xfId="2" applyFont="1" applyFill="1" applyBorder="1" applyAlignment="1" applyProtection="1">
      <alignment horizontal="center" vertical="center" wrapText="1"/>
      <protection locked="0"/>
    </xf>
    <xf numFmtId="0" fontId="15" fillId="0" borderId="0" xfId="3" applyFont="1" applyAlignment="1">
      <alignment horizontal="center" vertical="center"/>
    </xf>
    <xf numFmtId="0" fontId="51"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5" fillId="0" borderId="0" xfId="3" applyFont="1" applyAlignment="1">
      <alignment horizontal="center" vertical="center" wrapText="1"/>
    </xf>
    <xf numFmtId="0" fontId="61" fillId="0" borderId="0" xfId="3" applyFont="1" applyAlignment="1">
      <alignment horizontal="center" vertical="center"/>
    </xf>
    <xf numFmtId="0" fontId="15" fillId="0" borderId="0" xfId="0" applyFont="1" applyAlignment="1">
      <alignment horizontal="center" vertical="center"/>
    </xf>
    <xf numFmtId="2" fontId="13" fillId="0" borderId="0" xfId="0" applyNumberFormat="1" applyFont="1" applyProtection="1">
      <protection locked="0"/>
    </xf>
    <xf numFmtId="2" fontId="32" fillId="0" borderId="34" xfId="0" applyNumberFormat="1" applyFont="1" applyBorder="1" applyAlignment="1" applyProtection="1">
      <alignment horizontal="right" vertical="center"/>
      <protection locked="0"/>
    </xf>
    <xf numFmtId="2" fontId="32" fillId="0" borderId="65" xfId="0" applyNumberFormat="1" applyFont="1" applyBorder="1" applyAlignment="1" applyProtection="1">
      <alignment horizontal="right" vertical="center"/>
      <protection locked="0"/>
    </xf>
    <xf numFmtId="2" fontId="32" fillId="0" borderId="11" xfId="0" applyNumberFormat="1" applyFont="1" applyBorder="1" applyAlignment="1" applyProtection="1">
      <alignment horizontal="right" vertical="center"/>
      <protection locked="0"/>
    </xf>
    <xf numFmtId="165" fontId="53" fillId="0" borderId="0" xfId="0" applyNumberFormat="1" applyFont="1" applyAlignment="1">
      <alignment horizontal="center" vertical="center" wrapText="1"/>
    </xf>
    <xf numFmtId="165" fontId="59" fillId="0" borderId="0" xfId="0" applyNumberFormat="1" applyFont="1" applyAlignment="1">
      <alignment horizontal="center" vertical="center"/>
    </xf>
    <xf numFmtId="0" fontId="13" fillId="0" borderId="1" xfId="2" applyFont="1" applyBorder="1" applyAlignment="1">
      <alignment horizontal="left" vertical="center" wrapText="1"/>
    </xf>
    <xf numFmtId="49" fontId="46" fillId="4" borderId="39" xfId="0" applyNumberFormat="1" applyFont="1" applyFill="1" applyBorder="1" applyAlignment="1">
      <alignment vertical="center" wrapText="1"/>
    </xf>
    <xf numFmtId="0" fontId="13" fillId="0" borderId="2" xfId="2" applyFont="1" applyBorder="1" applyAlignment="1">
      <alignment horizontal="left" vertical="center" wrapText="1"/>
    </xf>
    <xf numFmtId="0" fontId="13" fillId="6" borderId="1" xfId="0" applyFont="1" applyFill="1" applyBorder="1" applyAlignment="1" applyProtection="1">
      <alignment horizontal="left" wrapText="1"/>
      <protection locked="0"/>
    </xf>
    <xf numFmtId="0" fontId="13" fillId="6" borderId="13" xfId="2" applyFont="1" applyFill="1" applyBorder="1" applyAlignment="1" applyProtection="1">
      <alignment horizontal="left" vertical="center" wrapText="1"/>
      <protection locked="0"/>
    </xf>
    <xf numFmtId="0" fontId="13" fillId="0" borderId="3" xfId="2" applyFont="1" applyBorder="1" applyAlignment="1" applyProtection="1">
      <alignment horizontal="left" vertical="center" wrapText="1"/>
      <protection locked="0"/>
    </xf>
    <xf numFmtId="0" fontId="13" fillId="6" borderId="1" xfId="2" applyFont="1" applyFill="1" applyBorder="1" applyAlignment="1" applyProtection="1">
      <alignment horizontal="left" vertical="center" wrapText="1"/>
      <protection locked="0"/>
    </xf>
    <xf numFmtId="0" fontId="13" fillId="6" borderId="3" xfId="2" applyFont="1" applyFill="1" applyBorder="1" applyAlignment="1" applyProtection="1">
      <alignment horizontal="left" vertical="center" wrapText="1"/>
      <protection locked="0"/>
    </xf>
    <xf numFmtId="0" fontId="13" fillId="0" borderId="1" xfId="3" applyFont="1" applyBorder="1" applyAlignment="1">
      <alignment vertical="top" wrapText="1"/>
    </xf>
    <xf numFmtId="0" fontId="13" fillId="0" borderId="0" xfId="0" applyFont="1" applyAlignment="1">
      <alignment horizontal="left" vertical="center" wrapText="1"/>
    </xf>
    <xf numFmtId="0" fontId="35" fillId="0" borderId="69" xfId="0" applyFont="1" applyBorder="1" applyAlignment="1">
      <alignment vertical="center" wrapText="1"/>
    </xf>
    <xf numFmtId="0" fontId="35" fillId="0" borderId="1" xfId="0" applyFont="1" applyBorder="1" applyAlignment="1" applyProtection="1">
      <alignment horizontal="left" vertical="center" wrapText="1"/>
      <protection locked="0"/>
    </xf>
    <xf numFmtId="0" fontId="13" fillId="7" borderId="1" xfId="0" applyFont="1" applyFill="1" applyBorder="1" applyAlignment="1" applyProtection="1">
      <alignment horizontal="left" vertical="center" wrapText="1"/>
      <protection locked="0"/>
    </xf>
    <xf numFmtId="0" fontId="13" fillId="6" borderId="2" xfId="2" applyFont="1" applyFill="1" applyBorder="1" applyAlignment="1" applyProtection="1">
      <alignment horizontal="left" vertical="center" wrapText="1"/>
      <protection locked="0"/>
    </xf>
    <xf numFmtId="0" fontId="13" fillId="0" borderId="45" xfId="2" applyFont="1" applyBorder="1" applyAlignment="1">
      <alignment horizontal="left" vertical="center" wrapText="1"/>
    </xf>
    <xf numFmtId="49" fontId="46" fillId="4" borderId="39" xfId="0" applyNumberFormat="1" applyFont="1" applyFill="1" applyBorder="1" applyAlignment="1">
      <alignment horizontal="left" vertical="center" wrapText="1"/>
    </xf>
    <xf numFmtId="9" fontId="28" fillId="0" borderId="13" xfId="11" applyFont="1" applyBorder="1" applyAlignment="1" applyProtection="1">
      <alignment horizontal="center" vertical="center" wrapText="1"/>
    </xf>
    <xf numFmtId="9" fontId="28" fillId="0" borderId="2" xfId="11" applyFont="1" applyBorder="1" applyAlignment="1" applyProtection="1">
      <alignment horizontal="center" vertical="center" wrapText="1"/>
    </xf>
    <xf numFmtId="9" fontId="28" fillId="0" borderId="10" xfId="11" applyFont="1" applyBorder="1" applyAlignment="1" applyProtection="1">
      <alignment horizontal="center" vertical="center" wrapText="1"/>
    </xf>
    <xf numFmtId="9" fontId="28" fillId="0" borderId="76" xfId="11" applyFont="1" applyBorder="1" applyAlignment="1" applyProtection="1">
      <alignment horizontal="center" vertical="center" wrapText="1"/>
    </xf>
    <xf numFmtId="0" fontId="3" fillId="9" borderId="1" xfId="16" applyFill="1" applyBorder="1" applyAlignment="1" applyProtection="1">
      <alignment horizontal="center" vertical="center"/>
      <protection locked="0"/>
    </xf>
    <xf numFmtId="0" fontId="3" fillId="9" borderId="1" xfId="16" applyFill="1" applyBorder="1" applyAlignment="1" applyProtection="1">
      <alignment horizontal="center" vertical="center" wrapText="1"/>
      <protection locked="0"/>
    </xf>
    <xf numFmtId="0" fontId="3" fillId="9" borderId="14" xfId="16" applyFill="1" applyBorder="1" applyAlignment="1" applyProtection="1">
      <alignment horizontal="center" vertical="center" wrapText="1"/>
      <protection locked="0"/>
    </xf>
    <xf numFmtId="2" fontId="3" fillId="9" borderId="70" xfId="16" applyNumberFormat="1" applyFill="1" applyBorder="1" applyAlignment="1" applyProtection="1">
      <alignment horizontal="center" vertical="center" wrapText="1"/>
      <protection locked="0"/>
    </xf>
    <xf numFmtId="0" fontId="7" fillId="0" borderId="22" xfId="10" applyBorder="1"/>
    <xf numFmtId="0" fontId="7" fillId="0" borderId="25" xfId="10" applyBorder="1"/>
    <xf numFmtId="0" fontId="7" fillId="0" borderId="25" xfId="10" applyBorder="1" applyAlignment="1">
      <alignment horizontal="left" vertical="center"/>
    </xf>
    <xf numFmtId="0" fontId="7" fillId="0" borderId="23" xfId="10" applyBorder="1"/>
    <xf numFmtId="0" fontId="7" fillId="0" borderId="55" xfId="10" applyBorder="1"/>
    <xf numFmtId="0" fontId="26" fillId="0" borderId="5" xfId="10" applyFont="1" applyBorder="1" applyAlignment="1">
      <alignment horizontal="center"/>
    </xf>
    <xf numFmtId="0" fontId="26" fillId="0" borderId="4" xfId="10" applyFont="1" applyBorder="1" applyAlignment="1">
      <alignment horizontal="center"/>
    </xf>
    <xf numFmtId="0" fontId="26" fillId="0" borderId="16" xfId="10" applyFont="1" applyBorder="1" applyAlignment="1">
      <alignment horizontal="center"/>
    </xf>
    <xf numFmtId="0" fontId="26" fillId="0" borderId="40" xfId="10" applyFont="1" applyBorder="1" applyAlignment="1">
      <alignment horizontal="center" vertical="center"/>
    </xf>
    <xf numFmtId="0" fontId="26" fillId="0" borderId="71" xfId="16" applyFont="1" applyBorder="1" applyAlignment="1">
      <alignment horizontal="center" vertical="center"/>
    </xf>
    <xf numFmtId="0" fontId="26" fillId="0" borderId="34" xfId="10" applyFont="1" applyBorder="1" applyAlignment="1">
      <alignment horizontal="center"/>
    </xf>
    <xf numFmtId="0" fontId="7" fillId="0" borderId="24" xfId="10" applyBorder="1"/>
    <xf numFmtId="0" fontId="27" fillId="0" borderId="44" xfId="10" applyFont="1" applyBorder="1" applyAlignment="1">
      <alignment vertical="center"/>
    </xf>
    <xf numFmtId="0" fontId="27" fillId="0" borderId="46" xfId="10" applyFont="1" applyBorder="1" applyAlignment="1">
      <alignment horizontal="left" vertical="center" wrapText="1"/>
    </xf>
    <xf numFmtId="0" fontId="27" fillId="0" borderId="1" xfId="16" applyFont="1" applyBorder="1" applyAlignment="1">
      <alignment vertical="center" wrapText="1"/>
    </xf>
    <xf numFmtId="0" fontId="27" fillId="0" borderId="45" xfId="10" applyFont="1" applyBorder="1" applyAlignment="1">
      <alignment horizontal="center" vertical="center" wrapText="1"/>
    </xf>
    <xf numFmtId="0" fontId="27" fillId="0" borderId="59" xfId="16" applyFont="1" applyBorder="1" applyAlignment="1">
      <alignment horizontal="center" vertical="center" wrapText="1"/>
    </xf>
    <xf numFmtId="0" fontId="27" fillId="0" borderId="8" xfId="10" applyFont="1" applyBorder="1" applyAlignment="1">
      <alignment vertical="center"/>
    </xf>
    <xf numFmtId="0" fontId="27" fillId="0" borderId="42" xfId="10" applyFont="1" applyBorder="1" applyAlignment="1">
      <alignment horizontal="left" vertical="center" wrapText="1"/>
    </xf>
    <xf numFmtId="0" fontId="27" fillId="0" borderId="1" xfId="10" applyFont="1" applyBorder="1" applyAlignment="1">
      <alignment horizontal="center" vertical="center" wrapText="1"/>
    </xf>
    <xf numFmtId="0" fontId="27" fillId="0" borderId="41" xfId="16" applyFont="1" applyBorder="1" applyAlignment="1">
      <alignment horizontal="center" vertical="center" wrapText="1"/>
    </xf>
    <xf numFmtId="0" fontId="3" fillId="4" borderId="1" xfId="16" applyFill="1" applyBorder="1" applyAlignment="1">
      <alignment horizontal="center" vertical="center"/>
    </xf>
    <xf numFmtId="0" fontId="28" fillId="0" borderId="42" xfId="10" applyFont="1" applyBorder="1" applyAlignment="1">
      <alignment horizontal="left" vertical="center" wrapText="1"/>
    </xf>
    <xf numFmtId="0" fontId="28" fillId="0" borderId="1" xfId="16" applyFont="1" applyBorder="1" applyAlignment="1">
      <alignment vertical="center" wrapText="1"/>
    </xf>
    <xf numFmtId="0" fontId="28" fillId="0" borderId="1" xfId="10" applyFont="1" applyBorder="1" applyAlignment="1">
      <alignment horizontal="center" vertical="center" wrapText="1"/>
    </xf>
    <xf numFmtId="0" fontId="28" fillId="0" borderId="41" xfId="16" applyFont="1" applyBorder="1" applyAlignment="1">
      <alignment horizontal="center" vertical="center" wrapText="1"/>
    </xf>
    <xf numFmtId="0" fontId="29" fillId="0" borderId="8" xfId="10" applyFont="1" applyBorder="1" applyAlignment="1">
      <alignment vertical="center"/>
    </xf>
    <xf numFmtId="0" fontId="28" fillId="0" borderId="42" xfId="12" applyFont="1" applyBorder="1" applyAlignment="1">
      <alignment vertical="center" wrapText="1"/>
    </xf>
    <xf numFmtId="0" fontId="28" fillId="0" borderId="72" xfId="16" applyFont="1" applyBorder="1" applyAlignment="1">
      <alignment vertical="center" wrapText="1"/>
    </xf>
    <xf numFmtId="0" fontId="29" fillId="0" borderId="56" xfId="10" applyFont="1" applyBorder="1" applyAlignment="1">
      <alignment vertical="center"/>
    </xf>
    <xf numFmtId="2" fontId="3" fillId="4" borderId="10" xfId="16" applyNumberFormat="1" applyFill="1" applyBorder="1" applyAlignment="1">
      <alignment horizontal="center" vertical="center"/>
    </xf>
    <xf numFmtId="0" fontId="28" fillId="0" borderId="57" xfId="12" applyFont="1" applyBorder="1" applyAlignment="1">
      <alignment vertical="center" wrapText="1"/>
    </xf>
    <xf numFmtId="0" fontId="28" fillId="0" borderId="73" xfId="16" applyFont="1" applyBorder="1" applyAlignment="1">
      <alignment vertical="center" wrapText="1"/>
    </xf>
    <xf numFmtId="2" fontId="28" fillId="0" borderId="12" xfId="10" applyNumberFormat="1" applyFont="1" applyBorder="1" applyAlignment="1">
      <alignment horizontal="center" vertical="center" wrapText="1"/>
    </xf>
    <xf numFmtId="2" fontId="28" fillId="0" borderId="52" xfId="16" applyNumberFormat="1" applyFont="1" applyBorder="1" applyAlignment="1">
      <alignment horizontal="center" vertical="center" wrapText="1"/>
    </xf>
    <xf numFmtId="0" fontId="27" fillId="0" borderId="7" xfId="10" applyFont="1" applyBorder="1" applyAlignment="1">
      <alignment vertical="center"/>
    </xf>
    <xf numFmtId="0" fontId="27" fillId="0" borderId="58" xfId="10" applyFont="1" applyBorder="1" applyAlignment="1">
      <alignment horizontal="left" vertical="center" wrapText="1"/>
    </xf>
    <xf numFmtId="0" fontId="27" fillId="0" borderId="77" xfId="16" applyFont="1" applyBorder="1" applyAlignment="1">
      <alignment vertical="center" wrapText="1"/>
    </xf>
    <xf numFmtId="0" fontId="27" fillId="0" borderId="3" xfId="10" applyFont="1" applyBorder="1" applyAlignment="1">
      <alignment horizontal="center" vertical="center" wrapText="1"/>
    </xf>
    <xf numFmtId="0" fontId="27" fillId="0" borderId="47" xfId="16" applyFont="1" applyBorder="1" applyAlignment="1">
      <alignment horizontal="center" vertical="center" wrapText="1"/>
    </xf>
    <xf numFmtId="0" fontId="27" fillId="0" borderId="8" xfId="12" applyFont="1" applyBorder="1" applyAlignment="1">
      <alignment horizontal="left" vertical="center"/>
    </xf>
    <xf numFmtId="0" fontId="28" fillId="0" borderId="42" xfId="10" applyFont="1" applyBorder="1" applyAlignment="1">
      <alignment vertical="center" wrapText="1"/>
    </xf>
    <xf numFmtId="0" fontId="28" fillId="0" borderId="78" xfId="16" applyFont="1" applyBorder="1" applyAlignment="1">
      <alignment vertical="center" wrapText="1"/>
    </xf>
    <xf numFmtId="0" fontId="28" fillId="0" borderId="78" xfId="16" applyFont="1" applyBorder="1" applyAlignment="1">
      <alignment wrapText="1"/>
    </xf>
    <xf numFmtId="0" fontId="28" fillId="4" borderId="0" xfId="10" applyFont="1" applyFill="1" applyAlignment="1">
      <alignment wrapText="1"/>
    </xf>
    <xf numFmtId="0" fontId="7" fillId="0" borderId="26" xfId="10" applyBorder="1"/>
    <xf numFmtId="0" fontId="29" fillId="0" borderId="9" xfId="10" applyFont="1" applyBorder="1" applyAlignment="1">
      <alignment vertical="center"/>
    </xf>
    <xf numFmtId="0" fontId="28" fillId="0" borderId="54" xfId="10" applyFont="1" applyBorder="1" applyAlignment="1">
      <alignment horizontal="left" vertical="center" wrapText="1"/>
    </xf>
    <xf numFmtId="0" fontId="28" fillId="0" borderId="74" xfId="16" applyFont="1" applyBorder="1" applyAlignment="1">
      <alignment vertical="center" wrapText="1"/>
    </xf>
    <xf numFmtId="0" fontId="28" fillId="0" borderId="10" xfId="10" applyFont="1" applyBorder="1" applyAlignment="1">
      <alignment horizontal="center" vertical="center" wrapText="1"/>
    </xf>
    <xf numFmtId="0" fontId="28" fillId="0" borderId="48" xfId="16" applyFont="1" applyBorder="1" applyAlignment="1">
      <alignment horizontal="center" vertical="center" wrapText="1"/>
    </xf>
    <xf numFmtId="0" fontId="7" fillId="0" borderId="28" xfId="10" applyBorder="1" applyAlignment="1">
      <alignment wrapText="1"/>
    </xf>
    <xf numFmtId="0" fontId="27" fillId="0" borderId="56" xfId="10" applyFont="1" applyBorder="1" applyAlignment="1">
      <alignment vertical="center"/>
    </xf>
    <xf numFmtId="0" fontId="28" fillId="0" borderId="57" xfId="10" applyFont="1" applyBorder="1" applyAlignment="1">
      <alignment horizontal="left" vertical="center" wrapText="1"/>
    </xf>
    <xf numFmtId="0" fontId="28" fillId="4" borderId="73" xfId="16" applyFont="1" applyFill="1" applyBorder="1" applyAlignment="1">
      <alignment vertical="center" wrapText="1"/>
    </xf>
    <xf numFmtId="0" fontId="28" fillId="0" borderId="12" xfId="10" applyFont="1" applyBorder="1" applyAlignment="1">
      <alignment horizontal="center" vertical="center" wrapText="1"/>
    </xf>
    <xf numFmtId="0" fontId="28" fillId="4" borderId="52" xfId="16" applyFont="1" applyFill="1" applyBorder="1" applyAlignment="1">
      <alignment horizontal="center" vertical="center" wrapText="1"/>
    </xf>
    <xf numFmtId="0" fontId="29" fillId="0" borderId="7" xfId="10" applyFont="1" applyBorder="1" applyAlignment="1">
      <alignment horizontal="left" vertical="center" wrapText="1"/>
    </xf>
    <xf numFmtId="164" fontId="3" fillId="0" borderId="45" xfId="16" applyNumberFormat="1" applyBorder="1" applyAlignment="1">
      <alignment horizontal="center" vertical="center"/>
    </xf>
    <xf numFmtId="0" fontId="30" fillId="0" borderId="3" xfId="10" applyFont="1" applyBorder="1" applyAlignment="1">
      <alignment horizontal="left" vertical="center" wrapText="1"/>
    </xf>
    <xf numFmtId="0" fontId="66" fillId="0" borderId="79" xfId="16" applyFont="1" applyBorder="1" applyAlignment="1">
      <alignment vertical="center" wrapText="1"/>
    </xf>
    <xf numFmtId="0" fontId="29" fillId="0" borderId="8" xfId="10" applyFont="1" applyBorder="1" applyAlignment="1">
      <alignment horizontal="left" vertical="center" wrapText="1"/>
    </xf>
    <xf numFmtId="164" fontId="3" fillId="0" borderId="13" xfId="16" applyNumberFormat="1" applyBorder="1" applyAlignment="1">
      <alignment horizontal="center" vertical="center"/>
    </xf>
    <xf numFmtId="0" fontId="30" fillId="0" borderId="1" xfId="10" applyFont="1" applyBorder="1" applyAlignment="1">
      <alignment horizontal="left" vertical="center" wrapText="1"/>
    </xf>
    <xf numFmtId="0" fontId="66" fillId="0" borderId="75" xfId="16" applyFont="1" applyBorder="1" applyAlignment="1">
      <alignment vertical="center" wrapText="1"/>
    </xf>
    <xf numFmtId="0" fontId="29" fillId="0" borderId="9" xfId="10" applyFont="1" applyBorder="1" applyAlignment="1">
      <alignment horizontal="left" vertical="center" wrapText="1"/>
    </xf>
    <xf numFmtId="164" fontId="3" fillId="0" borderId="10" xfId="16" applyNumberFormat="1" applyBorder="1" applyAlignment="1">
      <alignment horizontal="center" vertical="center"/>
    </xf>
    <xf numFmtId="0" fontId="30" fillId="0" borderId="10" xfId="10" applyFont="1" applyBorder="1" applyAlignment="1">
      <alignment horizontal="left" vertical="center" wrapText="1"/>
    </xf>
    <xf numFmtId="0" fontId="66" fillId="0" borderId="74" xfId="16" applyFont="1" applyBorder="1" applyAlignment="1">
      <alignment vertical="center" wrapText="1"/>
    </xf>
    <xf numFmtId="0" fontId="7" fillId="0" borderId="26" xfId="10" applyBorder="1" applyAlignment="1">
      <alignment horizontal="left" vertical="center"/>
    </xf>
    <xf numFmtId="0" fontId="7" fillId="0" borderId="22" xfId="10" applyBorder="1" applyAlignment="1">
      <alignment horizontal="left" vertical="center"/>
    </xf>
    <xf numFmtId="0" fontId="13" fillId="4" borderId="2" xfId="2" applyFont="1" applyFill="1" applyBorder="1" applyAlignment="1">
      <alignment horizontal="left" vertical="center" wrapText="1"/>
    </xf>
    <xf numFmtId="0" fontId="15" fillId="9" borderId="1" xfId="7" applyFont="1" applyFill="1" applyBorder="1" applyAlignment="1" applyProtection="1">
      <alignment horizontal="center" vertical="center"/>
      <protection locked="0"/>
    </xf>
    <xf numFmtId="1" fontId="3" fillId="4" borderId="3" xfId="16" applyNumberFormat="1" applyFill="1" applyBorder="1" applyAlignment="1">
      <alignment horizontal="center" vertical="center"/>
    </xf>
    <xf numFmtId="1" fontId="6" fillId="9" borderId="14" xfId="12" applyNumberFormat="1" applyFill="1" applyBorder="1" applyAlignment="1" applyProtection="1">
      <alignment horizontal="center" vertical="center"/>
      <protection locked="0"/>
    </xf>
    <xf numFmtId="3" fontId="28" fillId="0" borderId="1" xfId="12" applyNumberFormat="1" applyFont="1" applyBorder="1" applyAlignment="1">
      <alignment horizontal="center" vertical="center" wrapText="1"/>
    </xf>
    <xf numFmtId="3" fontId="3" fillId="4" borderId="68" xfId="16" applyNumberFormat="1" applyFill="1" applyBorder="1" applyAlignment="1">
      <alignment horizontal="center" vertical="center"/>
    </xf>
    <xf numFmtId="3" fontId="28" fillId="0" borderId="1" xfId="10" applyNumberFormat="1" applyFont="1" applyBorder="1" applyAlignment="1">
      <alignment horizontal="center" vertical="center" wrapText="1"/>
    </xf>
    <xf numFmtId="0" fontId="3" fillId="4" borderId="45" xfId="16" applyFill="1" applyBorder="1" applyAlignment="1">
      <alignment horizontal="center" vertical="center"/>
    </xf>
    <xf numFmtId="0" fontId="0" fillId="0" borderId="22" xfId="0" applyBorder="1"/>
    <xf numFmtId="0" fontId="12" fillId="0" borderId="25" xfId="0" applyFont="1" applyBorder="1" applyAlignment="1">
      <alignment horizontal="center" vertical="center"/>
    </xf>
    <xf numFmtId="0" fontId="12" fillId="0" borderId="25" xfId="0" applyFont="1" applyBorder="1"/>
    <xf numFmtId="0" fontId="0" fillId="0" borderId="25" xfId="0" applyBorder="1"/>
    <xf numFmtId="0" fontId="0" fillId="0" borderId="25" xfId="0" applyBorder="1" applyAlignment="1">
      <alignment wrapText="1"/>
    </xf>
    <xf numFmtId="0" fontId="0" fillId="0" borderId="23" xfId="0" applyBorder="1"/>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12" fillId="0" borderId="1" xfId="0" applyFont="1" applyBorder="1"/>
    <xf numFmtId="0" fontId="12" fillId="0" borderId="1" xfId="0" applyFont="1" applyBorder="1" applyAlignment="1">
      <alignment horizontal="center"/>
    </xf>
    <xf numFmtId="0" fontId="12" fillId="0" borderId="1" xfId="0" applyFont="1" applyBorder="1" applyAlignment="1">
      <alignment wrapText="1"/>
    </xf>
    <xf numFmtId="0" fontId="33" fillId="0" borderId="1" xfId="0" applyFont="1" applyBorder="1"/>
    <xf numFmtId="0" fontId="33" fillId="0" borderId="1" xfId="0" applyFont="1" applyBorder="1" applyAlignment="1">
      <alignment wrapText="1"/>
    </xf>
    <xf numFmtId="0" fontId="12" fillId="0" borderId="26" xfId="0" applyFont="1" applyBorder="1" applyAlignment="1">
      <alignment horizontal="center" vertical="center"/>
    </xf>
    <xf numFmtId="0" fontId="12" fillId="0" borderId="26" xfId="0" applyFont="1" applyBorder="1"/>
    <xf numFmtId="0" fontId="0" fillId="0" borderId="26" xfId="0" applyBorder="1"/>
    <xf numFmtId="0" fontId="0" fillId="0" borderId="26" xfId="0" applyBorder="1" applyAlignment="1">
      <alignment wrapText="1"/>
    </xf>
    <xf numFmtId="0" fontId="12" fillId="0" borderId="22" xfId="0" applyFont="1" applyBorder="1" applyAlignment="1">
      <alignment horizontal="center" vertical="center"/>
    </xf>
    <xf numFmtId="0" fontId="12" fillId="0" borderId="22" xfId="0" applyFont="1" applyBorder="1"/>
    <xf numFmtId="0" fontId="0" fillId="0" borderId="22" xfId="0" applyBorder="1" applyAlignment="1">
      <alignment wrapText="1"/>
    </xf>
    <xf numFmtId="0" fontId="46" fillId="4" borderId="1" xfId="2" applyFont="1" applyFill="1" applyBorder="1" applyAlignment="1">
      <alignment horizontal="left" vertical="center" wrapText="1"/>
    </xf>
    <xf numFmtId="0" fontId="13" fillId="0" borderId="49" xfId="0" applyFont="1" applyBorder="1" applyAlignment="1">
      <alignment wrapText="1"/>
    </xf>
    <xf numFmtId="0" fontId="13" fillId="0" borderId="49" xfId="6" applyFont="1" applyBorder="1" applyAlignment="1">
      <alignment vertical="center" wrapText="1"/>
    </xf>
    <xf numFmtId="0" fontId="60" fillId="0" borderId="1" xfId="0" applyFont="1" applyBorder="1" applyAlignment="1">
      <alignment wrapText="1"/>
    </xf>
    <xf numFmtId="0" fontId="46" fillId="0" borderId="1" xfId="2" applyFont="1" applyBorder="1" applyAlignment="1">
      <alignment horizontal="center" vertical="center" wrapText="1"/>
    </xf>
    <xf numFmtId="0" fontId="13" fillId="0" borderId="20" xfId="0" applyFont="1" applyBorder="1" applyAlignment="1">
      <alignment horizontal="left" vertical="center" wrapText="1"/>
    </xf>
    <xf numFmtId="0" fontId="13" fillId="9" borderId="50" xfId="3" applyFont="1" applyFill="1" applyBorder="1" applyAlignment="1" applyProtection="1">
      <alignment horizontal="left" vertical="center" wrapText="1"/>
      <protection locked="0"/>
    </xf>
    <xf numFmtId="0" fontId="70" fillId="6" borderId="3" xfId="2" applyFont="1" applyFill="1" applyBorder="1" applyAlignment="1">
      <alignment horizontal="left" vertical="center" wrapText="1"/>
    </xf>
    <xf numFmtId="0" fontId="55" fillId="0" borderId="3" xfId="2" applyFont="1" applyBorder="1" applyAlignment="1">
      <alignment horizontal="center" vertical="center" wrapText="1"/>
    </xf>
    <xf numFmtId="0" fontId="13" fillId="0" borderId="75" xfId="2" applyFont="1" applyBorder="1" applyAlignment="1" applyProtection="1">
      <alignment horizontal="center" vertical="center"/>
      <protection locked="0"/>
    </xf>
    <xf numFmtId="0" fontId="15" fillId="4" borderId="1" xfId="14" applyFont="1" applyFill="1" applyBorder="1" applyAlignment="1" applyProtection="1">
      <alignment horizontal="center" vertical="center" wrapText="1"/>
      <protection locked="0"/>
    </xf>
    <xf numFmtId="0" fontId="13" fillId="4" borderId="3" xfId="0" applyFont="1" applyFill="1" applyBorder="1" applyAlignment="1" applyProtection="1">
      <alignment horizontal="center" vertical="center" wrapText="1"/>
      <protection locked="0"/>
    </xf>
    <xf numFmtId="0" fontId="13" fillId="4" borderId="13" xfId="0" applyFont="1" applyFill="1" applyBorder="1" applyAlignment="1" applyProtection="1">
      <alignment horizontal="left" vertical="center" wrapText="1"/>
      <protection locked="0"/>
    </xf>
    <xf numFmtId="0" fontId="13" fillId="4" borderId="2" xfId="2" applyFont="1" applyFill="1" applyBorder="1" applyAlignment="1" applyProtection="1">
      <alignment horizontal="center" vertical="center" wrapText="1"/>
      <protection locked="0"/>
    </xf>
    <xf numFmtId="0" fontId="13" fillId="4" borderId="2" xfId="2" applyFont="1" applyFill="1" applyBorder="1" applyAlignment="1" applyProtection="1">
      <alignment horizontal="left" vertical="center" wrapText="1"/>
      <protection locked="0"/>
    </xf>
    <xf numFmtId="0" fontId="13" fillId="4" borderId="3" xfId="2" applyFont="1" applyFill="1" applyBorder="1" applyAlignment="1" applyProtection="1">
      <alignment horizontal="center" vertical="center" wrapText="1"/>
      <protection locked="0"/>
    </xf>
    <xf numFmtId="0" fontId="13" fillId="4" borderId="3" xfId="3" applyFont="1" applyFill="1" applyBorder="1" applyAlignment="1" applyProtection="1">
      <alignment horizontal="left" vertical="center" wrapText="1"/>
      <protection locked="0"/>
    </xf>
    <xf numFmtId="0" fontId="13" fillId="4" borderId="17" xfId="3" applyFont="1" applyFill="1" applyBorder="1" applyAlignment="1" applyProtection="1">
      <alignment horizontal="center" vertical="center" wrapText="1"/>
      <protection locked="0"/>
    </xf>
    <xf numFmtId="0" fontId="13" fillId="4" borderId="1" xfId="3" applyFont="1" applyFill="1" applyBorder="1" applyAlignment="1" applyProtection="1">
      <alignment vertical="center" wrapText="1"/>
      <protection locked="0"/>
    </xf>
    <xf numFmtId="0" fontId="13" fillId="4" borderId="50" xfId="3" applyFont="1" applyFill="1" applyBorder="1" applyAlignment="1" applyProtection="1">
      <alignment horizontal="left" vertical="center" wrapText="1"/>
      <protection locked="0"/>
    </xf>
    <xf numFmtId="0" fontId="13" fillId="9" borderId="17" xfId="0" applyFont="1" applyFill="1" applyBorder="1" applyAlignment="1" applyProtection="1">
      <alignment horizontal="left" vertical="center" wrapText="1"/>
      <protection locked="0"/>
    </xf>
    <xf numFmtId="49" fontId="71" fillId="0" borderId="39" xfId="0" applyNumberFormat="1" applyFont="1" applyBorder="1" applyAlignment="1">
      <alignment vertical="center" wrapText="1"/>
    </xf>
    <xf numFmtId="0" fontId="57" fillId="0" borderId="1" xfId="2" applyFont="1" applyBorder="1" applyAlignment="1">
      <alignment horizontal="left" vertical="center" wrapText="1"/>
    </xf>
    <xf numFmtId="0" fontId="57" fillId="0" borderId="3" xfId="3" applyFont="1" applyBorder="1" applyAlignment="1">
      <alignment horizontal="left" wrapText="1"/>
    </xf>
    <xf numFmtId="0" fontId="20" fillId="11" borderId="2" xfId="3" applyFont="1" applyFill="1" applyBorder="1" applyAlignment="1">
      <alignment horizontal="center" vertical="center" wrapText="1"/>
    </xf>
    <xf numFmtId="0" fontId="20" fillId="11" borderId="3" xfId="3" applyFont="1" applyFill="1" applyBorder="1" applyAlignment="1">
      <alignment horizontal="center" vertical="center" wrapText="1"/>
    </xf>
    <xf numFmtId="0" fontId="13" fillId="5" borderId="32" xfId="2" applyFont="1" applyFill="1" applyBorder="1" applyAlignment="1">
      <alignment horizontal="center" vertical="center"/>
    </xf>
    <xf numFmtId="0" fontId="13" fillId="5" borderId="33" xfId="2" applyFont="1" applyFill="1" applyBorder="1" applyAlignment="1">
      <alignment horizontal="center" vertical="center"/>
    </xf>
    <xf numFmtId="0" fontId="13" fillId="5" borderId="34" xfId="2" applyFont="1" applyFill="1" applyBorder="1" applyAlignment="1">
      <alignment horizontal="center" vertical="center"/>
    </xf>
    <xf numFmtId="0" fontId="22" fillId="0" borderId="35" xfId="3" applyFont="1" applyBorder="1" applyAlignment="1" applyProtection="1">
      <alignment horizontal="center" vertical="center" wrapText="1"/>
      <protection locked="0"/>
    </xf>
    <xf numFmtId="0" fontId="22" fillId="0" borderId="30" xfId="3" applyFont="1" applyBorder="1" applyAlignment="1" applyProtection="1">
      <alignment horizontal="center" vertical="center" wrapText="1"/>
      <protection locked="0"/>
    </xf>
    <xf numFmtId="0" fontId="22" fillId="0" borderId="50" xfId="3" applyFont="1" applyBorder="1" applyAlignment="1" applyProtection="1">
      <alignment horizontal="center" vertical="center" wrapText="1"/>
      <protection locked="0"/>
    </xf>
    <xf numFmtId="0" fontId="13" fillId="2" borderId="27" xfId="14" applyFont="1" applyFill="1" applyBorder="1" applyAlignment="1">
      <alignment horizontal="center" vertical="center" wrapText="1"/>
    </xf>
    <xf numFmtId="0" fontId="13" fillId="2" borderId="0" xfId="14" applyFont="1" applyFill="1" applyAlignment="1">
      <alignment horizontal="center" vertical="center" wrapText="1"/>
    </xf>
    <xf numFmtId="0" fontId="13" fillId="3" borderId="62" xfId="14" applyFont="1" applyFill="1" applyBorder="1" applyAlignment="1">
      <alignment horizontal="center" vertical="center" wrapText="1"/>
    </xf>
    <xf numFmtId="0" fontId="13" fillId="3" borderId="63" xfId="14" applyFont="1" applyFill="1" applyBorder="1" applyAlignment="1">
      <alignment horizontal="center" vertical="center" wrapText="1"/>
    </xf>
    <xf numFmtId="0" fontId="15" fillId="3" borderId="29" xfId="2" applyFont="1" applyFill="1" applyBorder="1" applyAlignment="1">
      <alignment horizontal="center" vertical="center" wrapText="1"/>
    </xf>
    <xf numFmtId="0" fontId="15" fillId="3" borderId="31" xfId="2" applyFont="1" applyFill="1" applyBorder="1" applyAlignment="1">
      <alignment horizontal="center" vertical="center" wrapText="1"/>
    </xf>
    <xf numFmtId="0" fontId="20" fillId="0" borderId="35" xfId="3" applyFont="1" applyBorder="1" applyAlignment="1" applyProtection="1">
      <alignment horizontal="center" vertical="center" wrapText="1"/>
      <protection locked="0"/>
    </xf>
    <xf numFmtId="0" fontId="20" fillId="0" borderId="50" xfId="3" applyFont="1" applyBorder="1" applyAlignment="1" applyProtection="1">
      <alignment horizontal="center" vertical="center" wrapText="1"/>
      <protection locked="0"/>
    </xf>
    <xf numFmtId="0" fontId="36" fillId="9" borderId="35" xfId="3" applyFont="1" applyFill="1" applyBorder="1" applyAlignment="1" applyProtection="1">
      <alignment horizontal="center" vertical="center" wrapText="1"/>
      <protection locked="0"/>
    </xf>
    <xf numFmtId="0" fontId="36" fillId="9" borderId="30" xfId="3" applyFont="1" applyFill="1" applyBorder="1" applyAlignment="1" applyProtection="1">
      <alignment horizontal="center" vertical="center" wrapText="1"/>
      <protection locked="0"/>
    </xf>
    <xf numFmtId="0" fontId="36" fillId="9" borderId="50" xfId="3" applyFont="1" applyFill="1" applyBorder="1" applyAlignment="1" applyProtection="1">
      <alignment horizontal="center" vertical="center" wrapText="1"/>
      <protection locked="0"/>
    </xf>
    <xf numFmtId="0" fontId="7" fillId="0" borderId="30" xfId="10" applyBorder="1" applyAlignment="1">
      <alignment horizontal="center" vertical="top" textRotation="90"/>
    </xf>
    <xf numFmtId="0" fontId="7" fillId="0" borderId="31" xfId="10" applyBorder="1" applyAlignment="1">
      <alignment horizontal="center" vertical="top" textRotation="90"/>
    </xf>
    <xf numFmtId="0" fontId="75" fillId="0" borderId="1" xfId="2" applyFont="1" applyBorder="1" applyAlignment="1">
      <alignment horizontal="center" vertical="center" wrapText="1"/>
    </xf>
    <xf numFmtId="0" fontId="1" fillId="0" borderId="49" xfId="3" applyFont="1" applyBorder="1" applyAlignment="1">
      <alignment horizontal="left" vertical="center" wrapText="1"/>
    </xf>
    <xf numFmtId="0" fontId="1" fillId="0" borderId="1" xfId="0" applyFont="1" applyBorder="1" applyAlignment="1">
      <alignment horizontal="left" vertical="center" wrapText="1"/>
    </xf>
    <xf numFmtId="0" fontId="1" fillId="6" borderId="1" xfId="0" applyFont="1" applyFill="1" applyBorder="1" applyAlignment="1" applyProtection="1">
      <alignment horizontal="left" vertical="center" wrapText="1"/>
      <protection locked="0"/>
    </xf>
    <xf numFmtId="0" fontId="1" fillId="0" borderId="1" xfId="2" applyFont="1" applyBorder="1" applyAlignment="1">
      <alignment horizontal="left" vertical="center" wrapText="1"/>
    </xf>
    <xf numFmtId="0" fontId="1" fillId="0" borderId="10" xfId="2" applyFont="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pplyProtection="1">
      <alignment horizontal="left" vertical="center" wrapText="1"/>
      <protection locked="0"/>
    </xf>
    <xf numFmtId="0" fontId="1" fillId="0" borderId="0" xfId="0" applyFont="1" applyAlignment="1" applyProtection="1">
      <alignment horizontal="left" vertical="center"/>
      <protection locked="0"/>
    </xf>
    <xf numFmtId="0" fontId="1" fillId="0" borderId="0" xfId="0" applyFont="1" applyAlignment="1">
      <alignment horizontal="left" vertical="center" wrapText="1"/>
    </xf>
    <xf numFmtId="0" fontId="1" fillId="0" borderId="1" xfId="3" applyFont="1" applyBorder="1" applyAlignment="1" applyProtection="1">
      <alignment horizontal="left" vertical="center" wrapText="1"/>
      <protection locked="0"/>
    </xf>
    <xf numFmtId="0" fontId="1" fillId="0" borderId="49" xfId="0" applyFont="1" applyBorder="1" applyAlignment="1">
      <alignment horizontal="center" vertical="center"/>
    </xf>
    <xf numFmtId="0" fontId="1" fillId="0" borderId="49" xfId="0" applyFont="1" applyBorder="1" applyAlignment="1">
      <alignment vertical="center" wrapText="1"/>
    </xf>
    <xf numFmtId="0" fontId="1" fillId="0" borderId="3" xfId="3" applyFont="1" applyBorder="1" applyAlignment="1" applyProtection="1">
      <alignment horizontal="left" vertical="center" wrapText="1"/>
      <protection locked="0"/>
    </xf>
    <xf numFmtId="0" fontId="1" fillId="0" borderId="2" xfId="3" applyFont="1" applyBorder="1" applyAlignment="1" applyProtection="1">
      <alignment horizontal="left" vertical="center" wrapText="1"/>
      <protection locked="0"/>
    </xf>
    <xf numFmtId="0" fontId="1" fillId="0" borderId="1" xfId="3" applyFont="1" applyBorder="1" applyAlignment="1">
      <alignment vertical="center" wrapText="1"/>
    </xf>
    <xf numFmtId="0" fontId="1" fillId="6" borderId="1" xfId="3" applyFont="1" applyFill="1" applyBorder="1" applyAlignment="1" applyProtection="1">
      <alignment vertical="center" wrapText="1"/>
      <protection locked="0"/>
    </xf>
    <xf numFmtId="0" fontId="1" fillId="0" borderId="64" xfId="3" applyFont="1" applyBorder="1" applyAlignment="1">
      <alignment horizontal="left" vertical="center" wrapText="1"/>
    </xf>
    <xf numFmtId="0" fontId="1" fillId="0" borderId="29" xfId="10" applyFont="1" applyBorder="1" applyAlignment="1">
      <alignment horizontal="center" vertical="top" textRotation="90" wrapText="1"/>
    </xf>
    <xf numFmtId="0" fontId="1" fillId="4" borderId="45" xfId="10" applyFont="1" applyFill="1" applyBorder="1" applyAlignment="1">
      <alignment horizontal="center" vertical="center"/>
    </xf>
    <xf numFmtId="0" fontId="1" fillId="9" borderId="60" xfId="10" applyFont="1" applyFill="1" applyBorder="1" applyAlignment="1" applyProtection="1">
      <alignment horizontal="center" vertical="center"/>
      <protection locked="0"/>
    </xf>
    <xf numFmtId="0" fontId="1" fillId="0" borderId="30" xfId="10" applyFont="1" applyBorder="1" applyAlignment="1">
      <alignment horizontal="center" vertical="top" textRotation="90" wrapText="1"/>
    </xf>
    <xf numFmtId="0" fontId="1" fillId="4" borderId="1" xfId="10" applyFont="1" applyFill="1" applyBorder="1" applyAlignment="1">
      <alignment horizontal="center" vertical="center"/>
    </xf>
    <xf numFmtId="0" fontId="1" fillId="9" borderId="14" xfId="10" applyFont="1" applyFill="1" applyBorder="1" applyAlignment="1" applyProtection="1">
      <alignment horizontal="center" vertical="center"/>
      <protection locked="0"/>
    </xf>
    <xf numFmtId="0" fontId="1" fillId="0" borderId="1" xfId="10" applyFont="1" applyBorder="1" applyAlignment="1">
      <alignment horizontal="center" vertical="center"/>
    </xf>
    <xf numFmtId="0" fontId="1" fillId="9" borderId="1" xfId="10" applyFont="1" applyFill="1" applyBorder="1" applyAlignment="1" applyProtection="1">
      <alignment horizontal="center" vertical="center"/>
      <protection locked="0"/>
    </xf>
    <xf numFmtId="0" fontId="1" fillId="0" borderId="22" xfId="10" applyFont="1" applyBorder="1"/>
    <xf numFmtId="0" fontId="1" fillId="9" borderId="1" xfId="16" applyFont="1" applyFill="1" applyBorder="1" applyAlignment="1" applyProtection="1">
      <alignment horizontal="center" vertical="center"/>
      <protection locked="0"/>
    </xf>
    <xf numFmtId="0" fontId="1" fillId="0" borderId="31" xfId="10" applyFont="1" applyBorder="1" applyAlignment="1">
      <alignment horizontal="center" vertical="top" textRotation="90" wrapText="1"/>
    </xf>
    <xf numFmtId="0" fontId="1" fillId="9" borderId="17" xfId="10" applyFont="1" applyFill="1" applyBorder="1" applyAlignment="1" applyProtection="1">
      <alignment horizontal="center" vertical="center"/>
      <protection locked="0"/>
    </xf>
    <xf numFmtId="1" fontId="1" fillId="9" borderId="14" xfId="10" applyNumberFormat="1" applyFont="1" applyFill="1" applyBorder="1" applyAlignment="1" applyProtection="1">
      <alignment horizontal="center" vertical="center"/>
      <protection locked="0"/>
    </xf>
    <xf numFmtId="0" fontId="1" fillId="9" borderId="10" xfId="10" applyFont="1" applyFill="1" applyBorder="1" applyAlignment="1" applyProtection="1">
      <alignment horizontal="center" vertical="center"/>
      <protection locked="0"/>
    </xf>
    <xf numFmtId="0" fontId="1" fillId="9" borderId="18" xfId="10" applyFont="1" applyFill="1" applyBorder="1" applyAlignment="1" applyProtection="1">
      <alignment horizontal="center" vertical="center"/>
      <protection locked="0"/>
    </xf>
    <xf numFmtId="0" fontId="1" fillId="0" borderId="12" xfId="10" applyFont="1" applyBorder="1" applyAlignment="1">
      <alignment horizontal="center" vertical="center"/>
    </xf>
    <xf numFmtId="0" fontId="1" fillId="0" borderId="70" xfId="10" applyFont="1" applyBorder="1" applyAlignment="1">
      <alignment horizontal="center" vertical="center"/>
    </xf>
    <xf numFmtId="0" fontId="1" fillId="0" borderId="29" xfId="10" applyFont="1" applyBorder="1" applyAlignment="1">
      <alignment horizontal="center" vertical="top" textRotation="90"/>
    </xf>
    <xf numFmtId="164" fontId="1" fillId="9" borderId="3" xfId="10" applyNumberFormat="1" applyFont="1" applyFill="1" applyBorder="1" applyAlignment="1" applyProtection="1">
      <alignment horizontal="center" vertical="center"/>
      <protection locked="0"/>
    </xf>
    <xf numFmtId="164" fontId="1" fillId="9" borderId="1" xfId="10" applyNumberFormat="1" applyFont="1" applyFill="1" applyBorder="1" applyAlignment="1" applyProtection="1">
      <alignment horizontal="center" vertical="center"/>
      <protection locked="0"/>
    </xf>
    <xf numFmtId="164" fontId="1" fillId="9" borderId="10" xfId="10" applyNumberFormat="1" applyFont="1" applyFill="1" applyBorder="1" applyAlignment="1" applyProtection="1">
      <alignment horizontal="center" vertical="center"/>
      <protection locked="0"/>
    </xf>
  </cellXfs>
  <cellStyles count="20">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7884A5F2-52E5-5445-A34F-22B7B21FFC9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4 2 2 3" xfId="19" xr:uid="{A35D2014-36F6-3142-A593-64B4A7240678}"/>
    <cellStyle name="Normal 4 2 3" xfId="18" xr:uid="{96B1EB12-D3FF-874D-B44B-84C4672550C4}"/>
    <cellStyle name="Normal 5" xfId="2" xr:uid="{00000000-0005-0000-0000-00000A000000}"/>
    <cellStyle name="Percent" xfId="11" builtinId="5"/>
  </cellStyles>
  <dxfs count="185">
    <dxf>
      <font>
        <color rgb="FF9C0006"/>
      </font>
      <fill>
        <patternFill>
          <bgColor rgb="FFFFC7CE"/>
        </patternFill>
      </fill>
    </dxf>
    <dxf>
      <font>
        <color rgb="FF9C0006"/>
      </font>
      <fill>
        <patternFill>
          <bgColor rgb="FFFFC7CE"/>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EEB40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D44B"/>
        </patternFill>
      </fill>
    </dxf>
    <dxf>
      <font>
        <color rgb="FF9C0006"/>
      </font>
      <fill>
        <patternFill>
          <bgColor rgb="FFFFC7CE"/>
        </patternFill>
      </fill>
    </dxf>
    <dxf>
      <fill>
        <patternFill patternType="solid">
          <fgColor indexed="64"/>
          <bgColor theme="4" tint="0.79998168889431442"/>
        </patternFill>
      </fill>
    </dxf>
    <dxf>
      <fill>
        <patternFill patternType="solid">
          <fgColor indexed="64"/>
          <bgColor theme="4" tint="0.59999389629810485"/>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4685D2"/>
        </patternFill>
      </fill>
    </dxf>
    <dxf>
      <fill>
        <patternFill>
          <bgColor theme="7" tint="0.59996337778862885"/>
        </patternFill>
      </fill>
    </dxf>
    <dxf>
      <fill>
        <patternFill>
          <bgColor rgb="FF99BCE7"/>
        </patternFill>
      </fill>
    </dxf>
    <dxf>
      <fill>
        <patternFill>
          <bgColor theme="7" tint="0.39994506668294322"/>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6" tint="0.59999389629810485"/>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6" tint="0.79998168889431442"/>
        </patternFill>
      </fill>
    </dxf>
    <dxf>
      <fill>
        <patternFill patternType="solid">
          <fgColor indexed="64"/>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F504E7"/>
      <color rgb="FF4398B6"/>
      <color rgb="FFFFB4B2"/>
      <color rgb="FFBCB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persons/person.xml><?xml version="1.0" encoding="utf-8"?>
<personList xmlns="http://schemas.microsoft.com/office/spreadsheetml/2018/threadedcomments" xmlns:x="http://schemas.openxmlformats.org/spreadsheetml/2006/main">
  <person displayName="Interlenghi, Gabriela (OER)" id="{D2F2A566-04E9-479C-B195-F33AC61A2EA6}" userId="S::Gabriela.Interlenghi@fao.org::84b0a362-5cb8-4d18-9647-00d14ed8ad9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6" dT="2023-05-15T14:12:09.41" personId="{D2F2A566-04E9-479C-B195-F33AC61A2EA6}" id="{618A727A-60D0-4FC6-BE2A-297C1171AD3F}">
    <text>The literal translation for "eating from the same pot" would be "comendo da mesma panela". However, to me it makes more sense and usual stating "eating from the same food" (comendo da mesma comida). This is to the Country Office to adapt according to what makes more sense based on the country's culture.</text>
  </threadedComment>
  <threadedComment ref="F39" dT="2023-05-15T14:42:02.00" personId="{D2F2A566-04E9-479C-B195-F33AC61A2EA6}" id="{8EB12A64-9E2D-4BA6-A7E9-BCFDCDFC25F3}">
    <text>Transhumance (transhumância) is not a usual word in Portuguese. Thus, I have used the term in red ("pastando animais" = grazing the animals) and the addition in parentheses and ref in the hint for probing, which means "in places that offer better conditions" - this part could be also incorporated to the question to improve clarity.</text>
  </threadedComment>
  <threadedComment ref="F54" dT="2023-05-15T15:06:11.20" personId="{D2F2A566-04E9-479C-B195-F33AC61A2EA6}" id="{0C9CA72A-3F18-4FA6-9EE1-8CF73B44F19F}">
    <text>See comment in hh_admin1: the same comment applies here.</text>
  </threadedComment>
  <threadedComment ref="F99" dT="2023-05-29T19:11:30.14" personId="{D2F2A566-04E9-479C-B195-F33AC61A2EA6}" id="{A013DBF9-EAC4-4E07-A022-56F4938B0EB8}">
    <text>Based on previous rounds for Mozambique, I see they have both "Encerramento" and "Fechamento" to refer to "closure". In the Brazilian Portuguese, I would use "Fechamento" in all the situations related to "closure" here presented. I have kept "Encerramento" as used for Mozambique, but I kindly ask future users of this questionnaire to check and consider the best word that applies to your country.</text>
  </threadedComment>
  <threadedComment ref="F107" dT="2023-05-29T19:13:27.04" personId="{D2F2A566-04E9-479C-B195-F33AC61A2EA6}" id="{A8766570-4859-4D27-89EE-A3288F4F428D}">
    <text xml:space="preserve">Here in red, it is just to remember to use the right complement (e.g., "na"/"no"/"em", etc) depending on what is informed in $season PT$. </text>
  </threadedComment>
  <threadedComment ref="F112" dT="2023-06-19T15:18:37.60" personId="{D2F2A566-04E9-479C-B195-F33AC61A2EA6}" id="{3A4CFD46-0727-46F9-B5A4-59198AA4995E}">
    <text xml:space="preserve">In Mozambique, as confirmed by a colleague from the CO, the best translations would be:
1)Não, tudo funciona por gravidade
2)Sim, há uma motobomba comunitária à diesel/gasolina
3)Sim, há uma bomba comunitária manual
4)Sim, há uma bomba manual na minha machamba
5)Sim, há uma bomba à diesel/gasolina na minha machamba
6)NÃO SABE
7)RECUSA 
Users from other countries, please evaluate which is more appropriate to your context.
</text>
  </threadedComment>
  <threadedComment ref="F125" dT="2023-05-17T17:27:05.51" personId="{D2F2A566-04E9-479C-B195-F33AC61A2EA6}" id="{C33DEA5E-8662-4C5D-A55E-098830E885DF}">
    <text>In Mozambique, based on previous rounds, I believe the best term to "access to plot" would be "acesso à machamba". I am not sure if it applies to other Portuguese-speaking countries. If not, please consider "Dificuldade de acesso à terra" instead.</text>
  </threadedComment>
  <threadedComment ref="D204" dT="2023-05-25T14:58:05.18" personId="{D2F2A566-04E9-479C-B195-F33AC61A2EA6}" id="{843C1F0F-2B48-44E3-BDCF-BB4B14113C70}">
    <text>The example provided for immature crops is not a happy one for the Portuguese version of the questionnaire. This because we actually call "green maize" (milho verde" the maize that is harvested also in the proper time. For this reason, I chose not to offer any example and leave it to the Country Office to decide on the best example.</text>
  </threadedComment>
  <threadedComment ref="D204" dT="2023-06-19T15:32:42.91" personId="{D2F2A566-04E9-479C-B195-F33AC61A2EA6}" id="{B1AFEF7A-6AF3-4812-BC91-90EF80E01E31}" parentId="{843C1F0F-2B48-44E3-BDCF-BB4B14113C70}">
    <text>Feedback from Mr. Custódio Amaral from FAOMZ: 
"Agree with you. Green maize is called "maçaroca". In the time to select 3 - 4 - 3 coping strategies, this one should not be selected mainly because is considered as livelihood activity (harvesting immature crops such as cowpea, maize, is normal for consumption and income generation) and not as coping strategy"</text>
  </threadedComment>
  <threadedComment ref="F205" dT="2023-05-29T19:33:30.37" personId="{D2F2A566-04E9-479C-B195-F33AC61A2EA6}" id="{E68CAAD6-3211-4EFE-B8A1-33E863B36157}">
    <text>Based on previous rounds for Mozambique, it seems that the best terminology for planting season would be "sementeira". For other countries, please choose the best and more meaningful term.</text>
  </threadedComment>
  <threadedComment ref="F212" dT="2023-05-29T17:16:28.11" personId="{D2F2A566-04E9-479C-B195-F33AC61A2EA6}" id="{568B77EA-6C5C-4DA1-A9EE-0337B485FF54}">
    <text>I kept the same terms used in previous rounds for Mozambique. However, note that if ever another Portuguese-speaking country joins DIEM, it is important to ensure the terms are aligned with those used in the country. (ex: café da manhã vs. Pequeno-almoço, sorgo vs. Mapira, etc.)
Mesmo comentário se aplica para os exemplos dados nas questões do FCS.</text>
  </threadedComment>
  <threadedComment ref="F232" dT="2023-05-29T19:37:13.21" personId="{D2F2A566-04E9-479C-B195-F33AC61A2EA6}" id="{D0A5C266-F647-4FE2-8EA6-77E41B999D7C}">
    <text>In red is for the country to check whether the term chosen when translating to Portuguese makes sense or whether there is another term that is used more often in the country to refer to the same original meaning in English.</text>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3-05-29T20:50:53.51" personId="{D2F2A566-04E9-479C-B195-F33AC61A2EA6}" id="{CE34E105-CA8A-4916-B107-61106FE4E2C1}">
    <text>In red, please check whether these are the usual terms / best translation in your country. Most of the time, I have kept those used in previous rounds in Mozambique, but I confess that I am not familiar with all of them, because I know them by different names.</text>
  </threadedComment>
  <threadedComment ref="G44" dT="2023-06-19T15:46:48.60" personId="{D2F2A566-04E9-479C-B195-F33AC61A2EA6}" id="{A115F4F4-E210-475E-AA4E-45932FF9A864}">
    <text xml:space="preserve">In Mozambique, haricot = feijão verde, according to the CO. In Brazil, it would be "vagem". Other countries, please choose the most appropriate translation.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0"/>
  <sheetViews>
    <sheetView tabSelected="1" topLeftCell="B1" zoomScale="90" zoomScaleNormal="90" workbookViewId="0">
      <pane ySplit="3" topLeftCell="F231" activePane="bottomLeft" state="frozen"/>
      <selection pane="bottomLeft" activeCell="I1" sqref="I1:M1048576"/>
      <selection activeCell="B1" sqref="B1"/>
    </sheetView>
  </sheetViews>
  <sheetFormatPr defaultColWidth="8.85546875" defaultRowHeight="15.95" outlineLevelCol="1"/>
  <cols>
    <col min="1" max="1" width="7.42578125" style="137" hidden="1" customWidth="1"/>
    <col min="2" max="2" width="28.85546875" style="217" customWidth="1"/>
    <col min="3" max="3" width="34.140625" style="216" hidden="1" customWidth="1"/>
    <col min="4" max="4" width="72.85546875" style="215" customWidth="1"/>
    <col min="5" max="5" width="9.7109375" style="137" hidden="1" customWidth="1"/>
    <col min="6" max="6" width="72.7109375" style="215" customWidth="1"/>
    <col min="7" max="7" width="12.7109375" style="137" hidden="1" customWidth="1"/>
    <col min="8" max="8" width="15.85546875" style="137" customWidth="1"/>
    <col min="9" max="9" width="12.28515625" style="137" hidden="1" customWidth="1"/>
    <col min="10" max="10" width="41" style="137" hidden="1" customWidth="1"/>
    <col min="11" max="11" width="33" style="137" hidden="1" customWidth="1"/>
    <col min="12" max="12" width="41.85546875" style="137" hidden="1" customWidth="1"/>
    <col min="13" max="13" width="33.140625" style="137" hidden="1" customWidth="1"/>
    <col min="14" max="14" width="47.28515625" style="137" customWidth="1"/>
    <col min="15" max="15" width="22.28515625" style="137" customWidth="1"/>
    <col min="16" max="16" width="40.85546875" style="137" customWidth="1"/>
    <col min="17" max="17" width="15" style="303" hidden="1" customWidth="1"/>
    <col min="18" max="18" width="8.85546875" style="151" hidden="1" customWidth="1"/>
    <col min="19" max="19" width="8.85546875" style="137" hidden="1" customWidth="1"/>
    <col min="20" max="20" width="20.7109375" style="186" hidden="1" customWidth="1"/>
    <col min="21" max="21" width="8.85546875" style="137" hidden="1" customWidth="1" outlineLevel="1"/>
    <col min="22" max="22" width="8.85546875" style="137" hidden="1" customWidth="1" collapsed="1"/>
    <col min="23" max="23" width="8.85546875" style="137" hidden="1" customWidth="1"/>
    <col min="24" max="24" width="15.28515625" style="302" hidden="1" customWidth="1"/>
    <col min="25" max="25" width="11.42578125" style="302" customWidth="1"/>
    <col min="26" max="26" width="10.7109375" style="137" hidden="1" customWidth="1" outlineLevel="1"/>
    <col min="27" max="27" width="8.85546875" style="137" collapsed="1"/>
    <col min="28" max="16384" width="8.85546875" style="137"/>
  </cols>
  <sheetData>
    <row r="1" spans="1:26" ht="18.75" customHeight="1" thickBot="1">
      <c r="A1" s="573" t="s">
        <v>0</v>
      </c>
      <c r="B1" s="574"/>
      <c r="C1" s="574"/>
      <c r="D1" s="574"/>
      <c r="E1" s="574"/>
      <c r="F1" s="574"/>
      <c r="G1" s="574"/>
      <c r="H1" s="574"/>
      <c r="I1" s="574"/>
      <c r="J1" s="574"/>
      <c r="K1" s="574"/>
      <c r="L1" s="574"/>
      <c r="M1" s="574"/>
      <c r="N1" s="574"/>
      <c r="O1" s="574"/>
      <c r="P1" s="574"/>
      <c r="Q1" s="264"/>
      <c r="R1" s="130"/>
      <c r="T1" s="130"/>
      <c r="X1" s="265"/>
      <c r="Y1" s="265"/>
    </row>
    <row r="2" spans="1:26" ht="15" customHeight="1" thickBot="1">
      <c r="A2" s="575" t="s">
        <v>1</v>
      </c>
      <c r="B2" s="576"/>
      <c r="C2" s="576"/>
      <c r="D2" s="576"/>
      <c r="E2" s="576"/>
      <c r="F2" s="576"/>
      <c r="G2" s="576"/>
      <c r="H2" s="576"/>
      <c r="I2" s="576"/>
      <c r="J2" s="576"/>
      <c r="K2" s="576"/>
      <c r="L2" s="576"/>
      <c r="M2" s="576"/>
      <c r="N2" s="576"/>
      <c r="O2" s="576"/>
      <c r="P2" s="577" t="s">
        <v>2</v>
      </c>
      <c r="Q2" s="264"/>
      <c r="R2" s="130"/>
      <c r="X2" s="265"/>
      <c r="Y2" s="265"/>
    </row>
    <row r="3" spans="1:26" s="217" customFormat="1" ht="61.5" customHeight="1" thickBot="1">
      <c r="A3" s="214" t="s">
        <v>3</v>
      </c>
      <c r="B3" s="213" t="s">
        <v>4</v>
      </c>
      <c r="C3" s="211" t="s">
        <v>5</v>
      </c>
      <c r="D3" s="213" t="s">
        <v>6</v>
      </c>
      <c r="E3" s="212" t="s">
        <v>7</v>
      </c>
      <c r="F3" s="213" t="s">
        <v>8</v>
      </c>
      <c r="G3" s="212" t="s">
        <v>7</v>
      </c>
      <c r="H3" s="213" t="s">
        <v>9</v>
      </c>
      <c r="I3" s="212" t="s">
        <v>10</v>
      </c>
      <c r="J3" s="211" t="s">
        <v>11</v>
      </c>
      <c r="K3" s="211" t="s">
        <v>12</v>
      </c>
      <c r="L3" s="210" t="s">
        <v>13</v>
      </c>
      <c r="M3" s="210" t="s">
        <v>14</v>
      </c>
      <c r="N3" s="209" t="s">
        <v>15</v>
      </c>
      <c r="O3" s="209" t="s">
        <v>16</v>
      </c>
      <c r="P3" s="578"/>
      <c r="Q3" s="260" t="s">
        <v>17</v>
      </c>
      <c r="R3" s="238"/>
      <c r="T3" s="322" t="s">
        <v>18</v>
      </c>
      <c r="X3" s="260" t="s">
        <v>19</v>
      </c>
      <c r="Y3" s="261" t="s">
        <v>20</v>
      </c>
      <c r="Z3" s="261" t="s">
        <v>21</v>
      </c>
    </row>
    <row r="4" spans="1:26" ht="18" customHeight="1" thickBot="1">
      <c r="A4" s="567" t="s">
        <v>22</v>
      </c>
      <c r="B4" s="568"/>
      <c r="C4" s="568"/>
      <c r="D4" s="568"/>
      <c r="E4" s="568"/>
      <c r="F4" s="568"/>
      <c r="G4" s="568"/>
      <c r="H4" s="568"/>
      <c r="I4" s="568"/>
      <c r="J4" s="568"/>
      <c r="K4" s="568"/>
      <c r="L4" s="568"/>
      <c r="M4" s="568"/>
      <c r="N4" s="568"/>
      <c r="O4" s="568"/>
      <c r="P4" s="569"/>
      <c r="Q4" s="264"/>
      <c r="R4" s="130"/>
      <c r="T4" s="186" t="s">
        <v>23</v>
      </c>
      <c r="X4" s="265"/>
      <c r="Y4" s="262" t="str">
        <f>IF(X4="","",X4*V4)</f>
        <v/>
      </c>
      <c r="Z4" s="130" t="str">
        <f>IF(T4="yes",Y4,"")</f>
        <v/>
      </c>
    </row>
    <row r="5" spans="1:26" ht="26.25" customHeight="1">
      <c r="A5" s="90" t="s">
        <v>24</v>
      </c>
      <c r="B5" s="223" t="s">
        <v>25</v>
      </c>
      <c r="C5" s="234"/>
      <c r="D5" s="134" t="s">
        <v>25</v>
      </c>
      <c r="E5" s="133">
        <f t="shared" ref="E5:E20" si="0">LEN(D5)</f>
        <v>5</v>
      </c>
      <c r="F5" s="134" t="s">
        <v>25</v>
      </c>
      <c r="G5" s="133">
        <f t="shared" ref="G5:G20" si="1">LEN(F5)</f>
        <v>5</v>
      </c>
      <c r="H5" s="133" t="s">
        <v>26</v>
      </c>
      <c r="I5" s="133" t="s">
        <v>24</v>
      </c>
      <c r="J5" s="133" t="s">
        <v>24</v>
      </c>
      <c r="K5" s="133" t="s">
        <v>27</v>
      </c>
      <c r="L5" s="132" t="s">
        <v>28</v>
      </c>
      <c r="M5" s="208" t="s">
        <v>24</v>
      </c>
      <c r="N5" s="208" t="s">
        <v>24</v>
      </c>
      <c r="O5" s="72"/>
      <c r="P5" s="1"/>
      <c r="Q5" s="264"/>
      <c r="R5" s="130"/>
      <c r="T5" s="186" t="s">
        <v>23</v>
      </c>
      <c r="X5" s="263">
        <v>0</v>
      </c>
      <c r="Y5" s="262">
        <f t="shared" ref="Y5:Y37" si="2">IF(X5="","",X5*Q5)</f>
        <v>0</v>
      </c>
      <c r="Z5" s="130" t="str">
        <f t="shared" ref="Z5:Z69" si="3">IF(T5="yes",Y5,"")</f>
        <v/>
      </c>
    </row>
    <row r="6" spans="1:26" ht="17.100000000000001">
      <c r="A6" s="90" t="s">
        <v>24</v>
      </c>
      <c r="B6" s="181" t="s">
        <v>29</v>
      </c>
      <c r="C6" s="135" t="s">
        <v>29</v>
      </c>
      <c r="D6" s="154" t="s">
        <v>30</v>
      </c>
      <c r="E6" s="133">
        <f t="shared" si="0"/>
        <v>48</v>
      </c>
      <c r="F6" s="154" t="s">
        <v>31</v>
      </c>
      <c r="G6" s="133">
        <f t="shared" si="1"/>
        <v>52</v>
      </c>
      <c r="H6" s="133" t="s">
        <v>26</v>
      </c>
      <c r="I6" s="133" t="s">
        <v>24</v>
      </c>
      <c r="J6" s="133" t="s">
        <v>24</v>
      </c>
      <c r="K6" s="133" t="s">
        <v>27</v>
      </c>
      <c r="L6" s="132" t="s">
        <v>32</v>
      </c>
      <c r="M6" s="208" t="s">
        <v>24</v>
      </c>
      <c r="N6" s="208" t="s">
        <v>24</v>
      </c>
      <c r="O6" s="72"/>
      <c r="P6" s="42"/>
      <c r="Q6" s="321"/>
      <c r="R6" s="130"/>
      <c r="T6" s="186" t="s">
        <v>33</v>
      </c>
      <c r="X6" s="263">
        <v>0</v>
      </c>
      <c r="Y6" s="262">
        <f t="shared" si="2"/>
        <v>0</v>
      </c>
      <c r="Z6" s="130">
        <f t="shared" si="3"/>
        <v>0</v>
      </c>
    </row>
    <row r="7" spans="1:26" ht="135.94999999999999">
      <c r="A7" s="38" t="s">
        <v>24</v>
      </c>
      <c r="B7" s="173" t="s">
        <v>34</v>
      </c>
      <c r="C7" s="135" t="s">
        <v>34</v>
      </c>
      <c r="D7" s="154" t="s">
        <v>35</v>
      </c>
      <c r="E7" s="141">
        <f t="shared" si="0"/>
        <v>146</v>
      </c>
      <c r="F7" s="418" t="s">
        <v>36</v>
      </c>
      <c r="G7" s="133">
        <f t="shared" si="1"/>
        <v>215</v>
      </c>
      <c r="H7" s="150" t="s">
        <v>37</v>
      </c>
      <c r="I7" s="141" t="s">
        <v>24</v>
      </c>
      <c r="J7" s="141" t="s">
        <v>24</v>
      </c>
      <c r="K7" s="141" t="s">
        <v>38</v>
      </c>
      <c r="L7" s="140" t="s">
        <v>39</v>
      </c>
      <c r="M7" s="208" t="s">
        <v>24</v>
      </c>
      <c r="N7" s="197" t="s">
        <v>24</v>
      </c>
      <c r="O7" s="73"/>
      <c r="P7" s="2"/>
      <c r="Q7" s="264"/>
      <c r="R7" s="130"/>
      <c r="T7" s="186" t="s">
        <v>23</v>
      </c>
      <c r="X7" s="263">
        <v>14.695307731628418</v>
      </c>
      <c r="Y7" s="262">
        <f t="shared" si="2"/>
        <v>0</v>
      </c>
      <c r="Z7" s="130" t="str">
        <f t="shared" si="3"/>
        <v/>
      </c>
    </row>
    <row r="8" spans="1:26" ht="37.5" customHeight="1">
      <c r="A8" s="38" t="s">
        <v>24</v>
      </c>
      <c r="B8" s="173" t="s">
        <v>40</v>
      </c>
      <c r="C8" s="135" t="s">
        <v>41</v>
      </c>
      <c r="D8" s="207" t="s">
        <v>42</v>
      </c>
      <c r="E8" s="141">
        <f t="shared" si="0"/>
        <v>29</v>
      </c>
      <c r="F8" s="207" t="s">
        <v>43</v>
      </c>
      <c r="G8" s="133">
        <f t="shared" si="1"/>
        <v>60</v>
      </c>
      <c r="H8" s="150" t="s">
        <v>24</v>
      </c>
      <c r="I8" s="150" t="s">
        <v>24</v>
      </c>
      <c r="J8" s="150" t="s">
        <v>24</v>
      </c>
      <c r="K8" s="150" t="s">
        <v>24</v>
      </c>
      <c r="L8" s="206" t="s">
        <v>44</v>
      </c>
      <c r="M8" s="208" t="s">
        <v>24</v>
      </c>
      <c r="N8" s="205" t="s">
        <v>24</v>
      </c>
      <c r="O8" s="74"/>
      <c r="P8" s="3"/>
      <c r="Q8" s="264"/>
      <c r="R8" s="130"/>
      <c r="T8" s="186" t="s">
        <v>23</v>
      </c>
      <c r="X8" s="263">
        <v>0</v>
      </c>
      <c r="Y8" s="262">
        <f t="shared" si="2"/>
        <v>0</v>
      </c>
      <c r="Z8" s="130" t="str">
        <f t="shared" si="3"/>
        <v/>
      </c>
    </row>
    <row r="9" spans="1:26" ht="37.5" customHeight="1">
      <c r="A9" s="38" t="s">
        <v>24</v>
      </c>
      <c r="B9" s="173" t="s">
        <v>45</v>
      </c>
      <c r="C9" s="135" t="s">
        <v>46</v>
      </c>
      <c r="D9" s="207" t="s">
        <v>47</v>
      </c>
      <c r="E9" s="141">
        <f t="shared" si="0"/>
        <v>31</v>
      </c>
      <c r="F9" s="418" t="s">
        <v>48</v>
      </c>
      <c r="G9" s="133">
        <f t="shared" si="1"/>
        <v>37</v>
      </c>
      <c r="H9" s="150" t="s">
        <v>24</v>
      </c>
      <c r="I9" s="150" t="s">
        <v>24</v>
      </c>
      <c r="J9" s="150" t="s">
        <v>24</v>
      </c>
      <c r="K9" s="150" t="s">
        <v>24</v>
      </c>
      <c r="L9" s="206" t="s">
        <v>49</v>
      </c>
      <c r="M9" s="208" t="s">
        <v>24</v>
      </c>
      <c r="N9" s="205" t="s">
        <v>24</v>
      </c>
      <c r="O9" s="74"/>
      <c r="P9" s="3"/>
      <c r="Q9" s="264"/>
      <c r="R9" s="130"/>
      <c r="T9" s="186" t="s">
        <v>23</v>
      </c>
      <c r="X9" s="263">
        <v>0</v>
      </c>
      <c r="Y9" s="262">
        <f t="shared" si="2"/>
        <v>0</v>
      </c>
      <c r="Z9" s="130" t="str">
        <f t="shared" si="3"/>
        <v/>
      </c>
    </row>
    <row r="10" spans="1:26" ht="37.5" customHeight="1">
      <c r="A10" s="38" t="s">
        <v>24</v>
      </c>
      <c r="B10" s="173" t="s">
        <v>50</v>
      </c>
      <c r="C10" s="135" t="s">
        <v>51</v>
      </c>
      <c r="D10" s="207" t="s">
        <v>52</v>
      </c>
      <c r="E10" s="141">
        <f t="shared" si="0"/>
        <v>34</v>
      </c>
      <c r="F10" s="418" t="s">
        <v>53</v>
      </c>
      <c r="G10" s="141">
        <f>LEN(F10)</f>
        <v>44</v>
      </c>
      <c r="H10" s="150" t="s">
        <v>24</v>
      </c>
      <c r="I10" s="150" t="s">
        <v>24</v>
      </c>
      <c r="J10" s="150" t="s">
        <v>24</v>
      </c>
      <c r="K10" s="150" t="s">
        <v>24</v>
      </c>
      <c r="L10" s="206" t="s">
        <v>54</v>
      </c>
      <c r="M10" s="208" t="s">
        <v>24</v>
      </c>
      <c r="N10" s="205" t="s">
        <v>24</v>
      </c>
      <c r="O10" s="74"/>
      <c r="P10" s="3"/>
      <c r="Q10" s="264"/>
      <c r="R10" s="130"/>
      <c r="T10" s="186" t="s">
        <v>23</v>
      </c>
      <c r="X10" s="263">
        <v>0</v>
      </c>
      <c r="Y10" s="262">
        <f t="shared" si="2"/>
        <v>0</v>
      </c>
      <c r="Z10" s="130" t="str">
        <f t="shared" si="3"/>
        <v/>
      </c>
    </row>
    <row r="11" spans="1:26" ht="37.5" customHeight="1">
      <c r="A11" s="38" t="s">
        <v>24</v>
      </c>
      <c r="B11" s="173" t="s">
        <v>55</v>
      </c>
      <c r="C11" s="135" t="s">
        <v>56</v>
      </c>
      <c r="D11" s="207" t="s">
        <v>57</v>
      </c>
      <c r="E11" s="141">
        <f t="shared" si="0"/>
        <v>41</v>
      </c>
      <c r="F11" s="418" t="s">
        <v>58</v>
      </c>
      <c r="G11" s="141">
        <f t="shared" ref="G11:G13" si="4">LEN(F11)</f>
        <v>47</v>
      </c>
      <c r="H11" s="150" t="s">
        <v>24</v>
      </c>
      <c r="I11" s="150" t="s">
        <v>24</v>
      </c>
      <c r="J11" s="150" t="s">
        <v>24</v>
      </c>
      <c r="K11" s="150" t="s">
        <v>24</v>
      </c>
      <c r="L11" s="206" t="s">
        <v>59</v>
      </c>
      <c r="M11" s="208" t="s">
        <v>24</v>
      </c>
      <c r="N11" s="205" t="s">
        <v>24</v>
      </c>
      <c r="O11" s="74"/>
      <c r="P11" s="3"/>
      <c r="Q11" s="264"/>
      <c r="R11" s="130"/>
      <c r="T11" s="186" t="s">
        <v>23</v>
      </c>
      <c r="X11" s="263">
        <v>0</v>
      </c>
      <c r="Y11" s="262">
        <f t="shared" si="2"/>
        <v>0</v>
      </c>
      <c r="Z11" s="130" t="str">
        <f t="shared" si="3"/>
        <v/>
      </c>
    </row>
    <row r="12" spans="1:26" ht="102">
      <c r="A12" s="38" t="s">
        <v>24</v>
      </c>
      <c r="B12" s="173" t="s">
        <v>60</v>
      </c>
      <c r="C12" s="135" t="s">
        <v>60</v>
      </c>
      <c r="D12" s="587" t="s">
        <v>61</v>
      </c>
      <c r="E12" s="141">
        <f t="shared" si="0"/>
        <v>148</v>
      </c>
      <c r="F12" s="418" t="s">
        <v>62</v>
      </c>
      <c r="G12" s="141">
        <f t="shared" si="4"/>
        <v>174</v>
      </c>
      <c r="H12" s="150" t="s">
        <v>37</v>
      </c>
      <c r="I12" s="141" t="s">
        <v>24</v>
      </c>
      <c r="J12" s="141" t="s">
        <v>24</v>
      </c>
      <c r="K12" s="141" t="s">
        <v>38</v>
      </c>
      <c r="L12" s="140" t="s">
        <v>63</v>
      </c>
      <c r="M12" s="208" t="s">
        <v>24</v>
      </c>
      <c r="N12" s="204" t="s">
        <v>64</v>
      </c>
      <c r="O12" s="75"/>
      <c r="P12" s="4" t="s">
        <v>65</v>
      </c>
      <c r="Q12" s="264"/>
      <c r="R12" s="130"/>
      <c r="T12" s="186" t="s">
        <v>23</v>
      </c>
      <c r="X12" s="263">
        <v>3.1032724380493164</v>
      </c>
      <c r="Y12" s="262">
        <f t="shared" si="2"/>
        <v>0</v>
      </c>
      <c r="Z12" s="130" t="str">
        <f t="shared" si="3"/>
        <v/>
      </c>
    </row>
    <row r="13" spans="1:26" ht="409.6">
      <c r="A13" s="38" t="s">
        <v>24</v>
      </c>
      <c r="B13" s="173" t="s">
        <v>66</v>
      </c>
      <c r="C13" s="135" t="s">
        <v>66</v>
      </c>
      <c r="D13" s="39" t="s">
        <v>67</v>
      </c>
      <c r="E13" s="141">
        <f t="shared" si="0"/>
        <v>1098</v>
      </c>
      <c r="F13" s="167" t="s">
        <v>68</v>
      </c>
      <c r="G13" s="141">
        <f t="shared" si="4"/>
        <v>1254</v>
      </c>
      <c r="H13" s="150" t="s">
        <v>37</v>
      </c>
      <c r="I13" s="141" t="s">
        <v>24</v>
      </c>
      <c r="J13" s="141" t="s">
        <v>24</v>
      </c>
      <c r="K13" s="141" t="s">
        <v>38</v>
      </c>
      <c r="L13" s="140" t="s">
        <v>69</v>
      </c>
      <c r="M13" s="208" t="s">
        <v>24</v>
      </c>
      <c r="N13" s="204" t="s">
        <v>70</v>
      </c>
      <c r="O13" s="75"/>
      <c r="P13" s="4" t="s">
        <v>71</v>
      </c>
      <c r="Q13" s="264"/>
      <c r="R13" s="130"/>
      <c r="T13" s="186" t="s">
        <v>23</v>
      </c>
      <c r="X13" s="263">
        <v>37.418449401855469</v>
      </c>
      <c r="Y13" s="262">
        <f t="shared" si="2"/>
        <v>0</v>
      </c>
      <c r="Z13" s="130" t="str">
        <f t="shared" si="3"/>
        <v/>
      </c>
    </row>
    <row r="14" spans="1:26" s="136" customFormat="1" ht="119.1">
      <c r="A14" s="38" t="s">
        <v>24</v>
      </c>
      <c r="B14" s="173" t="s">
        <v>72</v>
      </c>
      <c r="C14" s="135" t="s">
        <v>73</v>
      </c>
      <c r="D14" s="154" t="s">
        <v>74</v>
      </c>
      <c r="E14" s="141">
        <f t="shared" si="0"/>
        <v>134</v>
      </c>
      <c r="F14" s="588" t="s">
        <v>75</v>
      </c>
      <c r="G14" s="141">
        <f t="shared" si="1"/>
        <v>138</v>
      </c>
      <c r="H14" s="150" t="s">
        <v>76</v>
      </c>
      <c r="I14" s="141" t="s">
        <v>24</v>
      </c>
      <c r="J14" s="141" t="s">
        <v>24</v>
      </c>
      <c r="K14" s="141" t="s">
        <v>38</v>
      </c>
      <c r="L14" s="140" t="s">
        <v>77</v>
      </c>
      <c r="M14" s="208" t="s">
        <v>24</v>
      </c>
      <c r="N14" s="140" t="s">
        <v>78</v>
      </c>
      <c r="O14" s="52"/>
      <c r="P14" s="2"/>
      <c r="Q14" s="264">
        <v>1</v>
      </c>
      <c r="R14" s="130"/>
      <c r="T14" s="186" t="s">
        <v>23</v>
      </c>
      <c r="U14" s="137"/>
      <c r="X14" s="263">
        <v>3.8059515953063965</v>
      </c>
      <c r="Y14" s="262">
        <f t="shared" si="2"/>
        <v>3.8059515953063965</v>
      </c>
      <c r="Z14" s="130" t="str">
        <f t="shared" si="3"/>
        <v/>
      </c>
    </row>
    <row r="15" spans="1:26" s="136" customFormat="1" ht="153">
      <c r="A15" s="6" t="s">
        <v>24</v>
      </c>
      <c r="B15" s="224" t="s">
        <v>79</v>
      </c>
      <c r="C15" s="9" t="s">
        <v>79</v>
      </c>
      <c r="D15" s="14" t="s">
        <v>80</v>
      </c>
      <c r="E15" s="12">
        <f t="shared" si="0"/>
        <v>172</v>
      </c>
      <c r="F15" s="589" t="s">
        <v>81</v>
      </c>
      <c r="G15" s="8">
        <f t="shared" si="1"/>
        <v>207</v>
      </c>
      <c r="H15" s="28" t="s">
        <v>37</v>
      </c>
      <c r="I15" s="12" t="s">
        <v>24</v>
      </c>
      <c r="J15" s="12" t="s">
        <v>24</v>
      </c>
      <c r="K15" s="12" t="s">
        <v>38</v>
      </c>
      <c r="L15" s="23" t="s">
        <v>82</v>
      </c>
      <c r="M15" s="72" t="s">
        <v>24</v>
      </c>
      <c r="N15" s="23" t="s">
        <v>83</v>
      </c>
      <c r="O15" s="23"/>
      <c r="P15" s="62" t="s">
        <v>84</v>
      </c>
      <c r="Q15" s="264">
        <v>1</v>
      </c>
      <c r="R15" s="130"/>
      <c r="T15" s="186" t="s">
        <v>23</v>
      </c>
      <c r="U15" s="137"/>
      <c r="X15" s="263">
        <v>0</v>
      </c>
      <c r="Y15" s="262">
        <f t="shared" si="2"/>
        <v>0</v>
      </c>
      <c r="Z15" s="130"/>
    </row>
    <row r="16" spans="1:26" s="136" customFormat="1" ht="135.94999999999999">
      <c r="A16" s="38" t="s">
        <v>24</v>
      </c>
      <c r="B16" s="173" t="s">
        <v>85</v>
      </c>
      <c r="C16" s="135" t="s">
        <v>85</v>
      </c>
      <c r="D16" s="184" t="s">
        <v>86</v>
      </c>
      <c r="E16" s="141">
        <f t="shared" si="0"/>
        <v>153</v>
      </c>
      <c r="F16" s="590" t="s">
        <v>87</v>
      </c>
      <c r="G16" s="141">
        <f t="shared" si="1"/>
        <v>186</v>
      </c>
      <c r="H16" s="150" t="s">
        <v>88</v>
      </c>
      <c r="I16" s="141" t="s">
        <v>24</v>
      </c>
      <c r="J16" s="141" t="s">
        <v>24</v>
      </c>
      <c r="K16" s="141" t="s">
        <v>89</v>
      </c>
      <c r="L16" s="140" t="s">
        <v>90</v>
      </c>
      <c r="M16" s="208" t="s">
        <v>24</v>
      </c>
      <c r="N16" s="140" t="s">
        <v>91</v>
      </c>
      <c r="O16" s="76"/>
      <c r="P16" s="2"/>
      <c r="Q16" s="264">
        <v>1</v>
      </c>
      <c r="R16" s="130"/>
      <c r="T16" s="138" t="s">
        <v>23</v>
      </c>
      <c r="U16" s="137"/>
      <c r="X16" s="263">
        <v>0</v>
      </c>
      <c r="Y16" s="262">
        <f t="shared" si="2"/>
        <v>0</v>
      </c>
      <c r="Z16" s="130" t="str">
        <f t="shared" si="3"/>
        <v/>
      </c>
    </row>
    <row r="17" spans="1:26" s="136" customFormat="1" ht="51">
      <c r="A17" s="38" t="s">
        <v>24</v>
      </c>
      <c r="B17" s="173" t="s">
        <v>92</v>
      </c>
      <c r="C17" s="135" t="s">
        <v>93</v>
      </c>
      <c r="D17" s="154" t="s">
        <v>94</v>
      </c>
      <c r="E17" s="141">
        <f t="shared" si="0"/>
        <v>80</v>
      </c>
      <c r="F17" s="590" t="s">
        <v>95</v>
      </c>
      <c r="G17" s="141">
        <f t="shared" si="1"/>
        <v>93</v>
      </c>
      <c r="H17" s="150" t="s">
        <v>26</v>
      </c>
      <c r="I17" s="141" t="s">
        <v>24</v>
      </c>
      <c r="J17" s="141" t="s">
        <v>24</v>
      </c>
      <c r="K17" s="141" t="s">
        <v>96</v>
      </c>
      <c r="L17" s="140" t="s">
        <v>97</v>
      </c>
      <c r="M17" s="208" t="s">
        <v>24</v>
      </c>
      <c r="N17" s="140" t="s">
        <v>98</v>
      </c>
      <c r="O17" s="76"/>
      <c r="P17" s="2"/>
      <c r="Q17" s="264">
        <v>1</v>
      </c>
      <c r="R17" s="130"/>
      <c r="T17" s="138" t="s">
        <v>23</v>
      </c>
      <c r="U17" s="137"/>
      <c r="X17" s="263">
        <v>0</v>
      </c>
      <c r="Y17" s="262">
        <f t="shared" si="2"/>
        <v>0</v>
      </c>
      <c r="Z17" s="130" t="str">
        <f t="shared" si="3"/>
        <v/>
      </c>
    </row>
    <row r="18" spans="1:26" s="136" customFormat="1" ht="84.95">
      <c r="A18" s="38" t="s">
        <v>24</v>
      </c>
      <c r="B18" s="173" t="s">
        <v>99</v>
      </c>
      <c r="C18" s="135" t="s">
        <v>100</v>
      </c>
      <c r="D18" s="154" t="s">
        <v>101</v>
      </c>
      <c r="E18" s="141">
        <f t="shared" si="0"/>
        <v>176</v>
      </c>
      <c r="F18" s="590" t="s">
        <v>102</v>
      </c>
      <c r="G18" s="141">
        <f t="shared" si="1"/>
        <v>195</v>
      </c>
      <c r="H18" s="150" t="s">
        <v>26</v>
      </c>
      <c r="I18" s="141" t="s">
        <v>24</v>
      </c>
      <c r="J18" s="141" t="s">
        <v>24</v>
      </c>
      <c r="K18" s="141" t="s">
        <v>27</v>
      </c>
      <c r="L18" s="140" t="s">
        <v>103</v>
      </c>
      <c r="M18" s="208" t="s">
        <v>24</v>
      </c>
      <c r="N18" s="197" t="s">
        <v>24</v>
      </c>
      <c r="O18" s="73"/>
      <c r="P18" s="2"/>
      <c r="Q18" s="264">
        <v>1</v>
      </c>
      <c r="R18" s="130"/>
      <c r="T18" s="138" t="s">
        <v>23</v>
      </c>
      <c r="U18" s="137"/>
      <c r="X18" s="263">
        <v>0</v>
      </c>
      <c r="Y18" s="262">
        <f t="shared" si="2"/>
        <v>0</v>
      </c>
      <c r="Z18" s="130" t="str">
        <f t="shared" si="3"/>
        <v/>
      </c>
    </row>
    <row r="19" spans="1:26" s="136" customFormat="1" ht="50.25" customHeight="1">
      <c r="A19" s="38" t="s">
        <v>24</v>
      </c>
      <c r="B19" s="173" t="s">
        <v>104</v>
      </c>
      <c r="C19" s="135" t="s">
        <v>24</v>
      </c>
      <c r="D19" s="154" t="s">
        <v>105</v>
      </c>
      <c r="E19" s="141">
        <f t="shared" si="0"/>
        <v>99</v>
      </c>
      <c r="F19" s="590" t="s">
        <v>106</v>
      </c>
      <c r="G19" s="141">
        <f t="shared" si="1"/>
        <v>125</v>
      </c>
      <c r="H19" s="150" t="s">
        <v>24</v>
      </c>
      <c r="I19" s="141" t="s">
        <v>24</v>
      </c>
      <c r="J19" s="141" t="s">
        <v>24</v>
      </c>
      <c r="K19" s="141" t="s">
        <v>24</v>
      </c>
      <c r="L19" s="140" t="s">
        <v>107</v>
      </c>
      <c r="M19" s="208" t="s">
        <v>24</v>
      </c>
      <c r="N19" s="197" t="s">
        <v>24</v>
      </c>
      <c r="O19" s="73"/>
      <c r="P19" s="2"/>
      <c r="Q19" s="264">
        <v>1</v>
      </c>
      <c r="R19" s="130"/>
      <c r="T19" s="138" t="s">
        <v>23</v>
      </c>
      <c r="U19" s="137"/>
      <c r="X19" s="263">
        <v>0</v>
      </c>
      <c r="Y19" s="262">
        <f t="shared" si="2"/>
        <v>0</v>
      </c>
      <c r="Z19" s="130" t="str">
        <f t="shared" si="3"/>
        <v/>
      </c>
    </row>
    <row r="20" spans="1:26" s="136" customFormat="1" ht="50.25" customHeight="1" thickBot="1">
      <c r="A20" s="320" t="s">
        <v>24</v>
      </c>
      <c r="B20" s="203" t="s">
        <v>108</v>
      </c>
      <c r="C20" s="202" t="s">
        <v>109</v>
      </c>
      <c r="D20" s="201" t="s">
        <v>110</v>
      </c>
      <c r="E20" s="199">
        <f t="shared" si="0"/>
        <v>65</v>
      </c>
      <c r="F20" s="591" t="s">
        <v>111</v>
      </c>
      <c r="G20" s="199">
        <f t="shared" si="1"/>
        <v>79</v>
      </c>
      <c r="H20" s="200" t="s">
        <v>24</v>
      </c>
      <c r="I20" s="199" t="s">
        <v>24</v>
      </c>
      <c r="J20" s="199" t="s">
        <v>24</v>
      </c>
      <c r="K20" s="199" t="s">
        <v>24</v>
      </c>
      <c r="L20" s="198" t="s">
        <v>112</v>
      </c>
      <c r="M20" s="208" t="s">
        <v>24</v>
      </c>
      <c r="N20" s="197" t="s">
        <v>24</v>
      </c>
      <c r="O20" s="77"/>
      <c r="P20" s="5"/>
      <c r="Q20" s="264">
        <v>1</v>
      </c>
      <c r="R20" s="130"/>
      <c r="T20" s="138" t="s">
        <v>23</v>
      </c>
      <c r="U20" s="137"/>
      <c r="X20" s="263">
        <v>0</v>
      </c>
      <c r="Y20" s="262">
        <f t="shared" si="2"/>
        <v>0</v>
      </c>
      <c r="Z20" s="130" t="str">
        <f t="shared" si="3"/>
        <v/>
      </c>
    </row>
    <row r="21" spans="1:26" s="402" customFormat="1" ht="17.100000000000001" thickBot="1">
      <c r="A21" s="567" t="s">
        <v>113</v>
      </c>
      <c r="B21" s="568"/>
      <c r="C21" s="568"/>
      <c r="D21" s="568"/>
      <c r="E21" s="568"/>
      <c r="F21" s="568"/>
      <c r="G21" s="568"/>
      <c r="H21" s="568"/>
      <c r="I21" s="568"/>
      <c r="J21" s="568"/>
      <c r="K21" s="568"/>
      <c r="L21" s="568"/>
      <c r="M21" s="568"/>
      <c r="N21" s="568"/>
      <c r="O21" s="568"/>
      <c r="P21" s="569"/>
      <c r="Q21" s="259"/>
      <c r="R21" s="407"/>
      <c r="T21" s="405"/>
      <c r="U21" s="408"/>
      <c r="X21" s="262"/>
      <c r="Y21" s="262" t="str">
        <f t="shared" si="2"/>
        <v/>
      </c>
      <c r="Z21" s="407" t="str">
        <f t="shared" si="3"/>
        <v/>
      </c>
    </row>
    <row r="22" spans="1:26" s="136" customFormat="1" ht="68.25" customHeight="1">
      <c r="A22" s="319" t="s">
        <v>24</v>
      </c>
      <c r="B22" s="196" t="s">
        <v>114</v>
      </c>
      <c r="C22" s="190" t="s">
        <v>114</v>
      </c>
      <c r="D22" s="195" t="s">
        <v>115</v>
      </c>
      <c r="E22" s="194">
        <f>LEN(D22)</f>
        <v>96</v>
      </c>
      <c r="F22" s="195" t="s">
        <v>116</v>
      </c>
      <c r="G22" s="194">
        <f>LEN(F22)</f>
        <v>87</v>
      </c>
      <c r="H22" s="164" t="s">
        <v>26</v>
      </c>
      <c r="I22" s="194" t="s">
        <v>24</v>
      </c>
      <c r="J22" s="194" t="s">
        <v>24</v>
      </c>
      <c r="K22" s="194" t="s">
        <v>27</v>
      </c>
      <c r="L22" s="193" t="s">
        <v>117</v>
      </c>
      <c r="M22" s="208" t="s">
        <v>24</v>
      </c>
      <c r="N22" s="195" t="s">
        <v>118</v>
      </c>
      <c r="O22" s="192"/>
      <c r="P22" s="59"/>
      <c r="Q22" s="259">
        <f>1</f>
        <v>1</v>
      </c>
      <c r="R22" s="130"/>
      <c r="T22" s="405" t="s">
        <v>33</v>
      </c>
      <c r="U22" s="137"/>
      <c r="X22" s="262">
        <v>25.874027252197266</v>
      </c>
      <c r="Y22" s="262">
        <f t="shared" si="2"/>
        <v>25.874027252197266</v>
      </c>
      <c r="Z22" s="130">
        <f t="shared" si="3"/>
        <v>25.874027252197266</v>
      </c>
    </row>
    <row r="23" spans="1:26" s="136" customFormat="1" ht="68.099999999999994">
      <c r="A23" s="38" t="s">
        <v>24</v>
      </c>
      <c r="B23" s="196" t="s">
        <v>119</v>
      </c>
      <c r="C23" s="190" t="s">
        <v>119</v>
      </c>
      <c r="D23" s="195" t="s">
        <v>120</v>
      </c>
      <c r="E23" s="194">
        <f>LEN(D23)</f>
        <v>95</v>
      </c>
      <c r="F23" s="195" t="s">
        <v>121</v>
      </c>
      <c r="G23" s="194">
        <f>LEN(F23)</f>
        <v>97</v>
      </c>
      <c r="H23" s="164" t="s">
        <v>26</v>
      </c>
      <c r="I23" s="194" t="s">
        <v>24</v>
      </c>
      <c r="J23" s="194" t="s">
        <v>24</v>
      </c>
      <c r="K23" s="194" t="s">
        <v>27</v>
      </c>
      <c r="L23" s="193" t="s">
        <v>122</v>
      </c>
      <c r="M23" s="208" t="s">
        <v>24</v>
      </c>
      <c r="N23" s="156" t="s">
        <v>123</v>
      </c>
      <c r="O23" s="192"/>
      <c r="P23" s="59"/>
      <c r="Q23" s="259">
        <f>1</f>
        <v>1</v>
      </c>
      <c r="R23" s="130"/>
      <c r="T23" s="405" t="s">
        <v>33</v>
      </c>
      <c r="U23" s="137"/>
      <c r="X23" s="262">
        <v>8.5994815826416016</v>
      </c>
      <c r="Y23" s="262">
        <f t="shared" si="2"/>
        <v>8.5994815826416016</v>
      </c>
      <c r="Z23" s="130">
        <f t="shared" si="3"/>
        <v>8.5994815826416016</v>
      </c>
    </row>
    <row r="24" spans="1:26" s="136" customFormat="1" ht="84.95">
      <c r="A24" s="90">
        <v>1</v>
      </c>
      <c r="B24" s="237" t="s">
        <v>124</v>
      </c>
      <c r="C24" s="191" t="s">
        <v>124</v>
      </c>
      <c r="D24" s="134" t="s">
        <v>125</v>
      </c>
      <c r="E24" s="190">
        <f>LEN(D24)</f>
        <v>177</v>
      </c>
      <c r="F24" s="195" t="s">
        <v>126</v>
      </c>
      <c r="G24" s="190">
        <f>LEN(F24)</f>
        <v>197</v>
      </c>
      <c r="H24" s="190" t="s">
        <v>127</v>
      </c>
      <c r="I24" s="190" t="s">
        <v>24</v>
      </c>
      <c r="J24" s="190" t="s">
        <v>24</v>
      </c>
      <c r="K24" s="190" t="s">
        <v>27</v>
      </c>
      <c r="L24" s="132" t="s">
        <v>128</v>
      </c>
      <c r="M24" s="208" t="s">
        <v>24</v>
      </c>
      <c r="N24" s="189" t="s">
        <v>129</v>
      </c>
      <c r="O24" s="188"/>
      <c r="P24" s="59"/>
      <c r="Q24" s="259">
        <f>1</f>
        <v>1</v>
      </c>
      <c r="R24" s="130"/>
      <c r="T24" s="411" t="s">
        <v>33</v>
      </c>
      <c r="U24" s="137"/>
      <c r="X24" s="262">
        <v>9.8907184600830078</v>
      </c>
      <c r="Y24" s="262">
        <f t="shared" si="2"/>
        <v>9.8907184600830078</v>
      </c>
      <c r="Z24" s="130">
        <f t="shared" si="3"/>
        <v>9.8907184600830078</v>
      </c>
    </row>
    <row r="25" spans="1:26" s="136" customFormat="1" ht="153.94999999999999" customHeight="1">
      <c r="A25" s="90">
        <f>A24+1</f>
        <v>2</v>
      </c>
      <c r="B25" s="173" t="s">
        <v>130</v>
      </c>
      <c r="C25" s="135" t="s">
        <v>130</v>
      </c>
      <c r="D25" s="154" t="s">
        <v>131</v>
      </c>
      <c r="E25" s="141">
        <f>LEN(D25)</f>
        <v>168</v>
      </c>
      <c r="F25" s="154" t="s">
        <v>132</v>
      </c>
      <c r="G25" s="141">
        <f>LEN(F25)</f>
        <v>156</v>
      </c>
      <c r="H25" s="150" t="s">
        <v>37</v>
      </c>
      <c r="I25" s="141" t="s">
        <v>24</v>
      </c>
      <c r="J25" s="141" t="s">
        <v>24</v>
      </c>
      <c r="K25" s="141" t="s">
        <v>38</v>
      </c>
      <c r="L25" s="140" t="s">
        <v>133</v>
      </c>
      <c r="M25" s="208" t="s">
        <v>24</v>
      </c>
      <c r="N25" s="132" t="s">
        <v>134</v>
      </c>
      <c r="O25" s="78"/>
      <c r="P25" s="2"/>
      <c r="Q25" s="259">
        <f>1</f>
        <v>1</v>
      </c>
      <c r="R25" s="130"/>
      <c r="T25" s="411" t="s">
        <v>33</v>
      </c>
      <c r="U25" s="137"/>
      <c r="X25" s="262">
        <v>1.7156481742858887</v>
      </c>
      <c r="Y25" s="262">
        <f t="shared" si="2"/>
        <v>1.7156481742858887</v>
      </c>
      <c r="Z25" s="130">
        <f t="shared" si="3"/>
        <v>1.7156481742858887</v>
      </c>
    </row>
    <row r="26" spans="1:26" s="136" customFormat="1">
      <c r="A26" s="90"/>
      <c r="B26" s="251"/>
      <c r="C26" s="91"/>
      <c r="D26" s="118"/>
      <c r="E26" s="40"/>
      <c r="F26" s="40"/>
      <c r="G26" s="40"/>
      <c r="H26" s="92"/>
      <c r="I26" s="40"/>
      <c r="J26" s="40"/>
      <c r="K26" s="40"/>
      <c r="L26" s="78"/>
      <c r="M26" s="78"/>
      <c r="N26" s="78"/>
      <c r="O26" s="78"/>
      <c r="P26" s="2"/>
      <c r="Q26" s="264">
        <f>1</f>
        <v>1</v>
      </c>
      <c r="R26" s="130"/>
      <c r="T26" s="186"/>
      <c r="U26" s="137"/>
      <c r="X26" s="263"/>
      <c r="Y26" s="263" t="str">
        <f t="shared" si="2"/>
        <v/>
      </c>
      <c r="Z26" s="130" t="str">
        <f t="shared" si="3"/>
        <v/>
      </c>
    </row>
    <row r="27" spans="1:26" s="275" customFormat="1" ht="153">
      <c r="A27" s="318"/>
      <c r="B27" s="284" t="s">
        <v>135</v>
      </c>
      <c r="C27" s="285" t="s">
        <v>135</v>
      </c>
      <c r="D27" s="340" t="s">
        <v>136</v>
      </c>
      <c r="E27" s="286">
        <f t="shared" ref="E27:E34" si="5">LEN(D27)</f>
        <v>134</v>
      </c>
      <c r="F27" s="340" t="s">
        <v>137</v>
      </c>
      <c r="G27" s="286">
        <f t="shared" ref="G27:G34" si="6">LEN(F27)</f>
        <v>167</v>
      </c>
      <c r="H27" s="287" t="s">
        <v>37</v>
      </c>
      <c r="I27" s="286" t="s">
        <v>24</v>
      </c>
      <c r="J27" s="286" t="s">
        <v>24</v>
      </c>
      <c r="K27" s="286" t="s">
        <v>38</v>
      </c>
      <c r="L27" s="288" t="s">
        <v>138</v>
      </c>
      <c r="M27" s="208" t="s">
        <v>24</v>
      </c>
      <c r="N27" s="288" t="s">
        <v>139</v>
      </c>
      <c r="O27" s="289"/>
      <c r="P27" s="290"/>
      <c r="Q27" s="271">
        <f>1</f>
        <v>1</v>
      </c>
      <c r="R27" s="274"/>
      <c r="T27" s="406" t="s">
        <v>140</v>
      </c>
      <c r="U27" s="276"/>
      <c r="X27" s="272">
        <v>6.375236988067627</v>
      </c>
      <c r="Y27" s="262">
        <f t="shared" si="2"/>
        <v>6.375236988067627</v>
      </c>
      <c r="Z27" s="130" t="str">
        <f t="shared" si="3"/>
        <v/>
      </c>
    </row>
    <row r="28" spans="1:26" s="275" customFormat="1" ht="51">
      <c r="A28" s="318"/>
      <c r="B28" s="284" t="s">
        <v>141</v>
      </c>
      <c r="C28" s="285" t="s">
        <v>142</v>
      </c>
      <c r="D28" s="340" t="s">
        <v>143</v>
      </c>
      <c r="E28" s="286">
        <f t="shared" si="5"/>
        <v>63</v>
      </c>
      <c r="F28" s="340" t="s">
        <v>144</v>
      </c>
      <c r="G28" s="286">
        <f t="shared" si="6"/>
        <v>67</v>
      </c>
      <c r="H28" s="287" t="s">
        <v>26</v>
      </c>
      <c r="I28" s="286" t="s">
        <v>24</v>
      </c>
      <c r="J28" s="286" t="s">
        <v>24</v>
      </c>
      <c r="K28" s="286" t="s">
        <v>27</v>
      </c>
      <c r="L28" s="288" t="s">
        <v>145</v>
      </c>
      <c r="M28" s="208" t="s">
        <v>24</v>
      </c>
      <c r="N28" s="291" t="s">
        <v>146</v>
      </c>
      <c r="O28" s="292"/>
      <c r="P28" s="290"/>
      <c r="Q28" s="271">
        <f>1</f>
        <v>1</v>
      </c>
      <c r="R28" s="274"/>
      <c r="T28" s="406" t="s">
        <v>140</v>
      </c>
      <c r="U28" s="276"/>
      <c r="X28" s="272">
        <v>28.700000762939453</v>
      </c>
      <c r="Y28" s="262">
        <f t="shared" si="2"/>
        <v>28.700000762939453</v>
      </c>
      <c r="Z28" s="130" t="str">
        <f t="shared" si="3"/>
        <v/>
      </c>
    </row>
    <row r="29" spans="1:26" s="275" customFormat="1" ht="204">
      <c r="A29" s="273"/>
      <c r="B29" s="293" t="s">
        <v>147</v>
      </c>
      <c r="C29" s="294" t="s">
        <v>147</v>
      </c>
      <c r="D29" s="562" t="s">
        <v>148</v>
      </c>
      <c r="E29" s="283">
        <f t="shared" si="5"/>
        <v>320</v>
      </c>
      <c r="F29" s="419" t="s">
        <v>149</v>
      </c>
      <c r="G29" s="283">
        <f t="shared" si="6"/>
        <v>403</v>
      </c>
      <c r="H29" s="295" t="s">
        <v>37</v>
      </c>
      <c r="I29" s="283" t="s">
        <v>24</v>
      </c>
      <c r="J29" s="283" t="s">
        <v>24</v>
      </c>
      <c r="K29" s="283" t="s">
        <v>38</v>
      </c>
      <c r="L29" s="281" t="s">
        <v>150</v>
      </c>
      <c r="M29" s="208" t="s">
        <v>24</v>
      </c>
      <c r="N29" s="296" t="s">
        <v>151</v>
      </c>
      <c r="O29" s="297"/>
      <c r="P29" s="282"/>
      <c r="Q29" s="271">
        <f>1</f>
        <v>1</v>
      </c>
      <c r="R29" s="274"/>
      <c r="T29" s="406" t="s">
        <v>140</v>
      </c>
      <c r="U29" s="276"/>
      <c r="X29" s="272">
        <v>10.141817092895508</v>
      </c>
      <c r="Y29" s="262">
        <f t="shared" si="2"/>
        <v>10.141817092895508</v>
      </c>
      <c r="Z29" s="130" t="str">
        <f t="shared" si="3"/>
        <v/>
      </c>
    </row>
    <row r="30" spans="1:26" s="275" customFormat="1" ht="51">
      <c r="A30" s="273"/>
      <c r="B30" s="293" t="s">
        <v>152</v>
      </c>
      <c r="C30" s="294" t="s">
        <v>152</v>
      </c>
      <c r="D30" s="340" t="s">
        <v>153</v>
      </c>
      <c r="E30" s="283">
        <f t="shared" si="5"/>
        <v>73</v>
      </c>
      <c r="F30" s="541" t="s">
        <v>154</v>
      </c>
      <c r="G30" s="283">
        <f t="shared" si="6"/>
        <v>81</v>
      </c>
      <c r="H30" s="295" t="s">
        <v>26</v>
      </c>
      <c r="I30" s="283" t="s">
        <v>24</v>
      </c>
      <c r="J30" s="283" t="s">
        <v>24</v>
      </c>
      <c r="K30" s="283" t="s">
        <v>27</v>
      </c>
      <c r="L30" s="281" t="s">
        <v>155</v>
      </c>
      <c r="M30" s="208" t="s">
        <v>24</v>
      </c>
      <c r="N30" s="298" t="s">
        <v>156</v>
      </c>
      <c r="O30" s="299"/>
      <c r="P30" s="282"/>
      <c r="Q30" s="271">
        <f>1</f>
        <v>1</v>
      </c>
      <c r="R30" s="274"/>
      <c r="T30" s="406" t="s">
        <v>140</v>
      </c>
      <c r="U30" s="276"/>
      <c r="X30" s="272">
        <v>21.659982681274414</v>
      </c>
      <c r="Y30" s="262">
        <f t="shared" si="2"/>
        <v>21.659982681274414</v>
      </c>
      <c r="Z30" s="130" t="str">
        <f t="shared" si="3"/>
        <v/>
      </c>
    </row>
    <row r="31" spans="1:26" s="275" customFormat="1" ht="102">
      <c r="A31" s="273"/>
      <c r="B31" s="293" t="s">
        <v>157</v>
      </c>
      <c r="C31" s="294" t="s">
        <v>157</v>
      </c>
      <c r="D31" s="340" t="s">
        <v>158</v>
      </c>
      <c r="E31" s="283">
        <f t="shared" si="5"/>
        <v>98</v>
      </c>
      <c r="F31" s="419" t="s">
        <v>159</v>
      </c>
      <c r="G31" s="283">
        <f t="shared" si="6"/>
        <v>96</v>
      </c>
      <c r="H31" s="295" t="s">
        <v>26</v>
      </c>
      <c r="I31" s="283" t="s">
        <v>24</v>
      </c>
      <c r="J31" s="545" t="s">
        <v>160</v>
      </c>
      <c r="K31" s="283" t="s">
        <v>27</v>
      </c>
      <c r="L31" s="281" t="s">
        <v>161</v>
      </c>
      <c r="M31" s="208" t="s">
        <v>24</v>
      </c>
      <c r="N31" s="298" t="s">
        <v>162</v>
      </c>
      <c r="O31" s="270"/>
      <c r="P31" s="282"/>
      <c r="Q31" s="271">
        <f>1</f>
        <v>1</v>
      </c>
      <c r="R31" s="274"/>
      <c r="T31" s="406" t="s">
        <v>140</v>
      </c>
      <c r="U31" s="276"/>
      <c r="X31" s="272">
        <v>11.821796417236328</v>
      </c>
      <c r="Y31" s="262">
        <f t="shared" si="2"/>
        <v>11.821796417236328</v>
      </c>
      <c r="Z31" s="130" t="str">
        <f t="shared" si="3"/>
        <v/>
      </c>
    </row>
    <row r="32" spans="1:26" s="275" customFormat="1" ht="204">
      <c r="A32" s="273"/>
      <c r="B32" s="293" t="s">
        <v>163</v>
      </c>
      <c r="C32" s="294" t="s">
        <v>163</v>
      </c>
      <c r="D32" s="562" t="s">
        <v>148</v>
      </c>
      <c r="E32" s="283">
        <f t="shared" ref="E32" si="7">LEN(D32)</f>
        <v>320</v>
      </c>
      <c r="F32" s="419" t="s">
        <v>149</v>
      </c>
      <c r="G32" s="283">
        <f t="shared" si="6"/>
        <v>403</v>
      </c>
      <c r="H32" s="295" t="s">
        <v>37</v>
      </c>
      <c r="I32" s="283" t="s">
        <v>24</v>
      </c>
      <c r="J32" s="283" t="s">
        <v>24</v>
      </c>
      <c r="K32" s="283" t="s">
        <v>38</v>
      </c>
      <c r="L32" s="281" t="s">
        <v>164</v>
      </c>
      <c r="M32" s="208" t="s">
        <v>24</v>
      </c>
      <c r="N32" s="296" t="s">
        <v>165</v>
      </c>
      <c r="O32" s="297"/>
      <c r="P32" s="282"/>
      <c r="Q32" s="271">
        <f>1</f>
        <v>1</v>
      </c>
      <c r="R32" s="274"/>
      <c r="T32" s="406" t="s">
        <v>140</v>
      </c>
      <c r="U32" s="276"/>
      <c r="X32" s="272">
        <v>3.1635940074920654</v>
      </c>
      <c r="Y32" s="262">
        <f t="shared" si="2"/>
        <v>3.1635940074920654</v>
      </c>
      <c r="Z32" s="130" t="str">
        <f t="shared" si="3"/>
        <v/>
      </c>
    </row>
    <row r="33" spans="1:27" s="275" customFormat="1" ht="51">
      <c r="A33" s="273"/>
      <c r="B33" s="293" t="s">
        <v>166</v>
      </c>
      <c r="C33" s="294" t="s">
        <v>166</v>
      </c>
      <c r="D33" s="340" t="s">
        <v>153</v>
      </c>
      <c r="E33" s="283">
        <f t="shared" si="5"/>
        <v>73</v>
      </c>
      <c r="F33" s="541" t="s">
        <v>154</v>
      </c>
      <c r="G33" s="283">
        <f t="shared" si="6"/>
        <v>81</v>
      </c>
      <c r="H33" s="295" t="s">
        <v>26</v>
      </c>
      <c r="I33" s="283" t="s">
        <v>24</v>
      </c>
      <c r="J33" s="283" t="s">
        <v>24</v>
      </c>
      <c r="K33" s="283" t="s">
        <v>27</v>
      </c>
      <c r="L33" s="281" t="s">
        <v>167</v>
      </c>
      <c r="M33" s="208" t="s">
        <v>24</v>
      </c>
      <c r="N33" s="298" t="s">
        <v>168</v>
      </c>
      <c r="O33" s="299"/>
      <c r="P33" s="282"/>
      <c r="Q33" s="271">
        <f>1</f>
        <v>1</v>
      </c>
      <c r="R33" s="274"/>
      <c r="T33" s="406" t="s">
        <v>140</v>
      </c>
      <c r="U33" s="276"/>
      <c r="X33" s="272">
        <v>10.830143928527832</v>
      </c>
      <c r="Y33" s="262">
        <f t="shared" si="2"/>
        <v>10.830143928527832</v>
      </c>
      <c r="Z33" s="130" t="str">
        <f t="shared" si="3"/>
        <v/>
      </c>
    </row>
    <row r="34" spans="1:27" s="275" customFormat="1" ht="102">
      <c r="A34" s="273"/>
      <c r="B34" s="293" t="s">
        <v>169</v>
      </c>
      <c r="C34" s="293" t="s">
        <v>170</v>
      </c>
      <c r="D34" s="340" t="s">
        <v>158</v>
      </c>
      <c r="E34" s="283">
        <f t="shared" si="5"/>
        <v>98</v>
      </c>
      <c r="F34" s="419" t="s">
        <v>171</v>
      </c>
      <c r="G34" s="283">
        <f t="shared" si="6"/>
        <v>97</v>
      </c>
      <c r="H34" s="295" t="s">
        <v>26</v>
      </c>
      <c r="I34" s="283" t="s">
        <v>24</v>
      </c>
      <c r="J34" s="545" t="s">
        <v>172</v>
      </c>
      <c r="K34" s="283" t="s">
        <v>27</v>
      </c>
      <c r="L34" s="281" t="s">
        <v>173</v>
      </c>
      <c r="M34" s="208" t="s">
        <v>24</v>
      </c>
      <c r="N34" s="298" t="s">
        <v>174</v>
      </c>
      <c r="O34" s="270"/>
      <c r="P34" s="282"/>
      <c r="Q34" s="271">
        <f>1</f>
        <v>1</v>
      </c>
      <c r="R34" s="274"/>
      <c r="T34" s="406" t="s">
        <v>140</v>
      </c>
      <c r="U34" s="276"/>
      <c r="X34" s="272">
        <v>11.260416984558105</v>
      </c>
      <c r="Y34" s="262">
        <f t="shared" si="2"/>
        <v>11.260416984558105</v>
      </c>
      <c r="Z34" s="130" t="str">
        <f t="shared" si="3"/>
        <v/>
      </c>
    </row>
    <row r="35" spans="1:27" s="127" customFormat="1">
      <c r="A35" s="64"/>
      <c r="B35" s="236"/>
      <c r="C35" s="236"/>
      <c r="D35" s="68"/>
      <c r="E35" s="65"/>
      <c r="F35" s="65"/>
      <c r="G35" s="65"/>
      <c r="H35" s="66"/>
      <c r="I35" s="65"/>
      <c r="J35" s="65"/>
      <c r="K35" s="65"/>
      <c r="L35" s="67"/>
      <c r="M35" s="72"/>
      <c r="N35" s="69"/>
      <c r="O35" s="70"/>
      <c r="P35" s="61"/>
      <c r="Q35" s="264">
        <f>1</f>
        <v>1</v>
      </c>
      <c r="R35" s="130"/>
      <c r="T35" s="129"/>
      <c r="U35" s="128"/>
      <c r="X35" s="263"/>
      <c r="Y35" s="263" t="str">
        <f t="shared" si="2"/>
        <v/>
      </c>
      <c r="Z35" s="130" t="str">
        <f t="shared" si="3"/>
        <v/>
      </c>
    </row>
    <row r="36" spans="1:27" s="136" customFormat="1" ht="153">
      <c r="A36" s="90">
        <v>3</v>
      </c>
      <c r="B36" s="223" t="s">
        <v>175</v>
      </c>
      <c r="C36" s="135" t="s">
        <v>175</v>
      </c>
      <c r="D36" s="134" t="s">
        <v>176</v>
      </c>
      <c r="E36" s="133">
        <f>LEN(D36)</f>
        <v>226</v>
      </c>
      <c r="F36" s="195" t="s">
        <v>177</v>
      </c>
      <c r="G36" s="133">
        <f>LEN(F36)</f>
        <v>249</v>
      </c>
      <c r="H36" s="143" t="s">
        <v>37</v>
      </c>
      <c r="I36" s="133" t="s">
        <v>24</v>
      </c>
      <c r="J36" s="133" t="s">
        <v>24</v>
      </c>
      <c r="K36" s="133" t="s">
        <v>178</v>
      </c>
      <c r="L36" s="373" t="s">
        <v>179</v>
      </c>
      <c r="M36" s="208" t="s">
        <v>24</v>
      </c>
      <c r="N36" s="565" t="s">
        <v>180</v>
      </c>
      <c r="O36" s="269"/>
      <c r="P36" s="2"/>
      <c r="Q36" s="259">
        <f>1</f>
        <v>1</v>
      </c>
      <c r="R36" s="130"/>
      <c r="T36" s="411" t="s">
        <v>33</v>
      </c>
      <c r="U36" s="137"/>
      <c r="X36" s="262">
        <v>13.957258919109854</v>
      </c>
      <c r="Y36" s="262">
        <f t="shared" si="2"/>
        <v>13.957258919109854</v>
      </c>
      <c r="Z36" s="130">
        <f t="shared" si="3"/>
        <v>13.957258919109854</v>
      </c>
    </row>
    <row r="37" spans="1:27" s="136" customFormat="1" ht="119.1">
      <c r="A37" s="38">
        <f>A36+1</f>
        <v>4</v>
      </c>
      <c r="B37" s="173" t="s">
        <v>181</v>
      </c>
      <c r="C37" s="135" t="s">
        <v>181</v>
      </c>
      <c r="D37" s="374" t="s">
        <v>182</v>
      </c>
      <c r="E37" s="141">
        <f>LEN(D37)</f>
        <v>120</v>
      </c>
      <c r="F37" s="374" t="s">
        <v>183</v>
      </c>
      <c r="G37" s="141">
        <f>LEN(F37)</f>
        <v>121</v>
      </c>
      <c r="H37" s="150" t="s">
        <v>37</v>
      </c>
      <c r="I37" s="141" t="s">
        <v>24</v>
      </c>
      <c r="J37" s="141" t="s">
        <v>24</v>
      </c>
      <c r="K37" s="141" t="s">
        <v>184</v>
      </c>
      <c r="L37" s="375" t="s">
        <v>185</v>
      </c>
      <c r="M37" s="208" t="s">
        <v>24</v>
      </c>
      <c r="N37" s="566"/>
      <c r="O37" s="366"/>
      <c r="P37" s="116"/>
      <c r="Q37" s="259">
        <f>1</f>
        <v>1</v>
      </c>
      <c r="R37" s="130"/>
      <c r="T37" s="411" t="s">
        <v>33</v>
      </c>
      <c r="U37" s="137"/>
      <c r="X37" s="262">
        <v>7.9549989700317383</v>
      </c>
      <c r="Y37" s="262">
        <f t="shared" si="2"/>
        <v>7.9549989700317383</v>
      </c>
      <c r="Z37" s="130">
        <f t="shared" si="3"/>
        <v>7.9549989700317383</v>
      </c>
    </row>
    <row r="38" spans="1:27" s="136" customFormat="1" ht="170.1">
      <c r="A38" s="103"/>
      <c r="B38" s="225" t="s">
        <v>186</v>
      </c>
      <c r="C38" s="126" t="s">
        <v>186</v>
      </c>
      <c r="D38" s="154" t="s">
        <v>187</v>
      </c>
      <c r="E38" s="376">
        <f>LEN(D38)</f>
        <v>218</v>
      </c>
      <c r="F38" s="418" t="s">
        <v>188</v>
      </c>
      <c r="G38" s="376">
        <f>LEN(F38)</f>
        <v>259</v>
      </c>
      <c r="H38" s="150" t="s">
        <v>37</v>
      </c>
      <c r="I38" s="150" t="s">
        <v>24</v>
      </c>
      <c r="J38" s="150" t="s">
        <v>24</v>
      </c>
      <c r="K38" s="150" t="s">
        <v>38</v>
      </c>
      <c r="L38" s="140" t="s">
        <v>189</v>
      </c>
      <c r="M38" s="208" t="s">
        <v>24</v>
      </c>
      <c r="N38" s="372"/>
      <c r="O38" s="343"/>
      <c r="P38" s="344"/>
      <c r="Q38" s="262"/>
      <c r="R38" s="262"/>
      <c r="S38" s="130"/>
      <c r="U38" s="186"/>
      <c r="V38" s="137"/>
      <c r="Y38" s="262"/>
      <c r="Z38" s="262"/>
      <c r="AA38" s="130"/>
    </row>
    <row r="39" spans="1:27" s="136" customFormat="1" ht="306">
      <c r="A39" s="103">
        <f>A37+1</f>
        <v>5</v>
      </c>
      <c r="B39" s="225" t="s">
        <v>190</v>
      </c>
      <c r="C39" s="377" t="s">
        <v>190</v>
      </c>
      <c r="D39" s="148" t="s">
        <v>191</v>
      </c>
      <c r="E39" s="124">
        <f>LEN(D39)</f>
        <v>658</v>
      </c>
      <c r="F39" s="420" t="s">
        <v>192</v>
      </c>
      <c r="G39" s="124">
        <f>LEN(F39)</f>
        <v>787</v>
      </c>
      <c r="H39" s="378" t="s">
        <v>37</v>
      </c>
      <c r="I39" s="124" t="s">
        <v>24</v>
      </c>
      <c r="J39" s="124" t="s">
        <v>24</v>
      </c>
      <c r="K39" s="124" t="s">
        <v>38</v>
      </c>
      <c r="L39" s="154" t="s">
        <v>193</v>
      </c>
      <c r="M39" s="208" t="s">
        <v>24</v>
      </c>
      <c r="N39" s="546" t="s">
        <v>194</v>
      </c>
      <c r="O39" s="79"/>
      <c r="P39" s="17"/>
      <c r="Q39" s="259">
        <f>1</f>
        <v>1</v>
      </c>
      <c r="R39" s="130"/>
      <c r="T39" s="411" t="s">
        <v>33</v>
      </c>
      <c r="U39" s="137"/>
      <c r="X39" s="262">
        <v>24.410839080810547</v>
      </c>
      <c r="Y39" s="262">
        <f t="shared" ref="Y39:Y71" si="8">IF(X39="","",X39*Q39)</f>
        <v>24.410839080810547</v>
      </c>
      <c r="Z39" s="130">
        <f t="shared" si="3"/>
        <v>24.410839080810547</v>
      </c>
    </row>
    <row r="40" spans="1:27" s="136" customFormat="1" ht="221.1">
      <c r="A40" s="550"/>
      <c r="B40" s="224" t="s">
        <v>195</v>
      </c>
      <c r="C40" s="9" t="s">
        <v>195</v>
      </c>
      <c r="D40" s="7" t="s">
        <v>196</v>
      </c>
      <c r="E40" s="94"/>
      <c r="F40" s="431" t="s">
        <v>197</v>
      </c>
      <c r="G40" s="15">
        <f>LEN(F40)</f>
        <v>436</v>
      </c>
      <c r="H40" s="9" t="s">
        <v>37</v>
      </c>
      <c r="I40" s="8" t="s">
        <v>24</v>
      </c>
      <c r="J40" s="8" t="s">
        <v>24</v>
      </c>
      <c r="K40" s="8" t="s">
        <v>38</v>
      </c>
      <c r="L40" s="10" t="s">
        <v>198</v>
      </c>
      <c r="M40" s="72" t="s">
        <v>24</v>
      </c>
      <c r="N40" s="30" t="s">
        <v>199</v>
      </c>
      <c r="O40" s="53"/>
      <c r="P40" s="547" t="s">
        <v>200</v>
      </c>
      <c r="Q40" s="259"/>
      <c r="R40" s="130"/>
      <c r="T40" s="411"/>
      <c r="U40" s="137"/>
      <c r="X40" s="262"/>
      <c r="Y40" s="262"/>
      <c r="Z40" s="130"/>
    </row>
    <row r="41" spans="1:27" s="136" customFormat="1">
      <c r="A41" s="93"/>
      <c r="B41" s="551"/>
      <c r="C41" s="552"/>
      <c r="D41" s="553"/>
      <c r="E41" s="554"/>
      <c r="F41" s="555"/>
      <c r="G41" s="554"/>
      <c r="H41" s="552"/>
      <c r="I41" s="556"/>
      <c r="J41" s="556"/>
      <c r="K41" s="556"/>
      <c r="L41" s="557"/>
      <c r="M41" s="558"/>
      <c r="N41" s="559"/>
      <c r="O41" s="558"/>
      <c r="P41" s="560"/>
      <c r="Q41" s="264">
        <f>1</f>
        <v>1</v>
      </c>
      <c r="R41" s="130"/>
      <c r="T41" s="186"/>
      <c r="U41" s="137"/>
      <c r="X41" s="263"/>
      <c r="Y41" s="263" t="str">
        <f t="shared" si="8"/>
        <v/>
      </c>
      <c r="Z41" s="130" t="str">
        <f t="shared" si="3"/>
        <v/>
      </c>
    </row>
    <row r="42" spans="1:27" s="136" customFormat="1" ht="17.100000000000001" thickBot="1">
      <c r="A42" s="567" t="s">
        <v>201</v>
      </c>
      <c r="B42" s="568"/>
      <c r="C42" s="568"/>
      <c r="D42" s="568"/>
      <c r="E42" s="568"/>
      <c r="F42" s="568"/>
      <c r="G42" s="568"/>
      <c r="H42" s="568"/>
      <c r="I42" s="568"/>
      <c r="J42" s="568"/>
      <c r="K42" s="568"/>
      <c r="L42" s="568"/>
      <c r="M42" s="568"/>
      <c r="N42" s="568"/>
      <c r="O42" s="568"/>
      <c r="P42" s="569"/>
      <c r="Q42" s="264"/>
      <c r="R42" s="130"/>
      <c r="T42" s="138"/>
      <c r="U42" s="137"/>
      <c r="X42" s="263"/>
      <c r="Y42" s="262" t="str">
        <f t="shared" si="8"/>
        <v/>
      </c>
      <c r="Z42" s="130" t="str">
        <f t="shared" si="3"/>
        <v/>
      </c>
    </row>
    <row r="43" spans="1:27" s="136" customFormat="1">
      <c r="A43" s="183"/>
      <c r="B43" s="183"/>
      <c r="C43" s="183"/>
      <c r="D43" s="96"/>
      <c r="E43" s="183"/>
      <c r="F43" s="96"/>
      <c r="G43" s="183"/>
      <c r="H43" s="183"/>
      <c r="I43" s="183"/>
      <c r="J43" s="183"/>
      <c r="K43" s="183"/>
      <c r="L43" s="183"/>
      <c r="M43" s="183"/>
      <c r="N43" s="183"/>
      <c r="O43" s="183"/>
      <c r="P43" s="42"/>
      <c r="Q43" s="264">
        <f>1</f>
        <v>1</v>
      </c>
      <c r="R43" s="130"/>
      <c r="T43" s="138"/>
      <c r="U43" s="137"/>
      <c r="X43" s="263"/>
      <c r="Y43" s="263" t="str">
        <f t="shared" si="8"/>
        <v/>
      </c>
      <c r="Z43" s="130" t="str">
        <f t="shared" si="3"/>
        <v/>
      </c>
    </row>
    <row r="44" spans="1:27" s="346" customFormat="1" ht="153">
      <c r="A44" s="342">
        <f>A39+1</f>
        <v>6</v>
      </c>
      <c r="B44" s="370" t="s">
        <v>202</v>
      </c>
      <c r="C44" s="371" t="s">
        <v>202</v>
      </c>
      <c r="D44" s="542" t="s">
        <v>203</v>
      </c>
      <c r="E44" s="371">
        <f>LEN(D44)</f>
        <v>97</v>
      </c>
      <c r="F44" s="418" t="s">
        <v>204</v>
      </c>
      <c r="G44" s="371">
        <f>LEN(F44)</f>
        <v>81</v>
      </c>
      <c r="H44" s="371" t="s">
        <v>37</v>
      </c>
      <c r="I44" s="371" t="s">
        <v>24</v>
      </c>
      <c r="J44" s="371" t="s">
        <v>24</v>
      </c>
      <c r="K44" s="371" t="s">
        <v>38</v>
      </c>
      <c r="L44" s="372" t="s">
        <v>205</v>
      </c>
      <c r="M44" s="208" t="s">
        <v>24</v>
      </c>
      <c r="N44" s="372" t="s">
        <v>206</v>
      </c>
      <c r="O44" s="343"/>
      <c r="P44" s="344"/>
      <c r="Q44" s="341">
        <v>1</v>
      </c>
      <c r="R44" s="345"/>
      <c r="T44" s="410" t="s">
        <v>33</v>
      </c>
      <c r="U44" s="347"/>
      <c r="X44" s="417">
        <v>10.5</v>
      </c>
      <c r="Y44" s="262">
        <f t="shared" si="8"/>
        <v>10.5</v>
      </c>
      <c r="Z44" s="345">
        <f t="shared" si="3"/>
        <v>10.5</v>
      </c>
    </row>
    <row r="45" spans="1:27" s="136" customFormat="1" ht="135.94999999999999">
      <c r="A45" s="90">
        <f>A44+1</f>
        <v>7</v>
      </c>
      <c r="B45" s="223" t="s">
        <v>207</v>
      </c>
      <c r="C45" s="135" t="s">
        <v>207</v>
      </c>
      <c r="D45" s="185" t="s">
        <v>208</v>
      </c>
      <c r="E45" s="133">
        <f>LEN(D45)</f>
        <v>116</v>
      </c>
      <c r="F45" s="418" t="s">
        <v>209</v>
      </c>
      <c r="G45" s="133">
        <f>LEN(F45)</f>
        <v>145</v>
      </c>
      <c r="H45" s="135" t="s">
        <v>37</v>
      </c>
      <c r="I45" s="133" t="s">
        <v>24</v>
      </c>
      <c r="J45" s="133" t="s">
        <v>24</v>
      </c>
      <c r="K45" s="133" t="s">
        <v>38</v>
      </c>
      <c r="L45" s="132" t="s">
        <v>210</v>
      </c>
      <c r="M45" s="208" t="s">
        <v>24</v>
      </c>
      <c r="N45" s="132" t="s">
        <v>211</v>
      </c>
      <c r="O45" s="78"/>
      <c r="P45" s="42"/>
      <c r="Q45" s="259">
        <f>1</f>
        <v>1</v>
      </c>
      <c r="R45" s="130"/>
      <c r="T45" s="405" t="s">
        <v>33</v>
      </c>
      <c r="U45" s="137"/>
      <c r="X45" s="262">
        <v>10.504533767700195</v>
      </c>
      <c r="Y45" s="262">
        <f t="shared" si="8"/>
        <v>10.504533767700195</v>
      </c>
      <c r="Z45" s="130">
        <f t="shared" si="3"/>
        <v>10.504533767700195</v>
      </c>
    </row>
    <row r="46" spans="1:27" s="136" customFormat="1">
      <c r="A46" s="90"/>
      <c r="B46" s="251"/>
      <c r="C46" s="91"/>
      <c r="D46" s="95"/>
      <c r="E46" s="96"/>
      <c r="F46" s="96"/>
      <c r="G46" s="96"/>
      <c r="H46" s="91"/>
      <c r="I46" s="96"/>
      <c r="J46" s="96"/>
      <c r="K46" s="96"/>
      <c r="L46" s="78"/>
      <c r="M46" s="78"/>
      <c r="N46" s="78"/>
      <c r="O46" s="78"/>
      <c r="P46" s="42"/>
      <c r="Q46" s="264">
        <f>1</f>
        <v>1</v>
      </c>
      <c r="R46" s="130"/>
      <c r="T46" s="138"/>
      <c r="U46" s="137"/>
      <c r="X46" s="263"/>
      <c r="Y46" s="263" t="str">
        <f t="shared" si="8"/>
        <v/>
      </c>
      <c r="Z46" s="130" t="str">
        <f t="shared" si="3"/>
        <v/>
      </c>
    </row>
    <row r="47" spans="1:27" s="136" customFormat="1" ht="186.95">
      <c r="A47" s="38">
        <f>A45+1</f>
        <v>8</v>
      </c>
      <c r="B47" s="173" t="s">
        <v>212</v>
      </c>
      <c r="C47" s="135" t="s">
        <v>212</v>
      </c>
      <c r="D47" s="592" t="s">
        <v>213</v>
      </c>
      <c r="E47" s="141">
        <f>LEN(D47)</f>
        <v>314</v>
      </c>
      <c r="F47" s="418" t="s">
        <v>214</v>
      </c>
      <c r="G47" s="141">
        <f>LEN(F47)</f>
        <v>331</v>
      </c>
      <c r="H47" s="142" t="s">
        <v>37</v>
      </c>
      <c r="I47" s="141" t="s">
        <v>24</v>
      </c>
      <c r="J47" s="141" t="s">
        <v>24</v>
      </c>
      <c r="K47" s="141" t="s">
        <v>38</v>
      </c>
      <c r="L47" s="140" t="s">
        <v>215</v>
      </c>
      <c r="M47" s="208" t="s">
        <v>24</v>
      </c>
      <c r="N47" s="132" t="s">
        <v>216</v>
      </c>
      <c r="O47" s="78"/>
      <c r="P47" s="17"/>
      <c r="Q47" s="259">
        <f>1</f>
        <v>1</v>
      </c>
      <c r="R47" s="130"/>
      <c r="T47" s="405" t="s">
        <v>33</v>
      </c>
      <c r="U47" s="137"/>
      <c r="X47" s="262">
        <v>12.42189884185791</v>
      </c>
      <c r="Y47" s="262">
        <f t="shared" si="8"/>
        <v>12.42189884185791</v>
      </c>
      <c r="Z47" s="130">
        <f t="shared" si="3"/>
        <v>12.42189884185791</v>
      </c>
    </row>
    <row r="48" spans="1:27" s="136" customFormat="1">
      <c r="A48" s="38"/>
      <c r="B48" s="171"/>
      <c r="C48" s="91"/>
      <c r="D48" s="39"/>
      <c r="E48" s="40"/>
      <c r="F48" s="39"/>
      <c r="G48" s="40"/>
      <c r="H48" s="41"/>
      <c r="I48" s="40"/>
      <c r="J48" s="40"/>
      <c r="K48" s="40"/>
      <c r="L48" s="86"/>
      <c r="M48" s="78"/>
      <c r="N48" s="78"/>
      <c r="O48" s="78"/>
      <c r="P48" s="17"/>
      <c r="Q48" s="264">
        <f>1</f>
        <v>1</v>
      </c>
      <c r="R48" s="130"/>
      <c r="T48" s="138"/>
      <c r="U48" s="137"/>
      <c r="X48" s="263"/>
      <c r="Y48" s="263" t="str">
        <f t="shared" si="8"/>
        <v/>
      </c>
      <c r="Z48" s="130" t="str">
        <f t="shared" si="3"/>
        <v/>
      </c>
    </row>
    <row r="49" spans="1:26" s="136" customFormat="1" ht="272.10000000000002">
      <c r="A49" s="38">
        <f>A47+1</f>
        <v>9</v>
      </c>
      <c r="B49" s="171" t="s">
        <v>217</v>
      </c>
      <c r="C49" s="170" t="s">
        <v>217</v>
      </c>
      <c r="D49" s="39" t="s">
        <v>218</v>
      </c>
      <c r="E49" s="40">
        <f>LEN(D49)</f>
        <v>313</v>
      </c>
      <c r="F49" s="167" t="s">
        <v>219</v>
      </c>
      <c r="G49" s="40">
        <f>LEN(F49)</f>
        <v>421</v>
      </c>
      <c r="H49" s="41" t="s">
        <v>37</v>
      </c>
      <c r="I49" s="40" t="s">
        <v>24</v>
      </c>
      <c r="J49" s="40" t="s">
        <v>24</v>
      </c>
      <c r="K49" s="40" t="s">
        <v>38</v>
      </c>
      <c r="L49" s="235" t="s">
        <v>220</v>
      </c>
      <c r="M49" s="72" t="s">
        <v>24</v>
      </c>
      <c r="N49" s="169" t="s">
        <v>221</v>
      </c>
      <c r="O49" s="56"/>
      <c r="P49" s="570" t="s">
        <v>222</v>
      </c>
      <c r="Q49" s="264">
        <f>1</f>
        <v>1</v>
      </c>
      <c r="R49" s="130"/>
      <c r="T49" s="138" t="s">
        <v>33</v>
      </c>
      <c r="U49" s="137"/>
      <c r="X49" s="263">
        <v>16.615655899047852</v>
      </c>
      <c r="Y49" s="263">
        <f t="shared" si="8"/>
        <v>16.615655899047852</v>
      </c>
      <c r="Z49" s="130">
        <f t="shared" si="3"/>
        <v>16.615655899047852</v>
      </c>
    </row>
    <row r="50" spans="1:26" s="136" customFormat="1" ht="204">
      <c r="A50" s="38">
        <v>9</v>
      </c>
      <c r="B50" s="171" t="s">
        <v>223</v>
      </c>
      <c r="C50" s="170" t="s">
        <v>223</v>
      </c>
      <c r="D50" s="39" t="s">
        <v>224</v>
      </c>
      <c r="E50" s="40">
        <f>LEN(D50)</f>
        <v>312</v>
      </c>
      <c r="F50" s="167" t="s">
        <v>225</v>
      </c>
      <c r="G50" s="40">
        <f>LEN(F50)</f>
        <v>391</v>
      </c>
      <c r="H50" s="41" t="s">
        <v>37</v>
      </c>
      <c r="I50" s="40" t="s">
        <v>24</v>
      </c>
      <c r="J50" s="40" t="s">
        <v>24</v>
      </c>
      <c r="K50" s="40" t="s">
        <v>38</v>
      </c>
      <c r="L50" s="235" t="s">
        <v>226</v>
      </c>
      <c r="M50" s="72" t="s">
        <v>24</v>
      </c>
      <c r="N50" s="169" t="s">
        <v>221</v>
      </c>
      <c r="O50" s="56"/>
      <c r="P50" s="571"/>
      <c r="Q50" s="264">
        <f>1</f>
        <v>1</v>
      </c>
      <c r="R50" s="130"/>
      <c r="T50" s="138" t="s">
        <v>33</v>
      </c>
      <c r="U50" s="137"/>
      <c r="X50" s="263">
        <v>12.600021362304688</v>
      </c>
      <c r="Y50" s="263">
        <f t="shared" si="8"/>
        <v>12.600021362304688</v>
      </c>
      <c r="Z50" s="130">
        <f t="shared" si="3"/>
        <v>12.600021362304688</v>
      </c>
    </row>
    <row r="51" spans="1:26" s="136" customFormat="1" ht="221.1">
      <c r="A51" s="38">
        <v>9</v>
      </c>
      <c r="B51" s="171" t="s">
        <v>227</v>
      </c>
      <c r="C51" s="170" t="s">
        <v>227</v>
      </c>
      <c r="D51" s="39" t="s">
        <v>228</v>
      </c>
      <c r="E51" s="40">
        <f>LEN(D51)</f>
        <v>255</v>
      </c>
      <c r="F51" s="167" t="s">
        <v>229</v>
      </c>
      <c r="G51" s="40">
        <f>LEN(F51)</f>
        <v>323</v>
      </c>
      <c r="H51" s="41" t="s">
        <v>37</v>
      </c>
      <c r="I51" s="40" t="s">
        <v>24</v>
      </c>
      <c r="J51" s="40" t="s">
        <v>24</v>
      </c>
      <c r="K51" s="40" t="s">
        <v>38</v>
      </c>
      <c r="L51" s="348" t="s">
        <v>230</v>
      </c>
      <c r="M51" s="72" t="s">
        <v>24</v>
      </c>
      <c r="N51" s="169" t="s">
        <v>221</v>
      </c>
      <c r="O51" s="56"/>
      <c r="P51" s="572"/>
      <c r="Q51" s="264">
        <f>1</f>
        <v>1</v>
      </c>
      <c r="R51" s="130"/>
      <c r="T51" s="138" t="s">
        <v>33</v>
      </c>
      <c r="U51" s="137"/>
      <c r="X51" s="263">
        <v>11.655922889709473</v>
      </c>
      <c r="Y51" s="263">
        <f t="shared" si="8"/>
        <v>11.655922889709473</v>
      </c>
      <c r="Z51" s="130">
        <f t="shared" si="3"/>
        <v>11.655922889709473</v>
      </c>
    </row>
    <row r="52" spans="1:26" s="136" customFormat="1">
      <c r="A52" s="38"/>
      <c r="B52" s="171"/>
      <c r="C52" s="256"/>
      <c r="D52" s="593"/>
      <c r="E52" s="96"/>
      <c r="F52" s="96"/>
      <c r="G52" s="96"/>
      <c r="H52" s="91"/>
      <c r="I52" s="96"/>
      <c r="J52" s="96"/>
      <c r="K52" s="96"/>
      <c r="L52" s="110"/>
      <c r="M52" s="78"/>
      <c r="N52" s="258"/>
      <c r="O52" s="258"/>
      <c r="P52" s="317"/>
      <c r="Q52" s="264">
        <f>1</f>
        <v>1</v>
      </c>
      <c r="R52" s="130"/>
      <c r="T52" s="138"/>
      <c r="U52" s="137"/>
      <c r="X52" s="263"/>
      <c r="Y52" s="263" t="str">
        <f t="shared" si="8"/>
        <v/>
      </c>
      <c r="Z52" s="130" t="str">
        <f t="shared" si="3"/>
        <v/>
      </c>
    </row>
    <row r="53" spans="1:26" s="136" customFormat="1" ht="409.5" customHeight="1">
      <c r="A53" s="6">
        <f>A51+1</f>
        <v>10</v>
      </c>
      <c r="B53" s="224" t="s">
        <v>231</v>
      </c>
      <c r="C53" s="9" t="s">
        <v>231</v>
      </c>
      <c r="D53" s="7" t="s">
        <v>232</v>
      </c>
      <c r="E53" s="8">
        <f t="shared" ref="E53:E58" si="9">LEN(D53)</f>
        <v>1333</v>
      </c>
      <c r="F53" s="7" t="s">
        <v>233</v>
      </c>
      <c r="G53" s="8">
        <f t="shared" ref="G53:G58" si="10">LEN(F53)</f>
        <v>1424</v>
      </c>
      <c r="H53" s="9" t="s">
        <v>37</v>
      </c>
      <c r="I53" s="8" t="s">
        <v>24</v>
      </c>
      <c r="J53" s="8" t="s">
        <v>24</v>
      </c>
      <c r="K53" s="8" t="s">
        <v>38</v>
      </c>
      <c r="L53" s="10" t="s">
        <v>234</v>
      </c>
      <c r="M53" s="72" t="s">
        <v>24</v>
      </c>
      <c r="N53" s="30" t="s">
        <v>235</v>
      </c>
      <c r="O53" s="53"/>
      <c r="P53" s="42"/>
      <c r="Q53" s="264">
        <f>1</f>
        <v>1</v>
      </c>
      <c r="R53" s="130"/>
      <c r="T53" s="138" t="s">
        <v>23</v>
      </c>
      <c r="U53" s="137"/>
      <c r="X53" s="263">
        <v>13.220664978027344</v>
      </c>
      <c r="Y53" s="263">
        <f t="shared" si="8"/>
        <v>13.220664978027344</v>
      </c>
      <c r="Z53" s="130" t="str">
        <f t="shared" si="3"/>
        <v/>
      </c>
    </row>
    <row r="54" spans="1:26" s="136" customFormat="1" ht="119.1">
      <c r="A54" s="6">
        <f>A53+1</f>
        <v>11</v>
      </c>
      <c r="B54" s="224" t="s">
        <v>236</v>
      </c>
      <c r="C54" s="13" t="s">
        <v>236</v>
      </c>
      <c r="D54" s="11" t="s">
        <v>237</v>
      </c>
      <c r="E54" s="12">
        <f t="shared" si="9"/>
        <v>269</v>
      </c>
      <c r="F54" s="11" t="s">
        <v>238</v>
      </c>
      <c r="G54" s="12">
        <f t="shared" si="10"/>
        <v>309</v>
      </c>
      <c r="H54" s="13" t="s">
        <v>127</v>
      </c>
      <c r="I54" s="12" t="s">
        <v>24</v>
      </c>
      <c r="J54" s="12" t="s">
        <v>24</v>
      </c>
      <c r="K54" s="12" t="s">
        <v>27</v>
      </c>
      <c r="L54" s="14" t="s">
        <v>239</v>
      </c>
      <c r="M54" s="72" t="s">
        <v>24</v>
      </c>
      <c r="N54" s="30" t="s">
        <v>235</v>
      </c>
      <c r="O54" s="53"/>
      <c r="P54" s="2"/>
      <c r="Q54" s="264">
        <f>1</f>
        <v>1</v>
      </c>
      <c r="R54" s="130"/>
      <c r="T54" s="138" t="s">
        <v>23</v>
      </c>
      <c r="U54" s="137"/>
      <c r="X54" s="263">
        <v>16.902294158935547</v>
      </c>
      <c r="Y54" s="263">
        <f t="shared" si="8"/>
        <v>16.902294158935547</v>
      </c>
      <c r="Z54" s="130" t="str">
        <f t="shared" si="3"/>
        <v/>
      </c>
    </row>
    <row r="55" spans="1:26" s="136" customFormat="1" ht="255">
      <c r="A55" s="6">
        <f>A54+1</f>
        <v>12</v>
      </c>
      <c r="B55" s="224" t="s">
        <v>240</v>
      </c>
      <c r="C55" s="233" t="s">
        <v>241</v>
      </c>
      <c r="D55" s="11" t="s">
        <v>242</v>
      </c>
      <c r="E55" s="12">
        <f t="shared" si="9"/>
        <v>439</v>
      </c>
      <c r="F55" s="421" t="s">
        <v>243</v>
      </c>
      <c r="G55" s="12">
        <f t="shared" si="10"/>
        <v>500</v>
      </c>
      <c r="H55" s="13" t="s">
        <v>244</v>
      </c>
      <c r="I55" s="12" t="s">
        <v>24</v>
      </c>
      <c r="J55" s="12" t="s">
        <v>24</v>
      </c>
      <c r="K55" s="12" t="s">
        <v>245</v>
      </c>
      <c r="L55" s="14" t="s">
        <v>246</v>
      </c>
      <c r="M55" s="72" t="s">
        <v>247</v>
      </c>
      <c r="N55" s="30" t="s">
        <v>235</v>
      </c>
      <c r="O55" s="53"/>
      <c r="P55" s="62" t="s">
        <v>248</v>
      </c>
      <c r="Q55" s="264">
        <f>1</f>
        <v>1</v>
      </c>
      <c r="R55" s="130"/>
      <c r="T55" s="138" t="s">
        <v>23</v>
      </c>
      <c r="U55" s="137"/>
      <c r="X55" s="263">
        <v>16.957803726196289</v>
      </c>
      <c r="Y55" s="263">
        <f t="shared" si="8"/>
        <v>16.957803726196289</v>
      </c>
      <c r="Z55" s="130" t="str">
        <f t="shared" si="3"/>
        <v/>
      </c>
    </row>
    <row r="56" spans="1:26" s="136" customFormat="1" ht="288.95">
      <c r="A56" s="6">
        <f>A55+1</f>
        <v>13</v>
      </c>
      <c r="B56" s="224" t="s">
        <v>249</v>
      </c>
      <c r="C56" s="53" t="s">
        <v>250</v>
      </c>
      <c r="D56" s="11" t="s">
        <v>251</v>
      </c>
      <c r="E56" s="12">
        <f t="shared" si="9"/>
        <v>400</v>
      </c>
      <c r="F56" s="11" t="s">
        <v>252</v>
      </c>
      <c r="G56" s="12">
        <f t="shared" si="10"/>
        <v>461</v>
      </c>
      <c r="H56" s="13" t="s">
        <v>244</v>
      </c>
      <c r="I56" s="12" t="s">
        <v>24</v>
      </c>
      <c r="J56" s="12" t="s">
        <v>24</v>
      </c>
      <c r="K56" s="12" t="s">
        <v>253</v>
      </c>
      <c r="L56" s="14" t="s">
        <v>254</v>
      </c>
      <c r="M56" s="72" t="s">
        <v>255</v>
      </c>
      <c r="N56" s="30" t="s">
        <v>235</v>
      </c>
      <c r="O56" s="53"/>
      <c r="P56" s="62" t="s">
        <v>248</v>
      </c>
      <c r="Q56" s="264">
        <f>1</f>
        <v>1</v>
      </c>
      <c r="R56" s="130"/>
      <c r="T56" s="138" t="s">
        <v>23</v>
      </c>
      <c r="U56" s="137"/>
      <c r="X56" s="263">
        <v>11.022028923034668</v>
      </c>
      <c r="Y56" s="263">
        <f t="shared" si="8"/>
        <v>11.022028923034668</v>
      </c>
      <c r="Z56" s="130" t="str">
        <f t="shared" si="3"/>
        <v/>
      </c>
    </row>
    <row r="57" spans="1:26" s="136" customFormat="1" ht="186.95">
      <c r="A57" s="6">
        <f>A56+1</f>
        <v>14</v>
      </c>
      <c r="B57" s="229" t="s">
        <v>256</v>
      </c>
      <c r="C57" s="228" t="s">
        <v>256</v>
      </c>
      <c r="D57" s="7" t="s">
        <v>257</v>
      </c>
      <c r="E57" s="15">
        <f t="shared" si="9"/>
        <v>180</v>
      </c>
      <c r="F57" s="11" t="s">
        <v>258</v>
      </c>
      <c r="G57" s="15">
        <f t="shared" si="10"/>
        <v>177</v>
      </c>
      <c r="H57" s="13" t="s">
        <v>37</v>
      </c>
      <c r="I57" s="16" t="s">
        <v>24</v>
      </c>
      <c r="J57" s="16" t="s">
        <v>24</v>
      </c>
      <c r="K57" s="12" t="s">
        <v>38</v>
      </c>
      <c r="L57" s="14" t="s">
        <v>259</v>
      </c>
      <c r="M57" s="72" t="s">
        <v>24</v>
      </c>
      <c r="N57" s="30" t="s">
        <v>235</v>
      </c>
      <c r="O57" s="107"/>
      <c r="P57" s="17"/>
      <c r="Q57" s="264">
        <f>1</f>
        <v>1</v>
      </c>
      <c r="R57" s="130"/>
      <c r="T57" s="138" t="s">
        <v>23</v>
      </c>
      <c r="U57" s="137"/>
      <c r="X57" s="263">
        <v>9.9618663787841797</v>
      </c>
      <c r="Y57" s="263">
        <f t="shared" si="8"/>
        <v>9.9618663787841797</v>
      </c>
      <c r="Z57" s="130" t="str">
        <f t="shared" si="3"/>
        <v/>
      </c>
    </row>
    <row r="58" spans="1:26" s="136" customFormat="1" ht="171" thickBot="1">
      <c r="A58" s="6">
        <f>A57+1</f>
        <v>15</v>
      </c>
      <c r="B58" s="226" t="s">
        <v>260</v>
      </c>
      <c r="C58" s="227" t="s">
        <v>260</v>
      </c>
      <c r="D58" s="19" t="s">
        <v>261</v>
      </c>
      <c r="E58" s="15">
        <f t="shared" si="9"/>
        <v>133</v>
      </c>
      <c r="F58" s="422" t="s">
        <v>262</v>
      </c>
      <c r="G58" s="15">
        <f t="shared" si="10"/>
        <v>164</v>
      </c>
      <c r="H58" s="13" t="s">
        <v>37</v>
      </c>
      <c r="I58" s="15" t="s">
        <v>24</v>
      </c>
      <c r="J58" s="15" t="s">
        <v>24</v>
      </c>
      <c r="K58" s="12" t="s">
        <v>38</v>
      </c>
      <c r="L58" s="14" t="s">
        <v>263</v>
      </c>
      <c r="M58" s="72" t="s">
        <v>24</v>
      </c>
      <c r="N58" s="30" t="s">
        <v>235</v>
      </c>
      <c r="O58" s="57"/>
      <c r="P58" s="2"/>
      <c r="Q58" s="264">
        <f>1</f>
        <v>1</v>
      </c>
      <c r="R58" s="130"/>
      <c r="T58" s="138" t="s">
        <v>23</v>
      </c>
      <c r="U58" s="137"/>
      <c r="X58" s="263">
        <v>7.02484130859375</v>
      </c>
      <c r="Y58" s="263">
        <f t="shared" si="8"/>
        <v>7.02484130859375</v>
      </c>
      <c r="Z58" s="130" t="str">
        <f t="shared" si="3"/>
        <v/>
      </c>
    </row>
    <row r="59" spans="1:26" s="402" customFormat="1" ht="17.100000000000001" thickBot="1">
      <c r="A59" s="567" t="s">
        <v>264</v>
      </c>
      <c r="B59" s="568"/>
      <c r="C59" s="568"/>
      <c r="D59" s="568"/>
      <c r="E59" s="568"/>
      <c r="F59" s="568"/>
      <c r="G59" s="568"/>
      <c r="H59" s="568"/>
      <c r="I59" s="568"/>
      <c r="J59" s="568"/>
      <c r="K59" s="568"/>
      <c r="L59" s="568"/>
      <c r="M59" s="568"/>
      <c r="N59" s="568"/>
      <c r="O59" s="568"/>
      <c r="P59" s="569"/>
      <c r="Q59" s="259"/>
      <c r="R59" s="407"/>
      <c r="T59" s="405"/>
      <c r="U59" s="408"/>
      <c r="X59" s="262"/>
      <c r="Y59" s="262" t="str">
        <f t="shared" si="8"/>
        <v/>
      </c>
      <c r="Z59" s="407" t="str">
        <f t="shared" si="3"/>
        <v/>
      </c>
    </row>
    <row r="60" spans="1:26" s="136" customFormat="1">
      <c r="A60" s="183"/>
      <c r="B60" s="183"/>
      <c r="C60" s="183"/>
      <c r="D60" s="96"/>
      <c r="E60" s="183"/>
      <c r="F60" s="183"/>
      <c r="G60" s="183"/>
      <c r="H60" s="183"/>
      <c r="I60" s="183"/>
      <c r="J60" s="183"/>
      <c r="K60" s="183"/>
      <c r="L60" s="183"/>
      <c r="M60" s="78"/>
      <c r="N60" s="183"/>
      <c r="O60" s="183"/>
      <c r="P60" s="42"/>
      <c r="Q60" s="264">
        <f>1</f>
        <v>1</v>
      </c>
      <c r="R60" s="130"/>
      <c r="T60" s="138"/>
      <c r="U60" s="137"/>
      <c r="X60" s="263"/>
      <c r="Y60" s="263" t="str">
        <f t="shared" si="8"/>
        <v/>
      </c>
      <c r="Z60" s="130" t="str">
        <f t="shared" si="3"/>
        <v/>
      </c>
    </row>
    <row r="61" spans="1:26" s="136" customFormat="1" ht="408.95" customHeight="1">
      <c r="A61" s="90">
        <f>A58+1</f>
        <v>16</v>
      </c>
      <c r="B61" s="223" t="s">
        <v>265</v>
      </c>
      <c r="C61" s="135" t="s">
        <v>265</v>
      </c>
      <c r="D61" s="134" t="s">
        <v>266</v>
      </c>
      <c r="E61" s="133">
        <f>LEN(D61)</f>
        <v>1222</v>
      </c>
      <c r="F61" s="564" t="s">
        <v>267</v>
      </c>
      <c r="G61" s="133">
        <f>LEN(F61)</f>
        <v>1333</v>
      </c>
      <c r="H61" s="135" t="s">
        <v>37</v>
      </c>
      <c r="I61" s="133" t="s">
        <v>24</v>
      </c>
      <c r="J61" s="133" t="s">
        <v>24</v>
      </c>
      <c r="K61" s="133" t="s">
        <v>268</v>
      </c>
      <c r="L61" s="132" t="s">
        <v>269</v>
      </c>
      <c r="M61" s="208" t="s">
        <v>24</v>
      </c>
      <c r="N61" s="139" t="s">
        <v>270</v>
      </c>
      <c r="O61" s="43"/>
      <c r="P61" s="42"/>
      <c r="Q61" s="259">
        <f>1</f>
        <v>1</v>
      </c>
      <c r="R61" s="130"/>
      <c r="T61" s="405" t="s">
        <v>33</v>
      </c>
      <c r="U61" s="137"/>
      <c r="X61" s="262">
        <v>31.888334274291992</v>
      </c>
      <c r="Y61" s="262">
        <f t="shared" si="8"/>
        <v>31.888334274291992</v>
      </c>
      <c r="Z61" s="130">
        <f t="shared" si="3"/>
        <v>31.888334274291992</v>
      </c>
    </row>
    <row r="62" spans="1:26" s="136" customFormat="1" ht="153">
      <c r="A62" s="90"/>
      <c r="B62" s="223" t="s">
        <v>271</v>
      </c>
      <c r="C62" s="234" t="s">
        <v>272</v>
      </c>
      <c r="D62" s="140" t="s">
        <v>273</v>
      </c>
      <c r="E62" s="133">
        <f>LEN(D62)</f>
        <v>134</v>
      </c>
      <c r="F62" s="393" t="s">
        <v>274</v>
      </c>
      <c r="G62" s="133">
        <f>LEN(F62)</f>
        <v>168</v>
      </c>
      <c r="H62" s="135" t="s">
        <v>37</v>
      </c>
      <c r="I62" s="133" t="s">
        <v>24</v>
      </c>
      <c r="J62" s="133" t="s">
        <v>24</v>
      </c>
      <c r="K62" s="133" t="s">
        <v>38</v>
      </c>
      <c r="L62" s="132" t="s">
        <v>275</v>
      </c>
      <c r="M62" s="208" t="s">
        <v>24</v>
      </c>
      <c r="N62" s="139" t="s">
        <v>276</v>
      </c>
      <c r="O62" s="43"/>
      <c r="P62" s="42"/>
      <c r="Q62" s="259">
        <f>1</f>
        <v>1</v>
      </c>
      <c r="R62" s="130"/>
      <c r="T62" s="405" t="s">
        <v>33</v>
      </c>
      <c r="U62" s="137"/>
      <c r="X62" s="262">
        <v>8</v>
      </c>
      <c r="Y62" s="262">
        <f t="shared" si="8"/>
        <v>8</v>
      </c>
      <c r="Z62" s="130">
        <f t="shared" si="3"/>
        <v>8</v>
      </c>
    </row>
    <row r="63" spans="1:26" s="136" customFormat="1" ht="153">
      <c r="A63" s="90"/>
      <c r="B63" s="223" t="s">
        <v>277</v>
      </c>
      <c r="C63" s="234" t="s">
        <v>278</v>
      </c>
      <c r="D63" s="140" t="s">
        <v>279</v>
      </c>
      <c r="E63" s="133">
        <f>LEN(D63)</f>
        <v>160</v>
      </c>
      <c r="F63" s="393" t="s">
        <v>280</v>
      </c>
      <c r="G63" s="133">
        <f>LEN(F63)</f>
        <v>188</v>
      </c>
      <c r="H63" s="135" t="s">
        <v>37</v>
      </c>
      <c r="I63" s="133" t="s">
        <v>24</v>
      </c>
      <c r="J63" s="133" t="s">
        <v>24</v>
      </c>
      <c r="K63" s="133" t="s">
        <v>38</v>
      </c>
      <c r="L63" s="132" t="s">
        <v>275</v>
      </c>
      <c r="M63" s="208" t="s">
        <v>24</v>
      </c>
      <c r="N63" s="139" t="s">
        <v>281</v>
      </c>
      <c r="O63" s="43"/>
      <c r="P63" s="42"/>
      <c r="Q63" s="259">
        <f>1</f>
        <v>1</v>
      </c>
      <c r="R63" s="130"/>
      <c r="T63" s="405" t="s">
        <v>33</v>
      </c>
      <c r="U63" s="137"/>
      <c r="X63" s="262">
        <v>8</v>
      </c>
      <c r="Y63" s="262">
        <f t="shared" si="8"/>
        <v>8</v>
      </c>
      <c r="Z63" s="130">
        <f>IF(T63="yes",Y63,"")</f>
        <v>8</v>
      </c>
    </row>
    <row r="64" spans="1:26" s="136" customFormat="1" ht="153">
      <c r="A64" s="90"/>
      <c r="B64" s="223" t="s">
        <v>282</v>
      </c>
      <c r="C64" s="234" t="s">
        <v>283</v>
      </c>
      <c r="D64" s="140" t="s">
        <v>284</v>
      </c>
      <c r="E64" s="133">
        <f>LEN(D64)</f>
        <v>163</v>
      </c>
      <c r="F64" s="393" t="s">
        <v>285</v>
      </c>
      <c r="G64" s="133">
        <f>LEN(F64)</f>
        <v>185</v>
      </c>
      <c r="H64" s="135" t="s">
        <v>37</v>
      </c>
      <c r="I64" s="133" t="s">
        <v>24</v>
      </c>
      <c r="J64" s="133" t="s">
        <v>24</v>
      </c>
      <c r="K64" s="133" t="s">
        <v>38</v>
      </c>
      <c r="L64" s="132" t="s">
        <v>275</v>
      </c>
      <c r="M64" s="208" t="s">
        <v>24</v>
      </c>
      <c r="N64" s="139" t="s">
        <v>286</v>
      </c>
      <c r="O64" s="43"/>
      <c r="P64" s="42"/>
      <c r="Q64" s="259">
        <f>1</f>
        <v>1</v>
      </c>
      <c r="R64" s="130"/>
      <c r="T64" s="405" t="s">
        <v>33</v>
      </c>
      <c r="U64" s="137"/>
      <c r="X64" s="262">
        <v>8</v>
      </c>
      <c r="Y64" s="262">
        <f t="shared" si="8"/>
        <v>8</v>
      </c>
      <c r="Z64" s="130">
        <f>IF(T64="yes",Y64,"")</f>
        <v>8</v>
      </c>
    </row>
    <row r="65" spans="1:16370" s="136" customFormat="1">
      <c r="A65" s="90"/>
      <c r="B65" s="251"/>
      <c r="C65" s="256"/>
      <c r="D65" s="257"/>
      <c r="E65" s="96"/>
      <c r="G65" s="96"/>
      <c r="H65" s="91"/>
      <c r="I65" s="96"/>
      <c r="J65" s="96"/>
      <c r="K65" s="96"/>
      <c r="L65" s="78"/>
      <c r="M65" s="51"/>
      <c r="N65" s="162"/>
      <c r="O65" s="162"/>
      <c r="P65" s="42"/>
      <c r="Q65" s="264">
        <f>1</f>
        <v>1</v>
      </c>
      <c r="R65" s="130"/>
      <c r="T65" s="138"/>
      <c r="U65" s="137"/>
      <c r="X65" s="263"/>
      <c r="Y65" s="263" t="str">
        <f t="shared" si="8"/>
        <v/>
      </c>
      <c r="Z65" s="130" t="str">
        <f t="shared" si="3"/>
        <v/>
      </c>
    </row>
    <row r="66" spans="1:16370" s="136" customFormat="1" ht="135.94999999999999">
      <c r="A66" s="6">
        <v>19</v>
      </c>
      <c r="B66" s="224" t="s">
        <v>287</v>
      </c>
      <c r="C66" s="9" t="s">
        <v>287</v>
      </c>
      <c r="D66" s="14" t="s">
        <v>288</v>
      </c>
      <c r="E66" s="12">
        <f>LEN(D66)</f>
        <v>233</v>
      </c>
      <c r="F66" s="424" t="s">
        <v>289</v>
      </c>
      <c r="G66" s="12">
        <f>LEN(F66)</f>
        <v>263</v>
      </c>
      <c r="H66" s="12" t="s">
        <v>127</v>
      </c>
      <c r="I66" s="12" t="s">
        <v>24</v>
      </c>
      <c r="J66" s="12" t="s">
        <v>24</v>
      </c>
      <c r="K66" s="12" t="s">
        <v>27</v>
      </c>
      <c r="L66" s="23" t="s">
        <v>290</v>
      </c>
      <c r="M66" s="72" t="s">
        <v>24</v>
      </c>
      <c r="N66" s="349" t="s">
        <v>291</v>
      </c>
      <c r="O66" s="24"/>
      <c r="P66" s="579" t="s">
        <v>292</v>
      </c>
      <c r="Q66" s="264">
        <f>1</f>
        <v>1</v>
      </c>
      <c r="R66" s="130"/>
      <c r="T66" s="138" t="s">
        <v>23</v>
      </c>
      <c r="U66" s="137"/>
      <c r="X66" s="263">
        <v>31.963766098022461</v>
      </c>
      <c r="Y66" s="263">
        <f t="shared" si="8"/>
        <v>31.963766098022461</v>
      </c>
      <c r="Z66" s="130" t="str">
        <f t="shared" si="3"/>
        <v/>
      </c>
    </row>
    <row r="67" spans="1:16370" s="136" customFormat="1" ht="135.94999999999999">
      <c r="A67" s="6">
        <v>19</v>
      </c>
      <c r="B67" s="224" t="s">
        <v>293</v>
      </c>
      <c r="C67" s="233" t="s">
        <v>293</v>
      </c>
      <c r="D67" s="14" t="s">
        <v>294</v>
      </c>
      <c r="E67" s="12">
        <f>LEN(D67)</f>
        <v>253</v>
      </c>
      <c r="F67" s="425" t="s">
        <v>295</v>
      </c>
      <c r="G67" s="12">
        <f>LEN(F67)</f>
        <v>285</v>
      </c>
      <c r="H67" s="25" t="s">
        <v>37</v>
      </c>
      <c r="I67" s="8" t="s">
        <v>24</v>
      </c>
      <c r="J67" s="8" t="s">
        <v>24</v>
      </c>
      <c r="K67" s="8" t="s">
        <v>38</v>
      </c>
      <c r="L67" s="26" t="s">
        <v>296</v>
      </c>
      <c r="M67" s="72" t="s">
        <v>24</v>
      </c>
      <c r="N67" s="338" t="s">
        <v>297</v>
      </c>
      <c r="O67" s="27"/>
      <c r="P67" s="580"/>
      <c r="Q67" s="264">
        <f>1</f>
        <v>1</v>
      </c>
      <c r="R67" s="130"/>
      <c r="T67" s="138" t="s">
        <v>23</v>
      </c>
      <c r="U67" s="137"/>
      <c r="X67" s="263">
        <v>2.2273674011230469</v>
      </c>
      <c r="Y67" s="263">
        <f t="shared" si="8"/>
        <v>2.2273674011230469</v>
      </c>
      <c r="Z67" s="130" t="str">
        <f t="shared" si="3"/>
        <v/>
      </c>
    </row>
    <row r="68" spans="1:16370" s="136" customFormat="1" ht="170.1">
      <c r="A68" s="49">
        <v>18</v>
      </c>
      <c r="B68" s="352" t="s">
        <v>298</v>
      </c>
      <c r="C68" s="353" t="s">
        <v>298</v>
      </c>
      <c r="D68" s="48" t="s">
        <v>299</v>
      </c>
      <c r="E68" s="8">
        <f>LEN(D68)</f>
        <v>181</v>
      </c>
      <c r="F68" s="425" t="s">
        <v>300</v>
      </c>
      <c r="G68" s="12">
        <f>LEN(F68)</f>
        <v>193</v>
      </c>
      <c r="H68" s="9" t="s">
        <v>37</v>
      </c>
      <c r="I68" s="8" t="s">
        <v>24</v>
      </c>
      <c r="J68" s="8" t="s">
        <v>24</v>
      </c>
      <c r="K68" s="8" t="s">
        <v>38</v>
      </c>
      <c r="L68" s="26" t="s">
        <v>301</v>
      </c>
      <c r="M68" s="72" t="s">
        <v>24</v>
      </c>
      <c r="N68" s="337" t="s">
        <v>302</v>
      </c>
      <c r="O68" s="337"/>
      <c r="P68" s="42"/>
      <c r="Q68" s="264">
        <f>1</f>
        <v>1</v>
      </c>
      <c r="R68" s="130"/>
      <c r="T68" s="138" t="s">
        <v>23</v>
      </c>
      <c r="U68" s="137"/>
      <c r="X68" s="263">
        <v>4.7874016761779785</v>
      </c>
      <c r="Y68" s="263">
        <f t="shared" si="8"/>
        <v>4.7874016761779785</v>
      </c>
      <c r="Z68" s="130" t="str">
        <f t="shared" si="3"/>
        <v/>
      </c>
    </row>
    <row r="69" spans="1:16370" s="136" customFormat="1" ht="153">
      <c r="A69" s="336"/>
      <c r="B69" s="229" t="s">
        <v>303</v>
      </c>
      <c r="C69" s="233" t="s">
        <v>303</v>
      </c>
      <c r="D69" s="29" t="s">
        <v>304</v>
      </c>
      <c r="E69" s="16">
        <f>LEN(D69)</f>
        <v>215</v>
      </c>
      <c r="F69" s="424" t="s">
        <v>305</v>
      </c>
      <c r="G69" s="12">
        <f>LEN(F69)</f>
        <v>258</v>
      </c>
      <c r="H69" s="28" t="s">
        <v>37</v>
      </c>
      <c r="I69" s="12" t="s">
        <v>24</v>
      </c>
      <c r="J69" s="12" t="s">
        <v>24</v>
      </c>
      <c r="K69" s="12" t="s">
        <v>38</v>
      </c>
      <c r="L69" s="14" t="s">
        <v>306</v>
      </c>
      <c r="M69" s="72" t="s">
        <v>24</v>
      </c>
      <c r="N69" s="23" t="s">
        <v>307</v>
      </c>
      <c r="O69" s="335"/>
      <c r="P69" s="2"/>
      <c r="Q69" s="264">
        <f>1</f>
        <v>1</v>
      </c>
      <c r="R69" s="130"/>
      <c r="S69" s="594"/>
      <c r="T69" s="138" t="s">
        <v>23</v>
      </c>
      <c r="U69" s="137"/>
      <c r="V69" s="594"/>
      <c r="W69" s="594"/>
      <c r="X69" s="263">
        <v>20.918367385864258</v>
      </c>
      <c r="Y69" s="263">
        <f t="shared" si="8"/>
        <v>20.918367385864258</v>
      </c>
      <c r="Z69" s="130" t="str">
        <f t="shared" si="3"/>
        <v/>
      </c>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594"/>
      <c r="BC69" s="594"/>
      <c r="BD69" s="594"/>
      <c r="BE69" s="594"/>
      <c r="BF69" s="594"/>
      <c r="BG69" s="594"/>
      <c r="BH69" s="594"/>
      <c r="BI69" s="594"/>
      <c r="BJ69" s="594"/>
      <c r="BK69" s="594"/>
      <c r="BL69" s="594"/>
      <c r="BM69" s="594"/>
      <c r="BN69" s="594"/>
      <c r="BO69" s="594"/>
      <c r="BP69" s="594"/>
      <c r="BQ69" s="594"/>
      <c r="BR69" s="594"/>
      <c r="BS69" s="594"/>
      <c r="BT69" s="594"/>
      <c r="BU69" s="594"/>
      <c r="BV69" s="594"/>
      <c r="BW69" s="594"/>
      <c r="BX69" s="594"/>
      <c r="BY69" s="594"/>
      <c r="BZ69" s="594"/>
      <c r="CA69" s="594"/>
      <c r="CB69" s="594"/>
      <c r="CC69" s="594"/>
      <c r="CD69" s="594"/>
      <c r="CE69" s="594"/>
      <c r="CF69" s="594"/>
      <c r="CG69" s="594"/>
      <c r="CH69" s="594"/>
      <c r="CI69" s="594"/>
      <c r="CJ69" s="594"/>
      <c r="CK69" s="594"/>
      <c r="CL69" s="594"/>
      <c r="CM69" s="594"/>
      <c r="CN69" s="594"/>
      <c r="CO69" s="594"/>
      <c r="CP69" s="594"/>
      <c r="CQ69" s="594"/>
      <c r="CR69" s="594"/>
      <c r="CS69" s="594"/>
      <c r="CT69" s="594"/>
      <c r="CU69" s="594"/>
      <c r="CV69" s="594"/>
      <c r="CW69" s="594"/>
      <c r="CX69" s="594"/>
      <c r="CY69" s="594"/>
      <c r="CZ69" s="594"/>
      <c r="DA69" s="594"/>
      <c r="DB69" s="594"/>
      <c r="DC69" s="594"/>
      <c r="DD69" s="594"/>
      <c r="DE69" s="594"/>
      <c r="DF69" s="594"/>
      <c r="DG69" s="594"/>
      <c r="DH69" s="594"/>
      <c r="DI69" s="594"/>
      <c r="DJ69" s="594"/>
      <c r="DK69" s="594"/>
      <c r="DL69" s="594"/>
      <c r="DM69" s="594"/>
      <c r="DN69" s="594"/>
      <c r="DO69" s="594"/>
      <c r="DP69" s="594"/>
      <c r="DQ69" s="594"/>
      <c r="DR69" s="594"/>
      <c r="DS69" s="594"/>
      <c r="DT69" s="594"/>
      <c r="DU69" s="594"/>
      <c r="DV69" s="594"/>
      <c r="DW69" s="594"/>
      <c r="DX69" s="594"/>
      <c r="DY69" s="594"/>
      <c r="DZ69" s="594"/>
      <c r="EA69" s="594"/>
      <c r="EB69" s="594"/>
      <c r="EC69" s="594"/>
      <c r="ED69" s="594"/>
      <c r="EE69" s="594"/>
      <c r="EF69" s="594"/>
      <c r="EG69" s="594"/>
      <c r="EH69" s="594"/>
      <c r="EI69" s="594"/>
      <c r="EJ69" s="594"/>
      <c r="EK69" s="594"/>
      <c r="EL69" s="594"/>
      <c r="EM69" s="594"/>
      <c r="EN69" s="594"/>
      <c r="EO69" s="594"/>
      <c r="EP69" s="594"/>
      <c r="EQ69" s="594"/>
      <c r="ER69" s="594"/>
      <c r="ES69" s="594"/>
      <c r="ET69" s="594"/>
      <c r="EU69" s="594"/>
      <c r="EV69" s="594"/>
      <c r="EW69" s="594"/>
      <c r="EX69" s="594"/>
      <c r="EY69" s="594"/>
      <c r="EZ69" s="594"/>
      <c r="FA69" s="594"/>
      <c r="FB69" s="594"/>
      <c r="FC69" s="594"/>
      <c r="FD69" s="594"/>
      <c r="FE69" s="594"/>
      <c r="FF69" s="594"/>
      <c r="FG69" s="594"/>
      <c r="FH69" s="594"/>
      <c r="FI69" s="594"/>
      <c r="FJ69" s="594"/>
      <c r="FK69" s="594"/>
      <c r="FL69" s="594"/>
      <c r="FM69" s="594"/>
      <c r="FN69" s="594"/>
      <c r="FO69" s="594"/>
      <c r="FP69" s="594"/>
      <c r="FQ69" s="594"/>
      <c r="FR69" s="594"/>
      <c r="FS69" s="594"/>
      <c r="FT69" s="594"/>
      <c r="FU69" s="594"/>
      <c r="FV69" s="594"/>
      <c r="FW69" s="594"/>
      <c r="FX69" s="594"/>
      <c r="FY69" s="594"/>
      <c r="FZ69" s="594"/>
      <c r="GA69" s="594"/>
      <c r="GB69" s="594"/>
      <c r="GC69" s="594"/>
      <c r="GD69" s="594"/>
      <c r="GE69" s="594"/>
      <c r="GF69" s="594"/>
      <c r="GG69" s="594"/>
      <c r="GH69" s="594"/>
      <c r="GI69" s="594"/>
      <c r="GJ69" s="594"/>
      <c r="GK69" s="594"/>
      <c r="GL69" s="594"/>
      <c r="GM69" s="594"/>
      <c r="GN69" s="594"/>
      <c r="GO69" s="594"/>
      <c r="GP69" s="594"/>
      <c r="GQ69" s="594"/>
      <c r="GR69" s="594"/>
      <c r="GS69" s="594"/>
      <c r="GT69" s="594"/>
      <c r="GU69" s="594"/>
      <c r="GV69" s="594"/>
      <c r="GW69" s="594"/>
      <c r="GX69" s="594"/>
      <c r="GY69" s="594"/>
      <c r="GZ69" s="594"/>
      <c r="HA69" s="594"/>
      <c r="HB69" s="594"/>
      <c r="HC69" s="594"/>
      <c r="HD69" s="594"/>
      <c r="HE69" s="594"/>
      <c r="HF69" s="594"/>
      <c r="HG69" s="594"/>
      <c r="HH69" s="594"/>
      <c r="HI69" s="594"/>
      <c r="HJ69" s="594"/>
      <c r="HK69" s="594"/>
      <c r="HL69" s="594"/>
      <c r="HM69" s="594"/>
      <c r="HN69" s="594"/>
      <c r="HO69" s="594"/>
      <c r="HP69" s="594"/>
      <c r="HQ69" s="594"/>
      <c r="HR69" s="594"/>
      <c r="HS69" s="594"/>
      <c r="HT69" s="594"/>
      <c r="HU69" s="594"/>
      <c r="HV69" s="594"/>
      <c r="HW69" s="594"/>
      <c r="HX69" s="594"/>
      <c r="HY69" s="594"/>
      <c r="HZ69" s="594"/>
      <c r="IA69" s="594"/>
      <c r="IB69" s="594"/>
      <c r="IC69" s="594"/>
      <c r="ID69" s="594"/>
      <c r="IE69" s="594"/>
      <c r="IF69" s="594"/>
      <c r="IG69" s="594"/>
      <c r="IH69" s="594"/>
      <c r="II69" s="594"/>
      <c r="IJ69" s="594"/>
      <c r="IK69" s="594"/>
      <c r="IL69" s="594"/>
      <c r="IM69" s="594"/>
      <c r="IN69" s="594"/>
      <c r="IO69" s="594"/>
      <c r="IP69" s="594"/>
      <c r="IQ69" s="594"/>
      <c r="IR69" s="594"/>
      <c r="IS69" s="594"/>
      <c r="IT69" s="594"/>
      <c r="IU69" s="594"/>
      <c r="IV69" s="594"/>
      <c r="IW69" s="594"/>
      <c r="IX69" s="594"/>
      <c r="IY69" s="594"/>
      <c r="IZ69" s="594"/>
      <c r="JA69" s="594"/>
      <c r="JB69" s="594"/>
      <c r="JC69" s="594"/>
      <c r="JD69" s="594"/>
      <c r="JE69" s="594"/>
      <c r="JF69" s="594"/>
      <c r="JG69" s="594"/>
      <c r="JH69" s="594"/>
      <c r="JI69" s="594"/>
      <c r="JJ69" s="594"/>
      <c r="JK69" s="594"/>
      <c r="JL69" s="594"/>
      <c r="JM69" s="594"/>
      <c r="JN69" s="594"/>
      <c r="JO69" s="594"/>
      <c r="JP69" s="594"/>
      <c r="JQ69" s="594"/>
      <c r="JR69" s="594"/>
      <c r="JS69" s="594"/>
      <c r="JT69" s="594"/>
      <c r="JU69" s="594"/>
      <c r="JV69" s="594"/>
      <c r="JW69" s="594"/>
      <c r="JX69" s="594"/>
      <c r="JY69" s="594"/>
      <c r="JZ69" s="594"/>
      <c r="KA69" s="594"/>
      <c r="KB69" s="594"/>
      <c r="KC69" s="594"/>
      <c r="KD69" s="594"/>
      <c r="KE69" s="594"/>
      <c r="KF69" s="594"/>
      <c r="KG69" s="594"/>
      <c r="KH69" s="594"/>
      <c r="KI69" s="594"/>
      <c r="KJ69" s="594"/>
      <c r="KK69" s="594"/>
      <c r="KL69" s="594"/>
      <c r="KM69" s="594"/>
      <c r="KN69" s="594"/>
      <c r="KO69" s="594"/>
      <c r="KP69" s="594"/>
      <c r="KQ69" s="594"/>
      <c r="KR69" s="594"/>
      <c r="KS69" s="594"/>
      <c r="KT69" s="594"/>
      <c r="KU69" s="594"/>
      <c r="KV69" s="594"/>
      <c r="KW69" s="594"/>
      <c r="KX69" s="594"/>
      <c r="KY69" s="594"/>
      <c r="KZ69" s="594"/>
      <c r="LA69" s="594"/>
      <c r="LB69" s="594"/>
      <c r="LC69" s="594"/>
      <c r="LD69" s="594"/>
      <c r="LE69" s="594"/>
      <c r="LF69" s="594"/>
      <c r="LG69" s="594"/>
      <c r="LH69" s="594"/>
      <c r="LI69" s="594"/>
      <c r="LJ69" s="594"/>
      <c r="LK69" s="594"/>
      <c r="LL69" s="594"/>
      <c r="LM69" s="594"/>
      <c r="LN69" s="594"/>
      <c r="LO69" s="594"/>
      <c r="LP69" s="594"/>
      <c r="LQ69" s="594"/>
      <c r="LR69" s="594"/>
      <c r="LS69" s="594"/>
      <c r="LT69" s="594"/>
      <c r="LU69" s="594"/>
      <c r="LV69" s="594"/>
      <c r="LW69" s="594"/>
      <c r="LX69" s="594"/>
      <c r="LY69" s="594"/>
      <c r="LZ69" s="594"/>
      <c r="MA69" s="594"/>
      <c r="MB69" s="594"/>
      <c r="MC69" s="594"/>
      <c r="MD69" s="594"/>
      <c r="ME69" s="594"/>
      <c r="MF69" s="594"/>
      <c r="MG69" s="594"/>
      <c r="MH69" s="594"/>
      <c r="MI69" s="594"/>
      <c r="MJ69" s="594"/>
      <c r="MK69" s="594"/>
      <c r="ML69" s="594"/>
      <c r="MM69" s="594"/>
      <c r="MN69" s="594"/>
      <c r="MO69" s="594"/>
      <c r="MP69" s="594"/>
      <c r="MQ69" s="594"/>
      <c r="MR69" s="594"/>
      <c r="MS69" s="594"/>
      <c r="MT69" s="594"/>
      <c r="MU69" s="594"/>
      <c r="MV69" s="594"/>
      <c r="MW69" s="594"/>
      <c r="MX69" s="594"/>
      <c r="MY69" s="594"/>
      <c r="MZ69" s="594"/>
      <c r="NA69" s="594"/>
      <c r="NB69" s="594"/>
      <c r="NC69" s="594"/>
      <c r="ND69" s="594"/>
      <c r="NE69" s="594"/>
      <c r="NF69" s="594"/>
      <c r="NG69" s="594"/>
      <c r="NH69" s="594"/>
      <c r="NI69" s="594"/>
      <c r="NJ69" s="594"/>
      <c r="NK69" s="594"/>
      <c r="NL69" s="594"/>
      <c r="NM69" s="594"/>
      <c r="NN69" s="594"/>
      <c r="NO69" s="594"/>
      <c r="NP69" s="594"/>
      <c r="NQ69" s="594"/>
      <c r="NR69" s="594"/>
      <c r="NS69" s="594"/>
      <c r="NT69" s="594"/>
      <c r="NU69" s="594"/>
      <c r="NV69" s="594"/>
      <c r="NW69" s="594"/>
      <c r="NX69" s="594"/>
      <c r="NY69" s="594"/>
      <c r="NZ69" s="594"/>
      <c r="OA69" s="594"/>
      <c r="OB69" s="594"/>
      <c r="OC69" s="594"/>
      <c r="OD69" s="594"/>
      <c r="OE69" s="594"/>
      <c r="OF69" s="594"/>
      <c r="OG69" s="594"/>
      <c r="OH69" s="594"/>
      <c r="OI69" s="594"/>
      <c r="OJ69" s="594"/>
      <c r="OK69" s="594"/>
      <c r="OL69" s="594"/>
      <c r="OM69" s="594"/>
      <c r="ON69" s="594"/>
      <c r="OO69" s="594"/>
      <c r="OP69" s="594"/>
      <c r="OQ69" s="594"/>
      <c r="OR69" s="594"/>
      <c r="OS69" s="594"/>
      <c r="OT69" s="594"/>
      <c r="OU69" s="594"/>
      <c r="OV69" s="594"/>
      <c r="OW69" s="594"/>
      <c r="OX69" s="594"/>
      <c r="OY69" s="594"/>
      <c r="OZ69" s="594"/>
      <c r="PA69" s="594"/>
      <c r="PB69" s="594"/>
      <c r="PC69" s="594"/>
      <c r="PD69" s="594"/>
      <c r="PE69" s="594"/>
      <c r="PF69" s="594"/>
      <c r="PG69" s="594"/>
      <c r="PH69" s="594"/>
      <c r="PI69" s="594"/>
      <c r="PJ69" s="594"/>
      <c r="PK69" s="594"/>
      <c r="PL69" s="594"/>
      <c r="PM69" s="594"/>
      <c r="PN69" s="594"/>
      <c r="PO69" s="594"/>
      <c r="PP69" s="594"/>
      <c r="PQ69" s="594"/>
      <c r="PR69" s="594"/>
      <c r="PS69" s="594"/>
      <c r="PT69" s="594"/>
      <c r="PU69" s="594"/>
      <c r="PV69" s="594"/>
      <c r="PW69" s="594"/>
      <c r="PX69" s="594"/>
      <c r="PY69" s="594"/>
      <c r="PZ69" s="594"/>
      <c r="QA69" s="594"/>
      <c r="QB69" s="594"/>
      <c r="QC69" s="594"/>
      <c r="QD69" s="594"/>
      <c r="QE69" s="594"/>
      <c r="QF69" s="594"/>
      <c r="QG69" s="594"/>
      <c r="QH69" s="594"/>
      <c r="QI69" s="594"/>
      <c r="QJ69" s="594"/>
      <c r="QK69" s="594"/>
      <c r="QL69" s="594"/>
      <c r="QM69" s="594"/>
      <c r="QN69" s="594"/>
      <c r="QO69" s="594"/>
      <c r="QP69" s="594"/>
      <c r="QQ69" s="594"/>
      <c r="QR69" s="594"/>
      <c r="QS69" s="594"/>
      <c r="QT69" s="594"/>
      <c r="QU69" s="594"/>
      <c r="QV69" s="594"/>
      <c r="QW69" s="594"/>
      <c r="QX69" s="594"/>
      <c r="QY69" s="594"/>
      <c r="QZ69" s="594"/>
      <c r="RA69" s="594"/>
      <c r="RB69" s="594"/>
      <c r="RC69" s="594"/>
      <c r="RD69" s="594"/>
      <c r="RE69" s="594"/>
      <c r="RF69" s="594"/>
      <c r="RG69" s="594"/>
      <c r="RH69" s="594"/>
      <c r="RI69" s="594"/>
      <c r="RJ69" s="594"/>
      <c r="RK69" s="594"/>
      <c r="RL69" s="594"/>
      <c r="RM69" s="594"/>
      <c r="RN69" s="594"/>
      <c r="RO69" s="594"/>
      <c r="RP69" s="594"/>
      <c r="RQ69" s="594"/>
      <c r="RR69" s="594"/>
      <c r="RS69" s="594"/>
      <c r="RT69" s="594"/>
      <c r="RU69" s="594"/>
      <c r="RV69" s="594"/>
      <c r="RW69" s="594"/>
      <c r="RX69" s="594"/>
      <c r="RY69" s="594"/>
      <c r="RZ69" s="594"/>
      <c r="SA69" s="594"/>
      <c r="SB69" s="594"/>
      <c r="SC69" s="594"/>
      <c r="SD69" s="594"/>
      <c r="SE69" s="594"/>
      <c r="SF69" s="594"/>
      <c r="SG69" s="594"/>
      <c r="SH69" s="594"/>
      <c r="SI69" s="594"/>
      <c r="SJ69" s="594"/>
      <c r="SK69" s="594"/>
      <c r="SL69" s="594"/>
      <c r="SM69" s="594"/>
      <c r="SN69" s="594"/>
      <c r="SO69" s="594"/>
      <c r="SP69" s="594"/>
      <c r="SQ69" s="594"/>
      <c r="SR69" s="594"/>
      <c r="SS69" s="594"/>
      <c r="ST69" s="594"/>
      <c r="SU69" s="594"/>
      <c r="SV69" s="594"/>
      <c r="SW69" s="594"/>
      <c r="SX69" s="594"/>
      <c r="SY69" s="594"/>
      <c r="SZ69" s="594"/>
      <c r="TA69" s="594"/>
      <c r="TB69" s="594"/>
      <c r="TC69" s="594"/>
      <c r="TD69" s="594"/>
      <c r="TE69" s="594"/>
      <c r="TF69" s="594"/>
      <c r="TG69" s="594"/>
      <c r="TH69" s="594"/>
      <c r="TI69" s="594"/>
      <c r="TJ69" s="594"/>
      <c r="TK69" s="594"/>
      <c r="TL69" s="594"/>
      <c r="TM69" s="594"/>
      <c r="TN69" s="594"/>
      <c r="TO69" s="594"/>
      <c r="TP69" s="594"/>
      <c r="TQ69" s="594"/>
      <c r="TR69" s="594"/>
      <c r="TS69" s="594"/>
      <c r="TT69" s="594"/>
      <c r="TU69" s="594"/>
      <c r="TV69" s="594"/>
      <c r="TW69" s="594"/>
      <c r="TX69" s="594"/>
      <c r="TY69" s="594"/>
      <c r="TZ69" s="594"/>
      <c r="UA69" s="594"/>
      <c r="UB69" s="594"/>
      <c r="UC69" s="594"/>
      <c r="UD69" s="594"/>
      <c r="UE69" s="594"/>
      <c r="UF69" s="594"/>
      <c r="UG69" s="594"/>
      <c r="UH69" s="594"/>
      <c r="UI69" s="594"/>
      <c r="UJ69" s="594"/>
      <c r="UK69" s="594"/>
      <c r="UL69" s="594"/>
      <c r="UM69" s="594"/>
      <c r="UN69" s="594"/>
      <c r="UO69" s="594"/>
      <c r="UP69" s="594"/>
      <c r="UQ69" s="594"/>
      <c r="UR69" s="594"/>
      <c r="US69" s="594"/>
      <c r="UT69" s="594"/>
      <c r="UU69" s="594"/>
      <c r="UV69" s="594"/>
      <c r="UW69" s="594"/>
      <c r="UX69" s="594"/>
      <c r="UY69" s="594"/>
      <c r="UZ69" s="594"/>
      <c r="VA69" s="594"/>
      <c r="VB69" s="594"/>
      <c r="VC69" s="594"/>
      <c r="VD69" s="594"/>
      <c r="VE69" s="594"/>
      <c r="VF69" s="594"/>
      <c r="VG69" s="594"/>
      <c r="VH69" s="594"/>
      <c r="VI69" s="594"/>
      <c r="VJ69" s="594"/>
      <c r="VK69" s="594"/>
      <c r="VL69" s="594"/>
      <c r="VM69" s="594"/>
      <c r="VN69" s="594"/>
      <c r="VO69" s="594"/>
      <c r="VP69" s="594"/>
      <c r="VQ69" s="594"/>
      <c r="VR69" s="594"/>
      <c r="VS69" s="594"/>
      <c r="VT69" s="594"/>
      <c r="VU69" s="594"/>
      <c r="VV69" s="594"/>
      <c r="VW69" s="594"/>
      <c r="VX69" s="594"/>
      <c r="VY69" s="594"/>
      <c r="VZ69" s="594"/>
      <c r="WA69" s="594"/>
      <c r="WB69" s="594"/>
      <c r="WC69" s="594"/>
      <c r="WD69" s="594"/>
      <c r="WE69" s="594"/>
      <c r="WF69" s="594"/>
      <c r="WG69" s="594"/>
      <c r="WH69" s="594"/>
      <c r="WI69" s="594"/>
      <c r="WJ69" s="594"/>
      <c r="WK69" s="594"/>
      <c r="WL69" s="594"/>
      <c r="WM69" s="594"/>
      <c r="WN69" s="594"/>
      <c r="WO69" s="594"/>
      <c r="WP69" s="594"/>
      <c r="WQ69" s="594"/>
      <c r="WR69" s="594"/>
      <c r="WS69" s="594"/>
      <c r="WT69" s="594"/>
      <c r="WU69" s="594"/>
      <c r="WV69" s="594"/>
      <c r="WW69" s="594"/>
      <c r="WX69" s="594"/>
      <c r="WY69" s="594"/>
      <c r="WZ69" s="594"/>
      <c r="XA69" s="594"/>
      <c r="XB69" s="594"/>
      <c r="XC69" s="594"/>
      <c r="XD69" s="594"/>
      <c r="XE69" s="594"/>
      <c r="XF69" s="594"/>
      <c r="XG69" s="594"/>
      <c r="XH69" s="594"/>
      <c r="XI69" s="594"/>
      <c r="XJ69" s="594"/>
      <c r="XK69" s="594"/>
      <c r="XL69" s="594"/>
      <c r="XM69" s="594"/>
      <c r="XN69" s="594"/>
      <c r="XO69" s="594"/>
      <c r="XP69" s="594"/>
      <c r="XQ69" s="594"/>
      <c r="XR69" s="594"/>
      <c r="XS69" s="594"/>
      <c r="XT69" s="594"/>
      <c r="XU69" s="594"/>
      <c r="XV69" s="594"/>
      <c r="XW69" s="594"/>
      <c r="XX69" s="594"/>
      <c r="XY69" s="594"/>
      <c r="XZ69" s="594"/>
      <c r="YA69" s="594"/>
      <c r="YB69" s="594"/>
      <c r="YC69" s="594"/>
      <c r="YD69" s="594"/>
      <c r="YE69" s="594"/>
      <c r="YF69" s="594"/>
      <c r="YG69" s="594"/>
      <c r="YH69" s="594"/>
      <c r="YI69" s="594"/>
      <c r="YJ69" s="594"/>
      <c r="YK69" s="594"/>
      <c r="YL69" s="594"/>
      <c r="YM69" s="594"/>
      <c r="YN69" s="594"/>
      <c r="YO69" s="594"/>
      <c r="YP69" s="594"/>
      <c r="YQ69" s="594"/>
      <c r="YR69" s="594"/>
      <c r="YS69" s="594"/>
      <c r="YT69" s="594"/>
      <c r="YU69" s="594"/>
      <c r="YV69" s="594"/>
      <c r="YW69" s="594"/>
      <c r="YX69" s="594"/>
      <c r="YY69" s="594"/>
      <c r="YZ69" s="594"/>
      <c r="ZA69" s="594"/>
      <c r="ZB69" s="594"/>
      <c r="ZC69" s="594"/>
      <c r="ZD69" s="594"/>
      <c r="ZE69" s="594"/>
      <c r="ZF69" s="594"/>
      <c r="ZG69" s="594"/>
      <c r="ZH69" s="594"/>
      <c r="ZI69" s="594"/>
      <c r="ZJ69" s="594"/>
      <c r="ZK69" s="594"/>
      <c r="ZL69" s="594"/>
      <c r="ZM69" s="594"/>
      <c r="ZN69" s="594"/>
      <c r="ZO69" s="594"/>
      <c r="ZP69" s="594"/>
      <c r="ZQ69" s="594"/>
      <c r="ZR69" s="594"/>
      <c r="ZS69" s="594"/>
      <c r="ZT69" s="594"/>
      <c r="ZU69" s="594"/>
      <c r="ZV69" s="594"/>
      <c r="ZW69" s="594"/>
      <c r="ZX69" s="594"/>
      <c r="ZY69" s="594"/>
      <c r="ZZ69" s="594"/>
      <c r="AAA69" s="594"/>
      <c r="AAB69" s="594"/>
      <c r="AAC69" s="594"/>
      <c r="AAD69" s="594"/>
      <c r="AAE69" s="594"/>
      <c r="AAF69" s="594"/>
      <c r="AAG69" s="594"/>
      <c r="AAH69" s="594"/>
      <c r="AAI69" s="594"/>
      <c r="AAJ69" s="594"/>
      <c r="AAK69" s="594"/>
      <c r="AAL69" s="594"/>
      <c r="AAM69" s="594"/>
      <c r="AAN69" s="594"/>
      <c r="AAO69" s="594"/>
      <c r="AAP69" s="594"/>
      <c r="AAQ69" s="594"/>
      <c r="AAR69" s="594"/>
      <c r="AAS69" s="594"/>
      <c r="AAT69" s="594"/>
      <c r="AAU69" s="594"/>
      <c r="AAV69" s="594"/>
      <c r="AAW69" s="594"/>
      <c r="AAX69" s="594"/>
      <c r="AAY69" s="594"/>
      <c r="AAZ69" s="594"/>
      <c r="ABA69" s="594"/>
      <c r="ABB69" s="594"/>
      <c r="ABC69" s="594"/>
      <c r="ABD69" s="594"/>
      <c r="ABE69" s="594"/>
      <c r="ABF69" s="594"/>
      <c r="ABG69" s="594"/>
      <c r="ABH69" s="594"/>
      <c r="ABI69" s="594"/>
      <c r="ABJ69" s="594"/>
      <c r="ABK69" s="594"/>
      <c r="ABL69" s="594"/>
      <c r="ABM69" s="594"/>
      <c r="ABN69" s="594"/>
      <c r="ABO69" s="594"/>
      <c r="ABP69" s="594"/>
      <c r="ABQ69" s="594"/>
      <c r="ABR69" s="594"/>
      <c r="ABS69" s="594"/>
      <c r="ABT69" s="594"/>
      <c r="ABU69" s="594"/>
      <c r="ABV69" s="594"/>
      <c r="ABW69" s="594"/>
      <c r="ABX69" s="594"/>
      <c r="ABY69" s="594"/>
      <c r="ABZ69" s="594"/>
      <c r="ACA69" s="594"/>
      <c r="ACB69" s="594"/>
      <c r="ACC69" s="594"/>
      <c r="ACD69" s="594"/>
      <c r="ACE69" s="594"/>
      <c r="ACF69" s="594"/>
      <c r="ACG69" s="594"/>
      <c r="ACH69" s="594"/>
      <c r="ACI69" s="594"/>
      <c r="ACJ69" s="594"/>
      <c r="ACK69" s="594"/>
      <c r="ACL69" s="594"/>
      <c r="ACM69" s="594"/>
      <c r="ACN69" s="594"/>
      <c r="ACO69" s="594"/>
      <c r="ACP69" s="594"/>
      <c r="ACQ69" s="594"/>
      <c r="ACR69" s="594"/>
      <c r="ACS69" s="594"/>
      <c r="ACT69" s="594"/>
      <c r="ACU69" s="594"/>
      <c r="ACV69" s="594"/>
      <c r="ACW69" s="594"/>
      <c r="ACX69" s="594"/>
      <c r="ACY69" s="594"/>
      <c r="ACZ69" s="594"/>
      <c r="ADA69" s="594"/>
      <c r="ADB69" s="594"/>
      <c r="ADC69" s="594"/>
      <c r="ADD69" s="594"/>
      <c r="ADE69" s="594"/>
      <c r="ADF69" s="594"/>
      <c r="ADG69" s="594"/>
      <c r="ADH69" s="594"/>
      <c r="ADI69" s="594"/>
      <c r="ADJ69" s="594"/>
      <c r="ADK69" s="594"/>
      <c r="ADL69" s="594"/>
      <c r="ADM69" s="594"/>
      <c r="ADN69" s="594"/>
      <c r="ADO69" s="594"/>
      <c r="ADP69" s="594"/>
      <c r="ADQ69" s="594"/>
      <c r="ADR69" s="594"/>
      <c r="ADS69" s="594"/>
      <c r="ADT69" s="594"/>
      <c r="ADU69" s="594"/>
      <c r="ADV69" s="594"/>
      <c r="ADW69" s="594"/>
      <c r="ADX69" s="594"/>
      <c r="ADY69" s="594"/>
      <c r="ADZ69" s="594"/>
      <c r="AEA69" s="594"/>
      <c r="AEB69" s="594"/>
      <c r="AEC69" s="594"/>
      <c r="AED69" s="594"/>
      <c r="AEE69" s="594"/>
      <c r="AEF69" s="594"/>
      <c r="AEG69" s="594"/>
      <c r="AEH69" s="594"/>
      <c r="AEI69" s="594"/>
      <c r="AEJ69" s="594"/>
      <c r="AEK69" s="594"/>
      <c r="AEL69" s="594"/>
      <c r="AEM69" s="594"/>
      <c r="AEN69" s="594"/>
      <c r="AEO69" s="594"/>
      <c r="AEP69" s="594"/>
      <c r="AEQ69" s="594"/>
      <c r="AER69" s="594"/>
      <c r="AES69" s="594"/>
      <c r="AET69" s="594"/>
      <c r="AEU69" s="594"/>
      <c r="AEV69" s="594"/>
      <c r="AEW69" s="594"/>
      <c r="AEX69" s="594"/>
      <c r="AEY69" s="594"/>
      <c r="AEZ69" s="594"/>
      <c r="AFA69" s="594"/>
      <c r="AFB69" s="594"/>
      <c r="AFC69" s="594"/>
      <c r="AFD69" s="594"/>
      <c r="AFE69" s="594"/>
      <c r="AFF69" s="594"/>
      <c r="AFG69" s="594"/>
      <c r="AFH69" s="594"/>
      <c r="AFI69" s="594"/>
      <c r="AFJ69" s="594"/>
      <c r="AFK69" s="594"/>
      <c r="AFL69" s="594"/>
      <c r="AFM69" s="594"/>
      <c r="AFN69" s="594"/>
      <c r="AFO69" s="594"/>
      <c r="AFP69" s="594"/>
      <c r="AFQ69" s="594"/>
      <c r="AFR69" s="594"/>
      <c r="AFS69" s="594"/>
      <c r="AFT69" s="594"/>
      <c r="AFU69" s="594"/>
      <c r="AFV69" s="594"/>
      <c r="AFW69" s="594"/>
      <c r="AFX69" s="594"/>
      <c r="AFY69" s="594"/>
      <c r="AFZ69" s="594"/>
      <c r="AGA69" s="594"/>
      <c r="AGB69" s="594"/>
      <c r="AGC69" s="594"/>
      <c r="AGD69" s="594"/>
      <c r="AGE69" s="594"/>
      <c r="AGF69" s="594"/>
      <c r="AGG69" s="594"/>
      <c r="AGH69" s="594"/>
      <c r="AGI69" s="594"/>
      <c r="AGJ69" s="594"/>
      <c r="AGK69" s="594"/>
      <c r="AGL69" s="594"/>
      <c r="AGM69" s="594"/>
      <c r="AGN69" s="594"/>
      <c r="AGO69" s="594"/>
      <c r="AGP69" s="594"/>
      <c r="AGQ69" s="594"/>
      <c r="AGR69" s="594"/>
      <c r="AGS69" s="594"/>
      <c r="AGT69" s="594"/>
      <c r="AGU69" s="594"/>
      <c r="AGV69" s="594"/>
      <c r="AGW69" s="594"/>
      <c r="AGX69" s="594"/>
      <c r="AGY69" s="594"/>
      <c r="AGZ69" s="594"/>
      <c r="AHA69" s="594"/>
      <c r="AHB69" s="594"/>
      <c r="AHC69" s="594"/>
      <c r="AHD69" s="594"/>
      <c r="AHE69" s="594"/>
      <c r="AHF69" s="594"/>
      <c r="AHG69" s="594"/>
      <c r="AHH69" s="594"/>
      <c r="AHI69" s="594"/>
      <c r="AHJ69" s="594"/>
      <c r="AHK69" s="594"/>
      <c r="AHL69" s="594"/>
      <c r="AHM69" s="594"/>
      <c r="AHN69" s="594"/>
      <c r="AHO69" s="594"/>
      <c r="AHP69" s="594"/>
      <c r="AHQ69" s="594"/>
      <c r="AHR69" s="594"/>
      <c r="AHS69" s="594"/>
      <c r="AHT69" s="594"/>
      <c r="AHU69" s="594"/>
      <c r="AHV69" s="594"/>
      <c r="AHW69" s="594"/>
      <c r="AHX69" s="594"/>
      <c r="AHY69" s="594"/>
      <c r="AHZ69" s="594"/>
      <c r="AIA69" s="594"/>
      <c r="AIB69" s="594"/>
      <c r="AIC69" s="594"/>
      <c r="AID69" s="594"/>
      <c r="AIE69" s="594"/>
      <c r="AIF69" s="594"/>
      <c r="AIG69" s="594"/>
      <c r="AIH69" s="594"/>
      <c r="AII69" s="594"/>
      <c r="AIJ69" s="594"/>
      <c r="AIK69" s="594"/>
      <c r="AIL69" s="594"/>
      <c r="AIM69" s="594"/>
      <c r="AIN69" s="594"/>
      <c r="AIO69" s="594"/>
      <c r="AIP69" s="594"/>
      <c r="AIQ69" s="594"/>
      <c r="AIR69" s="594"/>
      <c r="AIS69" s="594"/>
      <c r="AIT69" s="594"/>
      <c r="AIU69" s="594"/>
      <c r="AIV69" s="594"/>
      <c r="AIW69" s="594"/>
      <c r="AIX69" s="594"/>
      <c r="AIY69" s="594"/>
      <c r="AIZ69" s="594"/>
      <c r="AJA69" s="594"/>
      <c r="AJB69" s="594"/>
      <c r="AJC69" s="594"/>
      <c r="AJD69" s="594"/>
      <c r="AJE69" s="594"/>
      <c r="AJF69" s="594"/>
      <c r="AJG69" s="594"/>
      <c r="AJH69" s="594"/>
      <c r="AJI69" s="594"/>
      <c r="AJJ69" s="594"/>
      <c r="AJK69" s="594"/>
      <c r="AJL69" s="594"/>
      <c r="AJM69" s="594"/>
      <c r="AJN69" s="594"/>
      <c r="AJO69" s="594"/>
      <c r="AJP69" s="594"/>
      <c r="AJQ69" s="594"/>
      <c r="AJR69" s="594"/>
      <c r="AJS69" s="594"/>
      <c r="AJT69" s="594"/>
      <c r="AJU69" s="594"/>
      <c r="AJV69" s="594"/>
      <c r="AJW69" s="594"/>
      <c r="AJX69" s="594"/>
      <c r="AJY69" s="594"/>
      <c r="AJZ69" s="594"/>
      <c r="AKA69" s="594"/>
      <c r="AKB69" s="594"/>
      <c r="AKC69" s="594"/>
      <c r="AKD69" s="594"/>
      <c r="AKE69" s="594"/>
      <c r="AKF69" s="594"/>
      <c r="AKG69" s="594"/>
      <c r="AKH69" s="594"/>
      <c r="AKI69" s="594"/>
      <c r="AKJ69" s="594"/>
      <c r="AKK69" s="594"/>
      <c r="AKL69" s="594"/>
      <c r="AKM69" s="594"/>
      <c r="AKN69" s="594"/>
      <c r="AKO69" s="594"/>
      <c r="AKP69" s="594"/>
      <c r="AKQ69" s="594"/>
      <c r="AKR69" s="594"/>
      <c r="AKS69" s="594"/>
      <c r="AKT69" s="594"/>
      <c r="AKU69" s="594"/>
      <c r="AKV69" s="594"/>
      <c r="AKW69" s="594"/>
      <c r="AKX69" s="594"/>
      <c r="AKY69" s="594"/>
      <c r="AKZ69" s="594"/>
      <c r="ALA69" s="594"/>
      <c r="ALB69" s="594"/>
      <c r="ALC69" s="594"/>
      <c r="ALD69" s="594"/>
      <c r="ALE69" s="594"/>
      <c r="ALF69" s="594"/>
      <c r="ALG69" s="594"/>
      <c r="ALH69" s="594"/>
      <c r="ALI69" s="594"/>
      <c r="ALJ69" s="594"/>
      <c r="ALK69" s="594"/>
      <c r="ALL69" s="594"/>
      <c r="ALM69" s="594"/>
      <c r="ALN69" s="594"/>
      <c r="ALO69" s="594"/>
      <c r="ALP69" s="594"/>
      <c r="ALQ69" s="594"/>
      <c r="ALR69" s="594"/>
      <c r="ALS69" s="594"/>
      <c r="ALT69" s="594"/>
      <c r="ALU69" s="594"/>
      <c r="ALV69" s="594"/>
      <c r="ALW69" s="594"/>
      <c r="ALX69" s="594"/>
      <c r="ALY69" s="594"/>
      <c r="ALZ69" s="594"/>
      <c r="AMA69" s="594"/>
      <c r="AMB69" s="594"/>
      <c r="AMC69" s="594"/>
      <c r="AMD69" s="594"/>
      <c r="AME69" s="594"/>
      <c r="AMF69" s="594"/>
      <c r="AMG69" s="594"/>
      <c r="AMH69" s="594"/>
      <c r="AMI69" s="594"/>
      <c r="AMJ69" s="594"/>
      <c r="AMK69" s="594"/>
      <c r="AML69" s="594"/>
      <c r="AMM69" s="594"/>
      <c r="AMN69" s="594"/>
      <c r="AMO69" s="594"/>
      <c r="AMP69" s="594"/>
      <c r="AMQ69" s="594"/>
      <c r="AMR69" s="594"/>
      <c r="AMS69" s="594"/>
      <c r="AMT69" s="594"/>
      <c r="AMU69" s="594"/>
      <c r="AMV69" s="594"/>
      <c r="AMW69" s="594"/>
      <c r="AMX69" s="594"/>
      <c r="AMY69" s="594"/>
      <c r="AMZ69" s="594"/>
      <c r="ANA69" s="594"/>
      <c r="ANB69" s="594"/>
      <c r="ANC69" s="594"/>
      <c r="AND69" s="594"/>
      <c r="ANE69" s="594"/>
      <c r="ANF69" s="594"/>
      <c r="ANG69" s="594"/>
      <c r="ANH69" s="594"/>
      <c r="ANI69" s="594"/>
      <c r="ANJ69" s="594"/>
      <c r="ANK69" s="594"/>
      <c r="ANL69" s="594"/>
      <c r="ANM69" s="594"/>
      <c r="ANN69" s="594"/>
      <c r="ANO69" s="594"/>
      <c r="ANP69" s="594"/>
      <c r="ANQ69" s="594"/>
      <c r="ANR69" s="594"/>
      <c r="ANS69" s="594"/>
      <c r="ANT69" s="594"/>
      <c r="ANU69" s="594"/>
      <c r="ANV69" s="594"/>
      <c r="ANW69" s="594"/>
      <c r="ANX69" s="594"/>
      <c r="ANY69" s="594"/>
      <c r="ANZ69" s="594"/>
      <c r="AOA69" s="594"/>
      <c r="AOB69" s="594"/>
      <c r="AOC69" s="594"/>
      <c r="AOD69" s="594"/>
      <c r="AOE69" s="594"/>
      <c r="AOF69" s="594"/>
      <c r="AOG69" s="594"/>
      <c r="AOH69" s="594"/>
      <c r="AOI69" s="594"/>
      <c r="AOJ69" s="594"/>
      <c r="AOK69" s="594"/>
      <c r="AOL69" s="594"/>
      <c r="AOM69" s="594"/>
      <c r="AON69" s="594"/>
      <c r="AOO69" s="594"/>
      <c r="AOP69" s="594"/>
      <c r="AOQ69" s="594"/>
      <c r="AOR69" s="594"/>
      <c r="AOS69" s="594"/>
      <c r="AOT69" s="594"/>
      <c r="AOU69" s="594"/>
      <c r="AOV69" s="594"/>
      <c r="AOW69" s="594"/>
      <c r="AOX69" s="594"/>
      <c r="AOY69" s="594"/>
      <c r="AOZ69" s="594"/>
      <c r="APA69" s="594"/>
      <c r="APB69" s="594"/>
      <c r="APC69" s="594"/>
      <c r="APD69" s="594"/>
      <c r="APE69" s="594"/>
      <c r="APF69" s="594"/>
      <c r="APG69" s="594"/>
      <c r="APH69" s="594"/>
      <c r="API69" s="594"/>
      <c r="APJ69" s="594"/>
      <c r="APK69" s="594"/>
      <c r="APL69" s="594"/>
      <c r="APM69" s="594"/>
      <c r="APN69" s="594"/>
      <c r="APO69" s="594"/>
      <c r="APP69" s="594"/>
      <c r="APQ69" s="594"/>
      <c r="APR69" s="594"/>
      <c r="APS69" s="594"/>
      <c r="APT69" s="594"/>
      <c r="APU69" s="594"/>
      <c r="APV69" s="594"/>
      <c r="APW69" s="594"/>
      <c r="APX69" s="594"/>
      <c r="APY69" s="594"/>
      <c r="APZ69" s="594"/>
      <c r="AQA69" s="594"/>
      <c r="AQB69" s="594"/>
      <c r="AQC69" s="594"/>
      <c r="AQD69" s="594"/>
      <c r="AQE69" s="594"/>
      <c r="AQF69" s="594"/>
      <c r="AQG69" s="594"/>
      <c r="AQH69" s="594"/>
      <c r="AQI69" s="594"/>
      <c r="AQJ69" s="594"/>
      <c r="AQK69" s="594"/>
      <c r="AQL69" s="594"/>
      <c r="AQM69" s="594"/>
      <c r="AQN69" s="594"/>
      <c r="AQO69" s="594"/>
      <c r="AQP69" s="594"/>
      <c r="AQQ69" s="594"/>
      <c r="AQR69" s="594"/>
      <c r="AQS69" s="594"/>
      <c r="AQT69" s="594"/>
      <c r="AQU69" s="594"/>
      <c r="AQV69" s="594"/>
      <c r="AQW69" s="594"/>
      <c r="AQX69" s="594"/>
      <c r="AQY69" s="594"/>
      <c r="AQZ69" s="594"/>
      <c r="ARA69" s="594"/>
      <c r="ARB69" s="594"/>
      <c r="ARC69" s="594"/>
      <c r="ARD69" s="594"/>
      <c r="ARE69" s="594"/>
      <c r="ARF69" s="594"/>
      <c r="ARG69" s="594"/>
      <c r="ARH69" s="594"/>
      <c r="ARI69" s="594"/>
      <c r="ARJ69" s="594"/>
      <c r="ARK69" s="594"/>
      <c r="ARL69" s="594"/>
      <c r="ARM69" s="594"/>
      <c r="ARN69" s="594"/>
      <c r="ARO69" s="594"/>
      <c r="ARP69" s="594"/>
      <c r="ARQ69" s="594"/>
      <c r="ARR69" s="594"/>
      <c r="ARS69" s="594"/>
      <c r="ART69" s="594"/>
      <c r="ARU69" s="594"/>
      <c r="ARV69" s="594"/>
      <c r="ARW69" s="594"/>
      <c r="ARX69" s="594"/>
      <c r="ARY69" s="594"/>
      <c r="ARZ69" s="594"/>
      <c r="ASA69" s="594"/>
      <c r="ASB69" s="594"/>
      <c r="ASC69" s="594"/>
      <c r="ASD69" s="594"/>
      <c r="ASE69" s="594"/>
      <c r="ASF69" s="594"/>
      <c r="ASG69" s="594"/>
      <c r="ASH69" s="594"/>
      <c r="ASI69" s="594"/>
      <c r="ASJ69" s="594"/>
      <c r="ASK69" s="594"/>
      <c r="ASL69" s="594"/>
      <c r="ASM69" s="594"/>
      <c r="ASN69" s="594"/>
      <c r="ASO69" s="594"/>
      <c r="ASP69" s="594"/>
      <c r="ASQ69" s="594"/>
      <c r="ASR69" s="594"/>
      <c r="ASS69" s="594"/>
      <c r="AST69" s="594"/>
      <c r="ASU69" s="594"/>
      <c r="ASV69" s="594"/>
      <c r="ASW69" s="594"/>
      <c r="ASX69" s="594"/>
      <c r="ASY69" s="594"/>
      <c r="ASZ69" s="594"/>
      <c r="ATA69" s="594"/>
      <c r="ATB69" s="594"/>
      <c r="ATC69" s="594"/>
      <c r="ATD69" s="594"/>
      <c r="ATE69" s="594"/>
      <c r="ATF69" s="594"/>
      <c r="ATG69" s="594"/>
      <c r="ATH69" s="594"/>
      <c r="ATI69" s="594"/>
      <c r="ATJ69" s="594"/>
      <c r="ATK69" s="594"/>
      <c r="ATL69" s="594"/>
      <c r="ATM69" s="594"/>
      <c r="ATN69" s="594"/>
      <c r="ATO69" s="594"/>
      <c r="ATP69" s="594"/>
      <c r="ATQ69" s="594"/>
      <c r="ATR69" s="594"/>
      <c r="ATS69" s="594"/>
      <c r="ATT69" s="594"/>
      <c r="ATU69" s="594"/>
      <c r="ATV69" s="594"/>
      <c r="ATW69" s="594"/>
      <c r="ATX69" s="594"/>
      <c r="ATY69" s="594"/>
      <c r="ATZ69" s="594"/>
      <c r="AUA69" s="594"/>
      <c r="AUB69" s="594"/>
      <c r="AUC69" s="594"/>
      <c r="AUD69" s="594"/>
      <c r="AUE69" s="594"/>
      <c r="AUF69" s="594"/>
      <c r="AUG69" s="594"/>
      <c r="AUH69" s="594"/>
      <c r="AUI69" s="594"/>
      <c r="AUJ69" s="594"/>
      <c r="AUK69" s="594"/>
      <c r="AUL69" s="594"/>
      <c r="AUM69" s="594"/>
      <c r="AUN69" s="594"/>
      <c r="AUO69" s="594"/>
      <c r="AUP69" s="594"/>
      <c r="AUQ69" s="594"/>
      <c r="AUR69" s="594"/>
      <c r="AUS69" s="594"/>
      <c r="AUT69" s="594"/>
      <c r="AUU69" s="594"/>
      <c r="AUV69" s="594"/>
      <c r="AUW69" s="594"/>
      <c r="AUX69" s="594"/>
      <c r="AUY69" s="594"/>
      <c r="AUZ69" s="594"/>
      <c r="AVA69" s="594"/>
      <c r="AVB69" s="594"/>
      <c r="AVC69" s="594"/>
      <c r="AVD69" s="594"/>
      <c r="AVE69" s="594"/>
      <c r="AVF69" s="594"/>
      <c r="AVG69" s="594"/>
      <c r="AVH69" s="594"/>
      <c r="AVI69" s="594"/>
      <c r="AVJ69" s="594"/>
      <c r="AVK69" s="594"/>
      <c r="AVL69" s="594"/>
      <c r="AVM69" s="594"/>
      <c r="AVN69" s="594"/>
      <c r="AVO69" s="594"/>
      <c r="AVP69" s="594"/>
      <c r="AVQ69" s="594"/>
      <c r="AVR69" s="594"/>
      <c r="AVS69" s="594"/>
      <c r="AVT69" s="594"/>
      <c r="AVU69" s="594"/>
      <c r="AVV69" s="594"/>
      <c r="AVW69" s="594"/>
      <c r="AVX69" s="594"/>
      <c r="AVY69" s="594"/>
      <c r="AVZ69" s="594"/>
      <c r="AWA69" s="594"/>
      <c r="AWB69" s="594"/>
      <c r="AWC69" s="594"/>
      <c r="AWD69" s="594"/>
      <c r="AWE69" s="594"/>
      <c r="AWF69" s="594"/>
      <c r="AWG69" s="594"/>
      <c r="AWH69" s="594"/>
      <c r="AWI69" s="594"/>
      <c r="AWJ69" s="594"/>
      <c r="AWK69" s="594"/>
      <c r="AWL69" s="594"/>
      <c r="AWM69" s="594"/>
      <c r="AWN69" s="594"/>
      <c r="AWO69" s="594"/>
      <c r="AWP69" s="594"/>
      <c r="AWQ69" s="594"/>
      <c r="AWR69" s="594"/>
      <c r="AWS69" s="594"/>
      <c r="AWT69" s="594"/>
      <c r="AWU69" s="594"/>
      <c r="AWV69" s="594"/>
      <c r="AWW69" s="594"/>
      <c r="AWX69" s="594"/>
      <c r="AWY69" s="594"/>
      <c r="AWZ69" s="594"/>
      <c r="AXA69" s="594"/>
      <c r="AXB69" s="594"/>
      <c r="AXC69" s="594"/>
      <c r="AXD69" s="594"/>
      <c r="AXE69" s="594"/>
      <c r="AXF69" s="594"/>
      <c r="AXG69" s="594"/>
      <c r="AXH69" s="594"/>
      <c r="AXI69" s="594"/>
      <c r="AXJ69" s="594"/>
      <c r="AXK69" s="594"/>
      <c r="AXL69" s="594"/>
      <c r="AXM69" s="594"/>
      <c r="AXN69" s="594"/>
      <c r="AXO69" s="594"/>
      <c r="AXP69" s="594"/>
      <c r="AXQ69" s="594"/>
      <c r="AXR69" s="594"/>
      <c r="AXS69" s="594"/>
      <c r="AXT69" s="594"/>
      <c r="AXU69" s="594"/>
      <c r="AXV69" s="594"/>
      <c r="AXW69" s="594"/>
      <c r="AXX69" s="594"/>
      <c r="AXY69" s="594"/>
      <c r="AXZ69" s="594"/>
      <c r="AYA69" s="594"/>
      <c r="AYB69" s="594"/>
      <c r="AYC69" s="594"/>
      <c r="AYD69" s="594"/>
      <c r="AYE69" s="594"/>
      <c r="AYF69" s="594"/>
      <c r="AYG69" s="594"/>
      <c r="AYH69" s="594"/>
      <c r="AYI69" s="594"/>
      <c r="AYJ69" s="594"/>
      <c r="AYK69" s="594"/>
      <c r="AYL69" s="594"/>
      <c r="AYM69" s="594"/>
      <c r="AYN69" s="594"/>
      <c r="AYO69" s="594"/>
      <c r="AYP69" s="594"/>
      <c r="AYQ69" s="594"/>
      <c r="AYR69" s="594"/>
      <c r="AYS69" s="594"/>
      <c r="AYT69" s="594"/>
      <c r="AYU69" s="594"/>
      <c r="AYV69" s="594"/>
      <c r="AYW69" s="594"/>
      <c r="AYX69" s="594"/>
      <c r="AYY69" s="594"/>
      <c r="AYZ69" s="594"/>
      <c r="AZA69" s="594"/>
      <c r="AZB69" s="594"/>
      <c r="AZC69" s="594"/>
      <c r="AZD69" s="594"/>
      <c r="AZE69" s="594"/>
      <c r="AZF69" s="594"/>
      <c r="AZG69" s="594"/>
      <c r="AZH69" s="594"/>
      <c r="AZI69" s="594"/>
      <c r="AZJ69" s="594"/>
      <c r="AZK69" s="594"/>
      <c r="AZL69" s="594"/>
      <c r="AZM69" s="594"/>
      <c r="AZN69" s="594"/>
      <c r="AZO69" s="594"/>
      <c r="AZP69" s="594"/>
      <c r="AZQ69" s="594"/>
      <c r="AZR69" s="594"/>
      <c r="AZS69" s="594"/>
      <c r="AZT69" s="594"/>
      <c r="AZU69" s="594"/>
      <c r="AZV69" s="594"/>
      <c r="AZW69" s="594"/>
      <c r="AZX69" s="594"/>
      <c r="AZY69" s="594"/>
      <c r="AZZ69" s="594"/>
      <c r="BAA69" s="594"/>
      <c r="BAB69" s="594"/>
      <c r="BAC69" s="594"/>
      <c r="BAD69" s="594"/>
      <c r="BAE69" s="594"/>
      <c r="BAF69" s="594"/>
      <c r="BAG69" s="594"/>
      <c r="BAH69" s="594"/>
      <c r="BAI69" s="594"/>
      <c r="BAJ69" s="594"/>
      <c r="BAK69" s="594"/>
      <c r="BAL69" s="594"/>
      <c r="BAM69" s="594"/>
      <c r="BAN69" s="594"/>
      <c r="BAO69" s="594"/>
      <c r="BAP69" s="594"/>
      <c r="BAQ69" s="594"/>
      <c r="BAR69" s="594"/>
      <c r="BAS69" s="594"/>
      <c r="BAT69" s="594"/>
      <c r="BAU69" s="594"/>
      <c r="BAV69" s="594"/>
      <c r="BAW69" s="594"/>
      <c r="BAX69" s="594"/>
      <c r="BAY69" s="594"/>
      <c r="BAZ69" s="594"/>
      <c r="BBA69" s="594"/>
      <c r="BBB69" s="594"/>
      <c r="BBC69" s="594"/>
      <c r="BBD69" s="594"/>
      <c r="BBE69" s="594"/>
      <c r="BBF69" s="594"/>
      <c r="BBG69" s="594"/>
      <c r="BBH69" s="594"/>
      <c r="BBI69" s="594"/>
      <c r="BBJ69" s="594"/>
      <c r="BBK69" s="594"/>
      <c r="BBL69" s="594"/>
      <c r="BBM69" s="594"/>
      <c r="BBN69" s="594"/>
      <c r="BBO69" s="594"/>
      <c r="BBP69" s="594"/>
      <c r="BBQ69" s="594"/>
      <c r="BBR69" s="594"/>
      <c r="BBS69" s="594"/>
      <c r="BBT69" s="594"/>
      <c r="BBU69" s="594"/>
      <c r="BBV69" s="594"/>
      <c r="BBW69" s="594"/>
      <c r="BBX69" s="594"/>
      <c r="BBY69" s="594"/>
      <c r="BBZ69" s="594"/>
      <c r="BCA69" s="594"/>
      <c r="BCB69" s="594"/>
      <c r="BCC69" s="594"/>
      <c r="BCD69" s="594"/>
      <c r="BCE69" s="594"/>
      <c r="BCF69" s="594"/>
      <c r="BCG69" s="594"/>
      <c r="BCH69" s="594"/>
      <c r="BCI69" s="594"/>
      <c r="BCJ69" s="594"/>
      <c r="BCK69" s="594"/>
      <c r="BCL69" s="594"/>
      <c r="BCM69" s="594"/>
      <c r="BCN69" s="594"/>
      <c r="BCO69" s="594"/>
      <c r="BCP69" s="594"/>
      <c r="BCQ69" s="594"/>
      <c r="BCR69" s="594"/>
      <c r="BCS69" s="594"/>
      <c r="BCT69" s="594"/>
      <c r="BCU69" s="594"/>
      <c r="BCV69" s="594"/>
      <c r="BCW69" s="594"/>
      <c r="BCX69" s="594"/>
      <c r="BCY69" s="594"/>
      <c r="BCZ69" s="594"/>
      <c r="BDA69" s="594"/>
      <c r="BDB69" s="594"/>
      <c r="BDC69" s="594"/>
      <c r="BDD69" s="594"/>
      <c r="BDE69" s="594"/>
      <c r="BDF69" s="594"/>
      <c r="BDG69" s="594"/>
      <c r="BDH69" s="594"/>
      <c r="BDI69" s="594"/>
      <c r="BDJ69" s="594"/>
      <c r="BDK69" s="594"/>
      <c r="BDL69" s="594"/>
      <c r="BDM69" s="594"/>
      <c r="BDN69" s="594"/>
      <c r="BDO69" s="594"/>
      <c r="BDP69" s="594"/>
      <c r="BDQ69" s="594"/>
      <c r="BDR69" s="594"/>
      <c r="BDS69" s="594"/>
      <c r="BDT69" s="594"/>
      <c r="BDU69" s="594"/>
      <c r="BDV69" s="594"/>
      <c r="BDW69" s="594"/>
      <c r="BDX69" s="594"/>
      <c r="BDY69" s="594"/>
      <c r="BDZ69" s="594"/>
      <c r="BEA69" s="594"/>
      <c r="BEB69" s="594"/>
      <c r="BEC69" s="594"/>
      <c r="BED69" s="594"/>
      <c r="BEE69" s="594"/>
      <c r="BEF69" s="594"/>
      <c r="BEG69" s="594"/>
      <c r="BEH69" s="594"/>
      <c r="BEI69" s="594"/>
      <c r="BEJ69" s="594"/>
      <c r="BEK69" s="594"/>
      <c r="BEL69" s="594"/>
      <c r="BEM69" s="594"/>
      <c r="BEN69" s="594"/>
      <c r="BEO69" s="594"/>
      <c r="BEP69" s="594"/>
      <c r="BEQ69" s="594"/>
      <c r="BER69" s="594"/>
      <c r="BES69" s="594"/>
      <c r="BET69" s="594"/>
      <c r="BEU69" s="594"/>
      <c r="BEV69" s="594"/>
      <c r="BEW69" s="594"/>
      <c r="BEX69" s="594"/>
      <c r="BEY69" s="594"/>
      <c r="BEZ69" s="594"/>
      <c r="BFA69" s="594"/>
      <c r="BFB69" s="594"/>
      <c r="BFC69" s="594"/>
      <c r="BFD69" s="594"/>
      <c r="BFE69" s="594"/>
      <c r="BFF69" s="594"/>
      <c r="BFG69" s="594"/>
      <c r="BFH69" s="594"/>
      <c r="BFI69" s="594"/>
      <c r="BFJ69" s="594"/>
      <c r="BFK69" s="594"/>
      <c r="BFL69" s="594"/>
      <c r="BFM69" s="594"/>
      <c r="BFN69" s="594"/>
      <c r="BFO69" s="594"/>
      <c r="BFP69" s="594"/>
      <c r="BFQ69" s="594"/>
      <c r="BFR69" s="594"/>
      <c r="BFS69" s="594"/>
      <c r="BFT69" s="594"/>
      <c r="BFU69" s="594"/>
      <c r="BFV69" s="594"/>
      <c r="BFW69" s="594"/>
      <c r="BFX69" s="594"/>
      <c r="BFY69" s="594"/>
      <c r="BFZ69" s="594"/>
      <c r="BGA69" s="594"/>
      <c r="BGB69" s="594"/>
      <c r="BGC69" s="594"/>
      <c r="BGD69" s="594"/>
      <c r="BGE69" s="594"/>
      <c r="BGF69" s="594"/>
      <c r="BGG69" s="594"/>
      <c r="BGH69" s="594"/>
      <c r="BGI69" s="594"/>
      <c r="BGJ69" s="594"/>
      <c r="BGK69" s="594"/>
      <c r="BGL69" s="594"/>
      <c r="BGM69" s="594"/>
      <c r="BGN69" s="594"/>
      <c r="BGO69" s="594"/>
      <c r="BGP69" s="594"/>
      <c r="BGQ69" s="594"/>
      <c r="BGR69" s="594"/>
      <c r="BGS69" s="594"/>
      <c r="BGT69" s="594"/>
      <c r="BGU69" s="594"/>
      <c r="BGV69" s="594"/>
      <c r="BGW69" s="594"/>
      <c r="BGX69" s="594"/>
      <c r="BGY69" s="594"/>
      <c r="BGZ69" s="594"/>
      <c r="BHA69" s="594"/>
      <c r="BHB69" s="594"/>
      <c r="BHC69" s="594"/>
      <c r="BHD69" s="594"/>
      <c r="BHE69" s="594"/>
      <c r="BHF69" s="594"/>
      <c r="BHG69" s="594"/>
      <c r="BHH69" s="594"/>
      <c r="BHI69" s="594"/>
      <c r="BHJ69" s="594"/>
      <c r="BHK69" s="594"/>
      <c r="BHL69" s="594"/>
      <c r="BHM69" s="594"/>
      <c r="BHN69" s="594"/>
      <c r="BHO69" s="594"/>
      <c r="BHP69" s="594"/>
      <c r="BHQ69" s="594"/>
      <c r="BHR69" s="594"/>
      <c r="BHS69" s="594"/>
      <c r="BHT69" s="594"/>
      <c r="BHU69" s="594"/>
      <c r="BHV69" s="594"/>
      <c r="BHW69" s="594"/>
      <c r="BHX69" s="594"/>
      <c r="BHY69" s="594"/>
      <c r="BHZ69" s="594"/>
      <c r="BIA69" s="594"/>
      <c r="BIB69" s="594"/>
      <c r="BIC69" s="594"/>
      <c r="BID69" s="594"/>
      <c r="BIE69" s="594"/>
      <c r="BIF69" s="594"/>
      <c r="BIG69" s="594"/>
      <c r="BIH69" s="594"/>
      <c r="BII69" s="594"/>
      <c r="BIJ69" s="594"/>
      <c r="BIK69" s="594"/>
      <c r="BIL69" s="594"/>
      <c r="BIM69" s="594"/>
      <c r="BIN69" s="594"/>
      <c r="BIO69" s="594"/>
      <c r="BIP69" s="594"/>
      <c r="BIQ69" s="594"/>
      <c r="BIR69" s="594"/>
      <c r="BIS69" s="594"/>
      <c r="BIT69" s="594"/>
      <c r="BIU69" s="594"/>
      <c r="BIV69" s="594"/>
      <c r="BIW69" s="594"/>
      <c r="BIX69" s="594"/>
      <c r="BIY69" s="594"/>
      <c r="BIZ69" s="594"/>
      <c r="BJA69" s="594"/>
      <c r="BJB69" s="594"/>
      <c r="BJC69" s="594"/>
      <c r="BJD69" s="594"/>
      <c r="BJE69" s="594"/>
      <c r="BJF69" s="594"/>
      <c r="BJG69" s="594"/>
      <c r="BJH69" s="594"/>
      <c r="BJI69" s="594"/>
      <c r="BJJ69" s="594"/>
      <c r="BJK69" s="594"/>
      <c r="BJL69" s="594"/>
      <c r="BJM69" s="594"/>
      <c r="BJN69" s="594"/>
      <c r="BJO69" s="594"/>
      <c r="BJP69" s="594"/>
      <c r="BJQ69" s="594"/>
      <c r="BJR69" s="594"/>
      <c r="BJS69" s="594"/>
      <c r="BJT69" s="594"/>
      <c r="BJU69" s="594"/>
      <c r="BJV69" s="594"/>
      <c r="BJW69" s="594"/>
      <c r="BJX69" s="594"/>
      <c r="BJY69" s="594"/>
      <c r="BJZ69" s="594"/>
      <c r="BKA69" s="594"/>
      <c r="BKB69" s="594"/>
      <c r="BKC69" s="594"/>
      <c r="BKD69" s="594"/>
      <c r="BKE69" s="594"/>
      <c r="BKF69" s="594"/>
      <c r="BKG69" s="594"/>
      <c r="BKH69" s="594"/>
      <c r="BKI69" s="594"/>
      <c r="BKJ69" s="594"/>
      <c r="BKK69" s="594"/>
      <c r="BKL69" s="594"/>
      <c r="BKM69" s="594"/>
      <c r="BKN69" s="594"/>
      <c r="BKO69" s="594"/>
      <c r="BKP69" s="594"/>
      <c r="BKQ69" s="594"/>
      <c r="BKR69" s="594"/>
      <c r="BKS69" s="594"/>
      <c r="BKT69" s="594"/>
      <c r="BKU69" s="594"/>
      <c r="BKV69" s="594"/>
      <c r="BKW69" s="594"/>
      <c r="BKX69" s="594"/>
      <c r="BKY69" s="594"/>
      <c r="BKZ69" s="594"/>
      <c r="BLA69" s="594"/>
      <c r="BLB69" s="594"/>
      <c r="BLC69" s="594"/>
      <c r="BLD69" s="594"/>
      <c r="BLE69" s="594"/>
      <c r="BLF69" s="594"/>
      <c r="BLG69" s="594"/>
      <c r="BLH69" s="594"/>
      <c r="BLI69" s="594"/>
      <c r="BLJ69" s="594"/>
      <c r="BLK69" s="594"/>
      <c r="BLL69" s="594"/>
      <c r="BLM69" s="594"/>
      <c r="BLN69" s="594"/>
      <c r="BLO69" s="594"/>
      <c r="BLP69" s="594"/>
      <c r="BLQ69" s="594"/>
      <c r="BLR69" s="594"/>
      <c r="BLS69" s="594"/>
      <c r="BLT69" s="594"/>
      <c r="BLU69" s="594"/>
      <c r="BLV69" s="594"/>
      <c r="BLW69" s="594"/>
      <c r="BLX69" s="594"/>
      <c r="BLY69" s="594"/>
      <c r="BLZ69" s="594"/>
      <c r="BMA69" s="594"/>
      <c r="BMB69" s="594"/>
      <c r="BMC69" s="594"/>
      <c r="BMD69" s="594"/>
      <c r="BME69" s="594"/>
      <c r="BMF69" s="594"/>
      <c r="BMG69" s="594"/>
      <c r="BMH69" s="594"/>
      <c r="BMI69" s="594"/>
      <c r="BMJ69" s="594"/>
      <c r="BMK69" s="594"/>
      <c r="BML69" s="594"/>
      <c r="BMM69" s="594"/>
      <c r="BMN69" s="594"/>
      <c r="BMO69" s="594"/>
      <c r="BMP69" s="594"/>
      <c r="BMQ69" s="594"/>
      <c r="BMR69" s="594"/>
      <c r="BMS69" s="594"/>
      <c r="BMT69" s="594"/>
      <c r="BMU69" s="594"/>
      <c r="BMV69" s="594"/>
      <c r="BMW69" s="594"/>
      <c r="BMX69" s="594"/>
      <c r="BMY69" s="594"/>
      <c r="BMZ69" s="594"/>
      <c r="BNA69" s="594"/>
      <c r="BNB69" s="594"/>
      <c r="BNC69" s="594"/>
      <c r="BND69" s="594"/>
      <c r="BNE69" s="594"/>
      <c r="BNF69" s="594"/>
      <c r="BNG69" s="594"/>
      <c r="BNH69" s="594"/>
      <c r="BNI69" s="594"/>
      <c r="BNJ69" s="594"/>
      <c r="BNK69" s="594"/>
      <c r="BNL69" s="594"/>
      <c r="BNM69" s="594"/>
      <c r="BNN69" s="594"/>
      <c r="BNO69" s="594"/>
      <c r="BNP69" s="594"/>
      <c r="BNQ69" s="594"/>
      <c r="BNR69" s="594"/>
      <c r="BNS69" s="594"/>
      <c r="BNT69" s="594"/>
      <c r="BNU69" s="594"/>
      <c r="BNV69" s="594"/>
      <c r="BNW69" s="594"/>
      <c r="BNX69" s="594"/>
      <c r="BNY69" s="594"/>
      <c r="BNZ69" s="594"/>
      <c r="BOA69" s="594"/>
      <c r="BOB69" s="594"/>
      <c r="BOC69" s="594"/>
      <c r="BOD69" s="594"/>
      <c r="BOE69" s="594"/>
      <c r="BOF69" s="594"/>
      <c r="BOG69" s="594"/>
      <c r="BOH69" s="594"/>
      <c r="BOI69" s="594"/>
      <c r="BOJ69" s="594"/>
      <c r="BOK69" s="594"/>
      <c r="BOL69" s="594"/>
      <c r="BOM69" s="594"/>
      <c r="BON69" s="594"/>
      <c r="BOO69" s="594"/>
      <c r="BOP69" s="594"/>
      <c r="BOQ69" s="594"/>
      <c r="BOR69" s="594"/>
      <c r="BOS69" s="594"/>
      <c r="BOT69" s="594"/>
      <c r="BOU69" s="594"/>
      <c r="BOV69" s="594"/>
      <c r="BOW69" s="594"/>
      <c r="BOX69" s="594"/>
      <c r="BOY69" s="594"/>
      <c r="BOZ69" s="594"/>
      <c r="BPA69" s="594"/>
      <c r="BPB69" s="594"/>
      <c r="BPC69" s="594"/>
      <c r="BPD69" s="594"/>
      <c r="BPE69" s="594"/>
      <c r="BPF69" s="594"/>
      <c r="BPG69" s="594"/>
      <c r="BPH69" s="594"/>
      <c r="BPI69" s="594"/>
      <c r="BPJ69" s="594"/>
      <c r="BPK69" s="594"/>
      <c r="BPL69" s="594"/>
      <c r="BPM69" s="594"/>
      <c r="BPN69" s="594"/>
      <c r="BPO69" s="594"/>
      <c r="BPP69" s="594"/>
      <c r="BPQ69" s="594"/>
      <c r="BPR69" s="594"/>
      <c r="BPS69" s="594"/>
      <c r="BPT69" s="594"/>
      <c r="BPU69" s="594"/>
      <c r="BPV69" s="594"/>
      <c r="BPW69" s="594"/>
      <c r="BPX69" s="594"/>
      <c r="BPY69" s="594"/>
      <c r="BPZ69" s="594"/>
      <c r="BQA69" s="594"/>
      <c r="BQB69" s="594"/>
      <c r="BQC69" s="594"/>
      <c r="BQD69" s="594"/>
      <c r="BQE69" s="594"/>
      <c r="BQF69" s="594"/>
      <c r="BQG69" s="594"/>
      <c r="BQH69" s="594"/>
      <c r="BQI69" s="594"/>
      <c r="BQJ69" s="594"/>
      <c r="BQK69" s="594"/>
      <c r="BQL69" s="594"/>
      <c r="BQM69" s="594"/>
      <c r="BQN69" s="594"/>
      <c r="BQO69" s="594"/>
      <c r="BQP69" s="594"/>
      <c r="BQQ69" s="594"/>
      <c r="BQR69" s="594"/>
      <c r="BQS69" s="594"/>
      <c r="BQT69" s="594"/>
      <c r="BQU69" s="594"/>
      <c r="BQV69" s="594"/>
      <c r="BQW69" s="594"/>
      <c r="BQX69" s="594"/>
      <c r="BQY69" s="594"/>
      <c r="BQZ69" s="594"/>
      <c r="BRA69" s="594"/>
      <c r="BRB69" s="594"/>
      <c r="BRC69" s="594"/>
      <c r="BRD69" s="594"/>
      <c r="BRE69" s="594"/>
      <c r="BRF69" s="594"/>
      <c r="BRG69" s="594"/>
      <c r="BRH69" s="594"/>
      <c r="BRI69" s="594"/>
      <c r="BRJ69" s="594"/>
      <c r="BRK69" s="594"/>
      <c r="BRL69" s="594"/>
      <c r="BRM69" s="594"/>
      <c r="BRN69" s="594"/>
      <c r="BRO69" s="594"/>
      <c r="BRP69" s="594"/>
      <c r="BRQ69" s="594"/>
      <c r="BRR69" s="594"/>
      <c r="BRS69" s="594"/>
      <c r="BRT69" s="594"/>
      <c r="BRU69" s="594"/>
      <c r="BRV69" s="594"/>
      <c r="BRW69" s="594"/>
      <c r="BRX69" s="594"/>
      <c r="BRY69" s="594"/>
      <c r="BRZ69" s="594"/>
      <c r="BSA69" s="594"/>
      <c r="BSB69" s="594"/>
      <c r="BSC69" s="594"/>
      <c r="BSD69" s="594"/>
      <c r="BSE69" s="594"/>
      <c r="BSF69" s="594"/>
      <c r="BSG69" s="594"/>
      <c r="BSH69" s="594"/>
      <c r="BSI69" s="594"/>
      <c r="BSJ69" s="594"/>
      <c r="BSK69" s="594"/>
      <c r="BSL69" s="594"/>
      <c r="BSM69" s="594"/>
      <c r="BSN69" s="594"/>
      <c r="BSO69" s="594"/>
      <c r="BSP69" s="594"/>
      <c r="BSQ69" s="594"/>
      <c r="BSR69" s="594"/>
      <c r="BSS69" s="594"/>
      <c r="BST69" s="594"/>
      <c r="BSU69" s="594"/>
      <c r="BSV69" s="594"/>
      <c r="BSW69" s="594"/>
      <c r="BSX69" s="594"/>
      <c r="BSY69" s="594"/>
      <c r="BSZ69" s="594"/>
      <c r="BTA69" s="594"/>
      <c r="BTB69" s="594"/>
      <c r="BTC69" s="594"/>
      <c r="BTD69" s="594"/>
      <c r="BTE69" s="594"/>
      <c r="BTF69" s="594"/>
      <c r="BTG69" s="594"/>
      <c r="BTH69" s="594"/>
      <c r="BTI69" s="594"/>
      <c r="BTJ69" s="594"/>
      <c r="BTK69" s="594"/>
      <c r="BTL69" s="594"/>
      <c r="BTM69" s="594"/>
      <c r="BTN69" s="594"/>
      <c r="BTO69" s="594"/>
      <c r="BTP69" s="594"/>
      <c r="BTQ69" s="594"/>
      <c r="BTR69" s="594"/>
      <c r="BTS69" s="594"/>
      <c r="BTT69" s="594"/>
      <c r="BTU69" s="594"/>
      <c r="BTV69" s="594"/>
      <c r="BTW69" s="594"/>
      <c r="BTX69" s="594"/>
      <c r="BTY69" s="594"/>
      <c r="BTZ69" s="594"/>
      <c r="BUA69" s="594"/>
      <c r="BUB69" s="594"/>
      <c r="BUC69" s="594"/>
      <c r="BUD69" s="594"/>
      <c r="BUE69" s="594"/>
      <c r="BUF69" s="594"/>
      <c r="BUG69" s="594"/>
      <c r="BUH69" s="594"/>
      <c r="BUI69" s="594"/>
      <c r="BUJ69" s="594"/>
      <c r="BUK69" s="594"/>
      <c r="BUL69" s="594"/>
      <c r="BUM69" s="594"/>
      <c r="BUN69" s="594"/>
      <c r="BUO69" s="594"/>
      <c r="BUP69" s="594"/>
      <c r="BUQ69" s="594"/>
      <c r="BUR69" s="594"/>
      <c r="BUS69" s="594"/>
      <c r="BUT69" s="594"/>
      <c r="BUU69" s="594"/>
      <c r="BUV69" s="594"/>
      <c r="BUW69" s="594"/>
      <c r="BUX69" s="594"/>
      <c r="BUY69" s="594"/>
      <c r="BUZ69" s="594"/>
      <c r="BVA69" s="594"/>
      <c r="BVB69" s="594"/>
      <c r="BVC69" s="594"/>
      <c r="BVD69" s="594"/>
      <c r="BVE69" s="594"/>
      <c r="BVF69" s="594"/>
      <c r="BVG69" s="594"/>
      <c r="BVH69" s="594"/>
      <c r="BVI69" s="594"/>
      <c r="BVJ69" s="594"/>
      <c r="BVK69" s="594"/>
      <c r="BVL69" s="594"/>
      <c r="BVM69" s="594"/>
      <c r="BVN69" s="594"/>
      <c r="BVO69" s="594"/>
      <c r="BVP69" s="594"/>
      <c r="BVQ69" s="594"/>
      <c r="BVR69" s="594"/>
      <c r="BVS69" s="594"/>
      <c r="BVT69" s="594"/>
      <c r="BVU69" s="594"/>
      <c r="BVV69" s="594"/>
      <c r="BVW69" s="594"/>
      <c r="BVX69" s="594"/>
      <c r="BVY69" s="594"/>
      <c r="BVZ69" s="594"/>
      <c r="BWA69" s="594"/>
      <c r="BWB69" s="594"/>
      <c r="BWC69" s="594"/>
      <c r="BWD69" s="594"/>
      <c r="BWE69" s="594"/>
      <c r="BWF69" s="594"/>
      <c r="BWG69" s="594"/>
      <c r="BWH69" s="594"/>
      <c r="BWI69" s="594"/>
      <c r="BWJ69" s="594"/>
      <c r="BWK69" s="594"/>
      <c r="BWL69" s="594"/>
      <c r="BWM69" s="594"/>
      <c r="BWN69" s="594"/>
      <c r="BWO69" s="594"/>
      <c r="BWP69" s="594"/>
      <c r="BWQ69" s="594"/>
      <c r="BWR69" s="594"/>
      <c r="BWS69" s="594"/>
      <c r="BWT69" s="594"/>
      <c r="BWU69" s="594"/>
      <c r="BWV69" s="594"/>
      <c r="BWW69" s="594"/>
      <c r="BWX69" s="594"/>
      <c r="BWY69" s="594"/>
      <c r="BWZ69" s="594"/>
      <c r="BXA69" s="594"/>
      <c r="BXB69" s="594"/>
      <c r="BXC69" s="594"/>
      <c r="BXD69" s="594"/>
      <c r="BXE69" s="594"/>
      <c r="BXF69" s="594"/>
      <c r="BXG69" s="594"/>
      <c r="BXH69" s="594"/>
      <c r="BXI69" s="594"/>
      <c r="BXJ69" s="594"/>
      <c r="BXK69" s="594"/>
      <c r="BXL69" s="594"/>
      <c r="BXM69" s="594"/>
      <c r="BXN69" s="594"/>
      <c r="BXO69" s="594"/>
      <c r="BXP69" s="594"/>
      <c r="BXQ69" s="594"/>
      <c r="BXR69" s="594"/>
      <c r="BXS69" s="594"/>
      <c r="BXT69" s="594"/>
      <c r="BXU69" s="594"/>
      <c r="BXV69" s="594"/>
      <c r="BXW69" s="594"/>
      <c r="BXX69" s="594"/>
      <c r="BXY69" s="594"/>
      <c r="BXZ69" s="594"/>
      <c r="BYA69" s="594"/>
      <c r="BYB69" s="594"/>
      <c r="BYC69" s="594"/>
      <c r="BYD69" s="594"/>
      <c r="BYE69" s="594"/>
      <c r="BYF69" s="594"/>
      <c r="BYG69" s="594"/>
      <c r="BYH69" s="594"/>
      <c r="BYI69" s="594"/>
      <c r="BYJ69" s="594"/>
      <c r="BYK69" s="594"/>
      <c r="BYL69" s="594"/>
      <c r="BYM69" s="594"/>
      <c r="BYN69" s="594"/>
      <c r="BYO69" s="594"/>
      <c r="BYP69" s="594"/>
      <c r="BYQ69" s="594"/>
      <c r="BYR69" s="594"/>
      <c r="BYS69" s="594"/>
      <c r="BYT69" s="594"/>
      <c r="BYU69" s="594"/>
      <c r="BYV69" s="594"/>
      <c r="BYW69" s="594"/>
      <c r="BYX69" s="594"/>
      <c r="BYY69" s="594"/>
      <c r="BYZ69" s="594"/>
      <c r="BZA69" s="594"/>
      <c r="BZB69" s="594"/>
      <c r="BZC69" s="594"/>
      <c r="BZD69" s="594"/>
      <c r="BZE69" s="594"/>
      <c r="BZF69" s="594"/>
      <c r="BZG69" s="594"/>
      <c r="BZH69" s="594"/>
      <c r="BZI69" s="594"/>
      <c r="BZJ69" s="594"/>
      <c r="BZK69" s="594"/>
      <c r="BZL69" s="594"/>
      <c r="BZM69" s="594"/>
      <c r="BZN69" s="594"/>
      <c r="BZO69" s="594"/>
      <c r="BZP69" s="594"/>
      <c r="BZQ69" s="594"/>
      <c r="BZR69" s="594"/>
      <c r="BZS69" s="594"/>
      <c r="BZT69" s="594"/>
      <c r="BZU69" s="594"/>
      <c r="BZV69" s="594"/>
      <c r="BZW69" s="594"/>
      <c r="BZX69" s="594"/>
      <c r="BZY69" s="594"/>
      <c r="BZZ69" s="594"/>
      <c r="CAA69" s="594"/>
      <c r="CAB69" s="594"/>
      <c r="CAC69" s="594"/>
      <c r="CAD69" s="594"/>
      <c r="CAE69" s="594"/>
      <c r="CAF69" s="594"/>
      <c r="CAG69" s="594"/>
      <c r="CAH69" s="594"/>
      <c r="CAI69" s="594"/>
      <c r="CAJ69" s="594"/>
      <c r="CAK69" s="594"/>
      <c r="CAL69" s="594"/>
      <c r="CAM69" s="594"/>
      <c r="CAN69" s="594"/>
      <c r="CAO69" s="594"/>
      <c r="CAP69" s="594"/>
      <c r="CAQ69" s="594"/>
      <c r="CAR69" s="594"/>
      <c r="CAS69" s="594"/>
      <c r="CAT69" s="594"/>
      <c r="CAU69" s="594"/>
      <c r="CAV69" s="594"/>
      <c r="CAW69" s="594"/>
      <c r="CAX69" s="594"/>
      <c r="CAY69" s="594"/>
      <c r="CAZ69" s="594"/>
      <c r="CBA69" s="594"/>
      <c r="CBB69" s="594"/>
      <c r="CBC69" s="594"/>
      <c r="CBD69" s="594"/>
      <c r="CBE69" s="594"/>
      <c r="CBF69" s="594"/>
      <c r="CBG69" s="594"/>
      <c r="CBH69" s="594"/>
      <c r="CBI69" s="594"/>
      <c r="CBJ69" s="594"/>
      <c r="CBK69" s="594"/>
      <c r="CBL69" s="594"/>
      <c r="CBM69" s="594"/>
      <c r="CBN69" s="594"/>
      <c r="CBO69" s="594"/>
      <c r="CBP69" s="594"/>
      <c r="CBQ69" s="594"/>
      <c r="CBR69" s="594"/>
      <c r="CBS69" s="594"/>
      <c r="CBT69" s="594"/>
      <c r="CBU69" s="594"/>
      <c r="CBV69" s="594"/>
      <c r="CBW69" s="594"/>
      <c r="CBX69" s="594"/>
      <c r="CBY69" s="594"/>
      <c r="CBZ69" s="594"/>
      <c r="CCA69" s="594"/>
      <c r="CCB69" s="594"/>
      <c r="CCC69" s="594"/>
      <c r="CCD69" s="594"/>
      <c r="CCE69" s="594"/>
      <c r="CCF69" s="594"/>
      <c r="CCG69" s="594"/>
      <c r="CCH69" s="594"/>
      <c r="CCI69" s="594"/>
      <c r="CCJ69" s="594"/>
      <c r="CCK69" s="594"/>
      <c r="CCL69" s="594"/>
      <c r="CCM69" s="594"/>
      <c r="CCN69" s="594"/>
      <c r="CCO69" s="594"/>
      <c r="CCP69" s="594"/>
      <c r="CCQ69" s="594"/>
      <c r="CCR69" s="594"/>
      <c r="CCS69" s="594"/>
      <c r="CCT69" s="594"/>
      <c r="CCU69" s="594"/>
      <c r="CCV69" s="594"/>
      <c r="CCW69" s="594"/>
      <c r="CCX69" s="594"/>
      <c r="CCY69" s="594"/>
      <c r="CCZ69" s="594"/>
      <c r="CDA69" s="594"/>
      <c r="CDB69" s="594"/>
      <c r="CDC69" s="594"/>
      <c r="CDD69" s="594"/>
      <c r="CDE69" s="594"/>
      <c r="CDF69" s="594"/>
      <c r="CDG69" s="594"/>
      <c r="CDH69" s="594"/>
      <c r="CDI69" s="594"/>
      <c r="CDJ69" s="594"/>
      <c r="CDK69" s="594"/>
      <c r="CDL69" s="594"/>
      <c r="CDM69" s="594"/>
      <c r="CDN69" s="594"/>
      <c r="CDO69" s="594"/>
      <c r="CDP69" s="594"/>
      <c r="CDQ69" s="594"/>
      <c r="CDR69" s="594"/>
      <c r="CDS69" s="594"/>
      <c r="CDT69" s="594"/>
      <c r="CDU69" s="594"/>
      <c r="CDV69" s="594"/>
      <c r="CDW69" s="594"/>
      <c r="CDX69" s="594"/>
      <c r="CDY69" s="594"/>
      <c r="CDZ69" s="594"/>
      <c r="CEA69" s="594"/>
      <c r="CEB69" s="594"/>
      <c r="CEC69" s="594"/>
      <c r="CED69" s="594"/>
      <c r="CEE69" s="594"/>
      <c r="CEF69" s="594"/>
      <c r="CEG69" s="594"/>
      <c r="CEH69" s="594"/>
      <c r="CEI69" s="594"/>
      <c r="CEJ69" s="594"/>
      <c r="CEK69" s="594"/>
      <c r="CEL69" s="594"/>
      <c r="CEM69" s="594"/>
      <c r="CEN69" s="594"/>
      <c r="CEO69" s="594"/>
      <c r="CEP69" s="594"/>
      <c r="CEQ69" s="594"/>
      <c r="CER69" s="594"/>
      <c r="CES69" s="594"/>
      <c r="CET69" s="594"/>
      <c r="CEU69" s="594"/>
      <c r="CEV69" s="594"/>
      <c r="CEW69" s="594"/>
      <c r="CEX69" s="594"/>
      <c r="CEY69" s="594"/>
      <c r="CEZ69" s="594"/>
      <c r="CFA69" s="594"/>
      <c r="CFB69" s="594"/>
      <c r="CFC69" s="594"/>
      <c r="CFD69" s="594"/>
      <c r="CFE69" s="594"/>
      <c r="CFF69" s="594"/>
      <c r="CFG69" s="594"/>
      <c r="CFH69" s="594"/>
      <c r="CFI69" s="594"/>
      <c r="CFJ69" s="594"/>
      <c r="CFK69" s="594"/>
      <c r="CFL69" s="594"/>
      <c r="CFM69" s="594"/>
      <c r="CFN69" s="594"/>
      <c r="CFO69" s="594"/>
      <c r="CFP69" s="594"/>
      <c r="CFQ69" s="594"/>
      <c r="CFR69" s="594"/>
      <c r="CFS69" s="594"/>
      <c r="CFT69" s="594"/>
      <c r="CFU69" s="594"/>
      <c r="CFV69" s="594"/>
      <c r="CFW69" s="594"/>
      <c r="CFX69" s="594"/>
      <c r="CFY69" s="594"/>
      <c r="CFZ69" s="594"/>
      <c r="CGA69" s="594"/>
      <c r="CGB69" s="594"/>
      <c r="CGC69" s="594"/>
      <c r="CGD69" s="594"/>
      <c r="CGE69" s="594"/>
      <c r="CGF69" s="594"/>
      <c r="CGG69" s="594"/>
      <c r="CGH69" s="594"/>
      <c r="CGI69" s="594"/>
      <c r="CGJ69" s="594"/>
      <c r="CGK69" s="594"/>
      <c r="CGL69" s="594"/>
      <c r="CGM69" s="594"/>
      <c r="CGN69" s="594"/>
      <c r="CGO69" s="594"/>
      <c r="CGP69" s="594"/>
      <c r="CGQ69" s="594"/>
      <c r="CGR69" s="594"/>
      <c r="CGS69" s="594"/>
      <c r="CGT69" s="594"/>
      <c r="CGU69" s="594"/>
      <c r="CGV69" s="594"/>
      <c r="CGW69" s="594"/>
      <c r="CGX69" s="594"/>
      <c r="CGY69" s="594"/>
      <c r="CGZ69" s="594"/>
      <c r="CHA69" s="594"/>
      <c r="CHB69" s="594"/>
      <c r="CHC69" s="594"/>
      <c r="CHD69" s="594"/>
      <c r="CHE69" s="594"/>
      <c r="CHF69" s="594"/>
      <c r="CHG69" s="594"/>
      <c r="CHH69" s="594"/>
      <c r="CHI69" s="594"/>
      <c r="CHJ69" s="594"/>
      <c r="CHK69" s="594"/>
      <c r="CHL69" s="594"/>
      <c r="CHM69" s="594"/>
      <c r="CHN69" s="594"/>
      <c r="CHO69" s="594"/>
      <c r="CHP69" s="594"/>
      <c r="CHQ69" s="594"/>
      <c r="CHR69" s="594"/>
      <c r="CHS69" s="594"/>
      <c r="CHT69" s="594"/>
      <c r="CHU69" s="594"/>
      <c r="CHV69" s="594"/>
      <c r="CHW69" s="594"/>
      <c r="CHX69" s="594"/>
      <c r="CHY69" s="594"/>
      <c r="CHZ69" s="594"/>
      <c r="CIA69" s="594"/>
      <c r="CIB69" s="594"/>
      <c r="CIC69" s="594"/>
      <c r="CID69" s="594"/>
      <c r="CIE69" s="594"/>
      <c r="CIF69" s="594"/>
      <c r="CIG69" s="594"/>
      <c r="CIH69" s="594"/>
      <c r="CII69" s="594"/>
      <c r="CIJ69" s="594"/>
      <c r="CIK69" s="594"/>
      <c r="CIL69" s="594"/>
      <c r="CIM69" s="594"/>
      <c r="CIN69" s="594"/>
      <c r="CIO69" s="594"/>
      <c r="CIP69" s="594"/>
      <c r="CIQ69" s="594"/>
      <c r="CIR69" s="594"/>
      <c r="CIS69" s="594"/>
      <c r="CIT69" s="594"/>
      <c r="CIU69" s="594"/>
      <c r="CIV69" s="594"/>
      <c r="CIW69" s="594"/>
      <c r="CIX69" s="594"/>
      <c r="CIY69" s="594"/>
      <c r="CIZ69" s="594"/>
      <c r="CJA69" s="594"/>
      <c r="CJB69" s="594"/>
      <c r="CJC69" s="594"/>
      <c r="CJD69" s="594"/>
      <c r="CJE69" s="594"/>
      <c r="CJF69" s="594"/>
      <c r="CJG69" s="594"/>
      <c r="CJH69" s="594"/>
      <c r="CJI69" s="594"/>
      <c r="CJJ69" s="594"/>
      <c r="CJK69" s="594"/>
      <c r="CJL69" s="594"/>
      <c r="CJM69" s="594"/>
      <c r="CJN69" s="594"/>
      <c r="CJO69" s="594"/>
      <c r="CJP69" s="594"/>
      <c r="CJQ69" s="594"/>
      <c r="CJR69" s="594"/>
      <c r="CJS69" s="594"/>
      <c r="CJT69" s="594"/>
      <c r="CJU69" s="594"/>
      <c r="CJV69" s="594"/>
      <c r="CJW69" s="594"/>
      <c r="CJX69" s="594"/>
      <c r="CJY69" s="594"/>
      <c r="CJZ69" s="594"/>
      <c r="CKA69" s="594"/>
      <c r="CKB69" s="594"/>
      <c r="CKC69" s="594"/>
      <c r="CKD69" s="594"/>
      <c r="CKE69" s="594"/>
      <c r="CKF69" s="594"/>
      <c r="CKG69" s="594"/>
      <c r="CKH69" s="594"/>
      <c r="CKI69" s="594"/>
      <c r="CKJ69" s="594"/>
      <c r="CKK69" s="594"/>
      <c r="CKL69" s="594"/>
      <c r="CKM69" s="594"/>
      <c r="CKN69" s="594"/>
      <c r="CKO69" s="594"/>
      <c r="CKP69" s="594"/>
      <c r="CKQ69" s="594"/>
      <c r="CKR69" s="594"/>
      <c r="CKS69" s="594"/>
      <c r="CKT69" s="594"/>
      <c r="CKU69" s="594"/>
      <c r="CKV69" s="594"/>
      <c r="CKW69" s="594"/>
      <c r="CKX69" s="594"/>
      <c r="CKY69" s="594"/>
      <c r="CKZ69" s="594"/>
      <c r="CLA69" s="594"/>
      <c r="CLB69" s="594"/>
      <c r="CLC69" s="594"/>
      <c r="CLD69" s="594"/>
      <c r="CLE69" s="594"/>
      <c r="CLF69" s="594"/>
      <c r="CLG69" s="594"/>
      <c r="CLH69" s="594"/>
      <c r="CLI69" s="594"/>
      <c r="CLJ69" s="594"/>
      <c r="CLK69" s="594"/>
      <c r="CLL69" s="594"/>
      <c r="CLM69" s="594"/>
      <c r="CLN69" s="594"/>
      <c r="CLO69" s="594"/>
      <c r="CLP69" s="594"/>
      <c r="CLQ69" s="594"/>
      <c r="CLR69" s="594"/>
      <c r="CLS69" s="594"/>
      <c r="CLT69" s="594"/>
      <c r="CLU69" s="594"/>
      <c r="CLV69" s="594"/>
      <c r="CLW69" s="594"/>
      <c r="CLX69" s="594"/>
      <c r="CLY69" s="594"/>
      <c r="CLZ69" s="594"/>
      <c r="CMA69" s="594"/>
      <c r="CMB69" s="594"/>
      <c r="CMC69" s="594"/>
      <c r="CMD69" s="594"/>
      <c r="CME69" s="594"/>
      <c r="CMF69" s="594"/>
      <c r="CMG69" s="594"/>
      <c r="CMH69" s="594"/>
      <c r="CMI69" s="594"/>
      <c r="CMJ69" s="594"/>
      <c r="CMK69" s="594"/>
      <c r="CML69" s="594"/>
      <c r="CMM69" s="594"/>
      <c r="CMN69" s="594"/>
      <c r="CMO69" s="594"/>
      <c r="CMP69" s="594"/>
      <c r="CMQ69" s="594"/>
      <c r="CMR69" s="594"/>
      <c r="CMS69" s="594"/>
      <c r="CMT69" s="594"/>
      <c r="CMU69" s="594"/>
      <c r="CMV69" s="594"/>
      <c r="CMW69" s="594"/>
      <c r="CMX69" s="594"/>
      <c r="CMY69" s="594"/>
      <c r="CMZ69" s="594"/>
      <c r="CNA69" s="594"/>
      <c r="CNB69" s="594"/>
      <c r="CNC69" s="594"/>
      <c r="CND69" s="594"/>
      <c r="CNE69" s="594"/>
      <c r="CNF69" s="594"/>
      <c r="CNG69" s="594"/>
      <c r="CNH69" s="594"/>
      <c r="CNI69" s="594"/>
      <c r="CNJ69" s="594"/>
      <c r="CNK69" s="594"/>
      <c r="CNL69" s="594"/>
      <c r="CNM69" s="594"/>
      <c r="CNN69" s="594"/>
      <c r="CNO69" s="594"/>
      <c r="CNP69" s="594"/>
      <c r="CNQ69" s="594"/>
      <c r="CNR69" s="594"/>
      <c r="CNS69" s="594"/>
      <c r="CNT69" s="594"/>
      <c r="CNU69" s="594"/>
      <c r="CNV69" s="594"/>
      <c r="CNW69" s="594"/>
      <c r="CNX69" s="594"/>
      <c r="CNY69" s="594"/>
      <c r="CNZ69" s="594"/>
      <c r="COA69" s="594"/>
      <c r="COB69" s="594"/>
      <c r="COC69" s="594"/>
      <c r="COD69" s="594"/>
      <c r="COE69" s="594"/>
      <c r="COF69" s="594"/>
      <c r="COG69" s="594"/>
      <c r="COH69" s="594"/>
      <c r="COI69" s="594"/>
      <c r="COJ69" s="594"/>
      <c r="COK69" s="594"/>
      <c r="COL69" s="594"/>
      <c r="COM69" s="594"/>
      <c r="CON69" s="594"/>
      <c r="COO69" s="594"/>
      <c r="COP69" s="594"/>
      <c r="COQ69" s="594"/>
      <c r="COR69" s="594"/>
      <c r="COS69" s="594"/>
      <c r="COT69" s="594"/>
      <c r="COU69" s="594"/>
      <c r="COV69" s="594"/>
      <c r="COW69" s="594"/>
      <c r="COX69" s="594"/>
      <c r="COY69" s="594"/>
      <c r="COZ69" s="594"/>
      <c r="CPA69" s="594"/>
      <c r="CPB69" s="594"/>
      <c r="CPC69" s="594"/>
      <c r="CPD69" s="594"/>
      <c r="CPE69" s="594"/>
      <c r="CPF69" s="594"/>
      <c r="CPG69" s="594"/>
      <c r="CPH69" s="594"/>
      <c r="CPI69" s="594"/>
      <c r="CPJ69" s="594"/>
      <c r="CPK69" s="594"/>
      <c r="CPL69" s="594"/>
      <c r="CPM69" s="594"/>
      <c r="CPN69" s="594"/>
      <c r="CPO69" s="594"/>
      <c r="CPP69" s="594"/>
      <c r="CPQ69" s="594"/>
      <c r="CPR69" s="594"/>
      <c r="CPS69" s="594"/>
      <c r="CPT69" s="594"/>
      <c r="CPU69" s="594"/>
      <c r="CPV69" s="594"/>
      <c r="CPW69" s="594"/>
      <c r="CPX69" s="594"/>
      <c r="CPY69" s="594"/>
      <c r="CPZ69" s="594"/>
      <c r="CQA69" s="594"/>
      <c r="CQB69" s="594"/>
      <c r="CQC69" s="594"/>
      <c r="CQD69" s="594"/>
      <c r="CQE69" s="594"/>
      <c r="CQF69" s="594"/>
      <c r="CQG69" s="594"/>
      <c r="CQH69" s="594"/>
      <c r="CQI69" s="594"/>
      <c r="CQJ69" s="594"/>
      <c r="CQK69" s="594"/>
      <c r="CQL69" s="594"/>
      <c r="CQM69" s="594"/>
      <c r="CQN69" s="594"/>
      <c r="CQO69" s="594"/>
      <c r="CQP69" s="594"/>
      <c r="CQQ69" s="594"/>
      <c r="CQR69" s="594"/>
      <c r="CQS69" s="594"/>
      <c r="CQT69" s="594"/>
      <c r="CQU69" s="594"/>
      <c r="CQV69" s="594"/>
      <c r="CQW69" s="594"/>
      <c r="CQX69" s="594"/>
      <c r="CQY69" s="594"/>
      <c r="CQZ69" s="594"/>
      <c r="CRA69" s="594"/>
      <c r="CRB69" s="594"/>
      <c r="CRC69" s="594"/>
      <c r="CRD69" s="594"/>
      <c r="CRE69" s="594"/>
      <c r="CRF69" s="594"/>
      <c r="CRG69" s="594"/>
      <c r="CRH69" s="594"/>
      <c r="CRI69" s="594"/>
      <c r="CRJ69" s="594"/>
      <c r="CRK69" s="594"/>
      <c r="CRL69" s="594"/>
      <c r="CRM69" s="594"/>
      <c r="CRN69" s="594"/>
      <c r="CRO69" s="594"/>
      <c r="CRP69" s="594"/>
      <c r="CRQ69" s="594"/>
      <c r="CRR69" s="594"/>
      <c r="CRS69" s="594"/>
      <c r="CRT69" s="594"/>
      <c r="CRU69" s="594"/>
      <c r="CRV69" s="594"/>
      <c r="CRW69" s="594"/>
      <c r="CRX69" s="594"/>
      <c r="CRY69" s="594"/>
      <c r="CRZ69" s="594"/>
      <c r="CSA69" s="594"/>
      <c r="CSB69" s="594"/>
      <c r="CSC69" s="594"/>
      <c r="CSD69" s="594"/>
      <c r="CSE69" s="594"/>
      <c r="CSF69" s="594"/>
      <c r="CSG69" s="594"/>
      <c r="CSH69" s="594"/>
      <c r="CSI69" s="594"/>
      <c r="CSJ69" s="594"/>
      <c r="CSK69" s="594"/>
      <c r="CSL69" s="594"/>
      <c r="CSM69" s="594"/>
      <c r="CSN69" s="594"/>
      <c r="CSO69" s="594"/>
      <c r="CSP69" s="594"/>
      <c r="CSQ69" s="594"/>
      <c r="CSR69" s="594"/>
      <c r="CSS69" s="594"/>
      <c r="CST69" s="594"/>
      <c r="CSU69" s="594"/>
      <c r="CSV69" s="594"/>
      <c r="CSW69" s="594"/>
      <c r="CSX69" s="594"/>
      <c r="CSY69" s="594"/>
      <c r="CSZ69" s="594"/>
      <c r="CTA69" s="594"/>
      <c r="CTB69" s="594"/>
      <c r="CTC69" s="594"/>
      <c r="CTD69" s="594"/>
      <c r="CTE69" s="594"/>
      <c r="CTF69" s="594"/>
      <c r="CTG69" s="594"/>
      <c r="CTH69" s="594"/>
      <c r="CTI69" s="594"/>
      <c r="CTJ69" s="594"/>
      <c r="CTK69" s="594"/>
      <c r="CTL69" s="594"/>
      <c r="CTM69" s="594"/>
      <c r="CTN69" s="594"/>
      <c r="CTO69" s="594"/>
      <c r="CTP69" s="594"/>
      <c r="CTQ69" s="594"/>
      <c r="CTR69" s="594"/>
      <c r="CTS69" s="594"/>
      <c r="CTT69" s="594"/>
      <c r="CTU69" s="594"/>
      <c r="CTV69" s="594"/>
      <c r="CTW69" s="594"/>
      <c r="CTX69" s="594"/>
      <c r="CTY69" s="594"/>
      <c r="CTZ69" s="594"/>
      <c r="CUA69" s="594"/>
      <c r="CUB69" s="594"/>
      <c r="CUC69" s="594"/>
      <c r="CUD69" s="594"/>
      <c r="CUE69" s="594"/>
      <c r="CUF69" s="594"/>
      <c r="CUG69" s="594"/>
      <c r="CUH69" s="594"/>
      <c r="CUI69" s="594"/>
      <c r="CUJ69" s="594"/>
      <c r="CUK69" s="594"/>
      <c r="CUL69" s="594"/>
      <c r="CUM69" s="594"/>
      <c r="CUN69" s="594"/>
      <c r="CUO69" s="594"/>
      <c r="CUP69" s="594"/>
      <c r="CUQ69" s="594"/>
      <c r="CUR69" s="594"/>
      <c r="CUS69" s="594"/>
      <c r="CUT69" s="594"/>
      <c r="CUU69" s="594"/>
      <c r="CUV69" s="594"/>
      <c r="CUW69" s="594"/>
      <c r="CUX69" s="594"/>
      <c r="CUY69" s="594"/>
      <c r="CUZ69" s="594"/>
      <c r="CVA69" s="594"/>
      <c r="CVB69" s="594"/>
      <c r="CVC69" s="594"/>
      <c r="CVD69" s="594"/>
      <c r="CVE69" s="594"/>
      <c r="CVF69" s="594"/>
      <c r="CVG69" s="594"/>
      <c r="CVH69" s="594"/>
      <c r="CVI69" s="594"/>
      <c r="CVJ69" s="594"/>
      <c r="CVK69" s="594"/>
      <c r="CVL69" s="594"/>
      <c r="CVM69" s="594"/>
      <c r="CVN69" s="594"/>
      <c r="CVO69" s="594"/>
      <c r="CVP69" s="594"/>
      <c r="CVQ69" s="594"/>
      <c r="CVR69" s="594"/>
      <c r="CVS69" s="594"/>
      <c r="CVT69" s="594"/>
      <c r="CVU69" s="594"/>
      <c r="CVV69" s="594"/>
      <c r="CVW69" s="594"/>
      <c r="CVX69" s="594"/>
      <c r="CVY69" s="594"/>
      <c r="CVZ69" s="594"/>
      <c r="CWA69" s="594"/>
      <c r="CWB69" s="594"/>
      <c r="CWC69" s="594"/>
      <c r="CWD69" s="594"/>
      <c r="CWE69" s="594"/>
      <c r="CWF69" s="594"/>
      <c r="CWG69" s="594"/>
      <c r="CWH69" s="594"/>
      <c r="CWI69" s="594"/>
      <c r="CWJ69" s="594"/>
      <c r="CWK69" s="594"/>
      <c r="CWL69" s="594"/>
      <c r="CWM69" s="594"/>
      <c r="CWN69" s="594"/>
      <c r="CWO69" s="594"/>
      <c r="CWP69" s="594"/>
      <c r="CWQ69" s="594"/>
      <c r="CWR69" s="594"/>
      <c r="CWS69" s="594"/>
      <c r="CWT69" s="594"/>
      <c r="CWU69" s="594"/>
      <c r="CWV69" s="594"/>
      <c r="CWW69" s="594"/>
      <c r="CWX69" s="594"/>
      <c r="CWY69" s="594"/>
      <c r="CWZ69" s="594"/>
      <c r="CXA69" s="594"/>
      <c r="CXB69" s="594"/>
      <c r="CXC69" s="594"/>
      <c r="CXD69" s="594"/>
      <c r="CXE69" s="594"/>
      <c r="CXF69" s="594"/>
      <c r="CXG69" s="594"/>
      <c r="CXH69" s="594"/>
      <c r="CXI69" s="594"/>
      <c r="CXJ69" s="594"/>
      <c r="CXK69" s="594"/>
      <c r="CXL69" s="594"/>
      <c r="CXM69" s="594"/>
      <c r="CXN69" s="594"/>
      <c r="CXO69" s="594"/>
      <c r="CXP69" s="594"/>
      <c r="CXQ69" s="594"/>
      <c r="CXR69" s="594"/>
      <c r="CXS69" s="594"/>
      <c r="CXT69" s="594"/>
      <c r="CXU69" s="594"/>
      <c r="CXV69" s="594"/>
      <c r="CXW69" s="594"/>
      <c r="CXX69" s="594"/>
      <c r="CXY69" s="594"/>
      <c r="CXZ69" s="594"/>
      <c r="CYA69" s="594"/>
      <c r="CYB69" s="594"/>
      <c r="CYC69" s="594"/>
      <c r="CYD69" s="594"/>
      <c r="CYE69" s="594"/>
      <c r="CYF69" s="594"/>
      <c r="CYG69" s="594"/>
      <c r="CYH69" s="594"/>
      <c r="CYI69" s="594"/>
      <c r="CYJ69" s="594"/>
      <c r="CYK69" s="594"/>
      <c r="CYL69" s="594"/>
      <c r="CYM69" s="594"/>
      <c r="CYN69" s="594"/>
      <c r="CYO69" s="594"/>
      <c r="CYP69" s="594"/>
      <c r="CYQ69" s="594"/>
      <c r="CYR69" s="594"/>
      <c r="CYS69" s="594"/>
      <c r="CYT69" s="594"/>
      <c r="CYU69" s="594"/>
      <c r="CYV69" s="594"/>
      <c r="CYW69" s="594"/>
      <c r="CYX69" s="594"/>
      <c r="CYY69" s="594"/>
      <c r="CYZ69" s="594"/>
      <c r="CZA69" s="594"/>
      <c r="CZB69" s="594"/>
      <c r="CZC69" s="594"/>
      <c r="CZD69" s="594"/>
      <c r="CZE69" s="594"/>
      <c r="CZF69" s="594"/>
      <c r="CZG69" s="594"/>
      <c r="CZH69" s="594"/>
      <c r="CZI69" s="594"/>
      <c r="CZJ69" s="594"/>
      <c r="CZK69" s="594"/>
      <c r="CZL69" s="594"/>
      <c r="CZM69" s="594"/>
      <c r="CZN69" s="594"/>
      <c r="CZO69" s="594"/>
      <c r="CZP69" s="594"/>
      <c r="CZQ69" s="594"/>
      <c r="CZR69" s="594"/>
      <c r="CZS69" s="594"/>
      <c r="CZT69" s="594"/>
      <c r="CZU69" s="594"/>
      <c r="CZV69" s="594"/>
      <c r="CZW69" s="594"/>
      <c r="CZX69" s="594"/>
      <c r="CZY69" s="594"/>
      <c r="CZZ69" s="594"/>
      <c r="DAA69" s="594"/>
      <c r="DAB69" s="594"/>
      <c r="DAC69" s="594"/>
      <c r="DAD69" s="594"/>
      <c r="DAE69" s="594"/>
      <c r="DAF69" s="594"/>
      <c r="DAG69" s="594"/>
      <c r="DAH69" s="594"/>
      <c r="DAI69" s="594"/>
      <c r="DAJ69" s="594"/>
      <c r="DAK69" s="594"/>
      <c r="DAL69" s="594"/>
      <c r="DAM69" s="594"/>
      <c r="DAN69" s="594"/>
      <c r="DAO69" s="594"/>
      <c r="DAP69" s="594"/>
      <c r="DAQ69" s="594"/>
      <c r="DAR69" s="594"/>
      <c r="DAS69" s="594"/>
      <c r="DAT69" s="594"/>
      <c r="DAU69" s="594"/>
      <c r="DAV69" s="594"/>
      <c r="DAW69" s="594"/>
      <c r="DAX69" s="594"/>
      <c r="DAY69" s="594"/>
      <c r="DAZ69" s="594"/>
      <c r="DBA69" s="594"/>
      <c r="DBB69" s="594"/>
      <c r="DBC69" s="594"/>
      <c r="DBD69" s="594"/>
      <c r="DBE69" s="594"/>
      <c r="DBF69" s="594"/>
      <c r="DBG69" s="594"/>
      <c r="DBH69" s="594"/>
      <c r="DBI69" s="594"/>
      <c r="DBJ69" s="594"/>
      <c r="DBK69" s="594"/>
      <c r="DBL69" s="594"/>
      <c r="DBM69" s="594"/>
      <c r="DBN69" s="594"/>
      <c r="DBO69" s="594"/>
      <c r="DBP69" s="594"/>
      <c r="DBQ69" s="594"/>
      <c r="DBR69" s="594"/>
      <c r="DBS69" s="594"/>
      <c r="DBT69" s="594"/>
      <c r="DBU69" s="594"/>
      <c r="DBV69" s="594"/>
      <c r="DBW69" s="594"/>
      <c r="DBX69" s="594"/>
      <c r="DBY69" s="594"/>
      <c r="DBZ69" s="594"/>
      <c r="DCA69" s="594"/>
      <c r="DCB69" s="594"/>
      <c r="DCC69" s="594"/>
      <c r="DCD69" s="594"/>
      <c r="DCE69" s="594"/>
      <c r="DCF69" s="594"/>
      <c r="DCG69" s="594"/>
      <c r="DCH69" s="594"/>
      <c r="DCI69" s="594"/>
      <c r="DCJ69" s="594"/>
      <c r="DCK69" s="594"/>
      <c r="DCL69" s="594"/>
      <c r="DCM69" s="594"/>
      <c r="DCN69" s="594"/>
      <c r="DCO69" s="594"/>
      <c r="DCP69" s="594"/>
      <c r="DCQ69" s="594"/>
      <c r="DCR69" s="594"/>
      <c r="DCS69" s="594"/>
      <c r="DCT69" s="594"/>
      <c r="DCU69" s="594"/>
      <c r="DCV69" s="594"/>
      <c r="DCW69" s="594"/>
      <c r="DCX69" s="594"/>
      <c r="DCY69" s="594"/>
      <c r="DCZ69" s="594"/>
      <c r="DDA69" s="594"/>
      <c r="DDB69" s="594"/>
      <c r="DDC69" s="594"/>
      <c r="DDD69" s="594"/>
      <c r="DDE69" s="594"/>
      <c r="DDF69" s="594"/>
      <c r="DDG69" s="594"/>
      <c r="DDH69" s="594"/>
      <c r="DDI69" s="594"/>
      <c r="DDJ69" s="594"/>
      <c r="DDK69" s="594"/>
      <c r="DDL69" s="594"/>
      <c r="DDM69" s="594"/>
      <c r="DDN69" s="594"/>
      <c r="DDO69" s="594"/>
      <c r="DDP69" s="594"/>
      <c r="DDQ69" s="594"/>
      <c r="DDR69" s="594"/>
      <c r="DDS69" s="594"/>
      <c r="DDT69" s="594"/>
      <c r="DDU69" s="594"/>
      <c r="DDV69" s="594"/>
      <c r="DDW69" s="594"/>
      <c r="DDX69" s="594"/>
      <c r="DDY69" s="594"/>
      <c r="DDZ69" s="594"/>
      <c r="DEA69" s="594"/>
      <c r="DEB69" s="594"/>
      <c r="DEC69" s="594"/>
      <c r="DED69" s="594"/>
      <c r="DEE69" s="594"/>
      <c r="DEF69" s="594"/>
      <c r="DEG69" s="594"/>
      <c r="DEH69" s="594"/>
      <c r="DEI69" s="594"/>
      <c r="DEJ69" s="594"/>
      <c r="DEK69" s="594"/>
      <c r="DEL69" s="594"/>
      <c r="DEM69" s="594"/>
      <c r="DEN69" s="594"/>
      <c r="DEO69" s="594"/>
      <c r="DEP69" s="594"/>
      <c r="DEQ69" s="594"/>
      <c r="DER69" s="594"/>
      <c r="DES69" s="594"/>
      <c r="DET69" s="594"/>
      <c r="DEU69" s="594"/>
      <c r="DEV69" s="594"/>
      <c r="DEW69" s="594"/>
      <c r="DEX69" s="594"/>
      <c r="DEY69" s="594"/>
      <c r="DEZ69" s="594"/>
      <c r="DFA69" s="594"/>
      <c r="DFB69" s="594"/>
      <c r="DFC69" s="594"/>
      <c r="DFD69" s="594"/>
      <c r="DFE69" s="594"/>
      <c r="DFF69" s="594"/>
      <c r="DFG69" s="594"/>
      <c r="DFH69" s="594"/>
      <c r="DFI69" s="594"/>
      <c r="DFJ69" s="594"/>
      <c r="DFK69" s="594"/>
      <c r="DFL69" s="594"/>
      <c r="DFM69" s="594"/>
      <c r="DFN69" s="594"/>
      <c r="DFO69" s="594"/>
      <c r="DFP69" s="594"/>
      <c r="DFQ69" s="594"/>
      <c r="DFR69" s="594"/>
      <c r="DFS69" s="594"/>
      <c r="DFT69" s="594"/>
      <c r="DFU69" s="594"/>
      <c r="DFV69" s="594"/>
      <c r="DFW69" s="594"/>
      <c r="DFX69" s="594"/>
      <c r="DFY69" s="594"/>
      <c r="DFZ69" s="594"/>
      <c r="DGA69" s="594"/>
      <c r="DGB69" s="594"/>
      <c r="DGC69" s="594"/>
      <c r="DGD69" s="594"/>
      <c r="DGE69" s="594"/>
      <c r="DGF69" s="594"/>
      <c r="DGG69" s="594"/>
      <c r="DGH69" s="594"/>
      <c r="DGI69" s="594"/>
      <c r="DGJ69" s="594"/>
      <c r="DGK69" s="594"/>
      <c r="DGL69" s="594"/>
      <c r="DGM69" s="594"/>
      <c r="DGN69" s="594"/>
      <c r="DGO69" s="594"/>
      <c r="DGP69" s="594"/>
      <c r="DGQ69" s="594"/>
      <c r="DGR69" s="594"/>
      <c r="DGS69" s="594"/>
      <c r="DGT69" s="594"/>
      <c r="DGU69" s="594"/>
      <c r="DGV69" s="594"/>
      <c r="DGW69" s="594"/>
      <c r="DGX69" s="594"/>
      <c r="DGY69" s="594"/>
      <c r="DGZ69" s="594"/>
      <c r="DHA69" s="594"/>
      <c r="DHB69" s="594"/>
      <c r="DHC69" s="594"/>
      <c r="DHD69" s="594"/>
      <c r="DHE69" s="594"/>
      <c r="DHF69" s="594"/>
      <c r="DHG69" s="594"/>
      <c r="DHH69" s="594"/>
      <c r="DHI69" s="594"/>
      <c r="DHJ69" s="594"/>
      <c r="DHK69" s="594"/>
      <c r="DHL69" s="594"/>
      <c r="DHM69" s="594"/>
      <c r="DHN69" s="594"/>
      <c r="DHO69" s="594"/>
      <c r="DHP69" s="594"/>
      <c r="DHQ69" s="594"/>
      <c r="DHR69" s="594"/>
      <c r="DHS69" s="594"/>
      <c r="DHT69" s="594"/>
      <c r="DHU69" s="594"/>
      <c r="DHV69" s="594"/>
      <c r="DHW69" s="594"/>
      <c r="DHX69" s="594"/>
      <c r="DHY69" s="594"/>
      <c r="DHZ69" s="594"/>
      <c r="DIA69" s="594"/>
      <c r="DIB69" s="594"/>
      <c r="DIC69" s="594"/>
      <c r="DID69" s="594"/>
      <c r="DIE69" s="594"/>
      <c r="DIF69" s="594"/>
      <c r="DIG69" s="594"/>
      <c r="DIH69" s="594"/>
      <c r="DII69" s="594"/>
      <c r="DIJ69" s="594"/>
      <c r="DIK69" s="594"/>
      <c r="DIL69" s="594"/>
      <c r="DIM69" s="594"/>
      <c r="DIN69" s="594"/>
      <c r="DIO69" s="594"/>
      <c r="DIP69" s="594"/>
      <c r="DIQ69" s="594"/>
      <c r="DIR69" s="594"/>
      <c r="DIS69" s="594"/>
      <c r="DIT69" s="594"/>
      <c r="DIU69" s="594"/>
      <c r="DIV69" s="594"/>
      <c r="DIW69" s="594"/>
      <c r="DIX69" s="594"/>
      <c r="DIY69" s="594"/>
      <c r="DIZ69" s="594"/>
      <c r="DJA69" s="594"/>
      <c r="DJB69" s="594"/>
      <c r="DJC69" s="594"/>
      <c r="DJD69" s="594"/>
      <c r="DJE69" s="594"/>
      <c r="DJF69" s="594"/>
      <c r="DJG69" s="594"/>
      <c r="DJH69" s="594"/>
      <c r="DJI69" s="594"/>
      <c r="DJJ69" s="594"/>
      <c r="DJK69" s="594"/>
      <c r="DJL69" s="594"/>
      <c r="DJM69" s="594"/>
      <c r="DJN69" s="594"/>
      <c r="DJO69" s="594"/>
      <c r="DJP69" s="594"/>
      <c r="DJQ69" s="594"/>
      <c r="DJR69" s="594"/>
      <c r="DJS69" s="594"/>
      <c r="DJT69" s="594"/>
      <c r="DJU69" s="594"/>
      <c r="DJV69" s="594"/>
      <c r="DJW69" s="594"/>
      <c r="DJX69" s="594"/>
      <c r="DJY69" s="594"/>
      <c r="DJZ69" s="594"/>
      <c r="DKA69" s="594"/>
      <c r="DKB69" s="594"/>
      <c r="DKC69" s="594"/>
      <c r="DKD69" s="594"/>
      <c r="DKE69" s="594"/>
      <c r="DKF69" s="594"/>
      <c r="DKG69" s="594"/>
      <c r="DKH69" s="594"/>
      <c r="DKI69" s="594"/>
      <c r="DKJ69" s="594"/>
      <c r="DKK69" s="594"/>
      <c r="DKL69" s="594"/>
      <c r="DKM69" s="594"/>
      <c r="DKN69" s="594"/>
      <c r="DKO69" s="594"/>
      <c r="DKP69" s="594"/>
      <c r="DKQ69" s="594"/>
      <c r="DKR69" s="594"/>
      <c r="DKS69" s="594"/>
      <c r="DKT69" s="594"/>
      <c r="DKU69" s="594"/>
      <c r="DKV69" s="594"/>
      <c r="DKW69" s="594"/>
      <c r="DKX69" s="594"/>
      <c r="DKY69" s="594"/>
      <c r="DKZ69" s="594"/>
      <c r="DLA69" s="594"/>
      <c r="DLB69" s="594"/>
      <c r="DLC69" s="594"/>
      <c r="DLD69" s="594"/>
      <c r="DLE69" s="594"/>
      <c r="DLF69" s="594"/>
      <c r="DLG69" s="594"/>
      <c r="DLH69" s="594"/>
      <c r="DLI69" s="594"/>
      <c r="DLJ69" s="594"/>
      <c r="DLK69" s="594"/>
      <c r="DLL69" s="594"/>
      <c r="DLM69" s="594"/>
      <c r="DLN69" s="594"/>
      <c r="DLO69" s="594"/>
      <c r="DLP69" s="594"/>
      <c r="DLQ69" s="594"/>
      <c r="DLR69" s="594"/>
      <c r="DLS69" s="594"/>
      <c r="DLT69" s="594"/>
      <c r="DLU69" s="594"/>
      <c r="DLV69" s="594"/>
      <c r="DLW69" s="594"/>
      <c r="DLX69" s="594"/>
      <c r="DLY69" s="594"/>
      <c r="DLZ69" s="594"/>
      <c r="DMA69" s="594"/>
      <c r="DMB69" s="594"/>
      <c r="DMC69" s="594"/>
      <c r="DMD69" s="594"/>
      <c r="DME69" s="594"/>
      <c r="DMF69" s="594"/>
      <c r="DMG69" s="594"/>
      <c r="DMH69" s="594"/>
      <c r="DMI69" s="594"/>
      <c r="DMJ69" s="594"/>
      <c r="DMK69" s="594"/>
      <c r="DML69" s="594"/>
      <c r="DMM69" s="594"/>
      <c r="DMN69" s="594"/>
      <c r="DMO69" s="594"/>
      <c r="DMP69" s="594"/>
      <c r="DMQ69" s="594"/>
      <c r="DMR69" s="594"/>
      <c r="DMS69" s="594"/>
      <c r="DMT69" s="594"/>
      <c r="DMU69" s="594"/>
      <c r="DMV69" s="594"/>
      <c r="DMW69" s="594"/>
      <c r="DMX69" s="594"/>
      <c r="DMY69" s="594"/>
      <c r="DMZ69" s="594"/>
      <c r="DNA69" s="594"/>
      <c r="DNB69" s="594"/>
      <c r="DNC69" s="594"/>
      <c r="DND69" s="594"/>
      <c r="DNE69" s="594"/>
      <c r="DNF69" s="594"/>
      <c r="DNG69" s="594"/>
      <c r="DNH69" s="594"/>
      <c r="DNI69" s="594"/>
      <c r="DNJ69" s="594"/>
      <c r="DNK69" s="594"/>
      <c r="DNL69" s="594"/>
      <c r="DNM69" s="594"/>
      <c r="DNN69" s="594"/>
      <c r="DNO69" s="594"/>
      <c r="DNP69" s="594"/>
      <c r="DNQ69" s="594"/>
      <c r="DNR69" s="594"/>
      <c r="DNS69" s="594"/>
      <c r="DNT69" s="594"/>
      <c r="DNU69" s="594"/>
      <c r="DNV69" s="594"/>
      <c r="DNW69" s="594"/>
      <c r="DNX69" s="594"/>
      <c r="DNY69" s="594"/>
      <c r="DNZ69" s="594"/>
      <c r="DOA69" s="594"/>
      <c r="DOB69" s="594"/>
      <c r="DOC69" s="594"/>
      <c r="DOD69" s="594"/>
      <c r="DOE69" s="594"/>
      <c r="DOF69" s="594"/>
      <c r="DOG69" s="594"/>
      <c r="DOH69" s="594"/>
      <c r="DOI69" s="594"/>
      <c r="DOJ69" s="594"/>
      <c r="DOK69" s="594"/>
      <c r="DOL69" s="594"/>
      <c r="DOM69" s="594"/>
      <c r="DON69" s="594"/>
      <c r="DOO69" s="594"/>
      <c r="DOP69" s="594"/>
      <c r="DOQ69" s="594"/>
      <c r="DOR69" s="594"/>
      <c r="DOS69" s="594"/>
      <c r="DOT69" s="594"/>
      <c r="DOU69" s="594"/>
      <c r="DOV69" s="594"/>
      <c r="DOW69" s="594"/>
      <c r="DOX69" s="594"/>
      <c r="DOY69" s="594"/>
      <c r="DOZ69" s="594"/>
      <c r="DPA69" s="594"/>
      <c r="DPB69" s="594"/>
      <c r="DPC69" s="594"/>
      <c r="DPD69" s="594"/>
      <c r="DPE69" s="594"/>
      <c r="DPF69" s="594"/>
      <c r="DPG69" s="594"/>
      <c r="DPH69" s="594"/>
      <c r="DPI69" s="594"/>
      <c r="DPJ69" s="594"/>
      <c r="DPK69" s="594"/>
      <c r="DPL69" s="594"/>
      <c r="DPM69" s="594"/>
      <c r="DPN69" s="594"/>
      <c r="DPO69" s="594"/>
      <c r="DPP69" s="594"/>
      <c r="DPQ69" s="594"/>
      <c r="DPR69" s="594"/>
      <c r="DPS69" s="594"/>
      <c r="DPT69" s="594"/>
      <c r="DPU69" s="594"/>
      <c r="DPV69" s="594"/>
      <c r="DPW69" s="594"/>
      <c r="DPX69" s="594"/>
      <c r="DPY69" s="594"/>
      <c r="DPZ69" s="594"/>
      <c r="DQA69" s="594"/>
      <c r="DQB69" s="594"/>
      <c r="DQC69" s="594"/>
      <c r="DQD69" s="594"/>
      <c r="DQE69" s="594"/>
      <c r="DQF69" s="594"/>
      <c r="DQG69" s="594"/>
      <c r="DQH69" s="594"/>
      <c r="DQI69" s="594"/>
      <c r="DQJ69" s="594"/>
      <c r="DQK69" s="594"/>
      <c r="DQL69" s="594"/>
      <c r="DQM69" s="594"/>
      <c r="DQN69" s="594"/>
      <c r="DQO69" s="594"/>
      <c r="DQP69" s="594"/>
      <c r="DQQ69" s="594"/>
      <c r="DQR69" s="594"/>
      <c r="DQS69" s="594"/>
      <c r="DQT69" s="594"/>
      <c r="DQU69" s="594"/>
      <c r="DQV69" s="594"/>
      <c r="DQW69" s="594"/>
      <c r="DQX69" s="594"/>
      <c r="DQY69" s="594"/>
      <c r="DQZ69" s="594"/>
      <c r="DRA69" s="594"/>
      <c r="DRB69" s="594"/>
      <c r="DRC69" s="594"/>
      <c r="DRD69" s="594"/>
      <c r="DRE69" s="594"/>
      <c r="DRF69" s="594"/>
      <c r="DRG69" s="594"/>
      <c r="DRH69" s="594"/>
      <c r="DRI69" s="594"/>
      <c r="DRJ69" s="594"/>
      <c r="DRK69" s="594"/>
      <c r="DRL69" s="594"/>
      <c r="DRM69" s="594"/>
      <c r="DRN69" s="594"/>
      <c r="DRO69" s="594"/>
      <c r="DRP69" s="594"/>
      <c r="DRQ69" s="594"/>
      <c r="DRR69" s="594"/>
      <c r="DRS69" s="594"/>
      <c r="DRT69" s="594"/>
      <c r="DRU69" s="594"/>
      <c r="DRV69" s="594"/>
      <c r="DRW69" s="594"/>
      <c r="DRX69" s="594"/>
      <c r="DRY69" s="594"/>
      <c r="DRZ69" s="594"/>
      <c r="DSA69" s="594"/>
      <c r="DSB69" s="594"/>
      <c r="DSC69" s="594"/>
      <c r="DSD69" s="594"/>
      <c r="DSE69" s="594"/>
      <c r="DSF69" s="594"/>
      <c r="DSG69" s="594"/>
      <c r="DSH69" s="594"/>
      <c r="DSI69" s="594"/>
      <c r="DSJ69" s="594"/>
      <c r="DSK69" s="594"/>
      <c r="DSL69" s="594"/>
      <c r="DSM69" s="594"/>
      <c r="DSN69" s="594"/>
      <c r="DSO69" s="594"/>
      <c r="DSP69" s="594"/>
      <c r="DSQ69" s="594"/>
      <c r="DSR69" s="594"/>
      <c r="DSS69" s="594"/>
      <c r="DST69" s="594"/>
      <c r="DSU69" s="594"/>
      <c r="DSV69" s="594"/>
      <c r="DSW69" s="594"/>
      <c r="DSX69" s="594"/>
      <c r="DSY69" s="594"/>
      <c r="DSZ69" s="594"/>
      <c r="DTA69" s="594"/>
      <c r="DTB69" s="594"/>
      <c r="DTC69" s="594"/>
      <c r="DTD69" s="594"/>
      <c r="DTE69" s="594"/>
      <c r="DTF69" s="594"/>
      <c r="DTG69" s="594"/>
      <c r="DTH69" s="594"/>
      <c r="DTI69" s="594"/>
      <c r="DTJ69" s="594"/>
      <c r="DTK69" s="594"/>
      <c r="DTL69" s="594"/>
      <c r="DTM69" s="594"/>
      <c r="DTN69" s="594"/>
      <c r="DTO69" s="594"/>
      <c r="DTP69" s="594"/>
      <c r="DTQ69" s="594"/>
      <c r="DTR69" s="594"/>
      <c r="DTS69" s="594"/>
      <c r="DTT69" s="594"/>
      <c r="DTU69" s="594"/>
      <c r="DTV69" s="594"/>
      <c r="DTW69" s="594"/>
      <c r="DTX69" s="594"/>
      <c r="DTY69" s="594"/>
      <c r="DTZ69" s="594"/>
      <c r="DUA69" s="594"/>
      <c r="DUB69" s="594"/>
      <c r="DUC69" s="594"/>
      <c r="DUD69" s="594"/>
      <c r="DUE69" s="594"/>
      <c r="DUF69" s="594"/>
      <c r="DUG69" s="594"/>
      <c r="DUH69" s="594"/>
      <c r="DUI69" s="594"/>
      <c r="DUJ69" s="594"/>
      <c r="DUK69" s="594"/>
      <c r="DUL69" s="594"/>
      <c r="DUM69" s="594"/>
      <c r="DUN69" s="594"/>
      <c r="DUO69" s="594"/>
      <c r="DUP69" s="594"/>
      <c r="DUQ69" s="594"/>
      <c r="DUR69" s="594"/>
      <c r="DUS69" s="594"/>
      <c r="DUT69" s="594"/>
      <c r="DUU69" s="594"/>
      <c r="DUV69" s="594"/>
      <c r="DUW69" s="594"/>
      <c r="DUX69" s="594"/>
      <c r="DUY69" s="594"/>
      <c r="DUZ69" s="594"/>
      <c r="DVA69" s="594"/>
      <c r="DVB69" s="594"/>
      <c r="DVC69" s="594"/>
      <c r="DVD69" s="594"/>
      <c r="DVE69" s="594"/>
      <c r="DVF69" s="594"/>
      <c r="DVG69" s="594"/>
      <c r="DVH69" s="594"/>
      <c r="DVI69" s="594"/>
      <c r="DVJ69" s="594"/>
      <c r="DVK69" s="594"/>
      <c r="DVL69" s="594"/>
      <c r="DVM69" s="594"/>
      <c r="DVN69" s="594"/>
      <c r="DVO69" s="594"/>
      <c r="DVP69" s="594"/>
      <c r="DVQ69" s="594"/>
      <c r="DVR69" s="594"/>
      <c r="DVS69" s="594"/>
      <c r="DVT69" s="594"/>
      <c r="DVU69" s="594"/>
      <c r="DVV69" s="594"/>
      <c r="DVW69" s="594"/>
      <c r="DVX69" s="594"/>
      <c r="DVY69" s="594"/>
      <c r="DVZ69" s="594"/>
      <c r="DWA69" s="594"/>
      <c r="DWB69" s="594"/>
      <c r="DWC69" s="594"/>
      <c r="DWD69" s="594"/>
      <c r="DWE69" s="594"/>
      <c r="DWF69" s="594"/>
      <c r="DWG69" s="594"/>
      <c r="DWH69" s="594"/>
      <c r="DWI69" s="594"/>
      <c r="DWJ69" s="594"/>
      <c r="DWK69" s="594"/>
      <c r="DWL69" s="594"/>
      <c r="DWM69" s="594"/>
      <c r="DWN69" s="594"/>
      <c r="DWO69" s="594"/>
      <c r="DWP69" s="594"/>
      <c r="DWQ69" s="594"/>
      <c r="DWR69" s="594"/>
      <c r="DWS69" s="594"/>
      <c r="DWT69" s="594"/>
      <c r="DWU69" s="594"/>
      <c r="DWV69" s="594"/>
      <c r="DWW69" s="594"/>
      <c r="DWX69" s="594"/>
      <c r="DWY69" s="594"/>
      <c r="DWZ69" s="594"/>
      <c r="DXA69" s="594"/>
      <c r="DXB69" s="594"/>
      <c r="DXC69" s="594"/>
      <c r="DXD69" s="594"/>
      <c r="DXE69" s="594"/>
      <c r="DXF69" s="594"/>
      <c r="DXG69" s="594"/>
      <c r="DXH69" s="594"/>
      <c r="DXI69" s="594"/>
      <c r="DXJ69" s="594"/>
      <c r="DXK69" s="594"/>
      <c r="DXL69" s="594"/>
      <c r="DXM69" s="594"/>
      <c r="DXN69" s="594"/>
      <c r="DXO69" s="594"/>
      <c r="DXP69" s="594"/>
      <c r="DXQ69" s="594"/>
      <c r="DXR69" s="594"/>
      <c r="DXS69" s="594"/>
      <c r="DXT69" s="594"/>
      <c r="DXU69" s="594"/>
      <c r="DXV69" s="594"/>
      <c r="DXW69" s="594"/>
      <c r="DXX69" s="594"/>
      <c r="DXY69" s="594"/>
      <c r="DXZ69" s="594"/>
      <c r="DYA69" s="594"/>
      <c r="DYB69" s="594"/>
      <c r="DYC69" s="594"/>
      <c r="DYD69" s="594"/>
      <c r="DYE69" s="594"/>
      <c r="DYF69" s="594"/>
      <c r="DYG69" s="594"/>
      <c r="DYH69" s="594"/>
      <c r="DYI69" s="594"/>
      <c r="DYJ69" s="594"/>
      <c r="DYK69" s="594"/>
      <c r="DYL69" s="594"/>
      <c r="DYM69" s="594"/>
      <c r="DYN69" s="594"/>
      <c r="DYO69" s="594"/>
      <c r="DYP69" s="594"/>
      <c r="DYQ69" s="594"/>
      <c r="DYR69" s="594"/>
      <c r="DYS69" s="594"/>
      <c r="DYT69" s="594"/>
      <c r="DYU69" s="594"/>
      <c r="DYV69" s="594"/>
      <c r="DYW69" s="594"/>
      <c r="DYX69" s="594"/>
      <c r="DYY69" s="594"/>
      <c r="DYZ69" s="594"/>
      <c r="DZA69" s="594"/>
      <c r="DZB69" s="594"/>
      <c r="DZC69" s="594"/>
      <c r="DZD69" s="594"/>
      <c r="DZE69" s="594"/>
      <c r="DZF69" s="594"/>
      <c r="DZG69" s="594"/>
      <c r="DZH69" s="594"/>
      <c r="DZI69" s="594"/>
      <c r="DZJ69" s="594"/>
      <c r="DZK69" s="594"/>
      <c r="DZL69" s="594"/>
      <c r="DZM69" s="594"/>
      <c r="DZN69" s="594"/>
      <c r="DZO69" s="594"/>
      <c r="DZP69" s="594"/>
      <c r="DZQ69" s="594"/>
      <c r="DZR69" s="594"/>
      <c r="DZS69" s="594"/>
      <c r="DZT69" s="594"/>
      <c r="DZU69" s="594"/>
      <c r="DZV69" s="594"/>
      <c r="DZW69" s="594"/>
      <c r="DZX69" s="594"/>
      <c r="DZY69" s="594"/>
      <c r="DZZ69" s="594"/>
      <c r="EAA69" s="594"/>
      <c r="EAB69" s="594"/>
      <c r="EAC69" s="594"/>
      <c r="EAD69" s="594"/>
      <c r="EAE69" s="594"/>
      <c r="EAF69" s="594"/>
      <c r="EAG69" s="594"/>
      <c r="EAH69" s="594"/>
      <c r="EAI69" s="594"/>
      <c r="EAJ69" s="594"/>
      <c r="EAK69" s="594"/>
      <c r="EAL69" s="594"/>
      <c r="EAM69" s="594"/>
      <c r="EAN69" s="594"/>
      <c r="EAO69" s="594"/>
      <c r="EAP69" s="594"/>
      <c r="EAQ69" s="594"/>
      <c r="EAR69" s="594"/>
      <c r="EAS69" s="594"/>
      <c r="EAT69" s="594"/>
      <c r="EAU69" s="594"/>
      <c r="EAV69" s="594"/>
      <c r="EAW69" s="594"/>
      <c r="EAX69" s="594"/>
      <c r="EAY69" s="594"/>
      <c r="EAZ69" s="594"/>
      <c r="EBA69" s="594"/>
      <c r="EBB69" s="594"/>
      <c r="EBC69" s="594"/>
      <c r="EBD69" s="594"/>
      <c r="EBE69" s="594"/>
      <c r="EBF69" s="594"/>
      <c r="EBG69" s="594"/>
      <c r="EBH69" s="594"/>
      <c r="EBI69" s="594"/>
      <c r="EBJ69" s="594"/>
      <c r="EBK69" s="594"/>
      <c r="EBL69" s="594"/>
      <c r="EBM69" s="594"/>
      <c r="EBN69" s="594"/>
      <c r="EBO69" s="594"/>
      <c r="EBP69" s="594"/>
      <c r="EBQ69" s="594"/>
      <c r="EBR69" s="594"/>
      <c r="EBS69" s="594"/>
      <c r="EBT69" s="594"/>
      <c r="EBU69" s="594"/>
      <c r="EBV69" s="594"/>
      <c r="EBW69" s="594"/>
      <c r="EBX69" s="594"/>
      <c r="EBY69" s="594"/>
      <c r="EBZ69" s="594"/>
      <c r="ECA69" s="594"/>
      <c r="ECB69" s="594"/>
      <c r="ECC69" s="594"/>
      <c r="ECD69" s="594"/>
      <c r="ECE69" s="594"/>
      <c r="ECF69" s="594"/>
      <c r="ECG69" s="594"/>
      <c r="ECH69" s="594"/>
      <c r="ECI69" s="594"/>
      <c r="ECJ69" s="594"/>
      <c r="ECK69" s="594"/>
      <c r="ECL69" s="594"/>
      <c r="ECM69" s="594"/>
      <c r="ECN69" s="594"/>
      <c r="ECO69" s="594"/>
      <c r="ECP69" s="594"/>
      <c r="ECQ69" s="594"/>
      <c r="ECR69" s="594"/>
      <c r="ECS69" s="594"/>
      <c r="ECT69" s="594"/>
      <c r="ECU69" s="594"/>
      <c r="ECV69" s="594"/>
      <c r="ECW69" s="594"/>
      <c r="ECX69" s="594"/>
      <c r="ECY69" s="594"/>
      <c r="ECZ69" s="594"/>
      <c r="EDA69" s="594"/>
      <c r="EDB69" s="594"/>
      <c r="EDC69" s="594"/>
      <c r="EDD69" s="594"/>
      <c r="EDE69" s="594"/>
      <c r="EDF69" s="594"/>
      <c r="EDG69" s="594"/>
      <c r="EDH69" s="594"/>
      <c r="EDI69" s="594"/>
      <c r="EDJ69" s="594"/>
      <c r="EDK69" s="594"/>
      <c r="EDL69" s="594"/>
      <c r="EDM69" s="594"/>
      <c r="EDN69" s="594"/>
      <c r="EDO69" s="594"/>
      <c r="EDP69" s="594"/>
      <c r="EDQ69" s="594"/>
      <c r="EDR69" s="594"/>
      <c r="EDS69" s="594"/>
      <c r="EDT69" s="594"/>
      <c r="EDU69" s="594"/>
      <c r="EDV69" s="594"/>
      <c r="EDW69" s="594"/>
      <c r="EDX69" s="594"/>
      <c r="EDY69" s="594"/>
      <c r="EDZ69" s="594"/>
      <c r="EEA69" s="594"/>
      <c r="EEB69" s="594"/>
      <c r="EEC69" s="594"/>
      <c r="EED69" s="594"/>
      <c r="EEE69" s="594"/>
      <c r="EEF69" s="594"/>
      <c r="EEG69" s="594"/>
      <c r="EEH69" s="594"/>
      <c r="EEI69" s="594"/>
      <c r="EEJ69" s="594"/>
      <c r="EEK69" s="594"/>
      <c r="EEL69" s="594"/>
      <c r="EEM69" s="594"/>
      <c r="EEN69" s="594"/>
      <c r="EEO69" s="594"/>
      <c r="EEP69" s="594"/>
      <c r="EEQ69" s="594"/>
      <c r="EER69" s="594"/>
      <c r="EES69" s="594"/>
      <c r="EET69" s="594"/>
      <c r="EEU69" s="594"/>
      <c r="EEV69" s="594"/>
      <c r="EEW69" s="594"/>
      <c r="EEX69" s="594"/>
      <c r="EEY69" s="594"/>
      <c r="EEZ69" s="594"/>
      <c r="EFA69" s="594"/>
      <c r="EFB69" s="594"/>
      <c r="EFC69" s="594"/>
      <c r="EFD69" s="594"/>
      <c r="EFE69" s="594"/>
      <c r="EFF69" s="594"/>
      <c r="EFG69" s="594"/>
      <c r="EFH69" s="594"/>
      <c r="EFI69" s="594"/>
      <c r="EFJ69" s="594"/>
      <c r="EFK69" s="594"/>
      <c r="EFL69" s="594"/>
      <c r="EFM69" s="594"/>
      <c r="EFN69" s="594"/>
      <c r="EFO69" s="594"/>
      <c r="EFP69" s="594"/>
      <c r="EFQ69" s="594"/>
      <c r="EFR69" s="594"/>
      <c r="EFS69" s="594"/>
      <c r="EFT69" s="594"/>
      <c r="EFU69" s="594"/>
      <c r="EFV69" s="594"/>
      <c r="EFW69" s="594"/>
      <c r="EFX69" s="594"/>
      <c r="EFY69" s="594"/>
      <c r="EFZ69" s="594"/>
      <c r="EGA69" s="594"/>
      <c r="EGB69" s="594"/>
      <c r="EGC69" s="594"/>
      <c r="EGD69" s="594"/>
      <c r="EGE69" s="594"/>
      <c r="EGF69" s="594"/>
      <c r="EGG69" s="594"/>
      <c r="EGH69" s="594"/>
      <c r="EGI69" s="594"/>
      <c r="EGJ69" s="594"/>
      <c r="EGK69" s="594"/>
      <c r="EGL69" s="594"/>
      <c r="EGM69" s="594"/>
      <c r="EGN69" s="594"/>
      <c r="EGO69" s="594"/>
      <c r="EGP69" s="594"/>
      <c r="EGQ69" s="594"/>
      <c r="EGR69" s="594"/>
      <c r="EGS69" s="594"/>
      <c r="EGT69" s="594"/>
      <c r="EGU69" s="594"/>
      <c r="EGV69" s="594"/>
      <c r="EGW69" s="594"/>
      <c r="EGX69" s="594"/>
      <c r="EGY69" s="594"/>
      <c r="EGZ69" s="594"/>
      <c r="EHA69" s="594"/>
      <c r="EHB69" s="594"/>
      <c r="EHC69" s="594"/>
      <c r="EHD69" s="594"/>
      <c r="EHE69" s="594"/>
      <c r="EHF69" s="594"/>
      <c r="EHG69" s="594"/>
      <c r="EHH69" s="594"/>
      <c r="EHI69" s="594"/>
      <c r="EHJ69" s="594"/>
      <c r="EHK69" s="594"/>
      <c r="EHL69" s="594"/>
      <c r="EHM69" s="594"/>
      <c r="EHN69" s="594"/>
      <c r="EHO69" s="594"/>
      <c r="EHP69" s="594"/>
      <c r="EHQ69" s="594"/>
      <c r="EHR69" s="594"/>
      <c r="EHS69" s="594"/>
      <c r="EHT69" s="594"/>
      <c r="EHU69" s="594"/>
      <c r="EHV69" s="594"/>
      <c r="EHW69" s="594"/>
      <c r="EHX69" s="594"/>
      <c r="EHY69" s="594"/>
      <c r="EHZ69" s="594"/>
      <c r="EIA69" s="594"/>
      <c r="EIB69" s="594"/>
      <c r="EIC69" s="594"/>
      <c r="EID69" s="594"/>
      <c r="EIE69" s="594"/>
      <c r="EIF69" s="594"/>
      <c r="EIG69" s="594"/>
      <c r="EIH69" s="594"/>
      <c r="EII69" s="594"/>
      <c r="EIJ69" s="594"/>
      <c r="EIK69" s="594"/>
      <c r="EIL69" s="594"/>
      <c r="EIM69" s="594"/>
      <c r="EIN69" s="594"/>
      <c r="EIO69" s="594"/>
      <c r="EIP69" s="594"/>
      <c r="EIQ69" s="594"/>
      <c r="EIR69" s="594"/>
      <c r="EIS69" s="594"/>
      <c r="EIT69" s="594"/>
      <c r="EIU69" s="594"/>
      <c r="EIV69" s="594"/>
      <c r="EIW69" s="594"/>
      <c r="EIX69" s="594"/>
      <c r="EIY69" s="594"/>
      <c r="EIZ69" s="594"/>
      <c r="EJA69" s="594"/>
      <c r="EJB69" s="594"/>
      <c r="EJC69" s="594"/>
      <c r="EJD69" s="594"/>
      <c r="EJE69" s="594"/>
      <c r="EJF69" s="594"/>
      <c r="EJG69" s="594"/>
      <c r="EJH69" s="594"/>
      <c r="EJI69" s="594"/>
      <c r="EJJ69" s="594"/>
      <c r="EJK69" s="594"/>
      <c r="EJL69" s="594"/>
      <c r="EJM69" s="594"/>
      <c r="EJN69" s="594"/>
      <c r="EJO69" s="594"/>
      <c r="EJP69" s="594"/>
      <c r="EJQ69" s="594"/>
      <c r="EJR69" s="594"/>
      <c r="EJS69" s="594"/>
      <c r="EJT69" s="594"/>
      <c r="EJU69" s="594"/>
      <c r="EJV69" s="594"/>
      <c r="EJW69" s="594"/>
      <c r="EJX69" s="594"/>
      <c r="EJY69" s="594"/>
      <c r="EJZ69" s="594"/>
      <c r="EKA69" s="594"/>
      <c r="EKB69" s="594"/>
      <c r="EKC69" s="594"/>
      <c r="EKD69" s="594"/>
      <c r="EKE69" s="594"/>
      <c r="EKF69" s="594"/>
      <c r="EKG69" s="594"/>
      <c r="EKH69" s="594"/>
      <c r="EKI69" s="594"/>
      <c r="EKJ69" s="594"/>
      <c r="EKK69" s="594"/>
      <c r="EKL69" s="594"/>
      <c r="EKM69" s="594"/>
      <c r="EKN69" s="594"/>
      <c r="EKO69" s="594"/>
      <c r="EKP69" s="594"/>
      <c r="EKQ69" s="594"/>
      <c r="EKR69" s="594"/>
      <c r="EKS69" s="594"/>
      <c r="EKT69" s="594"/>
      <c r="EKU69" s="594"/>
      <c r="EKV69" s="594"/>
      <c r="EKW69" s="594"/>
      <c r="EKX69" s="594"/>
      <c r="EKY69" s="594"/>
      <c r="EKZ69" s="594"/>
      <c r="ELA69" s="594"/>
      <c r="ELB69" s="594"/>
      <c r="ELC69" s="594"/>
      <c r="ELD69" s="594"/>
      <c r="ELE69" s="594"/>
      <c r="ELF69" s="594"/>
      <c r="ELG69" s="594"/>
      <c r="ELH69" s="594"/>
      <c r="ELI69" s="594"/>
      <c r="ELJ69" s="594"/>
      <c r="ELK69" s="594"/>
      <c r="ELL69" s="594"/>
      <c r="ELM69" s="594"/>
      <c r="ELN69" s="594"/>
      <c r="ELO69" s="594"/>
      <c r="ELP69" s="594"/>
      <c r="ELQ69" s="594"/>
      <c r="ELR69" s="594"/>
      <c r="ELS69" s="594"/>
      <c r="ELT69" s="594"/>
      <c r="ELU69" s="594"/>
      <c r="ELV69" s="594"/>
      <c r="ELW69" s="594"/>
      <c r="ELX69" s="594"/>
      <c r="ELY69" s="594"/>
      <c r="ELZ69" s="594"/>
      <c r="EMA69" s="594"/>
      <c r="EMB69" s="594"/>
      <c r="EMC69" s="594"/>
      <c r="EMD69" s="594"/>
      <c r="EME69" s="594"/>
      <c r="EMF69" s="594"/>
      <c r="EMG69" s="594"/>
      <c r="EMH69" s="594"/>
      <c r="EMI69" s="594"/>
      <c r="EMJ69" s="594"/>
      <c r="EMK69" s="594"/>
      <c r="EML69" s="594"/>
      <c r="EMM69" s="594"/>
      <c r="EMN69" s="594"/>
      <c r="EMO69" s="594"/>
      <c r="EMP69" s="594"/>
      <c r="EMQ69" s="594"/>
      <c r="EMR69" s="594"/>
      <c r="EMS69" s="594"/>
      <c r="EMT69" s="594"/>
      <c r="EMU69" s="594"/>
      <c r="EMV69" s="594"/>
      <c r="EMW69" s="594"/>
      <c r="EMX69" s="594"/>
      <c r="EMY69" s="594"/>
      <c r="EMZ69" s="594"/>
      <c r="ENA69" s="594"/>
      <c r="ENB69" s="594"/>
      <c r="ENC69" s="594"/>
      <c r="END69" s="594"/>
      <c r="ENE69" s="594"/>
      <c r="ENF69" s="594"/>
      <c r="ENG69" s="594"/>
      <c r="ENH69" s="594"/>
      <c r="ENI69" s="594"/>
      <c r="ENJ69" s="594"/>
      <c r="ENK69" s="594"/>
      <c r="ENL69" s="594"/>
      <c r="ENM69" s="594"/>
      <c r="ENN69" s="594"/>
      <c r="ENO69" s="594"/>
      <c r="ENP69" s="594"/>
      <c r="ENQ69" s="594"/>
      <c r="ENR69" s="594"/>
      <c r="ENS69" s="594"/>
      <c r="ENT69" s="594"/>
      <c r="ENU69" s="594"/>
      <c r="ENV69" s="594"/>
      <c r="ENW69" s="594"/>
      <c r="ENX69" s="594"/>
      <c r="ENY69" s="594"/>
      <c r="ENZ69" s="594"/>
      <c r="EOA69" s="594"/>
      <c r="EOB69" s="594"/>
      <c r="EOC69" s="594"/>
      <c r="EOD69" s="594"/>
      <c r="EOE69" s="594"/>
      <c r="EOF69" s="594"/>
      <c r="EOG69" s="594"/>
      <c r="EOH69" s="594"/>
      <c r="EOI69" s="594"/>
      <c r="EOJ69" s="594"/>
      <c r="EOK69" s="594"/>
      <c r="EOL69" s="594"/>
      <c r="EOM69" s="594"/>
      <c r="EON69" s="594"/>
      <c r="EOO69" s="594"/>
      <c r="EOP69" s="594"/>
      <c r="EOQ69" s="594"/>
      <c r="EOR69" s="594"/>
      <c r="EOS69" s="594"/>
      <c r="EOT69" s="594"/>
      <c r="EOU69" s="594"/>
      <c r="EOV69" s="594"/>
      <c r="EOW69" s="594"/>
      <c r="EOX69" s="594"/>
      <c r="EOY69" s="594"/>
      <c r="EOZ69" s="594"/>
      <c r="EPA69" s="594"/>
      <c r="EPB69" s="594"/>
      <c r="EPC69" s="594"/>
      <c r="EPD69" s="594"/>
      <c r="EPE69" s="594"/>
      <c r="EPF69" s="594"/>
      <c r="EPG69" s="594"/>
      <c r="EPH69" s="594"/>
      <c r="EPI69" s="594"/>
      <c r="EPJ69" s="594"/>
      <c r="EPK69" s="594"/>
      <c r="EPL69" s="594"/>
      <c r="EPM69" s="594"/>
      <c r="EPN69" s="594"/>
      <c r="EPO69" s="594"/>
      <c r="EPP69" s="594"/>
      <c r="EPQ69" s="594"/>
      <c r="EPR69" s="594"/>
      <c r="EPS69" s="594"/>
      <c r="EPT69" s="594"/>
      <c r="EPU69" s="594"/>
      <c r="EPV69" s="594"/>
      <c r="EPW69" s="594"/>
      <c r="EPX69" s="594"/>
      <c r="EPY69" s="594"/>
      <c r="EPZ69" s="594"/>
      <c r="EQA69" s="594"/>
      <c r="EQB69" s="594"/>
      <c r="EQC69" s="594"/>
      <c r="EQD69" s="594"/>
      <c r="EQE69" s="594"/>
      <c r="EQF69" s="594"/>
      <c r="EQG69" s="594"/>
      <c r="EQH69" s="594"/>
      <c r="EQI69" s="594"/>
      <c r="EQJ69" s="594"/>
      <c r="EQK69" s="594"/>
      <c r="EQL69" s="594"/>
      <c r="EQM69" s="594"/>
      <c r="EQN69" s="594"/>
      <c r="EQO69" s="594"/>
      <c r="EQP69" s="594"/>
      <c r="EQQ69" s="594"/>
      <c r="EQR69" s="594"/>
      <c r="EQS69" s="594"/>
      <c r="EQT69" s="594"/>
      <c r="EQU69" s="594"/>
      <c r="EQV69" s="594"/>
      <c r="EQW69" s="594"/>
      <c r="EQX69" s="594"/>
      <c r="EQY69" s="594"/>
      <c r="EQZ69" s="594"/>
      <c r="ERA69" s="594"/>
      <c r="ERB69" s="594"/>
      <c r="ERC69" s="594"/>
      <c r="ERD69" s="594"/>
      <c r="ERE69" s="594"/>
      <c r="ERF69" s="594"/>
      <c r="ERG69" s="594"/>
      <c r="ERH69" s="594"/>
      <c r="ERI69" s="594"/>
      <c r="ERJ69" s="594"/>
      <c r="ERK69" s="594"/>
      <c r="ERL69" s="594"/>
      <c r="ERM69" s="594"/>
      <c r="ERN69" s="594"/>
      <c r="ERO69" s="594"/>
      <c r="ERP69" s="594"/>
      <c r="ERQ69" s="594"/>
      <c r="ERR69" s="594"/>
      <c r="ERS69" s="594"/>
      <c r="ERT69" s="594"/>
      <c r="ERU69" s="594"/>
      <c r="ERV69" s="594"/>
      <c r="ERW69" s="594"/>
      <c r="ERX69" s="594"/>
      <c r="ERY69" s="594"/>
      <c r="ERZ69" s="594"/>
      <c r="ESA69" s="594"/>
      <c r="ESB69" s="594"/>
      <c r="ESC69" s="594"/>
      <c r="ESD69" s="594"/>
      <c r="ESE69" s="594"/>
      <c r="ESF69" s="594"/>
      <c r="ESG69" s="594"/>
      <c r="ESH69" s="594"/>
      <c r="ESI69" s="594"/>
      <c r="ESJ69" s="594"/>
      <c r="ESK69" s="594"/>
      <c r="ESL69" s="594"/>
      <c r="ESM69" s="594"/>
      <c r="ESN69" s="594"/>
      <c r="ESO69" s="594"/>
      <c r="ESP69" s="594"/>
      <c r="ESQ69" s="594"/>
      <c r="ESR69" s="594"/>
      <c r="ESS69" s="594"/>
      <c r="EST69" s="594"/>
      <c r="ESU69" s="594"/>
      <c r="ESV69" s="594"/>
      <c r="ESW69" s="594"/>
      <c r="ESX69" s="594"/>
      <c r="ESY69" s="594"/>
      <c r="ESZ69" s="594"/>
      <c r="ETA69" s="594"/>
      <c r="ETB69" s="594"/>
      <c r="ETC69" s="594"/>
      <c r="ETD69" s="594"/>
      <c r="ETE69" s="594"/>
      <c r="ETF69" s="594"/>
      <c r="ETG69" s="594"/>
      <c r="ETH69" s="594"/>
      <c r="ETI69" s="594"/>
      <c r="ETJ69" s="594"/>
      <c r="ETK69" s="594"/>
      <c r="ETL69" s="594"/>
      <c r="ETM69" s="594"/>
      <c r="ETN69" s="594"/>
      <c r="ETO69" s="594"/>
      <c r="ETP69" s="594"/>
      <c r="ETQ69" s="594"/>
      <c r="ETR69" s="594"/>
      <c r="ETS69" s="594"/>
      <c r="ETT69" s="594"/>
      <c r="ETU69" s="594"/>
      <c r="ETV69" s="594"/>
      <c r="ETW69" s="594"/>
      <c r="ETX69" s="594"/>
      <c r="ETY69" s="594"/>
      <c r="ETZ69" s="594"/>
      <c r="EUA69" s="594"/>
      <c r="EUB69" s="594"/>
      <c r="EUC69" s="594"/>
      <c r="EUD69" s="594"/>
      <c r="EUE69" s="594"/>
      <c r="EUF69" s="594"/>
      <c r="EUG69" s="594"/>
      <c r="EUH69" s="594"/>
      <c r="EUI69" s="594"/>
      <c r="EUJ69" s="594"/>
      <c r="EUK69" s="594"/>
      <c r="EUL69" s="594"/>
      <c r="EUM69" s="594"/>
      <c r="EUN69" s="594"/>
      <c r="EUO69" s="594"/>
      <c r="EUP69" s="594"/>
      <c r="EUQ69" s="594"/>
      <c r="EUR69" s="594"/>
      <c r="EUS69" s="594"/>
      <c r="EUT69" s="594"/>
      <c r="EUU69" s="594"/>
      <c r="EUV69" s="594"/>
      <c r="EUW69" s="594"/>
      <c r="EUX69" s="594"/>
      <c r="EUY69" s="594"/>
      <c r="EUZ69" s="594"/>
      <c r="EVA69" s="594"/>
      <c r="EVB69" s="594"/>
      <c r="EVC69" s="594"/>
      <c r="EVD69" s="594"/>
      <c r="EVE69" s="594"/>
      <c r="EVF69" s="594"/>
      <c r="EVG69" s="594"/>
      <c r="EVH69" s="594"/>
      <c r="EVI69" s="594"/>
      <c r="EVJ69" s="594"/>
      <c r="EVK69" s="594"/>
      <c r="EVL69" s="594"/>
      <c r="EVM69" s="594"/>
      <c r="EVN69" s="594"/>
      <c r="EVO69" s="594"/>
      <c r="EVP69" s="594"/>
      <c r="EVQ69" s="594"/>
      <c r="EVR69" s="594"/>
      <c r="EVS69" s="594"/>
      <c r="EVT69" s="594"/>
      <c r="EVU69" s="594"/>
      <c r="EVV69" s="594"/>
      <c r="EVW69" s="594"/>
      <c r="EVX69" s="594"/>
      <c r="EVY69" s="594"/>
      <c r="EVZ69" s="594"/>
      <c r="EWA69" s="594"/>
      <c r="EWB69" s="594"/>
      <c r="EWC69" s="594"/>
      <c r="EWD69" s="594"/>
      <c r="EWE69" s="594"/>
      <c r="EWF69" s="594"/>
      <c r="EWG69" s="594"/>
      <c r="EWH69" s="594"/>
      <c r="EWI69" s="594"/>
      <c r="EWJ69" s="594"/>
      <c r="EWK69" s="594"/>
      <c r="EWL69" s="594"/>
      <c r="EWM69" s="594"/>
      <c r="EWN69" s="594"/>
      <c r="EWO69" s="594"/>
      <c r="EWP69" s="594"/>
      <c r="EWQ69" s="594"/>
      <c r="EWR69" s="594"/>
      <c r="EWS69" s="594"/>
      <c r="EWT69" s="594"/>
      <c r="EWU69" s="594"/>
      <c r="EWV69" s="594"/>
      <c r="EWW69" s="594"/>
      <c r="EWX69" s="594"/>
      <c r="EWY69" s="594"/>
      <c r="EWZ69" s="594"/>
      <c r="EXA69" s="594"/>
      <c r="EXB69" s="594"/>
      <c r="EXC69" s="594"/>
      <c r="EXD69" s="594"/>
      <c r="EXE69" s="594"/>
      <c r="EXF69" s="594"/>
      <c r="EXG69" s="594"/>
      <c r="EXH69" s="594"/>
      <c r="EXI69" s="594"/>
      <c r="EXJ69" s="594"/>
      <c r="EXK69" s="594"/>
      <c r="EXL69" s="594"/>
      <c r="EXM69" s="594"/>
      <c r="EXN69" s="594"/>
      <c r="EXO69" s="594"/>
      <c r="EXP69" s="594"/>
      <c r="EXQ69" s="594"/>
      <c r="EXR69" s="594"/>
      <c r="EXS69" s="594"/>
      <c r="EXT69" s="594"/>
      <c r="EXU69" s="594"/>
      <c r="EXV69" s="594"/>
      <c r="EXW69" s="594"/>
      <c r="EXX69" s="594"/>
      <c r="EXY69" s="594"/>
      <c r="EXZ69" s="594"/>
      <c r="EYA69" s="594"/>
      <c r="EYB69" s="594"/>
      <c r="EYC69" s="594"/>
      <c r="EYD69" s="594"/>
      <c r="EYE69" s="594"/>
      <c r="EYF69" s="594"/>
      <c r="EYG69" s="594"/>
      <c r="EYH69" s="594"/>
      <c r="EYI69" s="594"/>
      <c r="EYJ69" s="594"/>
      <c r="EYK69" s="594"/>
      <c r="EYL69" s="594"/>
      <c r="EYM69" s="594"/>
      <c r="EYN69" s="594"/>
      <c r="EYO69" s="594"/>
      <c r="EYP69" s="594"/>
      <c r="EYQ69" s="594"/>
      <c r="EYR69" s="594"/>
      <c r="EYS69" s="594"/>
      <c r="EYT69" s="594"/>
      <c r="EYU69" s="594"/>
      <c r="EYV69" s="594"/>
      <c r="EYW69" s="594"/>
      <c r="EYX69" s="594"/>
      <c r="EYY69" s="594"/>
      <c r="EYZ69" s="594"/>
      <c r="EZA69" s="594"/>
      <c r="EZB69" s="594"/>
      <c r="EZC69" s="594"/>
      <c r="EZD69" s="594"/>
      <c r="EZE69" s="594"/>
      <c r="EZF69" s="594"/>
      <c r="EZG69" s="594"/>
      <c r="EZH69" s="594"/>
      <c r="EZI69" s="594"/>
      <c r="EZJ69" s="594"/>
      <c r="EZK69" s="594"/>
      <c r="EZL69" s="594"/>
      <c r="EZM69" s="594"/>
      <c r="EZN69" s="594"/>
      <c r="EZO69" s="594"/>
      <c r="EZP69" s="594"/>
      <c r="EZQ69" s="594"/>
      <c r="EZR69" s="594"/>
      <c r="EZS69" s="594"/>
      <c r="EZT69" s="594"/>
      <c r="EZU69" s="594"/>
      <c r="EZV69" s="594"/>
      <c r="EZW69" s="594"/>
      <c r="EZX69" s="594"/>
      <c r="EZY69" s="594"/>
      <c r="EZZ69" s="594"/>
      <c r="FAA69" s="594"/>
      <c r="FAB69" s="594"/>
      <c r="FAC69" s="594"/>
      <c r="FAD69" s="594"/>
      <c r="FAE69" s="594"/>
      <c r="FAF69" s="594"/>
      <c r="FAG69" s="594"/>
      <c r="FAH69" s="594"/>
      <c r="FAI69" s="594"/>
      <c r="FAJ69" s="594"/>
      <c r="FAK69" s="594"/>
      <c r="FAL69" s="594"/>
      <c r="FAM69" s="594"/>
      <c r="FAN69" s="594"/>
      <c r="FAO69" s="594"/>
      <c r="FAP69" s="594"/>
      <c r="FAQ69" s="594"/>
      <c r="FAR69" s="594"/>
      <c r="FAS69" s="594"/>
      <c r="FAT69" s="594"/>
      <c r="FAU69" s="594"/>
      <c r="FAV69" s="594"/>
      <c r="FAW69" s="594"/>
      <c r="FAX69" s="594"/>
      <c r="FAY69" s="594"/>
      <c r="FAZ69" s="594"/>
      <c r="FBA69" s="594"/>
      <c r="FBB69" s="594"/>
      <c r="FBC69" s="594"/>
      <c r="FBD69" s="594"/>
      <c r="FBE69" s="594"/>
      <c r="FBF69" s="594"/>
      <c r="FBG69" s="594"/>
      <c r="FBH69" s="594"/>
      <c r="FBI69" s="594"/>
      <c r="FBJ69" s="594"/>
      <c r="FBK69" s="594"/>
      <c r="FBL69" s="594"/>
      <c r="FBM69" s="594"/>
      <c r="FBN69" s="594"/>
      <c r="FBO69" s="594"/>
      <c r="FBP69" s="594"/>
      <c r="FBQ69" s="594"/>
      <c r="FBR69" s="594"/>
      <c r="FBS69" s="594"/>
      <c r="FBT69" s="594"/>
      <c r="FBU69" s="594"/>
      <c r="FBV69" s="594"/>
      <c r="FBW69" s="594"/>
      <c r="FBX69" s="594"/>
      <c r="FBY69" s="594"/>
      <c r="FBZ69" s="594"/>
      <c r="FCA69" s="594"/>
      <c r="FCB69" s="594"/>
      <c r="FCC69" s="594"/>
      <c r="FCD69" s="594"/>
      <c r="FCE69" s="594"/>
      <c r="FCF69" s="594"/>
      <c r="FCG69" s="594"/>
      <c r="FCH69" s="594"/>
      <c r="FCI69" s="594"/>
      <c r="FCJ69" s="594"/>
      <c r="FCK69" s="594"/>
      <c r="FCL69" s="594"/>
      <c r="FCM69" s="594"/>
      <c r="FCN69" s="594"/>
      <c r="FCO69" s="594"/>
      <c r="FCP69" s="594"/>
      <c r="FCQ69" s="594"/>
      <c r="FCR69" s="594"/>
      <c r="FCS69" s="594"/>
      <c r="FCT69" s="594"/>
      <c r="FCU69" s="594"/>
      <c r="FCV69" s="594"/>
      <c r="FCW69" s="594"/>
      <c r="FCX69" s="594"/>
      <c r="FCY69" s="594"/>
      <c r="FCZ69" s="594"/>
      <c r="FDA69" s="594"/>
      <c r="FDB69" s="594"/>
      <c r="FDC69" s="594"/>
      <c r="FDD69" s="594"/>
      <c r="FDE69" s="594"/>
      <c r="FDF69" s="594"/>
      <c r="FDG69" s="594"/>
      <c r="FDH69" s="594"/>
      <c r="FDI69" s="594"/>
      <c r="FDJ69" s="594"/>
      <c r="FDK69" s="594"/>
      <c r="FDL69" s="594"/>
      <c r="FDM69" s="594"/>
      <c r="FDN69" s="594"/>
      <c r="FDO69" s="594"/>
      <c r="FDP69" s="594"/>
      <c r="FDQ69" s="594"/>
      <c r="FDR69" s="594"/>
      <c r="FDS69" s="594"/>
      <c r="FDT69" s="594"/>
      <c r="FDU69" s="594"/>
      <c r="FDV69" s="594"/>
      <c r="FDW69" s="594"/>
      <c r="FDX69" s="594"/>
      <c r="FDY69" s="594"/>
      <c r="FDZ69" s="594"/>
      <c r="FEA69" s="594"/>
      <c r="FEB69" s="594"/>
      <c r="FEC69" s="594"/>
      <c r="FED69" s="594"/>
      <c r="FEE69" s="594"/>
      <c r="FEF69" s="594"/>
      <c r="FEG69" s="594"/>
      <c r="FEH69" s="594"/>
      <c r="FEI69" s="594"/>
      <c r="FEJ69" s="594"/>
      <c r="FEK69" s="594"/>
      <c r="FEL69" s="594"/>
      <c r="FEM69" s="594"/>
      <c r="FEN69" s="594"/>
      <c r="FEO69" s="594"/>
      <c r="FEP69" s="594"/>
      <c r="FEQ69" s="594"/>
      <c r="FER69" s="594"/>
      <c r="FES69" s="594"/>
      <c r="FET69" s="594"/>
      <c r="FEU69" s="594"/>
      <c r="FEV69" s="594"/>
      <c r="FEW69" s="594"/>
      <c r="FEX69" s="594"/>
      <c r="FEY69" s="594"/>
      <c r="FEZ69" s="594"/>
      <c r="FFA69" s="594"/>
      <c r="FFB69" s="594"/>
      <c r="FFC69" s="594"/>
      <c r="FFD69" s="594"/>
      <c r="FFE69" s="594"/>
      <c r="FFF69" s="594"/>
      <c r="FFG69" s="594"/>
      <c r="FFH69" s="594"/>
      <c r="FFI69" s="594"/>
      <c r="FFJ69" s="594"/>
      <c r="FFK69" s="594"/>
      <c r="FFL69" s="594"/>
      <c r="FFM69" s="594"/>
      <c r="FFN69" s="594"/>
      <c r="FFO69" s="594"/>
      <c r="FFP69" s="594"/>
      <c r="FFQ69" s="594"/>
      <c r="FFR69" s="594"/>
      <c r="FFS69" s="594"/>
      <c r="FFT69" s="594"/>
      <c r="FFU69" s="594"/>
      <c r="FFV69" s="594"/>
      <c r="FFW69" s="594"/>
      <c r="FFX69" s="594"/>
      <c r="FFY69" s="594"/>
      <c r="FFZ69" s="594"/>
      <c r="FGA69" s="594"/>
      <c r="FGB69" s="594"/>
      <c r="FGC69" s="594"/>
      <c r="FGD69" s="594"/>
      <c r="FGE69" s="594"/>
      <c r="FGF69" s="594"/>
      <c r="FGG69" s="594"/>
      <c r="FGH69" s="594"/>
      <c r="FGI69" s="594"/>
      <c r="FGJ69" s="594"/>
      <c r="FGK69" s="594"/>
      <c r="FGL69" s="594"/>
      <c r="FGM69" s="594"/>
      <c r="FGN69" s="594"/>
      <c r="FGO69" s="594"/>
      <c r="FGP69" s="594"/>
      <c r="FGQ69" s="594"/>
      <c r="FGR69" s="594"/>
      <c r="FGS69" s="594"/>
      <c r="FGT69" s="594"/>
      <c r="FGU69" s="594"/>
      <c r="FGV69" s="594"/>
      <c r="FGW69" s="594"/>
      <c r="FGX69" s="594"/>
      <c r="FGY69" s="594"/>
      <c r="FGZ69" s="594"/>
      <c r="FHA69" s="594"/>
      <c r="FHB69" s="594"/>
      <c r="FHC69" s="594"/>
      <c r="FHD69" s="594"/>
      <c r="FHE69" s="594"/>
      <c r="FHF69" s="594"/>
      <c r="FHG69" s="594"/>
      <c r="FHH69" s="594"/>
      <c r="FHI69" s="594"/>
      <c r="FHJ69" s="594"/>
      <c r="FHK69" s="594"/>
      <c r="FHL69" s="594"/>
      <c r="FHM69" s="594"/>
      <c r="FHN69" s="594"/>
      <c r="FHO69" s="594"/>
      <c r="FHP69" s="594"/>
      <c r="FHQ69" s="594"/>
      <c r="FHR69" s="594"/>
      <c r="FHS69" s="594"/>
      <c r="FHT69" s="594"/>
      <c r="FHU69" s="594"/>
      <c r="FHV69" s="594"/>
      <c r="FHW69" s="594"/>
      <c r="FHX69" s="594"/>
      <c r="FHY69" s="594"/>
      <c r="FHZ69" s="594"/>
      <c r="FIA69" s="594"/>
      <c r="FIB69" s="594"/>
      <c r="FIC69" s="594"/>
      <c r="FID69" s="594"/>
      <c r="FIE69" s="594"/>
      <c r="FIF69" s="594"/>
      <c r="FIG69" s="594"/>
      <c r="FIH69" s="594"/>
      <c r="FII69" s="594"/>
      <c r="FIJ69" s="594"/>
      <c r="FIK69" s="594"/>
      <c r="FIL69" s="594"/>
      <c r="FIM69" s="594"/>
      <c r="FIN69" s="594"/>
      <c r="FIO69" s="594"/>
      <c r="FIP69" s="594"/>
      <c r="FIQ69" s="594"/>
      <c r="FIR69" s="594"/>
      <c r="FIS69" s="594"/>
      <c r="FIT69" s="594"/>
      <c r="FIU69" s="594"/>
      <c r="FIV69" s="594"/>
      <c r="FIW69" s="594"/>
      <c r="FIX69" s="594"/>
      <c r="FIY69" s="594"/>
      <c r="FIZ69" s="594"/>
      <c r="FJA69" s="594"/>
      <c r="FJB69" s="594"/>
      <c r="FJC69" s="594"/>
      <c r="FJD69" s="594"/>
      <c r="FJE69" s="594"/>
      <c r="FJF69" s="594"/>
      <c r="FJG69" s="594"/>
      <c r="FJH69" s="594"/>
      <c r="FJI69" s="594"/>
      <c r="FJJ69" s="594"/>
      <c r="FJK69" s="594"/>
      <c r="FJL69" s="594"/>
      <c r="FJM69" s="594"/>
      <c r="FJN69" s="594"/>
      <c r="FJO69" s="594"/>
      <c r="FJP69" s="594"/>
      <c r="FJQ69" s="594"/>
      <c r="FJR69" s="594"/>
      <c r="FJS69" s="594"/>
      <c r="FJT69" s="594"/>
      <c r="FJU69" s="594"/>
      <c r="FJV69" s="594"/>
      <c r="FJW69" s="594"/>
      <c r="FJX69" s="594"/>
      <c r="FJY69" s="594"/>
      <c r="FJZ69" s="594"/>
      <c r="FKA69" s="594"/>
      <c r="FKB69" s="594"/>
      <c r="FKC69" s="594"/>
      <c r="FKD69" s="594"/>
      <c r="FKE69" s="594"/>
      <c r="FKF69" s="594"/>
      <c r="FKG69" s="594"/>
      <c r="FKH69" s="594"/>
      <c r="FKI69" s="594"/>
      <c r="FKJ69" s="594"/>
      <c r="FKK69" s="594"/>
      <c r="FKL69" s="594"/>
      <c r="FKM69" s="594"/>
      <c r="FKN69" s="594"/>
      <c r="FKO69" s="594"/>
      <c r="FKP69" s="594"/>
      <c r="FKQ69" s="594"/>
      <c r="FKR69" s="594"/>
      <c r="FKS69" s="594"/>
      <c r="FKT69" s="594"/>
      <c r="FKU69" s="594"/>
      <c r="FKV69" s="594"/>
      <c r="FKW69" s="594"/>
      <c r="FKX69" s="594"/>
      <c r="FKY69" s="594"/>
      <c r="FKZ69" s="594"/>
      <c r="FLA69" s="594"/>
      <c r="FLB69" s="594"/>
      <c r="FLC69" s="594"/>
      <c r="FLD69" s="594"/>
      <c r="FLE69" s="594"/>
      <c r="FLF69" s="594"/>
      <c r="FLG69" s="594"/>
      <c r="FLH69" s="594"/>
      <c r="FLI69" s="594"/>
      <c r="FLJ69" s="594"/>
      <c r="FLK69" s="594"/>
      <c r="FLL69" s="594"/>
      <c r="FLM69" s="594"/>
      <c r="FLN69" s="594"/>
      <c r="FLO69" s="594"/>
      <c r="FLP69" s="594"/>
      <c r="FLQ69" s="594"/>
      <c r="FLR69" s="594"/>
      <c r="FLS69" s="594"/>
      <c r="FLT69" s="594"/>
      <c r="FLU69" s="594"/>
      <c r="FLV69" s="594"/>
      <c r="FLW69" s="594"/>
      <c r="FLX69" s="594"/>
      <c r="FLY69" s="594"/>
      <c r="FLZ69" s="594"/>
      <c r="FMA69" s="594"/>
      <c r="FMB69" s="594"/>
      <c r="FMC69" s="594"/>
      <c r="FMD69" s="594"/>
      <c r="FME69" s="594"/>
      <c r="FMF69" s="594"/>
      <c r="FMG69" s="594"/>
      <c r="FMH69" s="594"/>
      <c r="FMI69" s="594"/>
      <c r="FMJ69" s="594"/>
      <c r="FMK69" s="594"/>
      <c r="FML69" s="594"/>
      <c r="FMM69" s="594"/>
      <c r="FMN69" s="594"/>
      <c r="FMO69" s="594"/>
      <c r="FMP69" s="594"/>
      <c r="FMQ69" s="594"/>
      <c r="FMR69" s="594"/>
      <c r="FMS69" s="594"/>
      <c r="FMT69" s="594"/>
      <c r="FMU69" s="594"/>
      <c r="FMV69" s="594"/>
      <c r="FMW69" s="594"/>
      <c r="FMX69" s="594"/>
      <c r="FMY69" s="594"/>
      <c r="FMZ69" s="594"/>
      <c r="FNA69" s="594"/>
      <c r="FNB69" s="594"/>
      <c r="FNC69" s="594"/>
      <c r="FND69" s="594"/>
      <c r="FNE69" s="594"/>
      <c r="FNF69" s="594"/>
      <c r="FNG69" s="594"/>
      <c r="FNH69" s="594"/>
      <c r="FNI69" s="594"/>
      <c r="FNJ69" s="594"/>
      <c r="FNK69" s="594"/>
      <c r="FNL69" s="594"/>
      <c r="FNM69" s="594"/>
      <c r="FNN69" s="594"/>
      <c r="FNO69" s="594"/>
      <c r="FNP69" s="594"/>
      <c r="FNQ69" s="594"/>
      <c r="FNR69" s="594"/>
      <c r="FNS69" s="594"/>
      <c r="FNT69" s="594"/>
      <c r="FNU69" s="594"/>
      <c r="FNV69" s="594"/>
      <c r="FNW69" s="594"/>
      <c r="FNX69" s="594"/>
      <c r="FNY69" s="594"/>
      <c r="FNZ69" s="594"/>
      <c r="FOA69" s="594"/>
      <c r="FOB69" s="594"/>
      <c r="FOC69" s="594"/>
      <c r="FOD69" s="594"/>
      <c r="FOE69" s="594"/>
      <c r="FOF69" s="594"/>
      <c r="FOG69" s="594"/>
      <c r="FOH69" s="594"/>
      <c r="FOI69" s="594"/>
      <c r="FOJ69" s="594"/>
      <c r="FOK69" s="594"/>
      <c r="FOL69" s="594"/>
      <c r="FOM69" s="594"/>
      <c r="FON69" s="594"/>
      <c r="FOO69" s="594"/>
      <c r="FOP69" s="594"/>
      <c r="FOQ69" s="594"/>
      <c r="FOR69" s="594"/>
      <c r="FOS69" s="594"/>
      <c r="FOT69" s="594"/>
      <c r="FOU69" s="594"/>
      <c r="FOV69" s="594"/>
      <c r="FOW69" s="594"/>
      <c r="FOX69" s="594"/>
      <c r="FOY69" s="594"/>
      <c r="FOZ69" s="594"/>
      <c r="FPA69" s="594"/>
      <c r="FPB69" s="594"/>
      <c r="FPC69" s="594"/>
      <c r="FPD69" s="594"/>
      <c r="FPE69" s="594"/>
      <c r="FPF69" s="594"/>
      <c r="FPG69" s="594"/>
      <c r="FPH69" s="594"/>
      <c r="FPI69" s="594"/>
      <c r="FPJ69" s="594"/>
      <c r="FPK69" s="594"/>
      <c r="FPL69" s="594"/>
      <c r="FPM69" s="594"/>
      <c r="FPN69" s="594"/>
      <c r="FPO69" s="594"/>
      <c r="FPP69" s="594"/>
      <c r="FPQ69" s="594"/>
      <c r="FPR69" s="594"/>
      <c r="FPS69" s="594"/>
      <c r="FPT69" s="594"/>
      <c r="FPU69" s="594"/>
      <c r="FPV69" s="594"/>
      <c r="FPW69" s="594"/>
      <c r="FPX69" s="594"/>
      <c r="FPY69" s="594"/>
      <c r="FPZ69" s="594"/>
      <c r="FQA69" s="594"/>
      <c r="FQB69" s="594"/>
      <c r="FQC69" s="594"/>
      <c r="FQD69" s="594"/>
      <c r="FQE69" s="594"/>
      <c r="FQF69" s="594"/>
      <c r="FQG69" s="594"/>
      <c r="FQH69" s="594"/>
      <c r="FQI69" s="594"/>
      <c r="FQJ69" s="594"/>
      <c r="FQK69" s="594"/>
      <c r="FQL69" s="594"/>
      <c r="FQM69" s="594"/>
      <c r="FQN69" s="594"/>
      <c r="FQO69" s="594"/>
      <c r="FQP69" s="594"/>
      <c r="FQQ69" s="594"/>
      <c r="FQR69" s="594"/>
      <c r="FQS69" s="594"/>
      <c r="FQT69" s="594"/>
      <c r="FQU69" s="594"/>
      <c r="FQV69" s="594"/>
      <c r="FQW69" s="594"/>
      <c r="FQX69" s="594"/>
      <c r="FQY69" s="594"/>
      <c r="FQZ69" s="594"/>
      <c r="FRA69" s="594"/>
      <c r="FRB69" s="594"/>
      <c r="FRC69" s="594"/>
      <c r="FRD69" s="594"/>
      <c r="FRE69" s="594"/>
      <c r="FRF69" s="594"/>
      <c r="FRG69" s="594"/>
      <c r="FRH69" s="594"/>
      <c r="FRI69" s="594"/>
      <c r="FRJ69" s="594"/>
      <c r="FRK69" s="594"/>
      <c r="FRL69" s="594"/>
      <c r="FRM69" s="594"/>
      <c r="FRN69" s="594"/>
      <c r="FRO69" s="594"/>
      <c r="FRP69" s="594"/>
      <c r="FRQ69" s="594"/>
      <c r="FRR69" s="594"/>
      <c r="FRS69" s="594"/>
      <c r="FRT69" s="594"/>
      <c r="FRU69" s="594"/>
      <c r="FRV69" s="594"/>
      <c r="FRW69" s="594"/>
      <c r="FRX69" s="594"/>
      <c r="FRY69" s="594"/>
      <c r="FRZ69" s="594"/>
      <c r="FSA69" s="594"/>
      <c r="FSB69" s="594"/>
      <c r="FSC69" s="594"/>
      <c r="FSD69" s="594"/>
      <c r="FSE69" s="594"/>
      <c r="FSF69" s="594"/>
      <c r="FSG69" s="594"/>
      <c r="FSH69" s="594"/>
      <c r="FSI69" s="594"/>
      <c r="FSJ69" s="594"/>
      <c r="FSK69" s="594"/>
      <c r="FSL69" s="594"/>
      <c r="FSM69" s="594"/>
      <c r="FSN69" s="594"/>
      <c r="FSO69" s="594"/>
      <c r="FSP69" s="594"/>
      <c r="FSQ69" s="594"/>
      <c r="FSR69" s="594"/>
      <c r="FSS69" s="594"/>
      <c r="FST69" s="594"/>
      <c r="FSU69" s="594"/>
      <c r="FSV69" s="594"/>
      <c r="FSW69" s="594"/>
      <c r="FSX69" s="594"/>
      <c r="FSY69" s="594"/>
      <c r="FSZ69" s="594"/>
      <c r="FTA69" s="594"/>
      <c r="FTB69" s="594"/>
      <c r="FTC69" s="594"/>
      <c r="FTD69" s="594"/>
      <c r="FTE69" s="594"/>
      <c r="FTF69" s="594"/>
      <c r="FTG69" s="594"/>
      <c r="FTH69" s="594"/>
      <c r="FTI69" s="594"/>
      <c r="FTJ69" s="594"/>
      <c r="FTK69" s="594"/>
      <c r="FTL69" s="594"/>
      <c r="FTM69" s="594"/>
      <c r="FTN69" s="594"/>
      <c r="FTO69" s="594"/>
      <c r="FTP69" s="594"/>
      <c r="FTQ69" s="594"/>
      <c r="FTR69" s="594"/>
      <c r="FTS69" s="594"/>
      <c r="FTT69" s="594"/>
      <c r="FTU69" s="594"/>
      <c r="FTV69" s="594"/>
      <c r="FTW69" s="594"/>
      <c r="FTX69" s="594"/>
      <c r="FTY69" s="594"/>
      <c r="FTZ69" s="594"/>
      <c r="FUA69" s="594"/>
      <c r="FUB69" s="594"/>
      <c r="FUC69" s="594"/>
      <c r="FUD69" s="594"/>
      <c r="FUE69" s="594"/>
      <c r="FUF69" s="594"/>
      <c r="FUG69" s="594"/>
      <c r="FUH69" s="594"/>
      <c r="FUI69" s="594"/>
      <c r="FUJ69" s="594"/>
      <c r="FUK69" s="594"/>
      <c r="FUL69" s="594"/>
      <c r="FUM69" s="594"/>
      <c r="FUN69" s="594"/>
      <c r="FUO69" s="594"/>
      <c r="FUP69" s="594"/>
      <c r="FUQ69" s="594"/>
      <c r="FUR69" s="594"/>
      <c r="FUS69" s="594"/>
      <c r="FUT69" s="594"/>
      <c r="FUU69" s="594"/>
      <c r="FUV69" s="594"/>
      <c r="FUW69" s="594"/>
      <c r="FUX69" s="594"/>
      <c r="FUY69" s="594"/>
      <c r="FUZ69" s="594"/>
      <c r="FVA69" s="594"/>
      <c r="FVB69" s="594"/>
      <c r="FVC69" s="594"/>
      <c r="FVD69" s="594"/>
      <c r="FVE69" s="594"/>
      <c r="FVF69" s="594"/>
      <c r="FVG69" s="594"/>
      <c r="FVH69" s="594"/>
      <c r="FVI69" s="594"/>
      <c r="FVJ69" s="594"/>
      <c r="FVK69" s="594"/>
      <c r="FVL69" s="594"/>
      <c r="FVM69" s="594"/>
      <c r="FVN69" s="594"/>
      <c r="FVO69" s="594"/>
      <c r="FVP69" s="594"/>
      <c r="FVQ69" s="594"/>
      <c r="FVR69" s="594"/>
      <c r="FVS69" s="594"/>
      <c r="FVT69" s="594"/>
      <c r="FVU69" s="594"/>
      <c r="FVV69" s="594"/>
      <c r="FVW69" s="594"/>
      <c r="FVX69" s="594"/>
      <c r="FVY69" s="594"/>
      <c r="FVZ69" s="594"/>
      <c r="FWA69" s="594"/>
      <c r="FWB69" s="594"/>
      <c r="FWC69" s="594"/>
      <c r="FWD69" s="594"/>
      <c r="FWE69" s="594"/>
      <c r="FWF69" s="594"/>
      <c r="FWG69" s="594"/>
      <c r="FWH69" s="594"/>
      <c r="FWI69" s="594"/>
      <c r="FWJ69" s="594"/>
      <c r="FWK69" s="594"/>
      <c r="FWL69" s="594"/>
      <c r="FWM69" s="594"/>
      <c r="FWN69" s="594"/>
      <c r="FWO69" s="594"/>
      <c r="FWP69" s="594"/>
      <c r="FWQ69" s="594"/>
      <c r="FWR69" s="594"/>
      <c r="FWS69" s="594"/>
      <c r="FWT69" s="594"/>
      <c r="FWU69" s="594"/>
      <c r="FWV69" s="594"/>
      <c r="FWW69" s="594"/>
      <c r="FWX69" s="594"/>
      <c r="FWY69" s="594"/>
      <c r="FWZ69" s="594"/>
      <c r="FXA69" s="594"/>
      <c r="FXB69" s="594"/>
      <c r="FXC69" s="594"/>
      <c r="FXD69" s="594"/>
      <c r="FXE69" s="594"/>
      <c r="FXF69" s="594"/>
      <c r="FXG69" s="594"/>
      <c r="FXH69" s="594"/>
      <c r="FXI69" s="594"/>
      <c r="FXJ69" s="594"/>
      <c r="FXK69" s="594"/>
      <c r="FXL69" s="594"/>
      <c r="FXM69" s="594"/>
      <c r="FXN69" s="594"/>
      <c r="FXO69" s="594"/>
      <c r="FXP69" s="594"/>
      <c r="FXQ69" s="594"/>
      <c r="FXR69" s="594"/>
      <c r="FXS69" s="594"/>
      <c r="FXT69" s="594"/>
      <c r="FXU69" s="594"/>
      <c r="FXV69" s="594"/>
      <c r="FXW69" s="594"/>
      <c r="FXX69" s="594"/>
      <c r="FXY69" s="594"/>
      <c r="FXZ69" s="594"/>
      <c r="FYA69" s="594"/>
      <c r="FYB69" s="594"/>
      <c r="FYC69" s="594"/>
      <c r="FYD69" s="594"/>
      <c r="FYE69" s="594"/>
      <c r="FYF69" s="594"/>
      <c r="FYG69" s="594"/>
      <c r="FYH69" s="594"/>
      <c r="FYI69" s="594"/>
      <c r="FYJ69" s="594"/>
      <c r="FYK69" s="594"/>
      <c r="FYL69" s="594"/>
      <c r="FYM69" s="594"/>
      <c r="FYN69" s="594"/>
      <c r="FYO69" s="594"/>
      <c r="FYP69" s="594"/>
      <c r="FYQ69" s="594"/>
      <c r="FYR69" s="594"/>
      <c r="FYS69" s="594"/>
      <c r="FYT69" s="594"/>
      <c r="FYU69" s="594"/>
      <c r="FYV69" s="594"/>
      <c r="FYW69" s="594"/>
      <c r="FYX69" s="594"/>
      <c r="FYY69" s="594"/>
      <c r="FYZ69" s="594"/>
      <c r="FZA69" s="594"/>
      <c r="FZB69" s="594"/>
      <c r="FZC69" s="594"/>
      <c r="FZD69" s="594"/>
      <c r="FZE69" s="594"/>
      <c r="FZF69" s="594"/>
      <c r="FZG69" s="594"/>
      <c r="FZH69" s="594"/>
      <c r="FZI69" s="594"/>
      <c r="FZJ69" s="594"/>
      <c r="FZK69" s="594"/>
      <c r="FZL69" s="594"/>
      <c r="FZM69" s="594"/>
      <c r="FZN69" s="594"/>
      <c r="FZO69" s="594"/>
      <c r="FZP69" s="594"/>
      <c r="FZQ69" s="594"/>
      <c r="FZR69" s="594"/>
      <c r="FZS69" s="594"/>
      <c r="FZT69" s="594"/>
      <c r="FZU69" s="594"/>
      <c r="FZV69" s="594"/>
      <c r="FZW69" s="594"/>
      <c r="FZX69" s="594"/>
      <c r="FZY69" s="594"/>
      <c r="FZZ69" s="594"/>
      <c r="GAA69" s="594"/>
      <c r="GAB69" s="594"/>
      <c r="GAC69" s="594"/>
      <c r="GAD69" s="594"/>
      <c r="GAE69" s="594"/>
      <c r="GAF69" s="594"/>
      <c r="GAG69" s="594"/>
      <c r="GAH69" s="594"/>
      <c r="GAI69" s="594"/>
      <c r="GAJ69" s="594"/>
      <c r="GAK69" s="594"/>
      <c r="GAL69" s="594"/>
      <c r="GAM69" s="594"/>
      <c r="GAN69" s="594"/>
      <c r="GAO69" s="594"/>
      <c r="GAP69" s="594"/>
      <c r="GAQ69" s="594"/>
      <c r="GAR69" s="594"/>
      <c r="GAS69" s="594"/>
      <c r="GAT69" s="594"/>
      <c r="GAU69" s="594"/>
      <c r="GAV69" s="594"/>
      <c r="GAW69" s="594"/>
      <c r="GAX69" s="594"/>
      <c r="GAY69" s="594"/>
      <c r="GAZ69" s="594"/>
      <c r="GBA69" s="594"/>
      <c r="GBB69" s="594"/>
      <c r="GBC69" s="594"/>
      <c r="GBD69" s="594"/>
      <c r="GBE69" s="594"/>
      <c r="GBF69" s="594"/>
      <c r="GBG69" s="594"/>
      <c r="GBH69" s="594"/>
      <c r="GBI69" s="594"/>
      <c r="GBJ69" s="594"/>
      <c r="GBK69" s="594"/>
      <c r="GBL69" s="594"/>
      <c r="GBM69" s="594"/>
      <c r="GBN69" s="594"/>
      <c r="GBO69" s="594"/>
      <c r="GBP69" s="594"/>
      <c r="GBQ69" s="594"/>
      <c r="GBR69" s="594"/>
      <c r="GBS69" s="594"/>
      <c r="GBT69" s="594"/>
      <c r="GBU69" s="594"/>
      <c r="GBV69" s="594"/>
      <c r="GBW69" s="594"/>
      <c r="GBX69" s="594"/>
      <c r="GBY69" s="594"/>
      <c r="GBZ69" s="594"/>
      <c r="GCA69" s="594"/>
      <c r="GCB69" s="594"/>
      <c r="GCC69" s="594"/>
      <c r="GCD69" s="594"/>
      <c r="GCE69" s="594"/>
      <c r="GCF69" s="594"/>
      <c r="GCG69" s="594"/>
      <c r="GCH69" s="594"/>
      <c r="GCI69" s="594"/>
      <c r="GCJ69" s="594"/>
      <c r="GCK69" s="594"/>
      <c r="GCL69" s="594"/>
      <c r="GCM69" s="594"/>
      <c r="GCN69" s="594"/>
      <c r="GCO69" s="594"/>
      <c r="GCP69" s="594"/>
      <c r="GCQ69" s="594"/>
      <c r="GCR69" s="594"/>
      <c r="GCS69" s="594"/>
      <c r="GCT69" s="594"/>
      <c r="GCU69" s="594"/>
      <c r="GCV69" s="594"/>
      <c r="GCW69" s="594"/>
      <c r="GCX69" s="594"/>
      <c r="GCY69" s="594"/>
      <c r="GCZ69" s="594"/>
      <c r="GDA69" s="594"/>
      <c r="GDB69" s="594"/>
      <c r="GDC69" s="594"/>
      <c r="GDD69" s="594"/>
      <c r="GDE69" s="594"/>
      <c r="GDF69" s="594"/>
      <c r="GDG69" s="594"/>
      <c r="GDH69" s="594"/>
      <c r="GDI69" s="594"/>
      <c r="GDJ69" s="594"/>
      <c r="GDK69" s="594"/>
      <c r="GDL69" s="594"/>
      <c r="GDM69" s="594"/>
      <c r="GDN69" s="594"/>
      <c r="GDO69" s="594"/>
      <c r="GDP69" s="594"/>
      <c r="GDQ69" s="594"/>
      <c r="GDR69" s="594"/>
      <c r="GDS69" s="594"/>
      <c r="GDT69" s="594"/>
      <c r="GDU69" s="594"/>
      <c r="GDV69" s="594"/>
      <c r="GDW69" s="594"/>
      <c r="GDX69" s="594"/>
      <c r="GDY69" s="594"/>
      <c r="GDZ69" s="594"/>
      <c r="GEA69" s="594"/>
      <c r="GEB69" s="594"/>
      <c r="GEC69" s="594"/>
      <c r="GED69" s="594"/>
      <c r="GEE69" s="594"/>
      <c r="GEF69" s="594"/>
      <c r="GEG69" s="594"/>
      <c r="GEH69" s="594"/>
      <c r="GEI69" s="594"/>
      <c r="GEJ69" s="594"/>
      <c r="GEK69" s="594"/>
      <c r="GEL69" s="594"/>
      <c r="GEM69" s="594"/>
      <c r="GEN69" s="594"/>
      <c r="GEO69" s="594"/>
      <c r="GEP69" s="594"/>
      <c r="GEQ69" s="594"/>
      <c r="GER69" s="594"/>
      <c r="GES69" s="594"/>
      <c r="GET69" s="594"/>
      <c r="GEU69" s="594"/>
      <c r="GEV69" s="594"/>
      <c r="GEW69" s="594"/>
      <c r="GEX69" s="594"/>
      <c r="GEY69" s="594"/>
      <c r="GEZ69" s="594"/>
      <c r="GFA69" s="594"/>
      <c r="GFB69" s="594"/>
      <c r="GFC69" s="594"/>
      <c r="GFD69" s="594"/>
      <c r="GFE69" s="594"/>
      <c r="GFF69" s="594"/>
      <c r="GFG69" s="594"/>
      <c r="GFH69" s="594"/>
      <c r="GFI69" s="594"/>
      <c r="GFJ69" s="594"/>
      <c r="GFK69" s="594"/>
      <c r="GFL69" s="594"/>
      <c r="GFM69" s="594"/>
      <c r="GFN69" s="594"/>
      <c r="GFO69" s="594"/>
      <c r="GFP69" s="594"/>
      <c r="GFQ69" s="594"/>
      <c r="GFR69" s="594"/>
      <c r="GFS69" s="594"/>
      <c r="GFT69" s="594"/>
      <c r="GFU69" s="594"/>
      <c r="GFV69" s="594"/>
      <c r="GFW69" s="594"/>
      <c r="GFX69" s="594"/>
      <c r="GFY69" s="594"/>
      <c r="GFZ69" s="594"/>
      <c r="GGA69" s="594"/>
      <c r="GGB69" s="594"/>
      <c r="GGC69" s="594"/>
      <c r="GGD69" s="594"/>
      <c r="GGE69" s="594"/>
      <c r="GGF69" s="594"/>
      <c r="GGG69" s="594"/>
      <c r="GGH69" s="594"/>
      <c r="GGI69" s="594"/>
      <c r="GGJ69" s="594"/>
      <c r="GGK69" s="594"/>
      <c r="GGL69" s="594"/>
      <c r="GGM69" s="594"/>
      <c r="GGN69" s="594"/>
      <c r="GGO69" s="594"/>
      <c r="GGP69" s="594"/>
      <c r="GGQ69" s="594"/>
      <c r="GGR69" s="594"/>
      <c r="GGS69" s="594"/>
      <c r="GGT69" s="594"/>
      <c r="GGU69" s="594"/>
      <c r="GGV69" s="594"/>
      <c r="GGW69" s="594"/>
      <c r="GGX69" s="594"/>
      <c r="GGY69" s="594"/>
      <c r="GGZ69" s="594"/>
      <c r="GHA69" s="594"/>
      <c r="GHB69" s="594"/>
      <c r="GHC69" s="594"/>
      <c r="GHD69" s="594"/>
      <c r="GHE69" s="594"/>
      <c r="GHF69" s="594"/>
      <c r="GHG69" s="594"/>
      <c r="GHH69" s="594"/>
      <c r="GHI69" s="594"/>
      <c r="GHJ69" s="594"/>
      <c r="GHK69" s="594"/>
      <c r="GHL69" s="594"/>
      <c r="GHM69" s="594"/>
      <c r="GHN69" s="594"/>
      <c r="GHO69" s="594"/>
      <c r="GHP69" s="594"/>
      <c r="GHQ69" s="594"/>
      <c r="GHR69" s="594"/>
      <c r="GHS69" s="594"/>
      <c r="GHT69" s="594"/>
      <c r="GHU69" s="594"/>
      <c r="GHV69" s="594"/>
      <c r="GHW69" s="594"/>
      <c r="GHX69" s="594"/>
      <c r="GHY69" s="594"/>
      <c r="GHZ69" s="594"/>
      <c r="GIA69" s="594"/>
      <c r="GIB69" s="594"/>
      <c r="GIC69" s="594"/>
      <c r="GID69" s="594"/>
      <c r="GIE69" s="594"/>
      <c r="GIF69" s="594"/>
      <c r="GIG69" s="594"/>
      <c r="GIH69" s="594"/>
      <c r="GII69" s="594"/>
      <c r="GIJ69" s="594"/>
      <c r="GIK69" s="594"/>
      <c r="GIL69" s="594"/>
      <c r="GIM69" s="594"/>
      <c r="GIN69" s="594"/>
      <c r="GIO69" s="594"/>
      <c r="GIP69" s="594"/>
      <c r="GIQ69" s="594"/>
      <c r="GIR69" s="594"/>
      <c r="GIS69" s="594"/>
      <c r="GIT69" s="594"/>
      <c r="GIU69" s="594"/>
      <c r="GIV69" s="594"/>
      <c r="GIW69" s="594"/>
      <c r="GIX69" s="594"/>
      <c r="GIY69" s="594"/>
      <c r="GIZ69" s="594"/>
      <c r="GJA69" s="594"/>
      <c r="GJB69" s="594"/>
      <c r="GJC69" s="594"/>
      <c r="GJD69" s="594"/>
      <c r="GJE69" s="594"/>
      <c r="GJF69" s="594"/>
      <c r="GJG69" s="594"/>
      <c r="GJH69" s="594"/>
      <c r="GJI69" s="594"/>
      <c r="GJJ69" s="594"/>
      <c r="GJK69" s="594"/>
      <c r="GJL69" s="594"/>
      <c r="GJM69" s="594"/>
      <c r="GJN69" s="594"/>
      <c r="GJO69" s="594"/>
      <c r="GJP69" s="594"/>
      <c r="GJQ69" s="594"/>
      <c r="GJR69" s="594"/>
      <c r="GJS69" s="594"/>
      <c r="GJT69" s="594"/>
      <c r="GJU69" s="594"/>
      <c r="GJV69" s="594"/>
      <c r="GJW69" s="594"/>
      <c r="GJX69" s="594"/>
      <c r="GJY69" s="594"/>
      <c r="GJZ69" s="594"/>
      <c r="GKA69" s="594"/>
      <c r="GKB69" s="594"/>
      <c r="GKC69" s="594"/>
      <c r="GKD69" s="594"/>
      <c r="GKE69" s="594"/>
      <c r="GKF69" s="594"/>
      <c r="GKG69" s="594"/>
      <c r="GKH69" s="594"/>
      <c r="GKI69" s="594"/>
      <c r="GKJ69" s="594"/>
      <c r="GKK69" s="594"/>
      <c r="GKL69" s="594"/>
      <c r="GKM69" s="594"/>
      <c r="GKN69" s="594"/>
      <c r="GKO69" s="594"/>
      <c r="GKP69" s="594"/>
      <c r="GKQ69" s="594"/>
      <c r="GKR69" s="594"/>
      <c r="GKS69" s="594"/>
      <c r="GKT69" s="594"/>
      <c r="GKU69" s="594"/>
      <c r="GKV69" s="594"/>
      <c r="GKW69" s="594"/>
      <c r="GKX69" s="594"/>
      <c r="GKY69" s="594"/>
      <c r="GKZ69" s="594"/>
      <c r="GLA69" s="594"/>
      <c r="GLB69" s="594"/>
      <c r="GLC69" s="594"/>
      <c r="GLD69" s="594"/>
      <c r="GLE69" s="594"/>
      <c r="GLF69" s="594"/>
      <c r="GLG69" s="594"/>
      <c r="GLH69" s="594"/>
      <c r="GLI69" s="594"/>
      <c r="GLJ69" s="594"/>
      <c r="GLK69" s="594"/>
      <c r="GLL69" s="594"/>
      <c r="GLM69" s="594"/>
      <c r="GLN69" s="594"/>
      <c r="GLO69" s="594"/>
      <c r="GLP69" s="594"/>
      <c r="GLQ69" s="594"/>
      <c r="GLR69" s="594"/>
      <c r="GLS69" s="594"/>
      <c r="GLT69" s="594"/>
      <c r="GLU69" s="594"/>
      <c r="GLV69" s="594"/>
      <c r="GLW69" s="594"/>
      <c r="GLX69" s="594"/>
      <c r="GLY69" s="594"/>
      <c r="GLZ69" s="594"/>
      <c r="GMA69" s="594"/>
      <c r="GMB69" s="594"/>
      <c r="GMC69" s="594"/>
      <c r="GMD69" s="594"/>
      <c r="GME69" s="594"/>
      <c r="GMF69" s="594"/>
      <c r="GMG69" s="594"/>
      <c r="GMH69" s="594"/>
      <c r="GMI69" s="594"/>
      <c r="GMJ69" s="594"/>
      <c r="GMK69" s="594"/>
      <c r="GML69" s="594"/>
      <c r="GMM69" s="594"/>
      <c r="GMN69" s="594"/>
      <c r="GMO69" s="594"/>
      <c r="GMP69" s="594"/>
      <c r="GMQ69" s="594"/>
      <c r="GMR69" s="594"/>
      <c r="GMS69" s="594"/>
      <c r="GMT69" s="594"/>
      <c r="GMU69" s="594"/>
      <c r="GMV69" s="594"/>
      <c r="GMW69" s="594"/>
      <c r="GMX69" s="594"/>
      <c r="GMY69" s="594"/>
      <c r="GMZ69" s="594"/>
      <c r="GNA69" s="594"/>
      <c r="GNB69" s="594"/>
      <c r="GNC69" s="594"/>
      <c r="GND69" s="594"/>
      <c r="GNE69" s="594"/>
      <c r="GNF69" s="594"/>
      <c r="GNG69" s="594"/>
      <c r="GNH69" s="594"/>
      <c r="GNI69" s="594"/>
      <c r="GNJ69" s="594"/>
      <c r="GNK69" s="594"/>
      <c r="GNL69" s="594"/>
      <c r="GNM69" s="594"/>
      <c r="GNN69" s="594"/>
      <c r="GNO69" s="594"/>
      <c r="GNP69" s="594"/>
      <c r="GNQ69" s="594"/>
      <c r="GNR69" s="594"/>
      <c r="GNS69" s="594"/>
      <c r="GNT69" s="594"/>
      <c r="GNU69" s="594"/>
      <c r="GNV69" s="594"/>
      <c r="GNW69" s="594"/>
      <c r="GNX69" s="594"/>
      <c r="GNY69" s="594"/>
      <c r="GNZ69" s="594"/>
      <c r="GOA69" s="594"/>
      <c r="GOB69" s="594"/>
      <c r="GOC69" s="594"/>
      <c r="GOD69" s="594"/>
      <c r="GOE69" s="594"/>
      <c r="GOF69" s="594"/>
      <c r="GOG69" s="594"/>
      <c r="GOH69" s="594"/>
      <c r="GOI69" s="594"/>
      <c r="GOJ69" s="594"/>
      <c r="GOK69" s="594"/>
      <c r="GOL69" s="594"/>
      <c r="GOM69" s="594"/>
      <c r="GON69" s="594"/>
      <c r="GOO69" s="594"/>
      <c r="GOP69" s="594"/>
      <c r="GOQ69" s="594"/>
      <c r="GOR69" s="594"/>
      <c r="GOS69" s="594"/>
      <c r="GOT69" s="594"/>
      <c r="GOU69" s="594"/>
      <c r="GOV69" s="594"/>
      <c r="GOW69" s="594"/>
      <c r="GOX69" s="594"/>
      <c r="GOY69" s="594"/>
      <c r="GOZ69" s="594"/>
      <c r="GPA69" s="594"/>
      <c r="GPB69" s="594"/>
      <c r="GPC69" s="594"/>
      <c r="GPD69" s="594"/>
      <c r="GPE69" s="594"/>
      <c r="GPF69" s="594"/>
      <c r="GPG69" s="594"/>
      <c r="GPH69" s="594"/>
      <c r="GPI69" s="594"/>
      <c r="GPJ69" s="594"/>
      <c r="GPK69" s="594"/>
      <c r="GPL69" s="594"/>
      <c r="GPM69" s="594"/>
      <c r="GPN69" s="594"/>
      <c r="GPO69" s="594"/>
      <c r="GPP69" s="594"/>
      <c r="GPQ69" s="594"/>
      <c r="GPR69" s="594"/>
      <c r="GPS69" s="594"/>
      <c r="GPT69" s="594"/>
      <c r="GPU69" s="594"/>
      <c r="GPV69" s="594"/>
      <c r="GPW69" s="594"/>
      <c r="GPX69" s="594"/>
      <c r="GPY69" s="594"/>
      <c r="GPZ69" s="594"/>
      <c r="GQA69" s="594"/>
      <c r="GQB69" s="594"/>
      <c r="GQC69" s="594"/>
      <c r="GQD69" s="594"/>
      <c r="GQE69" s="594"/>
      <c r="GQF69" s="594"/>
      <c r="GQG69" s="594"/>
      <c r="GQH69" s="594"/>
      <c r="GQI69" s="594"/>
      <c r="GQJ69" s="594"/>
      <c r="GQK69" s="594"/>
      <c r="GQL69" s="594"/>
      <c r="GQM69" s="594"/>
      <c r="GQN69" s="594"/>
      <c r="GQO69" s="594"/>
      <c r="GQP69" s="594"/>
      <c r="GQQ69" s="594"/>
      <c r="GQR69" s="594"/>
      <c r="GQS69" s="594"/>
      <c r="GQT69" s="594"/>
      <c r="GQU69" s="594"/>
      <c r="GQV69" s="594"/>
      <c r="GQW69" s="594"/>
      <c r="GQX69" s="594"/>
      <c r="GQY69" s="594"/>
      <c r="GQZ69" s="594"/>
      <c r="GRA69" s="594"/>
      <c r="GRB69" s="594"/>
      <c r="GRC69" s="594"/>
      <c r="GRD69" s="594"/>
      <c r="GRE69" s="594"/>
      <c r="GRF69" s="594"/>
      <c r="GRG69" s="594"/>
      <c r="GRH69" s="594"/>
      <c r="GRI69" s="594"/>
      <c r="GRJ69" s="594"/>
      <c r="GRK69" s="594"/>
      <c r="GRL69" s="594"/>
      <c r="GRM69" s="594"/>
      <c r="GRN69" s="594"/>
      <c r="GRO69" s="594"/>
      <c r="GRP69" s="594"/>
      <c r="GRQ69" s="594"/>
      <c r="GRR69" s="594"/>
      <c r="GRS69" s="594"/>
      <c r="GRT69" s="594"/>
      <c r="GRU69" s="594"/>
      <c r="GRV69" s="594"/>
      <c r="GRW69" s="594"/>
      <c r="GRX69" s="594"/>
      <c r="GRY69" s="594"/>
      <c r="GRZ69" s="594"/>
      <c r="GSA69" s="594"/>
      <c r="GSB69" s="594"/>
      <c r="GSC69" s="594"/>
      <c r="GSD69" s="594"/>
      <c r="GSE69" s="594"/>
      <c r="GSF69" s="594"/>
      <c r="GSG69" s="594"/>
      <c r="GSH69" s="594"/>
      <c r="GSI69" s="594"/>
      <c r="GSJ69" s="594"/>
      <c r="GSK69" s="594"/>
      <c r="GSL69" s="594"/>
      <c r="GSM69" s="594"/>
      <c r="GSN69" s="594"/>
      <c r="GSO69" s="594"/>
      <c r="GSP69" s="594"/>
      <c r="GSQ69" s="594"/>
      <c r="GSR69" s="594"/>
      <c r="GSS69" s="594"/>
      <c r="GST69" s="594"/>
      <c r="GSU69" s="594"/>
      <c r="GSV69" s="594"/>
      <c r="GSW69" s="594"/>
      <c r="GSX69" s="594"/>
      <c r="GSY69" s="594"/>
      <c r="GSZ69" s="594"/>
      <c r="GTA69" s="594"/>
      <c r="GTB69" s="594"/>
      <c r="GTC69" s="594"/>
      <c r="GTD69" s="594"/>
      <c r="GTE69" s="594"/>
      <c r="GTF69" s="594"/>
      <c r="GTG69" s="594"/>
      <c r="GTH69" s="594"/>
      <c r="GTI69" s="594"/>
      <c r="GTJ69" s="594"/>
      <c r="GTK69" s="594"/>
      <c r="GTL69" s="594"/>
      <c r="GTM69" s="594"/>
      <c r="GTN69" s="594"/>
      <c r="GTO69" s="594"/>
      <c r="GTP69" s="594"/>
      <c r="GTQ69" s="594"/>
      <c r="GTR69" s="594"/>
      <c r="GTS69" s="594"/>
      <c r="GTT69" s="594"/>
      <c r="GTU69" s="594"/>
      <c r="GTV69" s="594"/>
      <c r="GTW69" s="594"/>
      <c r="GTX69" s="594"/>
      <c r="GTY69" s="594"/>
      <c r="GTZ69" s="594"/>
      <c r="GUA69" s="594"/>
      <c r="GUB69" s="594"/>
      <c r="GUC69" s="594"/>
      <c r="GUD69" s="594"/>
      <c r="GUE69" s="594"/>
      <c r="GUF69" s="594"/>
      <c r="GUG69" s="594"/>
      <c r="GUH69" s="594"/>
      <c r="GUI69" s="594"/>
      <c r="GUJ69" s="594"/>
      <c r="GUK69" s="594"/>
      <c r="GUL69" s="594"/>
      <c r="GUM69" s="594"/>
      <c r="GUN69" s="594"/>
      <c r="GUO69" s="594"/>
      <c r="GUP69" s="594"/>
      <c r="GUQ69" s="594"/>
      <c r="GUR69" s="594"/>
      <c r="GUS69" s="594"/>
      <c r="GUT69" s="594"/>
      <c r="GUU69" s="594"/>
      <c r="GUV69" s="594"/>
      <c r="GUW69" s="594"/>
      <c r="GUX69" s="594"/>
      <c r="GUY69" s="594"/>
      <c r="GUZ69" s="594"/>
      <c r="GVA69" s="594"/>
      <c r="GVB69" s="594"/>
      <c r="GVC69" s="594"/>
      <c r="GVD69" s="594"/>
      <c r="GVE69" s="594"/>
      <c r="GVF69" s="594"/>
      <c r="GVG69" s="594"/>
      <c r="GVH69" s="594"/>
      <c r="GVI69" s="594"/>
      <c r="GVJ69" s="594"/>
      <c r="GVK69" s="594"/>
      <c r="GVL69" s="594"/>
      <c r="GVM69" s="594"/>
      <c r="GVN69" s="594"/>
      <c r="GVO69" s="594"/>
      <c r="GVP69" s="594"/>
      <c r="GVQ69" s="594"/>
      <c r="GVR69" s="594"/>
      <c r="GVS69" s="594"/>
      <c r="GVT69" s="594"/>
      <c r="GVU69" s="594"/>
      <c r="GVV69" s="594"/>
      <c r="GVW69" s="594"/>
      <c r="GVX69" s="594"/>
      <c r="GVY69" s="594"/>
      <c r="GVZ69" s="594"/>
      <c r="GWA69" s="594"/>
      <c r="GWB69" s="594"/>
      <c r="GWC69" s="594"/>
      <c r="GWD69" s="594"/>
      <c r="GWE69" s="594"/>
      <c r="GWF69" s="594"/>
      <c r="GWG69" s="594"/>
      <c r="GWH69" s="594"/>
      <c r="GWI69" s="594"/>
      <c r="GWJ69" s="594"/>
      <c r="GWK69" s="594"/>
      <c r="GWL69" s="594"/>
      <c r="GWM69" s="594"/>
      <c r="GWN69" s="594"/>
      <c r="GWO69" s="594"/>
      <c r="GWP69" s="594"/>
      <c r="GWQ69" s="594"/>
      <c r="GWR69" s="594"/>
      <c r="GWS69" s="594"/>
      <c r="GWT69" s="594"/>
      <c r="GWU69" s="594"/>
      <c r="GWV69" s="594"/>
      <c r="GWW69" s="594"/>
      <c r="GWX69" s="594"/>
      <c r="GWY69" s="594"/>
      <c r="GWZ69" s="594"/>
      <c r="GXA69" s="594"/>
      <c r="GXB69" s="594"/>
      <c r="GXC69" s="594"/>
      <c r="GXD69" s="594"/>
      <c r="GXE69" s="594"/>
      <c r="GXF69" s="594"/>
      <c r="GXG69" s="594"/>
      <c r="GXH69" s="594"/>
      <c r="GXI69" s="594"/>
      <c r="GXJ69" s="594"/>
      <c r="GXK69" s="594"/>
      <c r="GXL69" s="594"/>
      <c r="GXM69" s="594"/>
      <c r="GXN69" s="594"/>
      <c r="GXO69" s="594"/>
      <c r="GXP69" s="594"/>
      <c r="GXQ69" s="594"/>
      <c r="GXR69" s="594"/>
      <c r="GXS69" s="594"/>
      <c r="GXT69" s="594"/>
      <c r="GXU69" s="594"/>
      <c r="GXV69" s="594"/>
      <c r="GXW69" s="594"/>
      <c r="GXX69" s="594"/>
      <c r="GXY69" s="594"/>
      <c r="GXZ69" s="594"/>
      <c r="GYA69" s="594"/>
      <c r="GYB69" s="594"/>
      <c r="GYC69" s="594"/>
      <c r="GYD69" s="594"/>
      <c r="GYE69" s="594"/>
      <c r="GYF69" s="594"/>
      <c r="GYG69" s="594"/>
      <c r="GYH69" s="594"/>
      <c r="GYI69" s="594"/>
      <c r="GYJ69" s="594"/>
      <c r="GYK69" s="594"/>
      <c r="GYL69" s="594"/>
      <c r="GYM69" s="594"/>
      <c r="GYN69" s="594"/>
      <c r="GYO69" s="594"/>
      <c r="GYP69" s="594"/>
      <c r="GYQ69" s="594"/>
      <c r="GYR69" s="594"/>
      <c r="GYS69" s="594"/>
      <c r="GYT69" s="594"/>
      <c r="GYU69" s="594"/>
      <c r="GYV69" s="594"/>
      <c r="GYW69" s="594"/>
      <c r="GYX69" s="594"/>
      <c r="GYY69" s="594"/>
      <c r="GYZ69" s="594"/>
      <c r="GZA69" s="594"/>
      <c r="GZB69" s="594"/>
      <c r="GZC69" s="594"/>
      <c r="GZD69" s="594"/>
      <c r="GZE69" s="594"/>
      <c r="GZF69" s="594"/>
      <c r="GZG69" s="594"/>
      <c r="GZH69" s="594"/>
      <c r="GZI69" s="594"/>
      <c r="GZJ69" s="594"/>
      <c r="GZK69" s="594"/>
      <c r="GZL69" s="594"/>
      <c r="GZM69" s="594"/>
      <c r="GZN69" s="594"/>
      <c r="GZO69" s="594"/>
      <c r="GZP69" s="594"/>
      <c r="GZQ69" s="594"/>
      <c r="GZR69" s="594"/>
      <c r="GZS69" s="594"/>
      <c r="GZT69" s="594"/>
      <c r="GZU69" s="594"/>
      <c r="GZV69" s="594"/>
      <c r="GZW69" s="594"/>
      <c r="GZX69" s="594"/>
      <c r="GZY69" s="594"/>
      <c r="GZZ69" s="594"/>
      <c r="HAA69" s="594"/>
      <c r="HAB69" s="594"/>
      <c r="HAC69" s="594"/>
      <c r="HAD69" s="594"/>
      <c r="HAE69" s="594"/>
      <c r="HAF69" s="594"/>
      <c r="HAG69" s="594"/>
      <c r="HAH69" s="594"/>
      <c r="HAI69" s="594"/>
      <c r="HAJ69" s="594"/>
      <c r="HAK69" s="594"/>
      <c r="HAL69" s="594"/>
      <c r="HAM69" s="594"/>
      <c r="HAN69" s="594"/>
      <c r="HAO69" s="594"/>
      <c r="HAP69" s="594"/>
      <c r="HAQ69" s="594"/>
      <c r="HAR69" s="594"/>
      <c r="HAS69" s="594"/>
      <c r="HAT69" s="594"/>
      <c r="HAU69" s="594"/>
      <c r="HAV69" s="594"/>
      <c r="HAW69" s="594"/>
      <c r="HAX69" s="594"/>
      <c r="HAY69" s="594"/>
      <c r="HAZ69" s="594"/>
      <c r="HBA69" s="594"/>
      <c r="HBB69" s="594"/>
      <c r="HBC69" s="594"/>
      <c r="HBD69" s="594"/>
      <c r="HBE69" s="594"/>
      <c r="HBF69" s="594"/>
      <c r="HBG69" s="594"/>
      <c r="HBH69" s="594"/>
      <c r="HBI69" s="594"/>
      <c r="HBJ69" s="594"/>
      <c r="HBK69" s="594"/>
      <c r="HBL69" s="594"/>
      <c r="HBM69" s="594"/>
      <c r="HBN69" s="594"/>
      <c r="HBO69" s="594"/>
      <c r="HBP69" s="594"/>
      <c r="HBQ69" s="594"/>
      <c r="HBR69" s="594"/>
      <c r="HBS69" s="594"/>
      <c r="HBT69" s="594"/>
      <c r="HBU69" s="594"/>
      <c r="HBV69" s="594"/>
      <c r="HBW69" s="594"/>
      <c r="HBX69" s="594"/>
      <c r="HBY69" s="594"/>
      <c r="HBZ69" s="594"/>
      <c r="HCA69" s="594"/>
      <c r="HCB69" s="594"/>
      <c r="HCC69" s="594"/>
      <c r="HCD69" s="594"/>
      <c r="HCE69" s="594"/>
      <c r="HCF69" s="594"/>
      <c r="HCG69" s="594"/>
      <c r="HCH69" s="594"/>
      <c r="HCI69" s="594"/>
      <c r="HCJ69" s="594"/>
      <c r="HCK69" s="594"/>
      <c r="HCL69" s="594"/>
      <c r="HCM69" s="594"/>
      <c r="HCN69" s="594"/>
      <c r="HCO69" s="594"/>
      <c r="HCP69" s="594"/>
      <c r="HCQ69" s="594"/>
      <c r="HCR69" s="594"/>
      <c r="HCS69" s="594"/>
      <c r="HCT69" s="594"/>
      <c r="HCU69" s="594"/>
      <c r="HCV69" s="594"/>
      <c r="HCW69" s="594"/>
      <c r="HCX69" s="594"/>
      <c r="HCY69" s="594"/>
      <c r="HCZ69" s="594"/>
      <c r="HDA69" s="594"/>
      <c r="HDB69" s="594"/>
      <c r="HDC69" s="594"/>
      <c r="HDD69" s="594"/>
      <c r="HDE69" s="594"/>
      <c r="HDF69" s="594"/>
      <c r="HDG69" s="594"/>
      <c r="HDH69" s="594"/>
      <c r="HDI69" s="594"/>
      <c r="HDJ69" s="594"/>
      <c r="HDK69" s="594"/>
      <c r="HDL69" s="594"/>
      <c r="HDM69" s="594"/>
      <c r="HDN69" s="594"/>
      <c r="HDO69" s="594"/>
      <c r="HDP69" s="594"/>
      <c r="HDQ69" s="594"/>
      <c r="HDR69" s="594"/>
      <c r="HDS69" s="594"/>
      <c r="HDT69" s="594"/>
      <c r="HDU69" s="594"/>
      <c r="HDV69" s="594"/>
      <c r="HDW69" s="594"/>
      <c r="HDX69" s="594"/>
      <c r="HDY69" s="594"/>
      <c r="HDZ69" s="594"/>
      <c r="HEA69" s="594"/>
      <c r="HEB69" s="594"/>
      <c r="HEC69" s="594"/>
      <c r="HED69" s="594"/>
      <c r="HEE69" s="594"/>
      <c r="HEF69" s="594"/>
      <c r="HEG69" s="594"/>
      <c r="HEH69" s="594"/>
      <c r="HEI69" s="594"/>
      <c r="HEJ69" s="594"/>
      <c r="HEK69" s="594"/>
      <c r="HEL69" s="594"/>
      <c r="HEM69" s="594"/>
      <c r="HEN69" s="594"/>
      <c r="HEO69" s="594"/>
      <c r="HEP69" s="594"/>
      <c r="HEQ69" s="594"/>
      <c r="HER69" s="594"/>
      <c r="HES69" s="594"/>
      <c r="HET69" s="594"/>
      <c r="HEU69" s="594"/>
      <c r="HEV69" s="594"/>
      <c r="HEW69" s="594"/>
      <c r="HEX69" s="594"/>
      <c r="HEY69" s="594"/>
      <c r="HEZ69" s="594"/>
      <c r="HFA69" s="594"/>
      <c r="HFB69" s="594"/>
      <c r="HFC69" s="594"/>
      <c r="HFD69" s="594"/>
      <c r="HFE69" s="594"/>
      <c r="HFF69" s="594"/>
      <c r="HFG69" s="594"/>
      <c r="HFH69" s="594"/>
      <c r="HFI69" s="594"/>
      <c r="HFJ69" s="594"/>
      <c r="HFK69" s="594"/>
      <c r="HFL69" s="594"/>
      <c r="HFM69" s="594"/>
      <c r="HFN69" s="594"/>
      <c r="HFO69" s="594"/>
      <c r="HFP69" s="594"/>
      <c r="HFQ69" s="594"/>
      <c r="HFR69" s="594"/>
      <c r="HFS69" s="594"/>
      <c r="HFT69" s="594"/>
      <c r="HFU69" s="594"/>
      <c r="HFV69" s="594"/>
      <c r="HFW69" s="594"/>
      <c r="HFX69" s="594"/>
      <c r="HFY69" s="594"/>
      <c r="HFZ69" s="594"/>
      <c r="HGA69" s="594"/>
      <c r="HGB69" s="594"/>
      <c r="HGC69" s="594"/>
      <c r="HGD69" s="594"/>
      <c r="HGE69" s="594"/>
      <c r="HGF69" s="594"/>
      <c r="HGG69" s="594"/>
      <c r="HGH69" s="594"/>
      <c r="HGI69" s="594"/>
      <c r="HGJ69" s="594"/>
      <c r="HGK69" s="594"/>
      <c r="HGL69" s="594"/>
      <c r="HGM69" s="594"/>
      <c r="HGN69" s="594"/>
      <c r="HGO69" s="594"/>
      <c r="HGP69" s="594"/>
      <c r="HGQ69" s="594"/>
      <c r="HGR69" s="594"/>
      <c r="HGS69" s="594"/>
      <c r="HGT69" s="594"/>
      <c r="HGU69" s="594"/>
      <c r="HGV69" s="594"/>
      <c r="HGW69" s="594"/>
      <c r="HGX69" s="594"/>
      <c r="HGY69" s="594"/>
      <c r="HGZ69" s="594"/>
      <c r="HHA69" s="594"/>
      <c r="HHB69" s="594"/>
      <c r="HHC69" s="594"/>
      <c r="HHD69" s="594"/>
      <c r="HHE69" s="594"/>
      <c r="HHF69" s="594"/>
      <c r="HHG69" s="594"/>
      <c r="HHH69" s="594"/>
      <c r="HHI69" s="594"/>
      <c r="HHJ69" s="594"/>
      <c r="HHK69" s="594"/>
      <c r="HHL69" s="594"/>
      <c r="HHM69" s="594"/>
      <c r="HHN69" s="594"/>
      <c r="HHO69" s="594"/>
      <c r="HHP69" s="594"/>
      <c r="HHQ69" s="594"/>
      <c r="HHR69" s="594"/>
      <c r="HHS69" s="594"/>
      <c r="HHT69" s="594"/>
      <c r="HHU69" s="594"/>
      <c r="HHV69" s="594"/>
      <c r="HHW69" s="594"/>
      <c r="HHX69" s="594"/>
      <c r="HHY69" s="594"/>
      <c r="HHZ69" s="594"/>
      <c r="HIA69" s="594"/>
      <c r="HIB69" s="594"/>
      <c r="HIC69" s="594"/>
      <c r="HID69" s="594"/>
      <c r="HIE69" s="594"/>
      <c r="HIF69" s="594"/>
      <c r="HIG69" s="594"/>
      <c r="HIH69" s="594"/>
      <c r="HII69" s="594"/>
      <c r="HIJ69" s="594"/>
      <c r="HIK69" s="594"/>
      <c r="HIL69" s="594"/>
      <c r="HIM69" s="594"/>
      <c r="HIN69" s="594"/>
      <c r="HIO69" s="594"/>
      <c r="HIP69" s="594"/>
      <c r="HIQ69" s="594"/>
      <c r="HIR69" s="594"/>
      <c r="HIS69" s="594"/>
      <c r="HIT69" s="594"/>
      <c r="HIU69" s="594"/>
      <c r="HIV69" s="594"/>
      <c r="HIW69" s="594"/>
      <c r="HIX69" s="594"/>
      <c r="HIY69" s="594"/>
      <c r="HIZ69" s="594"/>
      <c r="HJA69" s="594"/>
      <c r="HJB69" s="594"/>
      <c r="HJC69" s="594"/>
      <c r="HJD69" s="594"/>
      <c r="HJE69" s="594"/>
      <c r="HJF69" s="594"/>
      <c r="HJG69" s="594"/>
      <c r="HJH69" s="594"/>
      <c r="HJI69" s="594"/>
      <c r="HJJ69" s="594"/>
      <c r="HJK69" s="594"/>
      <c r="HJL69" s="594"/>
      <c r="HJM69" s="594"/>
      <c r="HJN69" s="594"/>
      <c r="HJO69" s="594"/>
      <c r="HJP69" s="594"/>
      <c r="HJQ69" s="594"/>
      <c r="HJR69" s="594"/>
      <c r="HJS69" s="594"/>
      <c r="HJT69" s="594"/>
      <c r="HJU69" s="594"/>
      <c r="HJV69" s="594"/>
      <c r="HJW69" s="594"/>
      <c r="HJX69" s="594"/>
      <c r="HJY69" s="594"/>
      <c r="HJZ69" s="594"/>
      <c r="HKA69" s="594"/>
      <c r="HKB69" s="594"/>
      <c r="HKC69" s="594"/>
      <c r="HKD69" s="594"/>
      <c r="HKE69" s="594"/>
      <c r="HKF69" s="594"/>
      <c r="HKG69" s="594"/>
      <c r="HKH69" s="594"/>
      <c r="HKI69" s="594"/>
      <c r="HKJ69" s="594"/>
      <c r="HKK69" s="594"/>
      <c r="HKL69" s="594"/>
      <c r="HKM69" s="594"/>
      <c r="HKN69" s="594"/>
      <c r="HKO69" s="594"/>
      <c r="HKP69" s="594"/>
      <c r="HKQ69" s="594"/>
      <c r="HKR69" s="594"/>
      <c r="HKS69" s="594"/>
      <c r="HKT69" s="594"/>
      <c r="HKU69" s="594"/>
      <c r="HKV69" s="594"/>
      <c r="HKW69" s="594"/>
      <c r="HKX69" s="594"/>
      <c r="HKY69" s="594"/>
      <c r="HKZ69" s="594"/>
      <c r="HLA69" s="594"/>
      <c r="HLB69" s="594"/>
      <c r="HLC69" s="594"/>
      <c r="HLD69" s="594"/>
      <c r="HLE69" s="594"/>
      <c r="HLF69" s="594"/>
      <c r="HLG69" s="594"/>
      <c r="HLH69" s="594"/>
      <c r="HLI69" s="594"/>
      <c r="HLJ69" s="594"/>
      <c r="HLK69" s="594"/>
      <c r="HLL69" s="594"/>
      <c r="HLM69" s="594"/>
      <c r="HLN69" s="594"/>
      <c r="HLO69" s="594"/>
      <c r="HLP69" s="594"/>
      <c r="HLQ69" s="594"/>
      <c r="HLR69" s="594"/>
      <c r="HLS69" s="594"/>
      <c r="HLT69" s="594"/>
      <c r="HLU69" s="594"/>
      <c r="HLV69" s="594"/>
      <c r="HLW69" s="594"/>
      <c r="HLX69" s="594"/>
      <c r="HLY69" s="594"/>
      <c r="HLZ69" s="594"/>
      <c r="HMA69" s="594"/>
      <c r="HMB69" s="594"/>
      <c r="HMC69" s="594"/>
      <c r="HMD69" s="594"/>
      <c r="HME69" s="594"/>
      <c r="HMF69" s="594"/>
      <c r="HMG69" s="594"/>
      <c r="HMH69" s="594"/>
      <c r="HMI69" s="594"/>
      <c r="HMJ69" s="594"/>
      <c r="HMK69" s="594"/>
      <c r="HML69" s="594"/>
      <c r="HMM69" s="594"/>
      <c r="HMN69" s="594"/>
      <c r="HMO69" s="594"/>
      <c r="HMP69" s="594"/>
      <c r="HMQ69" s="594"/>
      <c r="HMR69" s="594"/>
      <c r="HMS69" s="594"/>
      <c r="HMT69" s="594"/>
      <c r="HMU69" s="594"/>
      <c r="HMV69" s="594"/>
      <c r="HMW69" s="594"/>
      <c r="HMX69" s="594"/>
      <c r="HMY69" s="594"/>
      <c r="HMZ69" s="594"/>
      <c r="HNA69" s="594"/>
      <c r="HNB69" s="594"/>
      <c r="HNC69" s="594"/>
      <c r="HND69" s="594"/>
      <c r="HNE69" s="594"/>
      <c r="HNF69" s="594"/>
      <c r="HNG69" s="594"/>
      <c r="HNH69" s="594"/>
      <c r="HNI69" s="594"/>
      <c r="HNJ69" s="594"/>
      <c r="HNK69" s="594"/>
      <c r="HNL69" s="594"/>
      <c r="HNM69" s="594"/>
      <c r="HNN69" s="594"/>
      <c r="HNO69" s="594"/>
      <c r="HNP69" s="594"/>
      <c r="HNQ69" s="594"/>
      <c r="HNR69" s="594"/>
      <c r="HNS69" s="594"/>
      <c r="HNT69" s="594"/>
      <c r="HNU69" s="594"/>
      <c r="HNV69" s="594"/>
      <c r="HNW69" s="594"/>
      <c r="HNX69" s="594"/>
      <c r="HNY69" s="594"/>
      <c r="HNZ69" s="594"/>
      <c r="HOA69" s="594"/>
      <c r="HOB69" s="594"/>
      <c r="HOC69" s="594"/>
      <c r="HOD69" s="594"/>
      <c r="HOE69" s="594"/>
      <c r="HOF69" s="594"/>
      <c r="HOG69" s="594"/>
      <c r="HOH69" s="594"/>
      <c r="HOI69" s="594"/>
      <c r="HOJ69" s="594"/>
      <c r="HOK69" s="594"/>
      <c r="HOL69" s="594"/>
      <c r="HOM69" s="594"/>
      <c r="HON69" s="594"/>
      <c r="HOO69" s="594"/>
      <c r="HOP69" s="594"/>
      <c r="HOQ69" s="594"/>
      <c r="HOR69" s="594"/>
      <c r="HOS69" s="594"/>
      <c r="HOT69" s="594"/>
      <c r="HOU69" s="594"/>
      <c r="HOV69" s="594"/>
      <c r="HOW69" s="594"/>
      <c r="HOX69" s="594"/>
      <c r="HOY69" s="594"/>
      <c r="HOZ69" s="594"/>
      <c r="HPA69" s="594"/>
      <c r="HPB69" s="594"/>
      <c r="HPC69" s="594"/>
      <c r="HPD69" s="594"/>
      <c r="HPE69" s="594"/>
      <c r="HPF69" s="594"/>
      <c r="HPG69" s="594"/>
      <c r="HPH69" s="594"/>
      <c r="HPI69" s="594"/>
      <c r="HPJ69" s="594"/>
      <c r="HPK69" s="594"/>
      <c r="HPL69" s="594"/>
      <c r="HPM69" s="594"/>
      <c r="HPN69" s="594"/>
      <c r="HPO69" s="594"/>
      <c r="HPP69" s="594"/>
      <c r="HPQ69" s="594"/>
      <c r="HPR69" s="594"/>
      <c r="HPS69" s="594"/>
      <c r="HPT69" s="594"/>
      <c r="HPU69" s="594"/>
      <c r="HPV69" s="594"/>
      <c r="HPW69" s="594"/>
      <c r="HPX69" s="594"/>
      <c r="HPY69" s="594"/>
      <c r="HPZ69" s="594"/>
      <c r="HQA69" s="594"/>
      <c r="HQB69" s="594"/>
      <c r="HQC69" s="594"/>
      <c r="HQD69" s="594"/>
      <c r="HQE69" s="594"/>
      <c r="HQF69" s="594"/>
      <c r="HQG69" s="594"/>
      <c r="HQH69" s="594"/>
      <c r="HQI69" s="594"/>
      <c r="HQJ69" s="594"/>
      <c r="HQK69" s="594"/>
      <c r="HQL69" s="594"/>
      <c r="HQM69" s="594"/>
      <c r="HQN69" s="594"/>
      <c r="HQO69" s="594"/>
      <c r="HQP69" s="594"/>
      <c r="HQQ69" s="594"/>
      <c r="HQR69" s="594"/>
      <c r="HQS69" s="594"/>
      <c r="HQT69" s="594"/>
      <c r="HQU69" s="594"/>
      <c r="HQV69" s="594"/>
      <c r="HQW69" s="594"/>
      <c r="HQX69" s="594"/>
      <c r="HQY69" s="594"/>
      <c r="HQZ69" s="594"/>
      <c r="HRA69" s="594"/>
      <c r="HRB69" s="594"/>
      <c r="HRC69" s="594"/>
      <c r="HRD69" s="594"/>
      <c r="HRE69" s="594"/>
      <c r="HRF69" s="594"/>
      <c r="HRG69" s="594"/>
      <c r="HRH69" s="594"/>
      <c r="HRI69" s="594"/>
      <c r="HRJ69" s="594"/>
      <c r="HRK69" s="594"/>
      <c r="HRL69" s="594"/>
      <c r="HRM69" s="594"/>
      <c r="HRN69" s="594"/>
      <c r="HRO69" s="594"/>
      <c r="HRP69" s="594"/>
      <c r="HRQ69" s="594"/>
      <c r="HRR69" s="594"/>
      <c r="HRS69" s="594"/>
      <c r="HRT69" s="594"/>
      <c r="HRU69" s="594"/>
      <c r="HRV69" s="594"/>
      <c r="HRW69" s="594"/>
      <c r="HRX69" s="594"/>
      <c r="HRY69" s="594"/>
      <c r="HRZ69" s="594"/>
      <c r="HSA69" s="594"/>
      <c r="HSB69" s="594"/>
      <c r="HSC69" s="594"/>
      <c r="HSD69" s="594"/>
      <c r="HSE69" s="594"/>
      <c r="HSF69" s="594"/>
      <c r="HSG69" s="594"/>
      <c r="HSH69" s="594"/>
      <c r="HSI69" s="594"/>
      <c r="HSJ69" s="594"/>
      <c r="HSK69" s="594"/>
      <c r="HSL69" s="594"/>
      <c r="HSM69" s="594"/>
      <c r="HSN69" s="594"/>
      <c r="HSO69" s="594"/>
      <c r="HSP69" s="594"/>
      <c r="HSQ69" s="594"/>
      <c r="HSR69" s="594"/>
      <c r="HSS69" s="594"/>
      <c r="HST69" s="594"/>
      <c r="HSU69" s="594"/>
      <c r="HSV69" s="594"/>
      <c r="HSW69" s="594"/>
      <c r="HSX69" s="594"/>
      <c r="HSY69" s="594"/>
      <c r="HSZ69" s="594"/>
      <c r="HTA69" s="594"/>
      <c r="HTB69" s="594"/>
      <c r="HTC69" s="594"/>
      <c r="HTD69" s="594"/>
      <c r="HTE69" s="594"/>
      <c r="HTF69" s="594"/>
      <c r="HTG69" s="594"/>
      <c r="HTH69" s="594"/>
      <c r="HTI69" s="594"/>
      <c r="HTJ69" s="594"/>
      <c r="HTK69" s="594"/>
      <c r="HTL69" s="594"/>
      <c r="HTM69" s="594"/>
      <c r="HTN69" s="594"/>
      <c r="HTO69" s="594"/>
      <c r="HTP69" s="594"/>
      <c r="HTQ69" s="594"/>
      <c r="HTR69" s="594"/>
      <c r="HTS69" s="594"/>
      <c r="HTT69" s="594"/>
      <c r="HTU69" s="594"/>
      <c r="HTV69" s="594"/>
      <c r="HTW69" s="594"/>
      <c r="HTX69" s="594"/>
      <c r="HTY69" s="594"/>
      <c r="HTZ69" s="594"/>
      <c r="HUA69" s="594"/>
      <c r="HUB69" s="594"/>
      <c r="HUC69" s="594"/>
      <c r="HUD69" s="594"/>
      <c r="HUE69" s="594"/>
      <c r="HUF69" s="594"/>
      <c r="HUG69" s="594"/>
      <c r="HUH69" s="594"/>
      <c r="HUI69" s="594"/>
      <c r="HUJ69" s="594"/>
      <c r="HUK69" s="594"/>
      <c r="HUL69" s="594"/>
      <c r="HUM69" s="594"/>
      <c r="HUN69" s="594"/>
      <c r="HUO69" s="594"/>
      <c r="HUP69" s="594"/>
      <c r="HUQ69" s="594"/>
      <c r="HUR69" s="594"/>
      <c r="HUS69" s="594"/>
      <c r="HUT69" s="594"/>
      <c r="HUU69" s="594"/>
      <c r="HUV69" s="594"/>
      <c r="HUW69" s="594"/>
      <c r="HUX69" s="594"/>
      <c r="HUY69" s="594"/>
      <c r="HUZ69" s="594"/>
      <c r="HVA69" s="594"/>
      <c r="HVB69" s="594"/>
      <c r="HVC69" s="594"/>
      <c r="HVD69" s="594"/>
      <c r="HVE69" s="594"/>
      <c r="HVF69" s="594"/>
      <c r="HVG69" s="594"/>
      <c r="HVH69" s="594"/>
      <c r="HVI69" s="594"/>
      <c r="HVJ69" s="594"/>
      <c r="HVK69" s="594"/>
      <c r="HVL69" s="594"/>
      <c r="HVM69" s="594"/>
      <c r="HVN69" s="594"/>
      <c r="HVO69" s="594"/>
      <c r="HVP69" s="594"/>
      <c r="HVQ69" s="594"/>
      <c r="HVR69" s="594"/>
      <c r="HVS69" s="594"/>
      <c r="HVT69" s="594"/>
      <c r="HVU69" s="594"/>
      <c r="HVV69" s="594"/>
      <c r="HVW69" s="594"/>
      <c r="HVX69" s="594"/>
      <c r="HVY69" s="594"/>
      <c r="HVZ69" s="594"/>
      <c r="HWA69" s="594"/>
      <c r="HWB69" s="594"/>
      <c r="HWC69" s="594"/>
      <c r="HWD69" s="594"/>
      <c r="HWE69" s="594"/>
      <c r="HWF69" s="594"/>
      <c r="HWG69" s="594"/>
      <c r="HWH69" s="594"/>
      <c r="HWI69" s="594"/>
      <c r="HWJ69" s="594"/>
      <c r="HWK69" s="594"/>
      <c r="HWL69" s="594"/>
      <c r="HWM69" s="594"/>
      <c r="HWN69" s="594"/>
      <c r="HWO69" s="594"/>
      <c r="HWP69" s="594"/>
      <c r="HWQ69" s="594"/>
      <c r="HWR69" s="594"/>
      <c r="HWS69" s="594"/>
      <c r="HWT69" s="594"/>
      <c r="HWU69" s="594"/>
      <c r="HWV69" s="594"/>
      <c r="HWW69" s="594"/>
      <c r="HWX69" s="594"/>
      <c r="HWY69" s="594"/>
      <c r="HWZ69" s="594"/>
      <c r="HXA69" s="594"/>
      <c r="HXB69" s="594"/>
      <c r="HXC69" s="594"/>
      <c r="HXD69" s="594"/>
      <c r="HXE69" s="594"/>
      <c r="HXF69" s="594"/>
      <c r="HXG69" s="594"/>
      <c r="HXH69" s="594"/>
      <c r="HXI69" s="594"/>
      <c r="HXJ69" s="594"/>
      <c r="HXK69" s="594"/>
      <c r="HXL69" s="594"/>
      <c r="HXM69" s="594"/>
      <c r="HXN69" s="594"/>
      <c r="HXO69" s="594"/>
      <c r="HXP69" s="594"/>
      <c r="HXQ69" s="594"/>
      <c r="HXR69" s="594"/>
      <c r="HXS69" s="594"/>
      <c r="HXT69" s="594"/>
      <c r="HXU69" s="594"/>
      <c r="HXV69" s="594"/>
      <c r="HXW69" s="594"/>
      <c r="HXX69" s="594"/>
      <c r="HXY69" s="594"/>
      <c r="HXZ69" s="594"/>
      <c r="HYA69" s="594"/>
      <c r="HYB69" s="594"/>
      <c r="HYC69" s="594"/>
      <c r="HYD69" s="594"/>
      <c r="HYE69" s="594"/>
      <c r="HYF69" s="594"/>
      <c r="HYG69" s="594"/>
      <c r="HYH69" s="594"/>
      <c r="HYI69" s="594"/>
      <c r="HYJ69" s="594"/>
      <c r="HYK69" s="594"/>
      <c r="HYL69" s="594"/>
      <c r="HYM69" s="594"/>
      <c r="HYN69" s="594"/>
      <c r="HYO69" s="594"/>
      <c r="HYP69" s="594"/>
      <c r="HYQ69" s="594"/>
      <c r="HYR69" s="594"/>
      <c r="HYS69" s="594"/>
      <c r="HYT69" s="594"/>
      <c r="HYU69" s="594"/>
      <c r="HYV69" s="594"/>
      <c r="HYW69" s="594"/>
      <c r="HYX69" s="594"/>
      <c r="HYY69" s="594"/>
      <c r="HYZ69" s="594"/>
      <c r="HZA69" s="594"/>
      <c r="HZB69" s="594"/>
      <c r="HZC69" s="594"/>
      <c r="HZD69" s="594"/>
      <c r="HZE69" s="594"/>
      <c r="HZF69" s="594"/>
      <c r="HZG69" s="594"/>
      <c r="HZH69" s="594"/>
      <c r="HZI69" s="594"/>
      <c r="HZJ69" s="594"/>
      <c r="HZK69" s="594"/>
      <c r="HZL69" s="594"/>
      <c r="HZM69" s="594"/>
      <c r="HZN69" s="594"/>
      <c r="HZO69" s="594"/>
      <c r="HZP69" s="594"/>
      <c r="HZQ69" s="594"/>
      <c r="HZR69" s="594"/>
      <c r="HZS69" s="594"/>
      <c r="HZT69" s="594"/>
      <c r="HZU69" s="594"/>
      <c r="HZV69" s="594"/>
      <c r="HZW69" s="594"/>
      <c r="HZX69" s="594"/>
      <c r="HZY69" s="594"/>
      <c r="HZZ69" s="594"/>
      <c r="IAA69" s="594"/>
      <c r="IAB69" s="594"/>
      <c r="IAC69" s="594"/>
      <c r="IAD69" s="594"/>
      <c r="IAE69" s="594"/>
      <c r="IAF69" s="594"/>
      <c r="IAG69" s="594"/>
      <c r="IAH69" s="594"/>
      <c r="IAI69" s="594"/>
      <c r="IAJ69" s="594"/>
      <c r="IAK69" s="594"/>
      <c r="IAL69" s="594"/>
      <c r="IAM69" s="594"/>
      <c r="IAN69" s="594"/>
      <c r="IAO69" s="594"/>
      <c r="IAP69" s="594"/>
      <c r="IAQ69" s="594"/>
      <c r="IAR69" s="594"/>
      <c r="IAS69" s="594"/>
      <c r="IAT69" s="594"/>
      <c r="IAU69" s="594"/>
      <c r="IAV69" s="594"/>
      <c r="IAW69" s="594"/>
      <c r="IAX69" s="594"/>
      <c r="IAY69" s="594"/>
      <c r="IAZ69" s="594"/>
      <c r="IBA69" s="594"/>
      <c r="IBB69" s="594"/>
      <c r="IBC69" s="594"/>
      <c r="IBD69" s="594"/>
      <c r="IBE69" s="594"/>
      <c r="IBF69" s="594"/>
      <c r="IBG69" s="594"/>
      <c r="IBH69" s="594"/>
      <c r="IBI69" s="594"/>
      <c r="IBJ69" s="594"/>
      <c r="IBK69" s="594"/>
      <c r="IBL69" s="594"/>
      <c r="IBM69" s="594"/>
      <c r="IBN69" s="594"/>
      <c r="IBO69" s="594"/>
      <c r="IBP69" s="594"/>
      <c r="IBQ69" s="594"/>
      <c r="IBR69" s="594"/>
      <c r="IBS69" s="594"/>
      <c r="IBT69" s="594"/>
      <c r="IBU69" s="594"/>
      <c r="IBV69" s="594"/>
      <c r="IBW69" s="594"/>
      <c r="IBX69" s="594"/>
      <c r="IBY69" s="594"/>
      <c r="IBZ69" s="594"/>
      <c r="ICA69" s="594"/>
      <c r="ICB69" s="594"/>
      <c r="ICC69" s="594"/>
      <c r="ICD69" s="594"/>
      <c r="ICE69" s="594"/>
      <c r="ICF69" s="594"/>
      <c r="ICG69" s="594"/>
      <c r="ICH69" s="594"/>
      <c r="ICI69" s="594"/>
      <c r="ICJ69" s="594"/>
      <c r="ICK69" s="594"/>
      <c r="ICL69" s="594"/>
      <c r="ICM69" s="594"/>
      <c r="ICN69" s="594"/>
      <c r="ICO69" s="594"/>
      <c r="ICP69" s="594"/>
      <c r="ICQ69" s="594"/>
      <c r="ICR69" s="594"/>
      <c r="ICS69" s="594"/>
      <c r="ICT69" s="594"/>
      <c r="ICU69" s="594"/>
      <c r="ICV69" s="594"/>
      <c r="ICW69" s="594"/>
      <c r="ICX69" s="594"/>
      <c r="ICY69" s="594"/>
      <c r="ICZ69" s="594"/>
      <c r="IDA69" s="594"/>
      <c r="IDB69" s="594"/>
      <c r="IDC69" s="594"/>
      <c r="IDD69" s="594"/>
      <c r="IDE69" s="594"/>
      <c r="IDF69" s="594"/>
      <c r="IDG69" s="594"/>
      <c r="IDH69" s="594"/>
      <c r="IDI69" s="594"/>
      <c r="IDJ69" s="594"/>
      <c r="IDK69" s="594"/>
      <c r="IDL69" s="594"/>
      <c r="IDM69" s="594"/>
      <c r="IDN69" s="594"/>
      <c r="IDO69" s="594"/>
      <c r="IDP69" s="594"/>
      <c r="IDQ69" s="594"/>
      <c r="IDR69" s="594"/>
      <c r="IDS69" s="594"/>
      <c r="IDT69" s="594"/>
      <c r="IDU69" s="594"/>
      <c r="IDV69" s="594"/>
      <c r="IDW69" s="594"/>
      <c r="IDX69" s="594"/>
      <c r="IDY69" s="594"/>
      <c r="IDZ69" s="594"/>
      <c r="IEA69" s="594"/>
      <c r="IEB69" s="594"/>
      <c r="IEC69" s="594"/>
      <c r="IED69" s="594"/>
      <c r="IEE69" s="594"/>
      <c r="IEF69" s="594"/>
      <c r="IEG69" s="594"/>
      <c r="IEH69" s="594"/>
      <c r="IEI69" s="594"/>
      <c r="IEJ69" s="594"/>
      <c r="IEK69" s="594"/>
      <c r="IEL69" s="594"/>
      <c r="IEM69" s="594"/>
      <c r="IEN69" s="594"/>
      <c r="IEO69" s="594"/>
      <c r="IEP69" s="594"/>
      <c r="IEQ69" s="594"/>
      <c r="IER69" s="594"/>
      <c r="IES69" s="594"/>
      <c r="IET69" s="594"/>
      <c r="IEU69" s="594"/>
      <c r="IEV69" s="594"/>
      <c r="IEW69" s="594"/>
      <c r="IEX69" s="594"/>
      <c r="IEY69" s="594"/>
      <c r="IEZ69" s="594"/>
      <c r="IFA69" s="594"/>
      <c r="IFB69" s="594"/>
      <c r="IFC69" s="594"/>
      <c r="IFD69" s="594"/>
      <c r="IFE69" s="594"/>
      <c r="IFF69" s="594"/>
      <c r="IFG69" s="594"/>
      <c r="IFH69" s="594"/>
      <c r="IFI69" s="594"/>
      <c r="IFJ69" s="594"/>
      <c r="IFK69" s="594"/>
      <c r="IFL69" s="594"/>
      <c r="IFM69" s="594"/>
      <c r="IFN69" s="594"/>
      <c r="IFO69" s="594"/>
      <c r="IFP69" s="594"/>
      <c r="IFQ69" s="594"/>
      <c r="IFR69" s="594"/>
      <c r="IFS69" s="594"/>
      <c r="IFT69" s="594"/>
      <c r="IFU69" s="594"/>
      <c r="IFV69" s="594"/>
      <c r="IFW69" s="594"/>
      <c r="IFX69" s="594"/>
      <c r="IFY69" s="594"/>
      <c r="IFZ69" s="594"/>
      <c r="IGA69" s="594"/>
      <c r="IGB69" s="594"/>
      <c r="IGC69" s="594"/>
      <c r="IGD69" s="594"/>
      <c r="IGE69" s="594"/>
      <c r="IGF69" s="594"/>
      <c r="IGG69" s="594"/>
      <c r="IGH69" s="594"/>
      <c r="IGI69" s="594"/>
      <c r="IGJ69" s="594"/>
      <c r="IGK69" s="594"/>
      <c r="IGL69" s="594"/>
      <c r="IGM69" s="594"/>
      <c r="IGN69" s="594"/>
      <c r="IGO69" s="594"/>
      <c r="IGP69" s="594"/>
      <c r="IGQ69" s="594"/>
      <c r="IGR69" s="594"/>
      <c r="IGS69" s="594"/>
      <c r="IGT69" s="594"/>
      <c r="IGU69" s="594"/>
      <c r="IGV69" s="594"/>
      <c r="IGW69" s="594"/>
      <c r="IGX69" s="594"/>
      <c r="IGY69" s="594"/>
      <c r="IGZ69" s="594"/>
      <c r="IHA69" s="594"/>
      <c r="IHB69" s="594"/>
      <c r="IHC69" s="594"/>
      <c r="IHD69" s="594"/>
      <c r="IHE69" s="594"/>
      <c r="IHF69" s="594"/>
      <c r="IHG69" s="594"/>
      <c r="IHH69" s="594"/>
      <c r="IHI69" s="594"/>
      <c r="IHJ69" s="594"/>
      <c r="IHK69" s="594"/>
      <c r="IHL69" s="594"/>
      <c r="IHM69" s="594"/>
      <c r="IHN69" s="594"/>
      <c r="IHO69" s="594"/>
      <c r="IHP69" s="594"/>
      <c r="IHQ69" s="594"/>
      <c r="IHR69" s="594"/>
      <c r="IHS69" s="594"/>
      <c r="IHT69" s="594"/>
      <c r="IHU69" s="594"/>
      <c r="IHV69" s="594"/>
      <c r="IHW69" s="594"/>
      <c r="IHX69" s="594"/>
      <c r="IHY69" s="594"/>
      <c r="IHZ69" s="594"/>
      <c r="IIA69" s="594"/>
      <c r="IIB69" s="594"/>
      <c r="IIC69" s="594"/>
      <c r="IID69" s="594"/>
      <c r="IIE69" s="594"/>
      <c r="IIF69" s="594"/>
      <c r="IIG69" s="594"/>
      <c r="IIH69" s="594"/>
      <c r="III69" s="594"/>
      <c r="IIJ69" s="594"/>
      <c r="IIK69" s="594"/>
      <c r="IIL69" s="594"/>
      <c r="IIM69" s="594"/>
      <c r="IIN69" s="594"/>
      <c r="IIO69" s="594"/>
      <c r="IIP69" s="594"/>
      <c r="IIQ69" s="594"/>
      <c r="IIR69" s="594"/>
      <c r="IIS69" s="594"/>
      <c r="IIT69" s="594"/>
      <c r="IIU69" s="594"/>
      <c r="IIV69" s="594"/>
      <c r="IIW69" s="594"/>
      <c r="IIX69" s="594"/>
      <c r="IIY69" s="594"/>
      <c r="IIZ69" s="594"/>
      <c r="IJA69" s="594"/>
      <c r="IJB69" s="594"/>
      <c r="IJC69" s="594"/>
      <c r="IJD69" s="594"/>
      <c r="IJE69" s="594"/>
      <c r="IJF69" s="594"/>
      <c r="IJG69" s="594"/>
      <c r="IJH69" s="594"/>
      <c r="IJI69" s="594"/>
      <c r="IJJ69" s="594"/>
      <c r="IJK69" s="594"/>
      <c r="IJL69" s="594"/>
      <c r="IJM69" s="594"/>
      <c r="IJN69" s="594"/>
      <c r="IJO69" s="594"/>
      <c r="IJP69" s="594"/>
      <c r="IJQ69" s="594"/>
      <c r="IJR69" s="594"/>
      <c r="IJS69" s="594"/>
      <c r="IJT69" s="594"/>
      <c r="IJU69" s="594"/>
      <c r="IJV69" s="594"/>
      <c r="IJW69" s="594"/>
      <c r="IJX69" s="594"/>
      <c r="IJY69" s="594"/>
      <c r="IJZ69" s="594"/>
      <c r="IKA69" s="594"/>
      <c r="IKB69" s="594"/>
      <c r="IKC69" s="594"/>
      <c r="IKD69" s="594"/>
      <c r="IKE69" s="594"/>
      <c r="IKF69" s="594"/>
      <c r="IKG69" s="594"/>
      <c r="IKH69" s="594"/>
      <c r="IKI69" s="594"/>
      <c r="IKJ69" s="594"/>
      <c r="IKK69" s="594"/>
      <c r="IKL69" s="594"/>
      <c r="IKM69" s="594"/>
      <c r="IKN69" s="594"/>
      <c r="IKO69" s="594"/>
      <c r="IKP69" s="594"/>
      <c r="IKQ69" s="594"/>
      <c r="IKR69" s="594"/>
      <c r="IKS69" s="594"/>
      <c r="IKT69" s="594"/>
      <c r="IKU69" s="594"/>
      <c r="IKV69" s="594"/>
      <c r="IKW69" s="594"/>
      <c r="IKX69" s="594"/>
      <c r="IKY69" s="594"/>
      <c r="IKZ69" s="594"/>
      <c r="ILA69" s="594"/>
      <c r="ILB69" s="594"/>
      <c r="ILC69" s="594"/>
      <c r="ILD69" s="594"/>
      <c r="ILE69" s="594"/>
      <c r="ILF69" s="594"/>
      <c r="ILG69" s="594"/>
      <c r="ILH69" s="594"/>
      <c r="ILI69" s="594"/>
      <c r="ILJ69" s="594"/>
      <c r="ILK69" s="594"/>
      <c r="ILL69" s="594"/>
      <c r="ILM69" s="594"/>
      <c r="ILN69" s="594"/>
      <c r="ILO69" s="594"/>
      <c r="ILP69" s="594"/>
      <c r="ILQ69" s="594"/>
      <c r="ILR69" s="594"/>
      <c r="ILS69" s="594"/>
      <c r="ILT69" s="594"/>
      <c r="ILU69" s="594"/>
      <c r="ILV69" s="594"/>
      <c r="ILW69" s="594"/>
      <c r="ILX69" s="594"/>
      <c r="ILY69" s="594"/>
      <c r="ILZ69" s="594"/>
      <c r="IMA69" s="594"/>
      <c r="IMB69" s="594"/>
      <c r="IMC69" s="594"/>
      <c r="IMD69" s="594"/>
      <c r="IME69" s="594"/>
      <c r="IMF69" s="594"/>
      <c r="IMG69" s="594"/>
      <c r="IMH69" s="594"/>
      <c r="IMI69" s="594"/>
      <c r="IMJ69" s="594"/>
      <c r="IMK69" s="594"/>
      <c r="IML69" s="594"/>
      <c r="IMM69" s="594"/>
      <c r="IMN69" s="594"/>
      <c r="IMO69" s="594"/>
      <c r="IMP69" s="594"/>
      <c r="IMQ69" s="594"/>
      <c r="IMR69" s="594"/>
      <c r="IMS69" s="594"/>
      <c r="IMT69" s="594"/>
      <c r="IMU69" s="594"/>
      <c r="IMV69" s="594"/>
      <c r="IMW69" s="594"/>
      <c r="IMX69" s="594"/>
      <c r="IMY69" s="594"/>
      <c r="IMZ69" s="594"/>
      <c r="INA69" s="594"/>
      <c r="INB69" s="594"/>
      <c r="INC69" s="594"/>
      <c r="IND69" s="594"/>
      <c r="INE69" s="594"/>
      <c r="INF69" s="594"/>
      <c r="ING69" s="594"/>
      <c r="INH69" s="594"/>
      <c r="INI69" s="594"/>
      <c r="INJ69" s="594"/>
      <c r="INK69" s="594"/>
      <c r="INL69" s="594"/>
      <c r="INM69" s="594"/>
      <c r="INN69" s="594"/>
      <c r="INO69" s="594"/>
      <c r="INP69" s="594"/>
      <c r="INQ69" s="594"/>
      <c r="INR69" s="594"/>
      <c r="INS69" s="594"/>
      <c r="INT69" s="594"/>
      <c r="INU69" s="594"/>
      <c r="INV69" s="594"/>
      <c r="INW69" s="594"/>
      <c r="INX69" s="594"/>
      <c r="INY69" s="594"/>
      <c r="INZ69" s="594"/>
      <c r="IOA69" s="594"/>
      <c r="IOB69" s="594"/>
      <c r="IOC69" s="594"/>
      <c r="IOD69" s="594"/>
      <c r="IOE69" s="594"/>
      <c r="IOF69" s="594"/>
      <c r="IOG69" s="594"/>
      <c r="IOH69" s="594"/>
      <c r="IOI69" s="594"/>
      <c r="IOJ69" s="594"/>
      <c r="IOK69" s="594"/>
      <c r="IOL69" s="594"/>
      <c r="IOM69" s="594"/>
      <c r="ION69" s="594"/>
      <c r="IOO69" s="594"/>
      <c r="IOP69" s="594"/>
      <c r="IOQ69" s="594"/>
      <c r="IOR69" s="594"/>
      <c r="IOS69" s="594"/>
      <c r="IOT69" s="594"/>
      <c r="IOU69" s="594"/>
      <c r="IOV69" s="594"/>
      <c r="IOW69" s="594"/>
      <c r="IOX69" s="594"/>
      <c r="IOY69" s="594"/>
      <c r="IOZ69" s="594"/>
      <c r="IPA69" s="594"/>
      <c r="IPB69" s="594"/>
      <c r="IPC69" s="594"/>
      <c r="IPD69" s="594"/>
      <c r="IPE69" s="594"/>
      <c r="IPF69" s="594"/>
      <c r="IPG69" s="594"/>
      <c r="IPH69" s="594"/>
      <c r="IPI69" s="594"/>
      <c r="IPJ69" s="594"/>
      <c r="IPK69" s="594"/>
      <c r="IPL69" s="594"/>
      <c r="IPM69" s="594"/>
      <c r="IPN69" s="594"/>
      <c r="IPO69" s="594"/>
      <c r="IPP69" s="594"/>
      <c r="IPQ69" s="594"/>
      <c r="IPR69" s="594"/>
      <c r="IPS69" s="594"/>
      <c r="IPT69" s="594"/>
      <c r="IPU69" s="594"/>
      <c r="IPV69" s="594"/>
      <c r="IPW69" s="594"/>
      <c r="IPX69" s="594"/>
      <c r="IPY69" s="594"/>
      <c r="IPZ69" s="594"/>
      <c r="IQA69" s="594"/>
      <c r="IQB69" s="594"/>
      <c r="IQC69" s="594"/>
      <c r="IQD69" s="594"/>
      <c r="IQE69" s="594"/>
      <c r="IQF69" s="594"/>
      <c r="IQG69" s="594"/>
      <c r="IQH69" s="594"/>
      <c r="IQI69" s="594"/>
      <c r="IQJ69" s="594"/>
      <c r="IQK69" s="594"/>
      <c r="IQL69" s="594"/>
      <c r="IQM69" s="594"/>
      <c r="IQN69" s="594"/>
      <c r="IQO69" s="594"/>
      <c r="IQP69" s="594"/>
      <c r="IQQ69" s="594"/>
      <c r="IQR69" s="594"/>
      <c r="IQS69" s="594"/>
      <c r="IQT69" s="594"/>
      <c r="IQU69" s="594"/>
      <c r="IQV69" s="594"/>
      <c r="IQW69" s="594"/>
      <c r="IQX69" s="594"/>
      <c r="IQY69" s="594"/>
      <c r="IQZ69" s="594"/>
      <c r="IRA69" s="594"/>
      <c r="IRB69" s="594"/>
      <c r="IRC69" s="594"/>
      <c r="IRD69" s="594"/>
      <c r="IRE69" s="594"/>
      <c r="IRF69" s="594"/>
      <c r="IRG69" s="594"/>
      <c r="IRH69" s="594"/>
      <c r="IRI69" s="594"/>
      <c r="IRJ69" s="594"/>
      <c r="IRK69" s="594"/>
      <c r="IRL69" s="594"/>
      <c r="IRM69" s="594"/>
      <c r="IRN69" s="594"/>
      <c r="IRO69" s="594"/>
      <c r="IRP69" s="594"/>
      <c r="IRQ69" s="594"/>
      <c r="IRR69" s="594"/>
      <c r="IRS69" s="594"/>
      <c r="IRT69" s="594"/>
      <c r="IRU69" s="594"/>
      <c r="IRV69" s="594"/>
      <c r="IRW69" s="594"/>
      <c r="IRX69" s="594"/>
      <c r="IRY69" s="594"/>
      <c r="IRZ69" s="594"/>
      <c r="ISA69" s="594"/>
      <c r="ISB69" s="594"/>
      <c r="ISC69" s="594"/>
      <c r="ISD69" s="594"/>
      <c r="ISE69" s="594"/>
      <c r="ISF69" s="594"/>
      <c r="ISG69" s="594"/>
      <c r="ISH69" s="594"/>
      <c r="ISI69" s="594"/>
      <c r="ISJ69" s="594"/>
      <c r="ISK69" s="594"/>
      <c r="ISL69" s="594"/>
      <c r="ISM69" s="594"/>
      <c r="ISN69" s="594"/>
      <c r="ISO69" s="594"/>
      <c r="ISP69" s="594"/>
      <c r="ISQ69" s="594"/>
      <c r="ISR69" s="594"/>
      <c r="ISS69" s="594"/>
      <c r="IST69" s="594"/>
      <c r="ISU69" s="594"/>
      <c r="ISV69" s="594"/>
      <c r="ISW69" s="594"/>
      <c r="ISX69" s="594"/>
      <c r="ISY69" s="594"/>
      <c r="ISZ69" s="594"/>
      <c r="ITA69" s="594"/>
      <c r="ITB69" s="594"/>
      <c r="ITC69" s="594"/>
      <c r="ITD69" s="594"/>
      <c r="ITE69" s="594"/>
      <c r="ITF69" s="594"/>
      <c r="ITG69" s="594"/>
      <c r="ITH69" s="594"/>
      <c r="ITI69" s="594"/>
      <c r="ITJ69" s="594"/>
      <c r="ITK69" s="594"/>
      <c r="ITL69" s="594"/>
      <c r="ITM69" s="594"/>
      <c r="ITN69" s="594"/>
      <c r="ITO69" s="594"/>
      <c r="ITP69" s="594"/>
      <c r="ITQ69" s="594"/>
      <c r="ITR69" s="594"/>
      <c r="ITS69" s="594"/>
      <c r="ITT69" s="594"/>
      <c r="ITU69" s="594"/>
      <c r="ITV69" s="594"/>
      <c r="ITW69" s="594"/>
      <c r="ITX69" s="594"/>
      <c r="ITY69" s="594"/>
      <c r="ITZ69" s="594"/>
      <c r="IUA69" s="594"/>
      <c r="IUB69" s="594"/>
      <c r="IUC69" s="594"/>
      <c r="IUD69" s="594"/>
      <c r="IUE69" s="594"/>
      <c r="IUF69" s="594"/>
      <c r="IUG69" s="594"/>
      <c r="IUH69" s="594"/>
      <c r="IUI69" s="594"/>
      <c r="IUJ69" s="594"/>
      <c r="IUK69" s="594"/>
      <c r="IUL69" s="594"/>
      <c r="IUM69" s="594"/>
      <c r="IUN69" s="594"/>
      <c r="IUO69" s="594"/>
      <c r="IUP69" s="594"/>
      <c r="IUQ69" s="594"/>
      <c r="IUR69" s="594"/>
      <c r="IUS69" s="594"/>
      <c r="IUT69" s="594"/>
      <c r="IUU69" s="594"/>
      <c r="IUV69" s="594"/>
      <c r="IUW69" s="594"/>
      <c r="IUX69" s="594"/>
      <c r="IUY69" s="594"/>
      <c r="IUZ69" s="594"/>
      <c r="IVA69" s="594"/>
      <c r="IVB69" s="594"/>
      <c r="IVC69" s="594"/>
      <c r="IVD69" s="594"/>
      <c r="IVE69" s="594"/>
      <c r="IVF69" s="594"/>
      <c r="IVG69" s="594"/>
      <c r="IVH69" s="594"/>
      <c r="IVI69" s="594"/>
      <c r="IVJ69" s="594"/>
      <c r="IVK69" s="594"/>
      <c r="IVL69" s="594"/>
      <c r="IVM69" s="594"/>
      <c r="IVN69" s="594"/>
      <c r="IVO69" s="594"/>
      <c r="IVP69" s="594"/>
      <c r="IVQ69" s="594"/>
      <c r="IVR69" s="594"/>
      <c r="IVS69" s="594"/>
      <c r="IVT69" s="594"/>
      <c r="IVU69" s="594"/>
      <c r="IVV69" s="594"/>
      <c r="IVW69" s="594"/>
      <c r="IVX69" s="594"/>
      <c r="IVY69" s="594"/>
      <c r="IVZ69" s="594"/>
      <c r="IWA69" s="594"/>
      <c r="IWB69" s="594"/>
      <c r="IWC69" s="594"/>
      <c r="IWD69" s="594"/>
      <c r="IWE69" s="594"/>
      <c r="IWF69" s="594"/>
      <c r="IWG69" s="594"/>
      <c r="IWH69" s="594"/>
      <c r="IWI69" s="594"/>
      <c r="IWJ69" s="594"/>
      <c r="IWK69" s="594"/>
      <c r="IWL69" s="594"/>
      <c r="IWM69" s="594"/>
      <c r="IWN69" s="594"/>
      <c r="IWO69" s="594"/>
      <c r="IWP69" s="594"/>
      <c r="IWQ69" s="594"/>
      <c r="IWR69" s="594"/>
      <c r="IWS69" s="594"/>
      <c r="IWT69" s="594"/>
      <c r="IWU69" s="594"/>
      <c r="IWV69" s="594"/>
      <c r="IWW69" s="594"/>
      <c r="IWX69" s="594"/>
      <c r="IWY69" s="594"/>
      <c r="IWZ69" s="594"/>
      <c r="IXA69" s="594"/>
      <c r="IXB69" s="594"/>
      <c r="IXC69" s="594"/>
      <c r="IXD69" s="594"/>
      <c r="IXE69" s="594"/>
      <c r="IXF69" s="594"/>
      <c r="IXG69" s="594"/>
      <c r="IXH69" s="594"/>
      <c r="IXI69" s="594"/>
      <c r="IXJ69" s="594"/>
      <c r="IXK69" s="594"/>
      <c r="IXL69" s="594"/>
      <c r="IXM69" s="594"/>
      <c r="IXN69" s="594"/>
      <c r="IXO69" s="594"/>
      <c r="IXP69" s="594"/>
      <c r="IXQ69" s="594"/>
      <c r="IXR69" s="594"/>
      <c r="IXS69" s="594"/>
      <c r="IXT69" s="594"/>
      <c r="IXU69" s="594"/>
      <c r="IXV69" s="594"/>
      <c r="IXW69" s="594"/>
      <c r="IXX69" s="594"/>
      <c r="IXY69" s="594"/>
      <c r="IXZ69" s="594"/>
      <c r="IYA69" s="594"/>
      <c r="IYB69" s="594"/>
      <c r="IYC69" s="594"/>
      <c r="IYD69" s="594"/>
      <c r="IYE69" s="594"/>
      <c r="IYF69" s="594"/>
      <c r="IYG69" s="594"/>
      <c r="IYH69" s="594"/>
      <c r="IYI69" s="594"/>
      <c r="IYJ69" s="594"/>
      <c r="IYK69" s="594"/>
      <c r="IYL69" s="594"/>
      <c r="IYM69" s="594"/>
      <c r="IYN69" s="594"/>
      <c r="IYO69" s="594"/>
      <c r="IYP69" s="594"/>
      <c r="IYQ69" s="594"/>
      <c r="IYR69" s="594"/>
      <c r="IYS69" s="594"/>
      <c r="IYT69" s="594"/>
      <c r="IYU69" s="594"/>
      <c r="IYV69" s="594"/>
      <c r="IYW69" s="594"/>
      <c r="IYX69" s="594"/>
      <c r="IYY69" s="594"/>
      <c r="IYZ69" s="594"/>
      <c r="IZA69" s="594"/>
      <c r="IZB69" s="594"/>
      <c r="IZC69" s="594"/>
      <c r="IZD69" s="594"/>
      <c r="IZE69" s="594"/>
      <c r="IZF69" s="594"/>
      <c r="IZG69" s="594"/>
      <c r="IZH69" s="594"/>
      <c r="IZI69" s="594"/>
      <c r="IZJ69" s="594"/>
      <c r="IZK69" s="594"/>
      <c r="IZL69" s="594"/>
      <c r="IZM69" s="594"/>
      <c r="IZN69" s="594"/>
      <c r="IZO69" s="594"/>
      <c r="IZP69" s="594"/>
      <c r="IZQ69" s="594"/>
      <c r="IZR69" s="594"/>
      <c r="IZS69" s="594"/>
      <c r="IZT69" s="594"/>
      <c r="IZU69" s="594"/>
      <c r="IZV69" s="594"/>
      <c r="IZW69" s="594"/>
      <c r="IZX69" s="594"/>
      <c r="IZY69" s="594"/>
      <c r="IZZ69" s="594"/>
      <c r="JAA69" s="594"/>
      <c r="JAB69" s="594"/>
      <c r="JAC69" s="594"/>
      <c r="JAD69" s="594"/>
      <c r="JAE69" s="594"/>
      <c r="JAF69" s="594"/>
      <c r="JAG69" s="594"/>
      <c r="JAH69" s="594"/>
      <c r="JAI69" s="594"/>
      <c r="JAJ69" s="594"/>
      <c r="JAK69" s="594"/>
      <c r="JAL69" s="594"/>
      <c r="JAM69" s="594"/>
      <c r="JAN69" s="594"/>
      <c r="JAO69" s="594"/>
      <c r="JAP69" s="594"/>
      <c r="JAQ69" s="594"/>
      <c r="JAR69" s="594"/>
      <c r="JAS69" s="594"/>
      <c r="JAT69" s="594"/>
      <c r="JAU69" s="594"/>
      <c r="JAV69" s="594"/>
      <c r="JAW69" s="594"/>
      <c r="JAX69" s="594"/>
      <c r="JAY69" s="594"/>
      <c r="JAZ69" s="594"/>
      <c r="JBA69" s="594"/>
      <c r="JBB69" s="594"/>
      <c r="JBC69" s="594"/>
      <c r="JBD69" s="594"/>
      <c r="JBE69" s="594"/>
      <c r="JBF69" s="594"/>
      <c r="JBG69" s="594"/>
      <c r="JBH69" s="594"/>
      <c r="JBI69" s="594"/>
      <c r="JBJ69" s="594"/>
      <c r="JBK69" s="594"/>
      <c r="JBL69" s="594"/>
      <c r="JBM69" s="594"/>
      <c r="JBN69" s="594"/>
      <c r="JBO69" s="594"/>
      <c r="JBP69" s="594"/>
      <c r="JBQ69" s="594"/>
      <c r="JBR69" s="594"/>
      <c r="JBS69" s="594"/>
      <c r="JBT69" s="594"/>
      <c r="JBU69" s="594"/>
      <c r="JBV69" s="594"/>
      <c r="JBW69" s="594"/>
      <c r="JBX69" s="594"/>
      <c r="JBY69" s="594"/>
      <c r="JBZ69" s="594"/>
      <c r="JCA69" s="594"/>
      <c r="JCB69" s="594"/>
      <c r="JCC69" s="594"/>
      <c r="JCD69" s="594"/>
      <c r="JCE69" s="594"/>
      <c r="JCF69" s="594"/>
      <c r="JCG69" s="594"/>
      <c r="JCH69" s="594"/>
      <c r="JCI69" s="594"/>
      <c r="JCJ69" s="594"/>
      <c r="JCK69" s="594"/>
      <c r="JCL69" s="594"/>
      <c r="JCM69" s="594"/>
      <c r="JCN69" s="594"/>
      <c r="JCO69" s="594"/>
      <c r="JCP69" s="594"/>
      <c r="JCQ69" s="594"/>
      <c r="JCR69" s="594"/>
      <c r="JCS69" s="594"/>
      <c r="JCT69" s="594"/>
      <c r="JCU69" s="594"/>
      <c r="JCV69" s="594"/>
      <c r="JCW69" s="594"/>
      <c r="JCX69" s="594"/>
      <c r="JCY69" s="594"/>
      <c r="JCZ69" s="594"/>
      <c r="JDA69" s="594"/>
      <c r="JDB69" s="594"/>
      <c r="JDC69" s="594"/>
      <c r="JDD69" s="594"/>
      <c r="JDE69" s="594"/>
      <c r="JDF69" s="594"/>
      <c r="JDG69" s="594"/>
      <c r="JDH69" s="594"/>
      <c r="JDI69" s="594"/>
      <c r="JDJ69" s="594"/>
      <c r="JDK69" s="594"/>
      <c r="JDL69" s="594"/>
      <c r="JDM69" s="594"/>
      <c r="JDN69" s="594"/>
      <c r="JDO69" s="594"/>
      <c r="JDP69" s="594"/>
      <c r="JDQ69" s="594"/>
      <c r="JDR69" s="594"/>
      <c r="JDS69" s="594"/>
      <c r="JDT69" s="594"/>
      <c r="JDU69" s="594"/>
      <c r="JDV69" s="594"/>
      <c r="JDW69" s="594"/>
      <c r="JDX69" s="594"/>
      <c r="JDY69" s="594"/>
      <c r="JDZ69" s="594"/>
      <c r="JEA69" s="594"/>
      <c r="JEB69" s="594"/>
      <c r="JEC69" s="594"/>
      <c r="JED69" s="594"/>
      <c r="JEE69" s="594"/>
      <c r="JEF69" s="594"/>
      <c r="JEG69" s="594"/>
      <c r="JEH69" s="594"/>
      <c r="JEI69" s="594"/>
      <c r="JEJ69" s="594"/>
      <c r="JEK69" s="594"/>
      <c r="JEL69" s="594"/>
      <c r="JEM69" s="594"/>
      <c r="JEN69" s="594"/>
      <c r="JEO69" s="594"/>
      <c r="JEP69" s="594"/>
      <c r="JEQ69" s="594"/>
      <c r="JER69" s="594"/>
      <c r="JES69" s="594"/>
      <c r="JET69" s="594"/>
      <c r="JEU69" s="594"/>
      <c r="JEV69" s="594"/>
      <c r="JEW69" s="594"/>
      <c r="JEX69" s="594"/>
      <c r="JEY69" s="594"/>
      <c r="JEZ69" s="594"/>
      <c r="JFA69" s="594"/>
      <c r="JFB69" s="594"/>
      <c r="JFC69" s="594"/>
      <c r="JFD69" s="594"/>
      <c r="JFE69" s="594"/>
      <c r="JFF69" s="594"/>
      <c r="JFG69" s="594"/>
      <c r="JFH69" s="594"/>
      <c r="JFI69" s="594"/>
      <c r="JFJ69" s="594"/>
      <c r="JFK69" s="594"/>
      <c r="JFL69" s="594"/>
      <c r="JFM69" s="594"/>
      <c r="JFN69" s="594"/>
      <c r="JFO69" s="594"/>
      <c r="JFP69" s="594"/>
      <c r="JFQ69" s="594"/>
      <c r="JFR69" s="594"/>
      <c r="JFS69" s="594"/>
      <c r="JFT69" s="594"/>
      <c r="JFU69" s="594"/>
      <c r="JFV69" s="594"/>
      <c r="JFW69" s="594"/>
      <c r="JFX69" s="594"/>
      <c r="JFY69" s="594"/>
      <c r="JFZ69" s="594"/>
      <c r="JGA69" s="594"/>
      <c r="JGB69" s="594"/>
      <c r="JGC69" s="594"/>
      <c r="JGD69" s="594"/>
      <c r="JGE69" s="594"/>
      <c r="JGF69" s="594"/>
      <c r="JGG69" s="594"/>
      <c r="JGH69" s="594"/>
      <c r="JGI69" s="594"/>
      <c r="JGJ69" s="594"/>
      <c r="JGK69" s="594"/>
      <c r="JGL69" s="594"/>
      <c r="JGM69" s="594"/>
      <c r="JGN69" s="594"/>
      <c r="JGO69" s="594"/>
      <c r="JGP69" s="594"/>
      <c r="JGQ69" s="594"/>
      <c r="JGR69" s="594"/>
      <c r="JGS69" s="594"/>
      <c r="JGT69" s="594"/>
      <c r="JGU69" s="594"/>
      <c r="JGV69" s="594"/>
      <c r="JGW69" s="594"/>
      <c r="JGX69" s="594"/>
      <c r="JGY69" s="594"/>
      <c r="JGZ69" s="594"/>
      <c r="JHA69" s="594"/>
      <c r="JHB69" s="594"/>
      <c r="JHC69" s="594"/>
      <c r="JHD69" s="594"/>
      <c r="JHE69" s="594"/>
      <c r="JHF69" s="594"/>
      <c r="JHG69" s="594"/>
      <c r="JHH69" s="594"/>
      <c r="JHI69" s="594"/>
      <c r="JHJ69" s="594"/>
      <c r="JHK69" s="594"/>
      <c r="JHL69" s="594"/>
      <c r="JHM69" s="594"/>
      <c r="JHN69" s="594"/>
      <c r="JHO69" s="594"/>
      <c r="JHP69" s="594"/>
      <c r="JHQ69" s="594"/>
      <c r="JHR69" s="594"/>
      <c r="JHS69" s="594"/>
      <c r="JHT69" s="594"/>
      <c r="JHU69" s="594"/>
      <c r="JHV69" s="594"/>
      <c r="JHW69" s="594"/>
      <c r="JHX69" s="594"/>
      <c r="JHY69" s="594"/>
      <c r="JHZ69" s="594"/>
      <c r="JIA69" s="594"/>
      <c r="JIB69" s="594"/>
      <c r="JIC69" s="594"/>
      <c r="JID69" s="594"/>
      <c r="JIE69" s="594"/>
      <c r="JIF69" s="594"/>
      <c r="JIG69" s="594"/>
      <c r="JIH69" s="594"/>
      <c r="JII69" s="594"/>
      <c r="JIJ69" s="594"/>
      <c r="JIK69" s="594"/>
      <c r="JIL69" s="594"/>
      <c r="JIM69" s="594"/>
      <c r="JIN69" s="594"/>
      <c r="JIO69" s="594"/>
      <c r="JIP69" s="594"/>
      <c r="JIQ69" s="594"/>
      <c r="JIR69" s="594"/>
      <c r="JIS69" s="594"/>
      <c r="JIT69" s="594"/>
      <c r="JIU69" s="594"/>
      <c r="JIV69" s="594"/>
      <c r="JIW69" s="594"/>
      <c r="JIX69" s="594"/>
      <c r="JIY69" s="594"/>
      <c r="JIZ69" s="594"/>
      <c r="JJA69" s="594"/>
      <c r="JJB69" s="594"/>
      <c r="JJC69" s="594"/>
      <c r="JJD69" s="594"/>
      <c r="JJE69" s="594"/>
      <c r="JJF69" s="594"/>
      <c r="JJG69" s="594"/>
      <c r="JJH69" s="594"/>
      <c r="JJI69" s="594"/>
      <c r="JJJ69" s="594"/>
      <c r="JJK69" s="594"/>
      <c r="JJL69" s="594"/>
      <c r="JJM69" s="594"/>
      <c r="JJN69" s="594"/>
      <c r="JJO69" s="594"/>
      <c r="JJP69" s="594"/>
      <c r="JJQ69" s="594"/>
      <c r="JJR69" s="594"/>
      <c r="JJS69" s="594"/>
      <c r="JJT69" s="594"/>
      <c r="JJU69" s="594"/>
      <c r="JJV69" s="594"/>
      <c r="JJW69" s="594"/>
      <c r="JJX69" s="594"/>
      <c r="JJY69" s="594"/>
      <c r="JJZ69" s="594"/>
      <c r="JKA69" s="594"/>
      <c r="JKB69" s="594"/>
      <c r="JKC69" s="594"/>
      <c r="JKD69" s="594"/>
      <c r="JKE69" s="594"/>
      <c r="JKF69" s="594"/>
      <c r="JKG69" s="594"/>
      <c r="JKH69" s="594"/>
      <c r="JKI69" s="594"/>
      <c r="JKJ69" s="594"/>
      <c r="JKK69" s="594"/>
      <c r="JKL69" s="594"/>
      <c r="JKM69" s="594"/>
      <c r="JKN69" s="594"/>
      <c r="JKO69" s="594"/>
      <c r="JKP69" s="594"/>
      <c r="JKQ69" s="594"/>
      <c r="JKR69" s="594"/>
      <c r="JKS69" s="594"/>
      <c r="JKT69" s="594"/>
      <c r="JKU69" s="594"/>
      <c r="JKV69" s="594"/>
      <c r="JKW69" s="594"/>
      <c r="JKX69" s="594"/>
      <c r="JKY69" s="594"/>
      <c r="JKZ69" s="594"/>
      <c r="JLA69" s="594"/>
      <c r="JLB69" s="594"/>
      <c r="JLC69" s="594"/>
      <c r="JLD69" s="594"/>
      <c r="JLE69" s="594"/>
      <c r="JLF69" s="594"/>
      <c r="JLG69" s="594"/>
      <c r="JLH69" s="594"/>
      <c r="JLI69" s="594"/>
      <c r="JLJ69" s="594"/>
      <c r="JLK69" s="594"/>
      <c r="JLL69" s="594"/>
      <c r="JLM69" s="594"/>
      <c r="JLN69" s="594"/>
      <c r="JLO69" s="594"/>
      <c r="JLP69" s="594"/>
      <c r="JLQ69" s="594"/>
      <c r="JLR69" s="594"/>
      <c r="JLS69" s="594"/>
      <c r="JLT69" s="594"/>
      <c r="JLU69" s="594"/>
      <c r="JLV69" s="594"/>
      <c r="JLW69" s="594"/>
      <c r="JLX69" s="594"/>
      <c r="JLY69" s="594"/>
      <c r="JLZ69" s="594"/>
      <c r="JMA69" s="594"/>
      <c r="JMB69" s="594"/>
      <c r="JMC69" s="594"/>
      <c r="JMD69" s="594"/>
      <c r="JME69" s="594"/>
      <c r="JMF69" s="594"/>
      <c r="JMG69" s="594"/>
      <c r="JMH69" s="594"/>
      <c r="JMI69" s="594"/>
      <c r="JMJ69" s="594"/>
      <c r="JMK69" s="594"/>
      <c r="JML69" s="594"/>
      <c r="JMM69" s="594"/>
      <c r="JMN69" s="594"/>
      <c r="JMO69" s="594"/>
      <c r="JMP69" s="594"/>
      <c r="JMQ69" s="594"/>
      <c r="JMR69" s="594"/>
      <c r="JMS69" s="594"/>
      <c r="JMT69" s="594"/>
      <c r="JMU69" s="594"/>
      <c r="JMV69" s="594"/>
      <c r="JMW69" s="594"/>
      <c r="JMX69" s="594"/>
      <c r="JMY69" s="594"/>
      <c r="JMZ69" s="594"/>
      <c r="JNA69" s="594"/>
      <c r="JNB69" s="594"/>
      <c r="JNC69" s="594"/>
      <c r="JND69" s="594"/>
      <c r="JNE69" s="594"/>
      <c r="JNF69" s="594"/>
      <c r="JNG69" s="594"/>
      <c r="JNH69" s="594"/>
      <c r="JNI69" s="594"/>
      <c r="JNJ69" s="594"/>
      <c r="JNK69" s="594"/>
      <c r="JNL69" s="594"/>
      <c r="JNM69" s="594"/>
      <c r="JNN69" s="594"/>
      <c r="JNO69" s="594"/>
      <c r="JNP69" s="594"/>
      <c r="JNQ69" s="594"/>
      <c r="JNR69" s="594"/>
      <c r="JNS69" s="594"/>
      <c r="JNT69" s="594"/>
      <c r="JNU69" s="594"/>
      <c r="JNV69" s="594"/>
      <c r="JNW69" s="594"/>
      <c r="JNX69" s="594"/>
      <c r="JNY69" s="594"/>
      <c r="JNZ69" s="594"/>
      <c r="JOA69" s="594"/>
      <c r="JOB69" s="594"/>
      <c r="JOC69" s="594"/>
      <c r="JOD69" s="594"/>
      <c r="JOE69" s="594"/>
      <c r="JOF69" s="594"/>
      <c r="JOG69" s="594"/>
      <c r="JOH69" s="594"/>
      <c r="JOI69" s="594"/>
      <c r="JOJ69" s="594"/>
      <c r="JOK69" s="594"/>
      <c r="JOL69" s="594"/>
      <c r="JOM69" s="594"/>
      <c r="JON69" s="594"/>
      <c r="JOO69" s="594"/>
      <c r="JOP69" s="594"/>
      <c r="JOQ69" s="594"/>
      <c r="JOR69" s="594"/>
      <c r="JOS69" s="594"/>
      <c r="JOT69" s="594"/>
      <c r="JOU69" s="594"/>
      <c r="JOV69" s="594"/>
      <c r="JOW69" s="594"/>
      <c r="JOX69" s="594"/>
      <c r="JOY69" s="594"/>
      <c r="JOZ69" s="594"/>
      <c r="JPA69" s="594"/>
      <c r="JPB69" s="594"/>
      <c r="JPC69" s="594"/>
      <c r="JPD69" s="594"/>
      <c r="JPE69" s="594"/>
      <c r="JPF69" s="594"/>
      <c r="JPG69" s="594"/>
      <c r="JPH69" s="594"/>
      <c r="JPI69" s="594"/>
      <c r="JPJ69" s="594"/>
      <c r="JPK69" s="594"/>
      <c r="JPL69" s="594"/>
      <c r="JPM69" s="594"/>
      <c r="JPN69" s="594"/>
      <c r="JPO69" s="594"/>
      <c r="JPP69" s="594"/>
      <c r="JPQ69" s="594"/>
      <c r="JPR69" s="594"/>
      <c r="JPS69" s="594"/>
      <c r="JPT69" s="594"/>
      <c r="JPU69" s="594"/>
      <c r="JPV69" s="594"/>
      <c r="JPW69" s="594"/>
      <c r="JPX69" s="594"/>
      <c r="JPY69" s="594"/>
      <c r="JPZ69" s="594"/>
      <c r="JQA69" s="594"/>
      <c r="JQB69" s="594"/>
      <c r="JQC69" s="594"/>
      <c r="JQD69" s="594"/>
      <c r="JQE69" s="594"/>
      <c r="JQF69" s="594"/>
      <c r="JQG69" s="594"/>
      <c r="JQH69" s="594"/>
      <c r="JQI69" s="594"/>
      <c r="JQJ69" s="594"/>
      <c r="JQK69" s="594"/>
      <c r="JQL69" s="594"/>
      <c r="JQM69" s="594"/>
      <c r="JQN69" s="594"/>
      <c r="JQO69" s="594"/>
      <c r="JQP69" s="594"/>
      <c r="JQQ69" s="594"/>
      <c r="JQR69" s="594"/>
      <c r="JQS69" s="594"/>
      <c r="JQT69" s="594"/>
      <c r="JQU69" s="594"/>
      <c r="JQV69" s="594"/>
      <c r="JQW69" s="594"/>
      <c r="JQX69" s="594"/>
      <c r="JQY69" s="594"/>
      <c r="JQZ69" s="594"/>
      <c r="JRA69" s="594"/>
      <c r="JRB69" s="594"/>
      <c r="JRC69" s="594"/>
      <c r="JRD69" s="594"/>
      <c r="JRE69" s="594"/>
      <c r="JRF69" s="594"/>
      <c r="JRG69" s="594"/>
      <c r="JRH69" s="594"/>
      <c r="JRI69" s="594"/>
      <c r="JRJ69" s="594"/>
      <c r="JRK69" s="594"/>
      <c r="JRL69" s="594"/>
      <c r="JRM69" s="594"/>
      <c r="JRN69" s="594"/>
      <c r="JRO69" s="594"/>
      <c r="JRP69" s="594"/>
      <c r="JRQ69" s="594"/>
      <c r="JRR69" s="594"/>
      <c r="JRS69" s="594"/>
      <c r="JRT69" s="594"/>
      <c r="JRU69" s="594"/>
      <c r="JRV69" s="594"/>
      <c r="JRW69" s="594"/>
      <c r="JRX69" s="594"/>
      <c r="JRY69" s="594"/>
      <c r="JRZ69" s="594"/>
      <c r="JSA69" s="594"/>
      <c r="JSB69" s="594"/>
      <c r="JSC69" s="594"/>
      <c r="JSD69" s="594"/>
      <c r="JSE69" s="594"/>
      <c r="JSF69" s="594"/>
      <c r="JSG69" s="594"/>
      <c r="JSH69" s="594"/>
      <c r="JSI69" s="594"/>
      <c r="JSJ69" s="594"/>
      <c r="JSK69" s="594"/>
      <c r="JSL69" s="594"/>
      <c r="JSM69" s="594"/>
      <c r="JSN69" s="594"/>
      <c r="JSO69" s="594"/>
      <c r="JSP69" s="594"/>
      <c r="JSQ69" s="594"/>
      <c r="JSR69" s="594"/>
      <c r="JSS69" s="594"/>
      <c r="JST69" s="594"/>
      <c r="JSU69" s="594"/>
      <c r="JSV69" s="594"/>
      <c r="JSW69" s="594"/>
      <c r="JSX69" s="594"/>
      <c r="JSY69" s="594"/>
      <c r="JSZ69" s="594"/>
      <c r="JTA69" s="594"/>
      <c r="JTB69" s="594"/>
      <c r="JTC69" s="594"/>
      <c r="JTD69" s="594"/>
      <c r="JTE69" s="594"/>
      <c r="JTF69" s="594"/>
      <c r="JTG69" s="594"/>
      <c r="JTH69" s="594"/>
      <c r="JTI69" s="594"/>
      <c r="JTJ69" s="594"/>
      <c r="JTK69" s="594"/>
      <c r="JTL69" s="594"/>
      <c r="JTM69" s="594"/>
      <c r="JTN69" s="594"/>
      <c r="JTO69" s="594"/>
      <c r="JTP69" s="594"/>
      <c r="JTQ69" s="594"/>
      <c r="JTR69" s="594"/>
      <c r="JTS69" s="594"/>
      <c r="JTT69" s="594"/>
      <c r="JTU69" s="594"/>
      <c r="JTV69" s="594"/>
      <c r="JTW69" s="594"/>
      <c r="JTX69" s="594"/>
      <c r="JTY69" s="594"/>
      <c r="JTZ69" s="594"/>
      <c r="JUA69" s="594"/>
      <c r="JUB69" s="594"/>
      <c r="JUC69" s="594"/>
      <c r="JUD69" s="594"/>
      <c r="JUE69" s="594"/>
      <c r="JUF69" s="594"/>
      <c r="JUG69" s="594"/>
      <c r="JUH69" s="594"/>
      <c r="JUI69" s="594"/>
      <c r="JUJ69" s="594"/>
      <c r="JUK69" s="594"/>
      <c r="JUL69" s="594"/>
      <c r="JUM69" s="594"/>
      <c r="JUN69" s="594"/>
      <c r="JUO69" s="594"/>
      <c r="JUP69" s="594"/>
      <c r="JUQ69" s="594"/>
      <c r="JUR69" s="594"/>
      <c r="JUS69" s="594"/>
      <c r="JUT69" s="594"/>
      <c r="JUU69" s="594"/>
      <c r="JUV69" s="594"/>
      <c r="JUW69" s="594"/>
      <c r="JUX69" s="594"/>
      <c r="JUY69" s="594"/>
      <c r="JUZ69" s="594"/>
      <c r="JVA69" s="594"/>
      <c r="JVB69" s="594"/>
      <c r="JVC69" s="594"/>
      <c r="JVD69" s="594"/>
      <c r="JVE69" s="594"/>
      <c r="JVF69" s="594"/>
      <c r="JVG69" s="594"/>
      <c r="JVH69" s="594"/>
      <c r="JVI69" s="594"/>
      <c r="JVJ69" s="594"/>
      <c r="JVK69" s="594"/>
      <c r="JVL69" s="594"/>
      <c r="JVM69" s="594"/>
      <c r="JVN69" s="594"/>
      <c r="JVO69" s="594"/>
      <c r="JVP69" s="594"/>
      <c r="JVQ69" s="594"/>
      <c r="JVR69" s="594"/>
      <c r="JVS69" s="594"/>
      <c r="JVT69" s="594"/>
      <c r="JVU69" s="594"/>
      <c r="JVV69" s="594"/>
      <c r="JVW69" s="594"/>
      <c r="JVX69" s="594"/>
      <c r="JVY69" s="594"/>
      <c r="JVZ69" s="594"/>
      <c r="JWA69" s="594"/>
      <c r="JWB69" s="594"/>
      <c r="JWC69" s="594"/>
      <c r="JWD69" s="594"/>
      <c r="JWE69" s="594"/>
      <c r="JWF69" s="594"/>
      <c r="JWG69" s="594"/>
      <c r="JWH69" s="594"/>
      <c r="JWI69" s="594"/>
      <c r="JWJ69" s="594"/>
      <c r="JWK69" s="594"/>
      <c r="JWL69" s="594"/>
      <c r="JWM69" s="594"/>
      <c r="JWN69" s="594"/>
      <c r="JWO69" s="594"/>
      <c r="JWP69" s="594"/>
      <c r="JWQ69" s="594"/>
      <c r="JWR69" s="594"/>
      <c r="JWS69" s="594"/>
      <c r="JWT69" s="594"/>
      <c r="JWU69" s="594"/>
      <c r="JWV69" s="594"/>
      <c r="JWW69" s="594"/>
      <c r="JWX69" s="594"/>
      <c r="JWY69" s="594"/>
      <c r="JWZ69" s="594"/>
      <c r="JXA69" s="594"/>
      <c r="JXB69" s="594"/>
      <c r="JXC69" s="594"/>
      <c r="JXD69" s="594"/>
      <c r="JXE69" s="594"/>
      <c r="JXF69" s="594"/>
      <c r="JXG69" s="594"/>
      <c r="JXH69" s="594"/>
      <c r="JXI69" s="594"/>
      <c r="JXJ69" s="594"/>
      <c r="JXK69" s="594"/>
      <c r="JXL69" s="594"/>
      <c r="JXM69" s="594"/>
      <c r="JXN69" s="594"/>
      <c r="JXO69" s="594"/>
      <c r="JXP69" s="594"/>
      <c r="JXQ69" s="594"/>
      <c r="JXR69" s="594"/>
      <c r="JXS69" s="594"/>
      <c r="JXT69" s="594"/>
      <c r="JXU69" s="594"/>
      <c r="JXV69" s="594"/>
      <c r="JXW69" s="594"/>
      <c r="JXX69" s="594"/>
      <c r="JXY69" s="594"/>
      <c r="JXZ69" s="594"/>
      <c r="JYA69" s="594"/>
      <c r="JYB69" s="594"/>
      <c r="JYC69" s="594"/>
      <c r="JYD69" s="594"/>
      <c r="JYE69" s="594"/>
      <c r="JYF69" s="594"/>
      <c r="JYG69" s="594"/>
      <c r="JYH69" s="594"/>
      <c r="JYI69" s="594"/>
      <c r="JYJ69" s="594"/>
      <c r="JYK69" s="594"/>
      <c r="JYL69" s="594"/>
      <c r="JYM69" s="594"/>
      <c r="JYN69" s="594"/>
      <c r="JYO69" s="594"/>
      <c r="JYP69" s="594"/>
      <c r="JYQ69" s="594"/>
      <c r="JYR69" s="594"/>
      <c r="JYS69" s="594"/>
      <c r="JYT69" s="594"/>
      <c r="JYU69" s="594"/>
      <c r="JYV69" s="594"/>
      <c r="JYW69" s="594"/>
      <c r="JYX69" s="594"/>
      <c r="JYY69" s="594"/>
      <c r="JYZ69" s="594"/>
      <c r="JZA69" s="594"/>
      <c r="JZB69" s="594"/>
      <c r="JZC69" s="594"/>
      <c r="JZD69" s="594"/>
      <c r="JZE69" s="594"/>
      <c r="JZF69" s="594"/>
      <c r="JZG69" s="594"/>
      <c r="JZH69" s="594"/>
      <c r="JZI69" s="594"/>
      <c r="JZJ69" s="594"/>
      <c r="JZK69" s="594"/>
      <c r="JZL69" s="594"/>
      <c r="JZM69" s="594"/>
      <c r="JZN69" s="594"/>
      <c r="JZO69" s="594"/>
      <c r="JZP69" s="594"/>
      <c r="JZQ69" s="594"/>
      <c r="JZR69" s="594"/>
      <c r="JZS69" s="594"/>
      <c r="JZT69" s="594"/>
      <c r="JZU69" s="594"/>
      <c r="JZV69" s="594"/>
      <c r="JZW69" s="594"/>
      <c r="JZX69" s="594"/>
      <c r="JZY69" s="594"/>
      <c r="JZZ69" s="594"/>
      <c r="KAA69" s="594"/>
      <c r="KAB69" s="594"/>
      <c r="KAC69" s="594"/>
      <c r="KAD69" s="594"/>
      <c r="KAE69" s="594"/>
      <c r="KAF69" s="594"/>
      <c r="KAG69" s="594"/>
      <c r="KAH69" s="594"/>
      <c r="KAI69" s="594"/>
      <c r="KAJ69" s="594"/>
      <c r="KAK69" s="594"/>
      <c r="KAL69" s="594"/>
      <c r="KAM69" s="594"/>
      <c r="KAN69" s="594"/>
      <c r="KAO69" s="594"/>
      <c r="KAP69" s="594"/>
      <c r="KAQ69" s="594"/>
      <c r="KAR69" s="594"/>
      <c r="KAS69" s="594"/>
      <c r="KAT69" s="594"/>
      <c r="KAU69" s="594"/>
      <c r="KAV69" s="594"/>
      <c r="KAW69" s="594"/>
      <c r="KAX69" s="594"/>
      <c r="KAY69" s="594"/>
      <c r="KAZ69" s="594"/>
      <c r="KBA69" s="594"/>
      <c r="KBB69" s="594"/>
      <c r="KBC69" s="594"/>
      <c r="KBD69" s="594"/>
      <c r="KBE69" s="594"/>
      <c r="KBF69" s="594"/>
      <c r="KBG69" s="594"/>
      <c r="KBH69" s="594"/>
      <c r="KBI69" s="594"/>
      <c r="KBJ69" s="594"/>
      <c r="KBK69" s="594"/>
      <c r="KBL69" s="594"/>
      <c r="KBM69" s="594"/>
      <c r="KBN69" s="594"/>
      <c r="KBO69" s="594"/>
      <c r="KBP69" s="594"/>
      <c r="KBQ69" s="594"/>
      <c r="KBR69" s="594"/>
      <c r="KBS69" s="594"/>
      <c r="KBT69" s="594"/>
      <c r="KBU69" s="594"/>
      <c r="KBV69" s="594"/>
      <c r="KBW69" s="594"/>
      <c r="KBX69" s="594"/>
      <c r="KBY69" s="594"/>
      <c r="KBZ69" s="594"/>
      <c r="KCA69" s="594"/>
      <c r="KCB69" s="594"/>
      <c r="KCC69" s="594"/>
      <c r="KCD69" s="594"/>
      <c r="KCE69" s="594"/>
      <c r="KCF69" s="594"/>
      <c r="KCG69" s="594"/>
      <c r="KCH69" s="594"/>
      <c r="KCI69" s="594"/>
      <c r="KCJ69" s="594"/>
      <c r="KCK69" s="594"/>
      <c r="KCL69" s="594"/>
      <c r="KCM69" s="594"/>
      <c r="KCN69" s="594"/>
      <c r="KCO69" s="594"/>
      <c r="KCP69" s="594"/>
      <c r="KCQ69" s="594"/>
      <c r="KCR69" s="594"/>
      <c r="KCS69" s="594"/>
      <c r="KCT69" s="594"/>
      <c r="KCU69" s="594"/>
      <c r="KCV69" s="594"/>
      <c r="KCW69" s="594"/>
      <c r="KCX69" s="594"/>
      <c r="KCY69" s="594"/>
      <c r="KCZ69" s="594"/>
      <c r="KDA69" s="594"/>
      <c r="KDB69" s="594"/>
      <c r="KDC69" s="594"/>
      <c r="KDD69" s="594"/>
      <c r="KDE69" s="594"/>
      <c r="KDF69" s="594"/>
      <c r="KDG69" s="594"/>
      <c r="KDH69" s="594"/>
      <c r="KDI69" s="594"/>
      <c r="KDJ69" s="594"/>
      <c r="KDK69" s="594"/>
      <c r="KDL69" s="594"/>
      <c r="KDM69" s="594"/>
      <c r="KDN69" s="594"/>
      <c r="KDO69" s="594"/>
      <c r="KDP69" s="594"/>
      <c r="KDQ69" s="594"/>
      <c r="KDR69" s="594"/>
      <c r="KDS69" s="594"/>
      <c r="KDT69" s="594"/>
      <c r="KDU69" s="594"/>
      <c r="KDV69" s="594"/>
      <c r="KDW69" s="594"/>
      <c r="KDX69" s="594"/>
      <c r="KDY69" s="594"/>
      <c r="KDZ69" s="594"/>
      <c r="KEA69" s="594"/>
      <c r="KEB69" s="594"/>
      <c r="KEC69" s="594"/>
      <c r="KED69" s="594"/>
      <c r="KEE69" s="594"/>
      <c r="KEF69" s="594"/>
      <c r="KEG69" s="594"/>
      <c r="KEH69" s="594"/>
      <c r="KEI69" s="594"/>
      <c r="KEJ69" s="594"/>
      <c r="KEK69" s="594"/>
      <c r="KEL69" s="594"/>
      <c r="KEM69" s="594"/>
      <c r="KEN69" s="594"/>
      <c r="KEO69" s="594"/>
      <c r="KEP69" s="594"/>
      <c r="KEQ69" s="594"/>
      <c r="KER69" s="594"/>
      <c r="KES69" s="594"/>
      <c r="KET69" s="594"/>
      <c r="KEU69" s="594"/>
      <c r="KEV69" s="594"/>
      <c r="KEW69" s="594"/>
      <c r="KEX69" s="594"/>
      <c r="KEY69" s="594"/>
      <c r="KEZ69" s="594"/>
      <c r="KFA69" s="594"/>
      <c r="KFB69" s="594"/>
      <c r="KFC69" s="594"/>
      <c r="KFD69" s="594"/>
      <c r="KFE69" s="594"/>
      <c r="KFF69" s="594"/>
      <c r="KFG69" s="594"/>
      <c r="KFH69" s="594"/>
      <c r="KFI69" s="594"/>
      <c r="KFJ69" s="594"/>
      <c r="KFK69" s="594"/>
      <c r="KFL69" s="594"/>
      <c r="KFM69" s="594"/>
      <c r="KFN69" s="594"/>
      <c r="KFO69" s="594"/>
      <c r="KFP69" s="594"/>
      <c r="KFQ69" s="594"/>
      <c r="KFR69" s="594"/>
      <c r="KFS69" s="594"/>
      <c r="KFT69" s="594"/>
      <c r="KFU69" s="594"/>
      <c r="KFV69" s="594"/>
      <c r="KFW69" s="594"/>
      <c r="KFX69" s="594"/>
      <c r="KFY69" s="594"/>
      <c r="KFZ69" s="594"/>
      <c r="KGA69" s="594"/>
      <c r="KGB69" s="594"/>
      <c r="KGC69" s="594"/>
      <c r="KGD69" s="594"/>
      <c r="KGE69" s="594"/>
      <c r="KGF69" s="594"/>
      <c r="KGG69" s="594"/>
      <c r="KGH69" s="594"/>
      <c r="KGI69" s="594"/>
      <c r="KGJ69" s="594"/>
      <c r="KGK69" s="594"/>
      <c r="KGL69" s="594"/>
      <c r="KGM69" s="594"/>
      <c r="KGN69" s="594"/>
      <c r="KGO69" s="594"/>
      <c r="KGP69" s="594"/>
      <c r="KGQ69" s="594"/>
      <c r="KGR69" s="594"/>
      <c r="KGS69" s="594"/>
      <c r="KGT69" s="594"/>
      <c r="KGU69" s="594"/>
      <c r="KGV69" s="594"/>
      <c r="KGW69" s="594"/>
      <c r="KGX69" s="594"/>
      <c r="KGY69" s="594"/>
      <c r="KGZ69" s="594"/>
      <c r="KHA69" s="594"/>
      <c r="KHB69" s="594"/>
      <c r="KHC69" s="594"/>
      <c r="KHD69" s="594"/>
      <c r="KHE69" s="594"/>
      <c r="KHF69" s="594"/>
      <c r="KHG69" s="594"/>
      <c r="KHH69" s="594"/>
      <c r="KHI69" s="594"/>
      <c r="KHJ69" s="594"/>
      <c r="KHK69" s="594"/>
      <c r="KHL69" s="594"/>
      <c r="KHM69" s="594"/>
      <c r="KHN69" s="594"/>
      <c r="KHO69" s="594"/>
      <c r="KHP69" s="594"/>
      <c r="KHQ69" s="594"/>
      <c r="KHR69" s="594"/>
      <c r="KHS69" s="594"/>
      <c r="KHT69" s="594"/>
      <c r="KHU69" s="594"/>
      <c r="KHV69" s="594"/>
      <c r="KHW69" s="594"/>
      <c r="KHX69" s="594"/>
      <c r="KHY69" s="594"/>
      <c r="KHZ69" s="594"/>
      <c r="KIA69" s="594"/>
      <c r="KIB69" s="594"/>
      <c r="KIC69" s="594"/>
      <c r="KID69" s="594"/>
      <c r="KIE69" s="594"/>
      <c r="KIF69" s="594"/>
      <c r="KIG69" s="594"/>
      <c r="KIH69" s="594"/>
      <c r="KII69" s="594"/>
      <c r="KIJ69" s="594"/>
      <c r="KIK69" s="594"/>
      <c r="KIL69" s="594"/>
      <c r="KIM69" s="594"/>
      <c r="KIN69" s="594"/>
      <c r="KIO69" s="594"/>
      <c r="KIP69" s="594"/>
      <c r="KIQ69" s="594"/>
      <c r="KIR69" s="594"/>
      <c r="KIS69" s="594"/>
      <c r="KIT69" s="594"/>
      <c r="KIU69" s="594"/>
      <c r="KIV69" s="594"/>
      <c r="KIW69" s="594"/>
      <c r="KIX69" s="594"/>
      <c r="KIY69" s="594"/>
      <c r="KIZ69" s="594"/>
      <c r="KJA69" s="594"/>
      <c r="KJB69" s="594"/>
      <c r="KJC69" s="594"/>
      <c r="KJD69" s="594"/>
      <c r="KJE69" s="594"/>
      <c r="KJF69" s="594"/>
      <c r="KJG69" s="594"/>
      <c r="KJH69" s="594"/>
      <c r="KJI69" s="594"/>
      <c r="KJJ69" s="594"/>
      <c r="KJK69" s="594"/>
      <c r="KJL69" s="594"/>
      <c r="KJM69" s="594"/>
      <c r="KJN69" s="594"/>
      <c r="KJO69" s="594"/>
      <c r="KJP69" s="594"/>
      <c r="KJQ69" s="594"/>
      <c r="KJR69" s="594"/>
      <c r="KJS69" s="594"/>
      <c r="KJT69" s="594"/>
      <c r="KJU69" s="594"/>
      <c r="KJV69" s="594"/>
      <c r="KJW69" s="594"/>
      <c r="KJX69" s="594"/>
      <c r="KJY69" s="594"/>
      <c r="KJZ69" s="594"/>
      <c r="KKA69" s="594"/>
      <c r="KKB69" s="594"/>
      <c r="KKC69" s="594"/>
      <c r="KKD69" s="594"/>
      <c r="KKE69" s="594"/>
      <c r="KKF69" s="594"/>
      <c r="KKG69" s="594"/>
      <c r="KKH69" s="594"/>
      <c r="KKI69" s="594"/>
      <c r="KKJ69" s="594"/>
      <c r="KKK69" s="594"/>
      <c r="KKL69" s="594"/>
      <c r="KKM69" s="594"/>
      <c r="KKN69" s="594"/>
      <c r="KKO69" s="594"/>
      <c r="KKP69" s="594"/>
      <c r="KKQ69" s="594"/>
      <c r="KKR69" s="594"/>
      <c r="KKS69" s="594"/>
      <c r="KKT69" s="594"/>
      <c r="KKU69" s="594"/>
      <c r="KKV69" s="594"/>
      <c r="KKW69" s="594"/>
      <c r="KKX69" s="594"/>
      <c r="KKY69" s="594"/>
      <c r="KKZ69" s="594"/>
      <c r="KLA69" s="594"/>
      <c r="KLB69" s="594"/>
      <c r="KLC69" s="594"/>
      <c r="KLD69" s="594"/>
      <c r="KLE69" s="594"/>
      <c r="KLF69" s="594"/>
      <c r="KLG69" s="594"/>
      <c r="KLH69" s="594"/>
      <c r="KLI69" s="594"/>
      <c r="KLJ69" s="594"/>
      <c r="KLK69" s="594"/>
      <c r="KLL69" s="594"/>
      <c r="KLM69" s="594"/>
      <c r="KLN69" s="594"/>
      <c r="KLO69" s="594"/>
      <c r="KLP69" s="594"/>
      <c r="KLQ69" s="594"/>
      <c r="KLR69" s="594"/>
      <c r="KLS69" s="594"/>
      <c r="KLT69" s="594"/>
      <c r="KLU69" s="594"/>
      <c r="KLV69" s="594"/>
      <c r="KLW69" s="594"/>
      <c r="KLX69" s="594"/>
      <c r="KLY69" s="594"/>
      <c r="KLZ69" s="594"/>
      <c r="KMA69" s="594"/>
      <c r="KMB69" s="594"/>
      <c r="KMC69" s="594"/>
      <c r="KMD69" s="594"/>
      <c r="KME69" s="594"/>
      <c r="KMF69" s="594"/>
      <c r="KMG69" s="594"/>
      <c r="KMH69" s="594"/>
      <c r="KMI69" s="594"/>
      <c r="KMJ69" s="594"/>
      <c r="KMK69" s="594"/>
      <c r="KML69" s="594"/>
      <c r="KMM69" s="594"/>
      <c r="KMN69" s="594"/>
      <c r="KMO69" s="594"/>
      <c r="KMP69" s="594"/>
      <c r="KMQ69" s="594"/>
      <c r="KMR69" s="594"/>
      <c r="KMS69" s="594"/>
      <c r="KMT69" s="594"/>
      <c r="KMU69" s="594"/>
      <c r="KMV69" s="594"/>
      <c r="KMW69" s="594"/>
      <c r="KMX69" s="594"/>
      <c r="KMY69" s="594"/>
      <c r="KMZ69" s="594"/>
      <c r="KNA69" s="594"/>
      <c r="KNB69" s="594"/>
      <c r="KNC69" s="594"/>
      <c r="KND69" s="594"/>
      <c r="KNE69" s="594"/>
      <c r="KNF69" s="594"/>
      <c r="KNG69" s="594"/>
      <c r="KNH69" s="594"/>
      <c r="KNI69" s="594"/>
      <c r="KNJ69" s="594"/>
      <c r="KNK69" s="594"/>
      <c r="KNL69" s="594"/>
      <c r="KNM69" s="594"/>
      <c r="KNN69" s="594"/>
      <c r="KNO69" s="594"/>
      <c r="KNP69" s="594"/>
      <c r="KNQ69" s="594"/>
      <c r="KNR69" s="594"/>
      <c r="KNS69" s="594"/>
      <c r="KNT69" s="594"/>
      <c r="KNU69" s="594"/>
      <c r="KNV69" s="594"/>
      <c r="KNW69" s="594"/>
      <c r="KNX69" s="594"/>
      <c r="KNY69" s="594"/>
      <c r="KNZ69" s="594"/>
      <c r="KOA69" s="594"/>
      <c r="KOB69" s="594"/>
      <c r="KOC69" s="594"/>
      <c r="KOD69" s="594"/>
      <c r="KOE69" s="594"/>
      <c r="KOF69" s="594"/>
      <c r="KOG69" s="594"/>
      <c r="KOH69" s="594"/>
      <c r="KOI69" s="594"/>
      <c r="KOJ69" s="594"/>
      <c r="KOK69" s="594"/>
      <c r="KOL69" s="594"/>
      <c r="KOM69" s="594"/>
      <c r="KON69" s="594"/>
      <c r="KOO69" s="594"/>
      <c r="KOP69" s="594"/>
      <c r="KOQ69" s="594"/>
      <c r="KOR69" s="594"/>
      <c r="KOS69" s="594"/>
      <c r="KOT69" s="594"/>
      <c r="KOU69" s="594"/>
      <c r="KOV69" s="594"/>
      <c r="KOW69" s="594"/>
      <c r="KOX69" s="594"/>
      <c r="KOY69" s="594"/>
      <c r="KOZ69" s="594"/>
      <c r="KPA69" s="594"/>
      <c r="KPB69" s="594"/>
      <c r="KPC69" s="594"/>
      <c r="KPD69" s="594"/>
      <c r="KPE69" s="594"/>
      <c r="KPF69" s="594"/>
      <c r="KPG69" s="594"/>
      <c r="KPH69" s="594"/>
      <c r="KPI69" s="594"/>
      <c r="KPJ69" s="594"/>
      <c r="KPK69" s="594"/>
      <c r="KPL69" s="594"/>
      <c r="KPM69" s="594"/>
      <c r="KPN69" s="594"/>
      <c r="KPO69" s="594"/>
      <c r="KPP69" s="594"/>
      <c r="KPQ69" s="594"/>
      <c r="KPR69" s="594"/>
      <c r="KPS69" s="594"/>
      <c r="KPT69" s="594"/>
      <c r="KPU69" s="594"/>
      <c r="KPV69" s="594"/>
      <c r="KPW69" s="594"/>
      <c r="KPX69" s="594"/>
      <c r="KPY69" s="594"/>
      <c r="KPZ69" s="594"/>
      <c r="KQA69" s="594"/>
      <c r="KQB69" s="594"/>
      <c r="KQC69" s="594"/>
      <c r="KQD69" s="594"/>
      <c r="KQE69" s="594"/>
      <c r="KQF69" s="594"/>
      <c r="KQG69" s="594"/>
      <c r="KQH69" s="594"/>
      <c r="KQI69" s="594"/>
      <c r="KQJ69" s="594"/>
      <c r="KQK69" s="594"/>
      <c r="KQL69" s="594"/>
      <c r="KQM69" s="594"/>
      <c r="KQN69" s="594"/>
      <c r="KQO69" s="594"/>
      <c r="KQP69" s="594"/>
      <c r="KQQ69" s="594"/>
      <c r="KQR69" s="594"/>
      <c r="KQS69" s="594"/>
      <c r="KQT69" s="594"/>
      <c r="KQU69" s="594"/>
      <c r="KQV69" s="594"/>
      <c r="KQW69" s="594"/>
      <c r="KQX69" s="594"/>
      <c r="KQY69" s="594"/>
      <c r="KQZ69" s="594"/>
      <c r="KRA69" s="594"/>
      <c r="KRB69" s="594"/>
      <c r="KRC69" s="594"/>
      <c r="KRD69" s="594"/>
      <c r="KRE69" s="594"/>
      <c r="KRF69" s="594"/>
      <c r="KRG69" s="594"/>
      <c r="KRH69" s="594"/>
      <c r="KRI69" s="594"/>
      <c r="KRJ69" s="594"/>
      <c r="KRK69" s="594"/>
      <c r="KRL69" s="594"/>
      <c r="KRM69" s="594"/>
      <c r="KRN69" s="594"/>
      <c r="KRO69" s="594"/>
      <c r="KRP69" s="594"/>
      <c r="KRQ69" s="594"/>
      <c r="KRR69" s="594"/>
      <c r="KRS69" s="594"/>
      <c r="KRT69" s="594"/>
      <c r="KRU69" s="594"/>
      <c r="KRV69" s="594"/>
      <c r="KRW69" s="594"/>
      <c r="KRX69" s="594"/>
      <c r="KRY69" s="594"/>
      <c r="KRZ69" s="594"/>
      <c r="KSA69" s="594"/>
      <c r="KSB69" s="594"/>
      <c r="KSC69" s="594"/>
      <c r="KSD69" s="594"/>
      <c r="KSE69" s="594"/>
      <c r="KSF69" s="594"/>
      <c r="KSG69" s="594"/>
      <c r="KSH69" s="594"/>
      <c r="KSI69" s="594"/>
      <c r="KSJ69" s="594"/>
      <c r="KSK69" s="594"/>
      <c r="KSL69" s="594"/>
      <c r="KSM69" s="594"/>
      <c r="KSN69" s="594"/>
      <c r="KSO69" s="594"/>
      <c r="KSP69" s="594"/>
      <c r="KSQ69" s="594"/>
      <c r="KSR69" s="594"/>
      <c r="KSS69" s="594"/>
      <c r="KST69" s="594"/>
      <c r="KSU69" s="594"/>
      <c r="KSV69" s="594"/>
      <c r="KSW69" s="594"/>
      <c r="KSX69" s="594"/>
      <c r="KSY69" s="594"/>
      <c r="KSZ69" s="594"/>
      <c r="KTA69" s="594"/>
      <c r="KTB69" s="594"/>
      <c r="KTC69" s="594"/>
      <c r="KTD69" s="594"/>
      <c r="KTE69" s="594"/>
      <c r="KTF69" s="594"/>
      <c r="KTG69" s="594"/>
      <c r="KTH69" s="594"/>
      <c r="KTI69" s="594"/>
      <c r="KTJ69" s="594"/>
      <c r="KTK69" s="594"/>
      <c r="KTL69" s="594"/>
      <c r="KTM69" s="594"/>
      <c r="KTN69" s="594"/>
      <c r="KTO69" s="594"/>
      <c r="KTP69" s="594"/>
      <c r="KTQ69" s="594"/>
      <c r="KTR69" s="594"/>
      <c r="KTS69" s="594"/>
      <c r="KTT69" s="594"/>
      <c r="KTU69" s="594"/>
      <c r="KTV69" s="594"/>
      <c r="KTW69" s="594"/>
      <c r="KTX69" s="594"/>
      <c r="KTY69" s="594"/>
      <c r="KTZ69" s="594"/>
      <c r="KUA69" s="594"/>
      <c r="KUB69" s="594"/>
      <c r="KUC69" s="594"/>
      <c r="KUD69" s="594"/>
      <c r="KUE69" s="594"/>
      <c r="KUF69" s="594"/>
      <c r="KUG69" s="594"/>
      <c r="KUH69" s="594"/>
      <c r="KUI69" s="594"/>
      <c r="KUJ69" s="594"/>
      <c r="KUK69" s="594"/>
      <c r="KUL69" s="594"/>
      <c r="KUM69" s="594"/>
      <c r="KUN69" s="594"/>
      <c r="KUO69" s="594"/>
      <c r="KUP69" s="594"/>
      <c r="KUQ69" s="594"/>
      <c r="KUR69" s="594"/>
      <c r="KUS69" s="594"/>
      <c r="KUT69" s="594"/>
      <c r="KUU69" s="594"/>
      <c r="KUV69" s="594"/>
      <c r="KUW69" s="594"/>
      <c r="KUX69" s="594"/>
      <c r="KUY69" s="594"/>
      <c r="KUZ69" s="594"/>
      <c r="KVA69" s="594"/>
      <c r="KVB69" s="594"/>
      <c r="KVC69" s="594"/>
      <c r="KVD69" s="594"/>
      <c r="KVE69" s="594"/>
      <c r="KVF69" s="594"/>
      <c r="KVG69" s="594"/>
      <c r="KVH69" s="594"/>
      <c r="KVI69" s="594"/>
      <c r="KVJ69" s="594"/>
      <c r="KVK69" s="594"/>
      <c r="KVL69" s="594"/>
      <c r="KVM69" s="594"/>
      <c r="KVN69" s="594"/>
      <c r="KVO69" s="594"/>
      <c r="KVP69" s="594"/>
      <c r="KVQ69" s="594"/>
      <c r="KVR69" s="594"/>
      <c r="KVS69" s="594"/>
      <c r="KVT69" s="594"/>
      <c r="KVU69" s="594"/>
      <c r="KVV69" s="594"/>
      <c r="KVW69" s="594"/>
      <c r="KVX69" s="594"/>
      <c r="KVY69" s="594"/>
      <c r="KVZ69" s="594"/>
      <c r="KWA69" s="594"/>
      <c r="KWB69" s="594"/>
      <c r="KWC69" s="594"/>
      <c r="KWD69" s="594"/>
      <c r="KWE69" s="594"/>
      <c r="KWF69" s="594"/>
      <c r="KWG69" s="594"/>
      <c r="KWH69" s="594"/>
      <c r="KWI69" s="594"/>
      <c r="KWJ69" s="594"/>
      <c r="KWK69" s="594"/>
      <c r="KWL69" s="594"/>
      <c r="KWM69" s="594"/>
      <c r="KWN69" s="594"/>
      <c r="KWO69" s="594"/>
      <c r="KWP69" s="594"/>
      <c r="KWQ69" s="594"/>
      <c r="KWR69" s="594"/>
      <c r="KWS69" s="594"/>
      <c r="KWT69" s="594"/>
      <c r="KWU69" s="594"/>
      <c r="KWV69" s="594"/>
      <c r="KWW69" s="594"/>
      <c r="KWX69" s="594"/>
      <c r="KWY69" s="594"/>
      <c r="KWZ69" s="594"/>
      <c r="KXA69" s="594"/>
      <c r="KXB69" s="594"/>
      <c r="KXC69" s="594"/>
      <c r="KXD69" s="594"/>
      <c r="KXE69" s="594"/>
      <c r="KXF69" s="594"/>
      <c r="KXG69" s="594"/>
      <c r="KXH69" s="594"/>
      <c r="KXI69" s="594"/>
      <c r="KXJ69" s="594"/>
      <c r="KXK69" s="594"/>
      <c r="KXL69" s="594"/>
      <c r="KXM69" s="594"/>
      <c r="KXN69" s="594"/>
      <c r="KXO69" s="594"/>
      <c r="KXP69" s="594"/>
      <c r="KXQ69" s="594"/>
      <c r="KXR69" s="594"/>
      <c r="KXS69" s="594"/>
      <c r="KXT69" s="594"/>
      <c r="KXU69" s="594"/>
      <c r="KXV69" s="594"/>
      <c r="KXW69" s="594"/>
      <c r="KXX69" s="594"/>
      <c r="KXY69" s="594"/>
      <c r="KXZ69" s="594"/>
      <c r="KYA69" s="594"/>
      <c r="KYB69" s="594"/>
      <c r="KYC69" s="594"/>
      <c r="KYD69" s="594"/>
      <c r="KYE69" s="594"/>
      <c r="KYF69" s="594"/>
      <c r="KYG69" s="594"/>
      <c r="KYH69" s="594"/>
      <c r="KYI69" s="594"/>
      <c r="KYJ69" s="594"/>
      <c r="KYK69" s="594"/>
      <c r="KYL69" s="594"/>
      <c r="KYM69" s="594"/>
      <c r="KYN69" s="594"/>
      <c r="KYO69" s="594"/>
      <c r="KYP69" s="594"/>
      <c r="KYQ69" s="594"/>
      <c r="KYR69" s="594"/>
      <c r="KYS69" s="594"/>
      <c r="KYT69" s="594"/>
      <c r="KYU69" s="594"/>
      <c r="KYV69" s="594"/>
      <c r="KYW69" s="594"/>
      <c r="KYX69" s="594"/>
      <c r="KYY69" s="594"/>
      <c r="KYZ69" s="594"/>
      <c r="KZA69" s="594"/>
      <c r="KZB69" s="594"/>
      <c r="KZC69" s="594"/>
      <c r="KZD69" s="594"/>
      <c r="KZE69" s="594"/>
      <c r="KZF69" s="594"/>
      <c r="KZG69" s="594"/>
      <c r="KZH69" s="594"/>
      <c r="KZI69" s="594"/>
      <c r="KZJ69" s="594"/>
      <c r="KZK69" s="594"/>
      <c r="KZL69" s="594"/>
      <c r="KZM69" s="594"/>
      <c r="KZN69" s="594"/>
      <c r="KZO69" s="594"/>
      <c r="KZP69" s="594"/>
      <c r="KZQ69" s="594"/>
      <c r="KZR69" s="594"/>
      <c r="KZS69" s="594"/>
      <c r="KZT69" s="594"/>
      <c r="KZU69" s="594"/>
      <c r="KZV69" s="594"/>
      <c r="KZW69" s="594"/>
      <c r="KZX69" s="594"/>
      <c r="KZY69" s="594"/>
      <c r="KZZ69" s="594"/>
      <c r="LAA69" s="594"/>
      <c r="LAB69" s="594"/>
      <c r="LAC69" s="594"/>
      <c r="LAD69" s="594"/>
      <c r="LAE69" s="594"/>
      <c r="LAF69" s="594"/>
      <c r="LAG69" s="594"/>
      <c r="LAH69" s="594"/>
      <c r="LAI69" s="594"/>
      <c r="LAJ69" s="594"/>
      <c r="LAK69" s="594"/>
      <c r="LAL69" s="594"/>
      <c r="LAM69" s="594"/>
      <c r="LAN69" s="594"/>
      <c r="LAO69" s="594"/>
      <c r="LAP69" s="594"/>
      <c r="LAQ69" s="594"/>
      <c r="LAR69" s="594"/>
      <c r="LAS69" s="594"/>
      <c r="LAT69" s="594"/>
      <c r="LAU69" s="594"/>
      <c r="LAV69" s="594"/>
      <c r="LAW69" s="594"/>
      <c r="LAX69" s="594"/>
      <c r="LAY69" s="594"/>
      <c r="LAZ69" s="594"/>
      <c r="LBA69" s="594"/>
      <c r="LBB69" s="594"/>
      <c r="LBC69" s="594"/>
      <c r="LBD69" s="594"/>
      <c r="LBE69" s="594"/>
      <c r="LBF69" s="594"/>
      <c r="LBG69" s="594"/>
      <c r="LBH69" s="594"/>
      <c r="LBI69" s="594"/>
      <c r="LBJ69" s="594"/>
      <c r="LBK69" s="594"/>
      <c r="LBL69" s="594"/>
      <c r="LBM69" s="594"/>
      <c r="LBN69" s="594"/>
      <c r="LBO69" s="594"/>
      <c r="LBP69" s="594"/>
      <c r="LBQ69" s="594"/>
      <c r="LBR69" s="594"/>
      <c r="LBS69" s="594"/>
      <c r="LBT69" s="594"/>
      <c r="LBU69" s="594"/>
      <c r="LBV69" s="594"/>
      <c r="LBW69" s="594"/>
      <c r="LBX69" s="594"/>
      <c r="LBY69" s="594"/>
      <c r="LBZ69" s="594"/>
      <c r="LCA69" s="594"/>
      <c r="LCB69" s="594"/>
      <c r="LCC69" s="594"/>
      <c r="LCD69" s="594"/>
      <c r="LCE69" s="594"/>
      <c r="LCF69" s="594"/>
      <c r="LCG69" s="594"/>
      <c r="LCH69" s="594"/>
      <c r="LCI69" s="594"/>
      <c r="LCJ69" s="594"/>
      <c r="LCK69" s="594"/>
      <c r="LCL69" s="594"/>
      <c r="LCM69" s="594"/>
      <c r="LCN69" s="594"/>
      <c r="LCO69" s="594"/>
      <c r="LCP69" s="594"/>
      <c r="LCQ69" s="594"/>
      <c r="LCR69" s="594"/>
      <c r="LCS69" s="594"/>
      <c r="LCT69" s="594"/>
      <c r="LCU69" s="594"/>
      <c r="LCV69" s="594"/>
      <c r="LCW69" s="594"/>
      <c r="LCX69" s="594"/>
      <c r="LCY69" s="594"/>
      <c r="LCZ69" s="594"/>
      <c r="LDA69" s="594"/>
      <c r="LDB69" s="594"/>
      <c r="LDC69" s="594"/>
      <c r="LDD69" s="594"/>
      <c r="LDE69" s="594"/>
      <c r="LDF69" s="594"/>
      <c r="LDG69" s="594"/>
      <c r="LDH69" s="594"/>
      <c r="LDI69" s="594"/>
      <c r="LDJ69" s="594"/>
      <c r="LDK69" s="594"/>
      <c r="LDL69" s="594"/>
      <c r="LDM69" s="594"/>
      <c r="LDN69" s="594"/>
      <c r="LDO69" s="594"/>
      <c r="LDP69" s="594"/>
      <c r="LDQ69" s="594"/>
      <c r="LDR69" s="594"/>
      <c r="LDS69" s="594"/>
      <c r="LDT69" s="594"/>
      <c r="LDU69" s="594"/>
      <c r="LDV69" s="594"/>
      <c r="LDW69" s="594"/>
      <c r="LDX69" s="594"/>
      <c r="LDY69" s="594"/>
      <c r="LDZ69" s="594"/>
      <c r="LEA69" s="594"/>
      <c r="LEB69" s="594"/>
      <c r="LEC69" s="594"/>
      <c r="LED69" s="594"/>
      <c r="LEE69" s="594"/>
      <c r="LEF69" s="594"/>
      <c r="LEG69" s="594"/>
      <c r="LEH69" s="594"/>
      <c r="LEI69" s="594"/>
      <c r="LEJ69" s="594"/>
      <c r="LEK69" s="594"/>
      <c r="LEL69" s="594"/>
      <c r="LEM69" s="594"/>
      <c r="LEN69" s="594"/>
      <c r="LEO69" s="594"/>
      <c r="LEP69" s="594"/>
      <c r="LEQ69" s="594"/>
      <c r="LER69" s="594"/>
      <c r="LES69" s="594"/>
      <c r="LET69" s="594"/>
      <c r="LEU69" s="594"/>
      <c r="LEV69" s="594"/>
      <c r="LEW69" s="594"/>
      <c r="LEX69" s="594"/>
      <c r="LEY69" s="594"/>
      <c r="LEZ69" s="594"/>
      <c r="LFA69" s="594"/>
      <c r="LFB69" s="594"/>
      <c r="LFC69" s="594"/>
      <c r="LFD69" s="594"/>
      <c r="LFE69" s="594"/>
      <c r="LFF69" s="594"/>
      <c r="LFG69" s="594"/>
      <c r="LFH69" s="594"/>
      <c r="LFI69" s="594"/>
      <c r="LFJ69" s="594"/>
      <c r="LFK69" s="594"/>
      <c r="LFL69" s="594"/>
      <c r="LFM69" s="594"/>
      <c r="LFN69" s="594"/>
      <c r="LFO69" s="594"/>
      <c r="LFP69" s="594"/>
      <c r="LFQ69" s="594"/>
      <c r="LFR69" s="594"/>
      <c r="LFS69" s="594"/>
      <c r="LFT69" s="594"/>
      <c r="LFU69" s="594"/>
      <c r="LFV69" s="594"/>
      <c r="LFW69" s="594"/>
      <c r="LFX69" s="594"/>
      <c r="LFY69" s="594"/>
      <c r="LFZ69" s="594"/>
      <c r="LGA69" s="594"/>
      <c r="LGB69" s="594"/>
      <c r="LGC69" s="594"/>
      <c r="LGD69" s="594"/>
      <c r="LGE69" s="594"/>
      <c r="LGF69" s="594"/>
      <c r="LGG69" s="594"/>
      <c r="LGH69" s="594"/>
      <c r="LGI69" s="594"/>
      <c r="LGJ69" s="594"/>
      <c r="LGK69" s="594"/>
      <c r="LGL69" s="594"/>
      <c r="LGM69" s="594"/>
      <c r="LGN69" s="594"/>
      <c r="LGO69" s="594"/>
      <c r="LGP69" s="594"/>
      <c r="LGQ69" s="594"/>
      <c r="LGR69" s="594"/>
      <c r="LGS69" s="594"/>
      <c r="LGT69" s="594"/>
      <c r="LGU69" s="594"/>
      <c r="LGV69" s="594"/>
      <c r="LGW69" s="594"/>
      <c r="LGX69" s="594"/>
      <c r="LGY69" s="594"/>
      <c r="LGZ69" s="594"/>
      <c r="LHA69" s="594"/>
      <c r="LHB69" s="594"/>
      <c r="LHC69" s="594"/>
      <c r="LHD69" s="594"/>
      <c r="LHE69" s="594"/>
      <c r="LHF69" s="594"/>
      <c r="LHG69" s="594"/>
      <c r="LHH69" s="594"/>
      <c r="LHI69" s="594"/>
      <c r="LHJ69" s="594"/>
      <c r="LHK69" s="594"/>
      <c r="LHL69" s="594"/>
      <c r="LHM69" s="594"/>
      <c r="LHN69" s="594"/>
      <c r="LHO69" s="594"/>
      <c r="LHP69" s="594"/>
      <c r="LHQ69" s="594"/>
      <c r="LHR69" s="594"/>
      <c r="LHS69" s="594"/>
      <c r="LHT69" s="594"/>
      <c r="LHU69" s="594"/>
      <c r="LHV69" s="594"/>
      <c r="LHW69" s="594"/>
      <c r="LHX69" s="594"/>
      <c r="LHY69" s="594"/>
      <c r="LHZ69" s="594"/>
      <c r="LIA69" s="594"/>
      <c r="LIB69" s="594"/>
      <c r="LIC69" s="594"/>
      <c r="LID69" s="594"/>
      <c r="LIE69" s="594"/>
      <c r="LIF69" s="594"/>
      <c r="LIG69" s="594"/>
      <c r="LIH69" s="594"/>
      <c r="LII69" s="594"/>
      <c r="LIJ69" s="594"/>
      <c r="LIK69" s="594"/>
      <c r="LIL69" s="594"/>
      <c r="LIM69" s="594"/>
      <c r="LIN69" s="594"/>
      <c r="LIO69" s="594"/>
      <c r="LIP69" s="594"/>
      <c r="LIQ69" s="594"/>
      <c r="LIR69" s="594"/>
      <c r="LIS69" s="594"/>
      <c r="LIT69" s="594"/>
      <c r="LIU69" s="594"/>
      <c r="LIV69" s="594"/>
      <c r="LIW69" s="594"/>
      <c r="LIX69" s="594"/>
      <c r="LIY69" s="594"/>
      <c r="LIZ69" s="594"/>
      <c r="LJA69" s="594"/>
      <c r="LJB69" s="594"/>
      <c r="LJC69" s="594"/>
      <c r="LJD69" s="594"/>
      <c r="LJE69" s="594"/>
      <c r="LJF69" s="594"/>
      <c r="LJG69" s="594"/>
      <c r="LJH69" s="594"/>
      <c r="LJI69" s="594"/>
      <c r="LJJ69" s="594"/>
      <c r="LJK69" s="594"/>
      <c r="LJL69" s="594"/>
      <c r="LJM69" s="594"/>
      <c r="LJN69" s="594"/>
      <c r="LJO69" s="594"/>
      <c r="LJP69" s="594"/>
      <c r="LJQ69" s="594"/>
      <c r="LJR69" s="594"/>
      <c r="LJS69" s="594"/>
      <c r="LJT69" s="594"/>
      <c r="LJU69" s="594"/>
      <c r="LJV69" s="594"/>
      <c r="LJW69" s="594"/>
      <c r="LJX69" s="594"/>
      <c r="LJY69" s="594"/>
      <c r="LJZ69" s="594"/>
      <c r="LKA69" s="594"/>
      <c r="LKB69" s="594"/>
      <c r="LKC69" s="594"/>
      <c r="LKD69" s="594"/>
      <c r="LKE69" s="594"/>
      <c r="LKF69" s="594"/>
      <c r="LKG69" s="594"/>
      <c r="LKH69" s="594"/>
      <c r="LKI69" s="594"/>
      <c r="LKJ69" s="594"/>
      <c r="LKK69" s="594"/>
      <c r="LKL69" s="594"/>
      <c r="LKM69" s="594"/>
      <c r="LKN69" s="594"/>
      <c r="LKO69" s="594"/>
      <c r="LKP69" s="594"/>
      <c r="LKQ69" s="594"/>
      <c r="LKR69" s="594"/>
      <c r="LKS69" s="594"/>
      <c r="LKT69" s="594"/>
      <c r="LKU69" s="594"/>
      <c r="LKV69" s="594"/>
      <c r="LKW69" s="594"/>
      <c r="LKX69" s="594"/>
      <c r="LKY69" s="594"/>
      <c r="LKZ69" s="594"/>
      <c r="LLA69" s="594"/>
      <c r="LLB69" s="594"/>
      <c r="LLC69" s="594"/>
      <c r="LLD69" s="594"/>
      <c r="LLE69" s="594"/>
      <c r="LLF69" s="594"/>
      <c r="LLG69" s="594"/>
      <c r="LLH69" s="594"/>
      <c r="LLI69" s="594"/>
      <c r="LLJ69" s="594"/>
      <c r="LLK69" s="594"/>
      <c r="LLL69" s="594"/>
      <c r="LLM69" s="594"/>
      <c r="LLN69" s="594"/>
      <c r="LLO69" s="594"/>
      <c r="LLP69" s="594"/>
      <c r="LLQ69" s="594"/>
      <c r="LLR69" s="594"/>
      <c r="LLS69" s="594"/>
      <c r="LLT69" s="594"/>
      <c r="LLU69" s="594"/>
      <c r="LLV69" s="594"/>
      <c r="LLW69" s="594"/>
      <c r="LLX69" s="594"/>
      <c r="LLY69" s="594"/>
      <c r="LLZ69" s="594"/>
      <c r="LMA69" s="594"/>
      <c r="LMB69" s="594"/>
      <c r="LMC69" s="594"/>
      <c r="LMD69" s="594"/>
      <c r="LME69" s="594"/>
      <c r="LMF69" s="594"/>
      <c r="LMG69" s="594"/>
      <c r="LMH69" s="594"/>
      <c r="LMI69" s="594"/>
      <c r="LMJ69" s="594"/>
      <c r="LMK69" s="594"/>
      <c r="LML69" s="594"/>
      <c r="LMM69" s="594"/>
      <c r="LMN69" s="594"/>
      <c r="LMO69" s="594"/>
      <c r="LMP69" s="594"/>
      <c r="LMQ69" s="594"/>
      <c r="LMR69" s="594"/>
      <c r="LMS69" s="594"/>
      <c r="LMT69" s="594"/>
      <c r="LMU69" s="594"/>
      <c r="LMV69" s="594"/>
      <c r="LMW69" s="594"/>
      <c r="LMX69" s="594"/>
      <c r="LMY69" s="594"/>
      <c r="LMZ69" s="594"/>
      <c r="LNA69" s="594"/>
      <c r="LNB69" s="594"/>
      <c r="LNC69" s="594"/>
      <c r="LND69" s="594"/>
      <c r="LNE69" s="594"/>
      <c r="LNF69" s="594"/>
      <c r="LNG69" s="594"/>
      <c r="LNH69" s="594"/>
      <c r="LNI69" s="594"/>
      <c r="LNJ69" s="594"/>
      <c r="LNK69" s="594"/>
      <c r="LNL69" s="594"/>
      <c r="LNM69" s="594"/>
      <c r="LNN69" s="594"/>
      <c r="LNO69" s="594"/>
      <c r="LNP69" s="594"/>
      <c r="LNQ69" s="594"/>
      <c r="LNR69" s="594"/>
      <c r="LNS69" s="594"/>
      <c r="LNT69" s="594"/>
      <c r="LNU69" s="594"/>
      <c r="LNV69" s="594"/>
      <c r="LNW69" s="594"/>
      <c r="LNX69" s="594"/>
      <c r="LNY69" s="594"/>
      <c r="LNZ69" s="594"/>
      <c r="LOA69" s="594"/>
      <c r="LOB69" s="594"/>
      <c r="LOC69" s="594"/>
      <c r="LOD69" s="594"/>
      <c r="LOE69" s="594"/>
      <c r="LOF69" s="594"/>
      <c r="LOG69" s="594"/>
      <c r="LOH69" s="594"/>
      <c r="LOI69" s="594"/>
      <c r="LOJ69" s="594"/>
      <c r="LOK69" s="594"/>
      <c r="LOL69" s="594"/>
      <c r="LOM69" s="594"/>
      <c r="LON69" s="594"/>
      <c r="LOO69" s="594"/>
      <c r="LOP69" s="594"/>
      <c r="LOQ69" s="594"/>
      <c r="LOR69" s="594"/>
      <c r="LOS69" s="594"/>
      <c r="LOT69" s="594"/>
      <c r="LOU69" s="594"/>
      <c r="LOV69" s="594"/>
      <c r="LOW69" s="594"/>
      <c r="LOX69" s="594"/>
      <c r="LOY69" s="594"/>
      <c r="LOZ69" s="594"/>
      <c r="LPA69" s="594"/>
      <c r="LPB69" s="594"/>
      <c r="LPC69" s="594"/>
      <c r="LPD69" s="594"/>
      <c r="LPE69" s="594"/>
      <c r="LPF69" s="594"/>
      <c r="LPG69" s="594"/>
      <c r="LPH69" s="594"/>
      <c r="LPI69" s="594"/>
      <c r="LPJ69" s="594"/>
      <c r="LPK69" s="594"/>
      <c r="LPL69" s="594"/>
      <c r="LPM69" s="594"/>
      <c r="LPN69" s="594"/>
      <c r="LPO69" s="594"/>
      <c r="LPP69" s="594"/>
      <c r="LPQ69" s="594"/>
      <c r="LPR69" s="594"/>
      <c r="LPS69" s="594"/>
      <c r="LPT69" s="594"/>
      <c r="LPU69" s="594"/>
      <c r="LPV69" s="594"/>
      <c r="LPW69" s="594"/>
      <c r="LPX69" s="594"/>
      <c r="LPY69" s="594"/>
      <c r="LPZ69" s="594"/>
      <c r="LQA69" s="594"/>
      <c r="LQB69" s="594"/>
      <c r="LQC69" s="594"/>
      <c r="LQD69" s="594"/>
      <c r="LQE69" s="594"/>
      <c r="LQF69" s="594"/>
      <c r="LQG69" s="594"/>
      <c r="LQH69" s="594"/>
      <c r="LQI69" s="594"/>
      <c r="LQJ69" s="594"/>
      <c r="LQK69" s="594"/>
      <c r="LQL69" s="594"/>
      <c r="LQM69" s="594"/>
      <c r="LQN69" s="594"/>
      <c r="LQO69" s="594"/>
      <c r="LQP69" s="594"/>
      <c r="LQQ69" s="594"/>
      <c r="LQR69" s="594"/>
      <c r="LQS69" s="594"/>
      <c r="LQT69" s="594"/>
      <c r="LQU69" s="594"/>
      <c r="LQV69" s="594"/>
      <c r="LQW69" s="594"/>
      <c r="LQX69" s="594"/>
      <c r="LQY69" s="594"/>
      <c r="LQZ69" s="594"/>
      <c r="LRA69" s="594"/>
      <c r="LRB69" s="594"/>
      <c r="LRC69" s="594"/>
      <c r="LRD69" s="594"/>
      <c r="LRE69" s="594"/>
      <c r="LRF69" s="594"/>
      <c r="LRG69" s="594"/>
      <c r="LRH69" s="594"/>
      <c r="LRI69" s="594"/>
      <c r="LRJ69" s="594"/>
      <c r="LRK69" s="594"/>
      <c r="LRL69" s="594"/>
      <c r="LRM69" s="594"/>
      <c r="LRN69" s="594"/>
      <c r="LRO69" s="594"/>
      <c r="LRP69" s="594"/>
      <c r="LRQ69" s="594"/>
      <c r="LRR69" s="594"/>
      <c r="LRS69" s="594"/>
      <c r="LRT69" s="594"/>
      <c r="LRU69" s="594"/>
      <c r="LRV69" s="594"/>
      <c r="LRW69" s="594"/>
      <c r="LRX69" s="594"/>
      <c r="LRY69" s="594"/>
      <c r="LRZ69" s="594"/>
      <c r="LSA69" s="594"/>
      <c r="LSB69" s="594"/>
      <c r="LSC69" s="594"/>
      <c r="LSD69" s="594"/>
      <c r="LSE69" s="594"/>
      <c r="LSF69" s="594"/>
      <c r="LSG69" s="594"/>
      <c r="LSH69" s="594"/>
      <c r="LSI69" s="594"/>
      <c r="LSJ69" s="594"/>
      <c r="LSK69" s="594"/>
      <c r="LSL69" s="594"/>
      <c r="LSM69" s="594"/>
      <c r="LSN69" s="594"/>
      <c r="LSO69" s="594"/>
      <c r="LSP69" s="594"/>
      <c r="LSQ69" s="594"/>
      <c r="LSR69" s="594"/>
      <c r="LSS69" s="594"/>
      <c r="LST69" s="594"/>
      <c r="LSU69" s="594"/>
      <c r="LSV69" s="594"/>
      <c r="LSW69" s="594"/>
      <c r="LSX69" s="594"/>
      <c r="LSY69" s="594"/>
      <c r="LSZ69" s="594"/>
      <c r="LTA69" s="594"/>
      <c r="LTB69" s="594"/>
      <c r="LTC69" s="594"/>
      <c r="LTD69" s="594"/>
      <c r="LTE69" s="594"/>
      <c r="LTF69" s="594"/>
      <c r="LTG69" s="594"/>
      <c r="LTH69" s="594"/>
      <c r="LTI69" s="594"/>
      <c r="LTJ69" s="594"/>
      <c r="LTK69" s="594"/>
      <c r="LTL69" s="594"/>
      <c r="LTM69" s="594"/>
      <c r="LTN69" s="594"/>
      <c r="LTO69" s="594"/>
      <c r="LTP69" s="594"/>
      <c r="LTQ69" s="594"/>
      <c r="LTR69" s="594"/>
      <c r="LTS69" s="594"/>
      <c r="LTT69" s="594"/>
      <c r="LTU69" s="594"/>
      <c r="LTV69" s="594"/>
      <c r="LTW69" s="594"/>
      <c r="LTX69" s="594"/>
      <c r="LTY69" s="594"/>
      <c r="LTZ69" s="594"/>
      <c r="LUA69" s="594"/>
      <c r="LUB69" s="594"/>
      <c r="LUC69" s="594"/>
      <c r="LUD69" s="594"/>
      <c r="LUE69" s="594"/>
      <c r="LUF69" s="594"/>
      <c r="LUG69" s="594"/>
      <c r="LUH69" s="594"/>
      <c r="LUI69" s="594"/>
      <c r="LUJ69" s="594"/>
      <c r="LUK69" s="594"/>
      <c r="LUL69" s="594"/>
      <c r="LUM69" s="594"/>
      <c r="LUN69" s="594"/>
      <c r="LUO69" s="594"/>
      <c r="LUP69" s="594"/>
      <c r="LUQ69" s="594"/>
      <c r="LUR69" s="594"/>
      <c r="LUS69" s="594"/>
      <c r="LUT69" s="594"/>
      <c r="LUU69" s="594"/>
      <c r="LUV69" s="594"/>
      <c r="LUW69" s="594"/>
      <c r="LUX69" s="594"/>
      <c r="LUY69" s="594"/>
      <c r="LUZ69" s="594"/>
      <c r="LVA69" s="594"/>
      <c r="LVB69" s="594"/>
      <c r="LVC69" s="594"/>
      <c r="LVD69" s="594"/>
      <c r="LVE69" s="594"/>
      <c r="LVF69" s="594"/>
      <c r="LVG69" s="594"/>
      <c r="LVH69" s="594"/>
      <c r="LVI69" s="594"/>
      <c r="LVJ69" s="594"/>
      <c r="LVK69" s="594"/>
      <c r="LVL69" s="594"/>
      <c r="LVM69" s="594"/>
      <c r="LVN69" s="594"/>
      <c r="LVO69" s="594"/>
      <c r="LVP69" s="594"/>
      <c r="LVQ69" s="594"/>
      <c r="LVR69" s="594"/>
      <c r="LVS69" s="594"/>
      <c r="LVT69" s="594"/>
      <c r="LVU69" s="594"/>
      <c r="LVV69" s="594"/>
      <c r="LVW69" s="594"/>
      <c r="LVX69" s="594"/>
      <c r="LVY69" s="594"/>
      <c r="LVZ69" s="594"/>
      <c r="LWA69" s="594"/>
      <c r="LWB69" s="594"/>
      <c r="LWC69" s="594"/>
      <c r="LWD69" s="594"/>
      <c r="LWE69" s="594"/>
      <c r="LWF69" s="594"/>
      <c r="LWG69" s="594"/>
      <c r="LWH69" s="594"/>
      <c r="LWI69" s="594"/>
      <c r="LWJ69" s="594"/>
      <c r="LWK69" s="594"/>
      <c r="LWL69" s="594"/>
      <c r="LWM69" s="594"/>
      <c r="LWN69" s="594"/>
      <c r="LWO69" s="594"/>
      <c r="LWP69" s="594"/>
      <c r="LWQ69" s="594"/>
      <c r="LWR69" s="594"/>
      <c r="LWS69" s="594"/>
      <c r="LWT69" s="594"/>
      <c r="LWU69" s="594"/>
      <c r="LWV69" s="594"/>
      <c r="LWW69" s="594"/>
      <c r="LWX69" s="594"/>
      <c r="LWY69" s="594"/>
      <c r="LWZ69" s="594"/>
      <c r="LXA69" s="594"/>
      <c r="LXB69" s="594"/>
      <c r="LXC69" s="594"/>
      <c r="LXD69" s="594"/>
      <c r="LXE69" s="594"/>
      <c r="LXF69" s="594"/>
      <c r="LXG69" s="594"/>
      <c r="LXH69" s="594"/>
      <c r="LXI69" s="594"/>
      <c r="LXJ69" s="594"/>
      <c r="LXK69" s="594"/>
      <c r="LXL69" s="594"/>
      <c r="LXM69" s="594"/>
      <c r="LXN69" s="594"/>
      <c r="LXO69" s="594"/>
      <c r="LXP69" s="594"/>
      <c r="LXQ69" s="594"/>
      <c r="LXR69" s="594"/>
      <c r="LXS69" s="594"/>
      <c r="LXT69" s="594"/>
      <c r="LXU69" s="594"/>
      <c r="LXV69" s="594"/>
      <c r="LXW69" s="594"/>
      <c r="LXX69" s="594"/>
      <c r="LXY69" s="594"/>
      <c r="LXZ69" s="594"/>
      <c r="LYA69" s="594"/>
      <c r="LYB69" s="594"/>
      <c r="LYC69" s="594"/>
      <c r="LYD69" s="594"/>
      <c r="LYE69" s="594"/>
      <c r="LYF69" s="594"/>
      <c r="LYG69" s="594"/>
      <c r="LYH69" s="594"/>
      <c r="LYI69" s="594"/>
      <c r="LYJ69" s="594"/>
      <c r="LYK69" s="594"/>
      <c r="LYL69" s="594"/>
      <c r="LYM69" s="594"/>
      <c r="LYN69" s="594"/>
      <c r="LYO69" s="594"/>
      <c r="LYP69" s="594"/>
      <c r="LYQ69" s="594"/>
      <c r="LYR69" s="594"/>
      <c r="LYS69" s="594"/>
      <c r="LYT69" s="594"/>
      <c r="LYU69" s="594"/>
      <c r="LYV69" s="594"/>
      <c r="LYW69" s="594"/>
      <c r="LYX69" s="594"/>
      <c r="LYY69" s="594"/>
      <c r="LYZ69" s="594"/>
      <c r="LZA69" s="594"/>
      <c r="LZB69" s="594"/>
      <c r="LZC69" s="594"/>
      <c r="LZD69" s="594"/>
      <c r="LZE69" s="594"/>
      <c r="LZF69" s="594"/>
      <c r="LZG69" s="594"/>
      <c r="LZH69" s="594"/>
      <c r="LZI69" s="594"/>
      <c r="LZJ69" s="594"/>
      <c r="LZK69" s="594"/>
      <c r="LZL69" s="594"/>
      <c r="LZM69" s="594"/>
      <c r="LZN69" s="594"/>
      <c r="LZO69" s="594"/>
      <c r="LZP69" s="594"/>
      <c r="LZQ69" s="594"/>
      <c r="LZR69" s="594"/>
      <c r="LZS69" s="594"/>
      <c r="LZT69" s="594"/>
      <c r="LZU69" s="594"/>
      <c r="LZV69" s="594"/>
      <c r="LZW69" s="594"/>
      <c r="LZX69" s="594"/>
      <c r="LZY69" s="594"/>
      <c r="LZZ69" s="594"/>
      <c r="MAA69" s="594"/>
      <c r="MAB69" s="594"/>
      <c r="MAC69" s="594"/>
      <c r="MAD69" s="594"/>
      <c r="MAE69" s="594"/>
      <c r="MAF69" s="594"/>
      <c r="MAG69" s="594"/>
      <c r="MAH69" s="594"/>
      <c r="MAI69" s="594"/>
      <c r="MAJ69" s="594"/>
      <c r="MAK69" s="594"/>
      <c r="MAL69" s="594"/>
      <c r="MAM69" s="594"/>
      <c r="MAN69" s="594"/>
      <c r="MAO69" s="594"/>
      <c r="MAP69" s="594"/>
      <c r="MAQ69" s="594"/>
      <c r="MAR69" s="594"/>
      <c r="MAS69" s="594"/>
      <c r="MAT69" s="594"/>
      <c r="MAU69" s="594"/>
      <c r="MAV69" s="594"/>
      <c r="MAW69" s="594"/>
      <c r="MAX69" s="594"/>
      <c r="MAY69" s="594"/>
      <c r="MAZ69" s="594"/>
      <c r="MBA69" s="594"/>
      <c r="MBB69" s="594"/>
      <c r="MBC69" s="594"/>
      <c r="MBD69" s="594"/>
      <c r="MBE69" s="594"/>
      <c r="MBF69" s="594"/>
      <c r="MBG69" s="594"/>
      <c r="MBH69" s="594"/>
      <c r="MBI69" s="594"/>
      <c r="MBJ69" s="594"/>
      <c r="MBK69" s="594"/>
      <c r="MBL69" s="594"/>
      <c r="MBM69" s="594"/>
      <c r="MBN69" s="594"/>
      <c r="MBO69" s="594"/>
      <c r="MBP69" s="594"/>
      <c r="MBQ69" s="594"/>
      <c r="MBR69" s="594"/>
      <c r="MBS69" s="594"/>
      <c r="MBT69" s="594"/>
      <c r="MBU69" s="594"/>
      <c r="MBV69" s="594"/>
      <c r="MBW69" s="594"/>
      <c r="MBX69" s="594"/>
      <c r="MBY69" s="594"/>
      <c r="MBZ69" s="594"/>
      <c r="MCA69" s="594"/>
      <c r="MCB69" s="594"/>
      <c r="MCC69" s="594"/>
      <c r="MCD69" s="594"/>
      <c r="MCE69" s="594"/>
      <c r="MCF69" s="594"/>
      <c r="MCG69" s="594"/>
      <c r="MCH69" s="594"/>
      <c r="MCI69" s="594"/>
      <c r="MCJ69" s="594"/>
      <c r="MCK69" s="594"/>
      <c r="MCL69" s="594"/>
      <c r="MCM69" s="594"/>
      <c r="MCN69" s="594"/>
      <c r="MCO69" s="594"/>
      <c r="MCP69" s="594"/>
      <c r="MCQ69" s="594"/>
      <c r="MCR69" s="594"/>
      <c r="MCS69" s="594"/>
      <c r="MCT69" s="594"/>
      <c r="MCU69" s="594"/>
      <c r="MCV69" s="594"/>
      <c r="MCW69" s="594"/>
      <c r="MCX69" s="594"/>
      <c r="MCY69" s="594"/>
      <c r="MCZ69" s="594"/>
      <c r="MDA69" s="594"/>
      <c r="MDB69" s="594"/>
      <c r="MDC69" s="594"/>
      <c r="MDD69" s="594"/>
      <c r="MDE69" s="594"/>
      <c r="MDF69" s="594"/>
      <c r="MDG69" s="594"/>
      <c r="MDH69" s="594"/>
      <c r="MDI69" s="594"/>
      <c r="MDJ69" s="594"/>
      <c r="MDK69" s="594"/>
      <c r="MDL69" s="594"/>
      <c r="MDM69" s="594"/>
      <c r="MDN69" s="594"/>
      <c r="MDO69" s="594"/>
      <c r="MDP69" s="594"/>
      <c r="MDQ69" s="594"/>
      <c r="MDR69" s="594"/>
      <c r="MDS69" s="594"/>
      <c r="MDT69" s="594"/>
      <c r="MDU69" s="594"/>
      <c r="MDV69" s="594"/>
      <c r="MDW69" s="594"/>
      <c r="MDX69" s="594"/>
      <c r="MDY69" s="594"/>
      <c r="MDZ69" s="594"/>
      <c r="MEA69" s="594"/>
      <c r="MEB69" s="594"/>
      <c r="MEC69" s="594"/>
      <c r="MED69" s="594"/>
      <c r="MEE69" s="594"/>
      <c r="MEF69" s="594"/>
      <c r="MEG69" s="594"/>
      <c r="MEH69" s="594"/>
      <c r="MEI69" s="594"/>
      <c r="MEJ69" s="594"/>
      <c r="MEK69" s="594"/>
      <c r="MEL69" s="594"/>
      <c r="MEM69" s="594"/>
      <c r="MEN69" s="594"/>
      <c r="MEO69" s="594"/>
      <c r="MEP69" s="594"/>
      <c r="MEQ69" s="594"/>
      <c r="MER69" s="594"/>
      <c r="MES69" s="594"/>
      <c r="MET69" s="594"/>
      <c r="MEU69" s="594"/>
      <c r="MEV69" s="594"/>
      <c r="MEW69" s="594"/>
      <c r="MEX69" s="594"/>
      <c r="MEY69" s="594"/>
      <c r="MEZ69" s="594"/>
      <c r="MFA69" s="594"/>
      <c r="MFB69" s="594"/>
      <c r="MFC69" s="594"/>
      <c r="MFD69" s="594"/>
      <c r="MFE69" s="594"/>
      <c r="MFF69" s="594"/>
      <c r="MFG69" s="594"/>
      <c r="MFH69" s="594"/>
      <c r="MFI69" s="594"/>
      <c r="MFJ69" s="594"/>
      <c r="MFK69" s="594"/>
      <c r="MFL69" s="594"/>
      <c r="MFM69" s="594"/>
      <c r="MFN69" s="594"/>
      <c r="MFO69" s="594"/>
      <c r="MFP69" s="594"/>
      <c r="MFQ69" s="594"/>
      <c r="MFR69" s="594"/>
      <c r="MFS69" s="594"/>
      <c r="MFT69" s="594"/>
      <c r="MFU69" s="594"/>
      <c r="MFV69" s="594"/>
      <c r="MFW69" s="594"/>
      <c r="MFX69" s="594"/>
      <c r="MFY69" s="594"/>
      <c r="MFZ69" s="594"/>
      <c r="MGA69" s="594"/>
      <c r="MGB69" s="594"/>
      <c r="MGC69" s="594"/>
      <c r="MGD69" s="594"/>
      <c r="MGE69" s="594"/>
      <c r="MGF69" s="594"/>
      <c r="MGG69" s="594"/>
      <c r="MGH69" s="594"/>
      <c r="MGI69" s="594"/>
      <c r="MGJ69" s="594"/>
      <c r="MGK69" s="594"/>
      <c r="MGL69" s="594"/>
      <c r="MGM69" s="594"/>
      <c r="MGN69" s="594"/>
      <c r="MGO69" s="594"/>
      <c r="MGP69" s="594"/>
      <c r="MGQ69" s="594"/>
      <c r="MGR69" s="594"/>
      <c r="MGS69" s="594"/>
      <c r="MGT69" s="594"/>
      <c r="MGU69" s="594"/>
      <c r="MGV69" s="594"/>
      <c r="MGW69" s="594"/>
      <c r="MGX69" s="594"/>
      <c r="MGY69" s="594"/>
      <c r="MGZ69" s="594"/>
      <c r="MHA69" s="594"/>
      <c r="MHB69" s="594"/>
      <c r="MHC69" s="594"/>
      <c r="MHD69" s="594"/>
      <c r="MHE69" s="594"/>
      <c r="MHF69" s="594"/>
      <c r="MHG69" s="594"/>
      <c r="MHH69" s="594"/>
      <c r="MHI69" s="594"/>
      <c r="MHJ69" s="594"/>
      <c r="MHK69" s="594"/>
      <c r="MHL69" s="594"/>
      <c r="MHM69" s="594"/>
      <c r="MHN69" s="594"/>
      <c r="MHO69" s="594"/>
      <c r="MHP69" s="594"/>
      <c r="MHQ69" s="594"/>
      <c r="MHR69" s="594"/>
      <c r="MHS69" s="594"/>
      <c r="MHT69" s="594"/>
      <c r="MHU69" s="594"/>
      <c r="MHV69" s="594"/>
      <c r="MHW69" s="594"/>
      <c r="MHX69" s="594"/>
      <c r="MHY69" s="594"/>
      <c r="MHZ69" s="594"/>
      <c r="MIA69" s="594"/>
      <c r="MIB69" s="594"/>
      <c r="MIC69" s="594"/>
      <c r="MID69" s="594"/>
      <c r="MIE69" s="594"/>
      <c r="MIF69" s="594"/>
      <c r="MIG69" s="594"/>
      <c r="MIH69" s="594"/>
      <c r="MII69" s="594"/>
      <c r="MIJ69" s="594"/>
      <c r="MIK69" s="594"/>
      <c r="MIL69" s="594"/>
      <c r="MIM69" s="594"/>
      <c r="MIN69" s="594"/>
      <c r="MIO69" s="594"/>
      <c r="MIP69" s="594"/>
      <c r="MIQ69" s="594"/>
      <c r="MIR69" s="594"/>
      <c r="MIS69" s="594"/>
      <c r="MIT69" s="594"/>
      <c r="MIU69" s="594"/>
      <c r="MIV69" s="594"/>
      <c r="MIW69" s="594"/>
      <c r="MIX69" s="594"/>
      <c r="MIY69" s="594"/>
      <c r="MIZ69" s="594"/>
      <c r="MJA69" s="594"/>
      <c r="MJB69" s="594"/>
      <c r="MJC69" s="594"/>
      <c r="MJD69" s="594"/>
      <c r="MJE69" s="594"/>
      <c r="MJF69" s="594"/>
      <c r="MJG69" s="594"/>
      <c r="MJH69" s="594"/>
      <c r="MJI69" s="594"/>
      <c r="MJJ69" s="594"/>
      <c r="MJK69" s="594"/>
      <c r="MJL69" s="594"/>
      <c r="MJM69" s="594"/>
      <c r="MJN69" s="594"/>
      <c r="MJO69" s="594"/>
      <c r="MJP69" s="594"/>
      <c r="MJQ69" s="594"/>
      <c r="MJR69" s="594"/>
      <c r="MJS69" s="594"/>
      <c r="MJT69" s="594"/>
      <c r="MJU69" s="594"/>
      <c r="MJV69" s="594"/>
      <c r="MJW69" s="594"/>
      <c r="MJX69" s="594"/>
      <c r="MJY69" s="594"/>
      <c r="MJZ69" s="594"/>
      <c r="MKA69" s="594"/>
      <c r="MKB69" s="594"/>
      <c r="MKC69" s="594"/>
      <c r="MKD69" s="594"/>
      <c r="MKE69" s="594"/>
      <c r="MKF69" s="594"/>
      <c r="MKG69" s="594"/>
      <c r="MKH69" s="594"/>
      <c r="MKI69" s="594"/>
      <c r="MKJ69" s="594"/>
      <c r="MKK69" s="594"/>
      <c r="MKL69" s="594"/>
      <c r="MKM69" s="594"/>
      <c r="MKN69" s="594"/>
      <c r="MKO69" s="594"/>
      <c r="MKP69" s="594"/>
      <c r="MKQ69" s="594"/>
      <c r="MKR69" s="594"/>
      <c r="MKS69" s="594"/>
      <c r="MKT69" s="594"/>
      <c r="MKU69" s="594"/>
      <c r="MKV69" s="594"/>
      <c r="MKW69" s="594"/>
      <c r="MKX69" s="594"/>
      <c r="MKY69" s="594"/>
      <c r="MKZ69" s="594"/>
      <c r="MLA69" s="594"/>
      <c r="MLB69" s="594"/>
      <c r="MLC69" s="594"/>
      <c r="MLD69" s="594"/>
      <c r="MLE69" s="594"/>
      <c r="MLF69" s="594"/>
      <c r="MLG69" s="594"/>
      <c r="MLH69" s="594"/>
      <c r="MLI69" s="594"/>
      <c r="MLJ69" s="594"/>
      <c r="MLK69" s="594"/>
      <c r="MLL69" s="594"/>
      <c r="MLM69" s="594"/>
      <c r="MLN69" s="594"/>
      <c r="MLO69" s="594"/>
      <c r="MLP69" s="594"/>
      <c r="MLQ69" s="594"/>
      <c r="MLR69" s="594"/>
      <c r="MLS69" s="594"/>
      <c r="MLT69" s="594"/>
      <c r="MLU69" s="594"/>
      <c r="MLV69" s="594"/>
      <c r="MLW69" s="594"/>
      <c r="MLX69" s="594"/>
      <c r="MLY69" s="594"/>
      <c r="MLZ69" s="594"/>
      <c r="MMA69" s="594"/>
      <c r="MMB69" s="594"/>
      <c r="MMC69" s="594"/>
      <c r="MMD69" s="594"/>
      <c r="MME69" s="594"/>
      <c r="MMF69" s="594"/>
      <c r="MMG69" s="594"/>
      <c r="MMH69" s="594"/>
      <c r="MMI69" s="594"/>
      <c r="MMJ69" s="594"/>
      <c r="MMK69" s="594"/>
      <c r="MML69" s="594"/>
      <c r="MMM69" s="594"/>
      <c r="MMN69" s="594"/>
      <c r="MMO69" s="594"/>
      <c r="MMP69" s="594"/>
      <c r="MMQ69" s="594"/>
      <c r="MMR69" s="594"/>
      <c r="MMS69" s="594"/>
      <c r="MMT69" s="594"/>
      <c r="MMU69" s="594"/>
      <c r="MMV69" s="594"/>
      <c r="MMW69" s="594"/>
      <c r="MMX69" s="594"/>
      <c r="MMY69" s="594"/>
      <c r="MMZ69" s="594"/>
      <c r="MNA69" s="594"/>
      <c r="MNB69" s="594"/>
      <c r="MNC69" s="594"/>
      <c r="MND69" s="594"/>
      <c r="MNE69" s="594"/>
      <c r="MNF69" s="594"/>
      <c r="MNG69" s="594"/>
      <c r="MNH69" s="594"/>
      <c r="MNI69" s="594"/>
      <c r="MNJ69" s="594"/>
      <c r="MNK69" s="594"/>
      <c r="MNL69" s="594"/>
      <c r="MNM69" s="594"/>
      <c r="MNN69" s="594"/>
      <c r="MNO69" s="594"/>
      <c r="MNP69" s="594"/>
      <c r="MNQ69" s="594"/>
      <c r="MNR69" s="594"/>
      <c r="MNS69" s="594"/>
      <c r="MNT69" s="594"/>
      <c r="MNU69" s="594"/>
      <c r="MNV69" s="594"/>
      <c r="MNW69" s="594"/>
      <c r="MNX69" s="594"/>
      <c r="MNY69" s="594"/>
      <c r="MNZ69" s="594"/>
      <c r="MOA69" s="594"/>
      <c r="MOB69" s="594"/>
      <c r="MOC69" s="594"/>
      <c r="MOD69" s="594"/>
      <c r="MOE69" s="594"/>
      <c r="MOF69" s="594"/>
      <c r="MOG69" s="594"/>
      <c r="MOH69" s="594"/>
      <c r="MOI69" s="594"/>
      <c r="MOJ69" s="594"/>
      <c r="MOK69" s="594"/>
      <c r="MOL69" s="594"/>
      <c r="MOM69" s="594"/>
      <c r="MON69" s="594"/>
      <c r="MOO69" s="594"/>
      <c r="MOP69" s="594"/>
      <c r="MOQ69" s="594"/>
      <c r="MOR69" s="594"/>
      <c r="MOS69" s="594"/>
      <c r="MOT69" s="594"/>
      <c r="MOU69" s="594"/>
      <c r="MOV69" s="594"/>
      <c r="MOW69" s="594"/>
      <c r="MOX69" s="594"/>
      <c r="MOY69" s="594"/>
      <c r="MOZ69" s="594"/>
      <c r="MPA69" s="594"/>
      <c r="MPB69" s="594"/>
      <c r="MPC69" s="594"/>
      <c r="MPD69" s="594"/>
      <c r="MPE69" s="594"/>
      <c r="MPF69" s="594"/>
      <c r="MPG69" s="594"/>
      <c r="MPH69" s="594"/>
      <c r="MPI69" s="594"/>
      <c r="MPJ69" s="594"/>
      <c r="MPK69" s="594"/>
      <c r="MPL69" s="594"/>
      <c r="MPM69" s="594"/>
      <c r="MPN69" s="594"/>
      <c r="MPO69" s="594"/>
      <c r="MPP69" s="594"/>
      <c r="MPQ69" s="594"/>
      <c r="MPR69" s="594"/>
      <c r="MPS69" s="594"/>
      <c r="MPT69" s="594"/>
      <c r="MPU69" s="594"/>
      <c r="MPV69" s="594"/>
      <c r="MPW69" s="594"/>
      <c r="MPX69" s="594"/>
      <c r="MPY69" s="594"/>
      <c r="MPZ69" s="594"/>
      <c r="MQA69" s="594"/>
      <c r="MQB69" s="594"/>
      <c r="MQC69" s="594"/>
      <c r="MQD69" s="594"/>
      <c r="MQE69" s="594"/>
      <c r="MQF69" s="594"/>
      <c r="MQG69" s="594"/>
      <c r="MQH69" s="594"/>
      <c r="MQI69" s="594"/>
      <c r="MQJ69" s="594"/>
      <c r="MQK69" s="594"/>
      <c r="MQL69" s="594"/>
      <c r="MQM69" s="594"/>
      <c r="MQN69" s="594"/>
      <c r="MQO69" s="594"/>
      <c r="MQP69" s="594"/>
      <c r="MQQ69" s="594"/>
      <c r="MQR69" s="594"/>
      <c r="MQS69" s="594"/>
      <c r="MQT69" s="594"/>
      <c r="MQU69" s="594"/>
      <c r="MQV69" s="594"/>
      <c r="MQW69" s="594"/>
      <c r="MQX69" s="594"/>
      <c r="MQY69" s="594"/>
      <c r="MQZ69" s="594"/>
      <c r="MRA69" s="594"/>
      <c r="MRB69" s="594"/>
      <c r="MRC69" s="594"/>
      <c r="MRD69" s="594"/>
      <c r="MRE69" s="594"/>
      <c r="MRF69" s="594"/>
      <c r="MRG69" s="594"/>
      <c r="MRH69" s="594"/>
      <c r="MRI69" s="594"/>
      <c r="MRJ69" s="594"/>
      <c r="MRK69" s="594"/>
      <c r="MRL69" s="594"/>
      <c r="MRM69" s="594"/>
      <c r="MRN69" s="594"/>
      <c r="MRO69" s="594"/>
      <c r="MRP69" s="594"/>
      <c r="MRQ69" s="594"/>
      <c r="MRR69" s="594"/>
      <c r="MRS69" s="594"/>
      <c r="MRT69" s="594"/>
      <c r="MRU69" s="594"/>
      <c r="MRV69" s="594"/>
      <c r="MRW69" s="594"/>
      <c r="MRX69" s="594"/>
      <c r="MRY69" s="594"/>
      <c r="MRZ69" s="594"/>
      <c r="MSA69" s="594"/>
      <c r="MSB69" s="594"/>
      <c r="MSC69" s="594"/>
      <c r="MSD69" s="594"/>
      <c r="MSE69" s="594"/>
      <c r="MSF69" s="594"/>
      <c r="MSG69" s="594"/>
      <c r="MSH69" s="594"/>
      <c r="MSI69" s="594"/>
      <c r="MSJ69" s="594"/>
      <c r="MSK69" s="594"/>
      <c r="MSL69" s="594"/>
      <c r="MSM69" s="594"/>
      <c r="MSN69" s="594"/>
      <c r="MSO69" s="594"/>
      <c r="MSP69" s="594"/>
      <c r="MSQ69" s="594"/>
      <c r="MSR69" s="594"/>
      <c r="MSS69" s="594"/>
      <c r="MST69" s="594"/>
      <c r="MSU69" s="594"/>
      <c r="MSV69" s="594"/>
      <c r="MSW69" s="594"/>
      <c r="MSX69" s="594"/>
      <c r="MSY69" s="594"/>
      <c r="MSZ69" s="594"/>
      <c r="MTA69" s="594"/>
      <c r="MTB69" s="594"/>
      <c r="MTC69" s="594"/>
      <c r="MTD69" s="594"/>
      <c r="MTE69" s="594"/>
      <c r="MTF69" s="594"/>
      <c r="MTG69" s="594"/>
      <c r="MTH69" s="594"/>
      <c r="MTI69" s="594"/>
      <c r="MTJ69" s="594"/>
      <c r="MTK69" s="594"/>
      <c r="MTL69" s="594"/>
      <c r="MTM69" s="594"/>
      <c r="MTN69" s="594"/>
      <c r="MTO69" s="594"/>
      <c r="MTP69" s="594"/>
      <c r="MTQ69" s="594"/>
      <c r="MTR69" s="594"/>
      <c r="MTS69" s="594"/>
      <c r="MTT69" s="594"/>
      <c r="MTU69" s="594"/>
      <c r="MTV69" s="594"/>
      <c r="MTW69" s="594"/>
      <c r="MTX69" s="594"/>
      <c r="MTY69" s="594"/>
      <c r="MTZ69" s="594"/>
      <c r="MUA69" s="594"/>
      <c r="MUB69" s="594"/>
      <c r="MUC69" s="594"/>
      <c r="MUD69" s="594"/>
      <c r="MUE69" s="594"/>
      <c r="MUF69" s="594"/>
      <c r="MUG69" s="594"/>
      <c r="MUH69" s="594"/>
      <c r="MUI69" s="594"/>
      <c r="MUJ69" s="594"/>
      <c r="MUK69" s="594"/>
      <c r="MUL69" s="594"/>
      <c r="MUM69" s="594"/>
      <c r="MUN69" s="594"/>
      <c r="MUO69" s="594"/>
      <c r="MUP69" s="594"/>
      <c r="MUQ69" s="594"/>
      <c r="MUR69" s="594"/>
      <c r="MUS69" s="594"/>
      <c r="MUT69" s="594"/>
      <c r="MUU69" s="594"/>
      <c r="MUV69" s="594"/>
      <c r="MUW69" s="594"/>
      <c r="MUX69" s="594"/>
      <c r="MUY69" s="594"/>
      <c r="MUZ69" s="594"/>
      <c r="MVA69" s="594"/>
      <c r="MVB69" s="594"/>
      <c r="MVC69" s="594"/>
      <c r="MVD69" s="594"/>
      <c r="MVE69" s="594"/>
      <c r="MVF69" s="594"/>
      <c r="MVG69" s="594"/>
      <c r="MVH69" s="594"/>
      <c r="MVI69" s="594"/>
      <c r="MVJ69" s="594"/>
      <c r="MVK69" s="594"/>
      <c r="MVL69" s="594"/>
      <c r="MVM69" s="594"/>
      <c r="MVN69" s="594"/>
      <c r="MVO69" s="594"/>
      <c r="MVP69" s="594"/>
      <c r="MVQ69" s="594"/>
      <c r="MVR69" s="594"/>
      <c r="MVS69" s="594"/>
      <c r="MVT69" s="594"/>
      <c r="MVU69" s="594"/>
      <c r="MVV69" s="594"/>
      <c r="MVW69" s="594"/>
      <c r="MVX69" s="594"/>
      <c r="MVY69" s="594"/>
      <c r="MVZ69" s="594"/>
      <c r="MWA69" s="594"/>
      <c r="MWB69" s="594"/>
      <c r="MWC69" s="594"/>
      <c r="MWD69" s="594"/>
      <c r="MWE69" s="594"/>
      <c r="MWF69" s="594"/>
      <c r="MWG69" s="594"/>
      <c r="MWH69" s="594"/>
      <c r="MWI69" s="594"/>
      <c r="MWJ69" s="594"/>
      <c r="MWK69" s="594"/>
      <c r="MWL69" s="594"/>
      <c r="MWM69" s="594"/>
      <c r="MWN69" s="594"/>
      <c r="MWO69" s="594"/>
      <c r="MWP69" s="594"/>
      <c r="MWQ69" s="594"/>
      <c r="MWR69" s="594"/>
      <c r="MWS69" s="594"/>
      <c r="MWT69" s="594"/>
      <c r="MWU69" s="594"/>
      <c r="MWV69" s="594"/>
      <c r="MWW69" s="594"/>
      <c r="MWX69" s="594"/>
      <c r="MWY69" s="594"/>
      <c r="MWZ69" s="594"/>
      <c r="MXA69" s="594"/>
      <c r="MXB69" s="594"/>
      <c r="MXC69" s="594"/>
      <c r="MXD69" s="594"/>
      <c r="MXE69" s="594"/>
      <c r="MXF69" s="594"/>
      <c r="MXG69" s="594"/>
      <c r="MXH69" s="594"/>
      <c r="MXI69" s="594"/>
      <c r="MXJ69" s="594"/>
      <c r="MXK69" s="594"/>
      <c r="MXL69" s="594"/>
      <c r="MXM69" s="594"/>
      <c r="MXN69" s="594"/>
      <c r="MXO69" s="594"/>
      <c r="MXP69" s="594"/>
      <c r="MXQ69" s="594"/>
      <c r="MXR69" s="594"/>
      <c r="MXS69" s="594"/>
      <c r="MXT69" s="594"/>
      <c r="MXU69" s="594"/>
      <c r="MXV69" s="594"/>
      <c r="MXW69" s="594"/>
      <c r="MXX69" s="594"/>
      <c r="MXY69" s="594"/>
      <c r="MXZ69" s="594"/>
      <c r="MYA69" s="594"/>
      <c r="MYB69" s="594"/>
      <c r="MYC69" s="594"/>
      <c r="MYD69" s="594"/>
      <c r="MYE69" s="594"/>
      <c r="MYF69" s="594"/>
      <c r="MYG69" s="594"/>
      <c r="MYH69" s="594"/>
      <c r="MYI69" s="594"/>
      <c r="MYJ69" s="594"/>
      <c r="MYK69" s="594"/>
      <c r="MYL69" s="594"/>
      <c r="MYM69" s="594"/>
      <c r="MYN69" s="594"/>
      <c r="MYO69" s="594"/>
      <c r="MYP69" s="594"/>
      <c r="MYQ69" s="594"/>
      <c r="MYR69" s="594"/>
      <c r="MYS69" s="594"/>
      <c r="MYT69" s="594"/>
      <c r="MYU69" s="594"/>
      <c r="MYV69" s="594"/>
      <c r="MYW69" s="594"/>
      <c r="MYX69" s="594"/>
      <c r="MYY69" s="594"/>
      <c r="MYZ69" s="594"/>
      <c r="MZA69" s="594"/>
      <c r="MZB69" s="594"/>
      <c r="MZC69" s="594"/>
      <c r="MZD69" s="594"/>
      <c r="MZE69" s="594"/>
      <c r="MZF69" s="594"/>
      <c r="MZG69" s="594"/>
      <c r="MZH69" s="594"/>
      <c r="MZI69" s="594"/>
      <c r="MZJ69" s="594"/>
      <c r="MZK69" s="594"/>
      <c r="MZL69" s="594"/>
      <c r="MZM69" s="594"/>
      <c r="MZN69" s="594"/>
      <c r="MZO69" s="594"/>
      <c r="MZP69" s="594"/>
      <c r="MZQ69" s="594"/>
      <c r="MZR69" s="594"/>
      <c r="MZS69" s="594"/>
      <c r="MZT69" s="594"/>
      <c r="MZU69" s="594"/>
      <c r="MZV69" s="594"/>
      <c r="MZW69" s="594"/>
      <c r="MZX69" s="594"/>
      <c r="MZY69" s="594"/>
      <c r="MZZ69" s="594"/>
      <c r="NAA69" s="594"/>
      <c r="NAB69" s="594"/>
      <c r="NAC69" s="594"/>
      <c r="NAD69" s="594"/>
      <c r="NAE69" s="594"/>
      <c r="NAF69" s="594"/>
      <c r="NAG69" s="594"/>
      <c r="NAH69" s="594"/>
      <c r="NAI69" s="594"/>
      <c r="NAJ69" s="594"/>
      <c r="NAK69" s="594"/>
      <c r="NAL69" s="594"/>
      <c r="NAM69" s="594"/>
      <c r="NAN69" s="594"/>
      <c r="NAO69" s="594"/>
      <c r="NAP69" s="594"/>
      <c r="NAQ69" s="594"/>
      <c r="NAR69" s="594"/>
      <c r="NAS69" s="594"/>
      <c r="NAT69" s="594"/>
      <c r="NAU69" s="594"/>
      <c r="NAV69" s="594"/>
      <c r="NAW69" s="594"/>
      <c r="NAX69" s="594"/>
      <c r="NAY69" s="594"/>
      <c r="NAZ69" s="594"/>
      <c r="NBA69" s="594"/>
      <c r="NBB69" s="594"/>
      <c r="NBC69" s="594"/>
      <c r="NBD69" s="594"/>
      <c r="NBE69" s="594"/>
      <c r="NBF69" s="594"/>
      <c r="NBG69" s="594"/>
      <c r="NBH69" s="594"/>
      <c r="NBI69" s="594"/>
      <c r="NBJ69" s="594"/>
      <c r="NBK69" s="594"/>
      <c r="NBL69" s="594"/>
      <c r="NBM69" s="594"/>
      <c r="NBN69" s="594"/>
      <c r="NBO69" s="594"/>
      <c r="NBP69" s="594"/>
      <c r="NBQ69" s="594"/>
      <c r="NBR69" s="594"/>
      <c r="NBS69" s="594"/>
      <c r="NBT69" s="594"/>
      <c r="NBU69" s="594"/>
      <c r="NBV69" s="594"/>
      <c r="NBW69" s="594"/>
      <c r="NBX69" s="594"/>
      <c r="NBY69" s="594"/>
      <c r="NBZ69" s="594"/>
      <c r="NCA69" s="594"/>
      <c r="NCB69" s="594"/>
      <c r="NCC69" s="594"/>
      <c r="NCD69" s="594"/>
      <c r="NCE69" s="594"/>
      <c r="NCF69" s="594"/>
      <c r="NCG69" s="594"/>
      <c r="NCH69" s="594"/>
      <c r="NCI69" s="594"/>
      <c r="NCJ69" s="594"/>
      <c r="NCK69" s="594"/>
      <c r="NCL69" s="594"/>
      <c r="NCM69" s="594"/>
      <c r="NCN69" s="594"/>
      <c r="NCO69" s="594"/>
      <c r="NCP69" s="594"/>
      <c r="NCQ69" s="594"/>
      <c r="NCR69" s="594"/>
      <c r="NCS69" s="594"/>
      <c r="NCT69" s="594"/>
      <c r="NCU69" s="594"/>
      <c r="NCV69" s="594"/>
      <c r="NCW69" s="594"/>
      <c r="NCX69" s="594"/>
      <c r="NCY69" s="594"/>
      <c r="NCZ69" s="594"/>
      <c r="NDA69" s="594"/>
      <c r="NDB69" s="594"/>
      <c r="NDC69" s="594"/>
      <c r="NDD69" s="594"/>
      <c r="NDE69" s="594"/>
      <c r="NDF69" s="594"/>
      <c r="NDG69" s="594"/>
      <c r="NDH69" s="594"/>
      <c r="NDI69" s="594"/>
      <c r="NDJ69" s="594"/>
      <c r="NDK69" s="594"/>
      <c r="NDL69" s="594"/>
      <c r="NDM69" s="594"/>
      <c r="NDN69" s="594"/>
      <c r="NDO69" s="594"/>
      <c r="NDP69" s="594"/>
      <c r="NDQ69" s="594"/>
      <c r="NDR69" s="594"/>
      <c r="NDS69" s="594"/>
      <c r="NDT69" s="594"/>
      <c r="NDU69" s="594"/>
      <c r="NDV69" s="594"/>
      <c r="NDW69" s="594"/>
      <c r="NDX69" s="594"/>
      <c r="NDY69" s="594"/>
      <c r="NDZ69" s="594"/>
      <c r="NEA69" s="594"/>
      <c r="NEB69" s="594"/>
      <c r="NEC69" s="594"/>
      <c r="NED69" s="594"/>
      <c r="NEE69" s="594"/>
      <c r="NEF69" s="594"/>
      <c r="NEG69" s="594"/>
      <c r="NEH69" s="594"/>
      <c r="NEI69" s="594"/>
      <c r="NEJ69" s="594"/>
      <c r="NEK69" s="594"/>
      <c r="NEL69" s="594"/>
      <c r="NEM69" s="594"/>
      <c r="NEN69" s="594"/>
      <c r="NEO69" s="594"/>
      <c r="NEP69" s="594"/>
      <c r="NEQ69" s="594"/>
      <c r="NER69" s="594"/>
      <c r="NES69" s="594"/>
      <c r="NET69" s="594"/>
      <c r="NEU69" s="594"/>
      <c r="NEV69" s="594"/>
      <c r="NEW69" s="594"/>
      <c r="NEX69" s="594"/>
      <c r="NEY69" s="594"/>
      <c r="NEZ69" s="594"/>
      <c r="NFA69" s="594"/>
      <c r="NFB69" s="594"/>
      <c r="NFC69" s="594"/>
      <c r="NFD69" s="594"/>
      <c r="NFE69" s="594"/>
      <c r="NFF69" s="594"/>
      <c r="NFG69" s="594"/>
      <c r="NFH69" s="594"/>
      <c r="NFI69" s="594"/>
      <c r="NFJ69" s="594"/>
      <c r="NFK69" s="594"/>
      <c r="NFL69" s="594"/>
      <c r="NFM69" s="594"/>
      <c r="NFN69" s="594"/>
      <c r="NFO69" s="594"/>
      <c r="NFP69" s="594"/>
      <c r="NFQ69" s="594"/>
      <c r="NFR69" s="594"/>
      <c r="NFS69" s="594"/>
      <c r="NFT69" s="594"/>
      <c r="NFU69" s="594"/>
      <c r="NFV69" s="594"/>
      <c r="NFW69" s="594"/>
      <c r="NFX69" s="594"/>
      <c r="NFY69" s="594"/>
      <c r="NFZ69" s="594"/>
      <c r="NGA69" s="594"/>
      <c r="NGB69" s="594"/>
      <c r="NGC69" s="594"/>
      <c r="NGD69" s="594"/>
      <c r="NGE69" s="594"/>
      <c r="NGF69" s="594"/>
      <c r="NGG69" s="594"/>
      <c r="NGH69" s="594"/>
      <c r="NGI69" s="594"/>
      <c r="NGJ69" s="594"/>
      <c r="NGK69" s="594"/>
      <c r="NGL69" s="594"/>
      <c r="NGM69" s="594"/>
      <c r="NGN69" s="594"/>
      <c r="NGO69" s="594"/>
      <c r="NGP69" s="594"/>
      <c r="NGQ69" s="594"/>
      <c r="NGR69" s="594"/>
      <c r="NGS69" s="594"/>
      <c r="NGT69" s="594"/>
      <c r="NGU69" s="594"/>
      <c r="NGV69" s="594"/>
      <c r="NGW69" s="594"/>
      <c r="NGX69" s="594"/>
      <c r="NGY69" s="594"/>
      <c r="NGZ69" s="594"/>
      <c r="NHA69" s="594"/>
      <c r="NHB69" s="594"/>
      <c r="NHC69" s="594"/>
      <c r="NHD69" s="594"/>
      <c r="NHE69" s="594"/>
      <c r="NHF69" s="594"/>
      <c r="NHG69" s="594"/>
      <c r="NHH69" s="594"/>
      <c r="NHI69" s="594"/>
      <c r="NHJ69" s="594"/>
      <c r="NHK69" s="594"/>
      <c r="NHL69" s="594"/>
      <c r="NHM69" s="594"/>
      <c r="NHN69" s="594"/>
      <c r="NHO69" s="594"/>
      <c r="NHP69" s="594"/>
      <c r="NHQ69" s="594"/>
      <c r="NHR69" s="594"/>
      <c r="NHS69" s="594"/>
      <c r="NHT69" s="594"/>
      <c r="NHU69" s="594"/>
      <c r="NHV69" s="594"/>
      <c r="NHW69" s="594"/>
      <c r="NHX69" s="594"/>
      <c r="NHY69" s="594"/>
      <c r="NHZ69" s="594"/>
      <c r="NIA69" s="594"/>
      <c r="NIB69" s="594"/>
      <c r="NIC69" s="594"/>
      <c r="NID69" s="594"/>
      <c r="NIE69" s="594"/>
      <c r="NIF69" s="594"/>
      <c r="NIG69" s="594"/>
      <c r="NIH69" s="594"/>
      <c r="NII69" s="594"/>
      <c r="NIJ69" s="594"/>
      <c r="NIK69" s="594"/>
      <c r="NIL69" s="594"/>
      <c r="NIM69" s="594"/>
      <c r="NIN69" s="594"/>
      <c r="NIO69" s="594"/>
      <c r="NIP69" s="594"/>
      <c r="NIQ69" s="594"/>
      <c r="NIR69" s="594"/>
      <c r="NIS69" s="594"/>
      <c r="NIT69" s="594"/>
      <c r="NIU69" s="594"/>
      <c r="NIV69" s="594"/>
      <c r="NIW69" s="594"/>
      <c r="NIX69" s="594"/>
      <c r="NIY69" s="594"/>
      <c r="NIZ69" s="594"/>
      <c r="NJA69" s="594"/>
      <c r="NJB69" s="594"/>
      <c r="NJC69" s="594"/>
      <c r="NJD69" s="594"/>
      <c r="NJE69" s="594"/>
      <c r="NJF69" s="594"/>
      <c r="NJG69" s="594"/>
      <c r="NJH69" s="594"/>
      <c r="NJI69" s="594"/>
      <c r="NJJ69" s="594"/>
      <c r="NJK69" s="594"/>
      <c r="NJL69" s="594"/>
      <c r="NJM69" s="594"/>
      <c r="NJN69" s="594"/>
      <c r="NJO69" s="594"/>
      <c r="NJP69" s="594"/>
      <c r="NJQ69" s="594"/>
      <c r="NJR69" s="594"/>
      <c r="NJS69" s="594"/>
      <c r="NJT69" s="594"/>
      <c r="NJU69" s="594"/>
      <c r="NJV69" s="594"/>
      <c r="NJW69" s="594"/>
      <c r="NJX69" s="594"/>
      <c r="NJY69" s="594"/>
      <c r="NJZ69" s="594"/>
      <c r="NKA69" s="594"/>
      <c r="NKB69" s="594"/>
      <c r="NKC69" s="594"/>
      <c r="NKD69" s="594"/>
      <c r="NKE69" s="594"/>
      <c r="NKF69" s="594"/>
      <c r="NKG69" s="594"/>
      <c r="NKH69" s="594"/>
      <c r="NKI69" s="594"/>
      <c r="NKJ69" s="594"/>
      <c r="NKK69" s="594"/>
      <c r="NKL69" s="594"/>
      <c r="NKM69" s="594"/>
      <c r="NKN69" s="594"/>
      <c r="NKO69" s="594"/>
      <c r="NKP69" s="594"/>
      <c r="NKQ69" s="594"/>
      <c r="NKR69" s="594"/>
      <c r="NKS69" s="594"/>
      <c r="NKT69" s="594"/>
      <c r="NKU69" s="594"/>
      <c r="NKV69" s="594"/>
      <c r="NKW69" s="594"/>
      <c r="NKX69" s="594"/>
      <c r="NKY69" s="594"/>
      <c r="NKZ69" s="594"/>
      <c r="NLA69" s="594"/>
      <c r="NLB69" s="594"/>
      <c r="NLC69" s="594"/>
      <c r="NLD69" s="594"/>
      <c r="NLE69" s="594"/>
      <c r="NLF69" s="594"/>
      <c r="NLG69" s="594"/>
      <c r="NLH69" s="594"/>
      <c r="NLI69" s="594"/>
      <c r="NLJ69" s="594"/>
      <c r="NLK69" s="594"/>
      <c r="NLL69" s="594"/>
      <c r="NLM69" s="594"/>
      <c r="NLN69" s="594"/>
      <c r="NLO69" s="594"/>
      <c r="NLP69" s="594"/>
      <c r="NLQ69" s="594"/>
      <c r="NLR69" s="594"/>
      <c r="NLS69" s="594"/>
      <c r="NLT69" s="594"/>
      <c r="NLU69" s="594"/>
      <c r="NLV69" s="594"/>
      <c r="NLW69" s="594"/>
      <c r="NLX69" s="594"/>
      <c r="NLY69" s="594"/>
      <c r="NLZ69" s="594"/>
      <c r="NMA69" s="594"/>
      <c r="NMB69" s="594"/>
      <c r="NMC69" s="594"/>
      <c r="NMD69" s="594"/>
      <c r="NME69" s="594"/>
      <c r="NMF69" s="594"/>
      <c r="NMG69" s="594"/>
      <c r="NMH69" s="594"/>
      <c r="NMI69" s="594"/>
      <c r="NMJ69" s="594"/>
      <c r="NMK69" s="594"/>
      <c r="NML69" s="594"/>
      <c r="NMM69" s="594"/>
      <c r="NMN69" s="594"/>
      <c r="NMO69" s="594"/>
      <c r="NMP69" s="594"/>
      <c r="NMQ69" s="594"/>
      <c r="NMR69" s="594"/>
      <c r="NMS69" s="594"/>
      <c r="NMT69" s="594"/>
      <c r="NMU69" s="594"/>
      <c r="NMV69" s="594"/>
      <c r="NMW69" s="594"/>
      <c r="NMX69" s="594"/>
      <c r="NMY69" s="594"/>
      <c r="NMZ69" s="594"/>
      <c r="NNA69" s="594"/>
      <c r="NNB69" s="594"/>
      <c r="NNC69" s="594"/>
      <c r="NND69" s="594"/>
      <c r="NNE69" s="594"/>
      <c r="NNF69" s="594"/>
      <c r="NNG69" s="594"/>
      <c r="NNH69" s="594"/>
      <c r="NNI69" s="594"/>
      <c r="NNJ69" s="594"/>
      <c r="NNK69" s="594"/>
      <c r="NNL69" s="594"/>
      <c r="NNM69" s="594"/>
      <c r="NNN69" s="594"/>
      <c r="NNO69" s="594"/>
      <c r="NNP69" s="594"/>
      <c r="NNQ69" s="594"/>
      <c r="NNR69" s="594"/>
      <c r="NNS69" s="594"/>
      <c r="NNT69" s="594"/>
      <c r="NNU69" s="594"/>
      <c r="NNV69" s="594"/>
      <c r="NNW69" s="594"/>
      <c r="NNX69" s="594"/>
      <c r="NNY69" s="594"/>
      <c r="NNZ69" s="594"/>
      <c r="NOA69" s="594"/>
      <c r="NOB69" s="594"/>
      <c r="NOC69" s="594"/>
      <c r="NOD69" s="594"/>
      <c r="NOE69" s="594"/>
      <c r="NOF69" s="594"/>
      <c r="NOG69" s="594"/>
      <c r="NOH69" s="594"/>
      <c r="NOI69" s="594"/>
      <c r="NOJ69" s="594"/>
      <c r="NOK69" s="594"/>
      <c r="NOL69" s="594"/>
      <c r="NOM69" s="594"/>
      <c r="NON69" s="594"/>
      <c r="NOO69" s="594"/>
      <c r="NOP69" s="594"/>
      <c r="NOQ69" s="594"/>
      <c r="NOR69" s="594"/>
      <c r="NOS69" s="594"/>
      <c r="NOT69" s="594"/>
      <c r="NOU69" s="594"/>
      <c r="NOV69" s="594"/>
      <c r="NOW69" s="594"/>
      <c r="NOX69" s="594"/>
      <c r="NOY69" s="594"/>
      <c r="NOZ69" s="594"/>
      <c r="NPA69" s="594"/>
      <c r="NPB69" s="594"/>
      <c r="NPC69" s="594"/>
      <c r="NPD69" s="594"/>
      <c r="NPE69" s="594"/>
      <c r="NPF69" s="594"/>
      <c r="NPG69" s="594"/>
      <c r="NPH69" s="594"/>
      <c r="NPI69" s="594"/>
      <c r="NPJ69" s="594"/>
      <c r="NPK69" s="594"/>
      <c r="NPL69" s="594"/>
      <c r="NPM69" s="594"/>
      <c r="NPN69" s="594"/>
      <c r="NPO69" s="594"/>
      <c r="NPP69" s="594"/>
      <c r="NPQ69" s="594"/>
      <c r="NPR69" s="594"/>
      <c r="NPS69" s="594"/>
      <c r="NPT69" s="594"/>
      <c r="NPU69" s="594"/>
      <c r="NPV69" s="594"/>
      <c r="NPW69" s="594"/>
      <c r="NPX69" s="594"/>
      <c r="NPY69" s="594"/>
      <c r="NPZ69" s="594"/>
      <c r="NQA69" s="594"/>
      <c r="NQB69" s="594"/>
      <c r="NQC69" s="594"/>
      <c r="NQD69" s="594"/>
      <c r="NQE69" s="594"/>
      <c r="NQF69" s="594"/>
      <c r="NQG69" s="594"/>
      <c r="NQH69" s="594"/>
      <c r="NQI69" s="594"/>
      <c r="NQJ69" s="594"/>
      <c r="NQK69" s="594"/>
      <c r="NQL69" s="594"/>
      <c r="NQM69" s="594"/>
      <c r="NQN69" s="594"/>
      <c r="NQO69" s="594"/>
      <c r="NQP69" s="594"/>
      <c r="NQQ69" s="594"/>
      <c r="NQR69" s="594"/>
      <c r="NQS69" s="594"/>
      <c r="NQT69" s="594"/>
      <c r="NQU69" s="594"/>
      <c r="NQV69" s="594"/>
      <c r="NQW69" s="594"/>
      <c r="NQX69" s="594"/>
      <c r="NQY69" s="594"/>
      <c r="NQZ69" s="594"/>
      <c r="NRA69" s="594"/>
      <c r="NRB69" s="594"/>
      <c r="NRC69" s="594"/>
      <c r="NRD69" s="594"/>
      <c r="NRE69" s="594"/>
      <c r="NRF69" s="594"/>
      <c r="NRG69" s="594"/>
      <c r="NRH69" s="594"/>
      <c r="NRI69" s="594"/>
      <c r="NRJ69" s="594"/>
      <c r="NRK69" s="594"/>
      <c r="NRL69" s="594"/>
      <c r="NRM69" s="594"/>
      <c r="NRN69" s="594"/>
      <c r="NRO69" s="594"/>
      <c r="NRP69" s="594"/>
      <c r="NRQ69" s="594"/>
      <c r="NRR69" s="594"/>
      <c r="NRS69" s="594"/>
      <c r="NRT69" s="594"/>
      <c r="NRU69" s="594"/>
      <c r="NRV69" s="594"/>
      <c r="NRW69" s="594"/>
      <c r="NRX69" s="594"/>
      <c r="NRY69" s="594"/>
      <c r="NRZ69" s="594"/>
      <c r="NSA69" s="594"/>
      <c r="NSB69" s="594"/>
      <c r="NSC69" s="594"/>
      <c r="NSD69" s="594"/>
      <c r="NSE69" s="594"/>
      <c r="NSF69" s="594"/>
      <c r="NSG69" s="594"/>
      <c r="NSH69" s="594"/>
      <c r="NSI69" s="594"/>
      <c r="NSJ69" s="594"/>
      <c r="NSK69" s="594"/>
      <c r="NSL69" s="594"/>
      <c r="NSM69" s="594"/>
      <c r="NSN69" s="594"/>
      <c r="NSO69" s="594"/>
      <c r="NSP69" s="594"/>
      <c r="NSQ69" s="594"/>
      <c r="NSR69" s="594"/>
      <c r="NSS69" s="594"/>
      <c r="NST69" s="594"/>
      <c r="NSU69" s="594"/>
      <c r="NSV69" s="594"/>
      <c r="NSW69" s="594"/>
      <c r="NSX69" s="594"/>
      <c r="NSY69" s="594"/>
      <c r="NSZ69" s="594"/>
      <c r="NTA69" s="594"/>
      <c r="NTB69" s="594"/>
      <c r="NTC69" s="594"/>
      <c r="NTD69" s="594"/>
      <c r="NTE69" s="594"/>
      <c r="NTF69" s="594"/>
      <c r="NTG69" s="594"/>
      <c r="NTH69" s="594"/>
      <c r="NTI69" s="594"/>
      <c r="NTJ69" s="594"/>
      <c r="NTK69" s="594"/>
      <c r="NTL69" s="594"/>
      <c r="NTM69" s="594"/>
      <c r="NTN69" s="594"/>
      <c r="NTO69" s="594"/>
      <c r="NTP69" s="594"/>
      <c r="NTQ69" s="594"/>
      <c r="NTR69" s="594"/>
      <c r="NTS69" s="594"/>
      <c r="NTT69" s="594"/>
      <c r="NTU69" s="594"/>
      <c r="NTV69" s="594"/>
      <c r="NTW69" s="594"/>
      <c r="NTX69" s="594"/>
      <c r="NTY69" s="594"/>
      <c r="NTZ69" s="594"/>
      <c r="NUA69" s="594"/>
      <c r="NUB69" s="594"/>
      <c r="NUC69" s="594"/>
      <c r="NUD69" s="594"/>
      <c r="NUE69" s="594"/>
      <c r="NUF69" s="594"/>
      <c r="NUG69" s="594"/>
      <c r="NUH69" s="594"/>
      <c r="NUI69" s="594"/>
      <c r="NUJ69" s="594"/>
      <c r="NUK69" s="594"/>
      <c r="NUL69" s="594"/>
      <c r="NUM69" s="594"/>
      <c r="NUN69" s="594"/>
      <c r="NUO69" s="594"/>
      <c r="NUP69" s="594"/>
      <c r="NUQ69" s="594"/>
      <c r="NUR69" s="594"/>
      <c r="NUS69" s="594"/>
      <c r="NUT69" s="594"/>
      <c r="NUU69" s="594"/>
      <c r="NUV69" s="594"/>
      <c r="NUW69" s="594"/>
      <c r="NUX69" s="594"/>
      <c r="NUY69" s="594"/>
      <c r="NUZ69" s="594"/>
      <c r="NVA69" s="594"/>
      <c r="NVB69" s="594"/>
      <c r="NVC69" s="594"/>
      <c r="NVD69" s="594"/>
      <c r="NVE69" s="594"/>
      <c r="NVF69" s="594"/>
      <c r="NVG69" s="594"/>
      <c r="NVH69" s="594"/>
      <c r="NVI69" s="594"/>
      <c r="NVJ69" s="594"/>
      <c r="NVK69" s="594"/>
      <c r="NVL69" s="594"/>
      <c r="NVM69" s="594"/>
      <c r="NVN69" s="594"/>
      <c r="NVO69" s="594"/>
      <c r="NVP69" s="594"/>
      <c r="NVQ69" s="594"/>
      <c r="NVR69" s="594"/>
      <c r="NVS69" s="594"/>
      <c r="NVT69" s="594"/>
      <c r="NVU69" s="594"/>
      <c r="NVV69" s="594"/>
      <c r="NVW69" s="594"/>
      <c r="NVX69" s="594"/>
      <c r="NVY69" s="594"/>
      <c r="NVZ69" s="594"/>
      <c r="NWA69" s="594"/>
      <c r="NWB69" s="594"/>
      <c r="NWC69" s="594"/>
      <c r="NWD69" s="594"/>
      <c r="NWE69" s="594"/>
      <c r="NWF69" s="594"/>
      <c r="NWG69" s="594"/>
      <c r="NWH69" s="594"/>
      <c r="NWI69" s="594"/>
      <c r="NWJ69" s="594"/>
      <c r="NWK69" s="594"/>
      <c r="NWL69" s="594"/>
      <c r="NWM69" s="594"/>
      <c r="NWN69" s="594"/>
      <c r="NWO69" s="594"/>
      <c r="NWP69" s="594"/>
      <c r="NWQ69" s="594"/>
      <c r="NWR69" s="594"/>
      <c r="NWS69" s="594"/>
      <c r="NWT69" s="594"/>
      <c r="NWU69" s="594"/>
      <c r="NWV69" s="594"/>
      <c r="NWW69" s="594"/>
      <c r="NWX69" s="594"/>
      <c r="NWY69" s="594"/>
      <c r="NWZ69" s="594"/>
      <c r="NXA69" s="594"/>
      <c r="NXB69" s="594"/>
      <c r="NXC69" s="594"/>
      <c r="NXD69" s="594"/>
      <c r="NXE69" s="594"/>
      <c r="NXF69" s="594"/>
      <c r="NXG69" s="594"/>
      <c r="NXH69" s="594"/>
      <c r="NXI69" s="594"/>
      <c r="NXJ69" s="594"/>
      <c r="NXK69" s="594"/>
      <c r="NXL69" s="594"/>
      <c r="NXM69" s="594"/>
      <c r="NXN69" s="594"/>
      <c r="NXO69" s="594"/>
      <c r="NXP69" s="594"/>
      <c r="NXQ69" s="594"/>
      <c r="NXR69" s="594"/>
      <c r="NXS69" s="594"/>
      <c r="NXT69" s="594"/>
      <c r="NXU69" s="594"/>
      <c r="NXV69" s="594"/>
      <c r="NXW69" s="594"/>
      <c r="NXX69" s="594"/>
      <c r="NXY69" s="594"/>
      <c r="NXZ69" s="594"/>
      <c r="NYA69" s="594"/>
      <c r="NYB69" s="594"/>
      <c r="NYC69" s="594"/>
      <c r="NYD69" s="594"/>
      <c r="NYE69" s="594"/>
      <c r="NYF69" s="594"/>
      <c r="NYG69" s="594"/>
      <c r="NYH69" s="594"/>
      <c r="NYI69" s="594"/>
      <c r="NYJ69" s="594"/>
      <c r="NYK69" s="594"/>
      <c r="NYL69" s="594"/>
      <c r="NYM69" s="594"/>
      <c r="NYN69" s="594"/>
      <c r="NYO69" s="594"/>
      <c r="NYP69" s="594"/>
      <c r="NYQ69" s="594"/>
      <c r="NYR69" s="594"/>
      <c r="NYS69" s="594"/>
      <c r="NYT69" s="594"/>
      <c r="NYU69" s="594"/>
      <c r="NYV69" s="594"/>
      <c r="NYW69" s="594"/>
      <c r="NYX69" s="594"/>
      <c r="NYY69" s="594"/>
      <c r="NYZ69" s="594"/>
      <c r="NZA69" s="594"/>
      <c r="NZB69" s="594"/>
      <c r="NZC69" s="594"/>
      <c r="NZD69" s="594"/>
      <c r="NZE69" s="594"/>
      <c r="NZF69" s="594"/>
      <c r="NZG69" s="594"/>
      <c r="NZH69" s="594"/>
      <c r="NZI69" s="594"/>
      <c r="NZJ69" s="594"/>
      <c r="NZK69" s="594"/>
      <c r="NZL69" s="594"/>
      <c r="NZM69" s="594"/>
      <c r="NZN69" s="594"/>
      <c r="NZO69" s="594"/>
      <c r="NZP69" s="594"/>
      <c r="NZQ69" s="594"/>
      <c r="NZR69" s="594"/>
      <c r="NZS69" s="594"/>
      <c r="NZT69" s="594"/>
      <c r="NZU69" s="594"/>
      <c r="NZV69" s="594"/>
      <c r="NZW69" s="594"/>
      <c r="NZX69" s="594"/>
      <c r="NZY69" s="594"/>
      <c r="NZZ69" s="594"/>
      <c r="OAA69" s="594"/>
      <c r="OAB69" s="594"/>
      <c r="OAC69" s="594"/>
      <c r="OAD69" s="594"/>
      <c r="OAE69" s="594"/>
      <c r="OAF69" s="594"/>
      <c r="OAG69" s="594"/>
      <c r="OAH69" s="594"/>
      <c r="OAI69" s="594"/>
      <c r="OAJ69" s="594"/>
      <c r="OAK69" s="594"/>
      <c r="OAL69" s="594"/>
      <c r="OAM69" s="594"/>
      <c r="OAN69" s="594"/>
      <c r="OAO69" s="594"/>
      <c r="OAP69" s="594"/>
      <c r="OAQ69" s="594"/>
      <c r="OAR69" s="594"/>
      <c r="OAS69" s="594"/>
      <c r="OAT69" s="594"/>
      <c r="OAU69" s="594"/>
      <c r="OAV69" s="594"/>
      <c r="OAW69" s="594"/>
      <c r="OAX69" s="594"/>
      <c r="OAY69" s="594"/>
      <c r="OAZ69" s="594"/>
      <c r="OBA69" s="594"/>
      <c r="OBB69" s="594"/>
      <c r="OBC69" s="594"/>
      <c r="OBD69" s="594"/>
      <c r="OBE69" s="594"/>
      <c r="OBF69" s="594"/>
      <c r="OBG69" s="594"/>
      <c r="OBH69" s="594"/>
      <c r="OBI69" s="594"/>
      <c r="OBJ69" s="594"/>
      <c r="OBK69" s="594"/>
      <c r="OBL69" s="594"/>
      <c r="OBM69" s="594"/>
      <c r="OBN69" s="594"/>
      <c r="OBO69" s="594"/>
      <c r="OBP69" s="594"/>
      <c r="OBQ69" s="594"/>
      <c r="OBR69" s="594"/>
      <c r="OBS69" s="594"/>
      <c r="OBT69" s="594"/>
      <c r="OBU69" s="594"/>
      <c r="OBV69" s="594"/>
      <c r="OBW69" s="594"/>
      <c r="OBX69" s="594"/>
      <c r="OBY69" s="594"/>
      <c r="OBZ69" s="594"/>
      <c r="OCA69" s="594"/>
      <c r="OCB69" s="594"/>
      <c r="OCC69" s="594"/>
      <c r="OCD69" s="594"/>
      <c r="OCE69" s="594"/>
      <c r="OCF69" s="594"/>
      <c r="OCG69" s="594"/>
      <c r="OCH69" s="594"/>
      <c r="OCI69" s="594"/>
      <c r="OCJ69" s="594"/>
      <c r="OCK69" s="594"/>
      <c r="OCL69" s="594"/>
      <c r="OCM69" s="594"/>
      <c r="OCN69" s="594"/>
      <c r="OCO69" s="594"/>
      <c r="OCP69" s="594"/>
      <c r="OCQ69" s="594"/>
      <c r="OCR69" s="594"/>
      <c r="OCS69" s="594"/>
      <c r="OCT69" s="594"/>
      <c r="OCU69" s="594"/>
      <c r="OCV69" s="594"/>
      <c r="OCW69" s="594"/>
      <c r="OCX69" s="594"/>
      <c r="OCY69" s="594"/>
      <c r="OCZ69" s="594"/>
      <c r="ODA69" s="594"/>
      <c r="ODB69" s="594"/>
      <c r="ODC69" s="594"/>
      <c r="ODD69" s="594"/>
      <c r="ODE69" s="594"/>
      <c r="ODF69" s="594"/>
      <c r="ODG69" s="594"/>
      <c r="ODH69" s="594"/>
      <c r="ODI69" s="594"/>
      <c r="ODJ69" s="594"/>
      <c r="ODK69" s="594"/>
      <c r="ODL69" s="594"/>
      <c r="ODM69" s="594"/>
      <c r="ODN69" s="594"/>
      <c r="ODO69" s="594"/>
      <c r="ODP69" s="594"/>
      <c r="ODQ69" s="594"/>
      <c r="ODR69" s="594"/>
      <c r="ODS69" s="594"/>
      <c r="ODT69" s="594"/>
      <c r="ODU69" s="594"/>
      <c r="ODV69" s="594"/>
      <c r="ODW69" s="594"/>
      <c r="ODX69" s="594"/>
      <c r="ODY69" s="594"/>
      <c r="ODZ69" s="594"/>
      <c r="OEA69" s="594"/>
      <c r="OEB69" s="594"/>
      <c r="OEC69" s="594"/>
      <c r="OED69" s="594"/>
      <c r="OEE69" s="594"/>
      <c r="OEF69" s="594"/>
      <c r="OEG69" s="594"/>
      <c r="OEH69" s="594"/>
      <c r="OEI69" s="594"/>
      <c r="OEJ69" s="594"/>
      <c r="OEK69" s="594"/>
      <c r="OEL69" s="594"/>
      <c r="OEM69" s="594"/>
      <c r="OEN69" s="594"/>
      <c r="OEO69" s="594"/>
      <c r="OEP69" s="594"/>
      <c r="OEQ69" s="594"/>
      <c r="OER69" s="594"/>
      <c r="OES69" s="594"/>
      <c r="OET69" s="594"/>
      <c r="OEU69" s="594"/>
      <c r="OEV69" s="594"/>
      <c r="OEW69" s="594"/>
      <c r="OEX69" s="594"/>
      <c r="OEY69" s="594"/>
      <c r="OEZ69" s="594"/>
      <c r="OFA69" s="594"/>
      <c r="OFB69" s="594"/>
      <c r="OFC69" s="594"/>
      <c r="OFD69" s="594"/>
      <c r="OFE69" s="594"/>
      <c r="OFF69" s="594"/>
      <c r="OFG69" s="594"/>
      <c r="OFH69" s="594"/>
      <c r="OFI69" s="594"/>
      <c r="OFJ69" s="594"/>
      <c r="OFK69" s="594"/>
      <c r="OFL69" s="594"/>
      <c r="OFM69" s="594"/>
      <c r="OFN69" s="594"/>
      <c r="OFO69" s="594"/>
      <c r="OFP69" s="594"/>
      <c r="OFQ69" s="594"/>
      <c r="OFR69" s="594"/>
      <c r="OFS69" s="594"/>
      <c r="OFT69" s="594"/>
      <c r="OFU69" s="594"/>
      <c r="OFV69" s="594"/>
      <c r="OFW69" s="594"/>
      <c r="OFX69" s="594"/>
      <c r="OFY69" s="594"/>
      <c r="OFZ69" s="594"/>
      <c r="OGA69" s="594"/>
      <c r="OGB69" s="594"/>
      <c r="OGC69" s="594"/>
      <c r="OGD69" s="594"/>
      <c r="OGE69" s="594"/>
      <c r="OGF69" s="594"/>
      <c r="OGG69" s="594"/>
      <c r="OGH69" s="594"/>
      <c r="OGI69" s="594"/>
      <c r="OGJ69" s="594"/>
      <c r="OGK69" s="594"/>
      <c r="OGL69" s="594"/>
      <c r="OGM69" s="594"/>
      <c r="OGN69" s="594"/>
      <c r="OGO69" s="594"/>
      <c r="OGP69" s="594"/>
      <c r="OGQ69" s="594"/>
      <c r="OGR69" s="594"/>
      <c r="OGS69" s="594"/>
      <c r="OGT69" s="594"/>
      <c r="OGU69" s="594"/>
      <c r="OGV69" s="594"/>
      <c r="OGW69" s="594"/>
      <c r="OGX69" s="594"/>
      <c r="OGY69" s="594"/>
      <c r="OGZ69" s="594"/>
      <c r="OHA69" s="594"/>
      <c r="OHB69" s="594"/>
      <c r="OHC69" s="594"/>
      <c r="OHD69" s="594"/>
      <c r="OHE69" s="594"/>
      <c r="OHF69" s="594"/>
      <c r="OHG69" s="594"/>
      <c r="OHH69" s="594"/>
      <c r="OHI69" s="594"/>
      <c r="OHJ69" s="594"/>
      <c r="OHK69" s="594"/>
      <c r="OHL69" s="594"/>
      <c r="OHM69" s="594"/>
      <c r="OHN69" s="594"/>
      <c r="OHO69" s="594"/>
      <c r="OHP69" s="594"/>
      <c r="OHQ69" s="594"/>
      <c r="OHR69" s="594"/>
      <c r="OHS69" s="594"/>
      <c r="OHT69" s="594"/>
      <c r="OHU69" s="594"/>
      <c r="OHV69" s="594"/>
      <c r="OHW69" s="594"/>
      <c r="OHX69" s="594"/>
      <c r="OHY69" s="594"/>
      <c r="OHZ69" s="594"/>
      <c r="OIA69" s="594"/>
      <c r="OIB69" s="594"/>
      <c r="OIC69" s="594"/>
      <c r="OID69" s="594"/>
      <c r="OIE69" s="594"/>
      <c r="OIF69" s="594"/>
      <c r="OIG69" s="594"/>
      <c r="OIH69" s="594"/>
      <c r="OII69" s="594"/>
      <c r="OIJ69" s="594"/>
      <c r="OIK69" s="594"/>
      <c r="OIL69" s="594"/>
      <c r="OIM69" s="594"/>
      <c r="OIN69" s="594"/>
      <c r="OIO69" s="594"/>
      <c r="OIP69" s="594"/>
      <c r="OIQ69" s="594"/>
      <c r="OIR69" s="594"/>
      <c r="OIS69" s="594"/>
      <c r="OIT69" s="594"/>
      <c r="OIU69" s="594"/>
      <c r="OIV69" s="594"/>
      <c r="OIW69" s="594"/>
      <c r="OIX69" s="594"/>
      <c r="OIY69" s="594"/>
      <c r="OIZ69" s="594"/>
      <c r="OJA69" s="594"/>
      <c r="OJB69" s="594"/>
      <c r="OJC69" s="594"/>
      <c r="OJD69" s="594"/>
      <c r="OJE69" s="594"/>
      <c r="OJF69" s="594"/>
      <c r="OJG69" s="594"/>
      <c r="OJH69" s="594"/>
      <c r="OJI69" s="594"/>
      <c r="OJJ69" s="594"/>
      <c r="OJK69" s="594"/>
      <c r="OJL69" s="594"/>
      <c r="OJM69" s="594"/>
      <c r="OJN69" s="594"/>
      <c r="OJO69" s="594"/>
      <c r="OJP69" s="594"/>
      <c r="OJQ69" s="594"/>
      <c r="OJR69" s="594"/>
      <c r="OJS69" s="594"/>
      <c r="OJT69" s="594"/>
      <c r="OJU69" s="594"/>
      <c r="OJV69" s="594"/>
      <c r="OJW69" s="594"/>
      <c r="OJX69" s="594"/>
      <c r="OJY69" s="594"/>
      <c r="OJZ69" s="594"/>
      <c r="OKA69" s="594"/>
      <c r="OKB69" s="594"/>
      <c r="OKC69" s="594"/>
      <c r="OKD69" s="594"/>
      <c r="OKE69" s="594"/>
      <c r="OKF69" s="594"/>
      <c r="OKG69" s="594"/>
      <c r="OKH69" s="594"/>
      <c r="OKI69" s="594"/>
      <c r="OKJ69" s="594"/>
      <c r="OKK69" s="594"/>
      <c r="OKL69" s="594"/>
      <c r="OKM69" s="594"/>
      <c r="OKN69" s="594"/>
      <c r="OKO69" s="594"/>
      <c r="OKP69" s="594"/>
      <c r="OKQ69" s="594"/>
      <c r="OKR69" s="594"/>
      <c r="OKS69" s="594"/>
      <c r="OKT69" s="594"/>
      <c r="OKU69" s="594"/>
      <c r="OKV69" s="594"/>
      <c r="OKW69" s="594"/>
      <c r="OKX69" s="594"/>
      <c r="OKY69" s="594"/>
      <c r="OKZ69" s="594"/>
      <c r="OLA69" s="594"/>
      <c r="OLB69" s="594"/>
      <c r="OLC69" s="594"/>
      <c r="OLD69" s="594"/>
      <c r="OLE69" s="594"/>
      <c r="OLF69" s="594"/>
      <c r="OLG69" s="594"/>
      <c r="OLH69" s="594"/>
      <c r="OLI69" s="594"/>
      <c r="OLJ69" s="594"/>
      <c r="OLK69" s="594"/>
      <c r="OLL69" s="594"/>
      <c r="OLM69" s="594"/>
      <c r="OLN69" s="594"/>
      <c r="OLO69" s="594"/>
      <c r="OLP69" s="594"/>
      <c r="OLQ69" s="594"/>
      <c r="OLR69" s="594"/>
      <c r="OLS69" s="594"/>
      <c r="OLT69" s="594"/>
      <c r="OLU69" s="594"/>
      <c r="OLV69" s="594"/>
      <c r="OLW69" s="594"/>
      <c r="OLX69" s="594"/>
      <c r="OLY69" s="594"/>
      <c r="OLZ69" s="594"/>
      <c r="OMA69" s="594"/>
      <c r="OMB69" s="594"/>
      <c r="OMC69" s="594"/>
      <c r="OMD69" s="594"/>
      <c r="OME69" s="594"/>
      <c r="OMF69" s="594"/>
      <c r="OMG69" s="594"/>
      <c r="OMH69" s="594"/>
      <c r="OMI69" s="594"/>
      <c r="OMJ69" s="594"/>
      <c r="OMK69" s="594"/>
      <c r="OML69" s="594"/>
      <c r="OMM69" s="594"/>
      <c r="OMN69" s="594"/>
      <c r="OMO69" s="594"/>
      <c r="OMP69" s="594"/>
      <c r="OMQ69" s="594"/>
      <c r="OMR69" s="594"/>
      <c r="OMS69" s="594"/>
      <c r="OMT69" s="594"/>
      <c r="OMU69" s="594"/>
      <c r="OMV69" s="594"/>
      <c r="OMW69" s="594"/>
      <c r="OMX69" s="594"/>
      <c r="OMY69" s="594"/>
      <c r="OMZ69" s="594"/>
      <c r="ONA69" s="594"/>
      <c r="ONB69" s="594"/>
      <c r="ONC69" s="594"/>
      <c r="OND69" s="594"/>
      <c r="ONE69" s="594"/>
      <c r="ONF69" s="594"/>
      <c r="ONG69" s="594"/>
      <c r="ONH69" s="594"/>
      <c r="ONI69" s="594"/>
      <c r="ONJ69" s="594"/>
      <c r="ONK69" s="594"/>
      <c r="ONL69" s="594"/>
      <c r="ONM69" s="594"/>
      <c r="ONN69" s="594"/>
      <c r="ONO69" s="594"/>
      <c r="ONP69" s="594"/>
      <c r="ONQ69" s="594"/>
      <c r="ONR69" s="594"/>
      <c r="ONS69" s="594"/>
      <c r="ONT69" s="594"/>
      <c r="ONU69" s="594"/>
      <c r="ONV69" s="594"/>
      <c r="ONW69" s="594"/>
      <c r="ONX69" s="594"/>
      <c r="ONY69" s="594"/>
      <c r="ONZ69" s="594"/>
      <c r="OOA69" s="594"/>
      <c r="OOB69" s="594"/>
      <c r="OOC69" s="594"/>
      <c r="OOD69" s="594"/>
      <c r="OOE69" s="594"/>
      <c r="OOF69" s="594"/>
      <c r="OOG69" s="594"/>
      <c r="OOH69" s="594"/>
      <c r="OOI69" s="594"/>
      <c r="OOJ69" s="594"/>
      <c r="OOK69" s="594"/>
      <c r="OOL69" s="594"/>
      <c r="OOM69" s="594"/>
      <c r="OON69" s="594"/>
      <c r="OOO69" s="594"/>
      <c r="OOP69" s="594"/>
      <c r="OOQ69" s="594"/>
      <c r="OOR69" s="594"/>
      <c r="OOS69" s="594"/>
      <c r="OOT69" s="594"/>
      <c r="OOU69" s="594"/>
      <c r="OOV69" s="594"/>
      <c r="OOW69" s="594"/>
      <c r="OOX69" s="594"/>
      <c r="OOY69" s="594"/>
      <c r="OOZ69" s="594"/>
      <c r="OPA69" s="594"/>
      <c r="OPB69" s="594"/>
      <c r="OPC69" s="594"/>
      <c r="OPD69" s="594"/>
      <c r="OPE69" s="594"/>
      <c r="OPF69" s="594"/>
      <c r="OPG69" s="594"/>
      <c r="OPH69" s="594"/>
      <c r="OPI69" s="594"/>
      <c r="OPJ69" s="594"/>
      <c r="OPK69" s="594"/>
      <c r="OPL69" s="594"/>
      <c r="OPM69" s="594"/>
      <c r="OPN69" s="594"/>
      <c r="OPO69" s="594"/>
      <c r="OPP69" s="594"/>
      <c r="OPQ69" s="594"/>
      <c r="OPR69" s="594"/>
      <c r="OPS69" s="594"/>
      <c r="OPT69" s="594"/>
      <c r="OPU69" s="594"/>
      <c r="OPV69" s="594"/>
      <c r="OPW69" s="594"/>
      <c r="OPX69" s="594"/>
      <c r="OPY69" s="594"/>
      <c r="OPZ69" s="594"/>
      <c r="OQA69" s="594"/>
      <c r="OQB69" s="594"/>
      <c r="OQC69" s="594"/>
      <c r="OQD69" s="594"/>
      <c r="OQE69" s="594"/>
      <c r="OQF69" s="594"/>
      <c r="OQG69" s="594"/>
      <c r="OQH69" s="594"/>
      <c r="OQI69" s="594"/>
      <c r="OQJ69" s="594"/>
      <c r="OQK69" s="594"/>
      <c r="OQL69" s="594"/>
      <c r="OQM69" s="594"/>
      <c r="OQN69" s="594"/>
      <c r="OQO69" s="594"/>
      <c r="OQP69" s="594"/>
      <c r="OQQ69" s="594"/>
      <c r="OQR69" s="594"/>
      <c r="OQS69" s="594"/>
      <c r="OQT69" s="594"/>
      <c r="OQU69" s="594"/>
      <c r="OQV69" s="594"/>
      <c r="OQW69" s="594"/>
      <c r="OQX69" s="594"/>
      <c r="OQY69" s="594"/>
      <c r="OQZ69" s="594"/>
      <c r="ORA69" s="594"/>
      <c r="ORB69" s="594"/>
      <c r="ORC69" s="594"/>
      <c r="ORD69" s="594"/>
      <c r="ORE69" s="594"/>
      <c r="ORF69" s="594"/>
      <c r="ORG69" s="594"/>
      <c r="ORH69" s="594"/>
      <c r="ORI69" s="594"/>
      <c r="ORJ69" s="594"/>
      <c r="ORK69" s="594"/>
      <c r="ORL69" s="594"/>
      <c r="ORM69" s="594"/>
      <c r="ORN69" s="594"/>
      <c r="ORO69" s="594"/>
      <c r="ORP69" s="594"/>
      <c r="ORQ69" s="594"/>
      <c r="ORR69" s="594"/>
      <c r="ORS69" s="594"/>
      <c r="ORT69" s="594"/>
      <c r="ORU69" s="594"/>
      <c r="ORV69" s="594"/>
      <c r="ORW69" s="594"/>
      <c r="ORX69" s="594"/>
      <c r="ORY69" s="594"/>
      <c r="ORZ69" s="594"/>
      <c r="OSA69" s="594"/>
      <c r="OSB69" s="594"/>
      <c r="OSC69" s="594"/>
      <c r="OSD69" s="594"/>
      <c r="OSE69" s="594"/>
      <c r="OSF69" s="594"/>
      <c r="OSG69" s="594"/>
      <c r="OSH69" s="594"/>
      <c r="OSI69" s="594"/>
      <c r="OSJ69" s="594"/>
      <c r="OSK69" s="594"/>
      <c r="OSL69" s="594"/>
      <c r="OSM69" s="594"/>
      <c r="OSN69" s="594"/>
      <c r="OSO69" s="594"/>
      <c r="OSP69" s="594"/>
      <c r="OSQ69" s="594"/>
      <c r="OSR69" s="594"/>
      <c r="OSS69" s="594"/>
      <c r="OST69" s="594"/>
      <c r="OSU69" s="594"/>
      <c r="OSV69" s="594"/>
      <c r="OSW69" s="594"/>
      <c r="OSX69" s="594"/>
      <c r="OSY69" s="594"/>
      <c r="OSZ69" s="594"/>
      <c r="OTA69" s="594"/>
      <c r="OTB69" s="594"/>
      <c r="OTC69" s="594"/>
      <c r="OTD69" s="594"/>
      <c r="OTE69" s="594"/>
      <c r="OTF69" s="594"/>
      <c r="OTG69" s="594"/>
      <c r="OTH69" s="594"/>
      <c r="OTI69" s="594"/>
      <c r="OTJ69" s="594"/>
      <c r="OTK69" s="594"/>
      <c r="OTL69" s="594"/>
      <c r="OTM69" s="594"/>
      <c r="OTN69" s="594"/>
      <c r="OTO69" s="594"/>
      <c r="OTP69" s="594"/>
      <c r="OTQ69" s="594"/>
      <c r="OTR69" s="594"/>
      <c r="OTS69" s="594"/>
      <c r="OTT69" s="594"/>
      <c r="OTU69" s="594"/>
      <c r="OTV69" s="594"/>
      <c r="OTW69" s="594"/>
      <c r="OTX69" s="594"/>
      <c r="OTY69" s="594"/>
      <c r="OTZ69" s="594"/>
      <c r="OUA69" s="594"/>
      <c r="OUB69" s="594"/>
      <c r="OUC69" s="594"/>
      <c r="OUD69" s="594"/>
      <c r="OUE69" s="594"/>
      <c r="OUF69" s="594"/>
      <c r="OUG69" s="594"/>
      <c r="OUH69" s="594"/>
      <c r="OUI69" s="594"/>
      <c r="OUJ69" s="594"/>
      <c r="OUK69" s="594"/>
      <c r="OUL69" s="594"/>
      <c r="OUM69" s="594"/>
      <c r="OUN69" s="594"/>
      <c r="OUO69" s="594"/>
      <c r="OUP69" s="594"/>
      <c r="OUQ69" s="594"/>
      <c r="OUR69" s="594"/>
      <c r="OUS69" s="594"/>
      <c r="OUT69" s="594"/>
      <c r="OUU69" s="594"/>
      <c r="OUV69" s="594"/>
      <c r="OUW69" s="594"/>
      <c r="OUX69" s="594"/>
      <c r="OUY69" s="594"/>
      <c r="OUZ69" s="594"/>
      <c r="OVA69" s="594"/>
      <c r="OVB69" s="594"/>
      <c r="OVC69" s="594"/>
      <c r="OVD69" s="594"/>
      <c r="OVE69" s="594"/>
      <c r="OVF69" s="594"/>
      <c r="OVG69" s="594"/>
      <c r="OVH69" s="594"/>
      <c r="OVI69" s="594"/>
      <c r="OVJ69" s="594"/>
      <c r="OVK69" s="594"/>
      <c r="OVL69" s="594"/>
      <c r="OVM69" s="594"/>
      <c r="OVN69" s="594"/>
      <c r="OVO69" s="594"/>
      <c r="OVP69" s="594"/>
      <c r="OVQ69" s="594"/>
      <c r="OVR69" s="594"/>
      <c r="OVS69" s="594"/>
      <c r="OVT69" s="594"/>
      <c r="OVU69" s="594"/>
      <c r="OVV69" s="594"/>
      <c r="OVW69" s="594"/>
      <c r="OVX69" s="594"/>
      <c r="OVY69" s="594"/>
      <c r="OVZ69" s="594"/>
      <c r="OWA69" s="594"/>
      <c r="OWB69" s="594"/>
      <c r="OWC69" s="594"/>
      <c r="OWD69" s="594"/>
      <c r="OWE69" s="594"/>
      <c r="OWF69" s="594"/>
      <c r="OWG69" s="594"/>
      <c r="OWH69" s="594"/>
      <c r="OWI69" s="594"/>
      <c r="OWJ69" s="594"/>
      <c r="OWK69" s="594"/>
      <c r="OWL69" s="594"/>
      <c r="OWM69" s="594"/>
      <c r="OWN69" s="594"/>
      <c r="OWO69" s="594"/>
      <c r="OWP69" s="594"/>
      <c r="OWQ69" s="594"/>
      <c r="OWR69" s="594"/>
      <c r="OWS69" s="594"/>
      <c r="OWT69" s="594"/>
      <c r="OWU69" s="594"/>
      <c r="OWV69" s="594"/>
      <c r="OWW69" s="594"/>
      <c r="OWX69" s="594"/>
      <c r="OWY69" s="594"/>
      <c r="OWZ69" s="594"/>
      <c r="OXA69" s="594"/>
      <c r="OXB69" s="594"/>
      <c r="OXC69" s="594"/>
      <c r="OXD69" s="594"/>
      <c r="OXE69" s="594"/>
      <c r="OXF69" s="594"/>
      <c r="OXG69" s="594"/>
      <c r="OXH69" s="594"/>
      <c r="OXI69" s="594"/>
      <c r="OXJ69" s="594"/>
      <c r="OXK69" s="594"/>
      <c r="OXL69" s="594"/>
      <c r="OXM69" s="594"/>
      <c r="OXN69" s="594"/>
      <c r="OXO69" s="594"/>
      <c r="OXP69" s="594"/>
      <c r="OXQ69" s="594"/>
      <c r="OXR69" s="594"/>
      <c r="OXS69" s="594"/>
      <c r="OXT69" s="594"/>
      <c r="OXU69" s="594"/>
      <c r="OXV69" s="594"/>
      <c r="OXW69" s="594"/>
      <c r="OXX69" s="594"/>
      <c r="OXY69" s="594"/>
      <c r="OXZ69" s="594"/>
      <c r="OYA69" s="594"/>
      <c r="OYB69" s="594"/>
      <c r="OYC69" s="594"/>
      <c r="OYD69" s="594"/>
      <c r="OYE69" s="594"/>
      <c r="OYF69" s="594"/>
      <c r="OYG69" s="594"/>
      <c r="OYH69" s="594"/>
      <c r="OYI69" s="594"/>
      <c r="OYJ69" s="594"/>
      <c r="OYK69" s="594"/>
      <c r="OYL69" s="594"/>
      <c r="OYM69" s="594"/>
      <c r="OYN69" s="594"/>
      <c r="OYO69" s="594"/>
      <c r="OYP69" s="594"/>
      <c r="OYQ69" s="594"/>
      <c r="OYR69" s="594"/>
      <c r="OYS69" s="594"/>
      <c r="OYT69" s="594"/>
      <c r="OYU69" s="594"/>
      <c r="OYV69" s="594"/>
      <c r="OYW69" s="594"/>
      <c r="OYX69" s="594"/>
      <c r="OYY69" s="594"/>
      <c r="OYZ69" s="594"/>
      <c r="OZA69" s="594"/>
      <c r="OZB69" s="594"/>
      <c r="OZC69" s="594"/>
      <c r="OZD69" s="594"/>
      <c r="OZE69" s="594"/>
      <c r="OZF69" s="594"/>
      <c r="OZG69" s="594"/>
      <c r="OZH69" s="594"/>
      <c r="OZI69" s="594"/>
      <c r="OZJ69" s="594"/>
      <c r="OZK69" s="594"/>
      <c r="OZL69" s="594"/>
      <c r="OZM69" s="594"/>
      <c r="OZN69" s="594"/>
      <c r="OZO69" s="594"/>
      <c r="OZP69" s="594"/>
      <c r="OZQ69" s="594"/>
      <c r="OZR69" s="594"/>
      <c r="OZS69" s="594"/>
      <c r="OZT69" s="594"/>
      <c r="OZU69" s="594"/>
      <c r="OZV69" s="594"/>
      <c r="OZW69" s="594"/>
      <c r="OZX69" s="594"/>
      <c r="OZY69" s="594"/>
      <c r="OZZ69" s="594"/>
      <c r="PAA69" s="594"/>
      <c r="PAB69" s="594"/>
      <c r="PAC69" s="594"/>
      <c r="PAD69" s="594"/>
      <c r="PAE69" s="594"/>
      <c r="PAF69" s="594"/>
      <c r="PAG69" s="594"/>
      <c r="PAH69" s="594"/>
      <c r="PAI69" s="594"/>
      <c r="PAJ69" s="594"/>
      <c r="PAK69" s="594"/>
      <c r="PAL69" s="594"/>
      <c r="PAM69" s="594"/>
      <c r="PAN69" s="594"/>
      <c r="PAO69" s="594"/>
      <c r="PAP69" s="594"/>
      <c r="PAQ69" s="594"/>
      <c r="PAR69" s="594"/>
      <c r="PAS69" s="594"/>
      <c r="PAT69" s="594"/>
      <c r="PAU69" s="594"/>
      <c r="PAV69" s="594"/>
      <c r="PAW69" s="594"/>
      <c r="PAX69" s="594"/>
      <c r="PAY69" s="594"/>
      <c r="PAZ69" s="594"/>
      <c r="PBA69" s="594"/>
      <c r="PBB69" s="594"/>
      <c r="PBC69" s="594"/>
      <c r="PBD69" s="594"/>
      <c r="PBE69" s="594"/>
      <c r="PBF69" s="594"/>
      <c r="PBG69" s="594"/>
      <c r="PBH69" s="594"/>
      <c r="PBI69" s="594"/>
      <c r="PBJ69" s="594"/>
      <c r="PBK69" s="594"/>
      <c r="PBL69" s="594"/>
      <c r="PBM69" s="594"/>
      <c r="PBN69" s="594"/>
      <c r="PBO69" s="594"/>
      <c r="PBP69" s="594"/>
      <c r="PBQ69" s="594"/>
      <c r="PBR69" s="594"/>
      <c r="PBS69" s="594"/>
      <c r="PBT69" s="594"/>
      <c r="PBU69" s="594"/>
      <c r="PBV69" s="594"/>
      <c r="PBW69" s="594"/>
      <c r="PBX69" s="594"/>
      <c r="PBY69" s="594"/>
      <c r="PBZ69" s="594"/>
      <c r="PCA69" s="594"/>
      <c r="PCB69" s="594"/>
      <c r="PCC69" s="594"/>
      <c r="PCD69" s="594"/>
      <c r="PCE69" s="594"/>
      <c r="PCF69" s="594"/>
      <c r="PCG69" s="594"/>
      <c r="PCH69" s="594"/>
      <c r="PCI69" s="594"/>
      <c r="PCJ69" s="594"/>
      <c r="PCK69" s="594"/>
      <c r="PCL69" s="594"/>
      <c r="PCM69" s="594"/>
      <c r="PCN69" s="594"/>
      <c r="PCO69" s="594"/>
      <c r="PCP69" s="594"/>
      <c r="PCQ69" s="594"/>
      <c r="PCR69" s="594"/>
      <c r="PCS69" s="594"/>
      <c r="PCT69" s="594"/>
      <c r="PCU69" s="594"/>
      <c r="PCV69" s="594"/>
      <c r="PCW69" s="594"/>
      <c r="PCX69" s="594"/>
      <c r="PCY69" s="594"/>
      <c r="PCZ69" s="594"/>
      <c r="PDA69" s="594"/>
      <c r="PDB69" s="594"/>
      <c r="PDC69" s="594"/>
      <c r="PDD69" s="594"/>
      <c r="PDE69" s="594"/>
      <c r="PDF69" s="594"/>
      <c r="PDG69" s="594"/>
      <c r="PDH69" s="594"/>
      <c r="PDI69" s="594"/>
      <c r="PDJ69" s="594"/>
      <c r="PDK69" s="594"/>
      <c r="PDL69" s="594"/>
      <c r="PDM69" s="594"/>
      <c r="PDN69" s="594"/>
      <c r="PDO69" s="594"/>
      <c r="PDP69" s="594"/>
      <c r="PDQ69" s="594"/>
      <c r="PDR69" s="594"/>
      <c r="PDS69" s="594"/>
      <c r="PDT69" s="594"/>
      <c r="PDU69" s="594"/>
      <c r="PDV69" s="594"/>
      <c r="PDW69" s="594"/>
      <c r="PDX69" s="594"/>
      <c r="PDY69" s="594"/>
      <c r="PDZ69" s="594"/>
      <c r="PEA69" s="594"/>
      <c r="PEB69" s="594"/>
      <c r="PEC69" s="594"/>
      <c r="PED69" s="594"/>
      <c r="PEE69" s="594"/>
      <c r="PEF69" s="594"/>
      <c r="PEG69" s="594"/>
      <c r="PEH69" s="594"/>
      <c r="PEI69" s="594"/>
      <c r="PEJ69" s="594"/>
      <c r="PEK69" s="594"/>
      <c r="PEL69" s="594"/>
      <c r="PEM69" s="594"/>
      <c r="PEN69" s="594"/>
      <c r="PEO69" s="594"/>
      <c r="PEP69" s="594"/>
      <c r="PEQ69" s="594"/>
      <c r="PER69" s="594"/>
      <c r="PES69" s="594"/>
      <c r="PET69" s="594"/>
      <c r="PEU69" s="594"/>
      <c r="PEV69" s="594"/>
      <c r="PEW69" s="594"/>
      <c r="PEX69" s="594"/>
      <c r="PEY69" s="594"/>
      <c r="PEZ69" s="594"/>
      <c r="PFA69" s="594"/>
      <c r="PFB69" s="594"/>
      <c r="PFC69" s="594"/>
      <c r="PFD69" s="594"/>
      <c r="PFE69" s="594"/>
      <c r="PFF69" s="594"/>
      <c r="PFG69" s="594"/>
      <c r="PFH69" s="594"/>
      <c r="PFI69" s="594"/>
      <c r="PFJ69" s="594"/>
      <c r="PFK69" s="594"/>
      <c r="PFL69" s="594"/>
      <c r="PFM69" s="594"/>
      <c r="PFN69" s="594"/>
      <c r="PFO69" s="594"/>
      <c r="PFP69" s="594"/>
      <c r="PFQ69" s="594"/>
      <c r="PFR69" s="594"/>
      <c r="PFS69" s="594"/>
      <c r="PFT69" s="594"/>
      <c r="PFU69" s="594"/>
      <c r="PFV69" s="594"/>
      <c r="PFW69" s="594"/>
      <c r="PFX69" s="594"/>
      <c r="PFY69" s="594"/>
      <c r="PFZ69" s="594"/>
      <c r="PGA69" s="594"/>
      <c r="PGB69" s="594"/>
      <c r="PGC69" s="594"/>
      <c r="PGD69" s="594"/>
      <c r="PGE69" s="594"/>
      <c r="PGF69" s="594"/>
      <c r="PGG69" s="594"/>
      <c r="PGH69" s="594"/>
      <c r="PGI69" s="594"/>
      <c r="PGJ69" s="594"/>
      <c r="PGK69" s="594"/>
      <c r="PGL69" s="594"/>
      <c r="PGM69" s="594"/>
      <c r="PGN69" s="594"/>
      <c r="PGO69" s="594"/>
      <c r="PGP69" s="594"/>
      <c r="PGQ69" s="594"/>
      <c r="PGR69" s="594"/>
      <c r="PGS69" s="594"/>
      <c r="PGT69" s="594"/>
      <c r="PGU69" s="594"/>
      <c r="PGV69" s="594"/>
      <c r="PGW69" s="594"/>
      <c r="PGX69" s="594"/>
      <c r="PGY69" s="594"/>
      <c r="PGZ69" s="594"/>
      <c r="PHA69" s="594"/>
      <c r="PHB69" s="594"/>
      <c r="PHC69" s="594"/>
      <c r="PHD69" s="594"/>
      <c r="PHE69" s="594"/>
      <c r="PHF69" s="594"/>
      <c r="PHG69" s="594"/>
      <c r="PHH69" s="594"/>
      <c r="PHI69" s="594"/>
      <c r="PHJ69" s="594"/>
      <c r="PHK69" s="594"/>
      <c r="PHL69" s="594"/>
      <c r="PHM69" s="594"/>
      <c r="PHN69" s="594"/>
      <c r="PHO69" s="594"/>
      <c r="PHP69" s="594"/>
      <c r="PHQ69" s="594"/>
      <c r="PHR69" s="594"/>
      <c r="PHS69" s="594"/>
      <c r="PHT69" s="594"/>
      <c r="PHU69" s="594"/>
      <c r="PHV69" s="594"/>
      <c r="PHW69" s="594"/>
      <c r="PHX69" s="594"/>
      <c r="PHY69" s="594"/>
      <c r="PHZ69" s="594"/>
      <c r="PIA69" s="594"/>
      <c r="PIB69" s="594"/>
      <c r="PIC69" s="594"/>
      <c r="PID69" s="594"/>
      <c r="PIE69" s="594"/>
      <c r="PIF69" s="594"/>
      <c r="PIG69" s="594"/>
      <c r="PIH69" s="594"/>
      <c r="PII69" s="594"/>
      <c r="PIJ69" s="594"/>
      <c r="PIK69" s="594"/>
      <c r="PIL69" s="594"/>
      <c r="PIM69" s="594"/>
      <c r="PIN69" s="594"/>
      <c r="PIO69" s="594"/>
      <c r="PIP69" s="594"/>
      <c r="PIQ69" s="594"/>
      <c r="PIR69" s="594"/>
      <c r="PIS69" s="594"/>
      <c r="PIT69" s="594"/>
      <c r="PIU69" s="594"/>
      <c r="PIV69" s="594"/>
      <c r="PIW69" s="594"/>
      <c r="PIX69" s="594"/>
      <c r="PIY69" s="594"/>
      <c r="PIZ69" s="594"/>
      <c r="PJA69" s="594"/>
      <c r="PJB69" s="594"/>
      <c r="PJC69" s="594"/>
      <c r="PJD69" s="594"/>
      <c r="PJE69" s="594"/>
      <c r="PJF69" s="594"/>
      <c r="PJG69" s="594"/>
      <c r="PJH69" s="594"/>
      <c r="PJI69" s="594"/>
      <c r="PJJ69" s="594"/>
      <c r="PJK69" s="594"/>
      <c r="PJL69" s="594"/>
      <c r="PJM69" s="594"/>
      <c r="PJN69" s="594"/>
      <c r="PJO69" s="594"/>
      <c r="PJP69" s="594"/>
      <c r="PJQ69" s="594"/>
      <c r="PJR69" s="594"/>
      <c r="PJS69" s="594"/>
      <c r="PJT69" s="594"/>
      <c r="PJU69" s="594"/>
      <c r="PJV69" s="594"/>
      <c r="PJW69" s="594"/>
      <c r="PJX69" s="594"/>
      <c r="PJY69" s="594"/>
      <c r="PJZ69" s="594"/>
      <c r="PKA69" s="594"/>
      <c r="PKB69" s="594"/>
      <c r="PKC69" s="594"/>
      <c r="PKD69" s="594"/>
      <c r="PKE69" s="594"/>
      <c r="PKF69" s="594"/>
      <c r="PKG69" s="594"/>
      <c r="PKH69" s="594"/>
      <c r="PKI69" s="594"/>
      <c r="PKJ69" s="594"/>
      <c r="PKK69" s="594"/>
      <c r="PKL69" s="594"/>
      <c r="PKM69" s="594"/>
      <c r="PKN69" s="594"/>
      <c r="PKO69" s="594"/>
      <c r="PKP69" s="594"/>
      <c r="PKQ69" s="594"/>
      <c r="PKR69" s="594"/>
      <c r="PKS69" s="594"/>
      <c r="PKT69" s="594"/>
      <c r="PKU69" s="594"/>
      <c r="PKV69" s="594"/>
      <c r="PKW69" s="594"/>
      <c r="PKX69" s="594"/>
      <c r="PKY69" s="594"/>
      <c r="PKZ69" s="594"/>
      <c r="PLA69" s="594"/>
      <c r="PLB69" s="594"/>
      <c r="PLC69" s="594"/>
      <c r="PLD69" s="594"/>
      <c r="PLE69" s="594"/>
      <c r="PLF69" s="594"/>
      <c r="PLG69" s="594"/>
      <c r="PLH69" s="594"/>
      <c r="PLI69" s="594"/>
      <c r="PLJ69" s="594"/>
      <c r="PLK69" s="594"/>
      <c r="PLL69" s="594"/>
      <c r="PLM69" s="594"/>
      <c r="PLN69" s="594"/>
      <c r="PLO69" s="594"/>
      <c r="PLP69" s="594"/>
      <c r="PLQ69" s="594"/>
      <c r="PLR69" s="594"/>
      <c r="PLS69" s="594"/>
      <c r="PLT69" s="594"/>
      <c r="PLU69" s="594"/>
      <c r="PLV69" s="594"/>
      <c r="PLW69" s="594"/>
      <c r="PLX69" s="594"/>
      <c r="PLY69" s="594"/>
      <c r="PLZ69" s="594"/>
      <c r="PMA69" s="594"/>
      <c r="PMB69" s="594"/>
      <c r="PMC69" s="594"/>
      <c r="PMD69" s="594"/>
      <c r="PME69" s="594"/>
      <c r="PMF69" s="594"/>
      <c r="PMG69" s="594"/>
      <c r="PMH69" s="594"/>
      <c r="PMI69" s="594"/>
      <c r="PMJ69" s="594"/>
      <c r="PMK69" s="594"/>
      <c r="PML69" s="594"/>
      <c r="PMM69" s="594"/>
      <c r="PMN69" s="594"/>
      <c r="PMO69" s="594"/>
      <c r="PMP69" s="594"/>
      <c r="PMQ69" s="594"/>
      <c r="PMR69" s="594"/>
      <c r="PMS69" s="594"/>
      <c r="PMT69" s="594"/>
      <c r="PMU69" s="594"/>
      <c r="PMV69" s="594"/>
      <c r="PMW69" s="594"/>
      <c r="PMX69" s="594"/>
      <c r="PMY69" s="594"/>
      <c r="PMZ69" s="594"/>
      <c r="PNA69" s="594"/>
      <c r="PNB69" s="594"/>
      <c r="PNC69" s="594"/>
      <c r="PND69" s="594"/>
      <c r="PNE69" s="594"/>
      <c r="PNF69" s="594"/>
      <c r="PNG69" s="594"/>
      <c r="PNH69" s="594"/>
      <c r="PNI69" s="594"/>
      <c r="PNJ69" s="594"/>
      <c r="PNK69" s="594"/>
      <c r="PNL69" s="594"/>
      <c r="PNM69" s="594"/>
      <c r="PNN69" s="594"/>
      <c r="PNO69" s="594"/>
      <c r="PNP69" s="594"/>
      <c r="PNQ69" s="594"/>
      <c r="PNR69" s="594"/>
      <c r="PNS69" s="594"/>
      <c r="PNT69" s="594"/>
      <c r="PNU69" s="594"/>
      <c r="PNV69" s="594"/>
      <c r="PNW69" s="594"/>
      <c r="PNX69" s="594"/>
      <c r="PNY69" s="594"/>
      <c r="PNZ69" s="594"/>
      <c r="POA69" s="594"/>
      <c r="POB69" s="594"/>
      <c r="POC69" s="594"/>
      <c r="POD69" s="594"/>
      <c r="POE69" s="594"/>
      <c r="POF69" s="594"/>
      <c r="POG69" s="594"/>
      <c r="POH69" s="594"/>
      <c r="POI69" s="594"/>
      <c r="POJ69" s="594"/>
      <c r="POK69" s="594"/>
      <c r="POL69" s="594"/>
      <c r="POM69" s="594"/>
      <c r="PON69" s="594"/>
      <c r="POO69" s="594"/>
      <c r="POP69" s="594"/>
      <c r="POQ69" s="594"/>
      <c r="POR69" s="594"/>
      <c r="POS69" s="594"/>
      <c r="POT69" s="594"/>
      <c r="POU69" s="594"/>
      <c r="POV69" s="594"/>
      <c r="POW69" s="594"/>
      <c r="POX69" s="594"/>
      <c r="POY69" s="594"/>
      <c r="POZ69" s="594"/>
      <c r="PPA69" s="594"/>
      <c r="PPB69" s="594"/>
      <c r="PPC69" s="594"/>
      <c r="PPD69" s="594"/>
      <c r="PPE69" s="594"/>
      <c r="PPF69" s="594"/>
      <c r="PPG69" s="594"/>
      <c r="PPH69" s="594"/>
      <c r="PPI69" s="594"/>
      <c r="PPJ69" s="594"/>
      <c r="PPK69" s="594"/>
      <c r="PPL69" s="594"/>
      <c r="PPM69" s="594"/>
      <c r="PPN69" s="594"/>
      <c r="PPO69" s="594"/>
      <c r="PPP69" s="594"/>
      <c r="PPQ69" s="594"/>
      <c r="PPR69" s="594"/>
      <c r="PPS69" s="594"/>
      <c r="PPT69" s="594"/>
      <c r="PPU69" s="594"/>
      <c r="PPV69" s="594"/>
      <c r="PPW69" s="594"/>
      <c r="PPX69" s="594"/>
      <c r="PPY69" s="594"/>
      <c r="PPZ69" s="594"/>
      <c r="PQA69" s="594"/>
      <c r="PQB69" s="594"/>
      <c r="PQC69" s="594"/>
      <c r="PQD69" s="594"/>
      <c r="PQE69" s="594"/>
      <c r="PQF69" s="594"/>
      <c r="PQG69" s="594"/>
      <c r="PQH69" s="594"/>
      <c r="PQI69" s="594"/>
      <c r="PQJ69" s="594"/>
      <c r="PQK69" s="594"/>
      <c r="PQL69" s="594"/>
      <c r="PQM69" s="594"/>
      <c r="PQN69" s="594"/>
      <c r="PQO69" s="594"/>
      <c r="PQP69" s="594"/>
      <c r="PQQ69" s="594"/>
      <c r="PQR69" s="594"/>
      <c r="PQS69" s="594"/>
      <c r="PQT69" s="594"/>
      <c r="PQU69" s="594"/>
      <c r="PQV69" s="594"/>
      <c r="PQW69" s="594"/>
      <c r="PQX69" s="594"/>
      <c r="PQY69" s="594"/>
      <c r="PQZ69" s="594"/>
      <c r="PRA69" s="594"/>
      <c r="PRB69" s="594"/>
      <c r="PRC69" s="594"/>
      <c r="PRD69" s="594"/>
      <c r="PRE69" s="594"/>
      <c r="PRF69" s="594"/>
      <c r="PRG69" s="594"/>
      <c r="PRH69" s="594"/>
      <c r="PRI69" s="594"/>
      <c r="PRJ69" s="594"/>
      <c r="PRK69" s="594"/>
      <c r="PRL69" s="594"/>
      <c r="PRM69" s="594"/>
      <c r="PRN69" s="594"/>
      <c r="PRO69" s="594"/>
      <c r="PRP69" s="594"/>
      <c r="PRQ69" s="594"/>
      <c r="PRR69" s="594"/>
      <c r="PRS69" s="594"/>
      <c r="PRT69" s="594"/>
      <c r="PRU69" s="594"/>
      <c r="PRV69" s="594"/>
      <c r="PRW69" s="594"/>
      <c r="PRX69" s="594"/>
      <c r="PRY69" s="594"/>
      <c r="PRZ69" s="594"/>
      <c r="PSA69" s="594"/>
      <c r="PSB69" s="594"/>
      <c r="PSC69" s="594"/>
      <c r="PSD69" s="594"/>
      <c r="PSE69" s="594"/>
      <c r="PSF69" s="594"/>
      <c r="PSG69" s="594"/>
      <c r="PSH69" s="594"/>
      <c r="PSI69" s="594"/>
      <c r="PSJ69" s="594"/>
      <c r="PSK69" s="594"/>
      <c r="PSL69" s="594"/>
      <c r="PSM69" s="594"/>
      <c r="PSN69" s="594"/>
      <c r="PSO69" s="594"/>
      <c r="PSP69" s="594"/>
      <c r="PSQ69" s="594"/>
      <c r="PSR69" s="594"/>
      <c r="PSS69" s="594"/>
      <c r="PST69" s="594"/>
      <c r="PSU69" s="594"/>
      <c r="PSV69" s="594"/>
      <c r="PSW69" s="594"/>
      <c r="PSX69" s="594"/>
      <c r="PSY69" s="594"/>
      <c r="PSZ69" s="594"/>
      <c r="PTA69" s="594"/>
      <c r="PTB69" s="594"/>
      <c r="PTC69" s="594"/>
      <c r="PTD69" s="594"/>
      <c r="PTE69" s="594"/>
      <c r="PTF69" s="594"/>
      <c r="PTG69" s="594"/>
      <c r="PTH69" s="594"/>
      <c r="PTI69" s="594"/>
      <c r="PTJ69" s="594"/>
      <c r="PTK69" s="594"/>
      <c r="PTL69" s="594"/>
      <c r="PTM69" s="594"/>
      <c r="PTN69" s="594"/>
      <c r="PTO69" s="594"/>
      <c r="PTP69" s="594"/>
      <c r="PTQ69" s="594"/>
      <c r="PTR69" s="594"/>
      <c r="PTS69" s="594"/>
      <c r="PTT69" s="594"/>
      <c r="PTU69" s="594"/>
      <c r="PTV69" s="594"/>
      <c r="PTW69" s="594"/>
      <c r="PTX69" s="594"/>
      <c r="PTY69" s="594"/>
      <c r="PTZ69" s="594"/>
      <c r="PUA69" s="594"/>
      <c r="PUB69" s="594"/>
      <c r="PUC69" s="594"/>
      <c r="PUD69" s="594"/>
      <c r="PUE69" s="594"/>
      <c r="PUF69" s="594"/>
      <c r="PUG69" s="594"/>
      <c r="PUH69" s="594"/>
      <c r="PUI69" s="594"/>
      <c r="PUJ69" s="594"/>
      <c r="PUK69" s="594"/>
      <c r="PUL69" s="594"/>
      <c r="PUM69" s="594"/>
      <c r="PUN69" s="594"/>
      <c r="PUO69" s="594"/>
      <c r="PUP69" s="594"/>
      <c r="PUQ69" s="594"/>
      <c r="PUR69" s="594"/>
      <c r="PUS69" s="594"/>
      <c r="PUT69" s="594"/>
      <c r="PUU69" s="594"/>
      <c r="PUV69" s="594"/>
      <c r="PUW69" s="594"/>
      <c r="PUX69" s="594"/>
      <c r="PUY69" s="594"/>
      <c r="PUZ69" s="594"/>
      <c r="PVA69" s="594"/>
      <c r="PVB69" s="594"/>
      <c r="PVC69" s="594"/>
      <c r="PVD69" s="594"/>
      <c r="PVE69" s="594"/>
      <c r="PVF69" s="594"/>
      <c r="PVG69" s="594"/>
      <c r="PVH69" s="594"/>
      <c r="PVI69" s="594"/>
      <c r="PVJ69" s="594"/>
      <c r="PVK69" s="594"/>
      <c r="PVL69" s="594"/>
      <c r="PVM69" s="594"/>
      <c r="PVN69" s="594"/>
      <c r="PVO69" s="594"/>
      <c r="PVP69" s="594"/>
      <c r="PVQ69" s="594"/>
      <c r="PVR69" s="594"/>
      <c r="PVS69" s="594"/>
      <c r="PVT69" s="594"/>
      <c r="PVU69" s="594"/>
      <c r="PVV69" s="594"/>
      <c r="PVW69" s="594"/>
      <c r="PVX69" s="594"/>
      <c r="PVY69" s="594"/>
      <c r="PVZ69" s="594"/>
      <c r="PWA69" s="594"/>
      <c r="PWB69" s="594"/>
      <c r="PWC69" s="594"/>
      <c r="PWD69" s="594"/>
      <c r="PWE69" s="594"/>
      <c r="PWF69" s="594"/>
      <c r="PWG69" s="594"/>
      <c r="PWH69" s="594"/>
      <c r="PWI69" s="594"/>
      <c r="PWJ69" s="594"/>
      <c r="PWK69" s="594"/>
      <c r="PWL69" s="594"/>
      <c r="PWM69" s="594"/>
      <c r="PWN69" s="594"/>
      <c r="PWO69" s="594"/>
      <c r="PWP69" s="594"/>
      <c r="PWQ69" s="594"/>
      <c r="PWR69" s="594"/>
      <c r="PWS69" s="594"/>
      <c r="PWT69" s="594"/>
      <c r="PWU69" s="594"/>
      <c r="PWV69" s="594"/>
      <c r="PWW69" s="594"/>
      <c r="PWX69" s="594"/>
      <c r="PWY69" s="594"/>
      <c r="PWZ69" s="594"/>
      <c r="PXA69" s="594"/>
      <c r="PXB69" s="594"/>
      <c r="PXC69" s="594"/>
      <c r="PXD69" s="594"/>
      <c r="PXE69" s="594"/>
      <c r="PXF69" s="594"/>
      <c r="PXG69" s="594"/>
      <c r="PXH69" s="594"/>
      <c r="PXI69" s="594"/>
      <c r="PXJ69" s="594"/>
      <c r="PXK69" s="594"/>
      <c r="PXL69" s="594"/>
      <c r="PXM69" s="594"/>
      <c r="PXN69" s="594"/>
      <c r="PXO69" s="594"/>
      <c r="PXP69" s="594"/>
      <c r="PXQ69" s="594"/>
      <c r="PXR69" s="594"/>
      <c r="PXS69" s="594"/>
      <c r="PXT69" s="594"/>
      <c r="PXU69" s="594"/>
      <c r="PXV69" s="594"/>
      <c r="PXW69" s="594"/>
      <c r="PXX69" s="594"/>
      <c r="PXY69" s="594"/>
      <c r="PXZ69" s="594"/>
      <c r="PYA69" s="594"/>
      <c r="PYB69" s="594"/>
      <c r="PYC69" s="594"/>
      <c r="PYD69" s="594"/>
      <c r="PYE69" s="594"/>
      <c r="PYF69" s="594"/>
      <c r="PYG69" s="594"/>
      <c r="PYH69" s="594"/>
      <c r="PYI69" s="594"/>
      <c r="PYJ69" s="594"/>
      <c r="PYK69" s="594"/>
      <c r="PYL69" s="594"/>
      <c r="PYM69" s="594"/>
      <c r="PYN69" s="594"/>
      <c r="PYO69" s="594"/>
      <c r="PYP69" s="594"/>
      <c r="PYQ69" s="594"/>
      <c r="PYR69" s="594"/>
      <c r="PYS69" s="594"/>
      <c r="PYT69" s="594"/>
      <c r="PYU69" s="594"/>
      <c r="PYV69" s="594"/>
      <c r="PYW69" s="594"/>
      <c r="PYX69" s="594"/>
      <c r="PYY69" s="594"/>
      <c r="PYZ69" s="594"/>
      <c r="PZA69" s="594"/>
      <c r="PZB69" s="594"/>
      <c r="PZC69" s="594"/>
      <c r="PZD69" s="594"/>
      <c r="PZE69" s="594"/>
      <c r="PZF69" s="594"/>
      <c r="PZG69" s="594"/>
      <c r="PZH69" s="594"/>
      <c r="PZI69" s="594"/>
      <c r="PZJ69" s="594"/>
      <c r="PZK69" s="594"/>
      <c r="PZL69" s="594"/>
      <c r="PZM69" s="594"/>
      <c r="PZN69" s="594"/>
      <c r="PZO69" s="594"/>
      <c r="PZP69" s="594"/>
      <c r="PZQ69" s="594"/>
      <c r="PZR69" s="594"/>
      <c r="PZS69" s="594"/>
      <c r="PZT69" s="594"/>
      <c r="PZU69" s="594"/>
      <c r="PZV69" s="594"/>
      <c r="PZW69" s="594"/>
      <c r="PZX69" s="594"/>
      <c r="PZY69" s="594"/>
      <c r="PZZ69" s="594"/>
      <c r="QAA69" s="594"/>
      <c r="QAB69" s="594"/>
      <c r="QAC69" s="594"/>
      <c r="QAD69" s="594"/>
      <c r="QAE69" s="594"/>
      <c r="QAF69" s="594"/>
      <c r="QAG69" s="594"/>
      <c r="QAH69" s="594"/>
      <c r="QAI69" s="594"/>
      <c r="QAJ69" s="594"/>
      <c r="QAK69" s="594"/>
      <c r="QAL69" s="594"/>
      <c r="QAM69" s="594"/>
      <c r="QAN69" s="594"/>
      <c r="QAO69" s="594"/>
      <c r="QAP69" s="594"/>
      <c r="QAQ69" s="594"/>
      <c r="QAR69" s="594"/>
      <c r="QAS69" s="594"/>
      <c r="QAT69" s="594"/>
      <c r="QAU69" s="594"/>
      <c r="QAV69" s="594"/>
      <c r="QAW69" s="594"/>
      <c r="QAX69" s="594"/>
      <c r="QAY69" s="594"/>
      <c r="QAZ69" s="594"/>
      <c r="QBA69" s="594"/>
      <c r="QBB69" s="594"/>
      <c r="QBC69" s="594"/>
      <c r="QBD69" s="594"/>
      <c r="QBE69" s="594"/>
      <c r="QBF69" s="594"/>
      <c r="QBG69" s="594"/>
      <c r="QBH69" s="594"/>
      <c r="QBI69" s="594"/>
      <c r="QBJ69" s="594"/>
      <c r="QBK69" s="594"/>
      <c r="QBL69" s="594"/>
      <c r="QBM69" s="594"/>
      <c r="QBN69" s="594"/>
      <c r="QBO69" s="594"/>
      <c r="QBP69" s="594"/>
      <c r="QBQ69" s="594"/>
      <c r="QBR69" s="594"/>
      <c r="QBS69" s="594"/>
      <c r="QBT69" s="594"/>
      <c r="QBU69" s="594"/>
      <c r="QBV69" s="594"/>
      <c r="QBW69" s="594"/>
      <c r="QBX69" s="594"/>
      <c r="QBY69" s="594"/>
      <c r="QBZ69" s="594"/>
      <c r="QCA69" s="594"/>
      <c r="QCB69" s="594"/>
      <c r="QCC69" s="594"/>
      <c r="QCD69" s="594"/>
      <c r="QCE69" s="594"/>
      <c r="QCF69" s="594"/>
      <c r="QCG69" s="594"/>
      <c r="QCH69" s="594"/>
      <c r="QCI69" s="594"/>
      <c r="QCJ69" s="594"/>
      <c r="QCK69" s="594"/>
      <c r="QCL69" s="594"/>
      <c r="QCM69" s="594"/>
      <c r="QCN69" s="594"/>
      <c r="QCO69" s="594"/>
      <c r="QCP69" s="594"/>
      <c r="QCQ69" s="594"/>
      <c r="QCR69" s="594"/>
      <c r="QCS69" s="594"/>
      <c r="QCT69" s="594"/>
      <c r="QCU69" s="594"/>
      <c r="QCV69" s="594"/>
      <c r="QCW69" s="594"/>
      <c r="QCX69" s="594"/>
      <c r="QCY69" s="594"/>
      <c r="QCZ69" s="594"/>
      <c r="QDA69" s="594"/>
      <c r="QDB69" s="594"/>
      <c r="QDC69" s="594"/>
      <c r="QDD69" s="594"/>
      <c r="QDE69" s="594"/>
      <c r="QDF69" s="594"/>
      <c r="QDG69" s="594"/>
      <c r="QDH69" s="594"/>
      <c r="QDI69" s="594"/>
      <c r="QDJ69" s="594"/>
      <c r="QDK69" s="594"/>
      <c r="QDL69" s="594"/>
      <c r="QDM69" s="594"/>
      <c r="QDN69" s="594"/>
      <c r="QDO69" s="594"/>
      <c r="QDP69" s="594"/>
      <c r="QDQ69" s="594"/>
      <c r="QDR69" s="594"/>
      <c r="QDS69" s="594"/>
      <c r="QDT69" s="594"/>
      <c r="QDU69" s="594"/>
      <c r="QDV69" s="594"/>
      <c r="QDW69" s="594"/>
      <c r="QDX69" s="594"/>
      <c r="QDY69" s="594"/>
      <c r="QDZ69" s="594"/>
      <c r="QEA69" s="594"/>
      <c r="QEB69" s="594"/>
      <c r="QEC69" s="594"/>
      <c r="QED69" s="594"/>
      <c r="QEE69" s="594"/>
      <c r="QEF69" s="594"/>
      <c r="QEG69" s="594"/>
      <c r="QEH69" s="594"/>
      <c r="QEI69" s="594"/>
      <c r="QEJ69" s="594"/>
      <c r="QEK69" s="594"/>
      <c r="QEL69" s="594"/>
      <c r="QEM69" s="594"/>
      <c r="QEN69" s="594"/>
      <c r="QEO69" s="594"/>
      <c r="QEP69" s="594"/>
      <c r="QEQ69" s="594"/>
      <c r="QER69" s="594"/>
      <c r="QES69" s="594"/>
      <c r="QET69" s="594"/>
      <c r="QEU69" s="594"/>
      <c r="QEV69" s="594"/>
      <c r="QEW69" s="594"/>
      <c r="QEX69" s="594"/>
      <c r="QEY69" s="594"/>
      <c r="QEZ69" s="594"/>
      <c r="QFA69" s="594"/>
      <c r="QFB69" s="594"/>
      <c r="QFC69" s="594"/>
      <c r="QFD69" s="594"/>
      <c r="QFE69" s="594"/>
      <c r="QFF69" s="594"/>
      <c r="QFG69" s="594"/>
      <c r="QFH69" s="594"/>
      <c r="QFI69" s="594"/>
      <c r="QFJ69" s="594"/>
      <c r="QFK69" s="594"/>
      <c r="QFL69" s="594"/>
      <c r="QFM69" s="594"/>
      <c r="QFN69" s="594"/>
      <c r="QFO69" s="594"/>
      <c r="QFP69" s="594"/>
      <c r="QFQ69" s="594"/>
      <c r="QFR69" s="594"/>
      <c r="QFS69" s="594"/>
      <c r="QFT69" s="594"/>
      <c r="QFU69" s="594"/>
      <c r="QFV69" s="594"/>
      <c r="QFW69" s="594"/>
      <c r="QFX69" s="594"/>
      <c r="QFY69" s="594"/>
      <c r="QFZ69" s="594"/>
      <c r="QGA69" s="594"/>
      <c r="QGB69" s="594"/>
      <c r="QGC69" s="594"/>
      <c r="QGD69" s="594"/>
      <c r="QGE69" s="594"/>
      <c r="QGF69" s="594"/>
      <c r="QGG69" s="594"/>
      <c r="QGH69" s="594"/>
      <c r="QGI69" s="594"/>
      <c r="QGJ69" s="594"/>
      <c r="QGK69" s="594"/>
      <c r="QGL69" s="594"/>
      <c r="QGM69" s="594"/>
      <c r="QGN69" s="594"/>
      <c r="QGO69" s="594"/>
      <c r="QGP69" s="594"/>
      <c r="QGQ69" s="594"/>
      <c r="QGR69" s="594"/>
      <c r="QGS69" s="594"/>
      <c r="QGT69" s="594"/>
      <c r="QGU69" s="594"/>
      <c r="QGV69" s="594"/>
      <c r="QGW69" s="594"/>
      <c r="QGX69" s="594"/>
      <c r="QGY69" s="594"/>
      <c r="QGZ69" s="594"/>
      <c r="QHA69" s="594"/>
      <c r="QHB69" s="594"/>
      <c r="QHC69" s="594"/>
      <c r="QHD69" s="594"/>
      <c r="QHE69" s="594"/>
      <c r="QHF69" s="594"/>
      <c r="QHG69" s="594"/>
      <c r="QHH69" s="594"/>
      <c r="QHI69" s="594"/>
      <c r="QHJ69" s="594"/>
      <c r="QHK69" s="594"/>
      <c r="QHL69" s="594"/>
      <c r="QHM69" s="594"/>
      <c r="QHN69" s="594"/>
      <c r="QHO69" s="594"/>
      <c r="QHP69" s="594"/>
      <c r="QHQ69" s="594"/>
      <c r="QHR69" s="594"/>
      <c r="QHS69" s="594"/>
      <c r="QHT69" s="594"/>
      <c r="QHU69" s="594"/>
      <c r="QHV69" s="594"/>
      <c r="QHW69" s="594"/>
      <c r="QHX69" s="594"/>
      <c r="QHY69" s="594"/>
      <c r="QHZ69" s="594"/>
      <c r="QIA69" s="594"/>
      <c r="QIB69" s="594"/>
      <c r="QIC69" s="594"/>
      <c r="QID69" s="594"/>
      <c r="QIE69" s="594"/>
      <c r="QIF69" s="594"/>
      <c r="QIG69" s="594"/>
      <c r="QIH69" s="594"/>
      <c r="QII69" s="594"/>
      <c r="QIJ69" s="594"/>
      <c r="QIK69" s="594"/>
      <c r="QIL69" s="594"/>
      <c r="QIM69" s="594"/>
      <c r="QIN69" s="594"/>
      <c r="QIO69" s="594"/>
      <c r="QIP69" s="594"/>
      <c r="QIQ69" s="594"/>
      <c r="QIR69" s="594"/>
      <c r="QIS69" s="594"/>
      <c r="QIT69" s="594"/>
      <c r="QIU69" s="594"/>
      <c r="QIV69" s="594"/>
      <c r="QIW69" s="594"/>
      <c r="QIX69" s="594"/>
      <c r="QIY69" s="594"/>
      <c r="QIZ69" s="594"/>
      <c r="QJA69" s="594"/>
      <c r="QJB69" s="594"/>
      <c r="QJC69" s="594"/>
      <c r="QJD69" s="594"/>
      <c r="QJE69" s="594"/>
      <c r="QJF69" s="594"/>
      <c r="QJG69" s="594"/>
      <c r="QJH69" s="594"/>
      <c r="QJI69" s="594"/>
      <c r="QJJ69" s="594"/>
      <c r="QJK69" s="594"/>
      <c r="QJL69" s="594"/>
      <c r="QJM69" s="594"/>
      <c r="QJN69" s="594"/>
      <c r="QJO69" s="594"/>
      <c r="QJP69" s="594"/>
      <c r="QJQ69" s="594"/>
      <c r="QJR69" s="594"/>
      <c r="QJS69" s="594"/>
      <c r="QJT69" s="594"/>
      <c r="QJU69" s="594"/>
      <c r="QJV69" s="594"/>
      <c r="QJW69" s="594"/>
      <c r="QJX69" s="594"/>
      <c r="QJY69" s="594"/>
      <c r="QJZ69" s="594"/>
      <c r="QKA69" s="594"/>
      <c r="QKB69" s="594"/>
      <c r="QKC69" s="594"/>
      <c r="QKD69" s="594"/>
      <c r="QKE69" s="594"/>
      <c r="QKF69" s="594"/>
      <c r="QKG69" s="594"/>
      <c r="QKH69" s="594"/>
      <c r="QKI69" s="594"/>
      <c r="QKJ69" s="594"/>
      <c r="QKK69" s="594"/>
      <c r="QKL69" s="594"/>
      <c r="QKM69" s="594"/>
      <c r="QKN69" s="594"/>
      <c r="QKO69" s="594"/>
      <c r="QKP69" s="594"/>
      <c r="QKQ69" s="594"/>
      <c r="QKR69" s="594"/>
      <c r="QKS69" s="594"/>
      <c r="QKT69" s="594"/>
      <c r="QKU69" s="594"/>
      <c r="QKV69" s="594"/>
      <c r="QKW69" s="594"/>
      <c r="QKX69" s="594"/>
      <c r="QKY69" s="594"/>
      <c r="QKZ69" s="594"/>
      <c r="QLA69" s="594"/>
      <c r="QLB69" s="594"/>
      <c r="QLC69" s="594"/>
      <c r="QLD69" s="594"/>
      <c r="QLE69" s="594"/>
      <c r="QLF69" s="594"/>
      <c r="QLG69" s="594"/>
      <c r="QLH69" s="594"/>
      <c r="QLI69" s="594"/>
      <c r="QLJ69" s="594"/>
      <c r="QLK69" s="594"/>
      <c r="QLL69" s="594"/>
      <c r="QLM69" s="594"/>
      <c r="QLN69" s="594"/>
      <c r="QLO69" s="594"/>
      <c r="QLP69" s="594"/>
      <c r="QLQ69" s="594"/>
      <c r="QLR69" s="594"/>
      <c r="QLS69" s="594"/>
      <c r="QLT69" s="594"/>
      <c r="QLU69" s="594"/>
      <c r="QLV69" s="594"/>
      <c r="QLW69" s="594"/>
      <c r="QLX69" s="594"/>
      <c r="QLY69" s="594"/>
      <c r="QLZ69" s="594"/>
      <c r="QMA69" s="594"/>
      <c r="QMB69" s="594"/>
      <c r="QMC69" s="594"/>
      <c r="QMD69" s="594"/>
      <c r="QME69" s="594"/>
      <c r="QMF69" s="594"/>
      <c r="QMG69" s="594"/>
      <c r="QMH69" s="594"/>
      <c r="QMI69" s="594"/>
      <c r="QMJ69" s="594"/>
      <c r="QMK69" s="594"/>
      <c r="QML69" s="594"/>
      <c r="QMM69" s="594"/>
      <c r="QMN69" s="594"/>
      <c r="QMO69" s="594"/>
      <c r="QMP69" s="594"/>
      <c r="QMQ69" s="594"/>
      <c r="QMR69" s="594"/>
      <c r="QMS69" s="594"/>
      <c r="QMT69" s="594"/>
      <c r="QMU69" s="594"/>
      <c r="QMV69" s="594"/>
      <c r="QMW69" s="594"/>
      <c r="QMX69" s="594"/>
      <c r="QMY69" s="594"/>
      <c r="QMZ69" s="594"/>
      <c r="QNA69" s="594"/>
      <c r="QNB69" s="594"/>
      <c r="QNC69" s="594"/>
      <c r="QND69" s="594"/>
      <c r="QNE69" s="594"/>
      <c r="QNF69" s="594"/>
      <c r="QNG69" s="594"/>
      <c r="QNH69" s="594"/>
      <c r="QNI69" s="594"/>
      <c r="QNJ69" s="594"/>
      <c r="QNK69" s="594"/>
      <c r="QNL69" s="594"/>
      <c r="QNM69" s="594"/>
      <c r="QNN69" s="594"/>
      <c r="QNO69" s="594"/>
      <c r="QNP69" s="594"/>
      <c r="QNQ69" s="594"/>
      <c r="QNR69" s="594"/>
      <c r="QNS69" s="594"/>
      <c r="QNT69" s="594"/>
      <c r="QNU69" s="594"/>
      <c r="QNV69" s="594"/>
      <c r="QNW69" s="594"/>
      <c r="QNX69" s="594"/>
      <c r="QNY69" s="594"/>
      <c r="QNZ69" s="594"/>
      <c r="QOA69" s="594"/>
      <c r="QOB69" s="594"/>
      <c r="QOC69" s="594"/>
      <c r="QOD69" s="594"/>
      <c r="QOE69" s="594"/>
      <c r="QOF69" s="594"/>
      <c r="QOG69" s="594"/>
      <c r="QOH69" s="594"/>
      <c r="QOI69" s="594"/>
      <c r="QOJ69" s="594"/>
      <c r="QOK69" s="594"/>
      <c r="QOL69" s="594"/>
      <c r="QOM69" s="594"/>
      <c r="QON69" s="594"/>
      <c r="QOO69" s="594"/>
      <c r="QOP69" s="594"/>
      <c r="QOQ69" s="594"/>
      <c r="QOR69" s="594"/>
      <c r="QOS69" s="594"/>
      <c r="QOT69" s="594"/>
      <c r="QOU69" s="594"/>
      <c r="QOV69" s="594"/>
      <c r="QOW69" s="594"/>
      <c r="QOX69" s="594"/>
      <c r="QOY69" s="594"/>
      <c r="QOZ69" s="594"/>
      <c r="QPA69" s="594"/>
      <c r="QPB69" s="594"/>
      <c r="QPC69" s="594"/>
      <c r="QPD69" s="594"/>
      <c r="QPE69" s="594"/>
      <c r="QPF69" s="594"/>
      <c r="QPG69" s="594"/>
      <c r="QPH69" s="594"/>
      <c r="QPI69" s="594"/>
      <c r="QPJ69" s="594"/>
      <c r="QPK69" s="594"/>
      <c r="QPL69" s="594"/>
      <c r="QPM69" s="594"/>
      <c r="QPN69" s="594"/>
      <c r="QPO69" s="594"/>
      <c r="QPP69" s="594"/>
      <c r="QPQ69" s="594"/>
      <c r="QPR69" s="594"/>
      <c r="QPS69" s="594"/>
      <c r="QPT69" s="594"/>
      <c r="QPU69" s="594"/>
      <c r="QPV69" s="594"/>
      <c r="QPW69" s="594"/>
      <c r="QPX69" s="594"/>
      <c r="QPY69" s="594"/>
      <c r="QPZ69" s="594"/>
      <c r="QQA69" s="594"/>
      <c r="QQB69" s="594"/>
      <c r="QQC69" s="594"/>
      <c r="QQD69" s="594"/>
      <c r="QQE69" s="594"/>
      <c r="QQF69" s="594"/>
      <c r="QQG69" s="594"/>
      <c r="QQH69" s="594"/>
      <c r="QQI69" s="594"/>
      <c r="QQJ69" s="594"/>
      <c r="QQK69" s="594"/>
      <c r="QQL69" s="594"/>
      <c r="QQM69" s="594"/>
      <c r="QQN69" s="594"/>
      <c r="QQO69" s="594"/>
      <c r="QQP69" s="594"/>
      <c r="QQQ69" s="594"/>
      <c r="QQR69" s="594"/>
      <c r="QQS69" s="594"/>
      <c r="QQT69" s="594"/>
      <c r="QQU69" s="594"/>
      <c r="QQV69" s="594"/>
      <c r="QQW69" s="594"/>
      <c r="QQX69" s="594"/>
      <c r="QQY69" s="594"/>
      <c r="QQZ69" s="594"/>
      <c r="QRA69" s="594"/>
      <c r="QRB69" s="594"/>
      <c r="QRC69" s="594"/>
      <c r="QRD69" s="594"/>
      <c r="QRE69" s="594"/>
      <c r="QRF69" s="594"/>
      <c r="QRG69" s="594"/>
      <c r="QRH69" s="594"/>
      <c r="QRI69" s="594"/>
      <c r="QRJ69" s="594"/>
      <c r="QRK69" s="594"/>
      <c r="QRL69" s="594"/>
      <c r="QRM69" s="594"/>
      <c r="QRN69" s="594"/>
      <c r="QRO69" s="594"/>
      <c r="QRP69" s="594"/>
      <c r="QRQ69" s="594"/>
      <c r="QRR69" s="594"/>
      <c r="QRS69" s="594"/>
      <c r="QRT69" s="594"/>
      <c r="QRU69" s="594"/>
      <c r="QRV69" s="594"/>
      <c r="QRW69" s="594"/>
      <c r="QRX69" s="594"/>
      <c r="QRY69" s="594"/>
      <c r="QRZ69" s="594"/>
      <c r="QSA69" s="594"/>
      <c r="QSB69" s="594"/>
      <c r="QSC69" s="594"/>
      <c r="QSD69" s="594"/>
      <c r="QSE69" s="594"/>
      <c r="QSF69" s="594"/>
      <c r="QSG69" s="594"/>
      <c r="QSH69" s="594"/>
      <c r="QSI69" s="594"/>
      <c r="QSJ69" s="594"/>
      <c r="QSK69" s="594"/>
      <c r="QSL69" s="594"/>
      <c r="QSM69" s="594"/>
      <c r="QSN69" s="594"/>
      <c r="QSO69" s="594"/>
      <c r="QSP69" s="594"/>
      <c r="QSQ69" s="594"/>
      <c r="QSR69" s="594"/>
      <c r="QSS69" s="594"/>
      <c r="QST69" s="594"/>
      <c r="QSU69" s="594"/>
      <c r="QSV69" s="594"/>
      <c r="QSW69" s="594"/>
      <c r="QSX69" s="594"/>
      <c r="QSY69" s="594"/>
      <c r="QSZ69" s="594"/>
      <c r="QTA69" s="594"/>
      <c r="QTB69" s="594"/>
      <c r="QTC69" s="594"/>
      <c r="QTD69" s="594"/>
      <c r="QTE69" s="594"/>
      <c r="QTF69" s="594"/>
      <c r="QTG69" s="594"/>
      <c r="QTH69" s="594"/>
      <c r="QTI69" s="594"/>
      <c r="QTJ69" s="594"/>
      <c r="QTK69" s="594"/>
      <c r="QTL69" s="594"/>
      <c r="QTM69" s="594"/>
      <c r="QTN69" s="594"/>
      <c r="QTO69" s="594"/>
      <c r="QTP69" s="594"/>
      <c r="QTQ69" s="594"/>
      <c r="QTR69" s="594"/>
      <c r="QTS69" s="594"/>
      <c r="QTT69" s="594"/>
      <c r="QTU69" s="594"/>
      <c r="QTV69" s="594"/>
      <c r="QTW69" s="594"/>
      <c r="QTX69" s="594"/>
      <c r="QTY69" s="594"/>
      <c r="QTZ69" s="594"/>
      <c r="QUA69" s="594"/>
      <c r="QUB69" s="594"/>
      <c r="QUC69" s="594"/>
      <c r="QUD69" s="594"/>
      <c r="QUE69" s="594"/>
      <c r="QUF69" s="594"/>
      <c r="QUG69" s="594"/>
      <c r="QUH69" s="594"/>
      <c r="QUI69" s="594"/>
      <c r="QUJ69" s="594"/>
      <c r="QUK69" s="594"/>
      <c r="QUL69" s="594"/>
      <c r="QUM69" s="594"/>
      <c r="QUN69" s="594"/>
      <c r="QUO69" s="594"/>
      <c r="QUP69" s="594"/>
      <c r="QUQ69" s="594"/>
      <c r="QUR69" s="594"/>
      <c r="QUS69" s="594"/>
      <c r="QUT69" s="594"/>
      <c r="QUU69" s="594"/>
      <c r="QUV69" s="594"/>
      <c r="QUW69" s="594"/>
      <c r="QUX69" s="594"/>
      <c r="QUY69" s="594"/>
      <c r="QUZ69" s="594"/>
      <c r="QVA69" s="594"/>
      <c r="QVB69" s="594"/>
      <c r="QVC69" s="594"/>
      <c r="QVD69" s="594"/>
      <c r="QVE69" s="594"/>
      <c r="QVF69" s="594"/>
      <c r="QVG69" s="594"/>
      <c r="QVH69" s="594"/>
      <c r="QVI69" s="594"/>
      <c r="QVJ69" s="594"/>
      <c r="QVK69" s="594"/>
      <c r="QVL69" s="594"/>
      <c r="QVM69" s="594"/>
      <c r="QVN69" s="594"/>
      <c r="QVO69" s="594"/>
      <c r="QVP69" s="594"/>
      <c r="QVQ69" s="594"/>
      <c r="QVR69" s="594"/>
      <c r="QVS69" s="594"/>
      <c r="QVT69" s="594"/>
      <c r="QVU69" s="594"/>
      <c r="QVV69" s="594"/>
      <c r="QVW69" s="594"/>
      <c r="QVX69" s="594"/>
      <c r="QVY69" s="594"/>
      <c r="QVZ69" s="594"/>
      <c r="QWA69" s="594"/>
      <c r="QWB69" s="594"/>
      <c r="QWC69" s="594"/>
      <c r="QWD69" s="594"/>
      <c r="QWE69" s="594"/>
      <c r="QWF69" s="594"/>
      <c r="QWG69" s="594"/>
      <c r="QWH69" s="594"/>
      <c r="QWI69" s="594"/>
      <c r="QWJ69" s="594"/>
      <c r="QWK69" s="594"/>
      <c r="QWL69" s="594"/>
      <c r="QWM69" s="594"/>
      <c r="QWN69" s="594"/>
      <c r="QWO69" s="594"/>
      <c r="QWP69" s="594"/>
      <c r="QWQ69" s="594"/>
      <c r="QWR69" s="594"/>
      <c r="QWS69" s="594"/>
      <c r="QWT69" s="594"/>
      <c r="QWU69" s="594"/>
      <c r="QWV69" s="594"/>
      <c r="QWW69" s="594"/>
      <c r="QWX69" s="594"/>
      <c r="QWY69" s="594"/>
      <c r="QWZ69" s="594"/>
      <c r="QXA69" s="594"/>
      <c r="QXB69" s="594"/>
      <c r="QXC69" s="594"/>
      <c r="QXD69" s="594"/>
      <c r="QXE69" s="594"/>
      <c r="QXF69" s="594"/>
      <c r="QXG69" s="594"/>
      <c r="QXH69" s="594"/>
      <c r="QXI69" s="594"/>
      <c r="QXJ69" s="594"/>
      <c r="QXK69" s="594"/>
      <c r="QXL69" s="594"/>
      <c r="QXM69" s="594"/>
      <c r="QXN69" s="594"/>
      <c r="QXO69" s="594"/>
      <c r="QXP69" s="594"/>
      <c r="QXQ69" s="594"/>
      <c r="QXR69" s="594"/>
      <c r="QXS69" s="594"/>
      <c r="QXT69" s="594"/>
      <c r="QXU69" s="594"/>
      <c r="QXV69" s="594"/>
      <c r="QXW69" s="594"/>
      <c r="QXX69" s="594"/>
      <c r="QXY69" s="594"/>
      <c r="QXZ69" s="594"/>
      <c r="QYA69" s="594"/>
      <c r="QYB69" s="594"/>
      <c r="QYC69" s="594"/>
      <c r="QYD69" s="594"/>
      <c r="QYE69" s="594"/>
      <c r="QYF69" s="594"/>
      <c r="QYG69" s="594"/>
      <c r="QYH69" s="594"/>
      <c r="QYI69" s="594"/>
      <c r="QYJ69" s="594"/>
      <c r="QYK69" s="594"/>
      <c r="QYL69" s="594"/>
      <c r="QYM69" s="594"/>
      <c r="QYN69" s="594"/>
      <c r="QYO69" s="594"/>
      <c r="QYP69" s="594"/>
      <c r="QYQ69" s="594"/>
      <c r="QYR69" s="594"/>
      <c r="QYS69" s="594"/>
      <c r="QYT69" s="594"/>
      <c r="QYU69" s="594"/>
      <c r="QYV69" s="594"/>
      <c r="QYW69" s="594"/>
      <c r="QYX69" s="594"/>
      <c r="QYY69" s="594"/>
      <c r="QYZ69" s="594"/>
      <c r="QZA69" s="594"/>
      <c r="QZB69" s="594"/>
      <c r="QZC69" s="594"/>
      <c r="QZD69" s="594"/>
      <c r="QZE69" s="594"/>
      <c r="QZF69" s="594"/>
      <c r="QZG69" s="594"/>
      <c r="QZH69" s="594"/>
      <c r="QZI69" s="594"/>
      <c r="QZJ69" s="594"/>
      <c r="QZK69" s="594"/>
      <c r="QZL69" s="594"/>
      <c r="QZM69" s="594"/>
      <c r="QZN69" s="594"/>
      <c r="QZO69" s="594"/>
      <c r="QZP69" s="594"/>
      <c r="QZQ69" s="594"/>
      <c r="QZR69" s="594"/>
      <c r="QZS69" s="594"/>
      <c r="QZT69" s="594"/>
      <c r="QZU69" s="594"/>
      <c r="QZV69" s="594"/>
      <c r="QZW69" s="594"/>
      <c r="QZX69" s="594"/>
      <c r="QZY69" s="594"/>
      <c r="QZZ69" s="594"/>
      <c r="RAA69" s="594"/>
      <c r="RAB69" s="594"/>
      <c r="RAC69" s="594"/>
      <c r="RAD69" s="594"/>
      <c r="RAE69" s="594"/>
      <c r="RAF69" s="594"/>
      <c r="RAG69" s="594"/>
      <c r="RAH69" s="594"/>
      <c r="RAI69" s="594"/>
      <c r="RAJ69" s="594"/>
      <c r="RAK69" s="594"/>
      <c r="RAL69" s="594"/>
      <c r="RAM69" s="594"/>
      <c r="RAN69" s="594"/>
      <c r="RAO69" s="594"/>
      <c r="RAP69" s="594"/>
      <c r="RAQ69" s="594"/>
      <c r="RAR69" s="594"/>
      <c r="RAS69" s="594"/>
      <c r="RAT69" s="594"/>
      <c r="RAU69" s="594"/>
      <c r="RAV69" s="594"/>
      <c r="RAW69" s="594"/>
      <c r="RAX69" s="594"/>
      <c r="RAY69" s="594"/>
      <c r="RAZ69" s="594"/>
      <c r="RBA69" s="594"/>
      <c r="RBB69" s="594"/>
      <c r="RBC69" s="594"/>
      <c r="RBD69" s="594"/>
      <c r="RBE69" s="594"/>
      <c r="RBF69" s="594"/>
      <c r="RBG69" s="594"/>
      <c r="RBH69" s="594"/>
      <c r="RBI69" s="594"/>
      <c r="RBJ69" s="594"/>
      <c r="RBK69" s="594"/>
      <c r="RBL69" s="594"/>
      <c r="RBM69" s="594"/>
      <c r="RBN69" s="594"/>
      <c r="RBO69" s="594"/>
      <c r="RBP69" s="594"/>
      <c r="RBQ69" s="594"/>
      <c r="RBR69" s="594"/>
      <c r="RBS69" s="594"/>
      <c r="RBT69" s="594"/>
      <c r="RBU69" s="594"/>
      <c r="RBV69" s="594"/>
      <c r="RBW69" s="594"/>
      <c r="RBX69" s="594"/>
      <c r="RBY69" s="594"/>
      <c r="RBZ69" s="594"/>
      <c r="RCA69" s="594"/>
      <c r="RCB69" s="594"/>
      <c r="RCC69" s="594"/>
      <c r="RCD69" s="594"/>
      <c r="RCE69" s="594"/>
      <c r="RCF69" s="594"/>
      <c r="RCG69" s="594"/>
      <c r="RCH69" s="594"/>
      <c r="RCI69" s="594"/>
      <c r="RCJ69" s="594"/>
      <c r="RCK69" s="594"/>
      <c r="RCL69" s="594"/>
      <c r="RCM69" s="594"/>
      <c r="RCN69" s="594"/>
      <c r="RCO69" s="594"/>
      <c r="RCP69" s="594"/>
      <c r="RCQ69" s="594"/>
      <c r="RCR69" s="594"/>
      <c r="RCS69" s="594"/>
      <c r="RCT69" s="594"/>
      <c r="RCU69" s="594"/>
      <c r="RCV69" s="594"/>
      <c r="RCW69" s="594"/>
      <c r="RCX69" s="594"/>
      <c r="RCY69" s="594"/>
      <c r="RCZ69" s="594"/>
      <c r="RDA69" s="594"/>
      <c r="RDB69" s="594"/>
      <c r="RDC69" s="594"/>
      <c r="RDD69" s="594"/>
      <c r="RDE69" s="594"/>
      <c r="RDF69" s="594"/>
      <c r="RDG69" s="594"/>
      <c r="RDH69" s="594"/>
      <c r="RDI69" s="594"/>
      <c r="RDJ69" s="594"/>
      <c r="RDK69" s="594"/>
      <c r="RDL69" s="594"/>
      <c r="RDM69" s="594"/>
      <c r="RDN69" s="594"/>
      <c r="RDO69" s="594"/>
      <c r="RDP69" s="594"/>
      <c r="RDQ69" s="594"/>
      <c r="RDR69" s="594"/>
      <c r="RDS69" s="594"/>
      <c r="RDT69" s="594"/>
      <c r="RDU69" s="594"/>
      <c r="RDV69" s="594"/>
      <c r="RDW69" s="594"/>
      <c r="RDX69" s="594"/>
      <c r="RDY69" s="594"/>
      <c r="RDZ69" s="594"/>
      <c r="REA69" s="594"/>
      <c r="REB69" s="594"/>
      <c r="REC69" s="594"/>
      <c r="RED69" s="594"/>
      <c r="REE69" s="594"/>
      <c r="REF69" s="594"/>
      <c r="REG69" s="594"/>
      <c r="REH69" s="594"/>
      <c r="REI69" s="594"/>
      <c r="REJ69" s="594"/>
      <c r="REK69" s="594"/>
      <c r="REL69" s="594"/>
      <c r="REM69" s="594"/>
      <c r="REN69" s="594"/>
      <c r="REO69" s="594"/>
      <c r="REP69" s="594"/>
      <c r="REQ69" s="594"/>
      <c r="RER69" s="594"/>
      <c r="RES69" s="594"/>
      <c r="RET69" s="594"/>
      <c r="REU69" s="594"/>
      <c r="REV69" s="594"/>
      <c r="REW69" s="594"/>
      <c r="REX69" s="594"/>
      <c r="REY69" s="594"/>
      <c r="REZ69" s="594"/>
      <c r="RFA69" s="594"/>
      <c r="RFB69" s="594"/>
      <c r="RFC69" s="594"/>
      <c r="RFD69" s="594"/>
      <c r="RFE69" s="594"/>
      <c r="RFF69" s="594"/>
      <c r="RFG69" s="594"/>
      <c r="RFH69" s="594"/>
      <c r="RFI69" s="594"/>
      <c r="RFJ69" s="594"/>
      <c r="RFK69" s="594"/>
      <c r="RFL69" s="594"/>
      <c r="RFM69" s="594"/>
      <c r="RFN69" s="594"/>
      <c r="RFO69" s="594"/>
      <c r="RFP69" s="594"/>
      <c r="RFQ69" s="594"/>
      <c r="RFR69" s="594"/>
      <c r="RFS69" s="594"/>
      <c r="RFT69" s="594"/>
      <c r="RFU69" s="594"/>
      <c r="RFV69" s="594"/>
      <c r="RFW69" s="594"/>
      <c r="RFX69" s="594"/>
      <c r="RFY69" s="594"/>
      <c r="RFZ69" s="594"/>
      <c r="RGA69" s="594"/>
      <c r="RGB69" s="594"/>
      <c r="RGC69" s="594"/>
      <c r="RGD69" s="594"/>
      <c r="RGE69" s="594"/>
      <c r="RGF69" s="594"/>
      <c r="RGG69" s="594"/>
      <c r="RGH69" s="594"/>
      <c r="RGI69" s="594"/>
      <c r="RGJ69" s="594"/>
      <c r="RGK69" s="594"/>
      <c r="RGL69" s="594"/>
      <c r="RGM69" s="594"/>
      <c r="RGN69" s="594"/>
      <c r="RGO69" s="594"/>
      <c r="RGP69" s="594"/>
      <c r="RGQ69" s="594"/>
      <c r="RGR69" s="594"/>
      <c r="RGS69" s="594"/>
      <c r="RGT69" s="594"/>
      <c r="RGU69" s="594"/>
      <c r="RGV69" s="594"/>
      <c r="RGW69" s="594"/>
      <c r="RGX69" s="594"/>
      <c r="RGY69" s="594"/>
      <c r="RGZ69" s="594"/>
      <c r="RHA69" s="594"/>
      <c r="RHB69" s="594"/>
      <c r="RHC69" s="594"/>
      <c r="RHD69" s="594"/>
      <c r="RHE69" s="594"/>
      <c r="RHF69" s="594"/>
      <c r="RHG69" s="594"/>
      <c r="RHH69" s="594"/>
      <c r="RHI69" s="594"/>
      <c r="RHJ69" s="594"/>
      <c r="RHK69" s="594"/>
      <c r="RHL69" s="594"/>
      <c r="RHM69" s="594"/>
      <c r="RHN69" s="594"/>
      <c r="RHO69" s="594"/>
      <c r="RHP69" s="594"/>
      <c r="RHQ69" s="594"/>
      <c r="RHR69" s="594"/>
      <c r="RHS69" s="594"/>
      <c r="RHT69" s="594"/>
      <c r="RHU69" s="594"/>
      <c r="RHV69" s="594"/>
      <c r="RHW69" s="594"/>
      <c r="RHX69" s="594"/>
      <c r="RHY69" s="594"/>
      <c r="RHZ69" s="594"/>
      <c r="RIA69" s="594"/>
      <c r="RIB69" s="594"/>
      <c r="RIC69" s="594"/>
      <c r="RID69" s="594"/>
      <c r="RIE69" s="594"/>
      <c r="RIF69" s="594"/>
      <c r="RIG69" s="594"/>
      <c r="RIH69" s="594"/>
      <c r="RII69" s="594"/>
      <c r="RIJ69" s="594"/>
      <c r="RIK69" s="594"/>
      <c r="RIL69" s="594"/>
      <c r="RIM69" s="594"/>
      <c r="RIN69" s="594"/>
      <c r="RIO69" s="594"/>
      <c r="RIP69" s="594"/>
      <c r="RIQ69" s="594"/>
      <c r="RIR69" s="594"/>
      <c r="RIS69" s="594"/>
      <c r="RIT69" s="594"/>
      <c r="RIU69" s="594"/>
      <c r="RIV69" s="594"/>
      <c r="RIW69" s="594"/>
      <c r="RIX69" s="594"/>
      <c r="RIY69" s="594"/>
      <c r="RIZ69" s="594"/>
      <c r="RJA69" s="594"/>
      <c r="RJB69" s="594"/>
      <c r="RJC69" s="594"/>
      <c r="RJD69" s="594"/>
      <c r="RJE69" s="594"/>
      <c r="RJF69" s="594"/>
      <c r="RJG69" s="594"/>
      <c r="RJH69" s="594"/>
      <c r="RJI69" s="594"/>
      <c r="RJJ69" s="594"/>
      <c r="RJK69" s="594"/>
      <c r="RJL69" s="594"/>
      <c r="RJM69" s="594"/>
      <c r="RJN69" s="594"/>
      <c r="RJO69" s="594"/>
      <c r="RJP69" s="594"/>
      <c r="RJQ69" s="594"/>
      <c r="RJR69" s="594"/>
      <c r="RJS69" s="594"/>
      <c r="RJT69" s="594"/>
      <c r="RJU69" s="594"/>
      <c r="RJV69" s="594"/>
      <c r="RJW69" s="594"/>
      <c r="RJX69" s="594"/>
      <c r="RJY69" s="594"/>
      <c r="RJZ69" s="594"/>
      <c r="RKA69" s="594"/>
      <c r="RKB69" s="594"/>
      <c r="RKC69" s="594"/>
      <c r="RKD69" s="594"/>
      <c r="RKE69" s="594"/>
      <c r="RKF69" s="594"/>
      <c r="RKG69" s="594"/>
      <c r="RKH69" s="594"/>
      <c r="RKI69" s="594"/>
      <c r="RKJ69" s="594"/>
      <c r="RKK69" s="594"/>
      <c r="RKL69" s="594"/>
      <c r="RKM69" s="594"/>
      <c r="RKN69" s="594"/>
      <c r="RKO69" s="594"/>
      <c r="RKP69" s="594"/>
      <c r="RKQ69" s="594"/>
      <c r="RKR69" s="594"/>
      <c r="RKS69" s="594"/>
      <c r="RKT69" s="594"/>
      <c r="RKU69" s="594"/>
      <c r="RKV69" s="594"/>
      <c r="RKW69" s="594"/>
      <c r="RKX69" s="594"/>
      <c r="RKY69" s="594"/>
      <c r="RKZ69" s="594"/>
      <c r="RLA69" s="594"/>
      <c r="RLB69" s="594"/>
      <c r="RLC69" s="594"/>
      <c r="RLD69" s="594"/>
      <c r="RLE69" s="594"/>
      <c r="RLF69" s="594"/>
      <c r="RLG69" s="594"/>
      <c r="RLH69" s="594"/>
      <c r="RLI69" s="594"/>
      <c r="RLJ69" s="594"/>
      <c r="RLK69" s="594"/>
      <c r="RLL69" s="594"/>
      <c r="RLM69" s="594"/>
      <c r="RLN69" s="594"/>
      <c r="RLO69" s="594"/>
      <c r="RLP69" s="594"/>
      <c r="RLQ69" s="594"/>
      <c r="RLR69" s="594"/>
      <c r="RLS69" s="594"/>
      <c r="RLT69" s="594"/>
      <c r="RLU69" s="594"/>
      <c r="RLV69" s="594"/>
      <c r="RLW69" s="594"/>
      <c r="RLX69" s="594"/>
      <c r="RLY69" s="594"/>
      <c r="RLZ69" s="594"/>
      <c r="RMA69" s="594"/>
      <c r="RMB69" s="594"/>
      <c r="RMC69" s="594"/>
      <c r="RMD69" s="594"/>
      <c r="RME69" s="594"/>
      <c r="RMF69" s="594"/>
      <c r="RMG69" s="594"/>
      <c r="RMH69" s="594"/>
      <c r="RMI69" s="594"/>
      <c r="RMJ69" s="594"/>
      <c r="RMK69" s="594"/>
      <c r="RML69" s="594"/>
      <c r="RMM69" s="594"/>
      <c r="RMN69" s="594"/>
      <c r="RMO69" s="594"/>
      <c r="RMP69" s="594"/>
      <c r="RMQ69" s="594"/>
      <c r="RMR69" s="594"/>
      <c r="RMS69" s="594"/>
      <c r="RMT69" s="594"/>
      <c r="RMU69" s="594"/>
      <c r="RMV69" s="594"/>
      <c r="RMW69" s="594"/>
      <c r="RMX69" s="594"/>
      <c r="RMY69" s="594"/>
      <c r="RMZ69" s="594"/>
      <c r="RNA69" s="594"/>
      <c r="RNB69" s="594"/>
      <c r="RNC69" s="594"/>
      <c r="RND69" s="594"/>
      <c r="RNE69" s="594"/>
      <c r="RNF69" s="594"/>
      <c r="RNG69" s="594"/>
      <c r="RNH69" s="594"/>
      <c r="RNI69" s="594"/>
      <c r="RNJ69" s="594"/>
      <c r="RNK69" s="594"/>
      <c r="RNL69" s="594"/>
      <c r="RNM69" s="594"/>
      <c r="RNN69" s="594"/>
      <c r="RNO69" s="594"/>
      <c r="RNP69" s="594"/>
      <c r="RNQ69" s="594"/>
      <c r="RNR69" s="594"/>
      <c r="RNS69" s="594"/>
      <c r="RNT69" s="594"/>
      <c r="RNU69" s="594"/>
      <c r="RNV69" s="594"/>
      <c r="RNW69" s="594"/>
      <c r="RNX69" s="594"/>
      <c r="RNY69" s="594"/>
      <c r="RNZ69" s="594"/>
      <c r="ROA69" s="594"/>
      <c r="ROB69" s="594"/>
      <c r="ROC69" s="594"/>
      <c r="ROD69" s="594"/>
      <c r="ROE69" s="594"/>
      <c r="ROF69" s="594"/>
      <c r="ROG69" s="594"/>
      <c r="ROH69" s="594"/>
      <c r="ROI69" s="594"/>
      <c r="ROJ69" s="594"/>
      <c r="ROK69" s="594"/>
      <c r="ROL69" s="594"/>
      <c r="ROM69" s="594"/>
      <c r="RON69" s="594"/>
      <c r="ROO69" s="594"/>
      <c r="ROP69" s="594"/>
      <c r="ROQ69" s="594"/>
      <c r="ROR69" s="594"/>
      <c r="ROS69" s="594"/>
      <c r="ROT69" s="594"/>
      <c r="ROU69" s="594"/>
      <c r="ROV69" s="594"/>
      <c r="ROW69" s="594"/>
      <c r="ROX69" s="594"/>
      <c r="ROY69" s="594"/>
      <c r="ROZ69" s="594"/>
      <c r="RPA69" s="594"/>
      <c r="RPB69" s="594"/>
      <c r="RPC69" s="594"/>
      <c r="RPD69" s="594"/>
      <c r="RPE69" s="594"/>
      <c r="RPF69" s="594"/>
      <c r="RPG69" s="594"/>
      <c r="RPH69" s="594"/>
      <c r="RPI69" s="594"/>
      <c r="RPJ69" s="594"/>
      <c r="RPK69" s="594"/>
      <c r="RPL69" s="594"/>
      <c r="RPM69" s="594"/>
      <c r="RPN69" s="594"/>
      <c r="RPO69" s="594"/>
      <c r="RPP69" s="594"/>
      <c r="RPQ69" s="594"/>
      <c r="RPR69" s="594"/>
      <c r="RPS69" s="594"/>
      <c r="RPT69" s="594"/>
      <c r="RPU69" s="594"/>
      <c r="RPV69" s="594"/>
      <c r="RPW69" s="594"/>
      <c r="RPX69" s="594"/>
      <c r="RPY69" s="594"/>
      <c r="RPZ69" s="594"/>
      <c r="RQA69" s="594"/>
      <c r="RQB69" s="594"/>
      <c r="RQC69" s="594"/>
      <c r="RQD69" s="594"/>
      <c r="RQE69" s="594"/>
      <c r="RQF69" s="594"/>
      <c r="RQG69" s="594"/>
      <c r="RQH69" s="594"/>
      <c r="RQI69" s="594"/>
      <c r="RQJ69" s="594"/>
      <c r="RQK69" s="594"/>
      <c r="RQL69" s="594"/>
      <c r="RQM69" s="594"/>
      <c r="RQN69" s="594"/>
      <c r="RQO69" s="594"/>
      <c r="RQP69" s="594"/>
      <c r="RQQ69" s="594"/>
      <c r="RQR69" s="594"/>
      <c r="RQS69" s="594"/>
      <c r="RQT69" s="594"/>
      <c r="RQU69" s="594"/>
      <c r="RQV69" s="594"/>
      <c r="RQW69" s="594"/>
      <c r="RQX69" s="594"/>
      <c r="RQY69" s="594"/>
      <c r="RQZ69" s="594"/>
      <c r="RRA69" s="594"/>
      <c r="RRB69" s="594"/>
      <c r="RRC69" s="594"/>
      <c r="RRD69" s="594"/>
      <c r="RRE69" s="594"/>
      <c r="RRF69" s="594"/>
      <c r="RRG69" s="594"/>
      <c r="RRH69" s="594"/>
      <c r="RRI69" s="594"/>
      <c r="RRJ69" s="594"/>
      <c r="RRK69" s="594"/>
      <c r="RRL69" s="594"/>
      <c r="RRM69" s="594"/>
      <c r="RRN69" s="594"/>
      <c r="RRO69" s="594"/>
      <c r="RRP69" s="594"/>
      <c r="RRQ69" s="594"/>
      <c r="RRR69" s="594"/>
      <c r="RRS69" s="594"/>
      <c r="RRT69" s="594"/>
      <c r="RRU69" s="594"/>
      <c r="RRV69" s="594"/>
      <c r="RRW69" s="594"/>
      <c r="RRX69" s="594"/>
      <c r="RRY69" s="594"/>
      <c r="RRZ69" s="594"/>
      <c r="RSA69" s="594"/>
      <c r="RSB69" s="594"/>
      <c r="RSC69" s="594"/>
      <c r="RSD69" s="594"/>
      <c r="RSE69" s="594"/>
      <c r="RSF69" s="594"/>
      <c r="RSG69" s="594"/>
      <c r="RSH69" s="594"/>
      <c r="RSI69" s="594"/>
      <c r="RSJ69" s="594"/>
      <c r="RSK69" s="594"/>
      <c r="RSL69" s="594"/>
      <c r="RSM69" s="594"/>
      <c r="RSN69" s="594"/>
      <c r="RSO69" s="594"/>
      <c r="RSP69" s="594"/>
      <c r="RSQ69" s="594"/>
      <c r="RSR69" s="594"/>
      <c r="RSS69" s="594"/>
      <c r="RST69" s="594"/>
      <c r="RSU69" s="594"/>
      <c r="RSV69" s="594"/>
      <c r="RSW69" s="594"/>
      <c r="RSX69" s="594"/>
      <c r="RSY69" s="594"/>
      <c r="RSZ69" s="594"/>
      <c r="RTA69" s="594"/>
      <c r="RTB69" s="594"/>
      <c r="RTC69" s="594"/>
      <c r="RTD69" s="594"/>
      <c r="RTE69" s="594"/>
      <c r="RTF69" s="594"/>
      <c r="RTG69" s="594"/>
      <c r="RTH69" s="594"/>
      <c r="RTI69" s="594"/>
      <c r="RTJ69" s="594"/>
      <c r="RTK69" s="594"/>
      <c r="RTL69" s="594"/>
      <c r="RTM69" s="594"/>
      <c r="RTN69" s="594"/>
      <c r="RTO69" s="594"/>
      <c r="RTP69" s="594"/>
      <c r="RTQ69" s="594"/>
      <c r="RTR69" s="594"/>
      <c r="RTS69" s="594"/>
      <c r="RTT69" s="594"/>
      <c r="RTU69" s="594"/>
      <c r="RTV69" s="594"/>
      <c r="RTW69" s="594"/>
      <c r="RTX69" s="594"/>
      <c r="RTY69" s="594"/>
      <c r="RTZ69" s="594"/>
      <c r="RUA69" s="594"/>
      <c r="RUB69" s="594"/>
      <c r="RUC69" s="594"/>
      <c r="RUD69" s="594"/>
      <c r="RUE69" s="594"/>
      <c r="RUF69" s="594"/>
      <c r="RUG69" s="594"/>
      <c r="RUH69" s="594"/>
      <c r="RUI69" s="594"/>
      <c r="RUJ69" s="594"/>
      <c r="RUK69" s="594"/>
      <c r="RUL69" s="594"/>
      <c r="RUM69" s="594"/>
      <c r="RUN69" s="594"/>
      <c r="RUO69" s="594"/>
      <c r="RUP69" s="594"/>
      <c r="RUQ69" s="594"/>
      <c r="RUR69" s="594"/>
      <c r="RUS69" s="594"/>
      <c r="RUT69" s="594"/>
      <c r="RUU69" s="594"/>
      <c r="RUV69" s="594"/>
      <c r="RUW69" s="594"/>
      <c r="RUX69" s="594"/>
      <c r="RUY69" s="594"/>
      <c r="RUZ69" s="594"/>
      <c r="RVA69" s="594"/>
      <c r="RVB69" s="594"/>
      <c r="RVC69" s="594"/>
      <c r="RVD69" s="594"/>
      <c r="RVE69" s="594"/>
      <c r="RVF69" s="594"/>
      <c r="RVG69" s="594"/>
      <c r="RVH69" s="594"/>
      <c r="RVI69" s="594"/>
      <c r="RVJ69" s="594"/>
      <c r="RVK69" s="594"/>
      <c r="RVL69" s="594"/>
      <c r="RVM69" s="594"/>
      <c r="RVN69" s="594"/>
      <c r="RVO69" s="594"/>
      <c r="RVP69" s="594"/>
      <c r="RVQ69" s="594"/>
      <c r="RVR69" s="594"/>
      <c r="RVS69" s="594"/>
      <c r="RVT69" s="594"/>
      <c r="RVU69" s="594"/>
      <c r="RVV69" s="594"/>
      <c r="RVW69" s="594"/>
      <c r="RVX69" s="594"/>
      <c r="RVY69" s="594"/>
      <c r="RVZ69" s="594"/>
      <c r="RWA69" s="594"/>
      <c r="RWB69" s="594"/>
      <c r="RWC69" s="594"/>
      <c r="RWD69" s="594"/>
      <c r="RWE69" s="594"/>
      <c r="RWF69" s="594"/>
      <c r="RWG69" s="594"/>
      <c r="RWH69" s="594"/>
      <c r="RWI69" s="594"/>
      <c r="RWJ69" s="594"/>
      <c r="RWK69" s="594"/>
      <c r="RWL69" s="594"/>
      <c r="RWM69" s="594"/>
      <c r="RWN69" s="594"/>
      <c r="RWO69" s="594"/>
      <c r="RWP69" s="594"/>
      <c r="RWQ69" s="594"/>
      <c r="RWR69" s="594"/>
      <c r="RWS69" s="594"/>
      <c r="RWT69" s="594"/>
      <c r="RWU69" s="594"/>
      <c r="RWV69" s="594"/>
      <c r="RWW69" s="594"/>
      <c r="RWX69" s="594"/>
      <c r="RWY69" s="594"/>
      <c r="RWZ69" s="594"/>
      <c r="RXA69" s="594"/>
      <c r="RXB69" s="594"/>
      <c r="RXC69" s="594"/>
      <c r="RXD69" s="594"/>
      <c r="RXE69" s="594"/>
      <c r="RXF69" s="594"/>
      <c r="RXG69" s="594"/>
      <c r="RXH69" s="594"/>
      <c r="RXI69" s="594"/>
      <c r="RXJ69" s="594"/>
      <c r="RXK69" s="594"/>
      <c r="RXL69" s="594"/>
      <c r="RXM69" s="594"/>
      <c r="RXN69" s="594"/>
      <c r="RXO69" s="594"/>
      <c r="RXP69" s="594"/>
      <c r="RXQ69" s="594"/>
      <c r="RXR69" s="594"/>
      <c r="RXS69" s="594"/>
      <c r="RXT69" s="594"/>
      <c r="RXU69" s="594"/>
      <c r="RXV69" s="594"/>
      <c r="RXW69" s="594"/>
      <c r="RXX69" s="594"/>
      <c r="RXY69" s="594"/>
      <c r="RXZ69" s="594"/>
      <c r="RYA69" s="594"/>
      <c r="RYB69" s="594"/>
      <c r="RYC69" s="594"/>
      <c r="RYD69" s="594"/>
      <c r="RYE69" s="594"/>
      <c r="RYF69" s="594"/>
      <c r="RYG69" s="594"/>
      <c r="RYH69" s="594"/>
      <c r="RYI69" s="594"/>
      <c r="RYJ69" s="594"/>
      <c r="RYK69" s="594"/>
      <c r="RYL69" s="594"/>
      <c r="RYM69" s="594"/>
      <c r="RYN69" s="594"/>
      <c r="RYO69" s="594"/>
      <c r="RYP69" s="594"/>
      <c r="RYQ69" s="594"/>
      <c r="RYR69" s="594"/>
      <c r="RYS69" s="594"/>
      <c r="RYT69" s="594"/>
      <c r="RYU69" s="594"/>
      <c r="RYV69" s="594"/>
      <c r="RYW69" s="594"/>
      <c r="RYX69" s="594"/>
      <c r="RYY69" s="594"/>
      <c r="RYZ69" s="594"/>
      <c r="RZA69" s="594"/>
      <c r="RZB69" s="594"/>
      <c r="RZC69" s="594"/>
      <c r="RZD69" s="594"/>
      <c r="RZE69" s="594"/>
      <c r="RZF69" s="594"/>
      <c r="RZG69" s="594"/>
      <c r="RZH69" s="594"/>
      <c r="RZI69" s="594"/>
      <c r="RZJ69" s="594"/>
      <c r="RZK69" s="594"/>
      <c r="RZL69" s="594"/>
      <c r="RZM69" s="594"/>
      <c r="RZN69" s="594"/>
      <c r="RZO69" s="594"/>
      <c r="RZP69" s="594"/>
      <c r="RZQ69" s="594"/>
      <c r="RZR69" s="594"/>
      <c r="RZS69" s="594"/>
      <c r="RZT69" s="594"/>
      <c r="RZU69" s="594"/>
      <c r="RZV69" s="594"/>
      <c r="RZW69" s="594"/>
      <c r="RZX69" s="594"/>
      <c r="RZY69" s="594"/>
      <c r="RZZ69" s="594"/>
      <c r="SAA69" s="594"/>
      <c r="SAB69" s="594"/>
      <c r="SAC69" s="594"/>
      <c r="SAD69" s="594"/>
      <c r="SAE69" s="594"/>
      <c r="SAF69" s="594"/>
      <c r="SAG69" s="594"/>
      <c r="SAH69" s="594"/>
      <c r="SAI69" s="594"/>
      <c r="SAJ69" s="594"/>
      <c r="SAK69" s="594"/>
      <c r="SAL69" s="594"/>
      <c r="SAM69" s="594"/>
      <c r="SAN69" s="594"/>
      <c r="SAO69" s="594"/>
      <c r="SAP69" s="594"/>
      <c r="SAQ69" s="594"/>
      <c r="SAR69" s="594"/>
      <c r="SAS69" s="594"/>
      <c r="SAT69" s="594"/>
      <c r="SAU69" s="594"/>
      <c r="SAV69" s="594"/>
      <c r="SAW69" s="594"/>
      <c r="SAX69" s="594"/>
      <c r="SAY69" s="594"/>
      <c r="SAZ69" s="594"/>
      <c r="SBA69" s="594"/>
      <c r="SBB69" s="594"/>
      <c r="SBC69" s="594"/>
      <c r="SBD69" s="594"/>
      <c r="SBE69" s="594"/>
      <c r="SBF69" s="594"/>
      <c r="SBG69" s="594"/>
      <c r="SBH69" s="594"/>
      <c r="SBI69" s="594"/>
      <c r="SBJ69" s="594"/>
      <c r="SBK69" s="594"/>
      <c r="SBL69" s="594"/>
      <c r="SBM69" s="594"/>
      <c r="SBN69" s="594"/>
      <c r="SBO69" s="594"/>
      <c r="SBP69" s="594"/>
      <c r="SBQ69" s="594"/>
      <c r="SBR69" s="594"/>
      <c r="SBS69" s="594"/>
      <c r="SBT69" s="594"/>
      <c r="SBU69" s="594"/>
      <c r="SBV69" s="594"/>
      <c r="SBW69" s="594"/>
      <c r="SBX69" s="594"/>
      <c r="SBY69" s="594"/>
      <c r="SBZ69" s="594"/>
      <c r="SCA69" s="594"/>
      <c r="SCB69" s="594"/>
      <c r="SCC69" s="594"/>
      <c r="SCD69" s="594"/>
      <c r="SCE69" s="594"/>
      <c r="SCF69" s="594"/>
      <c r="SCG69" s="594"/>
      <c r="SCH69" s="594"/>
      <c r="SCI69" s="594"/>
      <c r="SCJ69" s="594"/>
      <c r="SCK69" s="594"/>
      <c r="SCL69" s="594"/>
      <c r="SCM69" s="594"/>
      <c r="SCN69" s="594"/>
      <c r="SCO69" s="594"/>
      <c r="SCP69" s="594"/>
      <c r="SCQ69" s="594"/>
      <c r="SCR69" s="594"/>
      <c r="SCS69" s="594"/>
      <c r="SCT69" s="594"/>
      <c r="SCU69" s="594"/>
      <c r="SCV69" s="594"/>
      <c r="SCW69" s="594"/>
      <c r="SCX69" s="594"/>
      <c r="SCY69" s="594"/>
      <c r="SCZ69" s="594"/>
      <c r="SDA69" s="594"/>
      <c r="SDB69" s="594"/>
      <c r="SDC69" s="594"/>
      <c r="SDD69" s="594"/>
      <c r="SDE69" s="594"/>
      <c r="SDF69" s="594"/>
      <c r="SDG69" s="594"/>
      <c r="SDH69" s="594"/>
      <c r="SDI69" s="594"/>
      <c r="SDJ69" s="594"/>
      <c r="SDK69" s="594"/>
      <c r="SDL69" s="594"/>
      <c r="SDM69" s="594"/>
      <c r="SDN69" s="594"/>
      <c r="SDO69" s="594"/>
      <c r="SDP69" s="594"/>
      <c r="SDQ69" s="594"/>
      <c r="SDR69" s="594"/>
      <c r="SDS69" s="594"/>
      <c r="SDT69" s="594"/>
      <c r="SDU69" s="594"/>
      <c r="SDV69" s="594"/>
      <c r="SDW69" s="594"/>
      <c r="SDX69" s="594"/>
      <c r="SDY69" s="594"/>
      <c r="SDZ69" s="594"/>
      <c r="SEA69" s="594"/>
      <c r="SEB69" s="594"/>
      <c r="SEC69" s="594"/>
      <c r="SED69" s="594"/>
      <c r="SEE69" s="594"/>
      <c r="SEF69" s="594"/>
      <c r="SEG69" s="594"/>
      <c r="SEH69" s="594"/>
      <c r="SEI69" s="594"/>
      <c r="SEJ69" s="594"/>
      <c r="SEK69" s="594"/>
      <c r="SEL69" s="594"/>
      <c r="SEM69" s="594"/>
      <c r="SEN69" s="594"/>
      <c r="SEO69" s="594"/>
      <c r="SEP69" s="594"/>
      <c r="SEQ69" s="594"/>
      <c r="SER69" s="594"/>
      <c r="SES69" s="594"/>
      <c r="SET69" s="594"/>
      <c r="SEU69" s="594"/>
      <c r="SEV69" s="594"/>
      <c r="SEW69" s="594"/>
      <c r="SEX69" s="594"/>
      <c r="SEY69" s="594"/>
      <c r="SEZ69" s="594"/>
      <c r="SFA69" s="594"/>
      <c r="SFB69" s="594"/>
      <c r="SFC69" s="594"/>
      <c r="SFD69" s="594"/>
      <c r="SFE69" s="594"/>
      <c r="SFF69" s="594"/>
      <c r="SFG69" s="594"/>
      <c r="SFH69" s="594"/>
      <c r="SFI69" s="594"/>
      <c r="SFJ69" s="594"/>
      <c r="SFK69" s="594"/>
      <c r="SFL69" s="594"/>
      <c r="SFM69" s="594"/>
      <c r="SFN69" s="594"/>
      <c r="SFO69" s="594"/>
      <c r="SFP69" s="594"/>
      <c r="SFQ69" s="594"/>
      <c r="SFR69" s="594"/>
      <c r="SFS69" s="594"/>
      <c r="SFT69" s="594"/>
      <c r="SFU69" s="594"/>
      <c r="SFV69" s="594"/>
      <c r="SFW69" s="594"/>
      <c r="SFX69" s="594"/>
      <c r="SFY69" s="594"/>
      <c r="SFZ69" s="594"/>
      <c r="SGA69" s="594"/>
      <c r="SGB69" s="594"/>
      <c r="SGC69" s="594"/>
      <c r="SGD69" s="594"/>
      <c r="SGE69" s="594"/>
      <c r="SGF69" s="594"/>
      <c r="SGG69" s="594"/>
      <c r="SGH69" s="594"/>
      <c r="SGI69" s="594"/>
      <c r="SGJ69" s="594"/>
      <c r="SGK69" s="594"/>
      <c r="SGL69" s="594"/>
      <c r="SGM69" s="594"/>
      <c r="SGN69" s="594"/>
      <c r="SGO69" s="594"/>
      <c r="SGP69" s="594"/>
      <c r="SGQ69" s="594"/>
      <c r="SGR69" s="594"/>
      <c r="SGS69" s="594"/>
      <c r="SGT69" s="594"/>
      <c r="SGU69" s="594"/>
      <c r="SGV69" s="594"/>
      <c r="SGW69" s="594"/>
      <c r="SGX69" s="594"/>
      <c r="SGY69" s="594"/>
      <c r="SGZ69" s="594"/>
      <c r="SHA69" s="594"/>
      <c r="SHB69" s="594"/>
      <c r="SHC69" s="594"/>
      <c r="SHD69" s="594"/>
      <c r="SHE69" s="594"/>
      <c r="SHF69" s="594"/>
      <c r="SHG69" s="594"/>
      <c r="SHH69" s="594"/>
      <c r="SHI69" s="594"/>
      <c r="SHJ69" s="594"/>
      <c r="SHK69" s="594"/>
      <c r="SHL69" s="594"/>
      <c r="SHM69" s="594"/>
      <c r="SHN69" s="594"/>
      <c r="SHO69" s="594"/>
      <c r="SHP69" s="594"/>
      <c r="SHQ69" s="594"/>
      <c r="SHR69" s="594"/>
      <c r="SHS69" s="594"/>
      <c r="SHT69" s="594"/>
      <c r="SHU69" s="594"/>
      <c r="SHV69" s="594"/>
      <c r="SHW69" s="594"/>
      <c r="SHX69" s="594"/>
      <c r="SHY69" s="594"/>
      <c r="SHZ69" s="594"/>
      <c r="SIA69" s="594"/>
      <c r="SIB69" s="594"/>
      <c r="SIC69" s="594"/>
      <c r="SID69" s="594"/>
      <c r="SIE69" s="594"/>
      <c r="SIF69" s="594"/>
      <c r="SIG69" s="594"/>
      <c r="SIH69" s="594"/>
      <c r="SII69" s="594"/>
      <c r="SIJ69" s="594"/>
      <c r="SIK69" s="594"/>
      <c r="SIL69" s="594"/>
      <c r="SIM69" s="594"/>
      <c r="SIN69" s="594"/>
      <c r="SIO69" s="594"/>
      <c r="SIP69" s="594"/>
      <c r="SIQ69" s="594"/>
      <c r="SIR69" s="594"/>
      <c r="SIS69" s="594"/>
      <c r="SIT69" s="594"/>
      <c r="SIU69" s="594"/>
      <c r="SIV69" s="594"/>
      <c r="SIW69" s="594"/>
      <c r="SIX69" s="594"/>
      <c r="SIY69" s="594"/>
      <c r="SIZ69" s="594"/>
      <c r="SJA69" s="594"/>
      <c r="SJB69" s="594"/>
      <c r="SJC69" s="594"/>
      <c r="SJD69" s="594"/>
      <c r="SJE69" s="594"/>
      <c r="SJF69" s="594"/>
      <c r="SJG69" s="594"/>
      <c r="SJH69" s="594"/>
      <c r="SJI69" s="594"/>
      <c r="SJJ69" s="594"/>
      <c r="SJK69" s="594"/>
      <c r="SJL69" s="594"/>
      <c r="SJM69" s="594"/>
      <c r="SJN69" s="594"/>
      <c r="SJO69" s="594"/>
      <c r="SJP69" s="594"/>
      <c r="SJQ69" s="594"/>
      <c r="SJR69" s="594"/>
      <c r="SJS69" s="594"/>
      <c r="SJT69" s="594"/>
      <c r="SJU69" s="594"/>
      <c r="SJV69" s="594"/>
      <c r="SJW69" s="594"/>
      <c r="SJX69" s="594"/>
      <c r="SJY69" s="594"/>
      <c r="SJZ69" s="594"/>
      <c r="SKA69" s="594"/>
      <c r="SKB69" s="594"/>
      <c r="SKC69" s="594"/>
      <c r="SKD69" s="594"/>
      <c r="SKE69" s="594"/>
      <c r="SKF69" s="594"/>
      <c r="SKG69" s="594"/>
      <c r="SKH69" s="594"/>
      <c r="SKI69" s="594"/>
      <c r="SKJ69" s="594"/>
      <c r="SKK69" s="594"/>
      <c r="SKL69" s="594"/>
      <c r="SKM69" s="594"/>
      <c r="SKN69" s="594"/>
      <c r="SKO69" s="594"/>
      <c r="SKP69" s="594"/>
      <c r="SKQ69" s="594"/>
      <c r="SKR69" s="594"/>
      <c r="SKS69" s="594"/>
      <c r="SKT69" s="594"/>
      <c r="SKU69" s="594"/>
      <c r="SKV69" s="594"/>
      <c r="SKW69" s="594"/>
      <c r="SKX69" s="594"/>
      <c r="SKY69" s="594"/>
      <c r="SKZ69" s="594"/>
      <c r="SLA69" s="594"/>
      <c r="SLB69" s="594"/>
      <c r="SLC69" s="594"/>
      <c r="SLD69" s="594"/>
      <c r="SLE69" s="594"/>
      <c r="SLF69" s="594"/>
      <c r="SLG69" s="594"/>
      <c r="SLH69" s="594"/>
      <c r="SLI69" s="594"/>
      <c r="SLJ69" s="594"/>
      <c r="SLK69" s="594"/>
      <c r="SLL69" s="594"/>
      <c r="SLM69" s="594"/>
      <c r="SLN69" s="594"/>
      <c r="SLO69" s="594"/>
      <c r="SLP69" s="594"/>
      <c r="SLQ69" s="594"/>
      <c r="SLR69" s="594"/>
      <c r="SLS69" s="594"/>
      <c r="SLT69" s="594"/>
      <c r="SLU69" s="594"/>
      <c r="SLV69" s="594"/>
      <c r="SLW69" s="594"/>
      <c r="SLX69" s="594"/>
      <c r="SLY69" s="594"/>
      <c r="SLZ69" s="594"/>
      <c r="SMA69" s="594"/>
      <c r="SMB69" s="594"/>
      <c r="SMC69" s="594"/>
      <c r="SMD69" s="594"/>
      <c r="SME69" s="594"/>
      <c r="SMF69" s="594"/>
      <c r="SMG69" s="594"/>
      <c r="SMH69" s="594"/>
      <c r="SMI69" s="594"/>
      <c r="SMJ69" s="594"/>
      <c r="SMK69" s="594"/>
      <c r="SML69" s="594"/>
      <c r="SMM69" s="594"/>
      <c r="SMN69" s="594"/>
      <c r="SMO69" s="594"/>
      <c r="SMP69" s="594"/>
      <c r="SMQ69" s="594"/>
      <c r="SMR69" s="594"/>
      <c r="SMS69" s="594"/>
      <c r="SMT69" s="594"/>
      <c r="SMU69" s="594"/>
      <c r="SMV69" s="594"/>
      <c r="SMW69" s="594"/>
      <c r="SMX69" s="594"/>
      <c r="SMY69" s="594"/>
      <c r="SMZ69" s="594"/>
      <c r="SNA69" s="594"/>
      <c r="SNB69" s="594"/>
      <c r="SNC69" s="594"/>
      <c r="SND69" s="594"/>
      <c r="SNE69" s="594"/>
      <c r="SNF69" s="594"/>
      <c r="SNG69" s="594"/>
      <c r="SNH69" s="594"/>
      <c r="SNI69" s="594"/>
      <c r="SNJ69" s="594"/>
      <c r="SNK69" s="594"/>
      <c r="SNL69" s="594"/>
      <c r="SNM69" s="594"/>
      <c r="SNN69" s="594"/>
      <c r="SNO69" s="594"/>
      <c r="SNP69" s="594"/>
      <c r="SNQ69" s="594"/>
      <c r="SNR69" s="594"/>
      <c r="SNS69" s="594"/>
      <c r="SNT69" s="594"/>
      <c r="SNU69" s="594"/>
      <c r="SNV69" s="594"/>
      <c r="SNW69" s="594"/>
      <c r="SNX69" s="594"/>
      <c r="SNY69" s="594"/>
      <c r="SNZ69" s="594"/>
      <c r="SOA69" s="594"/>
      <c r="SOB69" s="594"/>
      <c r="SOC69" s="594"/>
      <c r="SOD69" s="594"/>
      <c r="SOE69" s="594"/>
      <c r="SOF69" s="594"/>
      <c r="SOG69" s="594"/>
      <c r="SOH69" s="594"/>
      <c r="SOI69" s="594"/>
      <c r="SOJ69" s="594"/>
      <c r="SOK69" s="594"/>
      <c r="SOL69" s="594"/>
      <c r="SOM69" s="594"/>
      <c r="SON69" s="594"/>
      <c r="SOO69" s="594"/>
      <c r="SOP69" s="594"/>
      <c r="SOQ69" s="594"/>
      <c r="SOR69" s="594"/>
      <c r="SOS69" s="594"/>
      <c r="SOT69" s="594"/>
      <c r="SOU69" s="594"/>
      <c r="SOV69" s="594"/>
      <c r="SOW69" s="594"/>
      <c r="SOX69" s="594"/>
      <c r="SOY69" s="594"/>
      <c r="SOZ69" s="594"/>
      <c r="SPA69" s="594"/>
      <c r="SPB69" s="594"/>
      <c r="SPC69" s="594"/>
      <c r="SPD69" s="594"/>
      <c r="SPE69" s="594"/>
      <c r="SPF69" s="594"/>
      <c r="SPG69" s="594"/>
      <c r="SPH69" s="594"/>
      <c r="SPI69" s="594"/>
      <c r="SPJ69" s="594"/>
      <c r="SPK69" s="594"/>
      <c r="SPL69" s="594"/>
      <c r="SPM69" s="594"/>
      <c r="SPN69" s="594"/>
      <c r="SPO69" s="594"/>
      <c r="SPP69" s="594"/>
      <c r="SPQ69" s="594"/>
      <c r="SPR69" s="594"/>
      <c r="SPS69" s="594"/>
      <c r="SPT69" s="594"/>
      <c r="SPU69" s="594"/>
      <c r="SPV69" s="594"/>
      <c r="SPW69" s="594"/>
      <c r="SPX69" s="594"/>
      <c r="SPY69" s="594"/>
      <c r="SPZ69" s="594"/>
      <c r="SQA69" s="594"/>
      <c r="SQB69" s="594"/>
      <c r="SQC69" s="594"/>
      <c r="SQD69" s="594"/>
      <c r="SQE69" s="594"/>
      <c r="SQF69" s="594"/>
      <c r="SQG69" s="594"/>
      <c r="SQH69" s="594"/>
      <c r="SQI69" s="594"/>
      <c r="SQJ69" s="594"/>
      <c r="SQK69" s="594"/>
      <c r="SQL69" s="594"/>
      <c r="SQM69" s="594"/>
      <c r="SQN69" s="594"/>
      <c r="SQO69" s="594"/>
      <c r="SQP69" s="594"/>
      <c r="SQQ69" s="594"/>
      <c r="SQR69" s="594"/>
      <c r="SQS69" s="594"/>
      <c r="SQT69" s="594"/>
      <c r="SQU69" s="594"/>
      <c r="SQV69" s="594"/>
      <c r="SQW69" s="594"/>
      <c r="SQX69" s="594"/>
      <c r="SQY69" s="594"/>
      <c r="SQZ69" s="594"/>
      <c r="SRA69" s="594"/>
      <c r="SRB69" s="594"/>
      <c r="SRC69" s="594"/>
      <c r="SRD69" s="594"/>
      <c r="SRE69" s="594"/>
      <c r="SRF69" s="594"/>
      <c r="SRG69" s="594"/>
      <c r="SRH69" s="594"/>
      <c r="SRI69" s="594"/>
      <c r="SRJ69" s="594"/>
      <c r="SRK69" s="594"/>
      <c r="SRL69" s="594"/>
      <c r="SRM69" s="594"/>
      <c r="SRN69" s="594"/>
      <c r="SRO69" s="594"/>
      <c r="SRP69" s="594"/>
      <c r="SRQ69" s="594"/>
      <c r="SRR69" s="594"/>
      <c r="SRS69" s="594"/>
      <c r="SRT69" s="594"/>
      <c r="SRU69" s="594"/>
      <c r="SRV69" s="594"/>
      <c r="SRW69" s="594"/>
      <c r="SRX69" s="594"/>
      <c r="SRY69" s="594"/>
      <c r="SRZ69" s="594"/>
      <c r="SSA69" s="594"/>
      <c r="SSB69" s="594"/>
      <c r="SSC69" s="594"/>
      <c r="SSD69" s="594"/>
      <c r="SSE69" s="594"/>
      <c r="SSF69" s="594"/>
      <c r="SSG69" s="594"/>
      <c r="SSH69" s="594"/>
      <c r="SSI69" s="594"/>
      <c r="SSJ69" s="594"/>
      <c r="SSK69" s="594"/>
      <c r="SSL69" s="594"/>
      <c r="SSM69" s="594"/>
      <c r="SSN69" s="594"/>
      <c r="SSO69" s="594"/>
      <c r="SSP69" s="594"/>
      <c r="SSQ69" s="594"/>
      <c r="SSR69" s="594"/>
      <c r="SSS69" s="594"/>
      <c r="SST69" s="594"/>
      <c r="SSU69" s="594"/>
      <c r="SSV69" s="594"/>
      <c r="SSW69" s="594"/>
      <c r="SSX69" s="594"/>
      <c r="SSY69" s="594"/>
      <c r="SSZ69" s="594"/>
      <c r="STA69" s="594"/>
      <c r="STB69" s="594"/>
      <c r="STC69" s="594"/>
      <c r="STD69" s="594"/>
      <c r="STE69" s="594"/>
      <c r="STF69" s="594"/>
      <c r="STG69" s="594"/>
      <c r="STH69" s="594"/>
      <c r="STI69" s="594"/>
      <c r="STJ69" s="594"/>
      <c r="STK69" s="594"/>
      <c r="STL69" s="594"/>
      <c r="STM69" s="594"/>
      <c r="STN69" s="594"/>
      <c r="STO69" s="594"/>
      <c r="STP69" s="594"/>
      <c r="STQ69" s="594"/>
      <c r="STR69" s="594"/>
      <c r="STS69" s="594"/>
      <c r="STT69" s="594"/>
      <c r="STU69" s="594"/>
      <c r="STV69" s="594"/>
      <c r="STW69" s="594"/>
      <c r="STX69" s="594"/>
      <c r="STY69" s="594"/>
      <c r="STZ69" s="594"/>
      <c r="SUA69" s="594"/>
      <c r="SUB69" s="594"/>
      <c r="SUC69" s="594"/>
      <c r="SUD69" s="594"/>
      <c r="SUE69" s="594"/>
      <c r="SUF69" s="594"/>
      <c r="SUG69" s="594"/>
      <c r="SUH69" s="594"/>
      <c r="SUI69" s="594"/>
      <c r="SUJ69" s="594"/>
      <c r="SUK69" s="594"/>
      <c r="SUL69" s="594"/>
      <c r="SUM69" s="594"/>
      <c r="SUN69" s="594"/>
      <c r="SUO69" s="594"/>
      <c r="SUP69" s="594"/>
      <c r="SUQ69" s="594"/>
      <c r="SUR69" s="594"/>
      <c r="SUS69" s="594"/>
      <c r="SUT69" s="594"/>
      <c r="SUU69" s="594"/>
      <c r="SUV69" s="594"/>
      <c r="SUW69" s="594"/>
      <c r="SUX69" s="594"/>
      <c r="SUY69" s="594"/>
      <c r="SUZ69" s="594"/>
      <c r="SVA69" s="594"/>
      <c r="SVB69" s="594"/>
      <c r="SVC69" s="594"/>
      <c r="SVD69" s="594"/>
      <c r="SVE69" s="594"/>
      <c r="SVF69" s="594"/>
      <c r="SVG69" s="594"/>
      <c r="SVH69" s="594"/>
      <c r="SVI69" s="594"/>
      <c r="SVJ69" s="594"/>
      <c r="SVK69" s="594"/>
      <c r="SVL69" s="594"/>
      <c r="SVM69" s="594"/>
      <c r="SVN69" s="594"/>
      <c r="SVO69" s="594"/>
      <c r="SVP69" s="594"/>
      <c r="SVQ69" s="594"/>
      <c r="SVR69" s="594"/>
      <c r="SVS69" s="594"/>
      <c r="SVT69" s="594"/>
      <c r="SVU69" s="594"/>
      <c r="SVV69" s="594"/>
      <c r="SVW69" s="594"/>
      <c r="SVX69" s="594"/>
      <c r="SVY69" s="594"/>
      <c r="SVZ69" s="594"/>
      <c r="SWA69" s="594"/>
      <c r="SWB69" s="594"/>
      <c r="SWC69" s="594"/>
      <c r="SWD69" s="594"/>
      <c r="SWE69" s="594"/>
      <c r="SWF69" s="594"/>
      <c r="SWG69" s="594"/>
      <c r="SWH69" s="594"/>
      <c r="SWI69" s="594"/>
      <c r="SWJ69" s="594"/>
      <c r="SWK69" s="594"/>
      <c r="SWL69" s="594"/>
      <c r="SWM69" s="594"/>
      <c r="SWN69" s="594"/>
      <c r="SWO69" s="594"/>
      <c r="SWP69" s="594"/>
      <c r="SWQ69" s="594"/>
      <c r="SWR69" s="594"/>
      <c r="SWS69" s="594"/>
      <c r="SWT69" s="594"/>
      <c r="SWU69" s="594"/>
      <c r="SWV69" s="594"/>
      <c r="SWW69" s="594"/>
      <c r="SWX69" s="594"/>
      <c r="SWY69" s="594"/>
      <c r="SWZ69" s="594"/>
      <c r="SXA69" s="594"/>
      <c r="SXB69" s="594"/>
      <c r="SXC69" s="594"/>
      <c r="SXD69" s="594"/>
      <c r="SXE69" s="594"/>
      <c r="SXF69" s="594"/>
      <c r="SXG69" s="594"/>
      <c r="SXH69" s="594"/>
      <c r="SXI69" s="594"/>
      <c r="SXJ69" s="594"/>
      <c r="SXK69" s="594"/>
      <c r="SXL69" s="594"/>
      <c r="SXM69" s="594"/>
      <c r="SXN69" s="594"/>
      <c r="SXO69" s="594"/>
      <c r="SXP69" s="594"/>
      <c r="SXQ69" s="594"/>
      <c r="SXR69" s="594"/>
      <c r="SXS69" s="594"/>
      <c r="SXT69" s="594"/>
      <c r="SXU69" s="594"/>
      <c r="SXV69" s="594"/>
      <c r="SXW69" s="594"/>
      <c r="SXX69" s="594"/>
      <c r="SXY69" s="594"/>
      <c r="SXZ69" s="594"/>
      <c r="SYA69" s="594"/>
      <c r="SYB69" s="594"/>
      <c r="SYC69" s="594"/>
      <c r="SYD69" s="594"/>
      <c r="SYE69" s="594"/>
      <c r="SYF69" s="594"/>
      <c r="SYG69" s="594"/>
      <c r="SYH69" s="594"/>
      <c r="SYI69" s="594"/>
      <c r="SYJ69" s="594"/>
      <c r="SYK69" s="594"/>
      <c r="SYL69" s="594"/>
      <c r="SYM69" s="594"/>
      <c r="SYN69" s="594"/>
      <c r="SYO69" s="594"/>
      <c r="SYP69" s="594"/>
      <c r="SYQ69" s="594"/>
      <c r="SYR69" s="594"/>
      <c r="SYS69" s="594"/>
      <c r="SYT69" s="594"/>
      <c r="SYU69" s="594"/>
      <c r="SYV69" s="594"/>
      <c r="SYW69" s="594"/>
      <c r="SYX69" s="594"/>
      <c r="SYY69" s="594"/>
      <c r="SYZ69" s="594"/>
      <c r="SZA69" s="594"/>
      <c r="SZB69" s="594"/>
      <c r="SZC69" s="594"/>
      <c r="SZD69" s="594"/>
      <c r="SZE69" s="594"/>
      <c r="SZF69" s="594"/>
      <c r="SZG69" s="594"/>
      <c r="SZH69" s="594"/>
      <c r="SZI69" s="594"/>
      <c r="SZJ69" s="594"/>
      <c r="SZK69" s="594"/>
      <c r="SZL69" s="594"/>
      <c r="SZM69" s="594"/>
      <c r="SZN69" s="594"/>
      <c r="SZO69" s="594"/>
      <c r="SZP69" s="594"/>
      <c r="SZQ69" s="594"/>
      <c r="SZR69" s="594"/>
      <c r="SZS69" s="594"/>
      <c r="SZT69" s="594"/>
      <c r="SZU69" s="594"/>
      <c r="SZV69" s="594"/>
      <c r="SZW69" s="594"/>
      <c r="SZX69" s="594"/>
      <c r="SZY69" s="594"/>
      <c r="SZZ69" s="594"/>
      <c r="TAA69" s="594"/>
      <c r="TAB69" s="594"/>
      <c r="TAC69" s="594"/>
      <c r="TAD69" s="594"/>
      <c r="TAE69" s="594"/>
      <c r="TAF69" s="594"/>
      <c r="TAG69" s="594"/>
      <c r="TAH69" s="594"/>
      <c r="TAI69" s="594"/>
      <c r="TAJ69" s="594"/>
      <c r="TAK69" s="594"/>
      <c r="TAL69" s="594"/>
      <c r="TAM69" s="594"/>
      <c r="TAN69" s="594"/>
      <c r="TAO69" s="594"/>
      <c r="TAP69" s="594"/>
      <c r="TAQ69" s="594"/>
      <c r="TAR69" s="594"/>
      <c r="TAS69" s="594"/>
      <c r="TAT69" s="594"/>
      <c r="TAU69" s="594"/>
      <c r="TAV69" s="594"/>
      <c r="TAW69" s="594"/>
      <c r="TAX69" s="594"/>
      <c r="TAY69" s="594"/>
      <c r="TAZ69" s="594"/>
      <c r="TBA69" s="594"/>
      <c r="TBB69" s="594"/>
      <c r="TBC69" s="594"/>
      <c r="TBD69" s="594"/>
      <c r="TBE69" s="594"/>
      <c r="TBF69" s="594"/>
      <c r="TBG69" s="594"/>
      <c r="TBH69" s="594"/>
      <c r="TBI69" s="594"/>
      <c r="TBJ69" s="594"/>
      <c r="TBK69" s="594"/>
      <c r="TBL69" s="594"/>
      <c r="TBM69" s="594"/>
      <c r="TBN69" s="594"/>
      <c r="TBO69" s="594"/>
      <c r="TBP69" s="594"/>
      <c r="TBQ69" s="594"/>
      <c r="TBR69" s="594"/>
      <c r="TBS69" s="594"/>
      <c r="TBT69" s="594"/>
      <c r="TBU69" s="594"/>
      <c r="TBV69" s="594"/>
      <c r="TBW69" s="594"/>
      <c r="TBX69" s="594"/>
      <c r="TBY69" s="594"/>
      <c r="TBZ69" s="594"/>
      <c r="TCA69" s="594"/>
      <c r="TCB69" s="594"/>
      <c r="TCC69" s="594"/>
      <c r="TCD69" s="594"/>
      <c r="TCE69" s="594"/>
      <c r="TCF69" s="594"/>
      <c r="TCG69" s="594"/>
      <c r="TCH69" s="594"/>
      <c r="TCI69" s="594"/>
      <c r="TCJ69" s="594"/>
      <c r="TCK69" s="594"/>
      <c r="TCL69" s="594"/>
      <c r="TCM69" s="594"/>
      <c r="TCN69" s="594"/>
      <c r="TCO69" s="594"/>
      <c r="TCP69" s="594"/>
      <c r="TCQ69" s="594"/>
      <c r="TCR69" s="594"/>
      <c r="TCS69" s="594"/>
      <c r="TCT69" s="594"/>
      <c r="TCU69" s="594"/>
      <c r="TCV69" s="594"/>
      <c r="TCW69" s="594"/>
      <c r="TCX69" s="594"/>
      <c r="TCY69" s="594"/>
      <c r="TCZ69" s="594"/>
      <c r="TDA69" s="594"/>
      <c r="TDB69" s="594"/>
      <c r="TDC69" s="594"/>
      <c r="TDD69" s="594"/>
      <c r="TDE69" s="594"/>
      <c r="TDF69" s="594"/>
      <c r="TDG69" s="594"/>
      <c r="TDH69" s="594"/>
      <c r="TDI69" s="594"/>
      <c r="TDJ69" s="594"/>
      <c r="TDK69" s="594"/>
      <c r="TDL69" s="594"/>
      <c r="TDM69" s="594"/>
      <c r="TDN69" s="594"/>
      <c r="TDO69" s="594"/>
      <c r="TDP69" s="594"/>
      <c r="TDQ69" s="594"/>
      <c r="TDR69" s="594"/>
      <c r="TDS69" s="594"/>
      <c r="TDT69" s="594"/>
      <c r="TDU69" s="594"/>
      <c r="TDV69" s="594"/>
      <c r="TDW69" s="594"/>
      <c r="TDX69" s="594"/>
      <c r="TDY69" s="594"/>
      <c r="TDZ69" s="594"/>
      <c r="TEA69" s="594"/>
      <c r="TEB69" s="594"/>
      <c r="TEC69" s="594"/>
      <c r="TED69" s="594"/>
      <c r="TEE69" s="594"/>
      <c r="TEF69" s="594"/>
      <c r="TEG69" s="594"/>
      <c r="TEH69" s="594"/>
      <c r="TEI69" s="594"/>
      <c r="TEJ69" s="594"/>
      <c r="TEK69" s="594"/>
      <c r="TEL69" s="594"/>
      <c r="TEM69" s="594"/>
      <c r="TEN69" s="594"/>
      <c r="TEO69" s="594"/>
      <c r="TEP69" s="594"/>
      <c r="TEQ69" s="594"/>
      <c r="TER69" s="594"/>
      <c r="TES69" s="594"/>
      <c r="TET69" s="594"/>
      <c r="TEU69" s="594"/>
      <c r="TEV69" s="594"/>
      <c r="TEW69" s="594"/>
      <c r="TEX69" s="594"/>
      <c r="TEY69" s="594"/>
      <c r="TEZ69" s="594"/>
      <c r="TFA69" s="594"/>
      <c r="TFB69" s="594"/>
      <c r="TFC69" s="594"/>
      <c r="TFD69" s="594"/>
      <c r="TFE69" s="594"/>
      <c r="TFF69" s="594"/>
      <c r="TFG69" s="594"/>
      <c r="TFH69" s="594"/>
      <c r="TFI69" s="594"/>
      <c r="TFJ69" s="594"/>
      <c r="TFK69" s="594"/>
      <c r="TFL69" s="594"/>
      <c r="TFM69" s="594"/>
      <c r="TFN69" s="594"/>
      <c r="TFO69" s="594"/>
      <c r="TFP69" s="594"/>
      <c r="TFQ69" s="594"/>
      <c r="TFR69" s="594"/>
      <c r="TFS69" s="594"/>
      <c r="TFT69" s="594"/>
      <c r="TFU69" s="594"/>
      <c r="TFV69" s="594"/>
      <c r="TFW69" s="594"/>
      <c r="TFX69" s="594"/>
      <c r="TFY69" s="594"/>
      <c r="TFZ69" s="594"/>
      <c r="TGA69" s="594"/>
      <c r="TGB69" s="594"/>
      <c r="TGC69" s="594"/>
      <c r="TGD69" s="594"/>
      <c r="TGE69" s="594"/>
      <c r="TGF69" s="594"/>
      <c r="TGG69" s="594"/>
      <c r="TGH69" s="594"/>
      <c r="TGI69" s="594"/>
      <c r="TGJ69" s="594"/>
      <c r="TGK69" s="594"/>
      <c r="TGL69" s="594"/>
      <c r="TGM69" s="594"/>
      <c r="TGN69" s="594"/>
      <c r="TGO69" s="594"/>
      <c r="TGP69" s="594"/>
      <c r="TGQ69" s="594"/>
      <c r="TGR69" s="594"/>
      <c r="TGS69" s="594"/>
      <c r="TGT69" s="594"/>
      <c r="TGU69" s="594"/>
      <c r="TGV69" s="594"/>
      <c r="TGW69" s="594"/>
      <c r="TGX69" s="594"/>
      <c r="TGY69" s="594"/>
      <c r="TGZ69" s="594"/>
      <c r="THA69" s="594"/>
      <c r="THB69" s="594"/>
      <c r="THC69" s="594"/>
      <c r="THD69" s="594"/>
      <c r="THE69" s="594"/>
      <c r="THF69" s="594"/>
      <c r="THG69" s="594"/>
      <c r="THH69" s="594"/>
      <c r="THI69" s="594"/>
      <c r="THJ69" s="594"/>
      <c r="THK69" s="594"/>
      <c r="THL69" s="594"/>
      <c r="THM69" s="594"/>
      <c r="THN69" s="594"/>
      <c r="THO69" s="594"/>
      <c r="THP69" s="594"/>
      <c r="THQ69" s="594"/>
      <c r="THR69" s="594"/>
      <c r="THS69" s="594"/>
      <c r="THT69" s="594"/>
      <c r="THU69" s="594"/>
      <c r="THV69" s="594"/>
      <c r="THW69" s="594"/>
      <c r="THX69" s="594"/>
      <c r="THY69" s="594"/>
      <c r="THZ69" s="594"/>
      <c r="TIA69" s="594"/>
      <c r="TIB69" s="594"/>
      <c r="TIC69" s="594"/>
      <c r="TID69" s="594"/>
      <c r="TIE69" s="594"/>
      <c r="TIF69" s="594"/>
      <c r="TIG69" s="594"/>
      <c r="TIH69" s="594"/>
      <c r="TII69" s="594"/>
      <c r="TIJ69" s="594"/>
      <c r="TIK69" s="594"/>
      <c r="TIL69" s="594"/>
      <c r="TIM69" s="594"/>
      <c r="TIN69" s="594"/>
      <c r="TIO69" s="594"/>
      <c r="TIP69" s="594"/>
      <c r="TIQ69" s="594"/>
      <c r="TIR69" s="594"/>
      <c r="TIS69" s="594"/>
      <c r="TIT69" s="594"/>
      <c r="TIU69" s="594"/>
      <c r="TIV69" s="594"/>
      <c r="TIW69" s="594"/>
      <c r="TIX69" s="594"/>
      <c r="TIY69" s="594"/>
      <c r="TIZ69" s="594"/>
      <c r="TJA69" s="594"/>
      <c r="TJB69" s="594"/>
      <c r="TJC69" s="594"/>
      <c r="TJD69" s="594"/>
      <c r="TJE69" s="594"/>
      <c r="TJF69" s="594"/>
      <c r="TJG69" s="594"/>
      <c r="TJH69" s="594"/>
      <c r="TJI69" s="594"/>
      <c r="TJJ69" s="594"/>
      <c r="TJK69" s="594"/>
      <c r="TJL69" s="594"/>
      <c r="TJM69" s="594"/>
      <c r="TJN69" s="594"/>
      <c r="TJO69" s="594"/>
      <c r="TJP69" s="594"/>
      <c r="TJQ69" s="594"/>
      <c r="TJR69" s="594"/>
      <c r="TJS69" s="594"/>
      <c r="TJT69" s="594"/>
      <c r="TJU69" s="594"/>
      <c r="TJV69" s="594"/>
      <c r="TJW69" s="594"/>
      <c r="TJX69" s="594"/>
      <c r="TJY69" s="594"/>
      <c r="TJZ69" s="594"/>
      <c r="TKA69" s="594"/>
      <c r="TKB69" s="594"/>
      <c r="TKC69" s="594"/>
      <c r="TKD69" s="594"/>
      <c r="TKE69" s="594"/>
      <c r="TKF69" s="594"/>
      <c r="TKG69" s="594"/>
      <c r="TKH69" s="594"/>
      <c r="TKI69" s="594"/>
      <c r="TKJ69" s="594"/>
      <c r="TKK69" s="594"/>
      <c r="TKL69" s="594"/>
      <c r="TKM69" s="594"/>
      <c r="TKN69" s="594"/>
      <c r="TKO69" s="594"/>
      <c r="TKP69" s="594"/>
      <c r="TKQ69" s="594"/>
      <c r="TKR69" s="594"/>
      <c r="TKS69" s="594"/>
      <c r="TKT69" s="594"/>
      <c r="TKU69" s="594"/>
      <c r="TKV69" s="594"/>
      <c r="TKW69" s="594"/>
      <c r="TKX69" s="594"/>
      <c r="TKY69" s="594"/>
      <c r="TKZ69" s="594"/>
      <c r="TLA69" s="594"/>
      <c r="TLB69" s="594"/>
      <c r="TLC69" s="594"/>
      <c r="TLD69" s="594"/>
      <c r="TLE69" s="594"/>
      <c r="TLF69" s="594"/>
      <c r="TLG69" s="594"/>
      <c r="TLH69" s="594"/>
      <c r="TLI69" s="594"/>
      <c r="TLJ69" s="594"/>
      <c r="TLK69" s="594"/>
      <c r="TLL69" s="594"/>
      <c r="TLM69" s="594"/>
      <c r="TLN69" s="594"/>
      <c r="TLO69" s="594"/>
      <c r="TLP69" s="594"/>
      <c r="TLQ69" s="594"/>
      <c r="TLR69" s="594"/>
      <c r="TLS69" s="594"/>
      <c r="TLT69" s="594"/>
      <c r="TLU69" s="594"/>
      <c r="TLV69" s="594"/>
      <c r="TLW69" s="594"/>
      <c r="TLX69" s="594"/>
      <c r="TLY69" s="594"/>
      <c r="TLZ69" s="594"/>
      <c r="TMA69" s="594"/>
      <c r="TMB69" s="594"/>
      <c r="TMC69" s="594"/>
      <c r="TMD69" s="594"/>
      <c r="TME69" s="594"/>
      <c r="TMF69" s="594"/>
      <c r="TMG69" s="594"/>
      <c r="TMH69" s="594"/>
      <c r="TMI69" s="594"/>
      <c r="TMJ69" s="594"/>
      <c r="TMK69" s="594"/>
      <c r="TML69" s="594"/>
      <c r="TMM69" s="594"/>
      <c r="TMN69" s="594"/>
      <c r="TMO69" s="594"/>
      <c r="TMP69" s="594"/>
      <c r="TMQ69" s="594"/>
      <c r="TMR69" s="594"/>
      <c r="TMS69" s="594"/>
      <c r="TMT69" s="594"/>
      <c r="TMU69" s="594"/>
      <c r="TMV69" s="594"/>
      <c r="TMW69" s="594"/>
      <c r="TMX69" s="594"/>
      <c r="TMY69" s="594"/>
      <c r="TMZ69" s="594"/>
      <c r="TNA69" s="594"/>
      <c r="TNB69" s="594"/>
      <c r="TNC69" s="594"/>
      <c r="TND69" s="594"/>
      <c r="TNE69" s="594"/>
      <c r="TNF69" s="594"/>
      <c r="TNG69" s="594"/>
      <c r="TNH69" s="594"/>
      <c r="TNI69" s="594"/>
      <c r="TNJ69" s="594"/>
      <c r="TNK69" s="594"/>
      <c r="TNL69" s="594"/>
      <c r="TNM69" s="594"/>
      <c r="TNN69" s="594"/>
      <c r="TNO69" s="594"/>
      <c r="TNP69" s="594"/>
      <c r="TNQ69" s="594"/>
      <c r="TNR69" s="594"/>
      <c r="TNS69" s="594"/>
      <c r="TNT69" s="594"/>
      <c r="TNU69" s="594"/>
      <c r="TNV69" s="594"/>
      <c r="TNW69" s="594"/>
      <c r="TNX69" s="594"/>
      <c r="TNY69" s="594"/>
      <c r="TNZ69" s="594"/>
      <c r="TOA69" s="594"/>
      <c r="TOB69" s="594"/>
      <c r="TOC69" s="594"/>
      <c r="TOD69" s="594"/>
      <c r="TOE69" s="594"/>
      <c r="TOF69" s="594"/>
      <c r="TOG69" s="594"/>
      <c r="TOH69" s="594"/>
      <c r="TOI69" s="594"/>
      <c r="TOJ69" s="594"/>
      <c r="TOK69" s="594"/>
      <c r="TOL69" s="594"/>
      <c r="TOM69" s="594"/>
      <c r="TON69" s="594"/>
      <c r="TOO69" s="594"/>
      <c r="TOP69" s="594"/>
      <c r="TOQ69" s="594"/>
      <c r="TOR69" s="594"/>
      <c r="TOS69" s="594"/>
      <c r="TOT69" s="594"/>
      <c r="TOU69" s="594"/>
      <c r="TOV69" s="594"/>
      <c r="TOW69" s="594"/>
      <c r="TOX69" s="594"/>
      <c r="TOY69" s="594"/>
      <c r="TOZ69" s="594"/>
      <c r="TPA69" s="594"/>
      <c r="TPB69" s="594"/>
      <c r="TPC69" s="594"/>
      <c r="TPD69" s="594"/>
      <c r="TPE69" s="594"/>
      <c r="TPF69" s="594"/>
      <c r="TPG69" s="594"/>
      <c r="TPH69" s="594"/>
      <c r="TPI69" s="594"/>
      <c r="TPJ69" s="594"/>
      <c r="TPK69" s="594"/>
      <c r="TPL69" s="594"/>
      <c r="TPM69" s="594"/>
      <c r="TPN69" s="594"/>
      <c r="TPO69" s="594"/>
      <c r="TPP69" s="594"/>
      <c r="TPQ69" s="594"/>
      <c r="TPR69" s="594"/>
      <c r="TPS69" s="594"/>
      <c r="TPT69" s="594"/>
      <c r="TPU69" s="594"/>
      <c r="TPV69" s="594"/>
      <c r="TPW69" s="594"/>
      <c r="TPX69" s="594"/>
      <c r="TPY69" s="594"/>
      <c r="TPZ69" s="594"/>
      <c r="TQA69" s="594"/>
      <c r="TQB69" s="594"/>
      <c r="TQC69" s="594"/>
      <c r="TQD69" s="594"/>
      <c r="TQE69" s="594"/>
      <c r="TQF69" s="594"/>
      <c r="TQG69" s="594"/>
      <c r="TQH69" s="594"/>
      <c r="TQI69" s="594"/>
      <c r="TQJ69" s="594"/>
      <c r="TQK69" s="594"/>
      <c r="TQL69" s="594"/>
      <c r="TQM69" s="594"/>
      <c r="TQN69" s="594"/>
      <c r="TQO69" s="594"/>
      <c r="TQP69" s="594"/>
      <c r="TQQ69" s="594"/>
      <c r="TQR69" s="594"/>
      <c r="TQS69" s="594"/>
      <c r="TQT69" s="594"/>
      <c r="TQU69" s="594"/>
      <c r="TQV69" s="594"/>
      <c r="TQW69" s="594"/>
      <c r="TQX69" s="594"/>
      <c r="TQY69" s="594"/>
      <c r="TQZ69" s="594"/>
      <c r="TRA69" s="594"/>
      <c r="TRB69" s="594"/>
      <c r="TRC69" s="594"/>
      <c r="TRD69" s="594"/>
      <c r="TRE69" s="594"/>
      <c r="TRF69" s="594"/>
      <c r="TRG69" s="594"/>
      <c r="TRH69" s="594"/>
      <c r="TRI69" s="594"/>
      <c r="TRJ69" s="594"/>
      <c r="TRK69" s="594"/>
      <c r="TRL69" s="594"/>
      <c r="TRM69" s="594"/>
      <c r="TRN69" s="594"/>
      <c r="TRO69" s="594"/>
      <c r="TRP69" s="594"/>
      <c r="TRQ69" s="594"/>
      <c r="TRR69" s="594"/>
      <c r="TRS69" s="594"/>
      <c r="TRT69" s="594"/>
      <c r="TRU69" s="594"/>
      <c r="TRV69" s="594"/>
      <c r="TRW69" s="594"/>
      <c r="TRX69" s="594"/>
      <c r="TRY69" s="594"/>
      <c r="TRZ69" s="594"/>
      <c r="TSA69" s="594"/>
      <c r="TSB69" s="594"/>
      <c r="TSC69" s="594"/>
      <c r="TSD69" s="594"/>
      <c r="TSE69" s="594"/>
      <c r="TSF69" s="594"/>
      <c r="TSG69" s="594"/>
      <c r="TSH69" s="594"/>
      <c r="TSI69" s="594"/>
      <c r="TSJ69" s="594"/>
      <c r="TSK69" s="594"/>
      <c r="TSL69" s="594"/>
      <c r="TSM69" s="594"/>
      <c r="TSN69" s="594"/>
      <c r="TSO69" s="594"/>
      <c r="TSP69" s="594"/>
      <c r="TSQ69" s="594"/>
      <c r="TSR69" s="594"/>
      <c r="TSS69" s="594"/>
      <c r="TST69" s="594"/>
      <c r="TSU69" s="594"/>
      <c r="TSV69" s="594"/>
      <c r="TSW69" s="594"/>
      <c r="TSX69" s="594"/>
      <c r="TSY69" s="594"/>
      <c r="TSZ69" s="594"/>
      <c r="TTA69" s="594"/>
      <c r="TTB69" s="594"/>
      <c r="TTC69" s="594"/>
      <c r="TTD69" s="594"/>
      <c r="TTE69" s="594"/>
      <c r="TTF69" s="594"/>
      <c r="TTG69" s="594"/>
      <c r="TTH69" s="594"/>
      <c r="TTI69" s="594"/>
      <c r="TTJ69" s="594"/>
      <c r="TTK69" s="594"/>
      <c r="TTL69" s="594"/>
      <c r="TTM69" s="594"/>
      <c r="TTN69" s="594"/>
      <c r="TTO69" s="594"/>
      <c r="TTP69" s="594"/>
      <c r="TTQ69" s="594"/>
      <c r="TTR69" s="594"/>
      <c r="TTS69" s="594"/>
      <c r="TTT69" s="594"/>
      <c r="TTU69" s="594"/>
      <c r="TTV69" s="594"/>
      <c r="TTW69" s="594"/>
      <c r="TTX69" s="594"/>
      <c r="TTY69" s="594"/>
      <c r="TTZ69" s="594"/>
      <c r="TUA69" s="594"/>
      <c r="TUB69" s="594"/>
      <c r="TUC69" s="594"/>
      <c r="TUD69" s="594"/>
      <c r="TUE69" s="594"/>
      <c r="TUF69" s="594"/>
      <c r="TUG69" s="594"/>
      <c r="TUH69" s="594"/>
      <c r="TUI69" s="594"/>
      <c r="TUJ69" s="594"/>
      <c r="TUK69" s="594"/>
      <c r="TUL69" s="594"/>
      <c r="TUM69" s="594"/>
      <c r="TUN69" s="594"/>
      <c r="TUO69" s="594"/>
      <c r="TUP69" s="594"/>
      <c r="TUQ69" s="594"/>
      <c r="TUR69" s="594"/>
      <c r="TUS69" s="594"/>
      <c r="TUT69" s="594"/>
      <c r="TUU69" s="594"/>
      <c r="TUV69" s="594"/>
      <c r="TUW69" s="594"/>
      <c r="TUX69" s="594"/>
      <c r="TUY69" s="594"/>
      <c r="TUZ69" s="594"/>
      <c r="TVA69" s="594"/>
      <c r="TVB69" s="594"/>
      <c r="TVC69" s="594"/>
      <c r="TVD69" s="594"/>
      <c r="TVE69" s="594"/>
      <c r="TVF69" s="594"/>
      <c r="TVG69" s="594"/>
      <c r="TVH69" s="594"/>
      <c r="TVI69" s="594"/>
      <c r="TVJ69" s="594"/>
      <c r="TVK69" s="594"/>
      <c r="TVL69" s="594"/>
      <c r="TVM69" s="594"/>
      <c r="TVN69" s="594"/>
      <c r="TVO69" s="594"/>
      <c r="TVP69" s="594"/>
      <c r="TVQ69" s="594"/>
      <c r="TVR69" s="594"/>
      <c r="TVS69" s="594"/>
      <c r="TVT69" s="594"/>
      <c r="TVU69" s="594"/>
      <c r="TVV69" s="594"/>
      <c r="TVW69" s="594"/>
      <c r="TVX69" s="594"/>
      <c r="TVY69" s="594"/>
      <c r="TVZ69" s="594"/>
      <c r="TWA69" s="594"/>
      <c r="TWB69" s="594"/>
      <c r="TWC69" s="594"/>
      <c r="TWD69" s="594"/>
      <c r="TWE69" s="594"/>
      <c r="TWF69" s="594"/>
      <c r="TWG69" s="594"/>
      <c r="TWH69" s="594"/>
      <c r="TWI69" s="594"/>
      <c r="TWJ69" s="594"/>
      <c r="TWK69" s="594"/>
      <c r="TWL69" s="594"/>
      <c r="TWM69" s="594"/>
      <c r="TWN69" s="594"/>
      <c r="TWO69" s="594"/>
      <c r="TWP69" s="594"/>
      <c r="TWQ69" s="594"/>
      <c r="TWR69" s="594"/>
      <c r="TWS69" s="594"/>
      <c r="TWT69" s="594"/>
      <c r="TWU69" s="594"/>
      <c r="TWV69" s="594"/>
      <c r="TWW69" s="594"/>
      <c r="TWX69" s="594"/>
      <c r="TWY69" s="594"/>
      <c r="TWZ69" s="594"/>
      <c r="TXA69" s="594"/>
      <c r="TXB69" s="594"/>
      <c r="TXC69" s="594"/>
      <c r="TXD69" s="594"/>
      <c r="TXE69" s="594"/>
      <c r="TXF69" s="594"/>
      <c r="TXG69" s="594"/>
      <c r="TXH69" s="594"/>
      <c r="TXI69" s="594"/>
      <c r="TXJ69" s="594"/>
      <c r="TXK69" s="594"/>
      <c r="TXL69" s="594"/>
      <c r="TXM69" s="594"/>
      <c r="TXN69" s="594"/>
      <c r="TXO69" s="594"/>
      <c r="TXP69" s="594"/>
      <c r="TXQ69" s="594"/>
      <c r="TXR69" s="594"/>
      <c r="TXS69" s="594"/>
      <c r="TXT69" s="594"/>
      <c r="TXU69" s="594"/>
      <c r="TXV69" s="594"/>
      <c r="TXW69" s="594"/>
      <c r="TXX69" s="594"/>
      <c r="TXY69" s="594"/>
      <c r="TXZ69" s="594"/>
      <c r="TYA69" s="594"/>
      <c r="TYB69" s="594"/>
      <c r="TYC69" s="594"/>
      <c r="TYD69" s="594"/>
      <c r="TYE69" s="594"/>
      <c r="TYF69" s="594"/>
      <c r="TYG69" s="594"/>
      <c r="TYH69" s="594"/>
      <c r="TYI69" s="594"/>
      <c r="TYJ69" s="594"/>
      <c r="TYK69" s="594"/>
      <c r="TYL69" s="594"/>
      <c r="TYM69" s="594"/>
      <c r="TYN69" s="594"/>
      <c r="TYO69" s="594"/>
      <c r="TYP69" s="594"/>
      <c r="TYQ69" s="594"/>
      <c r="TYR69" s="594"/>
      <c r="TYS69" s="594"/>
      <c r="TYT69" s="594"/>
      <c r="TYU69" s="594"/>
      <c r="TYV69" s="594"/>
      <c r="TYW69" s="594"/>
      <c r="TYX69" s="594"/>
      <c r="TYY69" s="594"/>
      <c r="TYZ69" s="594"/>
      <c r="TZA69" s="594"/>
      <c r="TZB69" s="594"/>
      <c r="TZC69" s="594"/>
      <c r="TZD69" s="594"/>
      <c r="TZE69" s="594"/>
      <c r="TZF69" s="594"/>
      <c r="TZG69" s="594"/>
      <c r="TZH69" s="594"/>
      <c r="TZI69" s="594"/>
      <c r="TZJ69" s="594"/>
      <c r="TZK69" s="594"/>
      <c r="TZL69" s="594"/>
      <c r="TZM69" s="594"/>
      <c r="TZN69" s="594"/>
      <c r="TZO69" s="594"/>
      <c r="TZP69" s="594"/>
      <c r="TZQ69" s="594"/>
      <c r="TZR69" s="594"/>
      <c r="TZS69" s="594"/>
      <c r="TZT69" s="594"/>
      <c r="TZU69" s="594"/>
      <c r="TZV69" s="594"/>
      <c r="TZW69" s="594"/>
      <c r="TZX69" s="594"/>
      <c r="TZY69" s="594"/>
      <c r="TZZ69" s="594"/>
      <c r="UAA69" s="594"/>
      <c r="UAB69" s="594"/>
      <c r="UAC69" s="594"/>
      <c r="UAD69" s="594"/>
      <c r="UAE69" s="594"/>
      <c r="UAF69" s="594"/>
      <c r="UAG69" s="594"/>
      <c r="UAH69" s="594"/>
      <c r="UAI69" s="594"/>
      <c r="UAJ69" s="594"/>
      <c r="UAK69" s="594"/>
      <c r="UAL69" s="594"/>
      <c r="UAM69" s="594"/>
      <c r="UAN69" s="594"/>
      <c r="UAO69" s="594"/>
      <c r="UAP69" s="594"/>
      <c r="UAQ69" s="594"/>
      <c r="UAR69" s="594"/>
      <c r="UAS69" s="594"/>
      <c r="UAT69" s="594"/>
      <c r="UAU69" s="594"/>
      <c r="UAV69" s="594"/>
      <c r="UAW69" s="594"/>
      <c r="UAX69" s="594"/>
      <c r="UAY69" s="594"/>
      <c r="UAZ69" s="594"/>
      <c r="UBA69" s="594"/>
      <c r="UBB69" s="594"/>
      <c r="UBC69" s="594"/>
      <c r="UBD69" s="594"/>
      <c r="UBE69" s="594"/>
      <c r="UBF69" s="594"/>
      <c r="UBG69" s="594"/>
      <c r="UBH69" s="594"/>
      <c r="UBI69" s="594"/>
      <c r="UBJ69" s="594"/>
      <c r="UBK69" s="594"/>
      <c r="UBL69" s="594"/>
      <c r="UBM69" s="594"/>
      <c r="UBN69" s="594"/>
      <c r="UBO69" s="594"/>
      <c r="UBP69" s="594"/>
      <c r="UBQ69" s="594"/>
      <c r="UBR69" s="594"/>
      <c r="UBS69" s="594"/>
      <c r="UBT69" s="594"/>
      <c r="UBU69" s="594"/>
      <c r="UBV69" s="594"/>
      <c r="UBW69" s="594"/>
      <c r="UBX69" s="594"/>
      <c r="UBY69" s="594"/>
      <c r="UBZ69" s="594"/>
      <c r="UCA69" s="594"/>
      <c r="UCB69" s="594"/>
      <c r="UCC69" s="594"/>
      <c r="UCD69" s="594"/>
      <c r="UCE69" s="594"/>
      <c r="UCF69" s="594"/>
      <c r="UCG69" s="594"/>
      <c r="UCH69" s="594"/>
      <c r="UCI69" s="594"/>
      <c r="UCJ69" s="594"/>
      <c r="UCK69" s="594"/>
      <c r="UCL69" s="594"/>
      <c r="UCM69" s="594"/>
      <c r="UCN69" s="594"/>
      <c r="UCO69" s="594"/>
      <c r="UCP69" s="594"/>
      <c r="UCQ69" s="594"/>
      <c r="UCR69" s="594"/>
      <c r="UCS69" s="594"/>
      <c r="UCT69" s="594"/>
      <c r="UCU69" s="594"/>
      <c r="UCV69" s="594"/>
      <c r="UCW69" s="594"/>
      <c r="UCX69" s="594"/>
      <c r="UCY69" s="594"/>
      <c r="UCZ69" s="594"/>
      <c r="UDA69" s="594"/>
      <c r="UDB69" s="594"/>
      <c r="UDC69" s="594"/>
      <c r="UDD69" s="594"/>
      <c r="UDE69" s="594"/>
      <c r="UDF69" s="594"/>
      <c r="UDG69" s="594"/>
      <c r="UDH69" s="594"/>
      <c r="UDI69" s="594"/>
      <c r="UDJ69" s="594"/>
      <c r="UDK69" s="594"/>
      <c r="UDL69" s="594"/>
      <c r="UDM69" s="594"/>
      <c r="UDN69" s="594"/>
      <c r="UDO69" s="594"/>
      <c r="UDP69" s="594"/>
      <c r="UDQ69" s="594"/>
      <c r="UDR69" s="594"/>
      <c r="UDS69" s="594"/>
      <c r="UDT69" s="594"/>
      <c r="UDU69" s="594"/>
      <c r="UDV69" s="594"/>
      <c r="UDW69" s="594"/>
      <c r="UDX69" s="594"/>
      <c r="UDY69" s="594"/>
      <c r="UDZ69" s="594"/>
      <c r="UEA69" s="594"/>
      <c r="UEB69" s="594"/>
      <c r="UEC69" s="594"/>
      <c r="UED69" s="594"/>
      <c r="UEE69" s="594"/>
      <c r="UEF69" s="594"/>
      <c r="UEG69" s="594"/>
      <c r="UEH69" s="594"/>
      <c r="UEI69" s="594"/>
      <c r="UEJ69" s="594"/>
      <c r="UEK69" s="594"/>
      <c r="UEL69" s="594"/>
      <c r="UEM69" s="594"/>
      <c r="UEN69" s="594"/>
      <c r="UEO69" s="594"/>
      <c r="UEP69" s="594"/>
      <c r="UEQ69" s="594"/>
      <c r="UER69" s="594"/>
      <c r="UES69" s="594"/>
      <c r="UET69" s="594"/>
      <c r="UEU69" s="594"/>
      <c r="UEV69" s="594"/>
      <c r="UEW69" s="594"/>
      <c r="UEX69" s="594"/>
      <c r="UEY69" s="594"/>
      <c r="UEZ69" s="594"/>
      <c r="UFA69" s="594"/>
      <c r="UFB69" s="594"/>
      <c r="UFC69" s="594"/>
      <c r="UFD69" s="594"/>
      <c r="UFE69" s="594"/>
      <c r="UFF69" s="594"/>
      <c r="UFG69" s="594"/>
      <c r="UFH69" s="594"/>
      <c r="UFI69" s="594"/>
      <c r="UFJ69" s="594"/>
      <c r="UFK69" s="594"/>
      <c r="UFL69" s="594"/>
      <c r="UFM69" s="594"/>
      <c r="UFN69" s="594"/>
      <c r="UFO69" s="594"/>
      <c r="UFP69" s="594"/>
      <c r="UFQ69" s="594"/>
      <c r="UFR69" s="594"/>
      <c r="UFS69" s="594"/>
      <c r="UFT69" s="594"/>
      <c r="UFU69" s="594"/>
      <c r="UFV69" s="594"/>
      <c r="UFW69" s="594"/>
      <c r="UFX69" s="594"/>
      <c r="UFY69" s="594"/>
      <c r="UFZ69" s="594"/>
      <c r="UGA69" s="594"/>
      <c r="UGB69" s="594"/>
      <c r="UGC69" s="594"/>
      <c r="UGD69" s="594"/>
      <c r="UGE69" s="594"/>
      <c r="UGF69" s="594"/>
      <c r="UGG69" s="594"/>
      <c r="UGH69" s="594"/>
      <c r="UGI69" s="594"/>
      <c r="UGJ69" s="594"/>
      <c r="UGK69" s="594"/>
      <c r="UGL69" s="594"/>
      <c r="UGM69" s="594"/>
      <c r="UGN69" s="594"/>
      <c r="UGO69" s="594"/>
      <c r="UGP69" s="594"/>
      <c r="UGQ69" s="594"/>
      <c r="UGR69" s="594"/>
      <c r="UGS69" s="594"/>
      <c r="UGT69" s="594"/>
      <c r="UGU69" s="594"/>
      <c r="UGV69" s="594"/>
      <c r="UGW69" s="594"/>
      <c r="UGX69" s="594"/>
      <c r="UGY69" s="594"/>
      <c r="UGZ69" s="594"/>
      <c r="UHA69" s="594"/>
      <c r="UHB69" s="594"/>
      <c r="UHC69" s="594"/>
      <c r="UHD69" s="594"/>
      <c r="UHE69" s="594"/>
      <c r="UHF69" s="594"/>
      <c r="UHG69" s="594"/>
      <c r="UHH69" s="594"/>
      <c r="UHI69" s="594"/>
      <c r="UHJ69" s="594"/>
      <c r="UHK69" s="594"/>
      <c r="UHL69" s="594"/>
      <c r="UHM69" s="594"/>
      <c r="UHN69" s="594"/>
      <c r="UHO69" s="594"/>
      <c r="UHP69" s="594"/>
      <c r="UHQ69" s="594"/>
      <c r="UHR69" s="594"/>
      <c r="UHS69" s="594"/>
      <c r="UHT69" s="594"/>
      <c r="UHU69" s="594"/>
      <c r="UHV69" s="594"/>
      <c r="UHW69" s="594"/>
      <c r="UHX69" s="594"/>
      <c r="UHY69" s="594"/>
      <c r="UHZ69" s="594"/>
      <c r="UIA69" s="594"/>
      <c r="UIB69" s="594"/>
      <c r="UIC69" s="594"/>
      <c r="UID69" s="594"/>
      <c r="UIE69" s="594"/>
      <c r="UIF69" s="594"/>
      <c r="UIG69" s="594"/>
      <c r="UIH69" s="594"/>
      <c r="UII69" s="594"/>
      <c r="UIJ69" s="594"/>
      <c r="UIK69" s="594"/>
      <c r="UIL69" s="594"/>
      <c r="UIM69" s="594"/>
      <c r="UIN69" s="594"/>
      <c r="UIO69" s="594"/>
      <c r="UIP69" s="594"/>
      <c r="UIQ69" s="594"/>
      <c r="UIR69" s="594"/>
      <c r="UIS69" s="594"/>
      <c r="UIT69" s="594"/>
      <c r="UIU69" s="594"/>
      <c r="UIV69" s="594"/>
      <c r="UIW69" s="594"/>
      <c r="UIX69" s="594"/>
      <c r="UIY69" s="594"/>
      <c r="UIZ69" s="594"/>
      <c r="UJA69" s="594"/>
      <c r="UJB69" s="594"/>
      <c r="UJC69" s="594"/>
      <c r="UJD69" s="594"/>
      <c r="UJE69" s="594"/>
      <c r="UJF69" s="594"/>
      <c r="UJG69" s="594"/>
      <c r="UJH69" s="594"/>
      <c r="UJI69" s="594"/>
      <c r="UJJ69" s="594"/>
      <c r="UJK69" s="594"/>
      <c r="UJL69" s="594"/>
      <c r="UJM69" s="594"/>
      <c r="UJN69" s="594"/>
      <c r="UJO69" s="594"/>
      <c r="UJP69" s="594"/>
      <c r="UJQ69" s="594"/>
      <c r="UJR69" s="594"/>
      <c r="UJS69" s="594"/>
      <c r="UJT69" s="594"/>
      <c r="UJU69" s="594"/>
      <c r="UJV69" s="594"/>
      <c r="UJW69" s="594"/>
      <c r="UJX69" s="594"/>
      <c r="UJY69" s="594"/>
      <c r="UJZ69" s="594"/>
      <c r="UKA69" s="594"/>
      <c r="UKB69" s="594"/>
      <c r="UKC69" s="594"/>
      <c r="UKD69" s="594"/>
      <c r="UKE69" s="594"/>
      <c r="UKF69" s="594"/>
      <c r="UKG69" s="594"/>
      <c r="UKH69" s="594"/>
      <c r="UKI69" s="594"/>
      <c r="UKJ69" s="594"/>
      <c r="UKK69" s="594"/>
      <c r="UKL69" s="594"/>
      <c r="UKM69" s="594"/>
      <c r="UKN69" s="594"/>
      <c r="UKO69" s="594"/>
      <c r="UKP69" s="594"/>
      <c r="UKQ69" s="594"/>
      <c r="UKR69" s="594"/>
      <c r="UKS69" s="594"/>
      <c r="UKT69" s="594"/>
      <c r="UKU69" s="594"/>
      <c r="UKV69" s="594"/>
      <c r="UKW69" s="594"/>
      <c r="UKX69" s="594"/>
      <c r="UKY69" s="594"/>
      <c r="UKZ69" s="594"/>
      <c r="ULA69" s="594"/>
      <c r="ULB69" s="594"/>
      <c r="ULC69" s="594"/>
      <c r="ULD69" s="594"/>
      <c r="ULE69" s="594"/>
      <c r="ULF69" s="594"/>
      <c r="ULG69" s="594"/>
      <c r="ULH69" s="594"/>
      <c r="ULI69" s="594"/>
      <c r="ULJ69" s="594"/>
      <c r="ULK69" s="594"/>
      <c r="ULL69" s="594"/>
      <c r="ULM69" s="594"/>
      <c r="ULN69" s="594"/>
      <c r="ULO69" s="594"/>
      <c r="ULP69" s="594"/>
      <c r="ULQ69" s="594"/>
      <c r="ULR69" s="594"/>
      <c r="ULS69" s="594"/>
      <c r="ULT69" s="594"/>
      <c r="ULU69" s="594"/>
      <c r="ULV69" s="594"/>
      <c r="ULW69" s="594"/>
      <c r="ULX69" s="594"/>
      <c r="ULY69" s="594"/>
      <c r="ULZ69" s="594"/>
      <c r="UMA69" s="594"/>
      <c r="UMB69" s="594"/>
      <c r="UMC69" s="594"/>
      <c r="UMD69" s="594"/>
      <c r="UME69" s="594"/>
      <c r="UMF69" s="594"/>
      <c r="UMG69" s="594"/>
      <c r="UMH69" s="594"/>
      <c r="UMI69" s="594"/>
      <c r="UMJ69" s="594"/>
      <c r="UMK69" s="594"/>
      <c r="UML69" s="594"/>
      <c r="UMM69" s="594"/>
      <c r="UMN69" s="594"/>
      <c r="UMO69" s="594"/>
      <c r="UMP69" s="594"/>
      <c r="UMQ69" s="594"/>
      <c r="UMR69" s="594"/>
      <c r="UMS69" s="594"/>
      <c r="UMT69" s="594"/>
      <c r="UMU69" s="594"/>
      <c r="UMV69" s="594"/>
      <c r="UMW69" s="594"/>
      <c r="UMX69" s="594"/>
      <c r="UMY69" s="594"/>
      <c r="UMZ69" s="594"/>
      <c r="UNA69" s="594"/>
      <c r="UNB69" s="594"/>
      <c r="UNC69" s="594"/>
      <c r="UND69" s="594"/>
      <c r="UNE69" s="594"/>
      <c r="UNF69" s="594"/>
      <c r="UNG69" s="594"/>
      <c r="UNH69" s="594"/>
      <c r="UNI69" s="594"/>
      <c r="UNJ69" s="594"/>
      <c r="UNK69" s="594"/>
      <c r="UNL69" s="594"/>
      <c r="UNM69" s="594"/>
      <c r="UNN69" s="594"/>
      <c r="UNO69" s="594"/>
      <c r="UNP69" s="594"/>
      <c r="UNQ69" s="594"/>
      <c r="UNR69" s="594"/>
      <c r="UNS69" s="594"/>
      <c r="UNT69" s="594"/>
      <c r="UNU69" s="594"/>
      <c r="UNV69" s="594"/>
      <c r="UNW69" s="594"/>
      <c r="UNX69" s="594"/>
      <c r="UNY69" s="594"/>
      <c r="UNZ69" s="594"/>
      <c r="UOA69" s="594"/>
      <c r="UOB69" s="594"/>
      <c r="UOC69" s="594"/>
      <c r="UOD69" s="594"/>
      <c r="UOE69" s="594"/>
      <c r="UOF69" s="594"/>
      <c r="UOG69" s="594"/>
      <c r="UOH69" s="594"/>
      <c r="UOI69" s="594"/>
      <c r="UOJ69" s="594"/>
      <c r="UOK69" s="594"/>
      <c r="UOL69" s="594"/>
      <c r="UOM69" s="594"/>
      <c r="UON69" s="594"/>
      <c r="UOO69" s="594"/>
      <c r="UOP69" s="594"/>
      <c r="UOQ69" s="594"/>
      <c r="UOR69" s="594"/>
      <c r="UOS69" s="594"/>
      <c r="UOT69" s="594"/>
      <c r="UOU69" s="594"/>
      <c r="UOV69" s="594"/>
      <c r="UOW69" s="594"/>
      <c r="UOX69" s="594"/>
      <c r="UOY69" s="594"/>
      <c r="UOZ69" s="594"/>
      <c r="UPA69" s="594"/>
      <c r="UPB69" s="594"/>
      <c r="UPC69" s="594"/>
      <c r="UPD69" s="594"/>
      <c r="UPE69" s="594"/>
      <c r="UPF69" s="594"/>
      <c r="UPG69" s="594"/>
      <c r="UPH69" s="594"/>
      <c r="UPI69" s="594"/>
      <c r="UPJ69" s="594"/>
      <c r="UPK69" s="594"/>
      <c r="UPL69" s="594"/>
      <c r="UPM69" s="594"/>
      <c r="UPN69" s="594"/>
      <c r="UPO69" s="594"/>
      <c r="UPP69" s="594"/>
      <c r="UPQ69" s="594"/>
      <c r="UPR69" s="594"/>
      <c r="UPS69" s="594"/>
      <c r="UPT69" s="594"/>
      <c r="UPU69" s="594"/>
      <c r="UPV69" s="594"/>
      <c r="UPW69" s="594"/>
      <c r="UPX69" s="594"/>
      <c r="UPY69" s="594"/>
      <c r="UPZ69" s="594"/>
      <c r="UQA69" s="594"/>
      <c r="UQB69" s="594"/>
      <c r="UQC69" s="594"/>
      <c r="UQD69" s="594"/>
      <c r="UQE69" s="594"/>
      <c r="UQF69" s="594"/>
      <c r="UQG69" s="594"/>
      <c r="UQH69" s="594"/>
      <c r="UQI69" s="594"/>
      <c r="UQJ69" s="594"/>
      <c r="UQK69" s="594"/>
      <c r="UQL69" s="594"/>
      <c r="UQM69" s="594"/>
      <c r="UQN69" s="594"/>
      <c r="UQO69" s="594"/>
      <c r="UQP69" s="594"/>
      <c r="UQQ69" s="594"/>
      <c r="UQR69" s="594"/>
      <c r="UQS69" s="594"/>
      <c r="UQT69" s="594"/>
      <c r="UQU69" s="594"/>
      <c r="UQV69" s="594"/>
      <c r="UQW69" s="594"/>
      <c r="UQX69" s="594"/>
      <c r="UQY69" s="594"/>
      <c r="UQZ69" s="594"/>
      <c r="URA69" s="594"/>
      <c r="URB69" s="594"/>
      <c r="URC69" s="594"/>
      <c r="URD69" s="594"/>
      <c r="URE69" s="594"/>
      <c r="URF69" s="594"/>
      <c r="URG69" s="594"/>
      <c r="URH69" s="594"/>
      <c r="URI69" s="594"/>
      <c r="URJ69" s="594"/>
      <c r="URK69" s="594"/>
      <c r="URL69" s="594"/>
      <c r="URM69" s="594"/>
      <c r="URN69" s="594"/>
      <c r="URO69" s="594"/>
      <c r="URP69" s="594"/>
      <c r="URQ69" s="594"/>
      <c r="URR69" s="594"/>
      <c r="URS69" s="594"/>
      <c r="URT69" s="594"/>
      <c r="URU69" s="594"/>
      <c r="URV69" s="594"/>
      <c r="URW69" s="594"/>
      <c r="URX69" s="594"/>
      <c r="URY69" s="594"/>
      <c r="URZ69" s="594"/>
      <c r="USA69" s="594"/>
      <c r="USB69" s="594"/>
      <c r="USC69" s="594"/>
      <c r="USD69" s="594"/>
      <c r="USE69" s="594"/>
      <c r="USF69" s="594"/>
      <c r="USG69" s="594"/>
      <c r="USH69" s="594"/>
      <c r="USI69" s="594"/>
      <c r="USJ69" s="594"/>
      <c r="USK69" s="594"/>
      <c r="USL69" s="594"/>
      <c r="USM69" s="594"/>
      <c r="USN69" s="594"/>
      <c r="USO69" s="594"/>
      <c r="USP69" s="594"/>
      <c r="USQ69" s="594"/>
      <c r="USR69" s="594"/>
      <c r="USS69" s="594"/>
      <c r="UST69" s="594"/>
      <c r="USU69" s="594"/>
      <c r="USV69" s="594"/>
      <c r="USW69" s="594"/>
      <c r="USX69" s="594"/>
      <c r="USY69" s="594"/>
      <c r="USZ69" s="594"/>
      <c r="UTA69" s="594"/>
      <c r="UTB69" s="594"/>
      <c r="UTC69" s="594"/>
      <c r="UTD69" s="594"/>
      <c r="UTE69" s="594"/>
      <c r="UTF69" s="594"/>
      <c r="UTG69" s="594"/>
      <c r="UTH69" s="594"/>
      <c r="UTI69" s="594"/>
      <c r="UTJ69" s="594"/>
      <c r="UTK69" s="594"/>
      <c r="UTL69" s="594"/>
      <c r="UTM69" s="594"/>
      <c r="UTN69" s="594"/>
      <c r="UTO69" s="594"/>
      <c r="UTP69" s="594"/>
      <c r="UTQ69" s="594"/>
      <c r="UTR69" s="594"/>
      <c r="UTS69" s="594"/>
      <c r="UTT69" s="594"/>
      <c r="UTU69" s="594"/>
      <c r="UTV69" s="594"/>
      <c r="UTW69" s="594"/>
      <c r="UTX69" s="594"/>
      <c r="UTY69" s="594"/>
      <c r="UTZ69" s="594"/>
      <c r="UUA69" s="594"/>
      <c r="UUB69" s="594"/>
      <c r="UUC69" s="594"/>
      <c r="UUD69" s="594"/>
      <c r="UUE69" s="594"/>
      <c r="UUF69" s="594"/>
      <c r="UUG69" s="594"/>
      <c r="UUH69" s="594"/>
      <c r="UUI69" s="594"/>
      <c r="UUJ69" s="594"/>
      <c r="UUK69" s="594"/>
      <c r="UUL69" s="594"/>
      <c r="UUM69" s="594"/>
      <c r="UUN69" s="594"/>
      <c r="UUO69" s="594"/>
      <c r="UUP69" s="594"/>
      <c r="UUQ69" s="594"/>
      <c r="UUR69" s="594"/>
      <c r="UUS69" s="594"/>
      <c r="UUT69" s="594"/>
      <c r="UUU69" s="594"/>
      <c r="UUV69" s="594"/>
      <c r="UUW69" s="594"/>
      <c r="UUX69" s="594"/>
      <c r="UUY69" s="594"/>
      <c r="UUZ69" s="594"/>
      <c r="UVA69" s="594"/>
      <c r="UVB69" s="594"/>
      <c r="UVC69" s="594"/>
      <c r="UVD69" s="594"/>
      <c r="UVE69" s="594"/>
      <c r="UVF69" s="594"/>
      <c r="UVG69" s="594"/>
      <c r="UVH69" s="594"/>
      <c r="UVI69" s="594"/>
      <c r="UVJ69" s="594"/>
      <c r="UVK69" s="594"/>
      <c r="UVL69" s="594"/>
      <c r="UVM69" s="594"/>
      <c r="UVN69" s="594"/>
      <c r="UVO69" s="594"/>
      <c r="UVP69" s="594"/>
      <c r="UVQ69" s="594"/>
      <c r="UVR69" s="594"/>
      <c r="UVS69" s="594"/>
      <c r="UVT69" s="594"/>
      <c r="UVU69" s="594"/>
      <c r="UVV69" s="594"/>
      <c r="UVW69" s="594"/>
      <c r="UVX69" s="594"/>
      <c r="UVY69" s="594"/>
      <c r="UVZ69" s="594"/>
      <c r="UWA69" s="594"/>
      <c r="UWB69" s="594"/>
      <c r="UWC69" s="594"/>
      <c r="UWD69" s="594"/>
      <c r="UWE69" s="594"/>
      <c r="UWF69" s="594"/>
      <c r="UWG69" s="594"/>
      <c r="UWH69" s="594"/>
      <c r="UWI69" s="594"/>
      <c r="UWJ69" s="594"/>
      <c r="UWK69" s="594"/>
      <c r="UWL69" s="594"/>
      <c r="UWM69" s="594"/>
      <c r="UWN69" s="594"/>
      <c r="UWO69" s="594"/>
      <c r="UWP69" s="594"/>
      <c r="UWQ69" s="594"/>
      <c r="UWR69" s="594"/>
      <c r="UWS69" s="594"/>
      <c r="UWT69" s="594"/>
      <c r="UWU69" s="594"/>
      <c r="UWV69" s="594"/>
      <c r="UWW69" s="594"/>
      <c r="UWX69" s="594"/>
      <c r="UWY69" s="594"/>
      <c r="UWZ69" s="594"/>
      <c r="UXA69" s="594"/>
      <c r="UXB69" s="594"/>
      <c r="UXC69" s="594"/>
      <c r="UXD69" s="594"/>
      <c r="UXE69" s="594"/>
      <c r="UXF69" s="594"/>
      <c r="UXG69" s="594"/>
      <c r="UXH69" s="594"/>
      <c r="UXI69" s="594"/>
      <c r="UXJ69" s="594"/>
      <c r="UXK69" s="594"/>
      <c r="UXL69" s="594"/>
      <c r="UXM69" s="594"/>
      <c r="UXN69" s="594"/>
      <c r="UXO69" s="594"/>
      <c r="UXP69" s="594"/>
      <c r="UXQ69" s="594"/>
      <c r="UXR69" s="594"/>
      <c r="UXS69" s="594"/>
      <c r="UXT69" s="594"/>
      <c r="UXU69" s="594"/>
      <c r="UXV69" s="594"/>
      <c r="UXW69" s="594"/>
      <c r="UXX69" s="594"/>
      <c r="UXY69" s="594"/>
      <c r="UXZ69" s="594"/>
      <c r="UYA69" s="594"/>
      <c r="UYB69" s="594"/>
      <c r="UYC69" s="594"/>
      <c r="UYD69" s="594"/>
      <c r="UYE69" s="594"/>
      <c r="UYF69" s="594"/>
      <c r="UYG69" s="594"/>
      <c r="UYH69" s="594"/>
      <c r="UYI69" s="594"/>
      <c r="UYJ69" s="594"/>
      <c r="UYK69" s="594"/>
      <c r="UYL69" s="594"/>
      <c r="UYM69" s="594"/>
      <c r="UYN69" s="594"/>
      <c r="UYO69" s="594"/>
      <c r="UYP69" s="594"/>
      <c r="UYQ69" s="594"/>
      <c r="UYR69" s="594"/>
      <c r="UYS69" s="594"/>
      <c r="UYT69" s="594"/>
      <c r="UYU69" s="594"/>
      <c r="UYV69" s="594"/>
      <c r="UYW69" s="594"/>
      <c r="UYX69" s="594"/>
      <c r="UYY69" s="594"/>
      <c r="UYZ69" s="594"/>
      <c r="UZA69" s="594"/>
      <c r="UZB69" s="594"/>
      <c r="UZC69" s="594"/>
      <c r="UZD69" s="594"/>
      <c r="UZE69" s="594"/>
      <c r="UZF69" s="594"/>
      <c r="UZG69" s="594"/>
      <c r="UZH69" s="594"/>
      <c r="UZI69" s="594"/>
      <c r="UZJ69" s="594"/>
      <c r="UZK69" s="594"/>
      <c r="UZL69" s="594"/>
      <c r="UZM69" s="594"/>
      <c r="UZN69" s="594"/>
      <c r="UZO69" s="594"/>
      <c r="UZP69" s="594"/>
      <c r="UZQ69" s="594"/>
      <c r="UZR69" s="594"/>
      <c r="UZS69" s="594"/>
      <c r="UZT69" s="594"/>
      <c r="UZU69" s="594"/>
      <c r="UZV69" s="594"/>
      <c r="UZW69" s="594"/>
      <c r="UZX69" s="594"/>
      <c r="UZY69" s="594"/>
      <c r="UZZ69" s="594"/>
      <c r="VAA69" s="594"/>
      <c r="VAB69" s="594"/>
      <c r="VAC69" s="594"/>
      <c r="VAD69" s="594"/>
      <c r="VAE69" s="594"/>
      <c r="VAF69" s="594"/>
      <c r="VAG69" s="594"/>
      <c r="VAH69" s="594"/>
      <c r="VAI69" s="594"/>
      <c r="VAJ69" s="594"/>
      <c r="VAK69" s="594"/>
      <c r="VAL69" s="594"/>
      <c r="VAM69" s="594"/>
      <c r="VAN69" s="594"/>
      <c r="VAO69" s="594"/>
      <c r="VAP69" s="594"/>
      <c r="VAQ69" s="594"/>
      <c r="VAR69" s="594"/>
      <c r="VAS69" s="594"/>
      <c r="VAT69" s="594"/>
      <c r="VAU69" s="594"/>
      <c r="VAV69" s="594"/>
      <c r="VAW69" s="594"/>
      <c r="VAX69" s="594"/>
      <c r="VAY69" s="594"/>
      <c r="VAZ69" s="594"/>
      <c r="VBA69" s="594"/>
      <c r="VBB69" s="594"/>
      <c r="VBC69" s="594"/>
      <c r="VBD69" s="594"/>
      <c r="VBE69" s="594"/>
      <c r="VBF69" s="594"/>
      <c r="VBG69" s="594"/>
      <c r="VBH69" s="594"/>
      <c r="VBI69" s="594"/>
      <c r="VBJ69" s="594"/>
      <c r="VBK69" s="594"/>
      <c r="VBL69" s="594"/>
      <c r="VBM69" s="594"/>
      <c r="VBN69" s="594"/>
      <c r="VBO69" s="594"/>
      <c r="VBP69" s="594"/>
      <c r="VBQ69" s="594"/>
      <c r="VBR69" s="594"/>
      <c r="VBS69" s="594"/>
      <c r="VBT69" s="594"/>
      <c r="VBU69" s="594"/>
      <c r="VBV69" s="594"/>
      <c r="VBW69" s="594"/>
      <c r="VBX69" s="594"/>
      <c r="VBY69" s="594"/>
      <c r="VBZ69" s="594"/>
      <c r="VCA69" s="594"/>
      <c r="VCB69" s="594"/>
      <c r="VCC69" s="594"/>
      <c r="VCD69" s="594"/>
      <c r="VCE69" s="594"/>
      <c r="VCF69" s="594"/>
      <c r="VCG69" s="594"/>
      <c r="VCH69" s="594"/>
      <c r="VCI69" s="594"/>
      <c r="VCJ69" s="594"/>
      <c r="VCK69" s="594"/>
      <c r="VCL69" s="594"/>
      <c r="VCM69" s="594"/>
      <c r="VCN69" s="594"/>
      <c r="VCO69" s="594"/>
      <c r="VCP69" s="594"/>
      <c r="VCQ69" s="594"/>
      <c r="VCR69" s="594"/>
      <c r="VCS69" s="594"/>
      <c r="VCT69" s="594"/>
      <c r="VCU69" s="594"/>
      <c r="VCV69" s="594"/>
      <c r="VCW69" s="594"/>
      <c r="VCX69" s="594"/>
      <c r="VCY69" s="594"/>
      <c r="VCZ69" s="594"/>
      <c r="VDA69" s="594"/>
      <c r="VDB69" s="594"/>
      <c r="VDC69" s="594"/>
      <c r="VDD69" s="594"/>
      <c r="VDE69" s="594"/>
      <c r="VDF69" s="594"/>
      <c r="VDG69" s="594"/>
      <c r="VDH69" s="594"/>
      <c r="VDI69" s="594"/>
      <c r="VDJ69" s="594"/>
      <c r="VDK69" s="594"/>
      <c r="VDL69" s="594"/>
      <c r="VDM69" s="594"/>
      <c r="VDN69" s="594"/>
      <c r="VDO69" s="594"/>
      <c r="VDP69" s="594"/>
      <c r="VDQ69" s="594"/>
      <c r="VDR69" s="594"/>
      <c r="VDS69" s="594"/>
      <c r="VDT69" s="594"/>
      <c r="VDU69" s="594"/>
      <c r="VDV69" s="594"/>
      <c r="VDW69" s="594"/>
      <c r="VDX69" s="594"/>
      <c r="VDY69" s="594"/>
      <c r="VDZ69" s="594"/>
      <c r="VEA69" s="594"/>
      <c r="VEB69" s="594"/>
      <c r="VEC69" s="594"/>
      <c r="VED69" s="594"/>
      <c r="VEE69" s="594"/>
      <c r="VEF69" s="594"/>
      <c r="VEG69" s="594"/>
      <c r="VEH69" s="594"/>
      <c r="VEI69" s="594"/>
      <c r="VEJ69" s="594"/>
      <c r="VEK69" s="594"/>
      <c r="VEL69" s="594"/>
      <c r="VEM69" s="594"/>
      <c r="VEN69" s="594"/>
      <c r="VEO69" s="594"/>
      <c r="VEP69" s="594"/>
      <c r="VEQ69" s="594"/>
      <c r="VER69" s="594"/>
      <c r="VES69" s="594"/>
      <c r="VET69" s="594"/>
      <c r="VEU69" s="594"/>
      <c r="VEV69" s="594"/>
      <c r="VEW69" s="594"/>
      <c r="VEX69" s="594"/>
      <c r="VEY69" s="594"/>
      <c r="VEZ69" s="594"/>
      <c r="VFA69" s="594"/>
      <c r="VFB69" s="594"/>
      <c r="VFC69" s="594"/>
      <c r="VFD69" s="594"/>
      <c r="VFE69" s="594"/>
      <c r="VFF69" s="594"/>
      <c r="VFG69" s="594"/>
      <c r="VFH69" s="594"/>
      <c r="VFI69" s="594"/>
      <c r="VFJ69" s="594"/>
      <c r="VFK69" s="594"/>
      <c r="VFL69" s="594"/>
      <c r="VFM69" s="594"/>
      <c r="VFN69" s="594"/>
      <c r="VFO69" s="594"/>
      <c r="VFP69" s="594"/>
      <c r="VFQ69" s="594"/>
      <c r="VFR69" s="594"/>
      <c r="VFS69" s="594"/>
      <c r="VFT69" s="594"/>
      <c r="VFU69" s="594"/>
      <c r="VFV69" s="594"/>
      <c r="VFW69" s="594"/>
      <c r="VFX69" s="594"/>
      <c r="VFY69" s="594"/>
      <c r="VFZ69" s="594"/>
      <c r="VGA69" s="594"/>
      <c r="VGB69" s="594"/>
      <c r="VGC69" s="594"/>
      <c r="VGD69" s="594"/>
      <c r="VGE69" s="594"/>
      <c r="VGF69" s="594"/>
      <c r="VGG69" s="594"/>
      <c r="VGH69" s="594"/>
      <c r="VGI69" s="594"/>
      <c r="VGJ69" s="594"/>
      <c r="VGK69" s="594"/>
      <c r="VGL69" s="594"/>
      <c r="VGM69" s="594"/>
      <c r="VGN69" s="594"/>
      <c r="VGO69" s="594"/>
      <c r="VGP69" s="594"/>
      <c r="VGQ69" s="594"/>
      <c r="VGR69" s="594"/>
      <c r="VGS69" s="594"/>
      <c r="VGT69" s="594"/>
      <c r="VGU69" s="594"/>
      <c r="VGV69" s="594"/>
      <c r="VGW69" s="594"/>
      <c r="VGX69" s="594"/>
      <c r="VGY69" s="594"/>
      <c r="VGZ69" s="594"/>
      <c r="VHA69" s="594"/>
      <c r="VHB69" s="594"/>
      <c r="VHC69" s="594"/>
      <c r="VHD69" s="594"/>
      <c r="VHE69" s="594"/>
      <c r="VHF69" s="594"/>
      <c r="VHG69" s="594"/>
      <c r="VHH69" s="594"/>
      <c r="VHI69" s="594"/>
      <c r="VHJ69" s="594"/>
      <c r="VHK69" s="594"/>
      <c r="VHL69" s="594"/>
      <c r="VHM69" s="594"/>
      <c r="VHN69" s="594"/>
      <c r="VHO69" s="594"/>
      <c r="VHP69" s="594"/>
      <c r="VHQ69" s="594"/>
      <c r="VHR69" s="594"/>
      <c r="VHS69" s="594"/>
      <c r="VHT69" s="594"/>
      <c r="VHU69" s="594"/>
      <c r="VHV69" s="594"/>
      <c r="VHW69" s="594"/>
      <c r="VHX69" s="594"/>
      <c r="VHY69" s="594"/>
      <c r="VHZ69" s="594"/>
      <c r="VIA69" s="594"/>
      <c r="VIB69" s="594"/>
      <c r="VIC69" s="594"/>
      <c r="VID69" s="594"/>
      <c r="VIE69" s="594"/>
      <c r="VIF69" s="594"/>
      <c r="VIG69" s="594"/>
      <c r="VIH69" s="594"/>
      <c r="VII69" s="594"/>
      <c r="VIJ69" s="594"/>
      <c r="VIK69" s="594"/>
      <c r="VIL69" s="594"/>
      <c r="VIM69" s="594"/>
      <c r="VIN69" s="594"/>
      <c r="VIO69" s="594"/>
      <c r="VIP69" s="594"/>
      <c r="VIQ69" s="594"/>
      <c r="VIR69" s="594"/>
      <c r="VIS69" s="594"/>
      <c r="VIT69" s="594"/>
      <c r="VIU69" s="594"/>
      <c r="VIV69" s="594"/>
      <c r="VIW69" s="594"/>
      <c r="VIX69" s="594"/>
      <c r="VIY69" s="594"/>
      <c r="VIZ69" s="594"/>
      <c r="VJA69" s="594"/>
      <c r="VJB69" s="594"/>
      <c r="VJC69" s="594"/>
      <c r="VJD69" s="594"/>
      <c r="VJE69" s="594"/>
      <c r="VJF69" s="594"/>
      <c r="VJG69" s="594"/>
      <c r="VJH69" s="594"/>
      <c r="VJI69" s="594"/>
      <c r="VJJ69" s="594"/>
      <c r="VJK69" s="594"/>
      <c r="VJL69" s="594"/>
      <c r="VJM69" s="594"/>
      <c r="VJN69" s="594"/>
      <c r="VJO69" s="594"/>
      <c r="VJP69" s="594"/>
      <c r="VJQ69" s="594"/>
      <c r="VJR69" s="594"/>
      <c r="VJS69" s="594"/>
      <c r="VJT69" s="594"/>
      <c r="VJU69" s="594"/>
      <c r="VJV69" s="594"/>
      <c r="VJW69" s="594"/>
      <c r="VJX69" s="594"/>
      <c r="VJY69" s="594"/>
      <c r="VJZ69" s="594"/>
      <c r="VKA69" s="594"/>
      <c r="VKB69" s="594"/>
      <c r="VKC69" s="594"/>
      <c r="VKD69" s="594"/>
      <c r="VKE69" s="594"/>
      <c r="VKF69" s="594"/>
      <c r="VKG69" s="594"/>
      <c r="VKH69" s="594"/>
      <c r="VKI69" s="594"/>
      <c r="VKJ69" s="594"/>
      <c r="VKK69" s="594"/>
      <c r="VKL69" s="594"/>
      <c r="VKM69" s="594"/>
      <c r="VKN69" s="594"/>
      <c r="VKO69" s="594"/>
      <c r="VKP69" s="594"/>
      <c r="VKQ69" s="594"/>
      <c r="VKR69" s="594"/>
      <c r="VKS69" s="594"/>
      <c r="VKT69" s="594"/>
      <c r="VKU69" s="594"/>
      <c r="VKV69" s="594"/>
      <c r="VKW69" s="594"/>
      <c r="VKX69" s="594"/>
      <c r="VKY69" s="594"/>
      <c r="VKZ69" s="594"/>
      <c r="VLA69" s="594"/>
      <c r="VLB69" s="594"/>
      <c r="VLC69" s="594"/>
      <c r="VLD69" s="594"/>
      <c r="VLE69" s="594"/>
      <c r="VLF69" s="594"/>
      <c r="VLG69" s="594"/>
      <c r="VLH69" s="594"/>
      <c r="VLI69" s="594"/>
      <c r="VLJ69" s="594"/>
      <c r="VLK69" s="594"/>
      <c r="VLL69" s="594"/>
      <c r="VLM69" s="594"/>
      <c r="VLN69" s="594"/>
      <c r="VLO69" s="594"/>
      <c r="VLP69" s="594"/>
      <c r="VLQ69" s="594"/>
      <c r="VLR69" s="594"/>
      <c r="VLS69" s="594"/>
      <c r="VLT69" s="594"/>
      <c r="VLU69" s="594"/>
      <c r="VLV69" s="594"/>
      <c r="VLW69" s="594"/>
      <c r="VLX69" s="594"/>
      <c r="VLY69" s="594"/>
      <c r="VLZ69" s="594"/>
      <c r="VMA69" s="594"/>
      <c r="VMB69" s="594"/>
      <c r="VMC69" s="594"/>
      <c r="VMD69" s="594"/>
      <c r="VME69" s="594"/>
      <c r="VMF69" s="594"/>
      <c r="VMG69" s="594"/>
      <c r="VMH69" s="594"/>
      <c r="VMI69" s="594"/>
      <c r="VMJ69" s="594"/>
      <c r="VMK69" s="594"/>
      <c r="VML69" s="594"/>
      <c r="VMM69" s="594"/>
      <c r="VMN69" s="594"/>
      <c r="VMO69" s="594"/>
      <c r="VMP69" s="594"/>
      <c r="VMQ69" s="594"/>
      <c r="VMR69" s="594"/>
      <c r="VMS69" s="594"/>
      <c r="VMT69" s="594"/>
      <c r="VMU69" s="594"/>
      <c r="VMV69" s="594"/>
      <c r="VMW69" s="594"/>
      <c r="VMX69" s="594"/>
      <c r="VMY69" s="594"/>
      <c r="VMZ69" s="594"/>
      <c r="VNA69" s="594"/>
      <c r="VNB69" s="594"/>
      <c r="VNC69" s="594"/>
      <c r="VND69" s="594"/>
      <c r="VNE69" s="594"/>
      <c r="VNF69" s="594"/>
      <c r="VNG69" s="594"/>
      <c r="VNH69" s="594"/>
      <c r="VNI69" s="594"/>
      <c r="VNJ69" s="594"/>
      <c r="VNK69" s="594"/>
      <c r="VNL69" s="594"/>
      <c r="VNM69" s="594"/>
      <c r="VNN69" s="594"/>
      <c r="VNO69" s="594"/>
      <c r="VNP69" s="594"/>
      <c r="VNQ69" s="594"/>
      <c r="VNR69" s="594"/>
      <c r="VNS69" s="594"/>
      <c r="VNT69" s="594"/>
      <c r="VNU69" s="594"/>
      <c r="VNV69" s="594"/>
      <c r="VNW69" s="594"/>
      <c r="VNX69" s="594"/>
      <c r="VNY69" s="594"/>
      <c r="VNZ69" s="594"/>
      <c r="VOA69" s="594"/>
      <c r="VOB69" s="594"/>
      <c r="VOC69" s="594"/>
      <c r="VOD69" s="594"/>
      <c r="VOE69" s="594"/>
      <c r="VOF69" s="594"/>
      <c r="VOG69" s="594"/>
      <c r="VOH69" s="594"/>
      <c r="VOI69" s="594"/>
      <c r="VOJ69" s="594"/>
      <c r="VOK69" s="594"/>
      <c r="VOL69" s="594"/>
      <c r="VOM69" s="594"/>
      <c r="VON69" s="594"/>
      <c r="VOO69" s="594"/>
      <c r="VOP69" s="594"/>
      <c r="VOQ69" s="594"/>
      <c r="VOR69" s="594"/>
      <c r="VOS69" s="594"/>
      <c r="VOT69" s="594"/>
      <c r="VOU69" s="594"/>
      <c r="VOV69" s="594"/>
      <c r="VOW69" s="594"/>
      <c r="VOX69" s="594"/>
      <c r="VOY69" s="594"/>
      <c r="VOZ69" s="594"/>
      <c r="VPA69" s="594"/>
      <c r="VPB69" s="594"/>
      <c r="VPC69" s="594"/>
      <c r="VPD69" s="594"/>
      <c r="VPE69" s="594"/>
      <c r="VPF69" s="594"/>
      <c r="VPG69" s="594"/>
      <c r="VPH69" s="594"/>
      <c r="VPI69" s="594"/>
      <c r="VPJ69" s="594"/>
      <c r="VPK69" s="594"/>
      <c r="VPL69" s="594"/>
      <c r="VPM69" s="594"/>
      <c r="VPN69" s="594"/>
      <c r="VPO69" s="594"/>
      <c r="VPP69" s="594"/>
      <c r="VPQ69" s="594"/>
      <c r="VPR69" s="594"/>
      <c r="VPS69" s="594"/>
      <c r="VPT69" s="594"/>
      <c r="VPU69" s="594"/>
      <c r="VPV69" s="594"/>
      <c r="VPW69" s="594"/>
      <c r="VPX69" s="594"/>
      <c r="VPY69" s="594"/>
      <c r="VPZ69" s="594"/>
      <c r="VQA69" s="594"/>
      <c r="VQB69" s="594"/>
      <c r="VQC69" s="594"/>
      <c r="VQD69" s="594"/>
      <c r="VQE69" s="594"/>
      <c r="VQF69" s="594"/>
      <c r="VQG69" s="594"/>
      <c r="VQH69" s="594"/>
      <c r="VQI69" s="594"/>
      <c r="VQJ69" s="594"/>
      <c r="VQK69" s="594"/>
      <c r="VQL69" s="594"/>
      <c r="VQM69" s="594"/>
      <c r="VQN69" s="594"/>
      <c r="VQO69" s="594"/>
      <c r="VQP69" s="594"/>
      <c r="VQQ69" s="594"/>
      <c r="VQR69" s="594"/>
      <c r="VQS69" s="594"/>
      <c r="VQT69" s="594"/>
      <c r="VQU69" s="594"/>
      <c r="VQV69" s="594"/>
      <c r="VQW69" s="594"/>
      <c r="VQX69" s="594"/>
      <c r="VQY69" s="594"/>
      <c r="VQZ69" s="594"/>
      <c r="VRA69" s="594"/>
      <c r="VRB69" s="594"/>
      <c r="VRC69" s="594"/>
      <c r="VRD69" s="594"/>
      <c r="VRE69" s="594"/>
      <c r="VRF69" s="594"/>
      <c r="VRG69" s="594"/>
      <c r="VRH69" s="594"/>
      <c r="VRI69" s="594"/>
      <c r="VRJ69" s="594"/>
      <c r="VRK69" s="594"/>
      <c r="VRL69" s="594"/>
      <c r="VRM69" s="594"/>
      <c r="VRN69" s="594"/>
      <c r="VRO69" s="594"/>
      <c r="VRP69" s="594"/>
      <c r="VRQ69" s="594"/>
      <c r="VRR69" s="594"/>
      <c r="VRS69" s="594"/>
      <c r="VRT69" s="594"/>
      <c r="VRU69" s="594"/>
      <c r="VRV69" s="594"/>
      <c r="VRW69" s="594"/>
      <c r="VRX69" s="594"/>
      <c r="VRY69" s="594"/>
      <c r="VRZ69" s="594"/>
      <c r="VSA69" s="594"/>
      <c r="VSB69" s="594"/>
      <c r="VSC69" s="594"/>
      <c r="VSD69" s="594"/>
      <c r="VSE69" s="594"/>
      <c r="VSF69" s="594"/>
      <c r="VSG69" s="594"/>
      <c r="VSH69" s="594"/>
      <c r="VSI69" s="594"/>
      <c r="VSJ69" s="594"/>
      <c r="VSK69" s="594"/>
      <c r="VSL69" s="594"/>
      <c r="VSM69" s="594"/>
      <c r="VSN69" s="594"/>
      <c r="VSO69" s="594"/>
      <c r="VSP69" s="594"/>
      <c r="VSQ69" s="594"/>
      <c r="VSR69" s="594"/>
      <c r="VSS69" s="594"/>
      <c r="VST69" s="594"/>
      <c r="VSU69" s="594"/>
      <c r="VSV69" s="594"/>
      <c r="VSW69" s="594"/>
      <c r="VSX69" s="594"/>
      <c r="VSY69" s="594"/>
      <c r="VSZ69" s="594"/>
      <c r="VTA69" s="594"/>
      <c r="VTB69" s="594"/>
      <c r="VTC69" s="594"/>
      <c r="VTD69" s="594"/>
      <c r="VTE69" s="594"/>
      <c r="VTF69" s="594"/>
      <c r="VTG69" s="594"/>
      <c r="VTH69" s="594"/>
      <c r="VTI69" s="594"/>
      <c r="VTJ69" s="594"/>
      <c r="VTK69" s="594"/>
      <c r="VTL69" s="594"/>
      <c r="VTM69" s="594"/>
      <c r="VTN69" s="594"/>
      <c r="VTO69" s="594"/>
      <c r="VTP69" s="594"/>
      <c r="VTQ69" s="594"/>
      <c r="VTR69" s="594"/>
      <c r="VTS69" s="594"/>
      <c r="VTT69" s="594"/>
      <c r="VTU69" s="594"/>
      <c r="VTV69" s="594"/>
      <c r="VTW69" s="594"/>
      <c r="VTX69" s="594"/>
      <c r="VTY69" s="594"/>
      <c r="VTZ69" s="594"/>
      <c r="VUA69" s="594"/>
      <c r="VUB69" s="594"/>
      <c r="VUC69" s="594"/>
      <c r="VUD69" s="594"/>
      <c r="VUE69" s="594"/>
      <c r="VUF69" s="594"/>
      <c r="VUG69" s="594"/>
      <c r="VUH69" s="594"/>
      <c r="VUI69" s="594"/>
      <c r="VUJ69" s="594"/>
      <c r="VUK69" s="594"/>
      <c r="VUL69" s="594"/>
      <c r="VUM69" s="594"/>
      <c r="VUN69" s="594"/>
      <c r="VUO69" s="594"/>
      <c r="VUP69" s="594"/>
      <c r="VUQ69" s="594"/>
      <c r="VUR69" s="594"/>
      <c r="VUS69" s="594"/>
      <c r="VUT69" s="594"/>
      <c r="VUU69" s="594"/>
      <c r="VUV69" s="594"/>
      <c r="VUW69" s="594"/>
      <c r="VUX69" s="594"/>
      <c r="VUY69" s="594"/>
      <c r="VUZ69" s="594"/>
      <c r="VVA69" s="594"/>
      <c r="VVB69" s="594"/>
      <c r="VVC69" s="594"/>
      <c r="VVD69" s="594"/>
      <c r="VVE69" s="594"/>
      <c r="VVF69" s="594"/>
      <c r="VVG69" s="594"/>
      <c r="VVH69" s="594"/>
      <c r="VVI69" s="594"/>
      <c r="VVJ69" s="594"/>
      <c r="VVK69" s="594"/>
      <c r="VVL69" s="594"/>
      <c r="VVM69" s="594"/>
      <c r="VVN69" s="594"/>
      <c r="VVO69" s="594"/>
      <c r="VVP69" s="594"/>
      <c r="VVQ69" s="594"/>
      <c r="VVR69" s="594"/>
      <c r="VVS69" s="594"/>
      <c r="VVT69" s="594"/>
      <c r="VVU69" s="594"/>
      <c r="VVV69" s="594"/>
      <c r="VVW69" s="594"/>
      <c r="VVX69" s="594"/>
      <c r="VVY69" s="594"/>
      <c r="VVZ69" s="594"/>
      <c r="VWA69" s="594"/>
      <c r="VWB69" s="594"/>
      <c r="VWC69" s="594"/>
      <c r="VWD69" s="594"/>
      <c r="VWE69" s="594"/>
      <c r="VWF69" s="594"/>
      <c r="VWG69" s="594"/>
      <c r="VWH69" s="594"/>
      <c r="VWI69" s="594"/>
      <c r="VWJ69" s="594"/>
      <c r="VWK69" s="594"/>
      <c r="VWL69" s="594"/>
      <c r="VWM69" s="594"/>
      <c r="VWN69" s="594"/>
      <c r="VWO69" s="594"/>
      <c r="VWP69" s="594"/>
      <c r="VWQ69" s="594"/>
      <c r="VWR69" s="594"/>
      <c r="VWS69" s="594"/>
      <c r="VWT69" s="594"/>
      <c r="VWU69" s="594"/>
      <c r="VWV69" s="594"/>
      <c r="VWW69" s="594"/>
      <c r="VWX69" s="594"/>
      <c r="VWY69" s="594"/>
      <c r="VWZ69" s="594"/>
      <c r="VXA69" s="594"/>
      <c r="VXB69" s="594"/>
      <c r="VXC69" s="594"/>
      <c r="VXD69" s="594"/>
      <c r="VXE69" s="594"/>
      <c r="VXF69" s="594"/>
      <c r="VXG69" s="594"/>
      <c r="VXH69" s="594"/>
      <c r="VXI69" s="594"/>
      <c r="VXJ69" s="594"/>
      <c r="VXK69" s="594"/>
      <c r="VXL69" s="594"/>
      <c r="VXM69" s="594"/>
      <c r="VXN69" s="594"/>
      <c r="VXO69" s="594"/>
      <c r="VXP69" s="594"/>
      <c r="VXQ69" s="594"/>
      <c r="VXR69" s="594"/>
      <c r="VXS69" s="594"/>
      <c r="VXT69" s="594"/>
      <c r="VXU69" s="594"/>
      <c r="VXV69" s="594"/>
      <c r="VXW69" s="594"/>
      <c r="VXX69" s="594"/>
      <c r="VXY69" s="594"/>
      <c r="VXZ69" s="594"/>
      <c r="VYA69" s="594"/>
      <c r="VYB69" s="594"/>
      <c r="VYC69" s="594"/>
      <c r="VYD69" s="594"/>
      <c r="VYE69" s="594"/>
      <c r="VYF69" s="594"/>
      <c r="VYG69" s="594"/>
      <c r="VYH69" s="594"/>
      <c r="VYI69" s="594"/>
      <c r="VYJ69" s="594"/>
      <c r="VYK69" s="594"/>
      <c r="VYL69" s="594"/>
      <c r="VYM69" s="594"/>
      <c r="VYN69" s="594"/>
      <c r="VYO69" s="594"/>
      <c r="VYP69" s="594"/>
      <c r="VYQ69" s="594"/>
      <c r="VYR69" s="594"/>
      <c r="VYS69" s="594"/>
      <c r="VYT69" s="594"/>
      <c r="VYU69" s="594"/>
      <c r="VYV69" s="594"/>
      <c r="VYW69" s="594"/>
      <c r="VYX69" s="594"/>
      <c r="VYY69" s="594"/>
      <c r="VYZ69" s="594"/>
      <c r="VZA69" s="594"/>
      <c r="VZB69" s="594"/>
      <c r="VZC69" s="594"/>
      <c r="VZD69" s="594"/>
      <c r="VZE69" s="594"/>
      <c r="VZF69" s="594"/>
      <c r="VZG69" s="594"/>
      <c r="VZH69" s="594"/>
      <c r="VZI69" s="594"/>
      <c r="VZJ69" s="594"/>
      <c r="VZK69" s="594"/>
      <c r="VZL69" s="594"/>
      <c r="VZM69" s="594"/>
      <c r="VZN69" s="594"/>
      <c r="VZO69" s="594"/>
      <c r="VZP69" s="594"/>
      <c r="VZQ69" s="594"/>
      <c r="VZR69" s="594"/>
      <c r="VZS69" s="594"/>
      <c r="VZT69" s="594"/>
      <c r="VZU69" s="594"/>
      <c r="VZV69" s="594"/>
      <c r="VZW69" s="594"/>
      <c r="VZX69" s="594"/>
      <c r="VZY69" s="594"/>
      <c r="VZZ69" s="594"/>
      <c r="WAA69" s="594"/>
      <c r="WAB69" s="594"/>
      <c r="WAC69" s="594"/>
      <c r="WAD69" s="594"/>
      <c r="WAE69" s="594"/>
      <c r="WAF69" s="594"/>
      <c r="WAG69" s="594"/>
      <c r="WAH69" s="594"/>
      <c r="WAI69" s="594"/>
      <c r="WAJ69" s="594"/>
      <c r="WAK69" s="594"/>
      <c r="WAL69" s="594"/>
      <c r="WAM69" s="594"/>
      <c r="WAN69" s="594"/>
      <c r="WAO69" s="594"/>
      <c r="WAP69" s="594"/>
      <c r="WAQ69" s="594"/>
      <c r="WAR69" s="594"/>
      <c r="WAS69" s="594"/>
      <c r="WAT69" s="594"/>
      <c r="WAU69" s="594"/>
      <c r="WAV69" s="594"/>
      <c r="WAW69" s="594"/>
      <c r="WAX69" s="594"/>
      <c r="WAY69" s="594"/>
      <c r="WAZ69" s="594"/>
      <c r="WBA69" s="594"/>
      <c r="WBB69" s="594"/>
      <c r="WBC69" s="594"/>
      <c r="WBD69" s="594"/>
      <c r="WBE69" s="594"/>
      <c r="WBF69" s="594"/>
      <c r="WBG69" s="594"/>
      <c r="WBH69" s="594"/>
      <c r="WBI69" s="594"/>
      <c r="WBJ69" s="594"/>
      <c r="WBK69" s="594"/>
      <c r="WBL69" s="594"/>
      <c r="WBM69" s="594"/>
      <c r="WBN69" s="594"/>
      <c r="WBO69" s="594"/>
      <c r="WBP69" s="594"/>
      <c r="WBQ69" s="594"/>
      <c r="WBR69" s="594"/>
      <c r="WBS69" s="594"/>
      <c r="WBT69" s="594"/>
      <c r="WBU69" s="594"/>
      <c r="WBV69" s="594"/>
      <c r="WBW69" s="594"/>
      <c r="WBX69" s="594"/>
      <c r="WBY69" s="594"/>
      <c r="WBZ69" s="594"/>
      <c r="WCA69" s="594"/>
      <c r="WCB69" s="594"/>
      <c r="WCC69" s="594"/>
      <c r="WCD69" s="594"/>
      <c r="WCE69" s="594"/>
      <c r="WCF69" s="594"/>
      <c r="WCG69" s="594"/>
      <c r="WCH69" s="594"/>
      <c r="WCI69" s="594"/>
      <c r="WCJ69" s="594"/>
      <c r="WCK69" s="594"/>
      <c r="WCL69" s="594"/>
      <c r="WCM69" s="594"/>
      <c r="WCN69" s="594"/>
      <c r="WCO69" s="594"/>
      <c r="WCP69" s="594"/>
      <c r="WCQ69" s="594"/>
      <c r="WCR69" s="594"/>
      <c r="WCS69" s="594"/>
      <c r="WCT69" s="594"/>
      <c r="WCU69" s="594"/>
      <c r="WCV69" s="594"/>
      <c r="WCW69" s="594"/>
      <c r="WCX69" s="594"/>
      <c r="WCY69" s="594"/>
      <c r="WCZ69" s="594"/>
      <c r="WDA69" s="594"/>
      <c r="WDB69" s="594"/>
      <c r="WDC69" s="594"/>
      <c r="WDD69" s="594"/>
      <c r="WDE69" s="594"/>
      <c r="WDF69" s="594"/>
      <c r="WDG69" s="594"/>
      <c r="WDH69" s="594"/>
      <c r="WDI69" s="594"/>
      <c r="WDJ69" s="594"/>
      <c r="WDK69" s="594"/>
      <c r="WDL69" s="594"/>
      <c r="WDM69" s="594"/>
      <c r="WDN69" s="594"/>
      <c r="WDO69" s="594"/>
      <c r="WDP69" s="594"/>
      <c r="WDQ69" s="594"/>
      <c r="WDR69" s="594"/>
      <c r="WDS69" s="594"/>
      <c r="WDT69" s="594"/>
      <c r="WDU69" s="594"/>
      <c r="WDV69" s="594"/>
      <c r="WDW69" s="594"/>
      <c r="WDX69" s="594"/>
      <c r="WDY69" s="594"/>
      <c r="WDZ69" s="594"/>
      <c r="WEA69" s="594"/>
      <c r="WEB69" s="594"/>
      <c r="WEC69" s="594"/>
      <c r="WED69" s="594"/>
      <c r="WEE69" s="594"/>
      <c r="WEF69" s="594"/>
      <c r="WEG69" s="594"/>
      <c r="WEH69" s="594"/>
      <c r="WEI69" s="594"/>
      <c r="WEJ69" s="594"/>
      <c r="WEK69" s="594"/>
      <c r="WEL69" s="594"/>
      <c r="WEM69" s="594"/>
      <c r="WEN69" s="594"/>
      <c r="WEO69" s="594"/>
      <c r="WEP69" s="594"/>
      <c r="WEQ69" s="594"/>
      <c r="WER69" s="594"/>
      <c r="WES69" s="594"/>
      <c r="WET69" s="594"/>
      <c r="WEU69" s="594"/>
      <c r="WEV69" s="594"/>
      <c r="WEW69" s="594"/>
      <c r="WEX69" s="594"/>
      <c r="WEY69" s="594"/>
      <c r="WEZ69" s="594"/>
      <c r="WFA69" s="594"/>
      <c r="WFB69" s="594"/>
      <c r="WFC69" s="594"/>
      <c r="WFD69" s="594"/>
      <c r="WFE69" s="594"/>
      <c r="WFF69" s="594"/>
      <c r="WFG69" s="594"/>
      <c r="WFH69" s="594"/>
      <c r="WFI69" s="594"/>
      <c r="WFJ69" s="594"/>
      <c r="WFK69" s="594"/>
      <c r="WFL69" s="594"/>
      <c r="WFM69" s="594"/>
      <c r="WFN69" s="594"/>
      <c r="WFO69" s="594"/>
      <c r="WFP69" s="594"/>
      <c r="WFQ69" s="594"/>
      <c r="WFR69" s="594"/>
      <c r="WFS69" s="594"/>
      <c r="WFT69" s="594"/>
      <c r="WFU69" s="594"/>
      <c r="WFV69" s="594"/>
      <c r="WFW69" s="594"/>
      <c r="WFX69" s="594"/>
      <c r="WFY69" s="594"/>
      <c r="WFZ69" s="594"/>
      <c r="WGA69" s="594"/>
      <c r="WGB69" s="594"/>
      <c r="WGC69" s="594"/>
      <c r="WGD69" s="594"/>
      <c r="WGE69" s="594"/>
      <c r="WGF69" s="594"/>
      <c r="WGG69" s="594"/>
      <c r="WGH69" s="594"/>
      <c r="WGI69" s="594"/>
      <c r="WGJ69" s="594"/>
      <c r="WGK69" s="594"/>
      <c r="WGL69" s="594"/>
      <c r="WGM69" s="594"/>
      <c r="WGN69" s="594"/>
      <c r="WGO69" s="594"/>
      <c r="WGP69" s="594"/>
      <c r="WGQ69" s="594"/>
      <c r="WGR69" s="594"/>
      <c r="WGS69" s="594"/>
      <c r="WGT69" s="594"/>
      <c r="WGU69" s="594"/>
      <c r="WGV69" s="594"/>
      <c r="WGW69" s="594"/>
      <c r="WGX69" s="594"/>
      <c r="WGY69" s="594"/>
      <c r="WGZ69" s="594"/>
      <c r="WHA69" s="594"/>
      <c r="WHB69" s="594"/>
      <c r="WHC69" s="594"/>
      <c r="WHD69" s="594"/>
      <c r="WHE69" s="594"/>
      <c r="WHF69" s="594"/>
      <c r="WHG69" s="594"/>
      <c r="WHH69" s="594"/>
      <c r="WHI69" s="594"/>
      <c r="WHJ69" s="594"/>
      <c r="WHK69" s="594"/>
      <c r="WHL69" s="594"/>
      <c r="WHM69" s="594"/>
      <c r="WHN69" s="594"/>
      <c r="WHO69" s="594"/>
      <c r="WHP69" s="594"/>
      <c r="WHQ69" s="594"/>
      <c r="WHR69" s="594"/>
      <c r="WHS69" s="594"/>
      <c r="WHT69" s="594"/>
      <c r="WHU69" s="594"/>
      <c r="WHV69" s="594"/>
      <c r="WHW69" s="594"/>
      <c r="WHX69" s="594"/>
      <c r="WHY69" s="594"/>
      <c r="WHZ69" s="594"/>
      <c r="WIA69" s="594"/>
      <c r="WIB69" s="594"/>
      <c r="WIC69" s="594"/>
      <c r="WID69" s="594"/>
      <c r="WIE69" s="594"/>
      <c r="WIF69" s="594"/>
      <c r="WIG69" s="594"/>
      <c r="WIH69" s="594"/>
      <c r="WII69" s="594"/>
      <c r="WIJ69" s="594"/>
      <c r="WIK69" s="594"/>
      <c r="WIL69" s="594"/>
      <c r="WIM69" s="594"/>
      <c r="WIN69" s="594"/>
      <c r="WIO69" s="594"/>
      <c r="WIP69" s="594"/>
      <c r="WIQ69" s="594"/>
      <c r="WIR69" s="594"/>
      <c r="WIS69" s="594"/>
      <c r="WIT69" s="594"/>
      <c r="WIU69" s="594"/>
      <c r="WIV69" s="594"/>
      <c r="WIW69" s="594"/>
      <c r="WIX69" s="594"/>
      <c r="WIY69" s="594"/>
      <c r="WIZ69" s="594"/>
      <c r="WJA69" s="594"/>
      <c r="WJB69" s="594"/>
      <c r="WJC69" s="594"/>
      <c r="WJD69" s="594"/>
      <c r="WJE69" s="594"/>
      <c r="WJF69" s="594"/>
      <c r="WJG69" s="594"/>
      <c r="WJH69" s="594"/>
      <c r="WJI69" s="594"/>
      <c r="WJJ69" s="594"/>
      <c r="WJK69" s="594"/>
      <c r="WJL69" s="594"/>
      <c r="WJM69" s="594"/>
      <c r="WJN69" s="594"/>
      <c r="WJO69" s="594"/>
      <c r="WJP69" s="594"/>
      <c r="WJQ69" s="594"/>
      <c r="WJR69" s="594"/>
      <c r="WJS69" s="594"/>
      <c r="WJT69" s="594"/>
      <c r="WJU69" s="594"/>
      <c r="WJV69" s="594"/>
      <c r="WJW69" s="594"/>
      <c r="WJX69" s="594"/>
      <c r="WJY69" s="594"/>
      <c r="WJZ69" s="594"/>
      <c r="WKA69" s="594"/>
      <c r="WKB69" s="594"/>
      <c r="WKC69" s="594"/>
      <c r="WKD69" s="594"/>
      <c r="WKE69" s="594"/>
      <c r="WKF69" s="594"/>
      <c r="WKG69" s="594"/>
      <c r="WKH69" s="594"/>
      <c r="WKI69" s="594"/>
      <c r="WKJ69" s="594"/>
      <c r="WKK69" s="594"/>
      <c r="WKL69" s="594"/>
      <c r="WKM69" s="594"/>
      <c r="WKN69" s="594"/>
      <c r="WKO69" s="594"/>
      <c r="WKP69" s="594"/>
      <c r="WKQ69" s="594"/>
      <c r="WKR69" s="594"/>
      <c r="WKS69" s="594"/>
      <c r="WKT69" s="594"/>
      <c r="WKU69" s="594"/>
      <c r="WKV69" s="594"/>
      <c r="WKW69" s="594"/>
      <c r="WKX69" s="594"/>
      <c r="WKY69" s="594"/>
      <c r="WKZ69" s="594"/>
      <c r="WLA69" s="594"/>
      <c r="WLB69" s="594"/>
      <c r="WLC69" s="594"/>
      <c r="WLD69" s="594"/>
      <c r="WLE69" s="594"/>
      <c r="WLF69" s="594"/>
      <c r="WLG69" s="594"/>
      <c r="WLH69" s="594"/>
      <c r="WLI69" s="594"/>
      <c r="WLJ69" s="594"/>
      <c r="WLK69" s="594"/>
      <c r="WLL69" s="594"/>
      <c r="WLM69" s="594"/>
      <c r="WLN69" s="594"/>
      <c r="WLO69" s="594"/>
      <c r="WLP69" s="594"/>
      <c r="WLQ69" s="594"/>
      <c r="WLR69" s="594"/>
      <c r="WLS69" s="594"/>
      <c r="WLT69" s="594"/>
      <c r="WLU69" s="594"/>
      <c r="WLV69" s="594"/>
      <c r="WLW69" s="594"/>
      <c r="WLX69" s="594"/>
      <c r="WLY69" s="594"/>
      <c r="WLZ69" s="594"/>
      <c r="WMA69" s="594"/>
      <c r="WMB69" s="594"/>
      <c r="WMC69" s="594"/>
      <c r="WMD69" s="594"/>
      <c r="WME69" s="594"/>
      <c r="WMF69" s="594"/>
      <c r="WMG69" s="594"/>
      <c r="WMH69" s="594"/>
      <c r="WMI69" s="594"/>
      <c r="WMJ69" s="594"/>
      <c r="WMK69" s="594"/>
      <c r="WML69" s="594"/>
      <c r="WMM69" s="594"/>
      <c r="WMN69" s="594"/>
      <c r="WMO69" s="594"/>
      <c r="WMP69" s="594"/>
      <c r="WMQ69" s="594"/>
      <c r="WMR69" s="594"/>
      <c r="WMS69" s="594"/>
      <c r="WMT69" s="594"/>
      <c r="WMU69" s="594"/>
      <c r="WMV69" s="594"/>
      <c r="WMW69" s="594"/>
      <c r="WMX69" s="594"/>
      <c r="WMY69" s="594"/>
      <c r="WMZ69" s="594"/>
      <c r="WNA69" s="594"/>
      <c r="WNB69" s="594"/>
      <c r="WNC69" s="594"/>
      <c r="WND69" s="594"/>
      <c r="WNE69" s="594"/>
      <c r="WNF69" s="594"/>
      <c r="WNG69" s="594"/>
      <c r="WNH69" s="594"/>
      <c r="WNI69" s="594"/>
      <c r="WNJ69" s="594"/>
      <c r="WNK69" s="594"/>
      <c r="WNL69" s="594"/>
      <c r="WNM69" s="594"/>
      <c r="WNN69" s="594"/>
      <c r="WNO69" s="594"/>
      <c r="WNP69" s="594"/>
      <c r="WNQ69" s="594"/>
      <c r="WNR69" s="594"/>
      <c r="WNS69" s="594"/>
      <c r="WNT69" s="594"/>
      <c r="WNU69" s="594"/>
      <c r="WNV69" s="594"/>
      <c r="WNW69" s="594"/>
      <c r="WNX69" s="594"/>
      <c r="WNY69" s="594"/>
      <c r="WNZ69" s="594"/>
      <c r="WOA69" s="594"/>
      <c r="WOB69" s="594"/>
      <c r="WOC69" s="594"/>
      <c r="WOD69" s="594"/>
      <c r="WOE69" s="594"/>
      <c r="WOF69" s="594"/>
      <c r="WOG69" s="594"/>
      <c r="WOH69" s="594"/>
      <c r="WOI69" s="594"/>
      <c r="WOJ69" s="594"/>
      <c r="WOK69" s="594"/>
      <c r="WOL69" s="594"/>
      <c r="WOM69" s="594"/>
      <c r="WON69" s="594"/>
      <c r="WOO69" s="594"/>
      <c r="WOP69" s="594"/>
      <c r="WOQ69" s="594"/>
      <c r="WOR69" s="594"/>
      <c r="WOS69" s="594"/>
      <c r="WOT69" s="594"/>
      <c r="WOU69" s="594"/>
      <c r="WOV69" s="594"/>
      <c r="WOW69" s="594"/>
      <c r="WOX69" s="594"/>
      <c r="WOY69" s="594"/>
      <c r="WOZ69" s="594"/>
      <c r="WPA69" s="594"/>
      <c r="WPB69" s="594"/>
      <c r="WPC69" s="594"/>
      <c r="WPD69" s="594"/>
      <c r="WPE69" s="594"/>
      <c r="WPF69" s="594"/>
      <c r="WPG69" s="594"/>
      <c r="WPH69" s="594"/>
      <c r="WPI69" s="594"/>
      <c r="WPJ69" s="594"/>
      <c r="WPK69" s="594"/>
      <c r="WPL69" s="594"/>
      <c r="WPM69" s="594"/>
      <c r="WPN69" s="594"/>
      <c r="WPO69" s="594"/>
      <c r="WPP69" s="594"/>
      <c r="WPQ69" s="594"/>
      <c r="WPR69" s="594"/>
      <c r="WPS69" s="594"/>
      <c r="WPT69" s="594"/>
      <c r="WPU69" s="594"/>
      <c r="WPV69" s="594"/>
      <c r="WPW69" s="594"/>
      <c r="WPX69" s="594"/>
      <c r="WPY69" s="594"/>
      <c r="WPZ69" s="594"/>
      <c r="WQA69" s="594"/>
      <c r="WQB69" s="594"/>
      <c r="WQC69" s="594"/>
      <c r="WQD69" s="594"/>
      <c r="WQE69" s="594"/>
      <c r="WQF69" s="594"/>
      <c r="WQG69" s="594"/>
      <c r="WQH69" s="594"/>
      <c r="WQI69" s="594"/>
      <c r="WQJ69" s="594"/>
      <c r="WQK69" s="594"/>
      <c r="WQL69" s="594"/>
      <c r="WQM69" s="594"/>
      <c r="WQN69" s="594"/>
      <c r="WQO69" s="594"/>
      <c r="WQP69" s="594"/>
      <c r="WQQ69" s="594"/>
      <c r="WQR69" s="594"/>
      <c r="WQS69" s="594"/>
      <c r="WQT69" s="594"/>
      <c r="WQU69" s="594"/>
      <c r="WQV69" s="594"/>
      <c r="WQW69" s="594"/>
      <c r="WQX69" s="594"/>
      <c r="WQY69" s="594"/>
      <c r="WQZ69" s="594"/>
      <c r="WRA69" s="594"/>
      <c r="WRB69" s="594"/>
      <c r="WRC69" s="594"/>
      <c r="WRD69" s="594"/>
      <c r="WRE69" s="594"/>
      <c r="WRF69" s="594"/>
      <c r="WRG69" s="594"/>
      <c r="WRH69" s="594"/>
      <c r="WRI69" s="594"/>
      <c r="WRJ69" s="594"/>
      <c r="WRK69" s="594"/>
      <c r="WRL69" s="594"/>
      <c r="WRM69" s="594"/>
      <c r="WRN69" s="594"/>
      <c r="WRO69" s="594"/>
      <c r="WRP69" s="594"/>
      <c r="WRQ69" s="594"/>
      <c r="WRR69" s="594"/>
      <c r="WRS69" s="594"/>
      <c r="WRT69" s="594"/>
      <c r="WRU69" s="594"/>
      <c r="WRV69" s="594"/>
      <c r="WRW69" s="594"/>
      <c r="WRX69" s="594"/>
      <c r="WRY69" s="594"/>
      <c r="WRZ69" s="594"/>
      <c r="WSA69" s="594"/>
      <c r="WSB69" s="594"/>
      <c r="WSC69" s="594"/>
      <c r="WSD69" s="594"/>
      <c r="WSE69" s="594"/>
      <c r="WSF69" s="594"/>
      <c r="WSG69" s="594"/>
      <c r="WSH69" s="594"/>
      <c r="WSI69" s="594"/>
      <c r="WSJ69" s="594"/>
      <c r="WSK69" s="594"/>
      <c r="WSL69" s="594"/>
      <c r="WSM69" s="594"/>
      <c r="WSN69" s="594"/>
      <c r="WSO69" s="594"/>
      <c r="WSP69" s="594"/>
      <c r="WSQ69" s="594"/>
      <c r="WSR69" s="594"/>
      <c r="WSS69" s="594"/>
      <c r="WST69" s="594"/>
      <c r="WSU69" s="594"/>
      <c r="WSV69" s="594"/>
      <c r="WSW69" s="594"/>
      <c r="WSX69" s="594"/>
      <c r="WSY69" s="594"/>
      <c r="WSZ69" s="594"/>
      <c r="WTA69" s="594"/>
      <c r="WTB69" s="594"/>
      <c r="WTC69" s="594"/>
      <c r="WTD69" s="594"/>
      <c r="WTE69" s="594"/>
      <c r="WTF69" s="594"/>
      <c r="WTG69" s="594"/>
      <c r="WTH69" s="594"/>
      <c r="WTI69" s="594"/>
      <c r="WTJ69" s="594"/>
      <c r="WTK69" s="594"/>
      <c r="WTL69" s="594"/>
      <c r="WTM69" s="594"/>
      <c r="WTN69" s="594"/>
      <c r="WTO69" s="594"/>
      <c r="WTP69" s="594"/>
      <c r="WTQ69" s="594"/>
      <c r="WTR69" s="594"/>
      <c r="WTS69" s="594"/>
      <c r="WTT69" s="594"/>
      <c r="WTU69" s="594"/>
      <c r="WTV69" s="594"/>
      <c r="WTW69" s="594"/>
      <c r="WTX69" s="594"/>
      <c r="WTY69" s="594"/>
      <c r="WTZ69" s="594"/>
      <c r="WUA69" s="594"/>
      <c r="WUB69" s="594"/>
      <c r="WUC69" s="594"/>
      <c r="WUD69" s="594"/>
      <c r="WUE69" s="594"/>
      <c r="WUF69" s="594"/>
      <c r="WUG69" s="594"/>
      <c r="WUH69" s="594"/>
      <c r="WUI69" s="594"/>
      <c r="WUJ69" s="594"/>
      <c r="WUK69" s="594"/>
      <c r="WUL69" s="594"/>
      <c r="WUM69" s="594"/>
      <c r="WUN69" s="594"/>
      <c r="WUO69" s="594"/>
      <c r="WUP69" s="594"/>
      <c r="WUQ69" s="594"/>
      <c r="WUR69" s="594"/>
      <c r="WUS69" s="594"/>
      <c r="WUT69" s="594"/>
      <c r="WUU69" s="594"/>
      <c r="WUV69" s="594"/>
      <c r="WUW69" s="594"/>
      <c r="WUX69" s="594"/>
      <c r="WUY69" s="594"/>
      <c r="WUZ69" s="594"/>
      <c r="WVA69" s="594"/>
      <c r="WVB69" s="594"/>
      <c r="WVC69" s="594"/>
      <c r="WVD69" s="594"/>
      <c r="WVE69" s="594"/>
      <c r="WVF69" s="594"/>
      <c r="WVG69" s="594"/>
      <c r="WVH69" s="594"/>
      <c r="WVI69" s="594"/>
      <c r="WVJ69" s="594"/>
      <c r="WVK69" s="594"/>
      <c r="WVL69" s="594"/>
      <c r="WVM69" s="594"/>
      <c r="WVN69" s="594"/>
      <c r="WVO69" s="594"/>
      <c r="WVP69" s="594"/>
      <c r="WVQ69" s="594"/>
      <c r="WVR69" s="594"/>
      <c r="WVS69" s="594"/>
      <c r="WVT69" s="594"/>
      <c r="WVU69" s="594"/>
      <c r="WVV69" s="594"/>
      <c r="WVW69" s="594"/>
      <c r="WVX69" s="594"/>
      <c r="WVY69" s="594"/>
      <c r="WVZ69" s="594"/>
      <c r="WWA69" s="594"/>
      <c r="WWB69" s="594"/>
      <c r="WWC69" s="594"/>
      <c r="WWD69" s="594"/>
      <c r="WWE69" s="594"/>
      <c r="WWF69" s="594"/>
      <c r="WWG69" s="594"/>
      <c r="WWH69" s="594"/>
      <c r="WWI69" s="594"/>
      <c r="WWJ69" s="594"/>
      <c r="WWK69" s="594"/>
      <c r="WWL69" s="594"/>
      <c r="WWM69" s="594"/>
      <c r="WWN69" s="594"/>
      <c r="WWO69" s="594"/>
      <c r="WWP69" s="594"/>
      <c r="WWQ69" s="594"/>
      <c r="WWR69" s="594"/>
      <c r="WWS69" s="594"/>
      <c r="WWT69" s="594"/>
      <c r="WWU69" s="594"/>
      <c r="WWV69" s="594"/>
      <c r="WWW69" s="594"/>
      <c r="WWX69" s="594"/>
      <c r="WWY69" s="594"/>
      <c r="WWZ69" s="594"/>
      <c r="WXA69" s="594"/>
      <c r="WXB69" s="594"/>
      <c r="WXC69" s="594"/>
      <c r="WXD69" s="594"/>
      <c r="WXE69" s="594"/>
      <c r="WXF69" s="594"/>
      <c r="WXG69" s="594"/>
      <c r="WXH69" s="594"/>
      <c r="WXI69" s="594"/>
      <c r="WXJ69" s="594"/>
      <c r="WXK69" s="594"/>
      <c r="WXL69" s="594"/>
      <c r="WXM69" s="594"/>
      <c r="WXN69" s="594"/>
      <c r="WXO69" s="594"/>
      <c r="WXP69" s="594"/>
      <c r="WXQ69" s="594"/>
      <c r="WXR69" s="594"/>
      <c r="WXS69" s="594"/>
      <c r="WXT69" s="594"/>
      <c r="WXU69" s="594"/>
      <c r="WXV69" s="594"/>
      <c r="WXW69" s="594"/>
      <c r="WXX69" s="594"/>
      <c r="WXY69" s="594"/>
      <c r="WXZ69" s="594"/>
      <c r="WYA69" s="594"/>
      <c r="WYB69" s="594"/>
      <c r="WYC69" s="594"/>
      <c r="WYD69" s="594"/>
      <c r="WYE69" s="594"/>
      <c r="WYF69" s="594"/>
      <c r="WYG69" s="594"/>
      <c r="WYH69" s="594"/>
      <c r="WYI69" s="594"/>
      <c r="WYJ69" s="594"/>
      <c r="WYK69" s="594"/>
      <c r="WYL69" s="594"/>
      <c r="WYM69" s="594"/>
      <c r="WYN69" s="594"/>
      <c r="WYO69" s="594"/>
      <c r="WYP69" s="594"/>
      <c r="WYQ69" s="594"/>
      <c r="WYR69" s="594"/>
      <c r="WYS69" s="594"/>
      <c r="WYT69" s="594"/>
      <c r="WYU69" s="594"/>
      <c r="WYV69" s="594"/>
      <c r="WYW69" s="594"/>
      <c r="WYX69" s="594"/>
      <c r="WYY69" s="594"/>
      <c r="WYZ69" s="594"/>
      <c r="WZA69" s="594"/>
      <c r="WZB69" s="594"/>
      <c r="WZC69" s="594"/>
      <c r="WZD69" s="594"/>
      <c r="WZE69" s="594"/>
      <c r="WZF69" s="594"/>
      <c r="WZG69" s="594"/>
      <c r="WZH69" s="594"/>
      <c r="WZI69" s="594"/>
      <c r="WZJ69" s="594"/>
      <c r="WZK69" s="594"/>
      <c r="WZL69" s="594"/>
      <c r="WZM69" s="594"/>
      <c r="WZN69" s="594"/>
      <c r="WZO69" s="594"/>
      <c r="WZP69" s="594"/>
      <c r="WZQ69" s="594"/>
      <c r="WZR69" s="594"/>
      <c r="WZS69" s="594"/>
      <c r="WZT69" s="594"/>
      <c r="WZU69" s="594"/>
      <c r="WZV69" s="594"/>
      <c r="WZW69" s="594"/>
      <c r="WZX69" s="594"/>
      <c r="WZY69" s="594"/>
      <c r="WZZ69" s="594"/>
      <c r="XAA69" s="594"/>
      <c r="XAB69" s="594"/>
      <c r="XAC69" s="594"/>
      <c r="XAD69" s="594"/>
      <c r="XAE69" s="594"/>
      <c r="XAF69" s="594"/>
      <c r="XAG69" s="594"/>
      <c r="XAH69" s="594"/>
      <c r="XAI69" s="594"/>
      <c r="XAJ69" s="594"/>
      <c r="XAK69" s="594"/>
      <c r="XAL69" s="594"/>
      <c r="XAM69" s="594"/>
      <c r="XAN69" s="594"/>
      <c r="XAO69" s="594"/>
      <c r="XAP69" s="594"/>
      <c r="XAQ69" s="594"/>
      <c r="XAR69" s="594"/>
      <c r="XAS69" s="594"/>
      <c r="XAT69" s="594"/>
      <c r="XAU69" s="594"/>
      <c r="XAV69" s="594"/>
      <c r="XAW69" s="594"/>
      <c r="XAX69" s="594"/>
      <c r="XAY69" s="594"/>
      <c r="XAZ69" s="594"/>
      <c r="XBA69" s="594"/>
      <c r="XBB69" s="594"/>
      <c r="XBC69" s="594"/>
      <c r="XBD69" s="594"/>
      <c r="XBE69" s="594"/>
      <c r="XBF69" s="594"/>
      <c r="XBG69" s="594"/>
      <c r="XBH69" s="594"/>
      <c r="XBI69" s="594"/>
      <c r="XBJ69" s="594"/>
      <c r="XBK69" s="594"/>
      <c r="XBL69" s="594"/>
      <c r="XBM69" s="594"/>
      <c r="XBN69" s="594"/>
      <c r="XBO69" s="594"/>
      <c r="XBP69" s="594"/>
      <c r="XBQ69" s="594"/>
      <c r="XBR69" s="594"/>
      <c r="XBS69" s="594"/>
      <c r="XBT69" s="594"/>
      <c r="XBU69" s="594"/>
      <c r="XBV69" s="594"/>
      <c r="XBW69" s="594"/>
      <c r="XBX69" s="594"/>
      <c r="XBY69" s="594"/>
      <c r="XBZ69" s="594"/>
      <c r="XCA69" s="594"/>
      <c r="XCB69" s="594"/>
      <c r="XCC69" s="594"/>
      <c r="XCD69" s="594"/>
      <c r="XCE69" s="594"/>
      <c r="XCF69" s="594"/>
      <c r="XCG69" s="594"/>
      <c r="XCH69" s="594"/>
      <c r="XCI69" s="594"/>
      <c r="XCJ69" s="594"/>
      <c r="XCK69" s="594"/>
      <c r="XCL69" s="594"/>
      <c r="XCM69" s="594"/>
      <c r="XCN69" s="594"/>
      <c r="XCO69" s="594"/>
      <c r="XCP69" s="594"/>
      <c r="XCQ69" s="594"/>
      <c r="XCR69" s="594"/>
      <c r="XCS69" s="594"/>
      <c r="XCT69" s="594"/>
      <c r="XCU69" s="594"/>
      <c r="XCV69" s="594"/>
      <c r="XCW69" s="594"/>
      <c r="XCX69" s="594"/>
      <c r="XCY69" s="594"/>
      <c r="XCZ69" s="594"/>
      <c r="XDA69" s="594"/>
      <c r="XDB69" s="594"/>
      <c r="XDC69" s="594"/>
      <c r="XDD69" s="594"/>
      <c r="XDE69" s="594"/>
      <c r="XDF69" s="594"/>
      <c r="XDG69" s="594"/>
      <c r="XDH69" s="594"/>
      <c r="XDI69" s="594"/>
      <c r="XDJ69" s="594"/>
      <c r="XDK69" s="594"/>
      <c r="XDL69" s="594"/>
      <c r="XDM69" s="594"/>
      <c r="XDN69" s="594"/>
      <c r="XDO69" s="594"/>
      <c r="XDP69" s="594"/>
      <c r="XDQ69" s="594"/>
      <c r="XDR69" s="594"/>
      <c r="XDS69" s="594"/>
      <c r="XDT69" s="594"/>
      <c r="XDU69" s="594"/>
      <c r="XDV69" s="594"/>
      <c r="XDW69" s="594"/>
      <c r="XDX69" s="594"/>
      <c r="XDY69" s="594"/>
      <c r="XDZ69" s="594"/>
      <c r="XEA69" s="594"/>
      <c r="XEB69" s="594"/>
      <c r="XEC69" s="594"/>
      <c r="XED69" s="594"/>
      <c r="XEE69" s="594"/>
      <c r="XEF69" s="594"/>
      <c r="XEG69" s="594"/>
      <c r="XEH69" s="594"/>
      <c r="XEI69" s="594"/>
      <c r="XEJ69" s="594"/>
      <c r="XEK69" s="594"/>
      <c r="XEL69" s="594"/>
      <c r="XEM69" s="594"/>
      <c r="XEN69" s="594"/>
      <c r="XEO69" s="594"/>
      <c r="XEP69" s="594"/>
    </row>
    <row r="70" spans="1:16370" s="136" customFormat="1">
      <c r="A70" s="38"/>
      <c r="B70" s="171"/>
      <c r="C70" s="256"/>
      <c r="D70" s="71"/>
      <c r="E70" s="40"/>
      <c r="F70" s="423"/>
      <c r="G70" s="40"/>
      <c r="H70" s="99"/>
      <c r="I70" s="96"/>
      <c r="J70" s="96"/>
      <c r="K70" s="96"/>
      <c r="L70" s="78"/>
      <c r="M70" s="51"/>
      <c r="N70" s="162"/>
      <c r="O70" s="162"/>
      <c r="P70" s="330"/>
      <c r="Q70" s="264">
        <f>1</f>
        <v>1</v>
      </c>
      <c r="R70" s="130"/>
      <c r="T70" s="138"/>
      <c r="U70" s="137"/>
      <c r="X70" s="263"/>
      <c r="Y70" s="263" t="str">
        <f t="shared" si="8"/>
        <v/>
      </c>
      <c r="Z70" s="130" t="str">
        <f t="shared" ref="Z70:Z133" si="11">IF(T70="yes",Y70,"")</f>
        <v/>
      </c>
    </row>
    <row r="71" spans="1:16370" s="136" customFormat="1" ht="204">
      <c r="A71" s="38">
        <f>A67+1</f>
        <v>20</v>
      </c>
      <c r="B71" s="173" t="s">
        <v>308</v>
      </c>
      <c r="C71" s="135" t="s">
        <v>308</v>
      </c>
      <c r="D71" s="153" t="s">
        <v>309</v>
      </c>
      <c r="E71" s="141">
        <f>LEN(D71)</f>
        <v>297</v>
      </c>
      <c r="F71" s="153" t="s">
        <v>310</v>
      </c>
      <c r="G71" s="141">
        <f>LEN(F71)</f>
        <v>323</v>
      </c>
      <c r="H71" s="150" t="s">
        <v>37</v>
      </c>
      <c r="I71" s="141" t="s">
        <v>24</v>
      </c>
      <c r="J71" s="141" t="s">
        <v>24</v>
      </c>
      <c r="K71" s="141" t="s">
        <v>38</v>
      </c>
      <c r="L71" s="163" t="s">
        <v>311</v>
      </c>
      <c r="M71" s="208" t="s">
        <v>24</v>
      </c>
      <c r="N71" s="163" t="s">
        <v>312</v>
      </c>
      <c r="O71" s="51"/>
      <c r="P71" s="2"/>
      <c r="Q71" s="259">
        <f>1</f>
        <v>1</v>
      </c>
      <c r="R71" s="130"/>
      <c r="T71" s="405" t="s">
        <v>33</v>
      </c>
      <c r="U71" s="137"/>
      <c r="X71" s="262">
        <v>22.126214981079102</v>
      </c>
      <c r="Y71" s="262">
        <f t="shared" si="8"/>
        <v>22.126214981079102</v>
      </c>
      <c r="Z71" s="130">
        <f t="shared" si="11"/>
        <v>22.126214981079102</v>
      </c>
    </row>
    <row r="72" spans="1:16370" s="136" customFormat="1">
      <c r="A72" s="38"/>
      <c r="B72" s="171"/>
      <c r="C72" s="91"/>
      <c r="D72" s="169"/>
      <c r="E72" s="40"/>
      <c r="F72" s="40"/>
      <c r="G72" s="40"/>
      <c r="H72" s="92"/>
      <c r="I72" s="40"/>
      <c r="J72" s="40"/>
      <c r="K72" s="40"/>
      <c r="L72" s="82"/>
      <c r="M72" s="51"/>
      <c r="N72" s="82"/>
      <c r="O72" s="82"/>
      <c r="P72" s="2"/>
      <c r="Q72" s="264">
        <f>1</f>
        <v>1</v>
      </c>
      <c r="R72" s="130"/>
      <c r="T72" s="138"/>
      <c r="U72" s="137"/>
      <c r="X72" s="263"/>
      <c r="Y72" s="263" t="str">
        <f t="shared" ref="Y72:Y103" si="12">IF(X72="","",X72*Q72)</f>
        <v/>
      </c>
      <c r="Z72" s="130" t="str">
        <f t="shared" si="11"/>
        <v/>
      </c>
    </row>
    <row r="73" spans="1:16370" s="136" customFormat="1" ht="408" customHeight="1">
      <c r="A73" s="38">
        <f>A71+1</f>
        <v>21</v>
      </c>
      <c r="B73" s="173" t="s">
        <v>313</v>
      </c>
      <c r="C73" s="135" t="s">
        <v>313</v>
      </c>
      <c r="D73" s="153" t="s">
        <v>314</v>
      </c>
      <c r="E73" s="141">
        <f>LEN(D73)</f>
        <v>1236</v>
      </c>
      <c r="F73" s="563" t="s">
        <v>315</v>
      </c>
      <c r="G73" s="141">
        <f>LEN(F73)</f>
        <v>1316</v>
      </c>
      <c r="H73" s="150" t="s">
        <v>37</v>
      </c>
      <c r="I73" s="141" t="s">
        <v>24</v>
      </c>
      <c r="J73" s="141" t="s">
        <v>24</v>
      </c>
      <c r="K73" s="141" t="s">
        <v>316</v>
      </c>
      <c r="L73" s="132" t="s">
        <v>317</v>
      </c>
      <c r="M73" s="208" t="s">
        <v>24</v>
      </c>
      <c r="N73" s="139" t="s">
        <v>318</v>
      </c>
      <c r="O73" s="43"/>
      <c r="P73" s="2"/>
      <c r="Q73" s="259">
        <f>1</f>
        <v>1</v>
      </c>
      <c r="R73" s="130"/>
      <c r="T73" s="405" t="s">
        <v>33</v>
      </c>
      <c r="U73" s="137"/>
      <c r="X73" s="262">
        <v>18.710653305053711</v>
      </c>
      <c r="Y73" s="262">
        <f t="shared" si="12"/>
        <v>18.710653305053711</v>
      </c>
      <c r="Z73" s="130">
        <f t="shared" si="11"/>
        <v>18.710653305053711</v>
      </c>
    </row>
    <row r="74" spans="1:16370" s="221" customFormat="1" ht="182.25" customHeight="1">
      <c r="A74" s="38"/>
      <c r="B74" s="223" t="s">
        <v>319</v>
      </c>
      <c r="C74" s="234" t="s">
        <v>320</v>
      </c>
      <c r="D74" s="140" t="s">
        <v>273</v>
      </c>
      <c r="E74" s="133">
        <f>LEN(D74)</f>
        <v>134</v>
      </c>
      <c r="F74" s="393" t="s">
        <v>321</v>
      </c>
      <c r="G74" s="133">
        <f>LEN(F74)</f>
        <v>168</v>
      </c>
      <c r="H74" s="135" t="s">
        <v>37</v>
      </c>
      <c r="I74" s="133" t="s">
        <v>24</v>
      </c>
      <c r="J74" s="133" t="s">
        <v>24</v>
      </c>
      <c r="K74" s="133" t="s">
        <v>38</v>
      </c>
      <c r="L74" s="132" t="s">
        <v>322</v>
      </c>
      <c r="M74" s="208" t="s">
        <v>24</v>
      </c>
      <c r="N74" s="139" t="s">
        <v>323</v>
      </c>
      <c r="O74" s="43"/>
      <c r="P74" s="42"/>
      <c r="Q74" s="367">
        <f>1</f>
        <v>1</v>
      </c>
      <c r="R74" s="131"/>
      <c r="T74" s="409" t="s">
        <v>33</v>
      </c>
      <c r="U74" s="215"/>
      <c r="X74" s="266">
        <v>8</v>
      </c>
      <c r="Y74" s="266">
        <f t="shared" si="12"/>
        <v>8</v>
      </c>
      <c r="Z74" s="131">
        <f>IF(T74="yes",Y74,"")</f>
        <v>8</v>
      </c>
    </row>
    <row r="75" spans="1:16370" s="221" customFormat="1" ht="182.25" customHeight="1">
      <c r="A75" s="38"/>
      <c r="B75" s="223" t="s">
        <v>324</v>
      </c>
      <c r="C75" s="234" t="s">
        <v>325</v>
      </c>
      <c r="D75" s="140" t="s">
        <v>326</v>
      </c>
      <c r="E75" s="133">
        <f>LEN(D75)</f>
        <v>160</v>
      </c>
      <c r="F75" s="393" t="s">
        <v>280</v>
      </c>
      <c r="G75" s="133">
        <f>LEN(F75)</f>
        <v>188</v>
      </c>
      <c r="H75" s="135" t="s">
        <v>37</v>
      </c>
      <c r="I75" s="133" t="s">
        <v>24</v>
      </c>
      <c r="J75" s="133" t="s">
        <v>24</v>
      </c>
      <c r="K75" s="133" t="s">
        <v>38</v>
      </c>
      <c r="L75" s="132" t="s">
        <v>322</v>
      </c>
      <c r="M75" s="208" t="s">
        <v>24</v>
      </c>
      <c r="N75" s="139" t="s">
        <v>327</v>
      </c>
      <c r="O75" s="43"/>
      <c r="P75" s="42"/>
      <c r="Q75" s="367">
        <f>1</f>
        <v>1</v>
      </c>
      <c r="R75" s="131"/>
      <c r="T75" s="409" t="s">
        <v>33</v>
      </c>
      <c r="U75" s="215"/>
      <c r="X75" s="266">
        <v>8</v>
      </c>
      <c r="Y75" s="266">
        <f t="shared" si="12"/>
        <v>8</v>
      </c>
      <c r="Z75" s="131">
        <f>IF(T75="yes",Y75,"")</f>
        <v>8</v>
      </c>
    </row>
    <row r="76" spans="1:16370" s="136" customFormat="1" ht="182.25" customHeight="1">
      <c r="A76" s="38"/>
      <c r="B76" s="223" t="s">
        <v>328</v>
      </c>
      <c r="C76" s="234" t="s">
        <v>329</v>
      </c>
      <c r="D76" s="140" t="s">
        <v>284</v>
      </c>
      <c r="E76" s="133">
        <f>LEN(D76)</f>
        <v>163</v>
      </c>
      <c r="F76" s="393" t="s">
        <v>285</v>
      </c>
      <c r="G76" s="133">
        <f>LEN(F76)</f>
        <v>185</v>
      </c>
      <c r="H76" s="135" t="s">
        <v>37</v>
      </c>
      <c r="I76" s="133" t="s">
        <v>24</v>
      </c>
      <c r="J76" s="133" t="s">
        <v>24</v>
      </c>
      <c r="K76" s="133" t="s">
        <v>38</v>
      </c>
      <c r="L76" s="132" t="s">
        <v>322</v>
      </c>
      <c r="M76" s="208" t="s">
        <v>24</v>
      </c>
      <c r="N76" s="139" t="s">
        <v>330</v>
      </c>
      <c r="O76" s="43"/>
      <c r="P76" s="42"/>
      <c r="Q76" s="259">
        <f>1</f>
        <v>1</v>
      </c>
      <c r="R76" s="130"/>
      <c r="T76" s="405" t="s">
        <v>33</v>
      </c>
      <c r="U76" s="137"/>
      <c r="X76" s="262">
        <v>8</v>
      </c>
      <c r="Y76" s="262">
        <f t="shared" si="12"/>
        <v>8</v>
      </c>
      <c r="Z76" s="130">
        <f>IF(T76="yes",Y76,"")</f>
        <v>8</v>
      </c>
    </row>
    <row r="77" spans="1:16370" s="136" customFormat="1">
      <c r="A77" s="90"/>
      <c r="B77" s="251"/>
      <c r="C77" s="256"/>
      <c r="D77" s="257"/>
      <c r="E77" s="96"/>
      <c r="G77" s="96"/>
      <c r="H77" s="91"/>
      <c r="I77" s="96"/>
      <c r="J77" s="96"/>
      <c r="K77" s="96"/>
      <c r="L77" s="78"/>
      <c r="M77" s="51"/>
      <c r="N77" s="162"/>
      <c r="O77" s="162"/>
      <c r="P77" s="42"/>
      <c r="Q77" s="264">
        <f>1</f>
        <v>1</v>
      </c>
      <c r="R77" s="130"/>
      <c r="T77" s="138"/>
      <c r="U77" s="137"/>
      <c r="X77" s="263"/>
      <c r="Y77" s="263" t="str">
        <f t="shared" si="12"/>
        <v/>
      </c>
      <c r="Z77" s="130" t="str">
        <f t="shared" si="11"/>
        <v/>
      </c>
    </row>
    <row r="78" spans="1:16370" s="136" customFormat="1" ht="135.94999999999999">
      <c r="A78" s="6">
        <v>19</v>
      </c>
      <c r="B78" s="224" t="s">
        <v>331</v>
      </c>
      <c r="C78" s="9" t="s">
        <v>331</v>
      </c>
      <c r="D78" s="14" t="s">
        <v>332</v>
      </c>
      <c r="E78" s="12">
        <f>LEN(D78)</f>
        <v>239</v>
      </c>
      <c r="F78" s="424" t="s">
        <v>333</v>
      </c>
      <c r="G78" s="12">
        <f>LEN(F78)</f>
        <v>267</v>
      </c>
      <c r="H78" s="12" t="s">
        <v>127</v>
      </c>
      <c r="I78" s="12" t="s">
        <v>24</v>
      </c>
      <c r="J78" s="12" t="s">
        <v>24</v>
      </c>
      <c r="K78" s="12" t="s">
        <v>27</v>
      </c>
      <c r="L78" s="23" t="s">
        <v>334</v>
      </c>
      <c r="M78" s="72" t="s">
        <v>24</v>
      </c>
      <c r="N78" s="24" t="s">
        <v>335</v>
      </c>
      <c r="O78" s="24"/>
      <c r="P78" s="579" t="s">
        <v>292</v>
      </c>
      <c r="Q78" s="264">
        <f>1</f>
        <v>1</v>
      </c>
      <c r="R78" s="130"/>
      <c r="T78" s="138" t="s">
        <v>23</v>
      </c>
      <c r="U78" s="137"/>
      <c r="X78" s="263">
        <v>23.200380325317383</v>
      </c>
      <c r="Y78" s="263">
        <f t="shared" si="12"/>
        <v>23.200380325317383</v>
      </c>
      <c r="Z78" s="130" t="str">
        <f t="shared" si="11"/>
        <v/>
      </c>
    </row>
    <row r="79" spans="1:16370" s="136" customFormat="1" ht="135.94999999999999">
      <c r="A79" s="6" t="e">
        <f>#REF!+1</f>
        <v>#REF!</v>
      </c>
      <c r="B79" s="224" t="s">
        <v>336</v>
      </c>
      <c r="C79" s="233" t="s">
        <v>336</v>
      </c>
      <c r="D79" s="14" t="s">
        <v>294</v>
      </c>
      <c r="E79" s="12">
        <f>LEN(D79)</f>
        <v>253</v>
      </c>
      <c r="F79" s="425" t="s">
        <v>295</v>
      </c>
      <c r="G79" s="12">
        <f>LEN(F79)</f>
        <v>285</v>
      </c>
      <c r="H79" s="25" t="s">
        <v>37</v>
      </c>
      <c r="I79" s="8" t="s">
        <v>24</v>
      </c>
      <c r="J79" s="8" t="s">
        <v>24</v>
      </c>
      <c r="K79" s="8" t="s">
        <v>38</v>
      </c>
      <c r="L79" s="26" t="s">
        <v>337</v>
      </c>
      <c r="M79" s="72" t="s">
        <v>24</v>
      </c>
      <c r="N79" s="26" t="s">
        <v>338</v>
      </c>
      <c r="O79" s="26"/>
      <c r="P79" s="580"/>
      <c r="Q79" s="264">
        <f>1</f>
        <v>1</v>
      </c>
      <c r="R79" s="130"/>
      <c r="T79" s="138" t="s">
        <v>23</v>
      </c>
      <c r="U79" s="137"/>
      <c r="X79" s="263">
        <v>1.9277389049530029</v>
      </c>
      <c r="Y79" s="263">
        <f t="shared" si="12"/>
        <v>1.9277389049530029</v>
      </c>
      <c r="Z79" s="130" t="str">
        <f t="shared" si="11"/>
        <v/>
      </c>
    </row>
    <row r="80" spans="1:16370" s="136" customFormat="1" ht="170.1">
      <c r="A80" s="49">
        <v>18</v>
      </c>
      <c r="B80" s="352" t="s">
        <v>339</v>
      </c>
      <c r="C80" s="353" t="s">
        <v>339</v>
      </c>
      <c r="D80" s="48" t="s">
        <v>299</v>
      </c>
      <c r="E80" s="8">
        <f>LEN(D80)</f>
        <v>181</v>
      </c>
      <c r="F80" s="425" t="s">
        <v>340</v>
      </c>
      <c r="G80" s="12">
        <f>LEN(F80)</f>
        <v>168</v>
      </c>
      <c r="H80" s="9" t="s">
        <v>37</v>
      </c>
      <c r="I80" s="8" t="s">
        <v>24</v>
      </c>
      <c r="J80" s="8" t="s">
        <v>24</v>
      </c>
      <c r="K80" s="8" t="s">
        <v>38</v>
      </c>
      <c r="L80" s="26" t="s">
        <v>341</v>
      </c>
      <c r="M80" s="72" t="s">
        <v>24</v>
      </c>
      <c r="N80" s="337" t="s">
        <v>342</v>
      </c>
      <c r="O80" s="338"/>
      <c r="P80" s="42"/>
      <c r="Q80" s="264">
        <f>1</f>
        <v>1</v>
      </c>
      <c r="R80" s="130"/>
      <c r="T80" s="138" t="s">
        <v>23</v>
      </c>
      <c r="U80" s="137"/>
      <c r="X80" s="263">
        <v>4.7874016761779785</v>
      </c>
      <c r="Y80" s="263">
        <f t="shared" si="12"/>
        <v>4.7874016761779785</v>
      </c>
      <c r="Z80" s="130" t="str">
        <f t="shared" si="11"/>
        <v/>
      </c>
    </row>
    <row r="81" spans="1:16370" s="136" customFormat="1" ht="153">
      <c r="A81" s="336"/>
      <c r="B81" s="224" t="s">
        <v>343</v>
      </c>
      <c r="C81" s="233" t="s">
        <v>343</v>
      </c>
      <c r="D81" s="29" t="s">
        <v>304</v>
      </c>
      <c r="E81" s="16">
        <f>LEN(D81)</f>
        <v>215</v>
      </c>
      <c r="F81" s="424" t="s">
        <v>344</v>
      </c>
      <c r="G81" s="12">
        <f>LEN(F81)</f>
        <v>275</v>
      </c>
      <c r="H81" s="28" t="s">
        <v>37</v>
      </c>
      <c r="I81" s="12" t="s">
        <v>24</v>
      </c>
      <c r="J81" s="12" t="s">
        <v>24</v>
      </c>
      <c r="K81" s="12" t="s">
        <v>38</v>
      </c>
      <c r="L81" s="354" t="s">
        <v>345</v>
      </c>
      <c r="M81" s="72" t="s">
        <v>24</v>
      </c>
      <c r="N81" s="351" t="s">
        <v>346</v>
      </c>
      <c r="O81" s="339"/>
      <c r="P81" s="2"/>
      <c r="Q81" s="264">
        <f>1</f>
        <v>1</v>
      </c>
      <c r="R81" s="130"/>
      <c r="S81" s="594"/>
      <c r="T81" s="138" t="s">
        <v>23</v>
      </c>
      <c r="U81" s="137"/>
      <c r="V81" s="594"/>
      <c r="W81" s="594"/>
      <c r="X81" s="263">
        <v>20.918367385864258</v>
      </c>
      <c r="Y81" s="263">
        <f t="shared" si="12"/>
        <v>20.918367385864258</v>
      </c>
      <c r="Z81" s="130" t="str">
        <f t="shared" si="11"/>
        <v/>
      </c>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c r="BA81" s="594"/>
      <c r="BB81" s="594"/>
      <c r="BC81" s="594"/>
      <c r="BD81" s="594"/>
      <c r="BE81" s="594"/>
      <c r="BF81" s="594"/>
      <c r="BG81" s="594"/>
      <c r="BH81" s="594"/>
      <c r="BI81" s="594"/>
      <c r="BJ81" s="594"/>
      <c r="BK81" s="594"/>
      <c r="BL81" s="594"/>
      <c r="BM81" s="594"/>
      <c r="BN81" s="594"/>
      <c r="BO81" s="594"/>
      <c r="BP81" s="594"/>
      <c r="BQ81" s="594"/>
      <c r="BR81" s="594"/>
      <c r="BS81" s="594"/>
      <c r="BT81" s="594"/>
      <c r="BU81" s="594"/>
      <c r="BV81" s="594"/>
      <c r="BW81" s="594"/>
      <c r="BX81" s="594"/>
      <c r="BY81" s="594"/>
      <c r="BZ81" s="594"/>
      <c r="CA81" s="594"/>
      <c r="CB81" s="594"/>
      <c r="CC81" s="594"/>
      <c r="CD81" s="594"/>
      <c r="CE81" s="594"/>
      <c r="CF81" s="594"/>
      <c r="CG81" s="594"/>
      <c r="CH81" s="594"/>
      <c r="CI81" s="594"/>
      <c r="CJ81" s="594"/>
      <c r="CK81" s="594"/>
      <c r="CL81" s="594"/>
      <c r="CM81" s="594"/>
      <c r="CN81" s="594"/>
      <c r="CO81" s="594"/>
      <c r="CP81" s="594"/>
      <c r="CQ81" s="594"/>
      <c r="CR81" s="594"/>
      <c r="CS81" s="594"/>
      <c r="CT81" s="594"/>
      <c r="CU81" s="594"/>
      <c r="CV81" s="594"/>
      <c r="CW81" s="594"/>
      <c r="CX81" s="594"/>
      <c r="CY81" s="594"/>
      <c r="CZ81" s="594"/>
      <c r="DA81" s="594"/>
      <c r="DB81" s="594"/>
      <c r="DC81" s="594"/>
      <c r="DD81" s="594"/>
      <c r="DE81" s="594"/>
      <c r="DF81" s="594"/>
      <c r="DG81" s="594"/>
      <c r="DH81" s="594"/>
      <c r="DI81" s="594"/>
      <c r="DJ81" s="594"/>
      <c r="DK81" s="594"/>
      <c r="DL81" s="594"/>
      <c r="DM81" s="594"/>
      <c r="DN81" s="594"/>
      <c r="DO81" s="594"/>
      <c r="DP81" s="594"/>
      <c r="DQ81" s="594"/>
      <c r="DR81" s="594"/>
      <c r="DS81" s="594"/>
      <c r="DT81" s="594"/>
      <c r="DU81" s="594"/>
      <c r="DV81" s="594"/>
      <c r="DW81" s="594"/>
      <c r="DX81" s="594"/>
      <c r="DY81" s="594"/>
      <c r="DZ81" s="594"/>
      <c r="EA81" s="594"/>
      <c r="EB81" s="594"/>
      <c r="EC81" s="594"/>
      <c r="ED81" s="594"/>
      <c r="EE81" s="594"/>
      <c r="EF81" s="594"/>
      <c r="EG81" s="594"/>
      <c r="EH81" s="594"/>
      <c r="EI81" s="594"/>
      <c r="EJ81" s="594"/>
      <c r="EK81" s="594"/>
      <c r="EL81" s="594"/>
      <c r="EM81" s="594"/>
      <c r="EN81" s="594"/>
      <c r="EO81" s="594"/>
      <c r="EP81" s="594"/>
      <c r="EQ81" s="594"/>
      <c r="ER81" s="594"/>
      <c r="ES81" s="594"/>
      <c r="ET81" s="594"/>
      <c r="EU81" s="594"/>
      <c r="EV81" s="594"/>
      <c r="EW81" s="594"/>
      <c r="EX81" s="594"/>
      <c r="EY81" s="594"/>
      <c r="EZ81" s="594"/>
      <c r="FA81" s="594"/>
      <c r="FB81" s="594"/>
      <c r="FC81" s="594"/>
      <c r="FD81" s="594"/>
      <c r="FE81" s="594"/>
      <c r="FF81" s="594"/>
      <c r="FG81" s="594"/>
      <c r="FH81" s="594"/>
      <c r="FI81" s="594"/>
      <c r="FJ81" s="594"/>
      <c r="FK81" s="594"/>
      <c r="FL81" s="594"/>
      <c r="FM81" s="594"/>
      <c r="FN81" s="594"/>
      <c r="FO81" s="594"/>
      <c r="FP81" s="594"/>
      <c r="FQ81" s="594"/>
      <c r="FR81" s="594"/>
      <c r="FS81" s="594"/>
      <c r="FT81" s="594"/>
      <c r="FU81" s="594"/>
      <c r="FV81" s="594"/>
      <c r="FW81" s="594"/>
      <c r="FX81" s="594"/>
      <c r="FY81" s="594"/>
      <c r="FZ81" s="594"/>
      <c r="GA81" s="594"/>
      <c r="GB81" s="594"/>
      <c r="GC81" s="594"/>
      <c r="GD81" s="594"/>
      <c r="GE81" s="594"/>
      <c r="GF81" s="594"/>
      <c r="GG81" s="594"/>
      <c r="GH81" s="594"/>
      <c r="GI81" s="594"/>
      <c r="GJ81" s="594"/>
      <c r="GK81" s="594"/>
      <c r="GL81" s="594"/>
      <c r="GM81" s="594"/>
      <c r="GN81" s="594"/>
      <c r="GO81" s="594"/>
      <c r="GP81" s="594"/>
      <c r="GQ81" s="594"/>
      <c r="GR81" s="594"/>
      <c r="GS81" s="594"/>
      <c r="GT81" s="594"/>
      <c r="GU81" s="594"/>
      <c r="GV81" s="594"/>
      <c r="GW81" s="594"/>
      <c r="GX81" s="594"/>
      <c r="GY81" s="594"/>
      <c r="GZ81" s="594"/>
      <c r="HA81" s="594"/>
      <c r="HB81" s="594"/>
      <c r="HC81" s="594"/>
      <c r="HD81" s="594"/>
      <c r="HE81" s="594"/>
      <c r="HF81" s="594"/>
      <c r="HG81" s="594"/>
      <c r="HH81" s="594"/>
      <c r="HI81" s="594"/>
      <c r="HJ81" s="594"/>
      <c r="HK81" s="594"/>
      <c r="HL81" s="594"/>
      <c r="HM81" s="594"/>
      <c r="HN81" s="594"/>
      <c r="HO81" s="594"/>
      <c r="HP81" s="594"/>
      <c r="HQ81" s="594"/>
      <c r="HR81" s="594"/>
      <c r="HS81" s="594"/>
      <c r="HT81" s="594"/>
      <c r="HU81" s="594"/>
      <c r="HV81" s="594"/>
      <c r="HW81" s="594"/>
      <c r="HX81" s="594"/>
      <c r="HY81" s="594"/>
      <c r="HZ81" s="594"/>
      <c r="IA81" s="594"/>
      <c r="IB81" s="594"/>
      <c r="IC81" s="594"/>
      <c r="ID81" s="594"/>
      <c r="IE81" s="594"/>
      <c r="IF81" s="594"/>
      <c r="IG81" s="594"/>
      <c r="IH81" s="594"/>
      <c r="II81" s="594"/>
      <c r="IJ81" s="594"/>
      <c r="IK81" s="594"/>
      <c r="IL81" s="594"/>
      <c r="IM81" s="594"/>
      <c r="IN81" s="594"/>
      <c r="IO81" s="594"/>
      <c r="IP81" s="594"/>
      <c r="IQ81" s="594"/>
      <c r="IR81" s="594"/>
      <c r="IS81" s="594"/>
      <c r="IT81" s="594"/>
      <c r="IU81" s="594"/>
      <c r="IV81" s="594"/>
      <c r="IW81" s="594"/>
      <c r="IX81" s="594"/>
      <c r="IY81" s="594"/>
      <c r="IZ81" s="594"/>
      <c r="JA81" s="594"/>
      <c r="JB81" s="594"/>
      <c r="JC81" s="594"/>
      <c r="JD81" s="594"/>
      <c r="JE81" s="594"/>
      <c r="JF81" s="594"/>
      <c r="JG81" s="594"/>
      <c r="JH81" s="594"/>
      <c r="JI81" s="594"/>
      <c r="JJ81" s="594"/>
      <c r="JK81" s="594"/>
      <c r="JL81" s="594"/>
      <c r="JM81" s="594"/>
      <c r="JN81" s="594"/>
      <c r="JO81" s="594"/>
      <c r="JP81" s="594"/>
      <c r="JQ81" s="594"/>
      <c r="JR81" s="594"/>
      <c r="JS81" s="594"/>
      <c r="JT81" s="594"/>
      <c r="JU81" s="594"/>
      <c r="JV81" s="594"/>
      <c r="JW81" s="594"/>
      <c r="JX81" s="594"/>
      <c r="JY81" s="594"/>
      <c r="JZ81" s="594"/>
      <c r="KA81" s="594"/>
      <c r="KB81" s="594"/>
      <c r="KC81" s="594"/>
      <c r="KD81" s="594"/>
      <c r="KE81" s="594"/>
      <c r="KF81" s="594"/>
      <c r="KG81" s="594"/>
      <c r="KH81" s="594"/>
      <c r="KI81" s="594"/>
      <c r="KJ81" s="594"/>
      <c r="KK81" s="594"/>
      <c r="KL81" s="594"/>
      <c r="KM81" s="594"/>
      <c r="KN81" s="594"/>
      <c r="KO81" s="594"/>
      <c r="KP81" s="594"/>
      <c r="KQ81" s="594"/>
      <c r="KR81" s="594"/>
      <c r="KS81" s="594"/>
      <c r="KT81" s="594"/>
      <c r="KU81" s="594"/>
      <c r="KV81" s="594"/>
      <c r="KW81" s="594"/>
      <c r="KX81" s="594"/>
      <c r="KY81" s="594"/>
      <c r="KZ81" s="594"/>
      <c r="LA81" s="594"/>
      <c r="LB81" s="594"/>
      <c r="LC81" s="594"/>
      <c r="LD81" s="594"/>
      <c r="LE81" s="594"/>
      <c r="LF81" s="594"/>
      <c r="LG81" s="594"/>
      <c r="LH81" s="594"/>
      <c r="LI81" s="594"/>
      <c r="LJ81" s="594"/>
      <c r="LK81" s="594"/>
      <c r="LL81" s="594"/>
      <c r="LM81" s="594"/>
      <c r="LN81" s="594"/>
      <c r="LO81" s="594"/>
      <c r="LP81" s="594"/>
      <c r="LQ81" s="594"/>
      <c r="LR81" s="594"/>
      <c r="LS81" s="594"/>
      <c r="LT81" s="594"/>
      <c r="LU81" s="594"/>
      <c r="LV81" s="594"/>
      <c r="LW81" s="594"/>
      <c r="LX81" s="594"/>
      <c r="LY81" s="594"/>
      <c r="LZ81" s="594"/>
      <c r="MA81" s="594"/>
      <c r="MB81" s="594"/>
      <c r="MC81" s="594"/>
      <c r="MD81" s="594"/>
      <c r="ME81" s="594"/>
      <c r="MF81" s="594"/>
      <c r="MG81" s="594"/>
      <c r="MH81" s="594"/>
      <c r="MI81" s="594"/>
      <c r="MJ81" s="594"/>
      <c r="MK81" s="594"/>
      <c r="ML81" s="594"/>
      <c r="MM81" s="594"/>
      <c r="MN81" s="594"/>
      <c r="MO81" s="594"/>
      <c r="MP81" s="594"/>
      <c r="MQ81" s="594"/>
      <c r="MR81" s="594"/>
      <c r="MS81" s="594"/>
      <c r="MT81" s="594"/>
      <c r="MU81" s="594"/>
      <c r="MV81" s="594"/>
      <c r="MW81" s="594"/>
      <c r="MX81" s="594"/>
      <c r="MY81" s="594"/>
      <c r="MZ81" s="594"/>
      <c r="NA81" s="594"/>
      <c r="NB81" s="594"/>
      <c r="NC81" s="594"/>
      <c r="ND81" s="594"/>
      <c r="NE81" s="594"/>
      <c r="NF81" s="594"/>
      <c r="NG81" s="594"/>
      <c r="NH81" s="594"/>
      <c r="NI81" s="594"/>
      <c r="NJ81" s="594"/>
      <c r="NK81" s="594"/>
      <c r="NL81" s="594"/>
      <c r="NM81" s="594"/>
      <c r="NN81" s="594"/>
      <c r="NO81" s="594"/>
      <c r="NP81" s="594"/>
      <c r="NQ81" s="594"/>
      <c r="NR81" s="594"/>
      <c r="NS81" s="594"/>
      <c r="NT81" s="594"/>
      <c r="NU81" s="594"/>
      <c r="NV81" s="594"/>
      <c r="NW81" s="594"/>
      <c r="NX81" s="594"/>
      <c r="NY81" s="594"/>
      <c r="NZ81" s="594"/>
      <c r="OA81" s="594"/>
      <c r="OB81" s="594"/>
      <c r="OC81" s="594"/>
      <c r="OD81" s="594"/>
      <c r="OE81" s="594"/>
      <c r="OF81" s="594"/>
      <c r="OG81" s="594"/>
      <c r="OH81" s="594"/>
      <c r="OI81" s="594"/>
      <c r="OJ81" s="594"/>
      <c r="OK81" s="594"/>
      <c r="OL81" s="594"/>
      <c r="OM81" s="594"/>
      <c r="ON81" s="594"/>
      <c r="OO81" s="594"/>
      <c r="OP81" s="594"/>
      <c r="OQ81" s="594"/>
      <c r="OR81" s="594"/>
      <c r="OS81" s="594"/>
      <c r="OT81" s="594"/>
      <c r="OU81" s="594"/>
      <c r="OV81" s="594"/>
      <c r="OW81" s="594"/>
      <c r="OX81" s="594"/>
      <c r="OY81" s="594"/>
      <c r="OZ81" s="594"/>
      <c r="PA81" s="594"/>
      <c r="PB81" s="594"/>
      <c r="PC81" s="594"/>
      <c r="PD81" s="594"/>
      <c r="PE81" s="594"/>
      <c r="PF81" s="594"/>
      <c r="PG81" s="594"/>
      <c r="PH81" s="594"/>
      <c r="PI81" s="594"/>
      <c r="PJ81" s="594"/>
      <c r="PK81" s="594"/>
      <c r="PL81" s="594"/>
      <c r="PM81" s="594"/>
      <c r="PN81" s="594"/>
      <c r="PO81" s="594"/>
      <c r="PP81" s="594"/>
      <c r="PQ81" s="594"/>
      <c r="PR81" s="594"/>
      <c r="PS81" s="594"/>
      <c r="PT81" s="594"/>
      <c r="PU81" s="594"/>
      <c r="PV81" s="594"/>
      <c r="PW81" s="594"/>
      <c r="PX81" s="594"/>
      <c r="PY81" s="594"/>
      <c r="PZ81" s="594"/>
      <c r="QA81" s="594"/>
      <c r="QB81" s="594"/>
      <c r="QC81" s="594"/>
      <c r="QD81" s="594"/>
      <c r="QE81" s="594"/>
      <c r="QF81" s="594"/>
      <c r="QG81" s="594"/>
      <c r="QH81" s="594"/>
      <c r="QI81" s="594"/>
      <c r="QJ81" s="594"/>
      <c r="QK81" s="594"/>
      <c r="QL81" s="594"/>
      <c r="QM81" s="594"/>
      <c r="QN81" s="594"/>
      <c r="QO81" s="594"/>
      <c r="QP81" s="594"/>
      <c r="QQ81" s="594"/>
      <c r="QR81" s="594"/>
      <c r="QS81" s="594"/>
      <c r="QT81" s="594"/>
      <c r="QU81" s="594"/>
      <c r="QV81" s="594"/>
      <c r="QW81" s="594"/>
      <c r="QX81" s="594"/>
      <c r="QY81" s="594"/>
      <c r="QZ81" s="594"/>
      <c r="RA81" s="594"/>
      <c r="RB81" s="594"/>
      <c r="RC81" s="594"/>
      <c r="RD81" s="594"/>
      <c r="RE81" s="594"/>
      <c r="RF81" s="594"/>
      <c r="RG81" s="594"/>
      <c r="RH81" s="594"/>
      <c r="RI81" s="594"/>
      <c r="RJ81" s="594"/>
      <c r="RK81" s="594"/>
      <c r="RL81" s="594"/>
      <c r="RM81" s="594"/>
      <c r="RN81" s="594"/>
      <c r="RO81" s="594"/>
      <c r="RP81" s="594"/>
      <c r="RQ81" s="594"/>
      <c r="RR81" s="594"/>
      <c r="RS81" s="594"/>
      <c r="RT81" s="594"/>
      <c r="RU81" s="594"/>
      <c r="RV81" s="594"/>
      <c r="RW81" s="594"/>
      <c r="RX81" s="594"/>
      <c r="RY81" s="594"/>
      <c r="RZ81" s="594"/>
      <c r="SA81" s="594"/>
      <c r="SB81" s="594"/>
      <c r="SC81" s="594"/>
      <c r="SD81" s="594"/>
      <c r="SE81" s="594"/>
      <c r="SF81" s="594"/>
      <c r="SG81" s="594"/>
      <c r="SH81" s="594"/>
      <c r="SI81" s="594"/>
      <c r="SJ81" s="594"/>
      <c r="SK81" s="594"/>
      <c r="SL81" s="594"/>
      <c r="SM81" s="594"/>
      <c r="SN81" s="594"/>
      <c r="SO81" s="594"/>
      <c r="SP81" s="594"/>
      <c r="SQ81" s="594"/>
      <c r="SR81" s="594"/>
      <c r="SS81" s="594"/>
      <c r="ST81" s="594"/>
      <c r="SU81" s="594"/>
      <c r="SV81" s="594"/>
      <c r="SW81" s="594"/>
      <c r="SX81" s="594"/>
      <c r="SY81" s="594"/>
      <c r="SZ81" s="594"/>
      <c r="TA81" s="594"/>
      <c r="TB81" s="594"/>
      <c r="TC81" s="594"/>
      <c r="TD81" s="594"/>
      <c r="TE81" s="594"/>
      <c r="TF81" s="594"/>
      <c r="TG81" s="594"/>
      <c r="TH81" s="594"/>
      <c r="TI81" s="594"/>
      <c r="TJ81" s="594"/>
      <c r="TK81" s="594"/>
      <c r="TL81" s="594"/>
      <c r="TM81" s="594"/>
      <c r="TN81" s="594"/>
      <c r="TO81" s="594"/>
      <c r="TP81" s="594"/>
      <c r="TQ81" s="594"/>
      <c r="TR81" s="594"/>
      <c r="TS81" s="594"/>
      <c r="TT81" s="594"/>
      <c r="TU81" s="594"/>
      <c r="TV81" s="594"/>
      <c r="TW81" s="594"/>
      <c r="TX81" s="594"/>
      <c r="TY81" s="594"/>
      <c r="TZ81" s="594"/>
      <c r="UA81" s="594"/>
      <c r="UB81" s="594"/>
      <c r="UC81" s="594"/>
      <c r="UD81" s="594"/>
      <c r="UE81" s="594"/>
      <c r="UF81" s="594"/>
      <c r="UG81" s="594"/>
      <c r="UH81" s="594"/>
      <c r="UI81" s="594"/>
      <c r="UJ81" s="594"/>
      <c r="UK81" s="594"/>
      <c r="UL81" s="594"/>
      <c r="UM81" s="594"/>
      <c r="UN81" s="594"/>
      <c r="UO81" s="594"/>
      <c r="UP81" s="594"/>
      <c r="UQ81" s="594"/>
      <c r="UR81" s="594"/>
      <c r="US81" s="594"/>
      <c r="UT81" s="594"/>
      <c r="UU81" s="594"/>
      <c r="UV81" s="594"/>
      <c r="UW81" s="594"/>
      <c r="UX81" s="594"/>
      <c r="UY81" s="594"/>
      <c r="UZ81" s="594"/>
      <c r="VA81" s="594"/>
      <c r="VB81" s="594"/>
      <c r="VC81" s="594"/>
      <c r="VD81" s="594"/>
      <c r="VE81" s="594"/>
      <c r="VF81" s="594"/>
      <c r="VG81" s="594"/>
      <c r="VH81" s="594"/>
      <c r="VI81" s="594"/>
      <c r="VJ81" s="594"/>
      <c r="VK81" s="594"/>
      <c r="VL81" s="594"/>
      <c r="VM81" s="594"/>
      <c r="VN81" s="594"/>
      <c r="VO81" s="594"/>
      <c r="VP81" s="594"/>
      <c r="VQ81" s="594"/>
      <c r="VR81" s="594"/>
      <c r="VS81" s="594"/>
      <c r="VT81" s="594"/>
      <c r="VU81" s="594"/>
      <c r="VV81" s="594"/>
      <c r="VW81" s="594"/>
      <c r="VX81" s="594"/>
      <c r="VY81" s="594"/>
      <c r="VZ81" s="594"/>
      <c r="WA81" s="594"/>
      <c r="WB81" s="594"/>
      <c r="WC81" s="594"/>
      <c r="WD81" s="594"/>
      <c r="WE81" s="594"/>
      <c r="WF81" s="594"/>
      <c r="WG81" s="594"/>
      <c r="WH81" s="594"/>
      <c r="WI81" s="594"/>
      <c r="WJ81" s="594"/>
      <c r="WK81" s="594"/>
      <c r="WL81" s="594"/>
      <c r="WM81" s="594"/>
      <c r="WN81" s="594"/>
      <c r="WO81" s="594"/>
      <c r="WP81" s="594"/>
      <c r="WQ81" s="594"/>
      <c r="WR81" s="594"/>
      <c r="WS81" s="594"/>
      <c r="WT81" s="594"/>
      <c r="WU81" s="594"/>
      <c r="WV81" s="594"/>
      <c r="WW81" s="594"/>
      <c r="WX81" s="594"/>
      <c r="WY81" s="594"/>
      <c r="WZ81" s="594"/>
      <c r="XA81" s="594"/>
      <c r="XB81" s="594"/>
      <c r="XC81" s="594"/>
      <c r="XD81" s="594"/>
      <c r="XE81" s="594"/>
      <c r="XF81" s="594"/>
      <c r="XG81" s="594"/>
      <c r="XH81" s="594"/>
      <c r="XI81" s="594"/>
      <c r="XJ81" s="594"/>
      <c r="XK81" s="594"/>
      <c r="XL81" s="594"/>
      <c r="XM81" s="594"/>
      <c r="XN81" s="594"/>
      <c r="XO81" s="594"/>
      <c r="XP81" s="594"/>
      <c r="XQ81" s="594"/>
      <c r="XR81" s="594"/>
      <c r="XS81" s="594"/>
      <c r="XT81" s="594"/>
      <c r="XU81" s="594"/>
      <c r="XV81" s="594"/>
      <c r="XW81" s="594"/>
      <c r="XX81" s="594"/>
      <c r="XY81" s="594"/>
      <c r="XZ81" s="594"/>
      <c r="YA81" s="594"/>
      <c r="YB81" s="594"/>
      <c r="YC81" s="594"/>
      <c r="YD81" s="594"/>
      <c r="YE81" s="594"/>
      <c r="YF81" s="594"/>
      <c r="YG81" s="594"/>
      <c r="YH81" s="594"/>
      <c r="YI81" s="594"/>
      <c r="YJ81" s="594"/>
      <c r="YK81" s="594"/>
      <c r="YL81" s="594"/>
      <c r="YM81" s="594"/>
      <c r="YN81" s="594"/>
      <c r="YO81" s="594"/>
      <c r="YP81" s="594"/>
      <c r="YQ81" s="594"/>
      <c r="YR81" s="594"/>
      <c r="YS81" s="594"/>
      <c r="YT81" s="594"/>
      <c r="YU81" s="594"/>
      <c r="YV81" s="594"/>
      <c r="YW81" s="594"/>
      <c r="YX81" s="594"/>
      <c r="YY81" s="594"/>
      <c r="YZ81" s="594"/>
      <c r="ZA81" s="594"/>
      <c r="ZB81" s="594"/>
      <c r="ZC81" s="594"/>
      <c r="ZD81" s="594"/>
      <c r="ZE81" s="594"/>
      <c r="ZF81" s="594"/>
      <c r="ZG81" s="594"/>
      <c r="ZH81" s="594"/>
      <c r="ZI81" s="594"/>
      <c r="ZJ81" s="594"/>
      <c r="ZK81" s="594"/>
      <c r="ZL81" s="594"/>
      <c r="ZM81" s="594"/>
      <c r="ZN81" s="594"/>
      <c r="ZO81" s="594"/>
      <c r="ZP81" s="594"/>
      <c r="ZQ81" s="594"/>
      <c r="ZR81" s="594"/>
      <c r="ZS81" s="594"/>
      <c r="ZT81" s="594"/>
      <c r="ZU81" s="594"/>
      <c r="ZV81" s="594"/>
      <c r="ZW81" s="594"/>
      <c r="ZX81" s="594"/>
      <c r="ZY81" s="594"/>
      <c r="ZZ81" s="594"/>
      <c r="AAA81" s="594"/>
      <c r="AAB81" s="594"/>
      <c r="AAC81" s="594"/>
      <c r="AAD81" s="594"/>
      <c r="AAE81" s="594"/>
      <c r="AAF81" s="594"/>
      <c r="AAG81" s="594"/>
      <c r="AAH81" s="594"/>
      <c r="AAI81" s="594"/>
      <c r="AAJ81" s="594"/>
      <c r="AAK81" s="594"/>
      <c r="AAL81" s="594"/>
      <c r="AAM81" s="594"/>
      <c r="AAN81" s="594"/>
      <c r="AAO81" s="594"/>
      <c r="AAP81" s="594"/>
      <c r="AAQ81" s="594"/>
      <c r="AAR81" s="594"/>
      <c r="AAS81" s="594"/>
      <c r="AAT81" s="594"/>
      <c r="AAU81" s="594"/>
      <c r="AAV81" s="594"/>
      <c r="AAW81" s="594"/>
      <c r="AAX81" s="594"/>
      <c r="AAY81" s="594"/>
      <c r="AAZ81" s="594"/>
      <c r="ABA81" s="594"/>
      <c r="ABB81" s="594"/>
      <c r="ABC81" s="594"/>
      <c r="ABD81" s="594"/>
      <c r="ABE81" s="594"/>
      <c r="ABF81" s="594"/>
      <c r="ABG81" s="594"/>
      <c r="ABH81" s="594"/>
      <c r="ABI81" s="594"/>
      <c r="ABJ81" s="594"/>
      <c r="ABK81" s="594"/>
      <c r="ABL81" s="594"/>
      <c r="ABM81" s="594"/>
      <c r="ABN81" s="594"/>
      <c r="ABO81" s="594"/>
      <c r="ABP81" s="594"/>
      <c r="ABQ81" s="594"/>
      <c r="ABR81" s="594"/>
      <c r="ABS81" s="594"/>
      <c r="ABT81" s="594"/>
      <c r="ABU81" s="594"/>
      <c r="ABV81" s="594"/>
      <c r="ABW81" s="594"/>
      <c r="ABX81" s="594"/>
      <c r="ABY81" s="594"/>
      <c r="ABZ81" s="594"/>
      <c r="ACA81" s="594"/>
      <c r="ACB81" s="594"/>
      <c r="ACC81" s="594"/>
      <c r="ACD81" s="594"/>
      <c r="ACE81" s="594"/>
      <c r="ACF81" s="594"/>
      <c r="ACG81" s="594"/>
      <c r="ACH81" s="594"/>
      <c r="ACI81" s="594"/>
      <c r="ACJ81" s="594"/>
      <c r="ACK81" s="594"/>
      <c r="ACL81" s="594"/>
      <c r="ACM81" s="594"/>
      <c r="ACN81" s="594"/>
      <c r="ACO81" s="594"/>
      <c r="ACP81" s="594"/>
      <c r="ACQ81" s="594"/>
      <c r="ACR81" s="594"/>
      <c r="ACS81" s="594"/>
      <c r="ACT81" s="594"/>
      <c r="ACU81" s="594"/>
      <c r="ACV81" s="594"/>
      <c r="ACW81" s="594"/>
      <c r="ACX81" s="594"/>
      <c r="ACY81" s="594"/>
      <c r="ACZ81" s="594"/>
      <c r="ADA81" s="594"/>
      <c r="ADB81" s="594"/>
      <c r="ADC81" s="594"/>
      <c r="ADD81" s="594"/>
      <c r="ADE81" s="594"/>
      <c r="ADF81" s="594"/>
      <c r="ADG81" s="594"/>
      <c r="ADH81" s="594"/>
      <c r="ADI81" s="594"/>
      <c r="ADJ81" s="594"/>
      <c r="ADK81" s="594"/>
      <c r="ADL81" s="594"/>
      <c r="ADM81" s="594"/>
      <c r="ADN81" s="594"/>
      <c r="ADO81" s="594"/>
      <c r="ADP81" s="594"/>
      <c r="ADQ81" s="594"/>
      <c r="ADR81" s="594"/>
      <c r="ADS81" s="594"/>
      <c r="ADT81" s="594"/>
      <c r="ADU81" s="594"/>
      <c r="ADV81" s="594"/>
      <c r="ADW81" s="594"/>
      <c r="ADX81" s="594"/>
      <c r="ADY81" s="594"/>
      <c r="ADZ81" s="594"/>
      <c r="AEA81" s="594"/>
      <c r="AEB81" s="594"/>
      <c r="AEC81" s="594"/>
      <c r="AED81" s="594"/>
      <c r="AEE81" s="594"/>
      <c r="AEF81" s="594"/>
      <c r="AEG81" s="594"/>
      <c r="AEH81" s="594"/>
      <c r="AEI81" s="594"/>
      <c r="AEJ81" s="594"/>
      <c r="AEK81" s="594"/>
      <c r="AEL81" s="594"/>
      <c r="AEM81" s="594"/>
      <c r="AEN81" s="594"/>
      <c r="AEO81" s="594"/>
      <c r="AEP81" s="594"/>
      <c r="AEQ81" s="594"/>
      <c r="AER81" s="594"/>
      <c r="AES81" s="594"/>
      <c r="AET81" s="594"/>
      <c r="AEU81" s="594"/>
      <c r="AEV81" s="594"/>
      <c r="AEW81" s="594"/>
      <c r="AEX81" s="594"/>
      <c r="AEY81" s="594"/>
      <c r="AEZ81" s="594"/>
      <c r="AFA81" s="594"/>
      <c r="AFB81" s="594"/>
      <c r="AFC81" s="594"/>
      <c r="AFD81" s="594"/>
      <c r="AFE81" s="594"/>
      <c r="AFF81" s="594"/>
      <c r="AFG81" s="594"/>
      <c r="AFH81" s="594"/>
      <c r="AFI81" s="594"/>
      <c r="AFJ81" s="594"/>
      <c r="AFK81" s="594"/>
      <c r="AFL81" s="594"/>
      <c r="AFM81" s="594"/>
      <c r="AFN81" s="594"/>
      <c r="AFO81" s="594"/>
      <c r="AFP81" s="594"/>
      <c r="AFQ81" s="594"/>
      <c r="AFR81" s="594"/>
      <c r="AFS81" s="594"/>
      <c r="AFT81" s="594"/>
      <c r="AFU81" s="594"/>
      <c r="AFV81" s="594"/>
      <c r="AFW81" s="594"/>
      <c r="AFX81" s="594"/>
      <c r="AFY81" s="594"/>
      <c r="AFZ81" s="594"/>
      <c r="AGA81" s="594"/>
      <c r="AGB81" s="594"/>
      <c r="AGC81" s="594"/>
      <c r="AGD81" s="594"/>
      <c r="AGE81" s="594"/>
      <c r="AGF81" s="594"/>
      <c r="AGG81" s="594"/>
      <c r="AGH81" s="594"/>
      <c r="AGI81" s="594"/>
      <c r="AGJ81" s="594"/>
      <c r="AGK81" s="594"/>
      <c r="AGL81" s="594"/>
      <c r="AGM81" s="594"/>
      <c r="AGN81" s="594"/>
      <c r="AGO81" s="594"/>
      <c r="AGP81" s="594"/>
      <c r="AGQ81" s="594"/>
      <c r="AGR81" s="594"/>
      <c r="AGS81" s="594"/>
      <c r="AGT81" s="594"/>
      <c r="AGU81" s="594"/>
      <c r="AGV81" s="594"/>
      <c r="AGW81" s="594"/>
      <c r="AGX81" s="594"/>
      <c r="AGY81" s="594"/>
      <c r="AGZ81" s="594"/>
      <c r="AHA81" s="594"/>
      <c r="AHB81" s="594"/>
      <c r="AHC81" s="594"/>
      <c r="AHD81" s="594"/>
      <c r="AHE81" s="594"/>
      <c r="AHF81" s="594"/>
      <c r="AHG81" s="594"/>
      <c r="AHH81" s="594"/>
      <c r="AHI81" s="594"/>
      <c r="AHJ81" s="594"/>
      <c r="AHK81" s="594"/>
      <c r="AHL81" s="594"/>
      <c r="AHM81" s="594"/>
      <c r="AHN81" s="594"/>
      <c r="AHO81" s="594"/>
      <c r="AHP81" s="594"/>
      <c r="AHQ81" s="594"/>
      <c r="AHR81" s="594"/>
      <c r="AHS81" s="594"/>
      <c r="AHT81" s="594"/>
      <c r="AHU81" s="594"/>
      <c r="AHV81" s="594"/>
      <c r="AHW81" s="594"/>
      <c r="AHX81" s="594"/>
      <c r="AHY81" s="594"/>
      <c r="AHZ81" s="594"/>
      <c r="AIA81" s="594"/>
      <c r="AIB81" s="594"/>
      <c r="AIC81" s="594"/>
      <c r="AID81" s="594"/>
      <c r="AIE81" s="594"/>
      <c r="AIF81" s="594"/>
      <c r="AIG81" s="594"/>
      <c r="AIH81" s="594"/>
      <c r="AII81" s="594"/>
      <c r="AIJ81" s="594"/>
      <c r="AIK81" s="594"/>
      <c r="AIL81" s="594"/>
      <c r="AIM81" s="594"/>
      <c r="AIN81" s="594"/>
      <c r="AIO81" s="594"/>
      <c r="AIP81" s="594"/>
      <c r="AIQ81" s="594"/>
      <c r="AIR81" s="594"/>
      <c r="AIS81" s="594"/>
      <c r="AIT81" s="594"/>
      <c r="AIU81" s="594"/>
      <c r="AIV81" s="594"/>
      <c r="AIW81" s="594"/>
      <c r="AIX81" s="594"/>
      <c r="AIY81" s="594"/>
      <c r="AIZ81" s="594"/>
      <c r="AJA81" s="594"/>
      <c r="AJB81" s="594"/>
      <c r="AJC81" s="594"/>
      <c r="AJD81" s="594"/>
      <c r="AJE81" s="594"/>
      <c r="AJF81" s="594"/>
      <c r="AJG81" s="594"/>
      <c r="AJH81" s="594"/>
      <c r="AJI81" s="594"/>
      <c r="AJJ81" s="594"/>
      <c r="AJK81" s="594"/>
      <c r="AJL81" s="594"/>
      <c r="AJM81" s="594"/>
      <c r="AJN81" s="594"/>
      <c r="AJO81" s="594"/>
      <c r="AJP81" s="594"/>
      <c r="AJQ81" s="594"/>
      <c r="AJR81" s="594"/>
      <c r="AJS81" s="594"/>
      <c r="AJT81" s="594"/>
      <c r="AJU81" s="594"/>
      <c r="AJV81" s="594"/>
      <c r="AJW81" s="594"/>
      <c r="AJX81" s="594"/>
      <c r="AJY81" s="594"/>
      <c r="AJZ81" s="594"/>
      <c r="AKA81" s="594"/>
      <c r="AKB81" s="594"/>
      <c r="AKC81" s="594"/>
      <c r="AKD81" s="594"/>
      <c r="AKE81" s="594"/>
      <c r="AKF81" s="594"/>
      <c r="AKG81" s="594"/>
      <c r="AKH81" s="594"/>
      <c r="AKI81" s="594"/>
      <c r="AKJ81" s="594"/>
      <c r="AKK81" s="594"/>
      <c r="AKL81" s="594"/>
      <c r="AKM81" s="594"/>
      <c r="AKN81" s="594"/>
      <c r="AKO81" s="594"/>
      <c r="AKP81" s="594"/>
      <c r="AKQ81" s="594"/>
      <c r="AKR81" s="594"/>
      <c r="AKS81" s="594"/>
      <c r="AKT81" s="594"/>
      <c r="AKU81" s="594"/>
      <c r="AKV81" s="594"/>
      <c r="AKW81" s="594"/>
      <c r="AKX81" s="594"/>
      <c r="AKY81" s="594"/>
      <c r="AKZ81" s="594"/>
      <c r="ALA81" s="594"/>
      <c r="ALB81" s="594"/>
      <c r="ALC81" s="594"/>
      <c r="ALD81" s="594"/>
      <c r="ALE81" s="594"/>
      <c r="ALF81" s="594"/>
      <c r="ALG81" s="594"/>
      <c r="ALH81" s="594"/>
      <c r="ALI81" s="594"/>
      <c r="ALJ81" s="594"/>
      <c r="ALK81" s="594"/>
      <c r="ALL81" s="594"/>
      <c r="ALM81" s="594"/>
      <c r="ALN81" s="594"/>
      <c r="ALO81" s="594"/>
      <c r="ALP81" s="594"/>
      <c r="ALQ81" s="594"/>
      <c r="ALR81" s="594"/>
      <c r="ALS81" s="594"/>
      <c r="ALT81" s="594"/>
      <c r="ALU81" s="594"/>
      <c r="ALV81" s="594"/>
      <c r="ALW81" s="594"/>
      <c r="ALX81" s="594"/>
      <c r="ALY81" s="594"/>
      <c r="ALZ81" s="594"/>
      <c r="AMA81" s="594"/>
      <c r="AMB81" s="594"/>
      <c r="AMC81" s="594"/>
      <c r="AMD81" s="594"/>
      <c r="AME81" s="594"/>
      <c r="AMF81" s="594"/>
      <c r="AMG81" s="594"/>
      <c r="AMH81" s="594"/>
      <c r="AMI81" s="594"/>
      <c r="AMJ81" s="594"/>
      <c r="AMK81" s="594"/>
      <c r="AML81" s="594"/>
      <c r="AMM81" s="594"/>
      <c r="AMN81" s="594"/>
      <c r="AMO81" s="594"/>
      <c r="AMP81" s="594"/>
      <c r="AMQ81" s="594"/>
      <c r="AMR81" s="594"/>
      <c r="AMS81" s="594"/>
      <c r="AMT81" s="594"/>
      <c r="AMU81" s="594"/>
      <c r="AMV81" s="594"/>
      <c r="AMW81" s="594"/>
      <c r="AMX81" s="594"/>
      <c r="AMY81" s="594"/>
      <c r="AMZ81" s="594"/>
      <c r="ANA81" s="594"/>
      <c r="ANB81" s="594"/>
      <c r="ANC81" s="594"/>
      <c r="AND81" s="594"/>
      <c r="ANE81" s="594"/>
      <c r="ANF81" s="594"/>
      <c r="ANG81" s="594"/>
      <c r="ANH81" s="594"/>
      <c r="ANI81" s="594"/>
      <c r="ANJ81" s="594"/>
      <c r="ANK81" s="594"/>
      <c r="ANL81" s="594"/>
      <c r="ANM81" s="594"/>
      <c r="ANN81" s="594"/>
      <c r="ANO81" s="594"/>
      <c r="ANP81" s="594"/>
      <c r="ANQ81" s="594"/>
      <c r="ANR81" s="594"/>
      <c r="ANS81" s="594"/>
      <c r="ANT81" s="594"/>
      <c r="ANU81" s="594"/>
      <c r="ANV81" s="594"/>
      <c r="ANW81" s="594"/>
      <c r="ANX81" s="594"/>
      <c r="ANY81" s="594"/>
      <c r="ANZ81" s="594"/>
      <c r="AOA81" s="594"/>
      <c r="AOB81" s="594"/>
      <c r="AOC81" s="594"/>
      <c r="AOD81" s="594"/>
      <c r="AOE81" s="594"/>
      <c r="AOF81" s="594"/>
      <c r="AOG81" s="594"/>
      <c r="AOH81" s="594"/>
      <c r="AOI81" s="594"/>
      <c r="AOJ81" s="594"/>
      <c r="AOK81" s="594"/>
      <c r="AOL81" s="594"/>
      <c r="AOM81" s="594"/>
      <c r="AON81" s="594"/>
      <c r="AOO81" s="594"/>
      <c r="AOP81" s="594"/>
      <c r="AOQ81" s="594"/>
      <c r="AOR81" s="594"/>
      <c r="AOS81" s="594"/>
      <c r="AOT81" s="594"/>
      <c r="AOU81" s="594"/>
      <c r="AOV81" s="594"/>
      <c r="AOW81" s="594"/>
      <c r="AOX81" s="594"/>
      <c r="AOY81" s="594"/>
      <c r="AOZ81" s="594"/>
      <c r="APA81" s="594"/>
      <c r="APB81" s="594"/>
      <c r="APC81" s="594"/>
      <c r="APD81" s="594"/>
      <c r="APE81" s="594"/>
      <c r="APF81" s="594"/>
      <c r="APG81" s="594"/>
      <c r="APH81" s="594"/>
      <c r="API81" s="594"/>
      <c r="APJ81" s="594"/>
      <c r="APK81" s="594"/>
      <c r="APL81" s="594"/>
      <c r="APM81" s="594"/>
      <c r="APN81" s="594"/>
      <c r="APO81" s="594"/>
      <c r="APP81" s="594"/>
      <c r="APQ81" s="594"/>
      <c r="APR81" s="594"/>
      <c r="APS81" s="594"/>
      <c r="APT81" s="594"/>
      <c r="APU81" s="594"/>
      <c r="APV81" s="594"/>
      <c r="APW81" s="594"/>
      <c r="APX81" s="594"/>
      <c r="APY81" s="594"/>
      <c r="APZ81" s="594"/>
      <c r="AQA81" s="594"/>
      <c r="AQB81" s="594"/>
      <c r="AQC81" s="594"/>
      <c r="AQD81" s="594"/>
      <c r="AQE81" s="594"/>
      <c r="AQF81" s="594"/>
      <c r="AQG81" s="594"/>
      <c r="AQH81" s="594"/>
      <c r="AQI81" s="594"/>
      <c r="AQJ81" s="594"/>
      <c r="AQK81" s="594"/>
      <c r="AQL81" s="594"/>
      <c r="AQM81" s="594"/>
      <c r="AQN81" s="594"/>
      <c r="AQO81" s="594"/>
      <c r="AQP81" s="594"/>
      <c r="AQQ81" s="594"/>
      <c r="AQR81" s="594"/>
      <c r="AQS81" s="594"/>
      <c r="AQT81" s="594"/>
      <c r="AQU81" s="594"/>
      <c r="AQV81" s="594"/>
      <c r="AQW81" s="594"/>
      <c r="AQX81" s="594"/>
      <c r="AQY81" s="594"/>
      <c r="AQZ81" s="594"/>
      <c r="ARA81" s="594"/>
      <c r="ARB81" s="594"/>
      <c r="ARC81" s="594"/>
      <c r="ARD81" s="594"/>
      <c r="ARE81" s="594"/>
      <c r="ARF81" s="594"/>
      <c r="ARG81" s="594"/>
      <c r="ARH81" s="594"/>
      <c r="ARI81" s="594"/>
      <c r="ARJ81" s="594"/>
      <c r="ARK81" s="594"/>
      <c r="ARL81" s="594"/>
      <c r="ARM81" s="594"/>
      <c r="ARN81" s="594"/>
      <c r="ARO81" s="594"/>
      <c r="ARP81" s="594"/>
      <c r="ARQ81" s="594"/>
      <c r="ARR81" s="594"/>
      <c r="ARS81" s="594"/>
      <c r="ART81" s="594"/>
      <c r="ARU81" s="594"/>
      <c r="ARV81" s="594"/>
      <c r="ARW81" s="594"/>
      <c r="ARX81" s="594"/>
      <c r="ARY81" s="594"/>
      <c r="ARZ81" s="594"/>
      <c r="ASA81" s="594"/>
      <c r="ASB81" s="594"/>
      <c r="ASC81" s="594"/>
      <c r="ASD81" s="594"/>
      <c r="ASE81" s="594"/>
      <c r="ASF81" s="594"/>
      <c r="ASG81" s="594"/>
      <c r="ASH81" s="594"/>
      <c r="ASI81" s="594"/>
      <c r="ASJ81" s="594"/>
      <c r="ASK81" s="594"/>
      <c r="ASL81" s="594"/>
      <c r="ASM81" s="594"/>
      <c r="ASN81" s="594"/>
      <c r="ASO81" s="594"/>
      <c r="ASP81" s="594"/>
      <c r="ASQ81" s="594"/>
      <c r="ASR81" s="594"/>
      <c r="ASS81" s="594"/>
      <c r="AST81" s="594"/>
      <c r="ASU81" s="594"/>
      <c r="ASV81" s="594"/>
      <c r="ASW81" s="594"/>
      <c r="ASX81" s="594"/>
      <c r="ASY81" s="594"/>
      <c r="ASZ81" s="594"/>
      <c r="ATA81" s="594"/>
      <c r="ATB81" s="594"/>
      <c r="ATC81" s="594"/>
      <c r="ATD81" s="594"/>
      <c r="ATE81" s="594"/>
      <c r="ATF81" s="594"/>
      <c r="ATG81" s="594"/>
      <c r="ATH81" s="594"/>
      <c r="ATI81" s="594"/>
      <c r="ATJ81" s="594"/>
      <c r="ATK81" s="594"/>
      <c r="ATL81" s="594"/>
      <c r="ATM81" s="594"/>
      <c r="ATN81" s="594"/>
      <c r="ATO81" s="594"/>
      <c r="ATP81" s="594"/>
      <c r="ATQ81" s="594"/>
      <c r="ATR81" s="594"/>
      <c r="ATS81" s="594"/>
      <c r="ATT81" s="594"/>
      <c r="ATU81" s="594"/>
      <c r="ATV81" s="594"/>
      <c r="ATW81" s="594"/>
      <c r="ATX81" s="594"/>
      <c r="ATY81" s="594"/>
      <c r="ATZ81" s="594"/>
      <c r="AUA81" s="594"/>
      <c r="AUB81" s="594"/>
      <c r="AUC81" s="594"/>
      <c r="AUD81" s="594"/>
      <c r="AUE81" s="594"/>
      <c r="AUF81" s="594"/>
      <c r="AUG81" s="594"/>
      <c r="AUH81" s="594"/>
      <c r="AUI81" s="594"/>
      <c r="AUJ81" s="594"/>
      <c r="AUK81" s="594"/>
      <c r="AUL81" s="594"/>
      <c r="AUM81" s="594"/>
      <c r="AUN81" s="594"/>
      <c r="AUO81" s="594"/>
      <c r="AUP81" s="594"/>
      <c r="AUQ81" s="594"/>
      <c r="AUR81" s="594"/>
      <c r="AUS81" s="594"/>
      <c r="AUT81" s="594"/>
      <c r="AUU81" s="594"/>
      <c r="AUV81" s="594"/>
      <c r="AUW81" s="594"/>
      <c r="AUX81" s="594"/>
      <c r="AUY81" s="594"/>
      <c r="AUZ81" s="594"/>
      <c r="AVA81" s="594"/>
      <c r="AVB81" s="594"/>
      <c r="AVC81" s="594"/>
      <c r="AVD81" s="594"/>
      <c r="AVE81" s="594"/>
      <c r="AVF81" s="594"/>
      <c r="AVG81" s="594"/>
      <c r="AVH81" s="594"/>
      <c r="AVI81" s="594"/>
      <c r="AVJ81" s="594"/>
      <c r="AVK81" s="594"/>
      <c r="AVL81" s="594"/>
      <c r="AVM81" s="594"/>
      <c r="AVN81" s="594"/>
      <c r="AVO81" s="594"/>
      <c r="AVP81" s="594"/>
      <c r="AVQ81" s="594"/>
      <c r="AVR81" s="594"/>
      <c r="AVS81" s="594"/>
      <c r="AVT81" s="594"/>
      <c r="AVU81" s="594"/>
      <c r="AVV81" s="594"/>
      <c r="AVW81" s="594"/>
      <c r="AVX81" s="594"/>
      <c r="AVY81" s="594"/>
      <c r="AVZ81" s="594"/>
      <c r="AWA81" s="594"/>
      <c r="AWB81" s="594"/>
      <c r="AWC81" s="594"/>
      <c r="AWD81" s="594"/>
      <c r="AWE81" s="594"/>
      <c r="AWF81" s="594"/>
      <c r="AWG81" s="594"/>
      <c r="AWH81" s="594"/>
      <c r="AWI81" s="594"/>
      <c r="AWJ81" s="594"/>
      <c r="AWK81" s="594"/>
      <c r="AWL81" s="594"/>
      <c r="AWM81" s="594"/>
      <c r="AWN81" s="594"/>
      <c r="AWO81" s="594"/>
      <c r="AWP81" s="594"/>
      <c r="AWQ81" s="594"/>
      <c r="AWR81" s="594"/>
      <c r="AWS81" s="594"/>
      <c r="AWT81" s="594"/>
      <c r="AWU81" s="594"/>
      <c r="AWV81" s="594"/>
      <c r="AWW81" s="594"/>
      <c r="AWX81" s="594"/>
      <c r="AWY81" s="594"/>
      <c r="AWZ81" s="594"/>
      <c r="AXA81" s="594"/>
      <c r="AXB81" s="594"/>
      <c r="AXC81" s="594"/>
      <c r="AXD81" s="594"/>
      <c r="AXE81" s="594"/>
      <c r="AXF81" s="594"/>
      <c r="AXG81" s="594"/>
      <c r="AXH81" s="594"/>
      <c r="AXI81" s="594"/>
      <c r="AXJ81" s="594"/>
      <c r="AXK81" s="594"/>
      <c r="AXL81" s="594"/>
      <c r="AXM81" s="594"/>
      <c r="AXN81" s="594"/>
      <c r="AXO81" s="594"/>
      <c r="AXP81" s="594"/>
      <c r="AXQ81" s="594"/>
      <c r="AXR81" s="594"/>
      <c r="AXS81" s="594"/>
      <c r="AXT81" s="594"/>
      <c r="AXU81" s="594"/>
      <c r="AXV81" s="594"/>
      <c r="AXW81" s="594"/>
      <c r="AXX81" s="594"/>
      <c r="AXY81" s="594"/>
      <c r="AXZ81" s="594"/>
      <c r="AYA81" s="594"/>
      <c r="AYB81" s="594"/>
      <c r="AYC81" s="594"/>
      <c r="AYD81" s="594"/>
      <c r="AYE81" s="594"/>
      <c r="AYF81" s="594"/>
      <c r="AYG81" s="594"/>
      <c r="AYH81" s="594"/>
      <c r="AYI81" s="594"/>
      <c r="AYJ81" s="594"/>
      <c r="AYK81" s="594"/>
      <c r="AYL81" s="594"/>
      <c r="AYM81" s="594"/>
      <c r="AYN81" s="594"/>
      <c r="AYO81" s="594"/>
      <c r="AYP81" s="594"/>
      <c r="AYQ81" s="594"/>
      <c r="AYR81" s="594"/>
      <c r="AYS81" s="594"/>
      <c r="AYT81" s="594"/>
      <c r="AYU81" s="594"/>
      <c r="AYV81" s="594"/>
      <c r="AYW81" s="594"/>
      <c r="AYX81" s="594"/>
      <c r="AYY81" s="594"/>
      <c r="AYZ81" s="594"/>
      <c r="AZA81" s="594"/>
      <c r="AZB81" s="594"/>
      <c r="AZC81" s="594"/>
      <c r="AZD81" s="594"/>
      <c r="AZE81" s="594"/>
      <c r="AZF81" s="594"/>
      <c r="AZG81" s="594"/>
      <c r="AZH81" s="594"/>
      <c r="AZI81" s="594"/>
      <c r="AZJ81" s="594"/>
      <c r="AZK81" s="594"/>
      <c r="AZL81" s="594"/>
      <c r="AZM81" s="594"/>
      <c r="AZN81" s="594"/>
      <c r="AZO81" s="594"/>
      <c r="AZP81" s="594"/>
      <c r="AZQ81" s="594"/>
      <c r="AZR81" s="594"/>
      <c r="AZS81" s="594"/>
      <c r="AZT81" s="594"/>
      <c r="AZU81" s="594"/>
      <c r="AZV81" s="594"/>
      <c r="AZW81" s="594"/>
      <c r="AZX81" s="594"/>
      <c r="AZY81" s="594"/>
      <c r="AZZ81" s="594"/>
      <c r="BAA81" s="594"/>
      <c r="BAB81" s="594"/>
      <c r="BAC81" s="594"/>
      <c r="BAD81" s="594"/>
      <c r="BAE81" s="594"/>
      <c r="BAF81" s="594"/>
      <c r="BAG81" s="594"/>
      <c r="BAH81" s="594"/>
      <c r="BAI81" s="594"/>
      <c r="BAJ81" s="594"/>
      <c r="BAK81" s="594"/>
      <c r="BAL81" s="594"/>
      <c r="BAM81" s="594"/>
      <c r="BAN81" s="594"/>
      <c r="BAO81" s="594"/>
      <c r="BAP81" s="594"/>
      <c r="BAQ81" s="594"/>
      <c r="BAR81" s="594"/>
      <c r="BAS81" s="594"/>
      <c r="BAT81" s="594"/>
      <c r="BAU81" s="594"/>
      <c r="BAV81" s="594"/>
      <c r="BAW81" s="594"/>
      <c r="BAX81" s="594"/>
      <c r="BAY81" s="594"/>
      <c r="BAZ81" s="594"/>
      <c r="BBA81" s="594"/>
      <c r="BBB81" s="594"/>
      <c r="BBC81" s="594"/>
      <c r="BBD81" s="594"/>
      <c r="BBE81" s="594"/>
      <c r="BBF81" s="594"/>
      <c r="BBG81" s="594"/>
      <c r="BBH81" s="594"/>
      <c r="BBI81" s="594"/>
      <c r="BBJ81" s="594"/>
      <c r="BBK81" s="594"/>
      <c r="BBL81" s="594"/>
      <c r="BBM81" s="594"/>
      <c r="BBN81" s="594"/>
      <c r="BBO81" s="594"/>
      <c r="BBP81" s="594"/>
      <c r="BBQ81" s="594"/>
      <c r="BBR81" s="594"/>
      <c r="BBS81" s="594"/>
      <c r="BBT81" s="594"/>
      <c r="BBU81" s="594"/>
      <c r="BBV81" s="594"/>
      <c r="BBW81" s="594"/>
      <c r="BBX81" s="594"/>
      <c r="BBY81" s="594"/>
      <c r="BBZ81" s="594"/>
      <c r="BCA81" s="594"/>
      <c r="BCB81" s="594"/>
      <c r="BCC81" s="594"/>
      <c r="BCD81" s="594"/>
      <c r="BCE81" s="594"/>
      <c r="BCF81" s="594"/>
      <c r="BCG81" s="594"/>
      <c r="BCH81" s="594"/>
      <c r="BCI81" s="594"/>
      <c r="BCJ81" s="594"/>
      <c r="BCK81" s="594"/>
      <c r="BCL81" s="594"/>
      <c r="BCM81" s="594"/>
      <c r="BCN81" s="594"/>
      <c r="BCO81" s="594"/>
      <c r="BCP81" s="594"/>
      <c r="BCQ81" s="594"/>
      <c r="BCR81" s="594"/>
      <c r="BCS81" s="594"/>
      <c r="BCT81" s="594"/>
      <c r="BCU81" s="594"/>
      <c r="BCV81" s="594"/>
      <c r="BCW81" s="594"/>
      <c r="BCX81" s="594"/>
      <c r="BCY81" s="594"/>
      <c r="BCZ81" s="594"/>
      <c r="BDA81" s="594"/>
      <c r="BDB81" s="594"/>
      <c r="BDC81" s="594"/>
      <c r="BDD81" s="594"/>
      <c r="BDE81" s="594"/>
      <c r="BDF81" s="594"/>
      <c r="BDG81" s="594"/>
      <c r="BDH81" s="594"/>
      <c r="BDI81" s="594"/>
      <c r="BDJ81" s="594"/>
      <c r="BDK81" s="594"/>
      <c r="BDL81" s="594"/>
      <c r="BDM81" s="594"/>
      <c r="BDN81" s="594"/>
      <c r="BDO81" s="594"/>
      <c r="BDP81" s="594"/>
      <c r="BDQ81" s="594"/>
      <c r="BDR81" s="594"/>
      <c r="BDS81" s="594"/>
      <c r="BDT81" s="594"/>
      <c r="BDU81" s="594"/>
      <c r="BDV81" s="594"/>
      <c r="BDW81" s="594"/>
      <c r="BDX81" s="594"/>
      <c r="BDY81" s="594"/>
      <c r="BDZ81" s="594"/>
      <c r="BEA81" s="594"/>
      <c r="BEB81" s="594"/>
      <c r="BEC81" s="594"/>
      <c r="BED81" s="594"/>
      <c r="BEE81" s="594"/>
      <c r="BEF81" s="594"/>
      <c r="BEG81" s="594"/>
      <c r="BEH81" s="594"/>
      <c r="BEI81" s="594"/>
      <c r="BEJ81" s="594"/>
      <c r="BEK81" s="594"/>
      <c r="BEL81" s="594"/>
      <c r="BEM81" s="594"/>
      <c r="BEN81" s="594"/>
      <c r="BEO81" s="594"/>
      <c r="BEP81" s="594"/>
      <c r="BEQ81" s="594"/>
      <c r="BER81" s="594"/>
      <c r="BES81" s="594"/>
      <c r="BET81" s="594"/>
      <c r="BEU81" s="594"/>
      <c r="BEV81" s="594"/>
      <c r="BEW81" s="594"/>
      <c r="BEX81" s="594"/>
      <c r="BEY81" s="594"/>
      <c r="BEZ81" s="594"/>
      <c r="BFA81" s="594"/>
      <c r="BFB81" s="594"/>
      <c r="BFC81" s="594"/>
      <c r="BFD81" s="594"/>
      <c r="BFE81" s="594"/>
      <c r="BFF81" s="594"/>
      <c r="BFG81" s="594"/>
      <c r="BFH81" s="594"/>
      <c r="BFI81" s="594"/>
      <c r="BFJ81" s="594"/>
      <c r="BFK81" s="594"/>
      <c r="BFL81" s="594"/>
      <c r="BFM81" s="594"/>
      <c r="BFN81" s="594"/>
      <c r="BFO81" s="594"/>
      <c r="BFP81" s="594"/>
      <c r="BFQ81" s="594"/>
      <c r="BFR81" s="594"/>
      <c r="BFS81" s="594"/>
      <c r="BFT81" s="594"/>
      <c r="BFU81" s="594"/>
      <c r="BFV81" s="594"/>
      <c r="BFW81" s="594"/>
      <c r="BFX81" s="594"/>
      <c r="BFY81" s="594"/>
      <c r="BFZ81" s="594"/>
      <c r="BGA81" s="594"/>
      <c r="BGB81" s="594"/>
      <c r="BGC81" s="594"/>
      <c r="BGD81" s="594"/>
      <c r="BGE81" s="594"/>
      <c r="BGF81" s="594"/>
      <c r="BGG81" s="594"/>
      <c r="BGH81" s="594"/>
      <c r="BGI81" s="594"/>
      <c r="BGJ81" s="594"/>
      <c r="BGK81" s="594"/>
      <c r="BGL81" s="594"/>
      <c r="BGM81" s="594"/>
      <c r="BGN81" s="594"/>
      <c r="BGO81" s="594"/>
      <c r="BGP81" s="594"/>
      <c r="BGQ81" s="594"/>
      <c r="BGR81" s="594"/>
      <c r="BGS81" s="594"/>
      <c r="BGT81" s="594"/>
      <c r="BGU81" s="594"/>
      <c r="BGV81" s="594"/>
      <c r="BGW81" s="594"/>
      <c r="BGX81" s="594"/>
      <c r="BGY81" s="594"/>
      <c r="BGZ81" s="594"/>
      <c r="BHA81" s="594"/>
      <c r="BHB81" s="594"/>
      <c r="BHC81" s="594"/>
      <c r="BHD81" s="594"/>
      <c r="BHE81" s="594"/>
      <c r="BHF81" s="594"/>
      <c r="BHG81" s="594"/>
      <c r="BHH81" s="594"/>
      <c r="BHI81" s="594"/>
      <c r="BHJ81" s="594"/>
      <c r="BHK81" s="594"/>
      <c r="BHL81" s="594"/>
      <c r="BHM81" s="594"/>
      <c r="BHN81" s="594"/>
      <c r="BHO81" s="594"/>
      <c r="BHP81" s="594"/>
      <c r="BHQ81" s="594"/>
      <c r="BHR81" s="594"/>
      <c r="BHS81" s="594"/>
      <c r="BHT81" s="594"/>
      <c r="BHU81" s="594"/>
      <c r="BHV81" s="594"/>
      <c r="BHW81" s="594"/>
      <c r="BHX81" s="594"/>
      <c r="BHY81" s="594"/>
      <c r="BHZ81" s="594"/>
      <c r="BIA81" s="594"/>
      <c r="BIB81" s="594"/>
      <c r="BIC81" s="594"/>
      <c r="BID81" s="594"/>
      <c r="BIE81" s="594"/>
      <c r="BIF81" s="594"/>
      <c r="BIG81" s="594"/>
      <c r="BIH81" s="594"/>
      <c r="BII81" s="594"/>
      <c r="BIJ81" s="594"/>
      <c r="BIK81" s="594"/>
      <c r="BIL81" s="594"/>
      <c r="BIM81" s="594"/>
      <c r="BIN81" s="594"/>
      <c r="BIO81" s="594"/>
      <c r="BIP81" s="594"/>
      <c r="BIQ81" s="594"/>
      <c r="BIR81" s="594"/>
      <c r="BIS81" s="594"/>
      <c r="BIT81" s="594"/>
      <c r="BIU81" s="594"/>
      <c r="BIV81" s="594"/>
      <c r="BIW81" s="594"/>
      <c r="BIX81" s="594"/>
      <c r="BIY81" s="594"/>
      <c r="BIZ81" s="594"/>
      <c r="BJA81" s="594"/>
      <c r="BJB81" s="594"/>
      <c r="BJC81" s="594"/>
      <c r="BJD81" s="594"/>
      <c r="BJE81" s="594"/>
      <c r="BJF81" s="594"/>
      <c r="BJG81" s="594"/>
      <c r="BJH81" s="594"/>
      <c r="BJI81" s="594"/>
      <c r="BJJ81" s="594"/>
      <c r="BJK81" s="594"/>
      <c r="BJL81" s="594"/>
      <c r="BJM81" s="594"/>
      <c r="BJN81" s="594"/>
      <c r="BJO81" s="594"/>
      <c r="BJP81" s="594"/>
      <c r="BJQ81" s="594"/>
      <c r="BJR81" s="594"/>
      <c r="BJS81" s="594"/>
      <c r="BJT81" s="594"/>
      <c r="BJU81" s="594"/>
      <c r="BJV81" s="594"/>
      <c r="BJW81" s="594"/>
      <c r="BJX81" s="594"/>
      <c r="BJY81" s="594"/>
      <c r="BJZ81" s="594"/>
      <c r="BKA81" s="594"/>
      <c r="BKB81" s="594"/>
      <c r="BKC81" s="594"/>
      <c r="BKD81" s="594"/>
      <c r="BKE81" s="594"/>
      <c r="BKF81" s="594"/>
      <c r="BKG81" s="594"/>
      <c r="BKH81" s="594"/>
      <c r="BKI81" s="594"/>
      <c r="BKJ81" s="594"/>
      <c r="BKK81" s="594"/>
      <c r="BKL81" s="594"/>
      <c r="BKM81" s="594"/>
      <c r="BKN81" s="594"/>
      <c r="BKO81" s="594"/>
      <c r="BKP81" s="594"/>
      <c r="BKQ81" s="594"/>
      <c r="BKR81" s="594"/>
      <c r="BKS81" s="594"/>
      <c r="BKT81" s="594"/>
      <c r="BKU81" s="594"/>
      <c r="BKV81" s="594"/>
      <c r="BKW81" s="594"/>
      <c r="BKX81" s="594"/>
      <c r="BKY81" s="594"/>
      <c r="BKZ81" s="594"/>
      <c r="BLA81" s="594"/>
      <c r="BLB81" s="594"/>
      <c r="BLC81" s="594"/>
      <c r="BLD81" s="594"/>
      <c r="BLE81" s="594"/>
      <c r="BLF81" s="594"/>
      <c r="BLG81" s="594"/>
      <c r="BLH81" s="594"/>
      <c r="BLI81" s="594"/>
      <c r="BLJ81" s="594"/>
      <c r="BLK81" s="594"/>
      <c r="BLL81" s="594"/>
      <c r="BLM81" s="594"/>
      <c r="BLN81" s="594"/>
      <c r="BLO81" s="594"/>
      <c r="BLP81" s="594"/>
      <c r="BLQ81" s="594"/>
      <c r="BLR81" s="594"/>
      <c r="BLS81" s="594"/>
      <c r="BLT81" s="594"/>
      <c r="BLU81" s="594"/>
      <c r="BLV81" s="594"/>
      <c r="BLW81" s="594"/>
      <c r="BLX81" s="594"/>
      <c r="BLY81" s="594"/>
      <c r="BLZ81" s="594"/>
      <c r="BMA81" s="594"/>
      <c r="BMB81" s="594"/>
      <c r="BMC81" s="594"/>
      <c r="BMD81" s="594"/>
      <c r="BME81" s="594"/>
      <c r="BMF81" s="594"/>
      <c r="BMG81" s="594"/>
      <c r="BMH81" s="594"/>
      <c r="BMI81" s="594"/>
      <c r="BMJ81" s="594"/>
      <c r="BMK81" s="594"/>
      <c r="BML81" s="594"/>
      <c r="BMM81" s="594"/>
      <c r="BMN81" s="594"/>
      <c r="BMO81" s="594"/>
      <c r="BMP81" s="594"/>
      <c r="BMQ81" s="594"/>
      <c r="BMR81" s="594"/>
      <c r="BMS81" s="594"/>
      <c r="BMT81" s="594"/>
      <c r="BMU81" s="594"/>
      <c r="BMV81" s="594"/>
      <c r="BMW81" s="594"/>
      <c r="BMX81" s="594"/>
      <c r="BMY81" s="594"/>
      <c r="BMZ81" s="594"/>
      <c r="BNA81" s="594"/>
      <c r="BNB81" s="594"/>
      <c r="BNC81" s="594"/>
      <c r="BND81" s="594"/>
      <c r="BNE81" s="594"/>
      <c r="BNF81" s="594"/>
      <c r="BNG81" s="594"/>
      <c r="BNH81" s="594"/>
      <c r="BNI81" s="594"/>
      <c r="BNJ81" s="594"/>
      <c r="BNK81" s="594"/>
      <c r="BNL81" s="594"/>
      <c r="BNM81" s="594"/>
      <c r="BNN81" s="594"/>
      <c r="BNO81" s="594"/>
      <c r="BNP81" s="594"/>
      <c r="BNQ81" s="594"/>
      <c r="BNR81" s="594"/>
      <c r="BNS81" s="594"/>
      <c r="BNT81" s="594"/>
      <c r="BNU81" s="594"/>
      <c r="BNV81" s="594"/>
      <c r="BNW81" s="594"/>
      <c r="BNX81" s="594"/>
      <c r="BNY81" s="594"/>
      <c r="BNZ81" s="594"/>
      <c r="BOA81" s="594"/>
      <c r="BOB81" s="594"/>
      <c r="BOC81" s="594"/>
      <c r="BOD81" s="594"/>
      <c r="BOE81" s="594"/>
      <c r="BOF81" s="594"/>
      <c r="BOG81" s="594"/>
      <c r="BOH81" s="594"/>
      <c r="BOI81" s="594"/>
      <c r="BOJ81" s="594"/>
      <c r="BOK81" s="594"/>
      <c r="BOL81" s="594"/>
      <c r="BOM81" s="594"/>
      <c r="BON81" s="594"/>
      <c r="BOO81" s="594"/>
      <c r="BOP81" s="594"/>
      <c r="BOQ81" s="594"/>
      <c r="BOR81" s="594"/>
      <c r="BOS81" s="594"/>
      <c r="BOT81" s="594"/>
      <c r="BOU81" s="594"/>
      <c r="BOV81" s="594"/>
      <c r="BOW81" s="594"/>
      <c r="BOX81" s="594"/>
      <c r="BOY81" s="594"/>
      <c r="BOZ81" s="594"/>
      <c r="BPA81" s="594"/>
      <c r="BPB81" s="594"/>
      <c r="BPC81" s="594"/>
      <c r="BPD81" s="594"/>
      <c r="BPE81" s="594"/>
      <c r="BPF81" s="594"/>
      <c r="BPG81" s="594"/>
      <c r="BPH81" s="594"/>
      <c r="BPI81" s="594"/>
      <c r="BPJ81" s="594"/>
      <c r="BPK81" s="594"/>
      <c r="BPL81" s="594"/>
      <c r="BPM81" s="594"/>
      <c r="BPN81" s="594"/>
      <c r="BPO81" s="594"/>
      <c r="BPP81" s="594"/>
      <c r="BPQ81" s="594"/>
      <c r="BPR81" s="594"/>
      <c r="BPS81" s="594"/>
      <c r="BPT81" s="594"/>
      <c r="BPU81" s="594"/>
      <c r="BPV81" s="594"/>
      <c r="BPW81" s="594"/>
      <c r="BPX81" s="594"/>
      <c r="BPY81" s="594"/>
      <c r="BPZ81" s="594"/>
      <c r="BQA81" s="594"/>
      <c r="BQB81" s="594"/>
      <c r="BQC81" s="594"/>
      <c r="BQD81" s="594"/>
      <c r="BQE81" s="594"/>
      <c r="BQF81" s="594"/>
      <c r="BQG81" s="594"/>
      <c r="BQH81" s="594"/>
      <c r="BQI81" s="594"/>
      <c r="BQJ81" s="594"/>
      <c r="BQK81" s="594"/>
      <c r="BQL81" s="594"/>
      <c r="BQM81" s="594"/>
      <c r="BQN81" s="594"/>
      <c r="BQO81" s="594"/>
      <c r="BQP81" s="594"/>
      <c r="BQQ81" s="594"/>
      <c r="BQR81" s="594"/>
      <c r="BQS81" s="594"/>
      <c r="BQT81" s="594"/>
      <c r="BQU81" s="594"/>
      <c r="BQV81" s="594"/>
      <c r="BQW81" s="594"/>
      <c r="BQX81" s="594"/>
      <c r="BQY81" s="594"/>
      <c r="BQZ81" s="594"/>
      <c r="BRA81" s="594"/>
      <c r="BRB81" s="594"/>
      <c r="BRC81" s="594"/>
      <c r="BRD81" s="594"/>
      <c r="BRE81" s="594"/>
      <c r="BRF81" s="594"/>
      <c r="BRG81" s="594"/>
      <c r="BRH81" s="594"/>
      <c r="BRI81" s="594"/>
      <c r="BRJ81" s="594"/>
      <c r="BRK81" s="594"/>
      <c r="BRL81" s="594"/>
      <c r="BRM81" s="594"/>
      <c r="BRN81" s="594"/>
      <c r="BRO81" s="594"/>
      <c r="BRP81" s="594"/>
      <c r="BRQ81" s="594"/>
      <c r="BRR81" s="594"/>
      <c r="BRS81" s="594"/>
      <c r="BRT81" s="594"/>
      <c r="BRU81" s="594"/>
      <c r="BRV81" s="594"/>
      <c r="BRW81" s="594"/>
      <c r="BRX81" s="594"/>
      <c r="BRY81" s="594"/>
      <c r="BRZ81" s="594"/>
      <c r="BSA81" s="594"/>
      <c r="BSB81" s="594"/>
      <c r="BSC81" s="594"/>
      <c r="BSD81" s="594"/>
      <c r="BSE81" s="594"/>
      <c r="BSF81" s="594"/>
      <c r="BSG81" s="594"/>
      <c r="BSH81" s="594"/>
      <c r="BSI81" s="594"/>
      <c r="BSJ81" s="594"/>
      <c r="BSK81" s="594"/>
      <c r="BSL81" s="594"/>
      <c r="BSM81" s="594"/>
      <c r="BSN81" s="594"/>
      <c r="BSO81" s="594"/>
      <c r="BSP81" s="594"/>
      <c r="BSQ81" s="594"/>
      <c r="BSR81" s="594"/>
      <c r="BSS81" s="594"/>
      <c r="BST81" s="594"/>
      <c r="BSU81" s="594"/>
      <c r="BSV81" s="594"/>
      <c r="BSW81" s="594"/>
      <c r="BSX81" s="594"/>
      <c r="BSY81" s="594"/>
      <c r="BSZ81" s="594"/>
      <c r="BTA81" s="594"/>
      <c r="BTB81" s="594"/>
      <c r="BTC81" s="594"/>
      <c r="BTD81" s="594"/>
      <c r="BTE81" s="594"/>
      <c r="BTF81" s="594"/>
      <c r="BTG81" s="594"/>
      <c r="BTH81" s="594"/>
      <c r="BTI81" s="594"/>
      <c r="BTJ81" s="594"/>
      <c r="BTK81" s="594"/>
      <c r="BTL81" s="594"/>
      <c r="BTM81" s="594"/>
      <c r="BTN81" s="594"/>
      <c r="BTO81" s="594"/>
      <c r="BTP81" s="594"/>
      <c r="BTQ81" s="594"/>
      <c r="BTR81" s="594"/>
      <c r="BTS81" s="594"/>
      <c r="BTT81" s="594"/>
      <c r="BTU81" s="594"/>
      <c r="BTV81" s="594"/>
      <c r="BTW81" s="594"/>
      <c r="BTX81" s="594"/>
      <c r="BTY81" s="594"/>
      <c r="BTZ81" s="594"/>
      <c r="BUA81" s="594"/>
      <c r="BUB81" s="594"/>
      <c r="BUC81" s="594"/>
      <c r="BUD81" s="594"/>
      <c r="BUE81" s="594"/>
      <c r="BUF81" s="594"/>
      <c r="BUG81" s="594"/>
      <c r="BUH81" s="594"/>
      <c r="BUI81" s="594"/>
      <c r="BUJ81" s="594"/>
      <c r="BUK81" s="594"/>
      <c r="BUL81" s="594"/>
      <c r="BUM81" s="594"/>
      <c r="BUN81" s="594"/>
      <c r="BUO81" s="594"/>
      <c r="BUP81" s="594"/>
      <c r="BUQ81" s="594"/>
      <c r="BUR81" s="594"/>
      <c r="BUS81" s="594"/>
      <c r="BUT81" s="594"/>
      <c r="BUU81" s="594"/>
      <c r="BUV81" s="594"/>
      <c r="BUW81" s="594"/>
      <c r="BUX81" s="594"/>
      <c r="BUY81" s="594"/>
      <c r="BUZ81" s="594"/>
      <c r="BVA81" s="594"/>
      <c r="BVB81" s="594"/>
      <c r="BVC81" s="594"/>
      <c r="BVD81" s="594"/>
      <c r="BVE81" s="594"/>
      <c r="BVF81" s="594"/>
      <c r="BVG81" s="594"/>
      <c r="BVH81" s="594"/>
      <c r="BVI81" s="594"/>
      <c r="BVJ81" s="594"/>
      <c r="BVK81" s="594"/>
      <c r="BVL81" s="594"/>
      <c r="BVM81" s="594"/>
      <c r="BVN81" s="594"/>
      <c r="BVO81" s="594"/>
      <c r="BVP81" s="594"/>
      <c r="BVQ81" s="594"/>
      <c r="BVR81" s="594"/>
      <c r="BVS81" s="594"/>
      <c r="BVT81" s="594"/>
      <c r="BVU81" s="594"/>
      <c r="BVV81" s="594"/>
      <c r="BVW81" s="594"/>
      <c r="BVX81" s="594"/>
      <c r="BVY81" s="594"/>
      <c r="BVZ81" s="594"/>
      <c r="BWA81" s="594"/>
      <c r="BWB81" s="594"/>
      <c r="BWC81" s="594"/>
      <c r="BWD81" s="594"/>
      <c r="BWE81" s="594"/>
      <c r="BWF81" s="594"/>
      <c r="BWG81" s="594"/>
      <c r="BWH81" s="594"/>
      <c r="BWI81" s="594"/>
      <c r="BWJ81" s="594"/>
      <c r="BWK81" s="594"/>
      <c r="BWL81" s="594"/>
      <c r="BWM81" s="594"/>
      <c r="BWN81" s="594"/>
      <c r="BWO81" s="594"/>
      <c r="BWP81" s="594"/>
      <c r="BWQ81" s="594"/>
      <c r="BWR81" s="594"/>
      <c r="BWS81" s="594"/>
      <c r="BWT81" s="594"/>
      <c r="BWU81" s="594"/>
      <c r="BWV81" s="594"/>
      <c r="BWW81" s="594"/>
      <c r="BWX81" s="594"/>
      <c r="BWY81" s="594"/>
      <c r="BWZ81" s="594"/>
      <c r="BXA81" s="594"/>
      <c r="BXB81" s="594"/>
      <c r="BXC81" s="594"/>
      <c r="BXD81" s="594"/>
      <c r="BXE81" s="594"/>
      <c r="BXF81" s="594"/>
      <c r="BXG81" s="594"/>
      <c r="BXH81" s="594"/>
      <c r="BXI81" s="594"/>
      <c r="BXJ81" s="594"/>
      <c r="BXK81" s="594"/>
      <c r="BXL81" s="594"/>
      <c r="BXM81" s="594"/>
      <c r="BXN81" s="594"/>
      <c r="BXO81" s="594"/>
      <c r="BXP81" s="594"/>
      <c r="BXQ81" s="594"/>
      <c r="BXR81" s="594"/>
      <c r="BXS81" s="594"/>
      <c r="BXT81" s="594"/>
      <c r="BXU81" s="594"/>
      <c r="BXV81" s="594"/>
      <c r="BXW81" s="594"/>
      <c r="BXX81" s="594"/>
      <c r="BXY81" s="594"/>
      <c r="BXZ81" s="594"/>
      <c r="BYA81" s="594"/>
      <c r="BYB81" s="594"/>
      <c r="BYC81" s="594"/>
      <c r="BYD81" s="594"/>
      <c r="BYE81" s="594"/>
      <c r="BYF81" s="594"/>
      <c r="BYG81" s="594"/>
      <c r="BYH81" s="594"/>
      <c r="BYI81" s="594"/>
      <c r="BYJ81" s="594"/>
      <c r="BYK81" s="594"/>
      <c r="BYL81" s="594"/>
      <c r="BYM81" s="594"/>
      <c r="BYN81" s="594"/>
      <c r="BYO81" s="594"/>
      <c r="BYP81" s="594"/>
      <c r="BYQ81" s="594"/>
      <c r="BYR81" s="594"/>
      <c r="BYS81" s="594"/>
      <c r="BYT81" s="594"/>
      <c r="BYU81" s="594"/>
      <c r="BYV81" s="594"/>
      <c r="BYW81" s="594"/>
      <c r="BYX81" s="594"/>
      <c r="BYY81" s="594"/>
      <c r="BYZ81" s="594"/>
      <c r="BZA81" s="594"/>
      <c r="BZB81" s="594"/>
      <c r="BZC81" s="594"/>
      <c r="BZD81" s="594"/>
      <c r="BZE81" s="594"/>
      <c r="BZF81" s="594"/>
      <c r="BZG81" s="594"/>
      <c r="BZH81" s="594"/>
      <c r="BZI81" s="594"/>
      <c r="BZJ81" s="594"/>
      <c r="BZK81" s="594"/>
      <c r="BZL81" s="594"/>
      <c r="BZM81" s="594"/>
      <c r="BZN81" s="594"/>
      <c r="BZO81" s="594"/>
      <c r="BZP81" s="594"/>
      <c r="BZQ81" s="594"/>
      <c r="BZR81" s="594"/>
      <c r="BZS81" s="594"/>
      <c r="BZT81" s="594"/>
      <c r="BZU81" s="594"/>
      <c r="BZV81" s="594"/>
      <c r="BZW81" s="594"/>
      <c r="BZX81" s="594"/>
      <c r="BZY81" s="594"/>
      <c r="BZZ81" s="594"/>
      <c r="CAA81" s="594"/>
      <c r="CAB81" s="594"/>
      <c r="CAC81" s="594"/>
      <c r="CAD81" s="594"/>
      <c r="CAE81" s="594"/>
      <c r="CAF81" s="594"/>
      <c r="CAG81" s="594"/>
      <c r="CAH81" s="594"/>
      <c r="CAI81" s="594"/>
      <c r="CAJ81" s="594"/>
      <c r="CAK81" s="594"/>
      <c r="CAL81" s="594"/>
      <c r="CAM81" s="594"/>
      <c r="CAN81" s="594"/>
      <c r="CAO81" s="594"/>
      <c r="CAP81" s="594"/>
      <c r="CAQ81" s="594"/>
      <c r="CAR81" s="594"/>
      <c r="CAS81" s="594"/>
      <c r="CAT81" s="594"/>
      <c r="CAU81" s="594"/>
      <c r="CAV81" s="594"/>
      <c r="CAW81" s="594"/>
      <c r="CAX81" s="594"/>
      <c r="CAY81" s="594"/>
      <c r="CAZ81" s="594"/>
      <c r="CBA81" s="594"/>
      <c r="CBB81" s="594"/>
      <c r="CBC81" s="594"/>
      <c r="CBD81" s="594"/>
      <c r="CBE81" s="594"/>
      <c r="CBF81" s="594"/>
      <c r="CBG81" s="594"/>
      <c r="CBH81" s="594"/>
      <c r="CBI81" s="594"/>
      <c r="CBJ81" s="594"/>
      <c r="CBK81" s="594"/>
      <c r="CBL81" s="594"/>
      <c r="CBM81" s="594"/>
      <c r="CBN81" s="594"/>
      <c r="CBO81" s="594"/>
      <c r="CBP81" s="594"/>
      <c r="CBQ81" s="594"/>
      <c r="CBR81" s="594"/>
      <c r="CBS81" s="594"/>
      <c r="CBT81" s="594"/>
      <c r="CBU81" s="594"/>
      <c r="CBV81" s="594"/>
      <c r="CBW81" s="594"/>
      <c r="CBX81" s="594"/>
      <c r="CBY81" s="594"/>
      <c r="CBZ81" s="594"/>
      <c r="CCA81" s="594"/>
      <c r="CCB81" s="594"/>
      <c r="CCC81" s="594"/>
      <c r="CCD81" s="594"/>
      <c r="CCE81" s="594"/>
      <c r="CCF81" s="594"/>
      <c r="CCG81" s="594"/>
      <c r="CCH81" s="594"/>
      <c r="CCI81" s="594"/>
      <c r="CCJ81" s="594"/>
      <c r="CCK81" s="594"/>
      <c r="CCL81" s="594"/>
      <c r="CCM81" s="594"/>
      <c r="CCN81" s="594"/>
      <c r="CCO81" s="594"/>
      <c r="CCP81" s="594"/>
      <c r="CCQ81" s="594"/>
      <c r="CCR81" s="594"/>
      <c r="CCS81" s="594"/>
      <c r="CCT81" s="594"/>
      <c r="CCU81" s="594"/>
      <c r="CCV81" s="594"/>
      <c r="CCW81" s="594"/>
      <c r="CCX81" s="594"/>
      <c r="CCY81" s="594"/>
      <c r="CCZ81" s="594"/>
      <c r="CDA81" s="594"/>
      <c r="CDB81" s="594"/>
      <c r="CDC81" s="594"/>
      <c r="CDD81" s="594"/>
      <c r="CDE81" s="594"/>
      <c r="CDF81" s="594"/>
      <c r="CDG81" s="594"/>
      <c r="CDH81" s="594"/>
      <c r="CDI81" s="594"/>
      <c r="CDJ81" s="594"/>
      <c r="CDK81" s="594"/>
      <c r="CDL81" s="594"/>
      <c r="CDM81" s="594"/>
      <c r="CDN81" s="594"/>
      <c r="CDO81" s="594"/>
      <c r="CDP81" s="594"/>
      <c r="CDQ81" s="594"/>
      <c r="CDR81" s="594"/>
      <c r="CDS81" s="594"/>
      <c r="CDT81" s="594"/>
      <c r="CDU81" s="594"/>
      <c r="CDV81" s="594"/>
      <c r="CDW81" s="594"/>
      <c r="CDX81" s="594"/>
      <c r="CDY81" s="594"/>
      <c r="CDZ81" s="594"/>
      <c r="CEA81" s="594"/>
      <c r="CEB81" s="594"/>
      <c r="CEC81" s="594"/>
      <c r="CED81" s="594"/>
      <c r="CEE81" s="594"/>
      <c r="CEF81" s="594"/>
      <c r="CEG81" s="594"/>
      <c r="CEH81" s="594"/>
      <c r="CEI81" s="594"/>
      <c r="CEJ81" s="594"/>
      <c r="CEK81" s="594"/>
      <c r="CEL81" s="594"/>
      <c r="CEM81" s="594"/>
      <c r="CEN81" s="594"/>
      <c r="CEO81" s="594"/>
      <c r="CEP81" s="594"/>
      <c r="CEQ81" s="594"/>
      <c r="CER81" s="594"/>
      <c r="CES81" s="594"/>
      <c r="CET81" s="594"/>
      <c r="CEU81" s="594"/>
      <c r="CEV81" s="594"/>
      <c r="CEW81" s="594"/>
      <c r="CEX81" s="594"/>
      <c r="CEY81" s="594"/>
      <c r="CEZ81" s="594"/>
      <c r="CFA81" s="594"/>
      <c r="CFB81" s="594"/>
      <c r="CFC81" s="594"/>
      <c r="CFD81" s="594"/>
      <c r="CFE81" s="594"/>
      <c r="CFF81" s="594"/>
      <c r="CFG81" s="594"/>
      <c r="CFH81" s="594"/>
      <c r="CFI81" s="594"/>
      <c r="CFJ81" s="594"/>
      <c r="CFK81" s="594"/>
      <c r="CFL81" s="594"/>
      <c r="CFM81" s="594"/>
      <c r="CFN81" s="594"/>
      <c r="CFO81" s="594"/>
      <c r="CFP81" s="594"/>
      <c r="CFQ81" s="594"/>
      <c r="CFR81" s="594"/>
      <c r="CFS81" s="594"/>
      <c r="CFT81" s="594"/>
      <c r="CFU81" s="594"/>
      <c r="CFV81" s="594"/>
      <c r="CFW81" s="594"/>
      <c r="CFX81" s="594"/>
      <c r="CFY81" s="594"/>
      <c r="CFZ81" s="594"/>
      <c r="CGA81" s="594"/>
      <c r="CGB81" s="594"/>
      <c r="CGC81" s="594"/>
      <c r="CGD81" s="594"/>
      <c r="CGE81" s="594"/>
      <c r="CGF81" s="594"/>
      <c r="CGG81" s="594"/>
      <c r="CGH81" s="594"/>
      <c r="CGI81" s="594"/>
      <c r="CGJ81" s="594"/>
      <c r="CGK81" s="594"/>
      <c r="CGL81" s="594"/>
      <c r="CGM81" s="594"/>
      <c r="CGN81" s="594"/>
      <c r="CGO81" s="594"/>
      <c r="CGP81" s="594"/>
      <c r="CGQ81" s="594"/>
      <c r="CGR81" s="594"/>
      <c r="CGS81" s="594"/>
      <c r="CGT81" s="594"/>
      <c r="CGU81" s="594"/>
      <c r="CGV81" s="594"/>
      <c r="CGW81" s="594"/>
      <c r="CGX81" s="594"/>
      <c r="CGY81" s="594"/>
      <c r="CGZ81" s="594"/>
      <c r="CHA81" s="594"/>
      <c r="CHB81" s="594"/>
      <c r="CHC81" s="594"/>
      <c r="CHD81" s="594"/>
      <c r="CHE81" s="594"/>
      <c r="CHF81" s="594"/>
      <c r="CHG81" s="594"/>
      <c r="CHH81" s="594"/>
      <c r="CHI81" s="594"/>
      <c r="CHJ81" s="594"/>
      <c r="CHK81" s="594"/>
      <c r="CHL81" s="594"/>
      <c r="CHM81" s="594"/>
      <c r="CHN81" s="594"/>
      <c r="CHO81" s="594"/>
      <c r="CHP81" s="594"/>
      <c r="CHQ81" s="594"/>
      <c r="CHR81" s="594"/>
      <c r="CHS81" s="594"/>
      <c r="CHT81" s="594"/>
      <c r="CHU81" s="594"/>
      <c r="CHV81" s="594"/>
      <c r="CHW81" s="594"/>
      <c r="CHX81" s="594"/>
      <c r="CHY81" s="594"/>
      <c r="CHZ81" s="594"/>
      <c r="CIA81" s="594"/>
      <c r="CIB81" s="594"/>
      <c r="CIC81" s="594"/>
      <c r="CID81" s="594"/>
      <c r="CIE81" s="594"/>
      <c r="CIF81" s="594"/>
      <c r="CIG81" s="594"/>
      <c r="CIH81" s="594"/>
      <c r="CII81" s="594"/>
      <c r="CIJ81" s="594"/>
      <c r="CIK81" s="594"/>
      <c r="CIL81" s="594"/>
      <c r="CIM81" s="594"/>
      <c r="CIN81" s="594"/>
      <c r="CIO81" s="594"/>
      <c r="CIP81" s="594"/>
      <c r="CIQ81" s="594"/>
      <c r="CIR81" s="594"/>
      <c r="CIS81" s="594"/>
      <c r="CIT81" s="594"/>
      <c r="CIU81" s="594"/>
      <c r="CIV81" s="594"/>
      <c r="CIW81" s="594"/>
      <c r="CIX81" s="594"/>
      <c r="CIY81" s="594"/>
      <c r="CIZ81" s="594"/>
      <c r="CJA81" s="594"/>
      <c r="CJB81" s="594"/>
      <c r="CJC81" s="594"/>
      <c r="CJD81" s="594"/>
      <c r="CJE81" s="594"/>
      <c r="CJF81" s="594"/>
      <c r="CJG81" s="594"/>
      <c r="CJH81" s="594"/>
      <c r="CJI81" s="594"/>
      <c r="CJJ81" s="594"/>
      <c r="CJK81" s="594"/>
      <c r="CJL81" s="594"/>
      <c r="CJM81" s="594"/>
      <c r="CJN81" s="594"/>
      <c r="CJO81" s="594"/>
      <c r="CJP81" s="594"/>
      <c r="CJQ81" s="594"/>
      <c r="CJR81" s="594"/>
      <c r="CJS81" s="594"/>
      <c r="CJT81" s="594"/>
      <c r="CJU81" s="594"/>
      <c r="CJV81" s="594"/>
      <c r="CJW81" s="594"/>
      <c r="CJX81" s="594"/>
      <c r="CJY81" s="594"/>
      <c r="CJZ81" s="594"/>
      <c r="CKA81" s="594"/>
      <c r="CKB81" s="594"/>
      <c r="CKC81" s="594"/>
      <c r="CKD81" s="594"/>
      <c r="CKE81" s="594"/>
      <c r="CKF81" s="594"/>
      <c r="CKG81" s="594"/>
      <c r="CKH81" s="594"/>
      <c r="CKI81" s="594"/>
      <c r="CKJ81" s="594"/>
      <c r="CKK81" s="594"/>
      <c r="CKL81" s="594"/>
      <c r="CKM81" s="594"/>
      <c r="CKN81" s="594"/>
      <c r="CKO81" s="594"/>
      <c r="CKP81" s="594"/>
      <c r="CKQ81" s="594"/>
      <c r="CKR81" s="594"/>
      <c r="CKS81" s="594"/>
      <c r="CKT81" s="594"/>
      <c r="CKU81" s="594"/>
      <c r="CKV81" s="594"/>
      <c r="CKW81" s="594"/>
      <c r="CKX81" s="594"/>
      <c r="CKY81" s="594"/>
      <c r="CKZ81" s="594"/>
      <c r="CLA81" s="594"/>
      <c r="CLB81" s="594"/>
      <c r="CLC81" s="594"/>
      <c r="CLD81" s="594"/>
      <c r="CLE81" s="594"/>
      <c r="CLF81" s="594"/>
      <c r="CLG81" s="594"/>
      <c r="CLH81" s="594"/>
      <c r="CLI81" s="594"/>
      <c r="CLJ81" s="594"/>
      <c r="CLK81" s="594"/>
      <c r="CLL81" s="594"/>
      <c r="CLM81" s="594"/>
      <c r="CLN81" s="594"/>
      <c r="CLO81" s="594"/>
      <c r="CLP81" s="594"/>
      <c r="CLQ81" s="594"/>
      <c r="CLR81" s="594"/>
      <c r="CLS81" s="594"/>
      <c r="CLT81" s="594"/>
      <c r="CLU81" s="594"/>
      <c r="CLV81" s="594"/>
      <c r="CLW81" s="594"/>
      <c r="CLX81" s="594"/>
      <c r="CLY81" s="594"/>
      <c r="CLZ81" s="594"/>
      <c r="CMA81" s="594"/>
      <c r="CMB81" s="594"/>
      <c r="CMC81" s="594"/>
      <c r="CMD81" s="594"/>
      <c r="CME81" s="594"/>
      <c r="CMF81" s="594"/>
      <c r="CMG81" s="594"/>
      <c r="CMH81" s="594"/>
      <c r="CMI81" s="594"/>
      <c r="CMJ81" s="594"/>
      <c r="CMK81" s="594"/>
      <c r="CML81" s="594"/>
      <c r="CMM81" s="594"/>
      <c r="CMN81" s="594"/>
      <c r="CMO81" s="594"/>
      <c r="CMP81" s="594"/>
      <c r="CMQ81" s="594"/>
      <c r="CMR81" s="594"/>
      <c r="CMS81" s="594"/>
      <c r="CMT81" s="594"/>
      <c r="CMU81" s="594"/>
      <c r="CMV81" s="594"/>
      <c r="CMW81" s="594"/>
      <c r="CMX81" s="594"/>
      <c r="CMY81" s="594"/>
      <c r="CMZ81" s="594"/>
      <c r="CNA81" s="594"/>
      <c r="CNB81" s="594"/>
      <c r="CNC81" s="594"/>
      <c r="CND81" s="594"/>
      <c r="CNE81" s="594"/>
      <c r="CNF81" s="594"/>
      <c r="CNG81" s="594"/>
      <c r="CNH81" s="594"/>
      <c r="CNI81" s="594"/>
      <c r="CNJ81" s="594"/>
      <c r="CNK81" s="594"/>
      <c r="CNL81" s="594"/>
      <c r="CNM81" s="594"/>
      <c r="CNN81" s="594"/>
      <c r="CNO81" s="594"/>
      <c r="CNP81" s="594"/>
      <c r="CNQ81" s="594"/>
      <c r="CNR81" s="594"/>
      <c r="CNS81" s="594"/>
      <c r="CNT81" s="594"/>
      <c r="CNU81" s="594"/>
      <c r="CNV81" s="594"/>
      <c r="CNW81" s="594"/>
      <c r="CNX81" s="594"/>
      <c r="CNY81" s="594"/>
      <c r="CNZ81" s="594"/>
      <c r="COA81" s="594"/>
      <c r="COB81" s="594"/>
      <c r="COC81" s="594"/>
      <c r="COD81" s="594"/>
      <c r="COE81" s="594"/>
      <c r="COF81" s="594"/>
      <c r="COG81" s="594"/>
      <c r="COH81" s="594"/>
      <c r="COI81" s="594"/>
      <c r="COJ81" s="594"/>
      <c r="COK81" s="594"/>
      <c r="COL81" s="594"/>
      <c r="COM81" s="594"/>
      <c r="CON81" s="594"/>
      <c r="COO81" s="594"/>
      <c r="COP81" s="594"/>
      <c r="COQ81" s="594"/>
      <c r="COR81" s="594"/>
      <c r="COS81" s="594"/>
      <c r="COT81" s="594"/>
      <c r="COU81" s="594"/>
      <c r="COV81" s="594"/>
      <c r="COW81" s="594"/>
      <c r="COX81" s="594"/>
      <c r="COY81" s="594"/>
      <c r="COZ81" s="594"/>
      <c r="CPA81" s="594"/>
      <c r="CPB81" s="594"/>
      <c r="CPC81" s="594"/>
      <c r="CPD81" s="594"/>
      <c r="CPE81" s="594"/>
      <c r="CPF81" s="594"/>
      <c r="CPG81" s="594"/>
      <c r="CPH81" s="594"/>
      <c r="CPI81" s="594"/>
      <c r="CPJ81" s="594"/>
      <c r="CPK81" s="594"/>
      <c r="CPL81" s="594"/>
      <c r="CPM81" s="594"/>
      <c r="CPN81" s="594"/>
      <c r="CPO81" s="594"/>
      <c r="CPP81" s="594"/>
      <c r="CPQ81" s="594"/>
      <c r="CPR81" s="594"/>
      <c r="CPS81" s="594"/>
      <c r="CPT81" s="594"/>
      <c r="CPU81" s="594"/>
      <c r="CPV81" s="594"/>
      <c r="CPW81" s="594"/>
      <c r="CPX81" s="594"/>
      <c r="CPY81" s="594"/>
      <c r="CPZ81" s="594"/>
      <c r="CQA81" s="594"/>
      <c r="CQB81" s="594"/>
      <c r="CQC81" s="594"/>
      <c r="CQD81" s="594"/>
      <c r="CQE81" s="594"/>
      <c r="CQF81" s="594"/>
      <c r="CQG81" s="594"/>
      <c r="CQH81" s="594"/>
      <c r="CQI81" s="594"/>
      <c r="CQJ81" s="594"/>
      <c r="CQK81" s="594"/>
      <c r="CQL81" s="594"/>
      <c r="CQM81" s="594"/>
      <c r="CQN81" s="594"/>
      <c r="CQO81" s="594"/>
      <c r="CQP81" s="594"/>
      <c r="CQQ81" s="594"/>
      <c r="CQR81" s="594"/>
      <c r="CQS81" s="594"/>
      <c r="CQT81" s="594"/>
      <c r="CQU81" s="594"/>
      <c r="CQV81" s="594"/>
      <c r="CQW81" s="594"/>
      <c r="CQX81" s="594"/>
      <c r="CQY81" s="594"/>
      <c r="CQZ81" s="594"/>
      <c r="CRA81" s="594"/>
      <c r="CRB81" s="594"/>
      <c r="CRC81" s="594"/>
      <c r="CRD81" s="594"/>
      <c r="CRE81" s="594"/>
      <c r="CRF81" s="594"/>
      <c r="CRG81" s="594"/>
      <c r="CRH81" s="594"/>
      <c r="CRI81" s="594"/>
      <c r="CRJ81" s="594"/>
      <c r="CRK81" s="594"/>
      <c r="CRL81" s="594"/>
      <c r="CRM81" s="594"/>
      <c r="CRN81" s="594"/>
      <c r="CRO81" s="594"/>
      <c r="CRP81" s="594"/>
      <c r="CRQ81" s="594"/>
      <c r="CRR81" s="594"/>
      <c r="CRS81" s="594"/>
      <c r="CRT81" s="594"/>
      <c r="CRU81" s="594"/>
      <c r="CRV81" s="594"/>
      <c r="CRW81" s="594"/>
      <c r="CRX81" s="594"/>
      <c r="CRY81" s="594"/>
      <c r="CRZ81" s="594"/>
      <c r="CSA81" s="594"/>
      <c r="CSB81" s="594"/>
      <c r="CSC81" s="594"/>
      <c r="CSD81" s="594"/>
      <c r="CSE81" s="594"/>
      <c r="CSF81" s="594"/>
      <c r="CSG81" s="594"/>
      <c r="CSH81" s="594"/>
      <c r="CSI81" s="594"/>
      <c r="CSJ81" s="594"/>
      <c r="CSK81" s="594"/>
      <c r="CSL81" s="594"/>
      <c r="CSM81" s="594"/>
      <c r="CSN81" s="594"/>
      <c r="CSO81" s="594"/>
      <c r="CSP81" s="594"/>
      <c r="CSQ81" s="594"/>
      <c r="CSR81" s="594"/>
      <c r="CSS81" s="594"/>
      <c r="CST81" s="594"/>
      <c r="CSU81" s="594"/>
      <c r="CSV81" s="594"/>
      <c r="CSW81" s="594"/>
      <c r="CSX81" s="594"/>
      <c r="CSY81" s="594"/>
      <c r="CSZ81" s="594"/>
      <c r="CTA81" s="594"/>
      <c r="CTB81" s="594"/>
      <c r="CTC81" s="594"/>
      <c r="CTD81" s="594"/>
      <c r="CTE81" s="594"/>
      <c r="CTF81" s="594"/>
      <c r="CTG81" s="594"/>
      <c r="CTH81" s="594"/>
      <c r="CTI81" s="594"/>
      <c r="CTJ81" s="594"/>
      <c r="CTK81" s="594"/>
      <c r="CTL81" s="594"/>
      <c r="CTM81" s="594"/>
      <c r="CTN81" s="594"/>
      <c r="CTO81" s="594"/>
      <c r="CTP81" s="594"/>
      <c r="CTQ81" s="594"/>
      <c r="CTR81" s="594"/>
      <c r="CTS81" s="594"/>
      <c r="CTT81" s="594"/>
      <c r="CTU81" s="594"/>
      <c r="CTV81" s="594"/>
      <c r="CTW81" s="594"/>
      <c r="CTX81" s="594"/>
      <c r="CTY81" s="594"/>
      <c r="CTZ81" s="594"/>
      <c r="CUA81" s="594"/>
      <c r="CUB81" s="594"/>
      <c r="CUC81" s="594"/>
      <c r="CUD81" s="594"/>
      <c r="CUE81" s="594"/>
      <c r="CUF81" s="594"/>
      <c r="CUG81" s="594"/>
      <c r="CUH81" s="594"/>
      <c r="CUI81" s="594"/>
      <c r="CUJ81" s="594"/>
      <c r="CUK81" s="594"/>
      <c r="CUL81" s="594"/>
      <c r="CUM81" s="594"/>
      <c r="CUN81" s="594"/>
      <c r="CUO81" s="594"/>
      <c r="CUP81" s="594"/>
      <c r="CUQ81" s="594"/>
      <c r="CUR81" s="594"/>
      <c r="CUS81" s="594"/>
      <c r="CUT81" s="594"/>
      <c r="CUU81" s="594"/>
      <c r="CUV81" s="594"/>
      <c r="CUW81" s="594"/>
      <c r="CUX81" s="594"/>
      <c r="CUY81" s="594"/>
      <c r="CUZ81" s="594"/>
      <c r="CVA81" s="594"/>
      <c r="CVB81" s="594"/>
      <c r="CVC81" s="594"/>
      <c r="CVD81" s="594"/>
      <c r="CVE81" s="594"/>
      <c r="CVF81" s="594"/>
      <c r="CVG81" s="594"/>
      <c r="CVH81" s="594"/>
      <c r="CVI81" s="594"/>
      <c r="CVJ81" s="594"/>
      <c r="CVK81" s="594"/>
      <c r="CVL81" s="594"/>
      <c r="CVM81" s="594"/>
      <c r="CVN81" s="594"/>
      <c r="CVO81" s="594"/>
      <c r="CVP81" s="594"/>
      <c r="CVQ81" s="594"/>
      <c r="CVR81" s="594"/>
      <c r="CVS81" s="594"/>
      <c r="CVT81" s="594"/>
      <c r="CVU81" s="594"/>
      <c r="CVV81" s="594"/>
      <c r="CVW81" s="594"/>
      <c r="CVX81" s="594"/>
      <c r="CVY81" s="594"/>
      <c r="CVZ81" s="594"/>
      <c r="CWA81" s="594"/>
      <c r="CWB81" s="594"/>
      <c r="CWC81" s="594"/>
      <c r="CWD81" s="594"/>
      <c r="CWE81" s="594"/>
      <c r="CWF81" s="594"/>
      <c r="CWG81" s="594"/>
      <c r="CWH81" s="594"/>
      <c r="CWI81" s="594"/>
      <c r="CWJ81" s="594"/>
      <c r="CWK81" s="594"/>
      <c r="CWL81" s="594"/>
      <c r="CWM81" s="594"/>
      <c r="CWN81" s="594"/>
      <c r="CWO81" s="594"/>
      <c r="CWP81" s="594"/>
      <c r="CWQ81" s="594"/>
      <c r="CWR81" s="594"/>
      <c r="CWS81" s="594"/>
      <c r="CWT81" s="594"/>
      <c r="CWU81" s="594"/>
      <c r="CWV81" s="594"/>
      <c r="CWW81" s="594"/>
      <c r="CWX81" s="594"/>
      <c r="CWY81" s="594"/>
      <c r="CWZ81" s="594"/>
      <c r="CXA81" s="594"/>
      <c r="CXB81" s="594"/>
      <c r="CXC81" s="594"/>
      <c r="CXD81" s="594"/>
      <c r="CXE81" s="594"/>
      <c r="CXF81" s="594"/>
      <c r="CXG81" s="594"/>
      <c r="CXH81" s="594"/>
      <c r="CXI81" s="594"/>
      <c r="CXJ81" s="594"/>
      <c r="CXK81" s="594"/>
      <c r="CXL81" s="594"/>
      <c r="CXM81" s="594"/>
      <c r="CXN81" s="594"/>
      <c r="CXO81" s="594"/>
      <c r="CXP81" s="594"/>
      <c r="CXQ81" s="594"/>
      <c r="CXR81" s="594"/>
      <c r="CXS81" s="594"/>
      <c r="CXT81" s="594"/>
      <c r="CXU81" s="594"/>
      <c r="CXV81" s="594"/>
      <c r="CXW81" s="594"/>
      <c r="CXX81" s="594"/>
      <c r="CXY81" s="594"/>
      <c r="CXZ81" s="594"/>
      <c r="CYA81" s="594"/>
      <c r="CYB81" s="594"/>
      <c r="CYC81" s="594"/>
      <c r="CYD81" s="594"/>
      <c r="CYE81" s="594"/>
      <c r="CYF81" s="594"/>
      <c r="CYG81" s="594"/>
      <c r="CYH81" s="594"/>
      <c r="CYI81" s="594"/>
      <c r="CYJ81" s="594"/>
      <c r="CYK81" s="594"/>
      <c r="CYL81" s="594"/>
      <c r="CYM81" s="594"/>
      <c r="CYN81" s="594"/>
      <c r="CYO81" s="594"/>
      <c r="CYP81" s="594"/>
      <c r="CYQ81" s="594"/>
      <c r="CYR81" s="594"/>
      <c r="CYS81" s="594"/>
      <c r="CYT81" s="594"/>
      <c r="CYU81" s="594"/>
      <c r="CYV81" s="594"/>
      <c r="CYW81" s="594"/>
      <c r="CYX81" s="594"/>
      <c r="CYY81" s="594"/>
      <c r="CYZ81" s="594"/>
      <c r="CZA81" s="594"/>
      <c r="CZB81" s="594"/>
      <c r="CZC81" s="594"/>
      <c r="CZD81" s="594"/>
      <c r="CZE81" s="594"/>
      <c r="CZF81" s="594"/>
      <c r="CZG81" s="594"/>
      <c r="CZH81" s="594"/>
      <c r="CZI81" s="594"/>
      <c r="CZJ81" s="594"/>
      <c r="CZK81" s="594"/>
      <c r="CZL81" s="594"/>
      <c r="CZM81" s="594"/>
      <c r="CZN81" s="594"/>
      <c r="CZO81" s="594"/>
      <c r="CZP81" s="594"/>
      <c r="CZQ81" s="594"/>
      <c r="CZR81" s="594"/>
      <c r="CZS81" s="594"/>
      <c r="CZT81" s="594"/>
      <c r="CZU81" s="594"/>
      <c r="CZV81" s="594"/>
      <c r="CZW81" s="594"/>
      <c r="CZX81" s="594"/>
      <c r="CZY81" s="594"/>
      <c r="CZZ81" s="594"/>
      <c r="DAA81" s="594"/>
      <c r="DAB81" s="594"/>
      <c r="DAC81" s="594"/>
      <c r="DAD81" s="594"/>
      <c r="DAE81" s="594"/>
      <c r="DAF81" s="594"/>
      <c r="DAG81" s="594"/>
      <c r="DAH81" s="594"/>
      <c r="DAI81" s="594"/>
      <c r="DAJ81" s="594"/>
      <c r="DAK81" s="594"/>
      <c r="DAL81" s="594"/>
      <c r="DAM81" s="594"/>
      <c r="DAN81" s="594"/>
      <c r="DAO81" s="594"/>
      <c r="DAP81" s="594"/>
      <c r="DAQ81" s="594"/>
      <c r="DAR81" s="594"/>
      <c r="DAS81" s="594"/>
      <c r="DAT81" s="594"/>
      <c r="DAU81" s="594"/>
      <c r="DAV81" s="594"/>
      <c r="DAW81" s="594"/>
      <c r="DAX81" s="594"/>
      <c r="DAY81" s="594"/>
      <c r="DAZ81" s="594"/>
      <c r="DBA81" s="594"/>
      <c r="DBB81" s="594"/>
      <c r="DBC81" s="594"/>
      <c r="DBD81" s="594"/>
      <c r="DBE81" s="594"/>
      <c r="DBF81" s="594"/>
      <c r="DBG81" s="594"/>
      <c r="DBH81" s="594"/>
      <c r="DBI81" s="594"/>
      <c r="DBJ81" s="594"/>
      <c r="DBK81" s="594"/>
      <c r="DBL81" s="594"/>
      <c r="DBM81" s="594"/>
      <c r="DBN81" s="594"/>
      <c r="DBO81" s="594"/>
      <c r="DBP81" s="594"/>
      <c r="DBQ81" s="594"/>
      <c r="DBR81" s="594"/>
      <c r="DBS81" s="594"/>
      <c r="DBT81" s="594"/>
      <c r="DBU81" s="594"/>
      <c r="DBV81" s="594"/>
      <c r="DBW81" s="594"/>
      <c r="DBX81" s="594"/>
      <c r="DBY81" s="594"/>
      <c r="DBZ81" s="594"/>
      <c r="DCA81" s="594"/>
      <c r="DCB81" s="594"/>
      <c r="DCC81" s="594"/>
      <c r="DCD81" s="594"/>
      <c r="DCE81" s="594"/>
      <c r="DCF81" s="594"/>
      <c r="DCG81" s="594"/>
      <c r="DCH81" s="594"/>
      <c r="DCI81" s="594"/>
      <c r="DCJ81" s="594"/>
      <c r="DCK81" s="594"/>
      <c r="DCL81" s="594"/>
      <c r="DCM81" s="594"/>
      <c r="DCN81" s="594"/>
      <c r="DCO81" s="594"/>
      <c r="DCP81" s="594"/>
      <c r="DCQ81" s="594"/>
      <c r="DCR81" s="594"/>
      <c r="DCS81" s="594"/>
      <c r="DCT81" s="594"/>
      <c r="DCU81" s="594"/>
      <c r="DCV81" s="594"/>
      <c r="DCW81" s="594"/>
      <c r="DCX81" s="594"/>
      <c r="DCY81" s="594"/>
      <c r="DCZ81" s="594"/>
      <c r="DDA81" s="594"/>
      <c r="DDB81" s="594"/>
      <c r="DDC81" s="594"/>
      <c r="DDD81" s="594"/>
      <c r="DDE81" s="594"/>
      <c r="DDF81" s="594"/>
      <c r="DDG81" s="594"/>
      <c r="DDH81" s="594"/>
      <c r="DDI81" s="594"/>
      <c r="DDJ81" s="594"/>
      <c r="DDK81" s="594"/>
      <c r="DDL81" s="594"/>
      <c r="DDM81" s="594"/>
      <c r="DDN81" s="594"/>
      <c r="DDO81" s="594"/>
      <c r="DDP81" s="594"/>
      <c r="DDQ81" s="594"/>
      <c r="DDR81" s="594"/>
      <c r="DDS81" s="594"/>
      <c r="DDT81" s="594"/>
      <c r="DDU81" s="594"/>
      <c r="DDV81" s="594"/>
      <c r="DDW81" s="594"/>
      <c r="DDX81" s="594"/>
      <c r="DDY81" s="594"/>
      <c r="DDZ81" s="594"/>
      <c r="DEA81" s="594"/>
      <c r="DEB81" s="594"/>
      <c r="DEC81" s="594"/>
      <c r="DED81" s="594"/>
      <c r="DEE81" s="594"/>
      <c r="DEF81" s="594"/>
      <c r="DEG81" s="594"/>
      <c r="DEH81" s="594"/>
      <c r="DEI81" s="594"/>
      <c r="DEJ81" s="594"/>
      <c r="DEK81" s="594"/>
      <c r="DEL81" s="594"/>
      <c r="DEM81" s="594"/>
      <c r="DEN81" s="594"/>
      <c r="DEO81" s="594"/>
      <c r="DEP81" s="594"/>
      <c r="DEQ81" s="594"/>
      <c r="DER81" s="594"/>
      <c r="DES81" s="594"/>
      <c r="DET81" s="594"/>
      <c r="DEU81" s="594"/>
      <c r="DEV81" s="594"/>
      <c r="DEW81" s="594"/>
      <c r="DEX81" s="594"/>
      <c r="DEY81" s="594"/>
      <c r="DEZ81" s="594"/>
      <c r="DFA81" s="594"/>
      <c r="DFB81" s="594"/>
      <c r="DFC81" s="594"/>
      <c r="DFD81" s="594"/>
      <c r="DFE81" s="594"/>
      <c r="DFF81" s="594"/>
      <c r="DFG81" s="594"/>
      <c r="DFH81" s="594"/>
      <c r="DFI81" s="594"/>
      <c r="DFJ81" s="594"/>
      <c r="DFK81" s="594"/>
      <c r="DFL81" s="594"/>
      <c r="DFM81" s="594"/>
      <c r="DFN81" s="594"/>
      <c r="DFO81" s="594"/>
      <c r="DFP81" s="594"/>
      <c r="DFQ81" s="594"/>
      <c r="DFR81" s="594"/>
      <c r="DFS81" s="594"/>
      <c r="DFT81" s="594"/>
      <c r="DFU81" s="594"/>
      <c r="DFV81" s="594"/>
      <c r="DFW81" s="594"/>
      <c r="DFX81" s="594"/>
      <c r="DFY81" s="594"/>
      <c r="DFZ81" s="594"/>
      <c r="DGA81" s="594"/>
      <c r="DGB81" s="594"/>
      <c r="DGC81" s="594"/>
      <c r="DGD81" s="594"/>
      <c r="DGE81" s="594"/>
      <c r="DGF81" s="594"/>
      <c r="DGG81" s="594"/>
      <c r="DGH81" s="594"/>
      <c r="DGI81" s="594"/>
      <c r="DGJ81" s="594"/>
      <c r="DGK81" s="594"/>
      <c r="DGL81" s="594"/>
      <c r="DGM81" s="594"/>
      <c r="DGN81" s="594"/>
      <c r="DGO81" s="594"/>
      <c r="DGP81" s="594"/>
      <c r="DGQ81" s="594"/>
      <c r="DGR81" s="594"/>
      <c r="DGS81" s="594"/>
      <c r="DGT81" s="594"/>
      <c r="DGU81" s="594"/>
      <c r="DGV81" s="594"/>
      <c r="DGW81" s="594"/>
      <c r="DGX81" s="594"/>
      <c r="DGY81" s="594"/>
      <c r="DGZ81" s="594"/>
      <c r="DHA81" s="594"/>
      <c r="DHB81" s="594"/>
      <c r="DHC81" s="594"/>
      <c r="DHD81" s="594"/>
      <c r="DHE81" s="594"/>
      <c r="DHF81" s="594"/>
      <c r="DHG81" s="594"/>
      <c r="DHH81" s="594"/>
      <c r="DHI81" s="594"/>
      <c r="DHJ81" s="594"/>
      <c r="DHK81" s="594"/>
      <c r="DHL81" s="594"/>
      <c r="DHM81" s="594"/>
      <c r="DHN81" s="594"/>
      <c r="DHO81" s="594"/>
      <c r="DHP81" s="594"/>
      <c r="DHQ81" s="594"/>
      <c r="DHR81" s="594"/>
      <c r="DHS81" s="594"/>
      <c r="DHT81" s="594"/>
      <c r="DHU81" s="594"/>
      <c r="DHV81" s="594"/>
      <c r="DHW81" s="594"/>
      <c r="DHX81" s="594"/>
      <c r="DHY81" s="594"/>
      <c r="DHZ81" s="594"/>
      <c r="DIA81" s="594"/>
      <c r="DIB81" s="594"/>
      <c r="DIC81" s="594"/>
      <c r="DID81" s="594"/>
      <c r="DIE81" s="594"/>
      <c r="DIF81" s="594"/>
      <c r="DIG81" s="594"/>
      <c r="DIH81" s="594"/>
      <c r="DII81" s="594"/>
      <c r="DIJ81" s="594"/>
      <c r="DIK81" s="594"/>
      <c r="DIL81" s="594"/>
      <c r="DIM81" s="594"/>
      <c r="DIN81" s="594"/>
      <c r="DIO81" s="594"/>
      <c r="DIP81" s="594"/>
      <c r="DIQ81" s="594"/>
      <c r="DIR81" s="594"/>
      <c r="DIS81" s="594"/>
      <c r="DIT81" s="594"/>
      <c r="DIU81" s="594"/>
      <c r="DIV81" s="594"/>
      <c r="DIW81" s="594"/>
      <c r="DIX81" s="594"/>
      <c r="DIY81" s="594"/>
      <c r="DIZ81" s="594"/>
      <c r="DJA81" s="594"/>
      <c r="DJB81" s="594"/>
      <c r="DJC81" s="594"/>
      <c r="DJD81" s="594"/>
      <c r="DJE81" s="594"/>
      <c r="DJF81" s="594"/>
      <c r="DJG81" s="594"/>
      <c r="DJH81" s="594"/>
      <c r="DJI81" s="594"/>
      <c r="DJJ81" s="594"/>
      <c r="DJK81" s="594"/>
      <c r="DJL81" s="594"/>
      <c r="DJM81" s="594"/>
      <c r="DJN81" s="594"/>
      <c r="DJO81" s="594"/>
      <c r="DJP81" s="594"/>
      <c r="DJQ81" s="594"/>
      <c r="DJR81" s="594"/>
      <c r="DJS81" s="594"/>
      <c r="DJT81" s="594"/>
      <c r="DJU81" s="594"/>
      <c r="DJV81" s="594"/>
      <c r="DJW81" s="594"/>
      <c r="DJX81" s="594"/>
      <c r="DJY81" s="594"/>
      <c r="DJZ81" s="594"/>
      <c r="DKA81" s="594"/>
      <c r="DKB81" s="594"/>
      <c r="DKC81" s="594"/>
      <c r="DKD81" s="594"/>
      <c r="DKE81" s="594"/>
      <c r="DKF81" s="594"/>
      <c r="DKG81" s="594"/>
      <c r="DKH81" s="594"/>
      <c r="DKI81" s="594"/>
      <c r="DKJ81" s="594"/>
      <c r="DKK81" s="594"/>
      <c r="DKL81" s="594"/>
      <c r="DKM81" s="594"/>
      <c r="DKN81" s="594"/>
      <c r="DKO81" s="594"/>
      <c r="DKP81" s="594"/>
      <c r="DKQ81" s="594"/>
      <c r="DKR81" s="594"/>
      <c r="DKS81" s="594"/>
      <c r="DKT81" s="594"/>
      <c r="DKU81" s="594"/>
      <c r="DKV81" s="594"/>
      <c r="DKW81" s="594"/>
      <c r="DKX81" s="594"/>
      <c r="DKY81" s="594"/>
      <c r="DKZ81" s="594"/>
      <c r="DLA81" s="594"/>
      <c r="DLB81" s="594"/>
      <c r="DLC81" s="594"/>
      <c r="DLD81" s="594"/>
      <c r="DLE81" s="594"/>
      <c r="DLF81" s="594"/>
      <c r="DLG81" s="594"/>
      <c r="DLH81" s="594"/>
      <c r="DLI81" s="594"/>
      <c r="DLJ81" s="594"/>
      <c r="DLK81" s="594"/>
      <c r="DLL81" s="594"/>
      <c r="DLM81" s="594"/>
      <c r="DLN81" s="594"/>
      <c r="DLO81" s="594"/>
      <c r="DLP81" s="594"/>
      <c r="DLQ81" s="594"/>
      <c r="DLR81" s="594"/>
      <c r="DLS81" s="594"/>
      <c r="DLT81" s="594"/>
      <c r="DLU81" s="594"/>
      <c r="DLV81" s="594"/>
      <c r="DLW81" s="594"/>
      <c r="DLX81" s="594"/>
      <c r="DLY81" s="594"/>
      <c r="DLZ81" s="594"/>
      <c r="DMA81" s="594"/>
      <c r="DMB81" s="594"/>
      <c r="DMC81" s="594"/>
      <c r="DMD81" s="594"/>
      <c r="DME81" s="594"/>
      <c r="DMF81" s="594"/>
      <c r="DMG81" s="594"/>
      <c r="DMH81" s="594"/>
      <c r="DMI81" s="594"/>
      <c r="DMJ81" s="594"/>
      <c r="DMK81" s="594"/>
      <c r="DML81" s="594"/>
      <c r="DMM81" s="594"/>
      <c r="DMN81" s="594"/>
      <c r="DMO81" s="594"/>
      <c r="DMP81" s="594"/>
      <c r="DMQ81" s="594"/>
      <c r="DMR81" s="594"/>
      <c r="DMS81" s="594"/>
      <c r="DMT81" s="594"/>
      <c r="DMU81" s="594"/>
      <c r="DMV81" s="594"/>
      <c r="DMW81" s="594"/>
      <c r="DMX81" s="594"/>
      <c r="DMY81" s="594"/>
      <c r="DMZ81" s="594"/>
      <c r="DNA81" s="594"/>
      <c r="DNB81" s="594"/>
      <c r="DNC81" s="594"/>
      <c r="DND81" s="594"/>
      <c r="DNE81" s="594"/>
      <c r="DNF81" s="594"/>
      <c r="DNG81" s="594"/>
      <c r="DNH81" s="594"/>
      <c r="DNI81" s="594"/>
      <c r="DNJ81" s="594"/>
      <c r="DNK81" s="594"/>
      <c r="DNL81" s="594"/>
      <c r="DNM81" s="594"/>
      <c r="DNN81" s="594"/>
      <c r="DNO81" s="594"/>
      <c r="DNP81" s="594"/>
      <c r="DNQ81" s="594"/>
      <c r="DNR81" s="594"/>
      <c r="DNS81" s="594"/>
      <c r="DNT81" s="594"/>
      <c r="DNU81" s="594"/>
      <c r="DNV81" s="594"/>
      <c r="DNW81" s="594"/>
      <c r="DNX81" s="594"/>
      <c r="DNY81" s="594"/>
      <c r="DNZ81" s="594"/>
      <c r="DOA81" s="594"/>
      <c r="DOB81" s="594"/>
      <c r="DOC81" s="594"/>
      <c r="DOD81" s="594"/>
      <c r="DOE81" s="594"/>
      <c r="DOF81" s="594"/>
      <c r="DOG81" s="594"/>
      <c r="DOH81" s="594"/>
      <c r="DOI81" s="594"/>
      <c r="DOJ81" s="594"/>
      <c r="DOK81" s="594"/>
      <c r="DOL81" s="594"/>
      <c r="DOM81" s="594"/>
      <c r="DON81" s="594"/>
      <c r="DOO81" s="594"/>
      <c r="DOP81" s="594"/>
      <c r="DOQ81" s="594"/>
      <c r="DOR81" s="594"/>
      <c r="DOS81" s="594"/>
      <c r="DOT81" s="594"/>
      <c r="DOU81" s="594"/>
      <c r="DOV81" s="594"/>
      <c r="DOW81" s="594"/>
      <c r="DOX81" s="594"/>
      <c r="DOY81" s="594"/>
      <c r="DOZ81" s="594"/>
      <c r="DPA81" s="594"/>
      <c r="DPB81" s="594"/>
      <c r="DPC81" s="594"/>
      <c r="DPD81" s="594"/>
      <c r="DPE81" s="594"/>
      <c r="DPF81" s="594"/>
      <c r="DPG81" s="594"/>
      <c r="DPH81" s="594"/>
      <c r="DPI81" s="594"/>
      <c r="DPJ81" s="594"/>
      <c r="DPK81" s="594"/>
      <c r="DPL81" s="594"/>
      <c r="DPM81" s="594"/>
      <c r="DPN81" s="594"/>
      <c r="DPO81" s="594"/>
      <c r="DPP81" s="594"/>
      <c r="DPQ81" s="594"/>
      <c r="DPR81" s="594"/>
      <c r="DPS81" s="594"/>
      <c r="DPT81" s="594"/>
      <c r="DPU81" s="594"/>
      <c r="DPV81" s="594"/>
      <c r="DPW81" s="594"/>
      <c r="DPX81" s="594"/>
      <c r="DPY81" s="594"/>
      <c r="DPZ81" s="594"/>
      <c r="DQA81" s="594"/>
      <c r="DQB81" s="594"/>
      <c r="DQC81" s="594"/>
      <c r="DQD81" s="594"/>
      <c r="DQE81" s="594"/>
      <c r="DQF81" s="594"/>
      <c r="DQG81" s="594"/>
      <c r="DQH81" s="594"/>
      <c r="DQI81" s="594"/>
      <c r="DQJ81" s="594"/>
      <c r="DQK81" s="594"/>
      <c r="DQL81" s="594"/>
      <c r="DQM81" s="594"/>
      <c r="DQN81" s="594"/>
      <c r="DQO81" s="594"/>
      <c r="DQP81" s="594"/>
      <c r="DQQ81" s="594"/>
      <c r="DQR81" s="594"/>
      <c r="DQS81" s="594"/>
      <c r="DQT81" s="594"/>
      <c r="DQU81" s="594"/>
      <c r="DQV81" s="594"/>
      <c r="DQW81" s="594"/>
      <c r="DQX81" s="594"/>
      <c r="DQY81" s="594"/>
      <c r="DQZ81" s="594"/>
      <c r="DRA81" s="594"/>
      <c r="DRB81" s="594"/>
      <c r="DRC81" s="594"/>
      <c r="DRD81" s="594"/>
      <c r="DRE81" s="594"/>
      <c r="DRF81" s="594"/>
      <c r="DRG81" s="594"/>
      <c r="DRH81" s="594"/>
      <c r="DRI81" s="594"/>
      <c r="DRJ81" s="594"/>
      <c r="DRK81" s="594"/>
      <c r="DRL81" s="594"/>
      <c r="DRM81" s="594"/>
      <c r="DRN81" s="594"/>
      <c r="DRO81" s="594"/>
      <c r="DRP81" s="594"/>
      <c r="DRQ81" s="594"/>
      <c r="DRR81" s="594"/>
      <c r="DRS81" s="594"/>
      <c r="DRT81" s="594"/>
      <c r="DRU81" s="594"/>
      <c r="DRV81" s="594"/>
      <c r="DRW81" s="594"/>
      <c r="DRX81" s="594"/>
      <c r="DRY81" s="594"/>
      <c r="DRZ81" s="594"/>
      <c r="DSA81" s="594"/>
      <c r="DSB81" s="594"/>
      <c r="DSC81" s="594"/>
      <c r="DSD81" s="594"/>
      <c r="DSE81" s="594"/>
      <c r="DSF81" s="594"/>
      <c r="DSG81" s="594"/>
      <c r="DSH81" s="594"/>
      <c r="DSI81" s="594"/>
      <c r="DSJ81" s="594"/>
      <c r="DSK81" s="594"/>
      <c r="DSL81" s="594"/>
      <c r="DSM81" s="594"/>
      <c r="DSN81" s="594"/>
      <c r="DSO81" s="594"/>
      <c r="DSP81" s="594"/>
      <c r="DSQ81" s="594"/>
      <c r="DSR81" s="594"/>
      <c r="DSS81" s="594"/>
      <c r="DST81" s="594"/>
      <c r="DSU81" s="594"/>
      <c r="DSV81" s="594"/>
      <c r="DSW81" s="594"/>
      <c r="DSX81" s="594"/>
      <c r="DSY81" s="594"/>
      <c r="DSZ81" s="594"/>
      <c r="DTA81" s="594"/>
      <c r="DTB81" s="594"/>
      <c r="DTC81" s="594"/>
      <c r="DTD81" s="594"/>
      <c r="DTE81" s="594"/>
      <c r="DTF81" s="594"/>
      <c r="DTG81" s="594"/>
      <c r="DTH81" s="594"/>
      <c r="DTI81" s="594"/>
      <c r="DTJ81" s="594"/>
      <c r="DTK81" s="594"/>
      <c r="DTL81" s="594"/>
      <c r="DTM81" s="594"/>
      <c r="DTN81" s="594"/>
      <c r="DTO81" s="594"/>
      <c r="DTP81" s="594"/>
      <c r="DTQ81" s="594"/>
      <c r="DTR81" s="594"/>
      <c r="DTS81" s="594"/>
      <c r="DTT81" s="594"/>
      <c r="DTU81" s="594"/>
      <c r="DTV81" s="594"/>
      <c r="DTW81" s="594"/>
      <c r="DTX81" s="594"/>
      <c r="DTY81" s="594"/>
      <c r="DTZ81" s="594"/>
      <c r="DUA81" s="594"/>
      <c r="DUB81" s="594"/>
      <c r="DUC81" s="594"/>
      <c r="DUD81" s="594"/>
      <c r="DUE81" s="594"/>
      <c r="DUF81" s="594"/>
      <c r="DUG81" s="594"/>
      <c r="DUH81" s="594"/>
      <c r="DUI81" s="594"/>
      <c r="DUJ81" s="594"/>
      <c r="DUK81" s="594"/>
      <c r="DUL81" s="594"/>
      <c r="DUM81" s="594"/>
      <c r="DUN81" s="594"/>
      <c r="DUO81" s="594"/>
      <c r="DUP81" s="594"/>
      <c r="DUQ81" s="594"/>
      <c r="DUR81" s="594"/>
      <c r="DUS81" s="594"/>
      <c r="DUT81" s="594"/>
      <c r="DUU81" s="594"/>
      <c r="DUV81" s="594"/>
      <c r="DUW81" s="594"/>
      <c r="DUX81" s="594"/>
      <c r="DUY81" s="594"/>
      <c r="DUZ81" s="594"/>
      <c r="DVA81" s="594"/>
      <c r="DVB81" s="594"/>
      <c r="DVC81" s="594"/>
      <c r="DVD81" s="594"/>
      <c r="DVE81" s="594"/>
      <c r="DVF81" s="594"/>
      <c r="DVG81" s="594"/>
      <c r="DVH81" s="594"/>
      <c r="DVI81" s="594"/>
      <c r="DVJ81" s="594"/>
      <c r="DVK81" s="594"/>
      <c r="DVL81" s="594"/>
      <c r="DVM81" s="594"/>
      <c r="DVN81" s="594"/>
      <c r="DVO81" s="594"/>
      <c r="DVP81" s="594"/>
      <c r="DVQ81" s="594"/>
      <c r="DVR81" s="594"/>
      <c r="DVS81" s="594"/>
      <c r="DVT81" s="594"/>
      <c r="DVU81" s="594"/>
      <c r="DVV81" s="594"/>
      <c r="DVW81" s="594"/>
      <c r="DVX81" s="594"/>
      <c r="DVY81" s="594"/>
      <c r="DVZ81" s="594"/>
      <c r="DWA81" s="594"/>
      <c r="DWB81" s="594"/>
      <c r="DWC81" s="594"/>
      <c r="DWD81" s="594"/>
      <c r="DWE81" s="594"/>
      <c r="DWF81" s="594"/>
      <c r="DWG81" s="594"/>
      <c r="DWH81" s="594"/>
      <c r="DWI81" s="594"/>
      <c r="DWJ81" s="594"/>
      <c r="DWK81" s="594"/>
      <c r="DWL81" s="594"/>
      <c r="DWM81" s="594"/>
      <c r="DWN81" s="594"/>
      <c r="DWO81" s="594"/>
      <c r="DWP81" s="594"/>
      <c r="DWQ81" s="594"/>
      <c r="DWR81" s="594"/>
      <c r="DWS81" s="594"/>
      <c r="DWT81" s="594"/>
      <c r="DWU81" s="594"/>
      <c r="DWV81" s="594"/>
      <c r="DWW81" s="594"/>
      <c r="DWX81" s="594"/>
      <c r="DWY81" s="594"/>
      <c r="DWZ81" s="594"/>
      <c r="DXA81" s="594"/>
      <c r="DXB81" s="594"/>
      <c r="DXC81" s="594"/>
      <c r="DXD81" s="594"/>
      <c r="DXE81" s="594"/>
      <c r="DXF81" s="594"/>
      <c r="DXG81" s="594"/>
      <c r="DXH81" s="594"/>
      <c r="DXI81" s="594"/>
      <c r="DXJ81" s="594"/>
      <c r="DXK81" s="594"/>
      <c r="DXL81" s="594"/>
      <c r="DXM81" s="594"/>
      <c r="DXN81" s="594"/>
      <c r="DXO81" s="594"/>
      <c r="DXP81" s="594"/>
      <c r="DXQ81" s="594"/>
      <c r="DXR81" s="594"/>
      <c r="DXS81" s="594"/>
      <c r="DXT81" s="594"/>
      <c r="DXU81" s="594"/>
      <c r="DXV81" s="594"/>
      <c r="DXW81" s="594"/>
      <c r="DXX81" s="594"/>
      <c r="DXY81" s="594"/>
      <c r="DXZ81" s="594"/>
      <c r="DYA81" s="594"/>
      <c r="DYB81" s="594"/>
      <c r="DYC81" s="594"/>
      <c r="DYD81" s="594"/>
      <c r="DYE81" s="594"/>
      <c r="DYF81" s="594"/>
      <c r="DYG81" s="594"/>
      <c r="DYH81" s="594"/>
      <c r="DYI81" s="594"/>
      <c r="DYJ81" s="594"/>
      <c r="DYK81" s="594"/>
      <c r="DYL81" s="594"/>
      <c r="DYM81" s="594"/>
      <c r="DYN81" s="594"/>
      <c r="DYO81" s="594"/>
      <c r="DYP81" s="594"/>
      <c r="DYQ81" s="594"/>
      <c r="DYR81" s="594"/>
      <c r="DYS81" s="594"/>
      <c r="DYT81" s="594"/>
      <c r="DYU81" s="594"/>
      <c r="DYV81" s="594"/>
      <c r="DYW81" s="594"/>
      <c r="DYX81" s="594"/>
      <c r="DYY81" s="594"/>
      <c r="DYZ81" s="594"/>
      <c r="DZA81" s="594"/>
      <c r="DZB81" s="594"/>
      <c r="DZC81" s="594"/>
      <c r="DZD81" s="594"/>
      <c r="DZE81" s="594"/>
      <c r="DZF81" s="594"/>
      <c r="DZG81" s="594"/>
      <c r="DZH81" s="594"/>
      <c r="DZI81" s="594"/>
      <c r="DZJ81" s="594"/>
      <c r="DZK81" s="594"/>
      <c r="DZL81" s="594"/>
      <c r="DZM81" s="594"/>
      <c r="DZN81" s="594"/>
      <c r="DZO81" s="594"/>
      <c r="DZP81" s="594"/>
      <c r="DZQ81" s="594"/>
      <c r="DZR81" s="594"/>
      <c r="DZS81" s="594"/>
      <c r="DZT81" s="594"/>
      <c r="DZU81" s="594"/>
      <c r="DZV81" s="594"/>
      <c r="DZW81" s="594"/>
      <c r="DZX81" s="594"/>
      <c r="DZY81" s="594"/>
      <c r="DZZ81" s="594"/>
      <c r="EAA81" s="594"/>
      <c r="EAB81" s="594"/>
      <c r="EAC81" s="594"/>
      <c r="EAD81" s="594"/>
      <c r="EAE81" s="594"/>
      <c r="EAF81" s="594"/>
      <c r="EAG81" s="594"/>
      <c r="EAH81" s="594"/>
      <c r="EAI81" s="594"/>
      <c r="EAJ81" s="594"/>
      <c r="EAK81" s="594"/>
      <c r="EAL81" s="594"/>
      <c r="EAM81" s="594"/>
      <c r="EAN81" s="594"/>
      <c r="EAO81" s="594"/>
      <c r="EAP81" s="594"/>
      <c r="EAQ81" s="594"/>
      <c r="EAR81" s="594"/>
      <c r="EAS81" s="594"/>
      <c r="EAT81" s="594"/>
      <c r="EAU81" s="594"/>
      <c r="EAV81" s="594"/>
      <c r="EAW81" s="594"/>
      <c r="EAX81" s="594"/>
      <c r="EAY81" s="594"/>
      <c r="EAZ81" s="594"/>
      <c r="EBA81" s="594"/>
      <c r="EBB81" s="594"/>
      <c r="EBC81" s="594"/>
      <c r="EBD81" s="594"/>
      <c r="EBE81" s="594"/>
      <c r="EBF81" s="594"/>
      <c r="EBG81" s="594"/>
      <c r="EBH81" s="594"/>
      <c r="EBI81" s="594"/>
      <c r="EBJ81" s="594"/>
      <c r="EBK81" s="594"/>
      <c r="EBL81" s="594"/>
      <c r="EBM81" s="594"/>
      <c r="EBN81" s="594"/>
      <c r="EBO81" s="594"/>
      <c r="EBP81" s="594"/>
      <c r="EBQ81" s="594"/>
      <c r="EBR81" s="594"/>
      <c r="EBS81" s="594"/>
      <c r="EBT81" s="594"/>
      <c r="EBU81" s="594"/>
      <c r="EBV81" s="594"/>
      <c r="EBW81" s="594"/>
      <c r="EBX81" s="594"/>
      <c r="EBY81" s="594"/>
      <c r="EBZ81" s="594"/>
      <c r="ECA81" s="594"/>
      <c r="ECB81" s="594"/>
      <c r="ECC81" s="594"/>
      <c r="ECD81" s="594"/>
      <c r="ECE81" s="594"/>
      <c r="ECF81" s="594"/>
      <c r="ECG81" s="594"/>
      <c r="ECH81" s="594"/>
      <c r="ECI81" s="594"/>
      <c r="ECJ81" s="594"/>
      <c r="ECK81" s="594"/>
      <c r="ECL81" s="594"/>
      <c r="ECM81" s="594"/>
      <c r="ECN81" s="594"/>
      <c r="ECO81" s="594"/>
      <c r="ECP81" s="594"/>
      <c r="ECQ81" s="594"/>
      <c r="ECR81" s="594"/>
      <c r="ECS81" s="594"/>
      <c r="ECT81" s="594"/>
      <c r="ECU81" s="594"/>
      <c r="ECV81" s="594"/>
      <c r="ECW81" s="594"/>
      <c r="ECX81" s="594"/>
      <c r="ECY81" s="594"/>
      <c r="ECZ81" s="594"/>
      <c r="EDA81" s="594"/>
      <c r="EDB81" s="594"/>
      <c r="EDC81" s="594"/>
      <c r="EDD81" s="594"/>
      <c r="EDE81" s="594"/>
      <c r="EDF81" s="594"/>
      <c r="EDG81" s="594"/>
      <c r="EDH81" s="594"/>
      <c r="EDI81" s="594"/>
      <c r="EDJ81" s="594"/>
      <c r="EDK81" s="594"/>
      <c r="EDL81" s="594"/>
      <c r="EDM81" s="594"/>
      <c r="EDN81" s="594"/>
      <c r="EDO81" s="594"/>
      <c r="EDP81" s="594"/>
      <c r="EDQ81" s="594"/>
      <c r="EDR81" s="594"/>
      <c r="EDS81" s="594"/>
      <c r="EDT81" s="594"/>
      <c r="EDU81" s="594"/>
      <c r="EDV81" s="594"/>
      <c r="EDW81" s="594"/>
      <c r="EDX81" s="594"/>
      <c r="EDY81" s="594"/>
      <c r="EDZ81" s="594"/>
      <c r="EEA81" s="594"/>
      <c r="EEB81" s="594"/>
      <c r="EEC81" s="594"/>
      <c r="EED81" s="594"/>
      <c r="EEE81" s="594"/>
      <c r="EEF81" s="594"/>
      <c r="EEG81" s="594"/>
      <c r="EEH81" s="594"/>
      <c r="EEI81" s="594"/>
      <c r="EEJ81" s="594"/>
      <c r="EEK81" s="594"/>
      <c r="EEL81" s="594"/>
      <c r="EEM81" s="594"/>
      <c r="EEN81" s="594"/>
      <c r="EEO81" s="594"/>
      <c r="EEP81" s="594"/>
      <c r="EEQ81" s="594"/>
      <c r="EER81" s="594"/>
      <c r="EES81" s="594"/>
      <c r="EET81" s="594"/>
      <c r="EEU81" s="594"/>
      <c r="EEV81" s="594"/>
      <c r="EEW81" s="594"/>
      <c r="EEX81" s="594"/>
      <c r="EEY81" s="594"/>
      <c r="EEZ81" s="594"/>
      <c r="EFA81" s="594"/>
      <c r="EFB81" s="594"/>
      <c r="EFC81" s="594"/>
      <c r="EFD81" s="594"/>
      <c r="EFE81" s="594"/>
      <c r="EFF81" s="594"/>
      <c r="EFG81" s="594"/>
      <c r="EFH81" s="594"/>
      <c r="EFI81" s="594"/>
      <c r="EFJ81" s="594"/>
      <c r="EFK81" s="594"/>
      <c r="EFL81" s="594"/>
      <c r="EFM81" s="594"/>
      <c r="EFN81" s="594"/>
      <c r="EFO81" s="594"/>
      <c r="EFP81" s="594"/>
      <c r="EFQ81" s="594"/>
      <c r="EFR81" s="594"/>
      <c r="EFS81" s="594"/>
      <c r="EFT81" s="594"/>
      <c r="EFU81" s="594"/>
      <c r="EFV81" s="594"/>
      <c r="EFW81" s="594"/>
      <c r="EFX81" s="594"/>
      <c r="EFY81" s="594"/>
      <c r="EFZ81" s="594"/>
      <c r="EGA81" s="594"/>
      <c r="EGB81" s="594"/>
      <c r="EGC81" s="594"/>
      <c r="EGD81" s="594"/>
      <c r="EGE81" s="594"/>
      <c r="EGF81" s="594"/>
      <c r="EGG81" s="594"/>
      <c r="EGH81" s="594"/>
      <c r="EGI81" s="594"/>
      <c r="EGJ81" s="594"/>
      <c r="EGK81" s="594"/>
      <c r="EGL81" s="594"/>
      <c r="EGM81" s="594"/>
      <c r="EGN81" s="594"/>
      <c r="EGO81" s="594"/>
      <c r="EGP81" s="594"/>
      <c r="EGQ81" s="594"/>
      <c r="EGR81" s="594"/>
      <c r="EGS81" s="594"/>
      <c r="EGT81" s="594"/>
      <c r="EGU81" s="594"/>
      <c r="EGV81" s="594"/>
      <c r="EGW81" s="594"/>
      <c r="EGX81" s="594"/>
      <c r="EGY81" s="594"/>
      <c r="EGZ81" s="594"/>
      <c r="EHA81" s="594"/>
      <c r="EHB81" s="594"/>
      <c r="EHC81" s="594"/>
      <c r="EHD81" s="594"/>
      <c r="EHE81" s="594"/>
      <c r="EHF81" s="594"/>
      <c r="EHG81" s="594"/>
      <c r="EHH81" s="594"/>
      <c r="EHI81" s="594"/>
      <c r="EHJ81" s="594"/>
      <c r="EHK81" s="594"/>
      <c r="EHL81" s="594"/>
      <c r="EHM81" s="594"/>
      <c r="EHN81" s="594"/>
      <c r="EHO81" s="594"/>
      <c r="EHP81" s="594"/>
      <c r="EHQ81" s="594"/>
      <c r="EHR81" s="594"/>
      <c r="EHS81" s="594"/>
      <c r="EHT81" s="594"/>
      <c r="EHU81" s="594"/>
      <c r="EHV81" s="594"/>
      <c r="EHW81" s="594"/>
      <c r="EHX81" s="594"/>
      <c r="EHY81" s="594"/>
      <c r="EHZ81" s="594"/>
      <c r="EIA81" s="594"/>
      <c r="EIB81" s="594"/>
      <c r="EIC81" s="594"/>
      <c r="EID81" s="594"/>
      <c r="EIE81" s="594"/>
      <c r="EIF81" s="594"/>
      <c r="EIG81" s="594"/>
      <c r="EIH81" s="594"/>
      <c r="EII81" s="594"/>
      <c r="EIJ81" s="594"/>
      <c r="EIK81" s="594"/>
      <c r="EIL81" s="594"/>
      <c r="EIM81" s="594"/>
      <c r="EIN81" s="594"/>
      <c r="EIO81" s="594"/>
      <c r="EIP81" s="594"/>
      <c r="EIQ81" s="594"/>
      <c r="EIR81" s="594"/>
      <c r="EIS81" s="594"/>
      <c r="EIT81" s="594"/>
      <c r="EIU81" s="594"/>
      <c r="EIV81" s="594"/>
      <c r="EIW81" s="594"/>
      <c r="EIX81" s="594"/>
      <c r="EIY81" s="594"/>
      <c r="EIZ81" s="594"/>
      <c r="EJA81" s="594"/>
      <c r="EJB81" s="594"/>
      <c r="EJC81" s="594"/>
      <c r="EJD81" s="594"/>
      <c r="EJE81" s="594"/>
      <c r="EJF81" s="594"/>
      <c r="EJG81" s="594"/>
      <c r="EJH81" s="594"/>
      <c r="EJI81" s="594"/>
      <c r="EJJ81" s="594"/>
      <c r="EJK81" s="594"/>
      <c r="EJL81" s="594"/>
      <c r="EJM81" s="594"/>
      <c r="EJN81" s="594"/>
      <c r="EJO81" s="594"/>
      <c r="EJP81" s="594"/>
      <c r="EJQ81" s="594"/>
      <c r="EJR81" s="594"/>
      <c r="EJS81" s="594"/>
      <c r="EJT81" s="594"/>
      <c r="EJU81" s="594"/>
      <c r="EJV81" s="594"/>
      <c r="EJW81" s="594"/>
      <c r="EJX81" s="594"/>
      <c r="EJY81" s="594"/>
      <c r="EJZ81" s="594"/>
      <c r="EKA81" s="594"/>
      <c r="EKB81" s="594"/>
      <c r="EKC81" s="594"/>
      <c r="EKD81" s="594"/>
      <c r="EKE81" s="594"/>
      <c r="EKF81" s="594"/>
      <c r="EKG81" s="594"/>
      <c r="EKH81" s="594"/>
      <c r="EKI81" s="594"/>
      <c r="EKJ81" s="594"/>
      <c r="EKK81" s="594"/>
      <c r="EKL81" s="594"/>
      <c r="EKM81" s="594"/>
      <c r="EKN81" s="594"/>
      <c r="EKO81" s="594"/>
      <c r="EKP81" s="594"/>
      <c r="EKQ81" s="594"/>
      <c r="EKR81" s="594"/>
      <c r="EKS81" s="594"/>
      <c r="EKT81" s="594"/>
      <c r="EKU81" s="594"/>
      <c r="EKV81" s="594"/>
      <c r="EKW81" s="594"/>
      <c r="EKX81" s="594"/>
      <c r="EKY81" s="594"/>
      <c r="EKZ81" s="594"/>
      <c r="ELA81" s="594"/>
      <c r="ELB81" s="594"/>
      <c r="ELC81" s="594"/>
      <c r="ELD81" s="594"/>
      <c r="ELE81" s="594"/>
      <c r="ELF81" s="594"/>
      <c r="ELG81" s="594"/>
      <c r="ELH81" s="594"/>
      <c r="ELI81" s="594"/>
      <c r="ELJ81" s="594"/>
      <c r="ELK81" s="594"/>
      <c r="ELL81" s="594"/>
      <c r="ELM81" s="594"/>
      <c r="ELN81" s="594"/>
      <c r="ELO81" s="594"/>
      <c r="ELP81" s="594"/>
      <c r="ELQ81" s="594"/>
      <c r="ELR81" s="594"/>
      <c r="ELS81" s="594"/>
      <c r="ELT81" s="594"/>
      <c r="ELU81" s="594"/>
      <c r="ELV81" s="594"/>
      <c r="ELW81" s="594"/>
      <c r="ELX81" s="594"/>
      <c r="ELY81" s="594"/>
      <c r="ELZ81" s="594"/>
      <c r="EMA81" s="594"/>
      <c r="EMB81" s="594"/>
      <c r="EMC81" s="594"/>
      <c r="EMD81" s="594"/>
      <c r="EME81" s="594"/>
      <c r="EMF81" s="594"/>
      <c r="EMG81" s="594"/>
      <c r="EMH81" s="594"/>
      <c r="EMI81" s="594"/>
      <c r="EMJ81" s="594"/>
      <c r="EMK81" s="594"/>
      <c r="EML81" s="594"/>
      <c r="EMM81" s="594"/>
      <c r="EMN81" s="594"/>
      <c r="EMO81" s="594"/>
      <c r="EMP81" s="594"/>
      <c r="EMQ81" s="594"/>
      <c r="EMR81" s="594"/>
      <c r="EMS81" s="594"/>
      <c r="EMT81" s="594"/>
      <c r="EMU81" s="594"/>
      <c r="EMV81" s="594"/>
      <c r="EMW81" s="594"/>
      <c r="EMX81" s="594"/>
      <c r="EMY81" s="594"/>
      <c r="EMZ81" s="594"/>
      <c r="ENA81" s="594"/>
      <c r="ENB81" s="594"/>
      <c r="ENC81" s="594"/>
      <c r="END81" s="594"/>
      <c r="ENE81" s="594"/>
      <c r="ENF81" s="594"/>
      <c r="ENG81" s="594"/>
      <c r="ENH81" s="594"/>
      <c r="ENI81" s="594"/>
      <c r="ENJ81" s="594"/>
      <c r="ENK81" s="594"/>
      <c r="ENL81" s="594"/>
      <c r="ENM81" s="594"/>
      <c r="ENN81" s="594"/>
      <c r="ENO81" s="594"/>
      <c r="ENP81" s="594"/>
      <c r="ENQ81" s="594"/>
      <c r="ENR81" s="594"/>
      <c r="ENS81" s="594"/>
      <c r="ENT81" s="594"/>
      <c r="ENU81" s="594"/>
      <c r="ENV81" s="594"/>
      <c r="ENW81" s="594"/>
      <c r="ENX81" s="594"/>
      <c r="ENY81" s="594"/>
      <c r="ENZ81" s="594"/>
      <c r="EOA81" s="594"/>
      <c r="EOB81" s="594"/>
      <c r="EOC81" s="594"/>
      <c r="EOD81" s="594"/>
      <c r="EOE81" s="594"/>
      <c r="EOF81" s="594"/>
      <c r="EOG81" s="594"/>
      <c r="EOH81" s="594"/>
      <c r="EOI81" s="594"/>
      <c r="EOJ81" s="594"/>
      <c r="EOK81" s="594"/>
      <c r="EOL81" s="594"/>
      <c r="EOM81" s="594"/>
      <c r="EON81" s="594"/>
      <c r="EOO81" s="594"/>
      <c r="EOP81" s="594"/>
      <c r="EOQ81" s="594"/>
      <c r="EOR81" s="594"/>
      <c r="EOS81" s="594"/>
      <c r="EOT81" s="594"/>
      <c r="EOU81" s="594"/>
      <c r="EOV81" s="594"/>
      <c r="EOW81" s="594"/>
      <c r="EOX81" s="594"/>
      <c r="EOY81" s="594"/>
      <c r="EOZ81" s="594"/>
      <c r="EPA81" s="594"/>
      <c r="EPB81" s="594"/>
      <c r="EPC81" s="594"/>
      <c r="EPD81" s="594"/>
      <c r="EPE81" s="594"/>
      <c r="EPF81" s="594"/>
      <c r="EPG81" s="594"/>
      <c r="EPH81" s="594"/>
      <c r="EPI81" s="594"/>
      <c r="EPJ81" s="594"/>
      <c r="EPK81" s="594"/>
      <c r="EPL81" s="594"/>
      <c r="EPM81" s="594"/>
      <c r="EPN81" s="594"/>
      <c r="EPO81" s="594"/>
      <c r="EPP81" s="594"/>
      <c r="EPQ81" s="594"/>
      <c r="EPR81" s="594"/>
      <c r="EPS81" s="594"/>
      <c r="EPT81" s="594"/>
      <c r="EPU81" s="594"/>
      <c r="EPV81" s="594"/>
      <c r="EPW81" s="594"/>
      <c r="EPX81" s="594"/>
      <c r="EPY81" s="594"/>
      <c r="EPZ81" s="594"/>
      <c r="EQA81" s="594"/>
      <c r="EQB81" s="594"/>
      <c r="EQC81" s="594"/>
      <c r="EQD81" s="594"/>
      <c r="EQE81" s="594"/>
      <c r="EQF81" s="594"/>
      <c r="EQG81" s="594"/>
      <c r="EQH81" s="594"/>
      <c r="EQI81" s="594"/>
      <c r="EQJ81" s="594"/>
      <c r="EQK81" s="594"/>
      <c r="EQL81" s="594"/>
      <c r="EQM81" s="594"/>
      <c r="EQN81" s="594"/>
      <c r="EQO81" s="594"/>
      <c r="EQP81" s="594"/>
      <c r="EQQ81" s="594"/>
      <c r="EQR81" s="594"/>
      <c r="EQS81" s="594"/>
      <c r="EQT81" s="594"/>
      <c r="EQU81" s="594"/>
      <c r="EQV81" s="594"/>
      <c r="EQW81" s="594"/>
      <c r="EQX81" s="594"/>
      <c r="EQY81" s="594"/>
      <c r="EQZ81" s="594"/>
      <c r="ERA81" s="594"/>
      <c r="ERB81" s="594"/>
      <c r="ERC81" s="594"/>
      <c r="ERD81" s="594"/>
      <c r="ERE81" s="594"/>
      <c r="ERF81" s="594"/>
      <c r="ERG81" s="594"/>
      <c r="ERH81" s="594"/>
      <c r="ERI81" s="594"/>
      <c r="ERJ81" s="594"/>
      <c r="ERK81" s="594"/>
      <c r="ERL81" s="594"/>
      <c r="ERM81" s="594"/>
      <c r="ERN81" s="594"/>
      <c r="ERO81" s="594"/>
      <c r="ERP81" s="594"/>
      <c r="ERQ81" s="594"/>
      <c r="ERR81" s="594"/>
      <c r="ERS81" s="594"/>
      <c r="ERT81" s="594"/>
      <c r="ERU81" s="594"/>
      <c r="ERV81" s="594"/>
      <c r="ERW81" s="594"/>
      <c r="ERX81" s="594"/>
      <c r="ERY81" s="594"/>
      <c r="ERZ81" s="594"/>
      <c r="ESA81" s="594"/>
      <c r="ESB81" s="594"/>
      <c r="ESC81" s="594"/>
      <c r="ESD81" s="594"/>
      <c r="ESE81" s="594"/>
      <c r="ESF81" s="594"/>
      <c r="ESG81" s="594"/>
      <c r="ESH81" s="594"/>
      <c r="ESI81" s="594"/>
      <c r="ESJ81" s="594"/>
      <c r="ESK81" s="594"/>
      <c r="ESL81" s="594"/>
      <c r="ESM81" s="594"/>
      <c r="ESN81" s="594"/>
      <c r="ESO81" s="594"/>
      <c r="ESP81" s="594"/>
      <c r="ESQ81" s="594"/>
      <c r="ESR81" s="594"/>
      <c r="ESS81" s="594"/>
      <c r="EST81" s="594"/>
      <c r="ESU81" s="594"/>
      <c r="ESV81" s="594"/>
      <c r="ESW81" s="594"/>
      <c r="ESX81" s="594"/>
      <c r="ESY81" s="594"/>
      <c r="ESZ81" s="594"/>
      <c r="ETA81" s="594"/>
      <c r="ETB81" s="594"/>
      <c r="ETC81" s="594"/>
      <c r="ETD81" s="594"/>
      <c r="ETE81" s="594"/>
      <c r="ETF81" s="594"/>
      <c r="ETG81" s="594"/>
      <c r="ETH81" s="594"/>
      <c r="ETI81" s="594"/>
      <c r="ETJ81" s="594"/>
      <c r="ETK81" s="594"/>
      <c r="ETL81" s="594"/>
      <c r="ETM81" s="594"/>
      <c r="ETN81" s="594"/>
      <c r="ETO81" s="594"/>
      <c r="ETP81" s="594"/>
      <c r="ETQ81" s="594"/>
      <c r="ETR81" s="594"/>
      <c r="ETS81" s="594"/>
      <c r="ETT81" s="594"/>
      <c r="ETU81" s="594"/>
      <c r="ETV81" s="594"/>
      <c r="ETW81" s="594"/>
      <c r="ETX81" s="594"/>
      <c r="ETY81" s="594"/>
      <c r="ETZ81" s="594"/>
      <c r="EUA81" s="594"/>
      <c r="EUB81" s="594"/>
      <c r="EUC81" s="594"/>
      <c r="EUD81" s="594"/>
      <c r="EUE81" s="594"/>
      <c r="EUF81" s="594"/>
      <c r="EUG81" s="594"/>
      <c r="EUH81" s="594"/>
      <c r="EUI81" s="594"/>
      <c r="EUJ81" s="594"/>
      <c r="EUK81" s="594"/>
      <c r="EUL81" s="594"/>
      <c r="EUM81" s="594"/>
      <c r="EUN81" s="594"/>
      <c r="EUO81" s="594"/>
      <c r="EUP81" s="594"/>
      <c r="EUQ81" s="594"/>
      <c r="EUR81" s="594"/>
      <c r="EUS81" s="594"/>
      <c r="EUT81" s="594"/>
      <c r="EUU81" s="594"/>
      <c r="EUV81" s="594"/>
      <c r="EUW81" s="594"/>
      <c r="EUX81" s="594"/>
      <c r="EUY81" s="594"/>
      <c r="EUZ81" s="594"/>
      <c r="EVA81" s="594"/>
      <c r="EVB81" s="594"/>
      <c r="EVC81" s="594"/>
      <c r="EVD81" s="594"/>
      <c r="EVE81" s="594"/>
      <c r="EVF81" s="594"/>
      <c r="EVG81" s="594"/>
      <c r="EVH81" s="594"/>
      <c r="EVI81" s="594"/>
      <c r="EVJ81" s="594"/>
      <c r="EVK81" s="594"/>
      <c r="EVL81" s="594"/>
      <c r="EVM81" s="594"/>
      <c r="EVN81" s="594"/>
      <c r="EVO81" s="594"/>
      <c r="EVP81" s="594"/>
      <c r="EVQ81" s="594"/>
      <c r="EVR81" s="594"/>
      <c r="EVS81" s="594"/>
      <c r="EVT81" s="594"/>
      <c r="EVU81" s="594"/>
      <c r="EVV81" s="594"/>
      <c r="EVW81" s="594"/>
      <c r="EVX81" s="594"/>
      <c r="EVY81" s="594"/>
      <c r="EVZ81" s="594"/>
      <c r="EWA81" s="594"/>
      <c r="EWB81" s="594"/>
      <c r="EWC81" s="594"/>
      <c r="EWD81" s="594"/>
      <c r="EWE81" s="594"/>
      <c r="EWF81" s="594"/>
      <c r="EWG81" s="594"/>
      <c r="EWH81" s="594"/>
      <c r="EWI81" s="594"/>
      <c r="EWJ81" s="594"/>
      <c r="EWK81" s="594"/>
      <c r="EWL81" s="594"/>
      <c r="EWM81" s="594"/>
      <c r="EWN81" s="594"/>
      <c r="EWO81" s="594"/>
      <c r="EWP81" s="594"/>
      <c r="EWQ81" s="594"/>
      <c r="EWR81" s="594"/>
      <c r="EWS81" s="594"/>
      <c r="EWT81" s="594"/>
      <c r="EWU81" s="594"/>
      <c r="EWV81" s="594"/>
      <c r="EWW81" s="594"/>
      <c r="EWX81" s="594"/>
      <c r="EWY81" s="594"/>
      <c r="EWZ81" s="594"/>
      <c r="EXA81" s="594"/>
      <c r="EXB81" s="594"/>
      <c r="EXC81" s="594"/>
      <c r="EXD81" s="594"/>
      <c r="EXE81" s="594"/>
      <c r="EXF81" s="594"/>
      <c r="EXG81" s="594"/>
      <c r="EXH81" s="594"/>
      <c r="EXI81" s="594"/>
      <c r="EXJ81" s="594"/>
      <c r="EXK81" s="594"/>
      <c r="EXL81" s="594"/>
      <c r="EXM81" s="594"/>
      <c r="EXN81" s="594"/>
      <c r="EXO81" s="594"/>
      <c r="EXP81" s="594"/>
      <c r="EXQ81" s="594"/>
      <c r="EXR81" s="594"/>
      <c r="EXS81" s="594"/>
      <c r="EXT81" s="594"/>
      <c r="EXU81" s="594"/>
      <c r="EXV81" s="594"/>
      <c r="EXW81" s="594"/>
      <c r="EXX81" s="594"/>
      <c r="EXY81" s="594"/>
      <c r="EXZ81" s="594"/>
      <c r="EYA81" s="594"/>
      <c r="EYB81" s="594"/>
      <c r="EYC81" s="594"/>
      <c r="EYD81" s="594"/>
      <c r="EYE81" s="594"/>
      <c r="EYF81" s="594"/>
      <c r="EYG81" s="594"/>
      <c r="EYH81" s="594"/>
      <c r="EYI81" s="594"/>
      <c r="EYJ81" s="594"/>
      <c r="EYK81" s="594"/>
      <c r="EYL81" s="594"/>
      <c r="EYM81" s="594"/>
      <c r="EYN81" s="594"/>
      <c r="EYO81" s="594"/>
      <c r="EYP81" s="594"/>
      <c r="EYQ81" s="594"/>
      <c r="EYR81" s="594"/>
      <c r="EYS81" s="594"/>
      <c r="EYT81" s="594"/>
      <c r="EYU81" s="594"/>
      <c r="EYV81" s="594"/>
      <c r="EYW81" s="594"/>
      <c r="EYX81" s="594"/>
      <c r="EYY81" s="594"/>
      <c r="EYZ81" s="594"/>
      <c r="EZA81" s="594"/>
      <c r="EZB81" s="594"/>
      <c r="EZC81" s="594"/>
      <c r="EZD81" s="594"/>
      <c r="EZE81" s="594"/>
      <c r="EZF81" s="594"/>
      <c r="EZG81" s="594"/>
      <c r="EZH81" s="594"/>
      <c r="EZI81" s="594"/>
      <c r="EZJ81" s="594"/>
      <c r="EZK81" s="594"/>
      <c r="EZL81" s="594"/>
      <c r="EZM81" s="594"/>
      <c r="EZN81" s="594"/>
      <c r="EZO81" s="594"/>
      <c r="EZP81" s="594"/>
      <c r="EZQ81" s="594"/>
      <c r="EZR81" s="594"/>
      <c r="EZS81" s="594"/>
      <c r="EZT81" s="594"/>
      <c r="EZU81" s="594"/>
      <c r="EZV81" s="594"/>
      <c r="EZW81" s="594"/>
      <c r="EZX81" s="594"/>
      <c r="EZY81" s="594"/>
      <c r="EZZ81" s="594"/>
      <c r="FAA81" s="594"/>
      <c r="FAB81" s="594"/>
      <c r="FAC81" s="594"/>
      <c r="FAD81" s="594"/>
      <c r="FAE81" s="594"/>
      <c r="FAF81" s="594"/>
      <c r="FAG81" s="594"/>
      <c r="FAH81" s="594"/>
      <c r="FAI81" s="594"/>
      <c r="FAJ81" s="594"/>
      <c r="FAK81" s="594"/>
      <c r="FAL81" s="594"/>
      <c r="FAM81" s="594"/>
      <c r="FAN81" s="594"/>
      <c r="FAO81" s="594"/>
      <c r="FAP81" s="594"/>
      <c r="FAQ81" s="594"/>
      <c r="FAR81" s="594"/>
      <c r="FAS81" s="594"/>
      <c r="FAT81" s="594"/>
      <c r="FAU81" s="594"/>
      <c r="FAV81" s="594"/>
      <c r="FAW81" s="594"/>
      <c r="FAX81" s="594"/>
      <c r="FAY81" s="594"/>
      <c r="FAZ81" s="594"/>
      <c r="FBA81" s="594"/>
      <c r="FBB81" s="594"/>
      <c r="FBC81" s="594"/>
      <c r="FBD81" s="594"/>
      <c r="FBE81" s="594"/>
      <c r="FBF81" s="594"/>
      <c r="FBG81" s="594"/>
      <c r="FBH81" s="594"/>
      <c r="FBI81" s="594"/>
      <c r="FBJ81" s="594"/>
      <c r="FBK81" s="594"/>
      <c r="FBL81" s="594"/>
      <c r="FBM81" s="594"/>
      <c r="FBN81" s="594"/>
      <c r="FBO81" s="594"/>
      <c r="FBP81" s="594"/>
      <c r="FBQ81" s="594"/>
      <c r="FBR81" s="594"/>
      <c r="FBS81" s="594"/>
      <c r="FBT81" s="594"/>
      <c r="FBU81" s="594"/>
      <c r="FBV81" s="594"/>
      <c r="FBW81" s="594"/>
      <c r="FBX81" s="594"/>
      <c r="FBY81" s="594"/>
      <c r="FBZ81" s="594"/>
      <c r="FCA81" s="594"/>
      <c r="FCB81" s="594"/>
      <c r="FCC81" s="594"/>
      <c r="FCD81" s="594"/>
      <c r="FCE81" s="594"/>
      <c r="FCF81" s="594"/>
      <c r="FCG81" s="594"/>
      <c r="FCH81" s="594"/>
      <c r="FCI81" s="594"/>
      <c r="FCJ81" s="594"/>
      <c r="FCK81" s="594"/>
      <c r="FCL81" s="594"/>
      <c r="FCM81" s="594"/>
      <c r="FCN81" s="594"/>
      <c r="FCO81" s="594"/>
      <c r="FCP81" s="594"/>
      <c r="FCQ81" s="594"/>
      <c r="FCR81" s="594"/>
      <c r="FCS81" s="594"/>
      <c r="FCT81" s="594"/>
      <c r="FCU81" s="594"/>
      <c r="FCV81" s="594"/>
      <c r="FCW81" s="594"/>
      <c r="FCX81" s="594"/>
      <c r="FCY81" s="594"/>
      <c r="FCZ81" s="594"/>
      <c r="FDA81" s="594"/>
      <c r="FDB81" s="594"/>
      <c r="FDC81" s="594"/>
      <c r="FDD81" s="594"/>
      <c r="FDE81" s="594"/>
      <c r="FDF81" s="594"/>
      <c r="FDG81" s="594"/>
      <c r="FDH81" s="594"/>
      <c r="FDI81" s="594"/>
      <c r="FDJ81" s="594"/>
      <c r="FDK81" s="594"/>
      <c r="FDL81" s="594"/>
      <c r="FDM81" s="594"/>
      <c r="FDN81" s="594"/>
      <c r="FDO81" s="594"/>
      <c r="FDP81" s="594"/>
      <c r="FDQ81" s="594"/>
      <c r="FDR81" s="594"/>
      <c r="FDS81" s="594"/>
      <c r="FDT81" s="594"/>
      <c r="FDU81" s="594"/>
      <c r="FDV81" s="594"/>
      <c r="FDW81" s="594"/>
      <c r="FDX81" s="594"/>
      <c r="FDY81" s="594"/>
      <c r="FDZ81" s="594"/>
      <c r="FEA81" s="594"/>
      <c r="FEB81" s="594"/>
      <c r="FEC81" s="594"/>
      <c r="FED81" s="594"/>
      <c r="FEE81" s="594"/>
      <c r="FEF81" s="594"/>
      <c r="FEG81" s="594"/>
      <c r="FEH81" s="594"/>
      <c r="FEI81" s="594"/>
      <c r="FEJ81" s="594"/>
      <c r="FEK81" s="594"/>
      <c r="FEL81" s="594"/>
      <c r="FEM81" s="594"/>
      <c r="FEN81" s="594"/>
      <c r="FEO81" s="594"/>
      <c r="FEP81" s="594"/>
      <c r="FEQ81" s="594"/>
      <c r="FER81" s="594"/>
      <c r="FES81" s="594"/>
      <c r="FET81" s="594"/>
      <c r="FEU81" s="594"/>
      <c r="FEV81" s="594"/>
      <c r="FEW81" s="594"/>
      <c r="FEX81" s="594"/>
      <c r="FEY81" s="594"/>
      <c r="FEZ81" s="594"/>
      <c r="FFA81" s="594"/>
      <c r="FFB81" s="594"/>
      <c r="FFC81" s="594"/>
      <c r="FFD81" s="594"/>
      <c r="FFE81" s="594"/>
      <c r="FFF81" s="594"/>
      <c r="FFG81" s="594"/>
      <c r="FFH81" s="594"/>
      <c r="FFI81" s="594"/>
      <c r="FFJ81" s="594"/>
      <c r="FFK81" s="594"/>
      <c r="FFL81" s="594"/>
      <c r="FFM81" s="594"/>
      <c r="FFN81" s="594"/>
      <c r="FFO81" s="594"/>
      <c r="FFP81" s="594"/>
      <c r="FFQ81" s="594"/>
      <c r="FFR81" s="594"/>
      <c r="FFS81" s="594"/>
      <c r="FFT81" s="594"/>
      <c r="FFU81" s="594"/>
      <c r="FFV81" s="594"/>
      <c r="FFW81" s="594"/>
      <c r="FFX81" s="594"/>
      <c r="FFY81" s="594"/>
      <c r="FFZ81" s="594"/>
      <c r="FGA81" s="594"/>
      <c r="FGB81" s="594"/>
      <c r="FGC81" s="594"/>
      <c r="FGD81" s="594"/>
      <c r="FGE81" s="594"/>
      <c r="FGF81" s="594"/>
      <c r="FGG81" s="594"/>
      <c r="FGH81" s="594"/>
      <c r="FGI81" s="594"/>
      <c r="FGJ81" s="594"/>
      <c r="FGK81" s="594"/>
      <c r="FGL81" s="594"/>
      <c r="FGM81" s="594"/>
      <c r="FGN81" s="594"/>
      <c r="FGO81" s="594"/>
      <c r="FGP81" s="594"/>
      <c r="FGQ81" s="594"/>
      <c r="FGR81" s="594"/>
      <c r="FGS81" s="594"/>
      <c r="FGT81" s="594"/>
      <c r="FGU81" s="594"/>
      <c r="FGV81" s="594"/>
      <c r="FGW81" s="594"/>
      <c r="FGX81" s="594"/>
      <c r="FGY81" s="594"/>
      <c r="FGZ81" s="594"/>
      <c r="FHA81" s="594"/>
      <c r="FHB81" s="594"/>
      <c r="FHC81" s="594"/>
      <c r="FHD81" s="594"/>
      <c r="FHE81" s="594"/>
      <c r="FHF81" s="594"/>
      <c r="FHG81" s="594"/>
      <c r="FHH81" s="594"/>
      <c r="FHI81" s="594"/>
      <c r="FHJ81" s="594"/>
      <c r="FHK81" s="594"/>
      <c r="FHL81" s="594"/>
      <c r="FHM81" s="594"/>
      <c r="FHN81" s="594"/>
      <c r="FHO81" s="594"/>
      <c r="FHP81" s="594"/>
      <c r="FHQ81" s="594"/>
      <c r="FHR81" s="594"/>
      <c r="FHS81" s="594"/>
      <c r="FHT81" s="594"/>
      <c r="FHU81" s="594"/>
      <c r="FHV81" s="594"/>
      <c r="FHW81" s="594"/>
      <c r="FHX81" s="594"/>
      <c r="FHY81" s="594"/>
      <c r="FHZ81" s="594"/>
      <c r="FIA81" s="594"/>
      <c r="FIB81" s="594"/>
      <c r="FIC81" s="594"/>
      <c r="FID81" s="594"/>
      <c r="FIE81" s="594"/>
      <c r="FIF81" s="594"/>
      <c r="FIG81" s="594"/>
      <c r="FIH81" s="594"/>
      <c r="FII81" s="594"/>
      <c r="FIJ81" s="594"/>
      <c r="FIK81" s="594"/>
      <c r="FIL81" s="594"/>
      <c r="FIM81" s="594"/>
      <c r="FIN81" s="594"/>
      <c r="FIO81" s="594"/>
      <c r="FIP81" s="594"/>
      <c r="FIQ81" s="594"/>
      <c r="FIR81" s="594"/>
      <c r="FIS81" s="594"/>
      <c r="FIT81" s="594"/>
      <c r="FIU81" s="594"/>
      <c r="FIV81" s="594"/>
      <c r="FIW81" s="594"/>
      <c r="FIX81" s="594"/>
      <c r="FIY81" s="594"/>
      <c r="FIZ81" s="594"/>
      <c r="FJA81" s="594"/>
      <c r="FJB81" s="594"/>
      <c r="FJC81" s="594"/>
      <c r="FJD81" s="594"/>
      <c r="FJE81" s="594"/>
      <c r="FJF81" s="594"/>
      <c r="FJG81" s="594"/>
      <c r="FJH81" s="594"/>
      <c r="FJI81" s="594"/>
      <c r="FJJ81" s="594"/>
      <c r="FJK81" s="594"/>
      <c r="FJL81" s="594"/>
      <c r="FJM81" s="594"/>
      <c r="FJN81" s="594"/>
      <c r="FJO81" s="594"/>
      <c r="FJP81" s="594"/>
      <c r="FJQ81" s="594"/>
      <c r="FJR81" s="594"/>
      <c r="FJS81" s="594"/>
      <c r="FJT81" s="594"/>
      <c r="FJU81" s="594"/>
      <c r="FJV81" s="594"/>
      <c r="FJW81" s="594"/>
      <c r="FJX81" s="594"/>
      <c r="FJY81" s="594"/>
      <c r="FJZ81" s="594"/>
      <c r="FKA81" s="594"/>
      <c r="FKB81" s="594"/>
      <c r="FKC81" s="594"/>
      <c r="FKD81" s="594"/>
      <c r="FKE81" s="594"/>
      <c r="FKF81" s="594"/>
      <c r="FKG81" s="594"/>
      <c r="FKH81" s="594"/>
      <c r="FKI81" s="594"/>
      <c r="FKJ81" s="594"/>
      <c r="FKK81" s="594"/>
      <c r="FKL81" s="594"/>
      <c r="FKM81" s="594"/>
      <c r="FKN81" s="594"/>
      <c r="FKO81" s="594"/>
      <c r="FKP81" s="594"/>
      <c r="FKQ81" s="594"/>
      <c r="FKR81" s="594"/>
      <c r="FKS81" s="594"/>
      <c r="FKT81" s="594"/>
      <c r="FKU81" s="594"/>
      <c r="FKV81" s="594"/>
      <c r="FKW81" s="594"/>
      <c r="FKX81" s="594"/>
      <c r="FKY81" s="594"/>
      <c r="FKZ81" s="594"/>
      <c r="FLA81" s="594"/>
      <c r="FLB81" s="594"/>
      <c r="FLC81" s="594"/>
      <c r="FLD81" s="594"/>
      <c r="FLE81" s="594"/>
      <c r="FLF81" s="594"/>
      <c r="FLG81" s="594"/>
      <c r="FLH81" s="594"/>
      <c r="FLI81" s="594"/>
      <c r="FLJ81" s="594"/>
      <c r="FLK81" s="594"/>
      <c r="FLL81" s="594"/>
      <c r="FLM81" s="594"/>
      <c r="FLN81" s="594"/>
      <c r="FLO81" s="594"/>
      <c r="FLP81" s="594"/>
      <c r="FLQ81" s="594"/>
      <c r="FLR81" s="594"/>
      <c r="FLS81" s="594"/>
      <c r="FLT81" s="594"/>
      <c r="FLU81" s="594"/>
      <c r="FLV81" s="594"/>
      <c r="FLW81" s="594"/>
      <c r="FLX81" s="594"/>
      <c r="FLY81" s="594"/>
      <c r="FLZ81" s="594"/>
      <c r="FMA81" s="594"/>
      <c r="FMB81" s="594"/>
      <c r="FMC81" s="594"/>
      <c r="FMD81" s="594"/>
      <c r="FME81" s="594"/>
      <c r="FMF81" s="594"/>
      <c r="FMG81" s="594"/>
      <c r="FMH81" s="594"/>
      <c r="FMI81" s="594"/>
      <c r="FMJ81" s="594"/>
      <c r="FMK81" s="594"/>
      <c r="FML81" s="594"/>
      <c r="FMM81" s="594"/>
      <c r="FMN81" s="594"/>
      <c r="FMO81" s="594"/>
      <c r="FMP81" s="594"/>
      <c r="FMQ81" s="594"/>
      <c r="FMR81" s="594"/>
      <c r="FMS81" s="594"/>
      <c r="FMT81" s="594"/>
      <c r="FMU81" s="594"/>
      <c r="FMV81" s="594"/>
      <c r="FMW81" s="594"/>
      <c r="FMX81" s="594"/>
      <c r="FMY81" s="594"/>
      <c r="FMZ81" s="594"/>
      <c r="FNA81" s="594"/>
      <c r="FNB81" s="594"/>
      <c r="FNC81" s="594"/>
      <c r="FND81" s="594"/>
      <c r="FNE81" s="594"/>
      <c r="FNF81" s="594"/>
      <c r="FNG81" s="594"/>
      <c r="FNH81" s="594"/>
      <c r="FNI81" s="594"/>
      <c r="FNJ81" s="594"/>
      <c r="FNK81" s="594"/>
      <c r="FNL81" s="594"/>
      <c r="FNM81" s="594"/>
      <c r="FNN81" s="594"/>
      <c r="FNO81" s="594"/>
      <c r="FNP81" s="594"/>
      <c r="FNQ81" s="594"/>
      <c r="FNR81" s="594"/>
      <c r="FNS81" s="594"/>
      <c r="FNT81" s="594"/>
      <c r="FNU81" s="594"/>
      <c r="FNV81" s="594"/>
      <c r="FNW81" s="594"/>
      <c r="FNX81" s="594"/>
      <c r="FNY81" s="594"/>
      <c r="FNZ81" s="594"/>
      <c r="FOA81" s="594"/>
      <c r="FOB81" s="594"/>
      <c r="FOC81" s="594"/>
      <c r="FOD81" s="594"/>
      <c r="FOE81" s="594"/>
      <c r="FOF81" s="594"/>
      <c r="FOG81" s="594"/>
      <c r="FOH81" s="594"/>
      <c r="FOI81" s="594"/>
      <c r="FOJ81" s="594"/>
      <c r="FOK81" s="594"/>
      <c r="FOL81" s="594"/>
      <c r="FOM81" s="594"/>
      <c r="FON81" s="594"/>
      <c r="FOO81" s="594"/>
      <c r="FOP81" s="594"/>
      <c r="FOQ81" s="594"/>
      <c r="FOR81" s="594"/>
      <c r="FOS81" s="594"/>
      <c r="FOT81" s="594"/>
      <c r="FOU81" s="594"/>
      <c r="FOV81" s="594"/>
      <c r="FOW81" s="594"/>
      <c r="FOX81" s="594"/>
      <c r="FOY81" s="594"/>
      <c r="FOZ81" s="594"/>
      <c r="FPA81" s="594"/>
      <c r="FPB81" s="594"/>
      <c r="FPC81" s="594"/>
      <c r="FPD81" s="594"/>
      <c r="FPE81" s="594"/>
      <c r="FPF81" s="594"/>
      <c r="FPG81" s="594"/>
      <c r="FPH81" s="594"/>
      <c r="FPI81" s="594"/>
      <c r="FPJ81" s="594"/>
      <c r="FPK81" s="594"/>
      <c r="FPL81" s="594"/>
      <c r="FPM81" s="594"/>
      <c r="FPN81" s="594"/>
      <c r="FPO81" s="594"/>
      <c r="FPP81" s="594"/>
      <c r="FPQ81" s="594"/>
      <c r="FPR81" s="594"/>
      <c r="FPS81" s="594"/>
      <c r="FPT81" s="594"/>
      <c r="FPU81" s="594"/>
      <c r="FPV81" s="594"/>
      <c r="FPW81" s="594"/>
      <c r="FPX81" s="594"/>
      <c r="FPY81" s="594"/>
      <c r="FPZ81" s="594"/>
      <c r="FQA81" s="594"/>
      <c r="FQB81" s="594"/>
      <c r="FQC81" s="594"/>
      <c r="FQD81" s="594"/>
      <c r="FQE81" s="594"/>
      <c r="FQF81" s="594"/>
      <c r="FQG81" s="594"/>
      <c r="FQH81" s="594"/>
      <c r="FQI81" s="594"/>
      <c r="FQJ81" s="594"/>
      <c r="FQK81" s="594"/>
      <c r="FQL81" s="594"/>
      <c r="FQM81" s="594"/>
      <c r="FQN81" s="594"/>
      <c r="FQO81" s="594"/>
      <c r="FQP81" s="594"/>
      <c r="FQQ81" s="594"/>
      <c r="FQR81" s="594"/>
      <c r="FQS81" s="594"/>
      <c r="FQT81" s="594"/>
      <c r="FQU81" s="594"/>
      <c r="FQV81" s="594"/>
      <c r="FQW81" s="594"/>
      <c r="FQX81" s="594"/>
      <c r="FQY81" s="594"/>
      <c r="FQZ81" s="594"/>
      <c r="FRA81" s="594"/>
      <c r="FRB81" s="594"/>
      <c r="FRC81" s="594"/>
      <c r="FRD81" s="594"/>
      <c r="FRE81" s="594"/>
      <c r="FRF81" s="594"/>
      <c r="FRG81" s="594"/>
      <c r="FRH81" s="594"/>
      <c r="FRI81" s="594"/>
      <c r="FRJ81" s="594"/>
      <c r="FRK81" s="594"/>
      <c r="FRL81" s="594"/>
      <c r="FRM81" s="594"/>
      <c r="FRN81" s="594"/>
      <c r="FRO81" s="594"/>
      <c r="FRP81" s="594"/>
      <c r="FRQ81" s="594"/>
      <c r="FRR81" s="594"/>
      <c r="FRS81" s="594"/>
      <c r="FRT81" s="594"/>
      <c r="FRU81" s="594"/>
      <c r="FRV81" s="594"/>
      <c r="FRW81" s="594"/>
      <c r="FRX81" s="594"/>
      <c r="FRY81" s="594"/>
      <c r="FRZ81" s="594"/>
      <c r="FSA81" s="594"/>
      <c r="FSB81" s="594"/>
      <c r="FSC81" s="594"/>
      <c r="FSD81" s="594"/>
      <c r="FSE81" s="594"/>
      <c r="FSF81" s="594"/>
      <c r="FSG81" s="594"/>
      <c r="FSH81" s="594"/>
      <c r="FSI81" s="594"/>
      <c r="FSJ81" s="594"/>
      <c r="FSK81" s="594"/>
      <c r="FSL81" s="594"/>
      <c r="FSM81" s="594"/>
      <c r="FSN81" s="594"/>
      <c r="FSO81" s="594"/>
      <c r="FSP81" s="594"/>
      <c r="FSQ81" s="594"/>
      <c r="FSR81" s="594"/>
      <c r="FSS81" s="594"/>
      <c r="FST81" s="594"/>
      <c r="FSU81" s="594"/>
      <c r="FSV81" s="594"/>
      <c r="FSW81" s="594"/>
      <c r="FSX81" s="594"/>
      <c r="FSY81" s="594"/>
      <c r="FSZ81" s="594"/>
      <c r="FTA81" s="594"/>
      <c r="FTB81" s="594"/>
      <c r="FTC81" s="594"/>
      <c r="FTD81" s="594"/>
      <c r="FTE81" s="594"/>
      <c r="FTF81" s="594"/>
      <c r="FTG81" s="594"/>
      <c r="FTH81" s="594"/>
      <c r="FTI81" s="594"/>
      <c r="FTJ81" s="594"/>
      <c r="FTK81" s="594"/>
      <c r="FTL81" s="594"/>
      <c r="FTM81" s="594"/>
      <c r="FTN81" s="594"/>
      <c r="FTO81" s="594"/>
      <c r="FTP81" s="594"/>
      <c r="FTQ81" s="594"/>
      <c r="FTR81" s="594"/>
      <c r="FTS81" s="594"/>
      <c r="FTT81" s="594"/>
      <c r="FTU81" s="594"/>
      <c r="FTV81" s="594"/>
      <c r="FTW81" s="594"/>
      <c r="FTX81" s="594"/>
      <c r="FTY81" s="594"/>
      <c r="FTZ81" s="594"/>
      <c r="FUA81" s="594"/>
      <c r="FUB81" s="594"/>
      <c r="FUC81" s="594"/>
      <c r="FUD81" s="594"/>
      <c r="FUE81" s="594"/>
      <c r="FUF81" s="594"/>
      <c r="FUG81" s="594"/>
      <c r="FUH81" s="594"/>
      <c r="FUI81" s="594"/>
      <c r="FUJ81" s="594"/>
      <c r="FUK81" s="594"/>
      <c r="FUL81" s="594"/>
      <c r="FUM81" s="594"/>
      <c r="FUN81" s="594"/>
      <c r="FUO81" s="594"/>
      <c r="FUP81" s="594"/>
      <c r="FUQ81" s="594"/>
      <c r="FUR81" s="594"/>
      <c r="FUS81" s="594"/>
      <c r="FUT81" s="594"/>
      <c r="FUU81" s="594"/>
      <c r="FUV81" s="594"/>
      <c r="FUW81" s="594"/>
      <c r="FUX81" s="594"/>
      <c r="FUY81" s="594"/>
      <c r="FUZ81" s="594"/>
      <c r="FVA81" s="594"/>
      <c r="FVB81" s="594"/>
      <c r="FVC81" s="594"/>
      <c r="FVD81" s="594"/>
      <c r="FVE81" s="594"/>
      <c r="FVF81" s="594"/>
      <c r="FVG81" s="594"/>
      <c r="FVH81" s="594"/>
      <c r="FVI81" s="594"/>
      <c r="FVJ81" s="594"/>
      <c r="FVK81" s="594"/>
      <c r="FVL81" s="594"/>
      <c r="FVM81" s="594"/>
      <c r="FVN81" s="594"/>
      <c r="FVO81" s="594"/>
      <c r="FVP81" s="594"/>
      <c r="FVQ81" s="594"/>
      <c r="FVR81" s="594"/>
      <c r="FVS81" s="594"/>
      <c r="FVT81" s="594"/>
      <c r="FVU81" s="594"/>
      <c r="FVV81" s="594"/>
      <c r="FVW81" s="594"/>
      <c r="FVX81" s="594"/>
      <c r="FVY81" s="594"/>
      <c r="FVZ81" s="594"/>
      <c r="FWA81" s="594"/>
      <c r="FWB81" s="594"/>
      <c r="FWC81" s="594"/>
      <c r="FWD81" s="594"/>
      <c r="FWE81" s="594"/>
      <c r="FWF81" s="594"/>
      <c r="FWG81" s="594"/>
      <c r="FWH81" s="594"/>
      <c r="FWI81" s="594"/>
      <c r="FWJ81" s="594"/>
      <c r="FWK81" s="594"/>
      <c r="FWL81" s="594"/>
      <c r="FWM81" s="594"/>
      <c r="FWN81" s="594"/>
      <c r="FWO81" s="594"/>
      <c r="FWP81" s="594"/>
      <c r="FWQ81" s="594"/>
      <c r="FWR81" s="594"/>
      <c r="FWS81" s="594"/>
      <c r="FWT81" s="594"/>
      <c r="FWU81" s="594"/>
      <c r="FWV81" s="594"/>
      <c r="FWW81" s="594"/>
      <c r="FWX81" s="594"/>
      <c r="FWY81" s="594"/>
      <c r="FWZ81" s="594"/>
      <c r="FXA81" s="594"/>
      <c r="FXB81" s="594"/>
      <c r="FXC81" s="594"/>
      <c r="FXD81" s="594"/>
      <c r="FXE81" s="594"/>
      <c r="FXF81" s="594"/>
      <c r="FXG81" s="594"/>
      <c r="FXH81" s="594"/>
      <c r="FXI81" s="594"/>
      <c r="FXJ81" s="594"/>
      <c r="FXK81" s="594"/>
      <c r="FXL81" s="594"/>
      <c r="FXM81" s="594"/>
      <c r="FXN81" s="594"/>
      <c r="FXO81" s="594"/>
      <c r="FXP81" s="594"/>
      <c r="FXQ81" s="594"/>
      <c r="FXR81" s="594"/>
      <c r="FXS81" s="594"/>
      <c r="FXT81" s="594"/>
      <c r="FXU81" s="594"/>
      <c r="FXV81" s="594"/>
      <c r="FXW81" s="594"/>
      <c r="FXX81" s="594"/>
      <c r="FXY81" s="594"/>
      <c r="FXZ81" s="594"/>
      <c r="FYA81" s="594"/>
      <c r="FYB81" s="594"/>
      <c r="FYC81" s="594"/>
      <c r="FYD81" s="594"/>
      <c r="FYE81" s="594"/>
      <c r="FYF81" s="594"/>
      <c r="FYG81" s="594"/>
      <c r="FYH81" s="594"/>
      <c r="FYI81" s="594"/>
      <c r="FYJ81" s="594"/>
      <c r="FYK81" s="594"/>
      <c r="FYL81" s="594"/>
      <c r="FYM81" s="594"/>
      <c r="FYN81" s="594"/>
      <c r="FYO81" s="594"/>
      <c r="FYP81" s="594"/>
      <c r="FYQ81" s="594"/>
      <c r="FYR81" s="594"/>
      <c r="FYS81" s="594"/>
      <c r="FYT81" s="594"/>
      <c r="FYU81" s="594"/>
      <c r="FYV81" s="594"/>
      <c r="FYW81" s="594"/>
      <c r="FYX81" s="594"/>
      <c r="FYY81" s="594"/>
      <c r="FYZ81" s="594"/>
      <c r="FZA81" s="594"/>
      <c r="FZB81" s="594"/>
      <c r="FZC81" s="594"/>
      <c r="FZD81" s="594"/>
      <c r="FZE81" s="594"/>
      <c r="FZF81" s="594"/>
      <c r="FZG81" s="594"/>
      <c r="FZH81" s="594"/>
      <c r="FZI81" s="594"/>
      <c r="FZJ81" s="594"/>
      <c r="FZK81" s="594"/>
      <c r="FZL81" s="594"/>
      <c r="FZM81" s="594"/>
      <c r="FZN81" s="594"/>
      <c r="FZO81" s="594"/>
      <c r="FZP81" s="594"/>
      <c r="FZQ81" s="594"/>
      <c r="FZR81" s="594"/>
      <c r="FZS81" s="594"/>
      <c r="FZT81" s="594"/>
      <c r="FZU81" s="594"/>
      <c r="FZV81" s="594"/>
      <c r="FZW81" s="594"/>
      <c r="FZX81" s="594"/>
      <c r="FZY81" s="594"/>
      <c r="FZZ81" s="594"/>
      <c r="GAA81" s="594"/>
      <c r="GAB81" s="594"/>
      <c r="GAC81" s="594"/>
      <c r="GAD81" s="594"/>
      <c r="GAE81" s="594"/>
      <c r="GAF81" s="594"/>
      <c r="GAG81" s="594"/>
      <c r="GAH81" s="594"/>
      <c r="GAI81" s="594"/>
      <c r="GAJ81" s="594"/>
      <c r="GAK81" s="594"/>
      <c r="GAL81" s="594"/>
      <c r="GAM81" s="594"/>
      <c r="GAN81" s="594"/>
      <c r="GAO81" s="594"/>
      <c r="GAP81" s="594"/>
      <c r="GAQ81" s="594"/>
      <c r="GAR81" s="594"/>
      <c r="GAS81" s="594"/>
      <c r="GAT81" s="594"/>
      <c r="GAU81" s="594"/>
      <c r="GAV81" s="594"/>
      <c r="GAW81" s="594"/>
      <c r="GAX81" s="594"/>
      <c r="GAY81" s="594"/>
      <c r="GAZ81" s="594"/>
      <c r="GBA81" s="594"/>
      <c r="GBB81" s="594"/>
      <c r="GBC81" s="594"/>
      <c r="GBD81" s="594"/>
      <c r="GBE81" s="594"/>
      <c r="GBF81" s="594"/>
      <c r="GBG81" s="594"/>
      <c r="GBH81" s="594"/>
      <c r="GBI81" s="594"/>
      <c r="GBJ81" s="594"/>
      <c r="GBK81" s="594"/>
      <c r="GBL81" s="594"/>
      <c r="GBM81" s="594"/>
      <c r="GBN81" s="594"/>
      <c r="GBO81" s="594"/>
      <c r="GBP81" s="594"/>
      <c r="GBQ81" s="594"/>
      <c r="GBR81" s="594"/>
      <c r="GBS81" s="594"/>
      <c r="GBT81" s="594"/>
      <c r="GBU81" s="594"/>
      <c r="GBV81" s="594"/>
      <c r="GBW81" s="594"/>
      <c r="GBX81" s="594"/>
      <c r="GBY81" s="594"/>
      <c r="GBZ81" s="594"/>
      <c r="GCA81" s="594"/>
      <c r="GCB81" s="594"/>
      <c r="GCC81" s="594"/>
      <c r="GCD81" s="594"/>
      <c r="GCE81" s="594"/>
      <c r="GCF81" s="594"/>
      <c r="GCG81" s="594"/>
      <c r="GCH81" s="594"/>
      <c r="GCI81" s="594"/>
      <c r="GCJ81" s="594"/>
      <c r="GCK81" s="594"/>
      <c r="GCL81" s="594"/>
      <c r="GCM81" s="594"/>
      <c r="GCN81" s="594"/>
      <c r="GCO81" s="594"/>
      <c r="GCP81" s="594"/>
      <c r="GCQ81" s="594"/>
      <c r="GCR81" s="594"/>
      <c r="GCS81" s="594"/>
      <c r="GCT81" s="594"/>
      <c r="GCU81" s="594"/>
      <c r="GCV81" s="594"/>
      <c r="GCW81" s="594"/>
      <c r="GCX81" s="594"/>
      <c r="GCY81" s="594"/>
      <c r="GCZ81" s="594"/>
      <c r="GDA81" s="594"/>
      <c r="GDB81" s="594"/>
      <c r="GDC81" s="594"/>
      <c r="GDD81" s="594"/>
      <c r="GDE81" s="594"/>
      <c r="GDF81" s="594"/>
      <c r="GDG81" s="594"/>
      <c r="GDH81" s="594"/>
      <c r="GDI81" s="594"/>
      <c r="GDJ81" s="594"/>
      <c r="GDK81" s="594"/>
      <c r="GDL81" s="594"/>
      <c r="GDM81" s="594"/>
      <c r="GDN81" s="594"/>
      <c r="GDO81" s="594"/>
      <c r="GDP81" s="594"/>
      <c r="GDQ81" s="594"/>
      <c r="GDR81" s="594"/>
      <c r="GDS81" s="594"/>
      <c r="GDT81" s="594"/>
      <c r="GDU81" s="594"/>
      <c r="GDV81" s="594"/>
      <c r="GDW81" s="594"/>
      <c r="GDX81" s="594"/>
      <c r="GDY81" s="594"/>
      <c r="GDZ81" s="594"/>
      <c r="GEA81" s="594"/>
      <c r="GEB81" s="594"/>
      <c r="GEC81" s="594"/>
      <c r="GED81" s="594"/>
      <c r="GEE81" s="594"/>
      <c r="GEF81" s="594"/>
      <c r="GEG81" s="594"/>
      <c r="GEH81" s="594"/>
      <c r="GEI81" s="594"/>
      <c r="GEJ81" s="594"/>
      <c r="GEK81" s="594"/>
      <c r="GEL81" s="594"/>
      <c r="GEM81" s="594"/>
      <c r="GEN81" s="594"/>
      <c r="GEO81" s="594"/>
      <c r="GEP81" s="594"/>
      <c r="GEQ81" s="594"/>
      <c r="GER81" s="594"/>
      <c r="GES81" s="594"/>
      <c r="GET81" s="594"/>
      <c r="GEU81" s="594"/>
      <c r="GEV81" s="594"/>
      <c r="GEW81" s="594"/>
      <c r="GEX81" s="594"/>
      <c r="GEY81" s="594"/>
      <c r="GEZ81" s="594"/>
      <c r="GFA81" s="594"/>
      <c r="GFB81" s="594"/>
      <c r="GFC81" s="594"/>
      <c r="GFD81" s="594"/>
      <c r="GFE81" s="594"/>
      <c r="GFF81" s="594"/>
      <c r="GFG81" s="594"/>
      <c r="GFH81" s="594"/>
      <c r="GFI81" s="594"/>
      <c r="GFJ81" s="594"/>
      <c r="GFK81" s="594"/>
      <c r="GFL81" s="594"/>
      <c r="GFM81" s="594"/>
      <c r="GFN81" s="594"/>
      <c r="GFO81" s="594"/>
      <c r="GFP81" s="594"/>
      <c r="GFQ81" s="594"/>
      <c r="GFR81" s="594"/>
      <c r="GFS81" s="594"/>
      <c r="GFT81" s="594"/>
      <c r="GFU81" s="594"/>
      <c r="GFV81" s="594"/>
      <c r="GFW81" s="594"/>
      <c r="GFX81" s="594"/>
      <c r="GFY81" s="594"/>
      <c r="GFZ81" s="594"/>
      <c r="GGA81" s="594"/>
      <c r="GGB81" s="594"/>
      <c r="GGC81" s="594"/>
      <c r="GGD81" s="594"/>
      <c r="GGE81" s="594"/>
      <c r="GGF81" s="594"/>
      <c r="GGG81" s="594"/>
      <c r="GGH81" s="594"/>
      <c r="GGI81" s="594"/>
      <c r="GGJ81" s="594"/>
      <c r="GGK81" s="594"/>
      <c r="GGL81" s="594"/>
      <c r="GGM81" s="594"/>
      <c r="GGN81" s="594"/>
      <c r="GGO81" s="594"/>
      <c r="GGP81" s="594"/>
      <c r="GGQ81" s="594"/>
      <c r="GGR81" s="594"/>
      <c r="GGS81" s="594"/>
      <c r="GGT81" s="594"/>
      <c r="GGU81" s="594"/>
      <c r="GGV81" s="594"/>
      <c r="GGW81" s="594"/>
      <c r="GGX81" s="594"/>
      <c r="GGY81" s="594"/>
      <c r="GGZ81" s="594"/>
      <c r="GHA81" s="594"/>
      <c r="GHB81" s="594"/>
      <c r="GHC81" s="594"/>
      <c r="GHD81" s="594"/>
      <c r="GHE81" s="594"/>
      <c r="GHF81" s="594"/>
      <c r="GHG81" s="594"/>
      <c r="GHH81" s="594"/>
      <c r="GHI81" s="594"/>
      <c r="GHJ81" s="594"/>
      <c r="GHK81" s="594"/>
      <c r="GHL81" s="594"/>
      <c r="GHM81" s="594"/>
      <c r="GHN81" s="594"/>
      <c r="GHO81" s="594"/>
      <c r="GHP81" s="594"/>
      <c r="GHQ81" s="594"/>
      <c r="GHR81" s="594"/>
      <c r="GHS81" s="594"/>
      <c r="GHT81" s="594"/>
      <c r="GHU81" s="594"/>
      <c r="GHV81" s="594"/>
      <c r="GHW81" s="594"/>
      <c r="GHX81" s="594"/>
      <c r="GHY81" s="594"/>
      <c r="GHZ81" s="594"/>
      <c r="GIA81" s="594"/>
      <c r="GIB81" s="594"/>
      <c r="GIC81" s="594"/>
      <c r="GID81" s="594"/>
      <c r="GIE81" s="594"/>
      <c r="GIF81" s="594"/>
      <c r="GIG81" s="594"/>
      <c r="GIH81" s="594"/>
      <c r="GII81" s="594"/>
      <c r="GIJ81" s="594"/>
      <c r="GIK81" s="594"/>
      <c r="GIL81" s="594"/>
      <c r="GIM81" s="594"/>
      <c r="GIN81" s="594"/>
      <c r="GIO81" s="594"/>
      <c r="GIP81" s="594"/>
      <c r="GIQ81" s="594"/>
      <c r="GIR81" s="594"/>
      <c r="GIS81" s="594"/>
      <c r="GIT81" s="594"/>
      <c r="GIU81" s="594"/>
      <c r="GIV81" s="594"/>
      <c r="GIW81" s="594"/>
      <c r="GIX81" s="594"/>
      <c r="GIY81" s="594"/>
      <c r="GIZ81" s="594"/>
      <c r="GJA81" s="594"/>
      <c r="GJB81" s="594"/>
      <c r="GJC81" s="594"/>
      <c r="GJD81" s="594"/>
      <c r="GJE81" s="594"/>
      <c r="GJF81" s="594"/>
      <c r="GJG81" s="594"/>
      <c r="GJH81" s="594"/>
      <c r="GJI81" s="594"/>
      <c r="GJJ81" s="594"/>
      <c r="GJK81" s="594"/>
      <c r="GJL81" s="594"/>
      <c r="GJM81" s="594"/>
      <c r="GJN81" s="594"/>
      <c r="GJO81" s="594"/>
      <c r="GJP81" s="594"/>
      <c r="GJQ81" s="594"/>
      <c r="GJR81" s="594"/>
      <c r="GJS81" s="594"/>
      <c r="GJT81" s="594"/>
      <c r="GJU81" s="594"/>
      <c r="GJV81" s="594"/>
      <c r="GJW81" s="594"/>
      <c r="GJX81" s="594"/>
      <c r="GJY81" s="594"/>
      <c r="GJZ81" s="594"/>
      <c r="GKA81" s="594"/>
      <c r="GKB81" s="594"/>
      <c r="GKC81" s="594"/>
      <c r="GKD81" s="594"/>
      <c r="GKE81" s="594"/>
      <c r="GKF81" s="594"/>
      <c r="GKG81" s="594"/>
      <c r="GKH81" s="594"/>
      <c r="GKI81" s="594"/>
      <c r="GKJ81" s="594"/>
      <c r="GKK81" s="594"/>
      <c r="GKL81" s="594"/>
      <c r="GKM81" s="594"/>
      <c r="GKN81" s="594"/>
      <c r="GKO81" s="594"/>
      <c r="GKP81" s="594"/>
      <c r="GKQ81" s="594"/>
      <c r="GKR81" s="594"/>
      <c r="GKS81" s="594"/>
      <c r="GKT81" s="594"/>
      <c r="GKU81" s="594"/>
      <c r="GKV81" s="594"/>
      <c r="GKW81" s="594"/>
      <c r="GKX81" s="594"/>
      <c r="GKY81" s="594"/>
      <c r="GKZ81" s="594"/>
      <c r="GLA81" s="594"/>
      <c r="GLB81" s="594"/>
      <c r="GLC81" s="594"/>
      <c r="GLD81" s="594"/>
      <c r="GLE81" s="594"/>
      <c r="GLF81" s="594"/>
      <c r="GLG81" s="594"/>
      <c r="GLH81" s="594"/>
      <c r="GLI81" s="594"/>
      <c r="GLJ81" s="594"/>
      <c r="GLK81" s="594"/>
      <c r="GLL81" s="594"/>
      <c r="GLM81" s="594"/>
      <c r="GLN81" s="594"/>
      <c r="GLO81" s="594"/>
      <c r="GLP81" s="594"/>
      <c r="GLQ81" s="594"/>
      <c r="GLR81" s="594"/>
      <c r="GLS81" s="594"/>
      <c r="GLT81" s="594"/>
      <c r="GLU81" s="594"/>
      <c r="GLV81" s="594"/>
      <c r="GLW81" s="594"/>
      <c r="GLX81" s="594"/>
      <c r="GLY81" s="594"/>
      <c r="GLZ81" s="594"/>
      <c r="GMA81" s="594"/>
      <c r="GMB81" s="594"/>
      <c r="GMC81" s="594"/>
      <c r="GMD81" s="594"/>
      <c r="GME81" s="594"/>
      <c r="GMF81" s="594"/>
      <c r="GMG81" s="594"/>
      <c r="GMH81" s="594"/>
      <c r="GMI81" s="594"/>
      <c r="GMJ81" s="594"/>
      <c r="GMK81" s="594"/>
      <c r="GML81" s="594"/>
      <c r="GMM81" s="594"/>
      <c r="GMN81" s="594"/>
      <c r="GMO81" s="594"/>
      <c r="GMP81" s="594"/>
      <c r="GMQ81" s="594"/>
      <c r="GMR81" s="594"/>
      <c r="GMS81" s="594"/>
      <c r="GMT81" s="594"/>
      <c r="GMU81" s="594"/>
      <c r="GMV81" s="594"/>
      <c r="GMW81" s="594"/>
      <c r="GMX81" s="594"/>
      <c r="GMY81" s="594"/>
      <c r="GMZ81" s="594"/>
      <c r="GNA81" s="594"/>
      <c r="GNB81" s="594"/>
      <c r="GNC81" s="594"/>
      <c r="GND81" s="594"/>
      <c r="GNE81" s="594"/>
      <c r="GNF81" s="594"/>
      <c r="GNG81" s="594"/>
      <c r="GNH81" s="594"/>
      <c r="GNI81" s="594"/>
      <c r="GNJ81" s="594"/>
      <c r="GNK81" s="594"/>
      <c r="GNL81" s="594"/>
      <c r="GNM81" s="594"/>
      <c r="GNN81" s="594"/>
      <c r="GNO81" s="594"/>
      <c r="GNP81" s="594"/>
      <c r="GNQ81" s="594"/>
      <c r="GNR81" s="594"/>
      <c r="GNS81" s="594"/>
      <c r="GNT81" s="594"/>
      <c r="GNU81" s="594"/>
      <c r="GNV81" s="594"/>
      <c r="GNW81" s="594"/>
      <c r="GNX81" s="594"/>
      <c r="GNY81" s="594"/>
      <c r="GNZ81" s="594"/>
      <c r="GOA81" s="594"/>
      <c r="GOB81" s="594"/>
      <c r="GOC81" s="594"/>
      <c r="GOD81" s="594"/>
      <c r="GOE81" s="594"/>
      <c r="GOF81" s="594"/>
      <c r="GOG81" s="594"/>
      <c r="GOH81" s="594"/>
      <c r="GOI81" s="594"/>
      <c r="GOJ81" s="594"/>
      <c r="GOK81" s="594"/>
      <c r="GOL81" s="594"/>
      <c r="GOM81" s="594"/>
      <c r="GON81" s="594"/>
      <c r="GOO81" s="594"/>
      <c r="GOP81" s="594"/>
      <c r="GOQ81" s="594"/>
      <c r="GOR81" s="594"/>
      <c r="GOS81" s="594"/>
      <c r="GOT81" s="594"/>
      <c r="GOU81" s="594"/>
      <c r="GOV81" s="594"/>
      <c r="GOW81" s="594"/>
      <c r="GOX81" s="594"/>
      <c r="GOY81" s="594"/>
      <c r="GOZ81" s="594"/>
      <c r="GPA81" s="594"/>
      <c r="GPB81" s="594"/>
      <c r="GPC81" s="594"/>
      <c r="GPD81" s="594"/>
      <c r="GPE81" s="594"/>
      <c r="GPF81" s="594"/>
      <c r="GPG81" s="594"/>
      <c r="GPH81" s="594"/>
      <c r="GPI81" s="594"/>
      <c r="GPJ81" s="594"/>
      <c r="GPK81" s="594"/>
      <c r="GPL81" s="594"/>
      <c r="GPM81" s="594"/>
      <c r="GPN81" s="594"/>
      <c r="GPO81" s="594"/>
      <c r="GPP81" s="594"/>
      <c r="GPQ81" s="594"/>
      <c r="GPR81" s="594"/>
      <c r="GPS81" s="594"/>
      <c r="GPT81" s="594"/>
      <c r="GPU81" s="594"/>
      <c r="GPV81" s="594"/>
      <c r="GPW81" s="594"/>
      <c r="GPX81" s="594"/>
      <c r="GPY81" s="594"/>
      <c r="GPZ81" s="594"/>
      <c r="GQA81" s="594"/>
      <c r="GQB81" s="594"/>
      <c r="GQC81" s="594"/>
      <c r="GQD81" s="594"/>
      <c r="GQE81" s="594"/>
      <c r="GQF81" s="594"/>
      <c r="GQG81" s="594"/>
      <c r="GQH81" s="594"/>
      <c r="GQI81" s="594"/>
      <c r="GQJ81" s="594"/>
      <c r="GQK81" s="594"/>
      <c r="GQL81" s="594"/>
      <c r="GQM81" s="594"/>
      <c r="GQN81" s="594"/>
      <c r="GQO81" s="594"/>
      <c r="GQP81" s="594"/>
      <c r="GQQ81" s="594"/>
      <c r="GQR81" s="594"/>
      <c r="GQS81" s="594"/>
      <c r="GQT81" s="594"/>
      <c r="GQU81" s="594"/>
      <c r="GQV81" s="594"/>
      <c r="GQW81" s="594"/>
      <c r="GQX81" s="594"/>
      <c r="GQY81" s="594"/>
      <c r="GQZ81" s="594"/>
      <c r="GRA81" s="594"/>
      <c r="GRB81" s="594"/>
      <c r="GRC81" s="594"/>
      <c r="GRD81" s="594"/>
      <c r="GRE81" s="594"/>
      <c r="GRF81" s="594"/>
      <c r="GRG81" s="594"/>
      <c r="GRH81" s="594"/>
      <c r="GRI81" s="594"/>
      <c r="GRJ81" s="594"/>
      <c r="GRK81" s="594"/>
      <c r="GRL81" s="594"/>
      <c r="GRM81" s="594"/>
      <c r="GRN81" s="594"/>
      <c r="GRO81" s="594"/>
      <c r="GRP81" s="594"/>
      <c r="GRQ81" s="594"/>
      <c r="GRR81" s="594"/>
      <c r="GRS81" s="594"/>
      <c r="GRT81" s="594"/>
      <c r="GRU81" s="594"/>
      <c r="GRV81" s="594"/>
      <c r="GRW81" s="594"/>
      <c r="GRX81" s="594"/>
      <c r="GRY81" s="594"/>
      <c r="GRZ81" s="594"/>
      <c r="GSA81" s="594"/>
      <c r="GSB81" s="594"/>
      <c r="GSC81" s="594"/>
      <c r="GSD81" s="594"/>
      <c r="GSE81" s="594"/>
      <c r="GSF81" s="594"/>
      <c r="GSG81" s="594"/>
      <c r="GSH81" s="594"/>
      <c r="GSI81" s="594"/>
      <c r="GSJ81" s="594"/>
      <c r="GSK81" s="594"/>
      <c r="GSL81" s="594"/>
      <c r="GSM81" s="594"/>
      <c r="GSN81" s="594"/>
      <c r="GSO81" s="594"/>
      <c r="GSP81" s="594"/>
      <c r="GSQ81" s="594"/>
      <c r="GSR81" s="594"/>
      <c r="GSS81" s="594"/>
      <c r="GST81" s="594"/>
      <c r="GSU81" s="594"/>
      <c r="GSV81" s="594"/>
      <c r="GSW81" s="594"/>
      <c r="GSX81" s="594"/>
      <c r="GSY81" s="594"/>
      <c r="GSZ81" s="594"/>
      <c r="GTA81" s="594"/>
      <c r="GTB81" s="594"/>
      <c r="GTC81" s="594"/>
      <c r="GTD81" s="594"/>
      <c r="GTE81" s="594"/>
      <c r="GTF81" s="594"/>
      <c r="GTG81" s="594"/>
      <c r="GTH81" s="594"/>
      <c r="GTI81" s="594"/>
      <c r="GTJ81" s="594"/>
      <c r="GTK81" s="594"/>
      <c r="GTL81" s="594"/>
      <c r="GTM81" s="594"/>
      <c r="GTN81" s="594"/>
      <c r="GTO81" s="594"/>
      <c r="GTP81" s="594"/>
      <c r="GTQ81" s="594"/>
      <c r="GTR81" s="594"/>
      <c r="GTS81" s="594"/>
      <c r="GTT81" s="594"/>
      <c r="GTU81" s="594"/>
      <c r="GTV81" s="594"/>
      <c r="GTW81" s="594"/>
      <c r="GTX81" s="594"/>
      <c r="GTY81" s="594"/>
      <c r="GTZ81" s="594"/>
      <c r="GUA81" s="594"/>
      <c r="GUB81" s="594"/>
      <c r="GUC81" s="594"/>
      <c r="GUD81" s="594"/>
      <c r="GUE81" s="594"/>
      <c r="GUF81" s="594"/>
      <c r="GUG81" s="594"/>
      <c r="GUH81" s="594"/>
      <c r="GUI81" s="594"/>
      <c r="GUJ81" s="594"/>
      <c r="GUK81" s="594"/>
      <c r="GUL81" s="594"/>
      <c r="GUM81" s="594"/>
      <c r="GUN81" s="594"/>
      <c r="GUO81" s="594"/>
      <c r="GUP81" s="594"/>
      <c r="GUQ81" s="594"/>
      <c r="GUR81" s="594"/>
      <c r="GUS81" s="594"/>
      <c r="GUT81" s="594"/>
      <c r="GUU81" s="594"/>
      <c r="GUV81" s="594"/>
      <c r="GUW81" s="594"/>
      <c r="GUX81" s="594"/>
      <c r="GUY81" s="594"/>
      <c r="GUZ81" s="594"/>
      <c r="GVA81" s="594"/>
      <c r="GVB81" s="594"/>
      <c r="GVC81" s="594"/>
      <c r="GVD81" s="594"/>
      <c r="GVE81" s="594"/>
      <c r="GVF81" s="594"/>
      <c r="GVG81" s="594"/>
      <c r="GVH81" s="594"/>
      <c r="GVI81" s="594"/>
      <c r="GVJ81" s="594"/>
      <c r="GVK81" s="594"/>
      <c r="GVL81" s="594"/>
      <c r="GVM81" s="594"/>
      <c r="GVN81" s="594"/>
      <c r="GVO81" s="594"/>
      <c r="GVP81" s="594"/>
      <c r="GVQ81" s="594"/>
      <c r="GVR81" s="594"/>
      <c r="GVS81" s="594"/>
      <c r="GVT81" s="594"/>
      <c r="GVU81" s="594"/>
      <c r="GVV81" s="594"/>
      <c r="GVW81" s="594"/>
      <c r="GVX81" s="594"/>
      <c r="GVY81" s="594"/>
      <c r="GVZ81" s="594"/>
      <c r="GWA81" s="594"/>
      <c r="GWB81" s="594"/>
      <c r="GWC81" s="594"/>
      <c r="GWD81" s="594"/>
      <c r="GWE81" s="594"/>
      <c r="GWF81" s="594"/>
      <c r="GWG81" s="594"/>
      <c r="GWH81" s="594"/>
      <c r="GWI81" s="594"/>
      <c r="GWJ81" s="594"/>
      <c r="GWK81" s="594"/>
      <c r="GWL81" s="594"/>
      <c r="GWM81" s="594"/>
      <c r="GWN81" s="594"/>
      <c r="GWO81" s="594"/>
      <c r="GWP81" s="594"/>
      <c r="GWQ81" s="594"/>
      <c r="GWR81" s="594"/>
      <c r="GWS81" s="594"/>
      <c r="GWT81" s="594"/>
      <c r="GWU81" s="594"/>
      <c r="GWV81" s="594"/>
      <c r="GWW81" s="594"/>
      <c r="GWX81" s="594"/>
      <c r="GWY81" s="594"/>
      <c r="GWZ81" s="594"/>
      <c r="GXA81" s="594"/>
      <c r="GXB81" s="594"/>
      <c r="GXC81" s="594"/>
      <c r="GXD81" s="594"/>
      <c r="GXE81" s="594"/>
      <c r="GXF81" s="594"/>
      <c r="GXG81" s="594"/>
      <c r="GXH81" s="594"/>
      <c r="GXI81" s="594"/>
      <c r="GXJ81" s="594"/>
      <c r="GXK81" s="594"/>
      <c r="GXL81" s="594"/>
      <c r="GXM81" s="594"/>
      <c r="GXN81" s="594"/>
      <c r="GXO81" s="594"/>
      <c r="GXP81" s="594"/>
      <c r="GXQ81" s="594"/>
      <c r="GXR81" s="594"/>
      <c r="GXS81" s="594"/>
      <c r="GXT81" s="594"/>
      <c r="GXU81" s="594"/>
      <c r="GXV81" s="594"/>
      <c r="GXW81" s="594"/>
      <c r="GXX81" s="594"/>
      <c r="GXY81" s="594"/>
      <c r="GXZ81" s="594"/>
      <c r="GYA81" s="594"/>
      <c r="GYB81" s="594"/>
      <c r="GYC81" s="594"/>
      <c r="GYD81" s="594"/>
      <c r="GYE81" s="594"/>
      <c r="GYF81" s="594"/>
      <c r="GYG81" s="594"/>
      <c r="GYH81" s="594"/>
      <c r="GYI81" s="594"/>
      <c r="GYJ81" s="594"/>
      <c r="GYK81" s="594"/>
      <c r="GYL81" s="594"/>
      <c r="GYM81" s="594"/>
      <c r="GYN81" s="594"/>
      <c r="GYO81" s="594"/>
      <c r="GYP81" s="594"/>
      <c r="GYQ81" s="594"/>
      <c r="GYR81" s="594"/>
      <c r="GYS81" s="594"/>
      <c r="GYT81" s="594"/>
      <c r="GYU81" s="594"/>
      <c r="GYV81" s="594"/>
      <c r="GYW81" s="594"/>
      <c r="GYX81" s="594"/>
      <c r="GYY81" s="594"/>
      <c r="GYZ81" s="594"/>
      <c r="GZA81" s="594"/>
      <c r="GZB81" s="594"/>
      <c r="GZC81" s="594"/>
      <c r="GZD81" s="594"/>
      <c r="GZE81" s="594"/>
      <c r="GZF81" s="594"/>
      <c r="GZG81" s="594"/>
      <c r="GZH81" s="594"/>
      <c r="GZI81" s="594"/>
      <c r="GZJ81" s="594"/>
      <c r="GZK81" s="594"/>
      <c r="GZL81" s="594"/>
      <c r="GZM81" s="594"/>
      <c r="GZN81" s="594"/>
      <c r="GZO81" s="594"/>
      <c r="GZP81" s="594"/>
      <c r="GZQ81" s="594"/>
      <c r="GZR81" s="594"/>
      <c r="GZS81" s="594"/>
      <c r="GZT81" s="594"/>
      <c r="GZU81" s="594"/>
      <c r="GZV81" s="594"/>
      <c r="GZW81" s="594"/>
      <c r="GZX81" s="594"/>
      <c r="GZY81" s="594"/>
      <c r="GZZ81" s="594"/>
      <c r="HAA81" s="594"/>
      <c r="HAB81" s="594"/>
      <c r="HAC81" s="594"/>
      <c r="HAD81" s="594"/>
      <c r="HAE81" s="594"/>
      <c r="HAF81" s="594"/>
      <c r="HAG81" s="594"/>
      <c r="HAH81" s="594"/>
      <c r="HAI81" s="594"/>
      <c r="HAJ81" s="594"/>
      <c r="HAK81" s="594"/>
      <c r="HAL81" s="594"/>
      <c r="HAM81" s="594"/>
      <c r="HAN81" s="594"/>
      <c r="HAO81" s="594"/>
      <c r="HAP81" s="594"/>
      <c r="HAQ81" s="594"/>
      <c r="HAR81" s="594"/>
      <c r="HAS81" s="594"/>
      <c r="HAT81" s="594"/>
      <c r="HAU81" s="594"/>
      <c r="HAV81" s="594"/>
      <c r="HAW81" s="594"/>
      <c r="HAX81" s="594"/>
      <c r="HAY81" s="594"/>
      <c r="HAZ81" s="594"/>
      <c r="HBA81" s="594"/>
      <c r="HBB81" s="594"/>
      <c r="HBC81" s="594"/>
      <c r="HBD81" s="594"/>
      <c r="HBE81" s="594"/>
      <c r="HBF81" s="594"/>
      <c r="HBG81" s="594"/>
      <c r="HBH81" s="594"/>
      <c r="HBI81" s="594"/>
      <c r="HBJ81" s="594"/>
      <c r="HBK81" s="594"/>
      <c r="HBL81" s="594"/>
      <c r="HBM81" s="594"/>
      <c r="HBN81" s="594"/>
      <c r="HBO81" s="594"/>
      <c r="HBP81" s="594"/>
      <c r="HBQ81" s="594"/>
      <c r="HBR81" s="594"/>
      <c r="HBS81" s="594"/>
      <c r="HBT81" s="594"/>
      <c r="HBU81" s="594"/>
      <c r="HBV81" s="594"/>
      <c r="HBW81" s="594"/>
      <c r="HBX81" s="594"/>
      <c r="HBY81" s="594"/>
      <c r="HBZ81" s="594"/>
      <c r="HCA81" s="594"/>
      <c r="HCB81" s="594"/>
      <c r="HCC81" s="594"/>
      <c r="HCD81" s="594"/>
      <c r="HCE81" s="594"/>
      <c r="HCF81" s="594"/>
      <c r="HCG81" s="594"/>
      <c r="HCH81" s="594"/>
      <c r="HCI81" s="594"/>
      <c r="HCJ81" s="594"/>
      <c r="HCK81" s="594"/>
      <c r="HCL81" s="594"/>
      <c r="HCM81" s="594"/>
      <c r="HCN81" s="594"/>
      <c r="HCO81" s="594"/>
      <c r="HCP81" s="594"/>
      <c r="HCQ81" s="594"/>
      <c r="HCR81" s="594"/>
      <c r="HCS81" s="594"/>
      <c r="HCT81" s="594"/>
      <c r="HCU81" s="594"/>
      <c r="HCV81" s="594"/>
      <c r="HCW81" s="594"/>
      <c r="HCX81" s="594"/>
      <c r="HCY81" s="594"/>
      <c r="HCZ81" s="594"/>
      <c r="HDA81" s="594"/>
      <c r="HDB81" s="594"/>
      <c r="HDC81" s="594"/>
      <c r="HDD81" s="594"/>
      <c r="HDE81" s="594"/>
      <c r="HDF81" s="594"/>
      <c r="HDG81" s="594"/>
      <c r="HDH81" s="594"/>
      <c r="HDI81" s="594"/>
      <c r="HDJ81" s="594"/>
      <c r="HDK81" s="594"/>
      <c r="HDL81" s="594"/>
      <c r="HDM81" s="594"/>
      <c r="HDN81" s="594"/>
      <c r="HDO81" s="594"/>
      <c r="HDP81" s="594"/>
      <c r="HDQ81" s="594"/>
      <c r="HDR81" s="594"/>
      <c r="HDS81" s="594"/>
      <c r="HDT81" s="594"/>
      <c r="HDU81" s="594"/>
      <c r="HDV81" s="594"/>
      <c r="HDW81" s="594"/>
      <c r="HDX81" s="594"/>
      <c r="HDY81" s="594"/>
      <c r="HDZ81" s="594"/>
      <c r="HEA81" s="594"/>
      <c r="HEB81" s="594"/>
      <c r="HEC81" s="594"/>
      <c r="HED81" s="594"/>
      <c r="HEE81" s="594"/>
      <c r="HEF81" s="594"/>
      <c r="HEG81" s="594"/>
      <c r="HEH81" s="594"/>
      <c r="HEI81" s="594"/>
      <c r="HEJ81" s="594"/>
      <c r="HEK81" s="594"/>
      <c r="HEL81" s="594"/>
      <c r="HEM81" s="594"/>
      <c r="HEN81" s="594"/>
      <c r="HEO81" s="594"/>
      <c r="HEP81" s="594"/>
      <c r="HEQ81" s="594"/>
      <c r="HER81" s="594"/>
      <c r="HES81" s="594"/>
      <c r="HET81" s="594"/>
      <c r="HEU81" s="594"/>
      <c r="HEV81" s="594"/>
      <c r="HEW81" s="594"/>
      <c r="HEX81" s="594"/>
      <c r="HEY81" s="594"/>
      <c r="HEZ81" s="594"/>
      <c r="HFA81" s="594"/>
      <c r="HFB81" s="594"/>
      <c r="HFC81" s="594"/>
      <c r="HFD81" s="594"/>
      <c r="HFE81" s="594"/>
      <c r="HFF81" s="594"/>
      <c r="HFG81" s="594"/>
      <c r="HFH81" s="594"/>
      <c r="HFI81" s="594"/>
      <c r="HFJ81" s="594"/>
      <c r="HFK81" s="594"/>
      <c r="HFL81" s="594"/>
      <c r="HFM81" s="594"/>
      <c r="HFN81" s="594"/>
      <c r="HFO81" s="594"/>
      <c r="HFP81" s="594"/>
      <c r="HFQ81" s="594"/>
      <c r="HFR81" s="594"/>
      <c r="HFS81" s="594"/>
      <c r="HFT81" s="594"/>
      <c r="HFU81" s="594"/>
      <c r="HFV81" s="594"/>
      <c r="HFW81" s="594"/>
      <c r="HFX81" s="594"/>
      <c r="HFY81" s="594"/>
      <c r="HFZ81" s="594"/>
      <c r="HGA81" s="594"/>
      <c r="HGB81" s="594"/>
      <c r="HGC81" s="594"/>
      <c r="HGD81" s="594"/>
      <c r="HGE81" s="594"/>
      <c r="HGF81" s="594"/>
      <c r="HGG81" s="594"/>
      <c r="HGH81" s="594"/>
      <c r="HGI81" s="594"/>
      <c r="HGJ81" s="594"/>
      <c r="HGK81" s="594"/>
      <c r="HGL81" s="594"/>
      <c r="HGM81" s="594"/>
      <c r="HGN81" s="594"/>
      <c r="HGO81" s="594"/>
      <c r="HGP81" s="594"/>
      <c r="HGQ81" s="594"/>
      <c r="HGR81" s="594"/>
      <c r="HGS81" s="594"/>
      <c r="HGT81" s="594"/>
      <c r="HGU81" s="594"/>
      <c r="HGV81" s="594"/>
      <c r="HGW81" s="594"/>
      <c r="HGX81" s="594"/>
      <c r="HGY81" s="594"/>
      <c r="HGZ81" s="594"/>
      <c r="HHA81" s="594"/>
      <c r="HHB81" s="594"/>
      <c r="HHC81" s="594"/>
      <c r="HHD81" s="594"/>
      <c r="HHE81" s="594"/>
      <c r="HHF81" s="594"/>
      <c r="HHG81" s="594"/>
      <c r="HHH81" s="594"/>
      <c r="HHI81" s="594"/>
      <c r="HHJ81" s="594"/>
      <c r="HHK81" s="594"/>
      <c r="HHL81" s="594"/>
      <c r="HHM81" s="594"/>
      <c r="HHN81" s="594"/>
      <c r="HHO81" s="594"/>
      <c r="HHP81" s="594"/>
      <c r="HHQ81" s="594"/>
      <c r="HHR81" s="594"/>
      <c r="HHS81" s="594"/>
      <c r="HHT81" s="594"/>
      <c r="HHU81" s="594"/>
      <c r="HHV81" s="594"/>
      <c r="HHW81" s="594"/>
      <c r="HHX81" s="594"/>
      <c r="HHY81" s="594"/>
      <c r="HHZ81" s="594"/>
      <c r="HIA81" s="594"/>
      <c r="HIB81" s="594"/>
      <c r="HIC81" s="594"/>
      <c r="HID81" s="594"/>
      <c r="HIE81" s="594"/>
      <c r="HIF81" s="594"/>
      <c r="HIG81" s="594"/>
      <c r="HIH81" s="594"/>
      <c r="HII81" s="594"/>
      <c r="HIJ81" s="594"/>
      <c r="HIK81" s="594"/>
      <c r="HIL81" s="594"/>
      <c r="HIM81" s="594"/>
      <c r="HIN81" s="594"/>
      <c r="HIO81" s="594"/>
      <c r="HIP81" s="594"/>
      <c r="HIQ81" s="594"/>
      <c r="HIR81" s="594"/>
      <c r="HIS81" s="594"/>
      <c r="HIT81" s="594"/>
      <c r="HIU81" s="594"/>
      <c r="HIV81" s="594"/>
      <c r="HIW81" s="594"/>
      <c r="HIX81" s="594"/>
      <c r="HIY81" s="594"/>
      <c r="HIZ81" s="594"/>
      <c r="HJA81" s="594"/>
      <c r="HJB81" s="594"/>
      <c r="HJC81" s="594"/>
      <c r="HJD81" s="594"/>
      <c r="HJE81" s="594"/>
      <c r="HJF81" s="594"/>
      <c r="HJG81" s="594"/>
      <c r="HJH81" s="594"/>
      <c r="HJI81" s="594"/>
      <c r="HJJ81" s="594"/>
      <c r="HJK81" s="594"/>
      <c r="HJL81" s="594"/>
      <c r="HJM81" s="594"/>
      <c r="HJN81" s="594"/>
      <c r="HJO81" s="594"/>
      <c r="HJP81" s="594"/>
      <c r="HJQ81" s="594"/>
      <c r="HJR81" s="594"/>
      <c r="HJS81" s="594"/>
      <c r="HJT81" s="594"/>
      <c r="HJU81" s="594"/>
      <c r="HJV81" s="594"/>
      <c r="HJW81" s="594"/>
      <c r="HJX81" s="594"/>
      <c r="HJY81" s="594"/>
      <c r="HJZ81" s="594"/>
      <c r="HKA81" s="594"/>
      <c r="HKB81" s="594"/>
      <c r="HKC81" s="594"/>
      <c r="HKD81" s="594"/>
      <c r="HKE81" s="594"/>
      <c r="HKF81" s="594"/>
      <c r="HKG81" s="594"/>
      <c r="HKH81" s="594"/>
      <c r="HKI81" s="594"/>
      <c r="HKJ81" s="594"/>
      <c r="HKK81" s="594"/>
      <c r="HKL81" s="594"/>
      <c r="HKM81" s="594"/>
      <c r="HKN81" s="594"/>
      <c r="HKO81" s="594"/>
      <c r="HKP81" s="594"/>
      <c r="HKQ81" s="594"/>
      <c r="HKR81" s="594"/>
      <c r="HKS81" s="594"/>
      <c r="HKT81" s="594"/>
      <c r="HKU81" s="594"/>
      <c r="HKV81" s="594"/>
      <c r="HKW81" s="594"/>
      <c r="HKX81" s="594"/>
      <c r="HKY81" s="594"/>
      <c r="HKZ81" s="594"/>
      <c r="HLA81" s="594"/>
      <c r="HLB81" s="594"/>
      <c r="HLC81" s="594"/>
      <c r="HLD81" s="594"/>
      <c r="HLE81" s="594"/>
      <c r="HLF81" s="594"/>
      <c r="HLG81" s="594"/>
      <c r="HLH81" s="594"/>
      <c r="HLI81" s="594"/>
      <c r="HLJ81" s="594"/>
      <c r="HLK81" s="594"/>
      <c r="HLL81" s="594"/>
      <c r="HLM81" s="594"/>
      <c r="HLN81" s="594"/>
      <c r="HLO81" s="594"/>
      <c r="HLP81" s="594"/>
      <c r="HLQ81" s="594"/>
      <c r="HLR81" s="594"/>
      <c r="HLS81" s="594"/>
      <c r="HLT81" s="594"/>
      <c r="HLU81" s="594"/>
      <c r="HLV81" s="594"/>
      <c r="HLW81" s="594"/>
      <c r="HLX81" s="594"/>
      <c r="HLY81" s="594"/>
      <c r="HLZ81" s="594"/>
      <c r="HMA81" s="594"/>
      <c r="HMB81" s="594"/>
      <c r="HMC81" s="594"/>
      <c r="HMD81" s="594"/>
      <c r="HME81" s="594"/>
      <c r="HMF81" s="594"/>
      <c r="HMG81" s="594"/>
      <c r="HMH81" s="594"/>
      <c r="HMI81" s="594"/>
      <c r="HMJ81" s="594"/>
      <c r="HMK81" s="594"/>
      <c r="HML81" s="594"/>
      <c r="HMM81" s="594"/>
      <c r="HMN81" s="594"/>
      <c r="HMO81" s="594"/>
      <c r="HMP81" s="594"/>
      <c r="HMQ81" s="594"/>
      <c r="HMR81" s="594"/>
      <c r="HMS81" s="594"/>
      <c r="HMT81" s="594"/>
      <c r="HMU81" s="594"/>
      <c r="HMV81" s="594"/>
      <c r="HMW81" s="594"/>
      <c r="HMX81" s="594"/>
      <c r="HMY81" s="594"/>
      <c r="HMZ81" s="594"/>
      <c r="HNA81" s="594"/>
      <c r="HNB81" s="594"/>
      <c r="HNC81" s="594"/>
      <c r="HND81" s="594"/>
      <c r="HNE81" s="594"/>
      <c r="HNF81" s="594"/>
      <c r="HNG81" s="594"/>
      <c r="HNH81" s="594"/>
      <c r="HNI81" s="594"/>
      <c r="HNJ81" s="594"/>
      <c r="HNK81" s="594"/>
      <c r="HNL81" s="594"/>
      <c r="HNM81" s="594"/>
      <c r="HNN81" s="594"/>
      <c r="HNO81" s="594"/>
      <c r="HNP81" s="594"/>
      <c r="HNQ81" s="594"/>
      <c r="HNR81" s="594"/>
      <c r="HNS81" s="594"/>
      <c r="HNT81" s="594"/>
      <c r="HNU81" s="594"/>
      <c r="HNV81" s="594"/>
      <c r="HNW81" s="594"/>
      <c r="HNX81" s="594"/>
      <c r="HNY81" s="594"/>
      <c r="HNZ81" s="594"/>
      <c r="HOA81" s="594"/>
      <c r="HOB81" s="594"/>
      <c r="HOC81" s="594"/>
      <c r="HOD81" s="594"/>
      <c r="HOE81" s="594"/>
      <c r="HOF81" s="594"/>
      <c r="HOG81" s="594"/>
      <c r="HOH81" s="594"/>
      <c r="HOI81" s="594"/>
      <c r="HOJ81" s="594"/>
      <c r="HOK81" s="594"/>
      <c r="HOL81" s="594"/>
      <c r="HOM81" s="594"/>
      <c r="HON81" s="594"/>
      <c r="HOO81" s="594"/>
      <c r="HOP81" s="594"/>
      <c r="HOQ81" s="594"/>
      <c r="HOR81" s="594"/>
      <c r="HOS81" s="594"/>
      <c r="HOT81" s="594"/>
      <c r="HOU81" s="594"/>
      <c r="HOV81" s="594"/>
      <c r="HOW81" s="594"/>
      <c r="HOX81" s="594"/>
      <c r="HOY81" s="594"/>
      <c r="HOZ81" s="594"/>
      <c r="HPA81" s="594"/>
      <c r="HPB81" s="594"/>
      <c r="HPC81" s="594"/>
      <c r="HPD81" s="594"/>
      <c r="HPE81" s="594"/>
      <c r="HPF81" s="594"/>
      <c r="HPG81" s="594"/>
      <c r="HPH81" s="594"/>
      <c r="HPI81" s="594"/>
      <c r="HPJ81" s="594"/>
      <c r="HPK81" s="594"/>
      <c r="HPL81" s="594"/>
      <c r="HPM81" s="594"/>
      <c r="HPN81" s="594"/>
      <c r="HPO81" s="594"/>
      <c r="HPP81" s="594"/>
      <c r="HPQ81" s="594"/>
      <c r="HPR81" s="594"/>
      <c r="HPS81" s="594"/>
      <c r="HPT81" s="594"/>
      <c r="HPU81" s="594"/>
      <c r="HPV81" s="594"/>
      <c r="HPW81" s="594"/>
      <c r="HPX81" s="594"/>
      <c r="HPY81" s="594"/>
      <c r="HPZ81" s="594"/>
      <c r="HQA81" s="594"/>
      <c r="HQB81" s="594"/>
      <c r="HQC81" s="594"/>
      <c r="HQD81" s="594"/>
      <c r="HQE81" s="594"/>
      <c r="HQF81" s="594"/>
      <c r="HQG81" s="594"/>
      <c r="HQH81" s="594"/>
      <c r="HQI81" s="594"/>
      <c r="HQJ81" s="594"/>
      <c r="HQK81" s="594"/>
      <c r="HQL81" s="594"/>
      <c r="HQM81" s="594"/>
      <c r="HQN81" s="594"/>
      <c r="HQO81" s="594"/>
      <c r="HQP81" s="594"/>
      <c r="HQQ81" s="594"/>
      <c r="HQR81" s="594"/>
      <c r="HQS81" s="594"/>
      <c r="HQT81" s="594"/>
      <c r="HQU81" s="594"/>
      <c r="HQV81" s="594"/>
      <c r="HQW81" s="594"/>
      <c r="HQX81" s="594"/>
      <c r="HQY81" s="594"/>
      <c r="HQZ81" s="594"/>
      <c r="HRA81" s="594"/>
      <c r="HRB81" s="594"/>
      <c r="HRC81" s="594"/>
      <c r="HRD81" s="594"/>
      <c r="HRE81" s="594"/>
      <c r="HRF81" s="594"/>
      <c r="HRG81" s="594"/>
      <c r="HRH81" s="594"/>
      <c r="HRI81" s="594"/>
      <c r="HRJ81" s="594"/>
      <c r="HRK81" s="594"/>
      <c r="HRL81" s="594"/>
      <c r="HRM81" s="594"/>
      <c r="HRN81" s="594"/>
      <c r="HRO81" s="594"/>
      <c r="HRP81" s="594"/>
      <c r="HRQ81" s="594"/>
      <c r="HRR81" s="594"/>
      <c r="HRS81" s="594"/>
      <c r="HRT81" s="594"/>
      <c r="HRU81" s="594"/>
      <c r="HRV81" s="594"/>
      <c r="HRW81" s="594"/>
      <c r="HRX81" s="594"/>
      <c r="HRY81" s="594"/>
      <c r="HRZ81" s="594"/>
      <c r="HSA81" s="594"/>
      <c r="HSB81" s="594"/>
      <c r="HSC81" s="594"/>
      <c r="HSD81" s="594"/>
      <c r="HSE81" s="594"/>
      <c r="HSF81" s="594"/>
      <c r="HSG81" s="594"/>
      <c r="HSH81" s="594"/>
      <c r="HSI81" s="594"/>
      <c r="HSJ81" s="594"/>
      <c r="HSK81" s="594"/>
      <c r="HSL81" s="594"/>
      <c r="HSM81" s="594"/>
      <c r="HSN81" s="594"/>
      <c r="HSO81" s="594"/>
      <c r="HSP81" s="594"/>
      <c r="HSQ81" s="594"/>
      <c r="HSR81" s="594"/>
      <c r="HSS81" s="594"/>
      <c r="HST81" s="594"/>
      <c r="HSU81" s="594"/>
      <c r="HSV81" s="594"/>
      <c r="HSW81" s="594"/>
      <c r="HSX81" s="594"/>
      <c r="HSY81" s="594"/>
      <c r="HSZ81" s="594"/>
      <c r="HTA81" s="594"/>
      <c r="HTB81" s="594"/>
      <c r="HTC81" s="594"/>
      <c r="HTD81" s="594"/>
      <c r="HTE81" s="594"/>
      <c r="HTF81" s="594"/>
      <c r="HTG81" s="594"/>
      <c r="HTH81" s="594"/>
      <c r="HTI81" s="594"/>
      <c r="HTJ81" s="594"/>
      <c r="HTK81" s="594"/>
      <c r="HTL81" s="594"/>
      <c r="HTM81" s="594"/>
      <c r="HTN81" s="594"/>
      <c r="HTO81" s="594"/>
      <c r="HTP81" s="594"/>
      <c r="HTQ81" s="594"/>
      <c r="HTR81" s="594"/>
      <c r="HTS81" s="594"/>
      <c r="HTT81" s="594"/>
      <c r="HTU81" s="594"/>
      <c r="HTV81" s="594"/>
      <c r="HTW81" s="594"/>
      <c r="HTX81" s="594"/>
      <c r="HTY81" s="594"/>
      <c r="HTZ81" s="594"/>
      <c r="HUA81" s="594"/>
      <c r="HUB81" s="594"/>
      <c r="HUC81" s="594"/>
      <c r="HUD81" s="594"/>
      <c r="HUE81" s="594"/>
      <c r="HUF81" s="594"/>
      <c r="HUG81" s="594"/>
      <c r="HUH81" s="594"/>
      <c r="HUI81" s="594"/>
      <c r="HUJ81" s="594"/>
      <c r="HUK81" s="594"/>
      <c r="HUL81" s="594"/>
      <c r="HUM81" s="594"/>
      <c r="HUN81" s="594"/>
      <c r="HUO81" s="594"/>
      <c r="HUP81" s="594"/>
      <c r="HUQ81" s="594"/>
      <c r="HUR81" s="594"/>
      <c r="HUS81" s="594"/>
      <c r="HUT81" s="594"/>
      <c r="HUU81" s="594"/>
      <c r="HUV81" s="594"/>
      <c r="HUW81" s="594"/>
      <c r="HUX81" s="594"/>
      <c r="HUY81" s="594"/>
      <c r="HUZ81" s="594"/>
      <c r="HVA81" s="594"/>
      <c r="HVB81" s="594"/>
      <c r="HVC81" s="594"/>
      <c r="HVD81" s="594"/>
      <c r="HVE81" s="594"/>
      <c r="HVF81" s="594"/>
      <c r="HVG81" s="594"/>
      <c r="HVH81" s="594"/>
      <c r="HVI81" s="594"/>
      <c r="HVJ81" s="594"/>
      <c r="HVK81" s="594"/>
      <c r="HVL81" s="594"/>
      <c r="HVM81" s="594"/>
      <c r="HVN81" s="594"/>
      <c r="HVO81" s="594"/>
      <c r="HVP81" s="594"/>
      <c r="HVQ81" s="594"/>
      <c r="HVR81" s="594"/>
      <c r="HVS81" s="594"/>
      <c r="HVT81" s="594"/>
      <c r="HVU81" s="594"/>
      <c r="HVV81" s="594"/>
      <c r="HVW81" s="594"/>
      <c r="HVX81" s="594"/>
      <c r="HVY81" s="594"/>
      <c r="HVZ81" s="594"/>
      <c r="HWA81" s="594"/>
      <c r="HWB81" s="594"/>
      <c r="HWC81" s="594"/>
      <c r="HWD81" s="594"/>
      <c r="HWE81" s="594"/>
      <c r="HWF81" s="594"/>
      <c r="HWG81" s="594"/>
      <c r="HWH81" s="594"/>
      <c r="HWI81" s="594"/>
      <c r="HWJ81" s="594"/>
      <c r="HWK81" s="594"/>
      <c r="HWL81" s="594"/>
      <c r="HWM81" s="594"/>
      <c r="HWN81" s="594"/>
      <c r="HWO81" s="594"/>
      <c r="HWP81" s="594"/>
      <c r="HWQ81" s="594"/>
      <c r="HWR81" s="594"/>
      <c r="HWS81" s="594"/>
      <c r="HWT81" s="594"/>
      <c r="HWU81" s="594"/>
      <c r="HWV81" s="594"/>
      <c r="HWW81" s="594"/>
      <c r="HWX81" s="594"/>
      <c r="HWY81" s="594"/>
      <c r="HWZ81" s="594"/>
      <c r="HXA81" s="594"/>
      <c r="HXB81" s="594"/>
      <c r="HXC81" s="594"/>
      <c r="HXD81" s="594"/>
      <c r="HXE81" s="594"/>
      <c r="HXF81" s="594"/>
      <c r="HXG81" s="594"/>
      <c r="HXH81" s="594"/>
      <c r="HXI81" s="594"/>
      <c r="HXJ81" s="594"/>
      <c r="HXK81" s="594"/>
      <c r="HXL81" s="594"/>
      <c r="HXM81" s="594"/>
      <c r="HXN81" s="594"/>
      <c r="HXO81" s="594"/>
      <c r="HXP81" s="594"/>
      <c r="HXQ81" s="594"/>
      <c r="HXR81" s="594"/>
      <c r="HXS81" s="594"/>
      <c r="HXT81" s="594"/>
      <c r="HXU81" s="594"/>
      <c r="HXV81" s="594"/>
      <c r="HXW81" s="594"/>
      <c r="HXX81" s="594"/>
      <c r="HXY81" s="594"/>
      <c r="HXZ81" s="594"/>
      <c r="HYA81" s="594"/>
      <c r="HYB81" s="594"/>
      <c r="HYC81" s="594"/>
      <c r="HYD81" s="594"/>
      <c r="HYE81" s="594"/>
      <c r="HYF81" s="594"/>
      <c r="HYG81" s="594"/>
      <c r="HYH81" s="594"/>
      <c r="HYI81" s="594"/>
      <c r="HYJ81" s="594"/>
      <c r="HYK81" s="594"/>
      <c r="HYL81" s="594"/>
      <c r="HYM81" s="594"/>
      <c r="HYN81" s="594"/>
      <c r="HYO81" s="594"/>
      <c r="HYP81" s="594"/>
      <c r="HYQ81" s="594"/>
      <c r="HYR81" s="594"/>
      <c r="HYS81" s="594"/>
      <c r="HYT81" s="594"/>
      <c r="HYU81" s="594"/>
      <c r="HYV81" s="594"/>
      <c r="HYW81" s="594"/>
      <c r="HYX81" s="594"/>
      <c r="HYY81" s="594"/>
      <c r="HYZ81" s="594"/>
      <c r="HZA81" s="594"/>
      <c r="HZB81" s="594"/>
      <c r="HZC81" s="594"/>
      <c r="HZD81" s="594"/>
      <c r="HZE81" s="594"/>
      <c r="HZF81" s="594"/>
      <c r="HZG81" s="594"/>
      <c r="HZH81" s="594"/>
      <c r="HZI81" s="594"/>
      <c r="HZJ81" s="594"/>
      <c r="HZK81" s="594"/>
      <c r="HZL81" s="594"/>
      <c r="HZM81" s="594"/>
      <c r="HZN81" s="594"/>
      <c r="HZO81" s="594"/>
      <c r="HZP81" s="594"/>
      <c r="HZQ81" s="594"/>
      <c r="HZR81" s="594"/>
      <c r="HZS81" s="594"/>
      <c r="HZT81" s="594"/>
      <c r="HZU81" s="594"/>
      <c r="HZV81" s="594"/>
      <c r="HZW81" s="594"/>
      <c r="HZX81" s="594"/>
      <c r="HZY81" s="594"/>
      <c r="HZZ81" s="594"/>
      <c r="IAA81" s="594"/>
      <c r="IAB81" s="594"/>
      <c r="IAC81" s="594"/>
      <c r="IAD81" s="594"/>
      <c r="IAE81" s="594"/>
      <c r="IAF81" s="594"/>
      <c r="IAG81" s="594"/>
      <c r="IAH81" s="594"/>
      <c r="IAI81" s="594"/>
      <c r="IAJ81" s="594"/>
      <c r="IAK81" s="594"/>
      <c r="IAL81" s="594"/>
      <c r="IAM81" s="594"/>
      <c r="IAN81" s="594"/>
      <c r="IAO81" s="594"/>
      <c r="IAP81" s="594"/>
      <c r="IAQ81" s="594"/>
      <c r="IAR81" s="594"/>
      <c r="IAS81" s="594"/>
      <c r="IAT81" s="594"/>
      <c r="IAU81" s="594"/>
      <c r="IAV81" s="594"/>
      <c r="IAW81" s="594"/>
      <c r="IAX81" s="594"/>
      <c r="IAY81" s="594"/>
      <c r="IAZ81" s="594"/>
      <c r="IBA81" s="594"/>
      <c r="IBB81" s="594"/>
      <c r="IBC81" s="594"/>
      <c r="IBD81" s="594"/>
      <c r="IBE81" s="594"/>
      <c r="IBF81" s="594"/>
      <c r="IBG81" s="594"/>
      <c r="IBH81" s="594"/>
      <c r="IBI81" s="594"/>
      <c r="IBJ81" s="594"/>
      <c r="IBK81" s="594"/>
      <c r="IBL81" s="594"/>
      <c r="IBM81" s="594"/>
      <c r="IBN81" s="594"/>
      <c r="IBO81" s="594"/>
      <c r="IBP81" s="594"/>
      <c r="IBQ81" s="594"/>
      <c r="IBR81" s="594"/>
      <c r="IBS81" s="594"/>
      <c r="IBT81" s="594"/>
      <c r="IBU81" s="594"/>
      <c r="IBV81" s="594"/>
      <c r="IBW81" s="594"/>
      <c r="IBX81" s="594"/>
      <c r="IBY81" s="594"/>
      <c r="IBZ81" s="594"/>
      <c r="ICA81" s="594"/>
      <c r="ICB81" s="594"/>
      <c r="ICC81" s="594"/>
      <c r="ICD81" s="594"/>
      <c r="ICE81" s="594"/>
      <c r="ICF81" s="594"/>
      <c r="ICG81" s="594"/>
      <c r="ICH81" s="594"/>
      <c r="ICI81" s="594"/>
      <c r="ICJ81" s="594"/>
      <c r="ICK81" s="594"/>
      <c r="ICL81" s="594"/>
      <c r="ICM81" s="594"/>
      <c r="ICN81" s="594"/>
      <c r="ICO81" s="594"/>
      <c r="ICP81" s="594"/>
      <c r="ICQ81" s="594"/>
      <c r="ICR81" s="594"/>
      <c r="ICS81" s="594"/>
      <c r="ICT81" s="594"/>
      <c r="ICU81" s="594"/>
      <c r="ICV81" s="594"/>
      <c r="ICW81" s="594"/>
      <c r="ICX81" s="594"/>
      <c r="ICY81" s="594"/>
      <c r="ICZ81" s="594"/>
      <c r="IDA81" s="594"/>
      <c r="IDB81" s="594"/>
      <c r="IDC81" s="594"/>
      <c r="IDD81" s="594"/>
      <c r="IDE81" s="594"/>
      <c r="IDF81" s="594"/>
      <c r="IDG81" s="594"/>
      <c r="IDH81" s="594"/>
      <c r="IDI81" s="594"/>
      <c r="IDJ81" s="594"/>
      <c r="IDK81" s="594"/>
      <c r="IDL81" s="594"/>
      <c r="IDM81" s="594"/>
      <c r="IDN81" s="594"/>
      <c r="IDO81" s="594"/>
      <c r="IDP81" s="594"/>
      <c r="IDQ81" s="594"/>
      <c r="IDR81" s="594"/>
      <c r="IDS81" s="594"/>
      <c r="IDT81" s="594"/>
      <c r="IDU81" s="594"/>
      <c r="IDV81" s="594"/>
      <c r="IDW81" s="594"/>
      <c r="IDX81" s="594"/>
      <c r="IDY81" s="594"/>
      <c r="IDZ81" s="594"/>
      <c r="IEA81" s="594"/>
      <c r="IEB81" s="594"/>
      <c r="IEC81" s="594"/>
      <c r="IED81" s="594"/>
      <c r="IEE81" s="594"/>
      <c r="IEF81" s="594"/>
      <c r="IEG81" s="594"/>
      <c r="IEH81" s="594"/>
      <c r="IEI81" s="594"/>
      <c r="IEJ81" s="594"/>
      <c r="IEK81" s="594"/>
      <c r="IEL81" s="594"/>
      <c r="IEM81" s="594"/>
      <c r="IEN81" s="594"/>
      <c r="IEO81" s="594"/>
      <c r="IEP81" s="594"/>
      <c r="IEQ81" s="594"/>
      <c r="IER81" s="594"/>
      <c r="IES81" s="594"/>
      <c r="IET81" s="594"/>
      <c r="IEU81" s="594"/>
      <c r="IEV81" s="594"/>
      <c r="IEW81" s="594"/>
      <c r="IEX81" s="594"/>
      <c r="IEY81" s="594"/>
      <c r="IEZ81" s="594"/>
      <c r="IFA81" s="594"/>
      <c r="IFB81" s="594"/>
      <c r="IFC81" s="594"/>
      <c r="IFD81" s="594"/>
      <c r="IFE81" s="594"/>
      <c r="IFF81" s="594"/>
      <c r="IFG81" s="594"/>
      <c r="IFH81" s="594"/>
      <c r="IFI81" s="594"/>
      <c r="IFJ81" s="594"/>
      <c r="IFK81" s="594"/>
      <c r="IFL81" s="594"/>
      <c r="IFM81" s="594"/>
      <c r="IFN81" s="594"/>
      <c r="IFO81" s="594"/>
      <c r="IFP81" s="594"/>
      <c r="IFQ81" s="594"/>
      <c r="IFR81" s="594"/>
      <c r="IFS81" s="594"/>
      <c r="IFT81" s="594"/>
      <c r="IFU81" s="594"/>
      <c r="IFV81" s="594"/>
      <c r="IFW81" s="594"/>
      <c r="IFX81" s="594"/>
      <c r="IFY81" s="594"/>
      <c r="IFZ81" s="594"/>
      <c r="IGA81" s="594"/>
      <c r="IGB81" s="594"/>
      <c r="IGC81" s="594"/>
      <c r="IGD81" s="594"/>
      <c r="IGE81" s="594"/>
      <c r="IGF81" s="594"/>
      <c r="IGG81" s="594"/>
      <c r="IGH81" s="594"/>
      <c r="IGI81" s="594"/>
      <c r="IGJ81" s="594"/>
      <c r="IGK81" s="594"/>
      <c r="IGL81" s="594"/>
      <c r="IGM81" s="594"/>
      <c r="IGN81" s="594"/>
      <c r="IGO81" s="594"/>
      <c r="IGP81" s="594"/>
      <c r="IGQ81" s="594"/>
      <c r="IGR81" s="594"/>
      <c r="IGS81" s="594"/>
      <c r="IGT81" s="594"/>
      <c r="IGU81" s="594"/>
      <c r="IGV81" s="594"/>
      <c r="IGW81" s="594"/>
      <c r="IGX81" s="594"/>
      <c r="IGY81" s="594"/>
      <c r="IGZ81" s="594"/>
      <c r="IHA81" s="594"/>
      <c r="IHB81" s="594"/>
      <c r="IHC81" s="594"/>
      <c r="IHD81" s="594"/>
      <c r="IHE81" s="594"/>
      <c r="IHF81" s="594"/>
      <c r="IHG81" s="594"/>
      <c r="IHH81" s="594"/>
      <c r="IHI81" s="594"/>
      <c r="IHJ81" s="594"/>
      <c r="IHK81" s="594"/>
      <c r="IHL81" s="594"/>
      <c r="IHM81" s="594"/>
      <c r="IHN81" s="594"/>
      <c r="IHO81" s="594"/>
      <c r="IHP81" s="594"/>
      <c r="IHQ81" s="594"/>
      <c r="IHR81" s="594"/>
      <c r="IHS81" s="594"/>
      <c r="IHT81" s="594"/>
      <c r="IHU81" s="594"/>
      <c r="IHV81" s="594"/>
      <c r="IHW81" s="594"/>
      <c r="IHX81" s="594"/>
      <c r="IHY81" s="594"/>
      <c r="IHZ81" s="594"/>
      <c r="IIA81" s="594"/>
      <c r="IIB81" s="594"/>
      <c r="IIC81" s="594"/>
      <c r="IID81" s="594"/>
      <c r="IIE81" s="594"/>
      <c r="IIF81" s="594"/>
      <c r="IIG81" s="594"/>
      <c r="IIH81" s="594"/>
      <c r="III81" s="594"/>
      <c r="IIJ81" s="594"/>
      <c r="IIK81" s="594"/>
      <c r="IIL81" s="594"/>
      <c r="IIM81" s="594"/>
      <c r="IIN81" s="594"/>
      <c r="IIO81" s="594"/>
      <c r="IIP81" s="594"/>
      <c r="IIQ81" s="594"/>
      <c r="IIR81" s="594"/>
      <c r="IIS81" s="594"/>
      <c r="IIT81" s="594"/>
      <c r="IIU81" s="594"/>
      <c r="IIV81" s="594"/>
      <c r="IIW81" s="594"/>
      <c r="IIX81" s="594"/>
      <c r="IIY81" s="594"/>
      <c r="IIZ81" s="594"/>
      <c r="IJA81" s="594"/>
      <c r="IJB81" s="594"/>
      <c r="IJC81" s="594"/>
      <c r="IJD81" s="594"/>
      <c r="IJE81" s="594"/>
      <c r="IJF81" s="594"/>
      <c r="IJG81" s="594"/>
      <c r="IJH81" s="594"/>
      <c r="IJI81" s="594"/>
      <c r="IJJ81" s="594"/>
      <c r="IJK81" s="594"/>
      <c r="IJL81" s="594"/>
      <c r="IJM81" s="594"/>
      <c r="IJN81" s="594"/>
      <c r="IJO81" s="594"/>
      <c r="IJP81" s="594"/>
      <c r="IJQ81" s="594"/>
      <c r="IJR81" s="594"/>
      <c r="IJS81" s="594"/>
      <c r="IJT81" s="594"/>
      <c r="IJU81" s="594"/>
      <c r="IJV81" s="594"/>
      <c r="IJW81" s="594"/>
      <c r="IJX81" s="594"/>
      <c r="IJY81" s="594"/>
      <c r="IJZ81" s="594"/>
      <c r="IKA81" s="594"/>
      <c r="IKB81" s="594"/>
      <c r="IKC81" s="594"/>
      <c r="IKD81" s="594"/>
      <c r="IKE81" s="594"/>
      <c r="IKF81" s="594"/>
      <c r="IKG81" s="594"/>
      <c r="IKH81" s="594"/>
      <c r="IKI81" s="594"/>
      <c r="IKJ81" s="594"/>
      <c r="IKK81" s="594"/>
      <c r="IKL81" s="594"/>
      <c r="IKM81" s="594"/>
      <c r="IKN81" s="594"/>
      <c r="IKO81" s="594"/>
      <c r="IKP81" s="594"/>
      <c r="IKQ81" s="594"/>
      <c r="IKR81" s="594"/>
      <c r="IKS81" s="594"/>
      <c r="IKT81" s="594"/>
      <c r="IKU81" s="594"/>
      <c r="IKV81" s="594"/>
      <c r="IKW81" s="594"/>
      <c r="IKX81" s="594"/>
      <c r="IKY81" s="594"/>
      <c r="IKZ81" s="594"/>
      <c r="ILA81" s="594"/>
      <c r="ILB81" s="594"/>
      <c r="ILC81" s="594"/>
      <c r="ILD81" s="594"/>
      <c r="ILE81" s="594"/>
      <c r="ILF81" s="594"/>
      <c r="ILG81" s="594"/>
      <c r="ILH81" s="594"/>
      <c r="ILI81" s="594"/>
      <c r="ILJ81" s="594"/>
      <c r="ILK81" s="594"/>
      <c r="ILL81" s="594"/>
      <c r="ILM81" s="594"/>
      <c r="ILN81" s="594"/>
      <c r="ILO81" s="594"/>
      <c r="ILP81" s="594"/>
      <c r="ILQ81" s="594"/>
      <c r="ILR81" s="594"/>
      <c r="ILS81" s="594"/>
      <c r="ILT81" s="594"/>
      <c r="ILU81" s="594"/>
      <c r="ILV81" s="594"/>
      <c r="ILW81" s="594"/>
      <c r="ILX81" s="594"/>
      <c r="ILY81" s="594"/>
      <c r="ILZ81" s="594"/>
      <c r="IMA81" s="594"/>
      <c r="IMB81" s="594"/>
      <c r="IMC81" s="594"/>
      <c r="IMD81" s="594"/>
      <c r="IME81" s="594"/>
      <c r="IMF81" s="594"/>
      <c r="IMG81" s="594"/>
      <c r="IMH81" s="594"/>
      <c r="IMI81" s="594"/>
      <c r="IMJ81" s="594"/>
      <c r="IMK81" s="594"/>
      <c r="IML81" s="594"/>
      <c r="IMM81" s="594"/>
      <c r="IMN81" s="594"/>
      <c r="IMO81" s="594"/>
      <c r="IMP81" s="594"/>
      <c r="IMQ81" s="594"/>
      <c r="IMR81" s="594"/>
      <c r="IMS81" s="594"/>
      <c r="IMT81" s="594"/>
      <c r="IMU81" s="594"/>
      <c r="IMV81" s="594"/>
      <c r="IMW81" s="594"/>
      <c r="IMX81" s="594"/>
      <c r="IMY81" s="594"/>
      <c r="IMZ81" s="594"/>
      <c r="INA81" s="594"/>
      <c r="INB81" s="594"/>
      <c r="INC81" s="594"/>
      <c r="IND81" s="594"/>
      <c r="INE81" s="594"/>
      <c r="INF81" s="594"/>
      <c r="ING81" s="594"/>
      <c r="INH81" s="594"/>
      <c r="INI81" s="594"/>
      <c r="INJ81" s="594"/>
      <c r="INK81" s="594"/>
      <c r="INL81" s="594"/>
      <c r="INM81" s="594"/>
      <c r="INN81" s="594"/>
      <c r="INO81" s="594"/>
      <c r="INP81" s="594"/>
      <c r="INQ81" s="594"/>
      <c r="INR81" s="594"/>
      <c r="INS81" s="594"/>
      <c r="INT81" s="594"/>
      <c r="INU81" s="594"/>
      <c r="INV81" s="594"/>
      <c r="INW81" s="594"/>
      <c r="INX81" s="594"/>
      <c r="INY81" s="594"/>
      <c r="INZ81" s="594"/>
      <c r="IOA81" s="594"/>
      <c r="IOB81" s="594"/>
      <c r="IOC81" s="594"/>
      <c r="IOD81" s="594"/>
      <c r="IOE81" s="594"/>
      <c r="IOF81" s="594"/>
      <c r="IOG81" s="594"/>
      <c r="IOH81" s="594"/>
      <c r="IOI81" s="594"/>
      <c r="IOJ81" s="594"/>
      <c r="IOK81" s="594"/>
      <c r="IOL81" s="594"/>
      <c r="IOM81" s="594"/>
      <c r="ION81" s="594"/>
      <c r="IOO81" s="594"/>
      <c r="IOP81" s="594"/>
      <c r="IOQ81" s="594"/>
      <c r="IOR81" s="594"/>
      <c r="IOS81" s="594"/>
      <c r="IOT81" s="594"/>
      <c r="IOU81" s="594"/>
      <c r="IOV81" s="594"/>
      <c r="IOW81" s="594"/>
      <c r="IOX81" s="594"/>
      <c r="IOY81" s="594"/>
      <c r="IOZ81" s="594"/>
      <c r="IPA81" s="594"/>
      <c r="IPB81" s="594"/>
      <c r="IPC81" s="594"/>
      <c r="IPD81" s="594"/>
      <c r="IPE81" s="594"/>
      <c r="IPF81" s="594"/>
      <c r="IPG81" s="594"/>
      <c r="IPH81" s="594"/>
      <c r="IPI81" s="594"/>
      <c r="IPJ81" s="594"/>
      <c r="IPK81" s="594"/>
      <c r="IPL81" s="594"/>
      <c r="IPM81" s="594"/>
      <c r="IPN81" s="594"/>
      <c r="IPO81" s="594"/>
      <c r="IPP81" s="594"/>
      <c r="IPQ81" s="594"/>
      <c r="IPR81" s="594"/>
      <c r="IPS81" s="594"/>
      <c r="IPT81" s="594"/>
      <c r="IPU81" s="594"/>
      <c r="IPV81" s="594"/>
      <c r="IPW81" s="594"/>
      <c r="IPX81" s="594"/>
      <c r="IPY81" s="594"/>
      <c r="IPZ81" s="594"/>
      <c r="IQA81" s="594"/>
      <c r="IQB81" s="594"/>
      <c r="IQC81" s="594"/>
      <c r="IQD81" s="594"/>
      <c r="IQE81" s="594"/>
      <c r="IQF81" s="594"/>
      <c r="IQG81" s="594"/>
      <c r="IQH81" s="594"/>
      <c r="IQI81" s="594"/>
      <c r="IQJ81" s="594"/>
      <c r="IQK81" s="594"/>
      <c r="IQL81" s="594"/>
      <c r="IQM81" s="594"/>
      <c r="IQN81" s="594"/>
      <c r="IQO81" s="594"/>
      <c r="IQP81" s="594"/>
      <c r="IQQ81" s="594"/>
      <c r="IQR81" s="594"/>
      <c r="IQS81" s="594"/>
      <c r="IQT81" s="594"/>
      <c r="IQU81" s="594"/>
      <c r="IQV81" s="594"/>
      <c r="IQW81" s="594"/>
      <c r="IQX81" s="594"/>
      <c r="IQY81" s="594"/>
      <c r="IQZ81" s="594"/>
      <c r="IRA81" s="594"/>
      <c r="IRB81" s="594"/>
      <c r="IRC81" s="594"/>
      <c r="IRD81" s="594"/>
      <c r="IRE81" s="594"/>
      <c r="IRF81" s="594"/>
      <c r="IRG81" s="594"/>
      <c r="IRH81" s="594"/>
      <c r="IRI81" s="594"/>
      <c r="IRJ81" s="594"/>
      <c r="IRK81" s="594"/>
      <c r="IRL81" s="594"/>
      <c r="IRM81" s="594"/>
      <c r="IRN81" s="594"/>
      <c r="IRO81" s="594"/>
      <c r="IRP81" s="594"/>
      <c r="IRQ81" s="594"/>
      <c r="IRR81" s="594"/>
      <c r="IRS81" s="594"/>
      <c r="IRT81" s="594"/>
      <c r="IRU81" s="594"/>
      <c r="IRV81" s="594"/>
      <c r="IRW81" s="594"/>
      <c r="IRX81" s="594"/>
      <c r="IRY81" s="594"/>
      <c r="IRZ81" s="594"/>
      <c r="ISA81" s="594"/>
      <c r="ISB81" s="594"/>
      <c r="ISC81" s="594"/>
      <c r="ISD81" s="594"/>
      <c r="ISE81" s="594"/>
      <c r="ISF81" s="594"/>
      <c r="ISG81" s="594"/>
      <c r="ISH81" s="594"/>
      <c r="ISI81" s="594"/>
      <c r="ISJ81" s="594"/>
      <c r="ISK81" s="594"/>
      <c r="ISL81" s="594"/>
      <c r="ISM81" s="594"/>
      <c r="ISN81" s="594"/>
      <c r="ISO81" s="594"/>
      <c r="ISP81" s="594"/>
      <c r="ISQ81" s="594"/>
      <c r="ISR81" s="594"/>
      <c r="ISS81" s="594"/>
      <c r="IST81" s="594"/>
      <c r="ISU81" s="594"/>
      <c r="ISV81" s="594"/>
      <c r="ISW81" s="594"/>
      <c r="ISX81" s="594"/>
      <c r="ISY81" s="594"/>
      <c r="ISZ81" s="594"/>
      <c r="ITA81" s="594"/>
      <c r="ITB81" s="594"/>
      <c r="ITC81" s="594"/>
      <c r="ITD81" s="594"/>
      <c r="ITE81" s="594"/>
      <c r="ITF81" s="594"/>
      <c r="ITG81" s="594"/>
      <c r="ITH81" s="594"/>
      <c r="ITI81" s="594"/>
      <c r="ITJ81" s="594"/>
      <c r="ITK81" s="594"/>
      <c r="ITL81" s="594"/>
      <c r="ITM81" s="594"/>
      <c r="ITN81" s="594"/>
      <c r="ITO81" s="594"/>
      <c r="ITP81" s="594"/>
      <c r="ITQ81" s="594"/>
      <c r="ITR81" s="594"/>
      <c r="ITS81" s="594"/>
      <c r="ITT81" s="594"/>
      <c r="ITU81" s="594"/>
      <c r="ITV81" s="594"/>
      <c r="ITW81" s="594"/>
      <c r="ITX81" s="594"/>
      <c r="ITY81" s="594"/>
      <c r="ITZ81" s="594"/>
      <c r="IUA81" s="594"/>
      <c r="IUB81" s="594"/>
      <c r="IUC81" s="594"/>
      <c r="IUD81" s="594"/>
      <c r="IUE81" s="594"/>
      <c r="IUF81" s="594"/>
      <c r="IUG81" s="594"/>
      <c r="IUH81" s="594"/>
      <c r="IUI81" s="594"/>
      <c r="IUJ81" s="594"/>
      <c r="IUK81" s="594"/>
      <c r="IUL81" s="594"/>
      <c r="IUM81" s="594"/>
      <c r="IUN81" s="594"/>
      <c r="IUO81" s="594"/>
      <c r="IUP81" s="594"/>
      <c r="IUQ81" s="594"/>
      <c r="IUR81" s="594"/>
      <c r="IUS81" s="594"/>
      <c r="IUT81" s="594"/>
      <c r="IUU81" s="594"/>
      <c r="IUV81" s="594"/>
      <c r="IUW81" s="594"/>
      <c r="IUX81" s="594"/>
      <c r="IUY81" s="594"/>
      <c r="IUZ81" s="594"/>
      <c r="IVA81" s="594"/>
      <c r="IVB81" s="594"/>
      <c r="IVC81" s="594"/>
      <c r="IVD81" s="594"/>
      <c r="IVE81" s="594"/>
      <c r="IVF81" s="594"/>
      <c r="IVG81" s="594"/>
      <c r="IVH81" s="594"/>
      <c r="IVI81" s="594"/>
      <c r="IVJ81" s="594"/>
      <c r="IVK81" s="594"/>
      <c r="IVL81" s="594"/>
      <c r="IVM81" s="594"/>
      <c r="IVN81" s="594"/>
      <c r="IVO81" s="594"/>
      <c r="IVP81" s="594"/>
      <c r="IVQ81" s="594"/>
      <c r="IVR81" s="594"/>
      <c r="IVS81" s="594"/>
      <c r="IVT81" s="594"/>
      <c r="IVU81" s="594"/>
      <c r="IVV81" s="594"/>
      <c r="IVW81" s="594"/>
      <c r="IVX81" s="594"/>
      <c r="IVY81" s="594"/>
      <c r="IVZ81" s="594"/>
      <c r="IWA81" s="594"/>
      <c r="IWB81" s="594"/>
      <c r="IWC81" s="594"/>
      <c r="IWD81" s="594"/>
      <c r="IWE81" s="594"/>
      <c r="IWF81" s="594"/>
      <c r="IWG81" s="594"/>
      <c r="IWH81" s="594"/>
      <c r="IWI81" s="594"/>
      <c r="IWJ81" s="594"/>
      <c r="IWK81" s="594"/>
      <c r="IWL81" s="594"/>
      <c r="IWM81" s="594"/>
      <c r="IWN81" s="594"/>
      <c r="IWO81" s="594"/>
      <c r="IWP81" s="594"/>
      <c r="IWQ81" s="594"/>
      <c r="IWR81" s="594"/>
      <c r="IWS81" s="594"/>
      <c r="IWT81" s="594"/>
      <c r="IWU81" s="594"/>
      <c r="IWV81" s="594"/>
      <c r="IWW81" s="594"/>
      <c r="IWX81" s="594"/>
      <c r="IWY81" s="594"/>
      <c r="IWZ81" s="594"/>
      <c r="IXA81" s="594"/>
      <c r="IXB81" s="594"/>
      <c r="IXC81" s="594"/>
      <c r="IXD81" s="594"/>
      <c r="IXE81" s="594"/>
      <c r="IXF81" s="594"/>
      <c r="IXG81" s="594"/>
      <c r="IXH81" s="594"/>
      <c r="IXI81" s="594"/>
      <c r="IXJ81" s="594"/>
      <c r="IXK81" s="594"/>
      <c r="IXL81" s="594"/>
      <c r="IXM81" s="594"/>
      <c r="IXN81" s="594"/>
      <c r="IXO81" s="594"/>
      <c r="IXP81" s="594"/>
      <c r="IXQ81" s="594"/>
      <c r="IXR81" s="594"/>
      <c r="IXS81" s="594"/>
      <c r="IXT81" s="594"/>
      <c r="IXU81" s="594"/>
      <c r="IXV81" s="594"/>
      <c r="IXW81" s="594"/>
      <c r="IXX81" s="594"/>
      <c r="IXY81" s="594"/>
      <c r="IXZ81" s="594"/>
      <c r="IYA81" s="594"/>
      <c r="IYB81" s="594"/>
      <c r="IYC81" s="594"/>
      <c r="IYD81" s="594"/>
      <c r="IYE81" s="594"/>
      <c r="IYF81" s="594"/>
      <c r="IYG81" s="594"/>
      <c r="IYH81" s="594"/>
      <c r="IYI81" s="594"/>
      <c r="IYJ81" s="594"/>
      <c r="IYK81" s="594"/>
      <c r="IYL81" s="594"/>
      <c r="IYM81" s="594"/>
      <c r="IYN81" s="594"/>
      <c r="IYO81" s="594"/>
      <c r="IYP81" s="594"/>
      <c r="IYQ81" s="594"/>
      <c r="IYR81" s="594"/>
      <c r="IYS81" s="594"/>
      <c r="IYT81" s="594"/>
      <c r="IYU81" s="594"/>
      <c r="IYV81" s="594"/>
      <c r="IYW81" s="594"/>
      <c r="IYX81" s="594"/>
      <c r="IYY81" s="594"/>
      <c r="IYZ81" s="594"/>
      <c r="IZA81" s="594"/>
      <c r="IZB81" s="594"/>
      <c r="IZC81" s="594"/>
      <c r="IZD81" s="594"/>
      <c r="IZE81" s="594"/>
      <c r="IZF81" s="594"/>
      <c r="IZG81" s="594"/>
      <c r="IZH81" s="594"/>
      <c r="IZI81" s="594"/>
      <c r="IZJ81" s="594"/>
      <c r="IZK81" s="594"/>
      <c r="IZL81" s="594"/>
      <c r="IZM81" s="594"/>
      <c r="IZN81" s="594"/>
      <c r="IZO81" s="594"/>
      <c r="IZP81" s="594"/>
      <c r="IZQ81" s="594"/>
      <c r="IZR81" s="594"/>
      <c r="IZS81" s="594"/>
      <c r="IZT81" s="594"/>
      <c r="IZU81" s="594"/>
      <c r="IZV81" s="594"/>
      <c r="IZW81" s="594"/>
      <c r="IZX81" s="594"/>
      <c r="IZY81" s="594"/>
      <c r="IZZ81" s="594"/>
      <c r="JAA81" s="594"/>
      <c r="JAB81" s="594"/>
      <c r="JAC81" s="594"/>
      <c r="JAD81" s="594"/>
      <c r="JAE81" s="594"/>
      <c r="JAF81" s="594"/>
      <c r="JAG81" s="594"/>
      <c r="JAH81" s="594"/>
      <c r="JAI81" s="594"/>
      <c r="JAJ81" s="594"/>
      <c r="JAK81" s="594"/>
      <c r="JAL81" s="594"/>
      <c r="JAM81" s="594"/>
      <c r="JAN81" s="594"/>
      <c r="JAO81" s="594"/>
      <c r="JAP81" s="594"/>
      <c r="JAQ81" s="594"/>
      <c r="JAR81" s="594"/>
      <c r="JAS81" s="594"/>
      <c r="JAT81" s="594"/>
      <c r="JAU81" s="594"/>
      <c r="JAV81" s="594"/>
      <c r="JAW81" s="594"/>
      <c r="JAX81" s="594"/>
      <c r="JAY81" s="594"/>
      <c r="JAZ81" s="594"/>
      <c r="JBA81" s="594"/>
      <c r="JBB81" s="594"/>
      <c r="JBC81" s="594"/>
      <c r="JBD81" s="594"/>
      <c r="JBE81" s="594"/>
      <c r="JBF81" s="594"/>
      <c r="JBG81" s="594"/>
      <c r="JBH81" s="594"/>
      <c r="JBI81" s="594"/>
      <c r="JBJ81" s="594"/>
      <c r="JBK81" s="594"/>
      <c r="JBL81" s="594"/>
      <c r="JBM81" s="594"/>
      <c r="JBN81" s="594"/>
      <c r="JBO81" s="594"/>
      <c r="JBP81" s="594"/>
      <c r="JBQ81" s="594"/>
      <c r="JBR81" s="594"/>
      <c r="JBS81" s="594"/>
      <c r="JBT81" s="594"/>
      <c r="JBU81" s="594"/>
      <c r="JBV81" s="594"/>
      <c r="JBW81" s="594"/>
      <c r="JBX81" s="594"/>
      <c r="JBY81" s="594"/>
      <c r="JBZ81" s="594"/>
      <c r="JCA81" s="594"/>
      <c r="JCB81" s="594"/>
      <c r="JCC81" s="594"/>
      <c r="JCD81" s="594"/>
      <c r="JCE81" s="594"/>
      <c r="JCF81" s="594"/>
      <c r="JCG81" s="594"/>
      <c r="JCH81" s="594"/>
      <c r="JCI81" s="594"/>
      <c r="JCJ81" s="594"/>
      <c r="JCK81" s="594"/>
      <c r="JCL81" s="594"/>
      <c r="JCM81" s="594"/>
      <c r="JCN81" s="594"/>
      <c r="JCO81" s="594"/>
      <c r="JCP81" s="594"/>
      <c r="JCQ81" s="594"/>
      <c r="JCR81" s="594"/>
      <c r="JCS81" s="594"/>
      <c r="JCT81" s="594"/>
      <c r="JCU81" s="594"/>
      <c r="JCV81" s="594"/>
      <c r="JCW81" s="594"/>
      <c r="JCX81" s="594"/>
      <c r="JCY81" s="594"/>
      <c r="JCZ81" s="594"/>
      <c r="JDA81" s="594"/>
      <c r="JDB81" s="594"/>
      <c r="JDC81" s="594"/>
      <c r="JDD81" s="594"/>
      <c r="JDE81" s="594"/>
      <c r="JDF81" s="594"/>
      <c r="JDG81" s="594"/>
      <c r="JDH81" s="594"/>
      <c r="JDI81" s="594"/>
      <c r="JDJ81" s="594"/>
      <c r="JDK81" s="594"/>
      <c r="JDL81" s="594"/>
      <c r="JDM81" s="594"/>
      <c r="JDN81" s="594"/>
      <c r="JDO81" s="594"/>
      <c r="JDP81" s="594"/>
      <c r="JDQ81" s="594"/>
      <c r="JDR81" s="594"/>
      <c r="JDS81" s="594"/>
      <c r="JDT81" s="594"/>
      <c r="JDU81" s="594"/>
      <c r="JDV81" s="594"/>
      <c r="JDW81" s="594"/>
      <c r="JDX81" s="594"/>
      <c r="JDY81" s="594"/>
      <c r="JDZ81" s="594"/>
      <c r="JEA81" s="594"/>
      <c r="JEB81" s="594"/>
      <c r="JEC81" s="594"/>
      <c r="JED81" s="594"/>
      <c r="JEE81" s="594"/>
      <c r="JEF81" s="594"/>
      <c r="JEG81" s="594"/>
      <c r="JEH81" s="594"/>
      <c r="JEI81" s="594"/>
      <c r="JEJ81" s="594"/>
      <c r="JEK81" s="594"/>
      <c r="JEL81" s="594"/>
      <c r="JEM81" s="594"/>
      <c r="JEN81" s="594"/>
      <c r="JEO81" s="594"/>
      <c r="JEP81" s="594"/>
      <c r="JEQ81" s="594"/>
      <c r="JER81" s="594"/>
      <c r="JES81" s="594"/>
      <c r="JET81" s="594"/>
      <c r="JEU81" s="594"/>
      <c r="JEV81" s="594"/>
      <c r="JEW81" s="594"/>
      <c r="JEX81" s="594"/>
      <c r="JEY81" s="594"/>
      <c r="JEZ81" s="594"/>
      <c r="JFA81" s="594"/>
      <c r="JFB81" s="594"/>
      <c r="JFC81" s="594"/>
      <c r="JFD81" s="594"/>
      <c r="JFE81" s="594"/>
      <c r="JFF81" s="594"/>
      <c r="JFG81" s="594"/>
      <c r="JFH81" s="594"/>
      <c r="JFI81" s="594"/>
      <c r="JFJ81" s="594"/>
      <c r="JFK81" s="594"/>
      <c r="JFL81" s="594"/>
      <c r="JFM81" s="594"/>
      <c r="JFN81" s="594"/>
      <c r="JFO81" s="594"/>
      <c r="JFP81" s="594"/>
      <c r="JFQ81" s="594"/>
      <c r="JFR81" s="594"/>
      <c r="JFS81" s="594"/>
      <c r="JFT81" s="594"/>
      <c r="JFU81" s="594"/>
      <c r="JFV81" s="594"/>
      <c r="JFW81" s="594"/>
      <c r="JFX81" s="594"/>
      <c r="JFY81" s="594"/>
      <c r="JFZ81" s="594"/>
      <c r="JGA81" s="594"/>
      <c r="JGB81" s="594"/>
      <c r="JGC81" s="594"/>
      <c r="JGD81" s="594"/>
      <c r="JGE81" s="594"/>
      <c r="JGF81" s="594"/>
      <c r="JGG81" s="594"/>
      <c r="JGH81" s="594"/>
      <c r="JGI81" s="594"/>
      <c r="JGJ81" s="594"/>
      <c r="JGK81" s="594"/>
      <c r="JGL81" s="594"/>
      <c r="JGM81" s="594"/>
      <c r="JGN81" s="594"/>
      <c r="JGO81" s="594"/>
      <c r="JGP81" s="594"/>
      <c r="JGQ81" s="594"/>
      <c r="JGR81" s="594"/>
      <c r="JGS81" s="594"/>
      <c r="JGT81" s="594"/>
      <c r="JGU81" s="594"/>
      <c r="JGV81" s="594"/>
      <c r="JGW81" s="594"/>
      <c r="JGX81" s="594"/>
      <c r="JGY81" s="594"/>
      <c r="JGZ81" s="594"/>
      <c r="JHA81" s="594"/>
      <c r="JHB81" s="594"/>
      <c r="JHC81" s="594"/>
      <c r="JHD81" s="594"/>
      <c r="JHE81" s="594"/>
      <c r="JHF81" s="594"/>
      <c r="JHG81" s="594"/>
      <c r="JHH81" s="594"/>
      <c r="JHI81" s="594"/>
      <c r="JHJ81" s="594"/>
      <c r="JHK81" s="594"/>
      <c r="JHL81" s="594"/>
      <c r="JHM81" s="594"/>
      <c r="JHN81" s="594"/>
      <c r="JHO81" s="594"/>
      <c r="JHP81" s="594"/>
      <c r="JHQ81" s="594"/>
      <c r="JHR81" s="594"/>
      <c r="JHS81" s="594"/>
      <c r="JHT81" s="594"/>
      <c r="JHU81" s="594"/>
      <c r="JHV81" s="594"/>
      <c r="JHW81" s="594"/>
      <c r="JHX81" s="594"/>
      <c r="JHY81" s="594"/>
      <c r="JHZ81" s="594"/>
      <c r="JIA81" s="594"/>
      <c r="JIB81" s="594"/>
      <c r="JIC81" s="594"/>
      <c r="JID81" s="594"/>
      <c r="JIE81" s="594"/>
      <c r="JIF81" s="594"/>
      <c r="JIG81" s="594"/>
      <c r="JIH81" s="594"/>
      <c r="JII81" s="594"/>
      <c r="JIJ81" s="594"/>
      <c r="JIK81" s="594"/>
      <c r="JIL81" s="594"/>
      <c r="JIM81" s="594"/>
      <c r="JIN81" s="594"/>
      <c r="JIO81" s="594"/>
      <c r="JIP81" s="594"/>
      <c r="JIQ81" s="594"/>
      <c r="JIR81" s="594"/>
      <c r="JIS81" s="594"/>
      <c r="JIT81" s="594"/>
      <c r="JIU81" s="594"/>
      <c r="JIV81" s="594"/>
      <c r="JIW81" s="594"/>
      <c r="JIX81" s="594"/>
      <c r="JIY81" s="594"/>
      <c r="JIZ81" s="594"/>
      <c r="JJA81" s="594"/>
      <c r="JJB81" s="594"/>
      <c r="JJC81" s="594"/>
      <c r="JJD81" s="594"/>
      <c r="JJE81" s="594"/>
      <c r="JJF81" s="594"/>
      <c r="JJG81" s="594"/>
      <c r="JJH81" s="594"/>
      <c r="JJI81" s="594"/>
      <c r="JJJ81" s="594"/>
      <c r="JJK81" s="594"/>
      <c r="JJL81" s="594"/>
      <c r="JJM81" s="594"/>
      <c r="JJN81" s="594"/>
      <c r="JJO81" s="594"/>
      <c r="JJP81" s="594"/>
      <c r="JJQ81" s="594"/>
      <c r="JJR81" s="594"/>
      <c r="JJS81" s="594"/>
      <c r="JJT81" s="594"/>
      <c r="JJU81" s="594"/>
      <c r="JJV81" s="594"/>
      <c r="JJW81" s="594"/>
      <c r="JJX81" s="594"/>
      <c r="JJY81" s="594"/>
      <c r="JJZ81" s="594"/>
      <c r="JKA81" s="594"/>
      <c r="JKB81" s="594"/>
      <c r="JKC81" s="594"/>
      <c r="JKD81" s="594"/>
      <c r="JKE81" s="594"/>
      <c r="JKF81" s="594"/>
      <c r="JKG81" s="594"/>
      <c r="JKH81" s="594"/>
      <c r="JKI81" s="594"/>
      <c r="JKJ81" s="594"/>
      <c r="JKK81" s="594"/>
      <c r="JKL81" s="594"/>
      <c r="JKM81" s="594"/>
      <c r="JKN81" s="594"/>
      <c r="JKO81" s="594"/>
      <c r="JKP81" s="594"/>
      <c r="JKQ81" s="594"/>
      <c r="JKR81" s="594"/>
      <c r="JKS81" s="594"/>
      <c r="JKT81" s="594"/>
      <c r="JKU81" s="594"/>
      <c r="JKV81" s="594"/>
      <c r="JKW81" s="594"/>
      <c r="JKX81" s="594"/>
      <c r="JKY81" s="594"/>
      <c r="JKZ81" s="594"/>
      <c r="JLA81" s="594"/>
      <c r="JLB81" s="594"/>
      <c r="JLC81" s="594"/>
      <c r="JLD81" s="594"/>
      <c r="JLE81" s="594"/>
      <c r="JLF81" s="594"/>
      <c r="JLG81" s="594"/>
      <c r="JLH81" s="594"/>
      <c r="JLI81" s="594"/>
      <c r="JLJ81" s="594"/>
      <c r="JLK81" s="594"/>
      <c r="JLL81" s="594"/>
      <c r="JLM81" s="594"/>
      <c r="JLN81" s="594"/>
      <c r="JLO81" s="594"/>
      <c r="JLP81" s="594"/>
      <c r="JLQ81" s="594"/>
      <c r="JLR81" s="594"/>
      <c r="JLS81" s="594"/>
      <c r="JLT81" s="594"/>
      <c r="JLU81" s="594"/>
      <c r="JLV81" s="594"/>
      <c r="JLW81" s="594"/>
      <c r="JLX81" s="594"/>
      <c r="JLY81" s="594"/>
      <c r="JLZ81" s="594"/>
      <c r="JMA81" s="594"/>
      <c r="JMB81" s="594"/>
      <c r="JMC81" s="594"/>
      <c r="JMD81" s="594"/>
      <c r="JME81" s="594"/>
      <c r="JMF81" s="594"/>
      <c r="JMG81" s="594"/>
      <c r="JMH81" s="594"/>
      <c r="JMI81" s="594"/>
      <c r="JMJ81" s="594"/>
      <c r="JMK81" s="594"/>
      <c r="JML81" s="594"/>
      <c r="JMM81" s="594"/>
      <c r="JMN81" s="594"/>
      <c r="JMO81" s="594"/>
      <c r="JMP81" s="594"/>
      <c r="JMQ81" s="594"/>
      <c r="JMR81" s="594"/>
      <c r="JMS81" s="594"/>
      <c r="JMT81" s="594"/>
      <c r="JMU81" s="594"/>
      <c r="JMV81" s="594"/>
      <c r="JMW81" s="594"/>
      <c r="JMX81" s="594"/>
      <c r="JMY81" s="594"/>
      <c r="JMZ81" s="594"/>
      <c r="JNA81" s="594"/>
      <c r="JNB81" s="594"/>
      <c r="JNC81" s="594"/>
      <c r="JND81" s="594"/>
      <c r="JNE81" s="594"/>
      <c r="JNF81" s="594"/>
      <c r="JNG81" s="594"/>
      <c r="JNH81" s="594"/>
      <c r="JNI81" s="594"/>
      <c r="JNJ81" s="594"/>
      <c r="JNK81" s="594"/>
      <c r="JNL81" s="594"/>
      <c r="JNM81" s="594"/>
      <c r="JNN81" s="594"/>
      <c r="JNO81" s="594"/>
      <c r="JNP81" s="594"/>
      <c r="JNQ81" s="594"/>
      <c r="JNR81" s="594"/>
      <c r="JNS81" s="594"/>
      <c r="JNT81" s="594"/>
      <c r="JNU81" s="594"/>
      <c r="JNV81" s="594"/>
      <c r="JNW81" s="594"/>
      <c r="JNX81" s="594"/>
      <c r="JNY81" s="594"/>
      <c r="JNZ81" s="594"/>
      <c r="JOA81" s="594"/>
      <c r="JOB81" s="594"/>
      <c r="JOC81" s="594"/>
      <c r="JOD81" s="594"/>
      <c r="JOE81" s="594"/>
      <c r="JOF81" s="594"/>
      <c r="JOG81" s="594"/>
      <c r="JOH81" s="594"/>
      <c r="JOI81" s="594"/>
      <c r="JOJ81" s="594"/>
      <c r="JOK81" s="594"/>
      <c r="JOL81" s="594"/>
      <c r="JOM81" s="594"/>
      <c r="JON81" s="594"/>
      <c r="JOO81" s="594"/>
      <c r="JOP81" s="594"/>
      <c r="JOQ81" s="594"/>
      <c r="JOR81" s="594"/>
      <c r="JOS81" s="594"/>
      <c r="JOT81" s="594"/>
      <c r="JOU81" s="594"/>
      <c r="JOV81" s="594"/>
      <c r="JOW81" s="594"/>
      <c r="JOX81" s="594"/>
      <c r="JOY81" s="594"/>
      <c r="JOZ81" s="594"/>
      <c r="JPA81" s="594"/>
      <c r="JPB81" s="594"/>
      <c r="JPC81" s="594"/>
      <c r="JPD81" s="594"/>
      <c r="JPE81" s="594"/>
      <c r="JPF81" s="594"/>
      <c r="JPG81" s="594"/>
      <c r="JPH81" s="594"/>
      <c r="JPI81" s="594"/>
      <c r="JPJ81" s="594"/>
      <c r="JPK81" s="594"/>
      <c r="JPL81" s="594"/>
      <c r="JPM81" s="594"/>
      <c r="JPN81" s="594"/>
      <c r="JPO81" s="594"/>
      <c r="JPP81" s="594"/>
      <c r="JPQ81" s="594"/>
      <c r="JPR81" s="594"/>
      <c r="JPS81" s="594"/>
      <c r="JPT81" s="594"/>
      <c r="JPU81" s="594"/>
      <c r="JPV81" s="594"/>
      <c r="JPW81" s="594"/>
      <c r="JPX81" s="594"/>
      <c r="JPY81" s="594"/>
      <c r="JPZ81" s="594"/>
      <c r="JQA81" s="594"/>
      <c r="JQB81" s="594"/>
      <c r="JQC81" s="594"/>
      <c r="JQD81" s="594"/>
      <c r="JQE81" s="594"/>
      <c r="JQF81" s="594"/>
      <c r="JQG81" s="594"/>
      <c r="JQH81" s="594"/>
      <c r="JQI81" s="594"/>
      <c r="JQJ81" s="594"/>
      <c r="JQK81" s="594"/>
      <c r="JQL81" s="594"/>
      <c r="JQM81" s="594"/>
      <c r="JQN81" s="594"/>
      <c r="JQO81" s="594"/>
      <c r="JQP81" s="594"/>
      <c r="JQQ81" s="594"/>
      <c r="JQR81" s="594"/>
      <c r="JQS81" s="594"/>
      <c r="JQT81" s="594"/>
      <c r="JQU81" s="594"/>
      <c r="JQV81" s="594"/>
      <c r="JQW81" s="594"/>
      <c r="JQX81" s="594"/>
      <c r="JQY81" s="594"/>
      <c r="JQZ81" s="594"/>
      <c r="JRA81" s="594"/>
      <c r="JRB81" s="594"/>
      <c r="JRC81" s="594"/>
      <c r="JRD81" s="594"/>
      <c r="JRE81" s="594"/>
      <c r="JRF81" s="594"/>
      <c r="JRG81" s="594"/>
      <c r="JRH81" s="594"/>
      <c r="JRI81" s="594"/>
      <c r="JRJ81" s="594"/>
      <c r="JRK81" s="594"/>
      <c r="JRL81" s="594"/>
      <c r="JRM81" s="594"/>
      <c r="JRN81" s="594"/>
      <c r="JRO81" s="594"/>
      <c r="JRP81" s="594"/>
      <c r="JRQ81" s="594"/>
      <c r="JRR81" s="594"/>
      <c r="JRS81" s="594"/>
      <c r="JRT81" s="594"/>
      <c r="JRU81" s="594"/>
      <c r="JRV81" s="594"/>
      <c r="JRW81" s="594"/>
      <c r="JRX81" s="594"/>
      <c r="JRY81" s="594"/>
      <c r="JRZ81" s="594"/>
      <c r="JSA81" s="594"/>
      <c r="JSB81" s="594"/>
      <c r="JSC81" s="594"/>
      <c r="JSD81" s="594"/>
      <c r="JSE81" s="594"/>
      <c r="JSF81" s="594"/>
      <c r="JSG81" s="594"/>
      <c r="JSH81" s="594"/>
      <c r="JSI81" s="594"/>
      <c r="JSJ81" s="594"/>
      <c r="JSK81" s="594"/>
      <c r="JSL81" s="594"/>
      <c r="JSM81" s="594"/>
      <c r="JSN81" s="594"/>
      <c r="JSO81" s="594"/>
      <c r="JSP81" s="594"/>
      <c r="JSQ81" s="594"/>
      <c r="JSR81" s="594"/>
      <c r="JSS81" s="594"/>
      <c r="JST81" s="594"/>
      <c r="JSU81" s="594"/>
      <c r="JSV81" s="594"/>
      <c r="JSW81" s="594"/>
      <c r="JSX81" s="594"/>
      <c r="JSY81" s="594"/>
      <c r="JSZ81" s="594"/>
      <c r="JTA81" s="594"/>
      <c r="JTB81" s="594"/>
      <c r="JTC81" s="594"/>
      <c r="JTD81" s="594"/>
      <c r="JTE81" s="594"/>
      <c r="JTF81" s="594"/>
      <c r="JTG81" s="594"/>
      <c r="JTH81" s="594"/>
      <c r="JTI81" s="594"/>
      <c r="JTJ81" s="594"/>
      <c r="JTK81" s="594"/>
      <c r="JTL81" s="594"/>
      <c r="JTM81" s="594"/>
      <c r="JTN81" s="594"/>
      <c r="JTO81" s="594"/>
      <c r="JTP81" s="594"/>
      <c r="JTQ81" s="594"/>
      <c r="JTR81" s="594"/>
      <c r="JTS81" s="594"/>
      <c r="JTT81" s="594"/>
      <c r="JTU81" s="594"/>
      <c r="JTV81" s="594"/>
      <c r="JTW81" s="594"/>
      <c r="JTX81" s="594"/>
      <c r="JTY81" s="594"/>
      <c r="JTZ81" s="594"/>
      <c r="JUA81" s="594"/>
      <c r="JUB81" s="594"/>
      <c r="JUC81" s="594"/>
      <c r="JUD81" s="594"/>
      <c r="JUE81" s="594"/>
      <c r="JUF81" s="594"/>
      <c r="JUG81" s="594"/>
      <c r="JUH81" s="594"/>
      <c r="JUI81" s="594"/>
      <c r="JUJ81" s="594"/>
      <c r="JUK81" s="594"/>
      <c r="JUL81" s="594"/>
      <c r="JUM81" s="594"/>
      <c r="JUN81" s="594"/>
      <c r="JUO81" s="594"/>
      <c r="JUP81" s="594"/>
      <c r="JUQ81" s="594"/>
      <c r="JUR81" s="594"/>
      <c r="JUS81" s="594"/>
      <c r="JUT81" s="594"/>
      <c r="JUU81" s="594"/>
      <c r="JUV81" s="594"/>
      <c r="JUW81" s="594"/>
      <c r="JUX81" s="594"/>
      <c r="JUY81" s="594"/>
      <c r="JUZ81" s="594"/>
      <c r="JVA81" s="594"/>
      <c r="JVB81" s="594"/>
      <c r="JVC81" s="594"/>
      <c r="JVD81" s="594"/>
      <c r="JVE81" s="594"/>
      <c r="JVF81" s="594"/>
      <c r="JVG81" s="594"/>
      <c r="JVH81" s="594"/>
      <c r="JVI81" s="594"/>
      <c r="JVJ81" s="594"/>
      <c r="JVK81" s="594"/>
      <c r="JVL81" s="594"/>
      <c r="JVM81" s="594"/>
      <c r="JVN81" s="594"/>
      <c r="JVO81" s="594"/>
      <c r="JVP81" s="594"/>
      <c r="JVQ81" s="594"/>
      <c r="JVR81" s="594"/>
      <c r="JVS81" s="594"/>
      <c r="JVT81" s="594"/>
      <c r="JVU81" s="594"/>
      <c r="JVV81" s="594"/>
      <c r="JVW81" s="594"/>
      <c r="JVX81" s="594"/>
      <c r="JVY81" s="594"/>
      <c r="JVZ81" s="594"/>
      <c r="JWA81" s="594"/>
      <c r="JWB81" s="594"/>
      <c r="JWC81" s="594"/>
      <c r="JWD81" s="594"/>
      <c r="JWE81" s="594"/>
      <c r="JWF81" s="594"/>
      <c r="JWG81" s="594"/>
      <c r="JWH81" s="594"/>
      <c r="JWI81" s="594"/>
      <c r="JWJ81" s="594"/>
      <c r="JWK81" s="594"/>
      <c r="JWL81" s="594"/>
      <c r="JWM81" s="594"/>
      <c r="JWN81" s="594"/>
      <c r="JWO81" s="594"/>
      <c r="JWP81" s="594"/>
      <c r="JWQ81" s="594"/>
      <c r="JWR81" s="594"/>
      <c r="JWS81" s="594"/>
      <c r="JWT81" s="594"/>
      <c r="JWU81" s="594"/>
      <c r="JWV81" s="594"/>
      <c r="JWW81" s="594"/>
      <c r="JWX81" s="594"/>
      <c r="JWY81" s="594"/>
      <c r="JWZ81" s="594"/>
      <c r="JXA81" s="594"/>
      <c r="JXB81" s="594"/>
      <c r="JXC81" s="594"/>
      <c r="JXD81" s="594"/>
      <c r="JXE81" s="594"/>
      <c r="JXF81" s="594"/>
      <c r="JXG81" s="594"/>
      <c r="JXH81" s="594"/>
      <c r="JXI81" s="594"/>
      <c r="JXJ81" s="594"/>
      <c r="JXK81" s="594"/>
      <c r="JXL81" s="594"/>
      <c r="JXM81" s="594"/>
      <c r="JXN81" s="594"/>
      <c r="JXO81" s="594"/>
      <c r="JXP81" s="594"/>
      <c r="JXQ81" s="594"/>
      <c r="JXR81" s="594"/>
      <c r="JXS81" s="594"/>
      <c r="JXT81" s="594"/>
      <c r="JXU81" s="594"/>
      <c r="JXV81" s="594"/>
      <c r="JXW81" s="594"/>
      <c r="JXX81" s="594"/>
      <c r="JXY81" s="594"/>
      <c r="JXZ81" s="594"/>
      <c r="JYA81" s="594"/>
      <c r="JYB81" s="594"/>
      <c r="JYC81" s="594"/>
      <c r="JYD81" s="594"/>
      <c r="JYE81" s="594"/>
      <c r="JYF81" s="594"/>
      <c r="JYG81" s="594"/>
      <c r="JYH81" s="594"/>
      <c r="JYI81" s="594"/>
      <c r="JYJ81" s="594"/>
      <c r="JYK81" s="594"/>
      <c r="JYL81" s="594"/>
      <c r="JYM81" s="594"/>
      <c r="JYN81" s="594"/>
      <c r="JYO81" s="594"/>
      <c r="JYP81" s="594"/>
      <c r="JYQ81" s="594"/>
      <c r="JYR81" s="594"/>
      <c r="JYS81" s="594"/>
      <c r="JYT81" s="594"/>
      <c r="JYU81" s="594"/>
      <c r="JYV81" s="594"/>
      <c r="JYW81" s="594"/>
      <c r="JYX81" s="594"/>
      <c r="JYY81" s="594"/>
      <c r="JYZ81" s="594"/>
      <c r="JZA81" s="594"/>
      <c r="JZB81" s="594"/>
      <c r="JZC81" s="594"/>
      <c r="JZD81" s="594"/>
      <c r="JZE81" s="594"/>
      <c r="JZF81" s="594"/>
      <c r="JZG81" s="594"/>
      <c r="JZH81" s="594"/>
      <c r="JZI81" s="594"/>
      <c r="JZJ81" s="594"/>
      <c r="JZK81" s="594"/>
      <c r="JZL81" s="594"/>
      <c r="JZM81" s="594"/>
      <c r="JZN81" s="594"/>
      <c r="JZO81" s="594"/>
      <c r="JZP81" s="594"/>
      <c r="JZQ81" s="594"/>
      <c r="JZR81" s="594"/>
      <c r="JZS81" s="594"/>
      <c r="JZT81" s="594"/>
      <c r="JZU81" s="594"/>
      <c r="JZV81" s="594"/>
      <c r="JZW81" s="594"/>
      <c r="JZX81" s="594"/>
      <c r="JZY81" s="594"/>
      <c r="JZZ81" s="594"/>
      <c r="KAA81" s="594"/>
      <c r="KAB81" s="594"/>
      <c r="KAC81" s="594"/>
      <c r="KAD81" s="594"/>
      <c r="KAE81" s="594"/>
      <c r="KAF81" s="594"/>
      <c r="KAG81" s="594"/>
      <c r="KAH81" s="594"/>
      <c r="KAI81" s="594"/>
      <c r="KAJ81" s="594"/>
      <c r="KAK81" s="594"/>
      <c r="KAL81" s="594"/>
      <c r="KAM81" s="594"/>
      <c r="KAN81" s="594"/>
      <c r="KAO81" s="594"/>
      <c r="KAP81" s="594"/>
      <c r="KAQ81" s="594"/>
      <c r="KAR81" s="594"/>
      <c r="KAS81" s="594"/>
      <c r="KAT81" s="594"/>
      <c r="KAU81" s="594"/>
      <c r="KAV81" s="594"/>
      <c r="KAW81" s="594"/>
      <c r="KAX81" s="594"/>
      <c r="KAY81" s="594"/>
      <c r="KAZ81" s="594"/>
      <c r="KBA81" s="594"/>
      <c r="KBB81" s="594"/>
      <c r="KBC81" s="594"/>
      <c r="KBD81" s="594"/>
      <c r="KBE81" s="594"/>
      <c r="KBF81" s="594"/>
      <c r="KBG81" s="594"/>
      <c r="KBH81" s="594"/>
      <c r="KBI81" s="594"/>
      <c r="KBJ81" s="594"/>
      <c r="KBK81" s="594"/>
      <c r="KBL81" s="594"/>
      <c r="KBM81" s="594"/>
      <c r="KBN81" s="594"/>
      <c r="KBO81" s="594"/>
      <c r="KBP81" s="594"/>
      <c r="KBQ81" s="594"/>
      <c r="KBR81" s="594"/>
      <c r="KBS81" s="594"/>
      <c r="KBT81" s="594"/>
      <c r="KBU81" s="594"/>
      <c r="KBV81" s="594"/>
      <c r="KBW81" s="594"/>
      <c r="KBX81" s="594"/>
      <c r="KBY81" s="594"/>
      <c r="KBZ81" s="594"/>
      <c r="KCA81" s="594"/>
      <c r="KCB81" s="594"/>
      <c r="KCC81" s="594"/>
      <c r="KCD81" s="594"/>
      <c r="KCE81" s="594"/>
      <c r="KCF81" s="594"/>
      <c r="KCG81" s="594"/>
      <c r="KCH81" s="594"/>
      <c r="KCI81" s="594"/>
      <c r="KCJ81" s="594"/>
      <c r="KCK81" s="594"/>
      <c r="KCL81" s="594"/>
      <c r="KCM81" s="594"/>
      <c r="KCN81" s="594"/>
      <c r="KCO81" s="594"/>
      <c r="KCP81" s="594"/>
      <c r="KCQ81" s="594"/>
      <c r="KCR81" s="594"/>
      <c r="KCS81" s="594"/>
      <c r="KCT81" s="594"/>
      <c r="KCU81" s="594"/>
      <c r="KCV81" s="594"/>
      <c r="KCW81" s="594"/>
      <c r="KCX81" s="594"/>
      <c r="KCY81" s="594"/>
      <c r="KCZ81" s="594"/>
      <c r="KDA81" s="594"/>
      <c r="KDB81" s="594"/>
      <c r="KDC81" s="594"/>
      <c r="KDD81" s="594"/>
      <c r="KDE81" s="594"/>
      <c r="KDF81" s="594"/>
      <c r="KDG81" s="594"/>
      <c r="KDH81" s="594"/>
      <c r="KDI81" s="594"/>
      <c r="KDJ81" s="594"/>
      <c r="KDK81" s="594"/>
      <c r="KDL81" s="594"/>
      <c r="KDM81" s="594"/>
      <c r="KDN81" s="594"/>
      <c r="KDO81" s="594"/>
      <c r="KDP81" s="594"/>
      <c r="KDQ81" s="594"/>
      <c r="KDR81" s="594"/>
      <c r="KDS81" s="594"/>
      <c r="KDT81" s="594"/>
      <c r="KDU81" s="594"/>
      <c r="KDV81" s="594"/>
      <c r="KDW81" s="594"/>
      <c r="KDX81" s="594"/>
      <c r="KDY81" s="594"/>
      <c r="KDZ81" s="594"/>
      <c r="KEA81" s="594"/>
      <c r="KEB81" s="594"/>
      <c r="KEC81" s="594"/>
      <c r="KED81" s="594"/>
      <c r="KEE81" s="594"/>
      <c r="KEF81" s="594"/>
      <c r="KEG81" s="594"/>
      <c r="KEH81" s="594"/>
      <c r="KEI81" s="594"/>
      <c r="KEJ81" s="594"/>
      <c r="KEK81" s="594"/>
      <c r="KEL81" s="594"/>
      <c r="KEM81" s="594"/>
      <c r="KEN81" s="594"/>
      <c r="KEO81" s="594"/>
      <c r="KEP81" s="594"/>
      <c r="KEQ81" s="594"/>
      <c r="KER81" s="594"/>
      <c r="KES81" s="594"/>
      <c r="KET81" s="594"/>
      <c r="KEU81" s="594"/>
      <c r="KEV81" s="594"/>
      <c r="KEW81" s="594"/>
      <c r="KEX81" s="594"/>
      <c r="KEY81" s="594"/>
      <c r="KEZ81" s="594"/>
      <c r="KFA81" s="594"/>
      <c r="KFB81" s="594"/>
      <c r="KFC81" s="594"/>
      <c r="KFD81" s="594"/>
      <c r="KFE81" s="594"/>
      <c r="KFF81" s="594"/>
      <c r="KFG81" s="594"/>
      <c r="KFH81" s="594"/>
      <c r="KFI81" s="594"/>
      <c r="KFJ81" s="594"/>
      <c r="KFK81" s="594"/>
      <c r="KFL81" s="594"/>
      <c r="KFM81" s="594"/>
      <c r="KFN81" s="594"/>
      <c r="KFO81" s="594"/>
      <c r="KFP81" s="594"/>
      <c r="KFQ81" s="594"/>
      <c r="KFR81" s="594"/>
      <c r="KFS81" s="594"/>
      <c r="KFT81" s="594"/>
      <c r="KFU81" s="594"/>
      <c r="KFV81" s="594"/>
      <c r="KFW81" s="594"/>
      <c r="KFX81" s="594"/>
      <c r="KFY81" s="594"/>
      <c r="KFZ81" s="594"/>
      <c r="KGA81" s="594"/>
      <c r="KGB81" s="594"/>
      <c r="KGC81" s="594"/>
      <c r="KGD81" s="594"/>
      <c r="KGE81" s="594"/>
      <c r="KGF81" s="594"/>
      <c r="KGG81" s="594"/>
      <c r="KGH81" s="594"/>
      <c r="KGI81" s="594"/>
      <c r="KGJ81" s="594"/>
      <c r="KGK81" s="594"/>
      <c r="KGL81" s="594"/>
      <c r="KGM81" s="594"/>
      <c r="KGN81" s="594"/>
      <c r="KGO81" s="594"/>
      <c r="KGP81" s="594"/>
      <c r="KGQ81" s="594"/>
      <c r="KGR81" s="594"/>
      <c r="KGS81" s="594"/>
      <c r="KGT81" s="594"/>
      <c r="KGU81" s="594"/>
      <c r="KGV81" s="594"/>
      <c r="KGW81" s="594"/>
      <c r="KGX81" s="594"/>
      <c r="KGY81" s="594"/>
      <c r="KGZ81" s="594"/>
      <c r="KHA81" s="594"/>
      <c r="KHB81" s="594"/>
      <c r="KHC81" s="594"/>
      <c r="KHD81" s="594"/>
      <c r="KHE81" s="594"/>
      <c r="KHF81" s="594"/>
      <c r="KHG81" s="594"/>
      <c r="KHH81" s="594"/>
      <c r="KHI81" s="594"/>
      <c r="KHJ81" s="594"/>
      <c r="KHK81" s="594"/>
      <c r="KHL81" s="594"/>
      <c r="KHM81" s="594"/>
      <c r="KHN81" s="594"/>
      <c r="KHO81" s="594"/>
      <c r="KHP81" s="594"/>
      <c r="KHQ81" s="594"/>
      <c r="KHR81" s="594"/>
      <c r="KHS81" s="594"/>
      <c r="KHT81" s="594"/>
      <c r="KHU81" s="594"/>
      <c r="KHV81" s="594"/>
      <c r="KHW81" s="594"/>
      <c r="KHX81" s="594"/>
      <c r="KHY81" s="594"/>
      <c r="KHZ81" s="594"/>
      <c r="KIA81" s="594"/>
      <c r="KIB81" s="594"/>
      <c r="KIC81" s="594"/>
      <c r="KID81" s="594"/>
      <c r="KIE81" s="594"/>
      <c r="KIF81" s="594"/>
      <c r="KIG81" s="594"/>
      <c r="KIH81" s="594"/>
      <c r="KII81" s="594"/>
      <c r="KIJ81" s="594"/>
      <c r="KIK81" s="594"/>
      <c r="KIL81" s="594"/>
      <c r="KIM81" s="594"/>
      <c r="KIN81" s="594"/>
      <c r="KIO81" s="594"/>
      <c r="KIP81" s="594"/>
      <c r="KIQ81" s="594"/>
      <c r="KIR81" s="594"/>
      <c r="KIS81" s="594"/>
      <c r="KIT81" s="594"/>
      <c r="KIU81" s="594"/>
      <c r="KIV81" s="594"/>
      <c r="KIW81" s="594"/>
      <c r="KIX81" s="594"/>
      <c r="KIY81" s="594"/>
      <c r="KIZ81" s="594"/>
      <c r="KJA81" s="594"/>
      <c r="KJB81" s="594"/>
      <c r="KJC81" s="594"/>
      <c r="KJD81" s="594"/>
      <c r="KJE81" s="594"/>
      <c r="KJF81" s="594"/>
      <c r="KJG81" s="594"/>
      <c r="KJH81" s="594"/>
      <c r="KJI81" s="594"/>
      <c r="KJJ81" s="594"/>
      <c r="KJK81" s="594"/>
      <c r="KJL81" s="594"/>
      <c r="KJM81" s="594"/>
      <c r="KJN81" s="594"/>
      <c r="KJO81" s="594"/>
      <c r="KJP81" s="594"/>
      <c r="KJQ81" s="594"/>
      <c r="KJR81" s="594"/>
      <c r="KJS81" s="594"/>
      <c r="KJT81" s="594"/>
      <c r="KJU81" s="594"/>
      <c r="KJV81" s="594"/>
      <c r="KJW81" s="594"/>
      <c r="KJX81" s="594"/>
      <c r="KJY81" s="594"/>
      <c r="KJZ81" s="594"/>
      <c r="KKA81" s="594"/>
      <c r="KKB81" s="594"/>
      <c r="KKC81" s="594"/>
      <c r="KKD81" s="594"/>
      <c r="KKE81" s="594"/>
      <c r="KKF81" s="594"/>
      <c r="KKG81" s="594"/>
      <c r="KKH81" s="594"/>
      <c r="KKI81" s="594"/>
      <c r="KKJ81" s="594"/>
      <c r="KKK81" s="594"/>
      <c r="KKL81" s="594"/>
      <c r="KKM81" s="594"/>
      <c r="KKN81" s="594"/>
      <c r="KKO81" s="594"/>
      <c r="KKP81" s="594"/>
      <c r="KKQ81" s="594"/>
      <c r="KKR81" s="594"/>
      <c r="KKS81" s="594"/>
      <c r="KKT81" s="594"/>
      <c r="KKU81" s="594"/>
      <c r="KKV81" s="594"/>
      <c r="KKW81" s="594"/>
      <c r="KKX81" s="594"/>
      <c r="KKY81" s="594"/>
      <c r="KKZ81" s="594"/>
      <c r="KLA81" s="594"/>
      <c r="KLB81" s="594"/>
      <c r="KLC81" s="594"/>
      <c r="KLD81" s="594"/>
      <c r="KLE81" s="594"/>
      <c r="KLF81" s="594"/>
      <c r="KLG81" s="594"/>
      <c r="KLH81" s="594"/>
      <c r="KLI81" s="594"/>
      <c r="KLJ81" s="594"/>
      <c r="KLK81" s="594"/>
      <c r="KLL81" s="594"/>
      <c r="KLM81" s="594"/>
      <c r="KLN81" s="594"/>
      <c r="KLO81" s="594"/>
      <c r="KLP81" s="594"/>
      <c r="KLQ81" s="594"/>
      <c r="KLR81" s="594"/>
      <c r="KLS81" s="594"/>
      <c r="KLT81" s="594"/>
      <c r="KLU81" s="594"/>
      <c r="KLV81" s="594"/>
      <c r="KLW81" s="594"/>
      <c r="KLX81" s="594"/>
      <c r="KLY81" s="594"/>
      <c r="KLZ81" s="594"/>
      <c r="KMA81" s="594"/>
      <c r="KMB81" s="594"/>
      <c r="KMC81" s="594"/>
      <c r="KMD81" s="594"/>
      <c r="KME81" s="594"/>
      <c r="KMF81" s="594"/>
      <c r="KMG81" s="594"/>
      <c r="KMH81" s="594"/>
      <c r="KMI81" s="594"/>
      <c r="KMJ81" s="594"/>
      <c r="KMK81" s="594"/>
      <c r="KML81" s="594"/>
      <c r="KMM81" s="594"/>
      <c r="KMN81" s="594"/>
      <c r="KMO81" s="594"/>
      <c r="KMP81" s="594"/>
      <c r="KMQ81" s="594"/>
      <c r="KMR81" s="594"/>
      <c r="KMS81" s="594"/>
      <c r="KMT81" s="594"/>
      <c r="KMU81" s="594"/>
      <c r="KMV81" s="594"/>
      <c r="KMW81" s="594"/>
      <c r="KMX81" s="594"/>
      <c r="KMY81" s="594"/>
      <c r="KMZ81" s="594"/>
      <c r="KNA81" s="594"/>
      <c r="KNB81" s="594"/>
      <c r="KNC81" s="594"/>
      <c r="KND81" s="594"/>
      <c r="KNE81" s="594"/>
      <c r="KNF81" s="594"/>
      <c r="KNG81" s="594"/>
      <c r="KNH81" s="594"/>
      <c r="KNI81" s="594"/>
      <c r="KNJ81" s="594"/>
      <c r="KNK81" s="594"/>
      <c r="KNL81" s="594"/>
      <c r="KNM81" s="594"/>
      <c r="KNN81" s="594"/>
      <c r="KNO81" s="594"/>
      <c r="KNP81" s="594"/>
      <c r="KNQ81" s="594"/>
      <c r="KNR81" s="594"/>
      <c r="KNS81" s="594"/>
      <c r="KNT81" s="594"/>
      <c r="KNU81" s="594"/>
      <c r="KNV81" s="594"/>
      <c r="KNW81" s="594"/>
      <c r="KNX81" s="594"/>
      <c r="KNY81" s="594"/>
      <c r="KNZ81" s="594"/>
      <c r="KOA81" s="594"/>
      <c r="KOB81" s="594"/>
      <c r="KOC81" s="594"/>
      <c r="KOD81" s="594"/>
      <c r="KOE81" s="594"/>
      <c r="KOF81" s="594"/>
      <c r="KOG81" s="594"/>
      <c r="KOH81" s="594"/>
      <c r="KOI81" s="594"/>
      <c r="KOJ81" s="594"/>
      <c r="KOK81" s="594"/>
      <c r="KOL81" s="594"/>
      <c r="KOM81" s="594"/>
      <c r="KON81" s="594"/>
      <c r="KOO81" s="594"/>
      <c r="KOP81" s="594"/>
      <c r="KOQ81" s="594"/>
      <c r="KOR81" s="594"/>
      <c r="KOS81" s="594"/>
      <c r="KOT81" s="594"/>
      <c r="KOU81" s="594"/>
      <c r="KOV81" s="594"/>
      <c r="KOW81" s="594"/>
      <c r="KOX81" s="594"/>
      <c r="KOY81" s="594"/>
      <c r="KOZ81" s="594"/>
      <c r="KPA81" s="594"/>
      <c r="KPB81" s="594"/>
      <c r="KPC81" s="594"/>
      <c r="KPD81" s="594"/>
      <c r="KPE81" s="594"/>
      <c r="KPF81" s="594"/>
      <c r="KPG81" s="594"/>
      <c r="KPH81" s="594"/>
      <c r="KPI81" s="594"/>
      <c r="KPJ81" s="594"/>
      <c r="KPK81" s="594"/>
      <c r="KPL81" s="594"/>
      <c r="KPM81" s="594"/>
      <c r="KPN81" s="594"/>
      <c r="KPO81" s="594"/>
      <c r="KPP81" s="594"/>
      <c r="KPQ81" s="594"/>
      <c r="KPR81" s="594"/>
      <c r="KPS81" s="594"/>
      <c r="KPT81" s="594"/>
      <c r="KPU81" s="594"/>
      <c r="KPV81" s="594"/>
      <c r="KPW81" s="594"/>
      <c r="KPX81" s="594"/>
      <c r="KPY81" s="594"/>
      <c r="KPZ81" s="594"/>
      <c r="KQA81" s="594"/>
      <c r="KQB81" s="594"/>
      <c r="KQC81" s="594"/>
      <c r="KQD81" s="594"/>
      <c r="KQE81" s="594"/>
      <c r="KQF81" s="594"/>
      <c r="KQG81" s="594"/>
      <c r="KQH81" s="594"/>
      <c r="KQI81" s="594"/>
      <c r="KQJ81" s="594"/>
      <c r="KQK81" s="594"/>
      <c r="KQL81" s="594"/>
      <c r="KQM81" s="594"/>
      <c r="KQN81" s="594"/>
      <c r="KQO81" s="594"/>
      <c r="KQP81" s="594"/>
      <c r="KQQ81" s="594"/>
      <c r="KQR81" s="594"/>
      <c r="KQS81" s="594"/>
      <c r="KQT81" s="594"/>
      <c r="KQU81" s="594"/>
      <c r="KQV81" s="594"/>
      <c r="KQW81" s="594"/>
      <c r="KQX81" s="594"/>
      <c r="KQY81" s="594"/>
      <c r="KQZ81" s="594"/>
      <c r="KRA81" s="594"/>
      <c r="KRB81" s="594"/>
      <c r="KRC81" s="594"/>
      <c r="KRD81" s="594"/>
      <c r="KRE81" s="594"/>
      <c r="KRF81" s="594"/>
      <c r="KRG81" s="594"/>
      <c r="KRH81" s="594"/>
      <c r="KRI81" s="594"/>
      <c r="KRJ81" s="594"/>
      <c r="KRK81" s="594"/>
      <c r="KRL81" s="594"/>
      <c r="KRM81" s="594"/>
      <c r="KRN81" s="594"/>
      <c r="KRO81" s="594"/>
      <c r="KRP81" s="594"/>
      <c r="KRQ81" s="594"/>
      <c r="KRR81" s="594"/>
      <c r="KRS81" s="594"/>
      <c r="KRT81" s="594"/>
      <c r="KRU81" s="594"/>
      <c r="KRV81" s="594"/>
      <c r="KRW81" s="594"/>
      <c r="KRX81" s="594"/>
      <c r="KRY81" s="594"/>
      <c r="KRZ81" s="594"/>
      <c r="KSA81" s="594"/>
      <c r="KSB81" s="594"/>
      <c r="KSC81" s="594"/>
      <c r="KSD81" s="594"/>
      <c r="KSE81" s="594"/>
      <c r="KSF81" s="594"/>
      <c r="KSG81" s="594"/>
      <c r="KSH81" s="594"/>
      <c r="KSI81" s="594"/>
      <c r="KSJ81" s="594"/>
      <c r="KSK81" s="594"/>
      <c r="KSL81" s="594"/>
      <c r="KSM81" s="594"/>
      <c r="KSN81" s="594"/>
      <c r="KSO81" s="594"/>
      <c r="KSP81" s="594"/>
      <c r="KSQ81" s="594"/>
      <c r="KSR81" s="594"/>
      <c r="KSS81" s="594"/>
      <c r="KST81" s="594"/>
      <c r="KSU81" s="594"/>
      <c r="KSV81" s="594"/>
      <c r="KSW81" s="594"/>
      <c r="KSX81" s="594"/>
      <c r="KSY81" s="594"/>
      <c r="KSZ81" s="594"/>
      <c r="KTA81" s="594"/>
      <c r="KTB81" s="594"/>
      <c r="KTC81" s="594"/>
      <c r="KTD81" s="594"/>
      <c r="KTE81" s="594"/>
      <c r="KTF81" s="594"/>
      <c r="KTG81" s="594"/>
      <c r="KTH81" s="594"/>
      <c r="KTI81" s="594"/>
      <c r="KTJ81" s="594"/>
      <c r="KTK81" s="594"/>
      <c r="KTL81" s="594"/>
      <c r="KTM81" s="594"/>
      <c r="KTN81" s="594"/>
      <c r="KTO81" s="594"/>
      <c r="KTP81" s="594"/>
      <c r="KTQ81" s="594"/>
      <c r="KTR81" s="594"/>
      <c r="KTS81" s="594"/>
      <c r="KTT81" s="594"/>
      <c r="KTU81" s="594"/>
      <c r="KTV81" s="594"/>
      <c r="KTW81" s="594"/>
      <c r="KTX81" s="594"/>
      <c r="KTY81" s="594"/>
      <c r="KTZ81" s="594"/>
      <c r="KUA81" s="594"/>
      <c r="KUB81" s="594"/>
      <c r="KUC81" s="594"/>
      <c r="KUD81" s="594"/>
      <c r="KUE81" s="594"/>
      <c r="KUF81" s="594"/>
      <c r="KUG81" s="594"/>
      <c r="KUH81" s="594"/>
      <c r="KUI81" s="594"/>
      <c r="KUJ81" s="594"/>
      <c r="KUK81" s="594"/>
      <c r="KUL81" s="594"/>
      <c r="KUM81" s="594"/>
      <c r="KUN81" s="594"/>
      <c r="KUO81" s="594"/>
      <c r="KUP81" s="594"/>
      <c r="KUQ81" s="594"/>
      <c r="KUR81" s="594"/>
      <c r="KUS81" s="594"/>
      <c r="KUT81" s="594"/>
      <c r="KUU81" s="594"/>
      <c r="KUV81" s="594"/>
      <c r="KUW81" s="594"/>
      <c r="KUX81" s="594"/>
      <c r="KUY81" s="594"/>
      <c r="KUZ81" s="594"/>
      <c r="KVA81" s="594"/>
      <c r="KVB81" s="594"/>
      <c r="KVC81" s="594"/>
      <c r="KVD81" s="594"/>
      <c r="KVE81" s="594"/>
      <c r="KVF81" s="594"/>
      <c r="KVG81" s="594"/>
      <c r="KVH81" s="594"/>
      <c r="KVI81" s="594"/>
      <c r="KVJ81" s="594"/>
      <c r="KVK81" s="594"/>
      <c r="KVL81" s="594"/>
      <c r="KVM81" s="594"/>
      <c r="KVN81" s="594"/>
      <c r="KVO81" s="594"/>
      <c r="KVP81" s="594"/>
      <c r="KVQ81" s="594"/>
      <c r="KVR81" s="594"/>
      <c r="KVS81" s="594"/>
      <c r="KVT81" s="594"/>
      <c r="KVU81" s="594"/>
      <c r="KVV81" s="594"/>
      <c r="KVW81" s="594"/>
      <c r="KVX81" s="594"/>
      <c r="KVY81" s="594"/>
      <c r="KVZ81" s="594"/>
      <c r="KWA81" s="594"/>
      <c r="KWB81" s="594"/>
      <c r="KWC81" s="594"/>
      <c r="KWD81" s="594"/>
      <c r="KWE81" s="594"/>
      <c r="KWF81" s="594"/>
      <c r="KWG81" s="594"/>
      <c r="KWH81" s="594"/>
      <c r="KWI81" s="594"/>
      <c r="KWJ81" s="594"/>
      <c r="KWK81" s="594"/>
      <c r="KWL81" s="594"/>
      <c r="KWM81" s="594"/>
      <c r="KWN81" s="594"/>
      <c r="KWO81" s="594"/>
      <c r="KWP81" s="594"/>
      <c r="KWQ81" s="594"/>
      <c r="KWR81" s="594"/>
      <c r="KWS81" s="594"/>
      <c r="KWT81" s="594"/>
      <c r="KWU81" s="594"/>
      <c r="KWV81" s="594"/>
      <c r="KWW81" s="594"/>
      <c r="KWX81" s="594"/>
      <c r="KWY81" s="594"/>
      <c r="KWZ81" s="594"/>
      <c r="KXA81" s="594"/>
      <c r="KXB81" s="594"/>
      <c r="KXC81" s="594"/>
      <c r="KXD81" s="594"/>
      <c r="KXE81" s="594"/>
      <c r="KXF81" s="594"/>
      <c r="KXG81" s="594"/>
      <c r="KXH81" s="594"/>
      <c r="KXI81" s="594"/>
      <c r="KXJ81" s="594"/>
      <c r="KXK81" s="594"/>
      <c r="KXL81" s="594"/>
      <c r="KXM81" s="594"/>
      <c r="KXN81" s="594"/>
      <c r="KXO81" s="594"/>
      <c r="KXP81" s="594"/>
      <c r="KXQ81" s="594"/>
      <c r="KXR81" s="594"/>
      <c r="KXS81" s="594"/>
      <c r="KXT81" s="594"/>
      <c r="KXU81" s="594"/>
      <c r="KXV81" s="594"/>
      <c r="KXW81" s="594"/>
      <c r="KXX81" s="594"/>
      <c r="KXY81" s="594"/>
      <c r="KXZ81" s="594"/>
      <c r="KYA81" s="594"/>
      <c r="KYB81" s="594"/>
      <c r="KYC81" s="594"/>
      <c r="KYD81" s="594"/>
      <c r="KYE81" s="594"/>
      <c r="KYF81" s="594"/>
      <c r="KYG81" s="594"/>
      <c r="KYH81" s="594"/>
      <c r="KYI81" s="594"/>
      <c r="KYJ81" s="594"/>
      <c r="KYK81" s="594"/>
      <c r="KYL81" s="594"/>
      <c r="KYM81" s="594"/>
      <c r="KYN81" s="594"/>
      <c r="KYO81" s="594"/>
      <c r="KYP81" s="594"/>
      <c r="KYQ81" s="594"/>
      <c r="KYR81" s="594"/>
      <c r="KYS81" s="594"/>
      <c r="KYT81" s="594"/>
      <c r="KYU81" s="594"/>
      <c r="KYV81" s="594"/>
      <c r="KYW81" s="594"/>
      <c r="KYX81" s="594"/>
      <c r="KYY81" s="594"/>
      <c r="KYZ81" s="594"/>
      <c r="KZA81" s="594"/>
      <c r="KZB81" s="594"/>
      <c r="KZC81" s="594"/>
      <c r="KZD81" s="594"/>
      <c r="KZE81" s="594"/>
      <c r="KZF81" s="594"/>
      <c r="KZG81" s="594"/>
      <c r="KZH81" s="594"/>
      <c r="KZI81" s="594"/>
      <c r="KZJ81" s="594"/>
      <c r="KZK81" s="594"/>
      <c r="KZL81" s="594"/>
      <c r="KZM81" s="594"/>
      <c r="KZN81" s="594"/>
      <c r="KZO81" s="594"/>
      <c r="KZP81" s="594"/>
      <c r="KZQ81" s="594"/>
      <c r="KZR81" s="594"/>
      <c r="KZS81" s="594"/>
      <c r="KZT81" s="594"/>
      <c r="KZU81" s="594"/>
      <c r="KZV81" s="594"/>
      <c r="KZW81" s="594"/>
      <c r="KZX81" s="594"/>
      <c r="KZY81" s="594"/>
      <c r="KZZ81" s="594"/>
      <c r="LAA81" s="594"/>
      <c r="LAB81" s="594"/>
      <c r="LAC81" s="594"/>
      <c r="LAD81" s="594"/>
      <c r="LAE81" s="594"/>
      <c r="LAF81" s="594"/>
      <c r="LAG81" s="594"/>
      <c r="LAH81" s="594"/>
      <c r="LAI81" s="594"/>
      <c r="LAJ81" s="594"/>
      <c r="LAK81" s="594"/>
      <c r="LAL81" s="594"/>
      <c r="LAM81" s="594"/>
      <c r="LAN81" s="594"/>
      <c r="LAO81" s="594"/>
      <c r="LAP81" s="594"/>
      <c r="LAQ81" s="594"/>
      <c r="LAR81" s="594"/>
      <c r="LAS81" s="594"/>
      <c r="LAT81" s="594"/>
      <c r="LAU81" s="594"/>
      <c r="LAV81" s="594"/>
      <c r="LAW81" s="594"/>
      <c r="LAX81" s="594"/>
      <c r="LAY81" s="594"/>
      <c r="LAZ81" s="594"/>
      <c r="LBA81" s="594"/>
      <c r="LBB81" s="594"/>
      <c r="LBC81" s="594"/>
      <c r="LBD81" s="594"/>
      <c r="LBE81" s="594"/>
      <c r="LBF81" s="594"/>
      <c r="LBG81" s="594"/>
      <c r="LBH81" s="594"/>
      <c r="LBI81" s="594"/>
      <c r="LBJ81" s="594"/>
      <c r="LBK81" s="594"/>
      <c r="LBL81" s="594"/>
      <c r="LBM81" s="594"/>
      <c r="LBN81" s="594"/>
      <c r="LBO81" s="594"/>
      <c r="LBP81" s="594"/>
      <c r="LBQ81" s="594"/>
      <c r="LBR81" s="594"/>
      <c r="LBS81" s="594"/>
      <c r="LBT81" s="594"/>
      <c r="LBU81" s="594"/>
      <c r="LBV81" s="594"/>
      <c r="LBW81" s="594"/>
      <c r="LBX81" s="594"/>
      <c r="LBY81" s="594"/>
      <c r="LBZ81" s="594"/>
      <c r="LCA81" s="594"/>
      <c r="LCB81" s="594"/>
      <c r="LCC81" s="594"/>
      <c r="LCD81" s="594"/>
      <c r="LCE81" s="594"/>
      <c r="LCF81" s="594"/>
      <c r="LCG81" s="594"/>
      <c r="LCH81" s="594"/>
      <c r="LCI81" s="594"/>
      <c r="LCJ81" s="594"/>
      <c r="LCK81" s="594"/>
      <c r="LCL81" s="594"/>
      <c r="LCM81" s="594"/>
      <c r="LCN81" s="594"/>
      <c r="LCO81" s="594"/>
      <c r="LCP81" s="594"/>
      <c r="LCQ81" s="594"/>
      <c r="LCR81" s="594"/>
      <c r="LCS81" s="594"/>
      <c r="LCT81" s="594"/>
      <c r="LCU81" s="594"/>
      <c r="LCV81" s="594"/>
      <c r="LCW81" s="594"/>
      <c r="LCX81" s="594"/>
      <c r="LCY81" s="594"/>
      <c r="LCZ81" s="594"/>
      <c r="LDA81" s="594"/>
      <c r="LDB81" s="594"/>
      <c r="LDC81" s="594"/>
      <c r="LDD81" s="594"/>
      <c r="LDE81" s="594"/>
      <c r="LDF81" s="594"/>
      <c r="LDG81" s="594"/>
      <c r="LDH81" s="594"/>
      <c r="LDI81" s="594"/>
      <c r="LDJ81" s="594"/>
      <c r="LDK81" s="594"/>
      <c r="LDL81" s="594"/>
      <c r="LDM81" s="594"/>
      <c r="LDN81" s="594"/>
      <c r="LDO81" s="594"/>
      <c r="LDP81" s="594"/>
      <c r="LDQ81" s="594"/>
      <c r="LDR81" s="594"/>
      <c r="LDS81" s="594"/>
      <c r="LDT81" s="594"/>
      <c r="LDU81" s="594"/>
      <c r="LDV81" s="594"/>
      <c r="LDW81" s="594"/>
      <c r="LDX81" s="594"/>
      <c r="LDY81" s="594"/>
      <c r="LDZ81" s="594"/>
      <c r="LEA81" s="594"/>
      <c r="LEB81" s="594"/>
      <c r="LEC81" s="594"/>
      <c r="LED81" s="594"/>
      <c r="LEE81" s="594"/>
      <c r="LEF81" s="594"/>
      <c r="LEG81" s="594"/>
      <c r="LEH81" s="594"/>
      <c r="LEI81" s="594"/>
      <c r="LEJ81" s="594"/>
      <c r="LEK81" s="594"/>
      <c r="LEL81" s="594"/>
      <c r="LEM81" s="594"/>
      <c r="LEN81" s="594"/>
      <c r="LEO81" s="594"/>
      <c r="LEP81" s="594"/>
      <c r="LEQ81" s="594"/>
      <c r="LER81" s="594"/>
      <c r="LES81" s="594"/>
      <c r="LET81" s="594"/>
      <c r="LEU81" s="594"/>
      <c r="LEV81" s="594"/>
      <c r="LEW81" s="594"/>
      <c r="LEX81" s="594"/>
      <c r="LEY81" s="594"/>
      <c r="LEZ81" s="594"/>
      <c r="LFA81" s="594"/>
      <c r="LFB81" s="594"/>
      <c r="LFC81" s="594"/>
      <c r="LFD81" s="594"/>
      <c r="LFE81" s="594"/>
      <c r="LFF81" s="594"/>
      <c r="LFG81" s="594"/>
      <c r="LFH81" s="594"/>
      <c r="LFI81" s="594"/>
      <c r="LFJ81" s="594"/>
      <c r="LFK81" s="594"/>
      <c r="LFL81" s="594"/>
      <c r="LFM81" s="594"/>
      <c r="LFN81" s="594"/>
      <c r="LFO81" s="594"/>
      <c r="LFP81" s="594"/>
      <c r="LFQ81" s="594"/>
      <c r="LFR81" s="594"/>
      <c r="LFS81" s="594"/>
      <c r="LFT81" s="594"/>
      <c r="LFU81" s="594"/>
      <c r="LFV81" s="594"/>
      <c r="LFW81" s="594"/>
      <c r="LFX81" s="594"/>
      <c r="LFY81" s="594"/>
      <c r="LFZ81" s="594"/>
      <c r="LGA81" s="594"/>
      <c r="LGB81" s="594"/>
      <c r="LGC81" s="594"/>
      <c r="LGD81" s="594"/>
      <c r="LGE81" s="594"/>
      <c r="LGF81" s="594"/>
      <c r="LGG81" s="594"/>
      <c r="LGH81" s="594"/>
      <c r="LGI81" s="594"/>
      <c r="LGJ81" s="594"/>
      <c r="LGK81" s="594"/>
      <c r="LGL81" s="594"/>
      <c r="LGM81" s="594"/>
      <c r="LGN81" s="594"/>
      <c r="LGO81" s="594"/>
      <c r="LGP81" s="594"/>
      <c r="LGQ81" s="594"/>
      <c r="LGR81" s="594"/>
      <c r="LGS81" s="594"/>
      <c r="LGT81" s="594"/>
      <c r="LGU81" s="594"/>
      <c r="LGV81" s="594"/>
      <c r="LGW81" s="594"/>
      <c r="LGX81" s="594"/>
      <c r="LGY81" s="594"/>
      <c r="LGZ81" s="594"/>
      <c r="LHA81" s="594"/>
      <c r="LHB81" s="594"/>
      <c r="LHC81" s="594"/>
      <c r="LHD81" s="594"/>
      <c r="LHE81" s="594"/>
      <c r="LHF81" s="594"/>
      <c r="LHG81" s="594"/>
      <c r="LHH81" s="594"/>
      <c r="LHI81" s="594"/>
      <c r="LHJ81" s="594"/>
      <c r="LHK81" s="594"/>
      <c r="LHL81" s="594"/>
      <c r="LHM81" s="594"/>
      <c r="LHN81" s="594"/>
      <c r="LHO81" s="594"/>
      <c r="LHP81" s="594"/>
      <c r="LHQ81" s="594"/>
      <c r="LHR81" s="594"/>
      <c r="LHS81" s="594"/>
      <c r="LHT81" s="594"/>
      <c r="LHU81" s="594"/>
      <c r="LHV81" s="594"/>
      <c r="LHW81" s="594"/>
      <c r="LHX81" s="594"/>
      <c r="LHY81" s="594"/>
      <c r="LHZ81" s="594"/>
      <c r="LIA81" s="594"/>
      <c r="LIB81" s="594"/>
      <c r="LIC81" s="594"/>
      <c r="LID81" s="594"/>
      <c r="LIE81" s="594"/>
      <c r="LIF81" s="594"/>
      <c r="LIG81" s="594"/>
      <c r="LIH81" s="594"/>
      <c r="LII81" s="594"/>
      <c r="LIJ81" s="594"/>
      <c r="LIK81" s="594"/>
      <c r="LIL81" s="594"/>
      <c r="LIM81" s="594"/>
      <c r="LIN81" s="594"/>
      <c r="LIO81" s="594"/>
      <c r="LIP81" s="594"/>
      <c r="LIQ81" s="594"/>
      <c r="LIR81" s="594"/>
      <c r="LIS81" s="594"/>
      <c r="LIT81" s="594"/>
      <c r="LIU81" s="594"/>
      <c r="LIV81" s="594"/>
      <c r="LIW81" s="594"/>
      <c r="LIX81" s="594"/>
      <c r="LIY81" s="594"/>
      <c r="LIZ81" s="594"/>
      <c r="LJA81" s="594"/>
      <c r="LJB81" s="594"/>
      <c r="LJC81" s="594"/>
      <c r="LJD81" s="594"/>
      <c r="LJE81" s="594"/>
      <c r="LJF81" s="594"/>
      <c r="LJG81" s="594"/>
      <c r="LJH81" s="594"/>
      <c r="LJI81" s="594"/>
      <c r="LJJ81" s="594"/>
      <c r="LJK81" s="594"/>
      <c r="LJL81" s="594"/>
      <c r="LJM81" s="594"/>
      <c r="LJN81" s="594"/>
      <c r="LJO81" s="594"/>
      <c r="LJP81" s="594"/>
      <c r="LJQ81" s="594"/>
      <c r="LJR81" s="594"/>
      <c r="LJS81" s="594"/>
      <c r="LJT81" s="594"/>
      <c r="LJU81" s="594"/>
      <c r="LJV81" s="594"/>
      <c r="LJW81" s="594"/>
      <c r="LJX81" s="594"/>
      <c r="LJY81" s="594"/>
      <c r="LJZ81" s="594"/>
      <c r="LKA81" s="594"/>
      <c r="LKB81" s="594"/>
      <c r="LKC81" s="594"/>
      <c r="LKD81" s="594"/>
      <c r="LKE81" s="594"/>
      <c r="LKF81" s="594"/>
      <c r="LKG81" s="594"/>
      <c r="LKH81" s="594"/>
      <c r="LKI81" s="594"/>
      <c r="LKJ81" s="594"/>
      <c r="LKK81" s="594"/>
      <c r="LKL81" s="594"/>
      <c r="LKM81" s="594"/>
      <c r="LKN81" s="594"/>
      <c r="LKO81" s="594"/>
      <c r="LKP81" s="594"/>
      <c r="LKQ81" s="594"/>
      <c r="LKR81" s="594"/>
      <c r="LKS81" s="594"/>
      <c r="LKT81" s="594"/>
      <c r="LKU81" s="594"/>
      <c r="LKV81" s="594"/>
      <c r="LKW81" s="594"/>
      <c r="LKX81" s="594"/>
      <c r="LKY81" s="594"/>
      <c r="LKZ81" s="594"/>
      <c r="LLA81" s="594"/>
      <c r="LLB81" s="594"/>
      <c r="LLC81" s="594"/>
      <c r="LLD81" s="594"/>
      <c r="LLE81" s="594"/>
      <c r="LLF81" s="594"/>
      <c r="LLG81" s="594"/>
      <c r="LLH81" s="594"/>
      <c r="LLI81" s="594"/>
      <c r="LLJ81" s="594"/>
      <c r="LLK81" s="594"/>
      <c r="LLL81" s="594"/>
      <c r="LLM81" s="594"/>
      <c r="LLN81" s="594"/>
      <c r="LLO81" s="594"/>
      <c r="LLP81" s="594"/>
      <c r="LLQ81" s="594"/>
      <c r="LLR81" s="594"/>
      <c r="LLS81" s="594"/>
      <c r="LLT81" s="594"/>
      <c r="LLU81" s="594"/>
      <c r="LLV81" s="594"/>
      <c r="LLW81" s="594"/>
      <c r="LLX81" s="594"/>
      <c r="LLY81" s="594"/>
      <c r="LLZ81" s="594"/>
      <c r="LMA81" s="594"/>
      <c r="LMB81" s="594"/>
      <c r="LMC81" s="594"/>
      <c r="LMD81" s="594"/>
      <c r="LME81" s="594"/>
      <c r="LMF81" s="594"/>
      <c r="LMG81" s="594"/>
      <c r="LMH81" s="594"/>
      <c r="LMI81" s="594"/>
      <c r="LMJ81" s="594"/>
      <c r="LMK81" s="594"/>
      <c r="LML81" s="594"/>
      <c r="LMM81" s="594"/>
      <c r="LMN81" s="594"/>
      <c r="LMO81" s="594"/>
      <c r="LMP81" s="594"/>
      <c r="LMQ81" s="594"/>
      <c r="LMR81" s="594"/>
      <c r="LMS81" s="594"/>
      <c r="LMT81" s="594"/>
      <c r="LMU81" s="594"/>
      <c r="LMV81" s="594"/>
      <c r="LMW81" s="594"/>
      <c r="LMX81" s="594"/>
      <c r="LMY81" s="594"/>
      <c r="LMZ81" s="594"/>
      <c r="LNA81" s="594"/>
      <c r="LNB81" s="594"/>
      <c r="LNC81" s="594"/>
      <c r="LND81" s="594"/>
      <c r="LNE81" s="594"/>
      <c r="LNF81" s="594"/>
      <c r="LNG81" s="594"/>
      <c r="LNH81" s="594"/>
      <c r="LNI81" s="594"/>
      <c r="LNJ81" s="594"/>
      <c r="LNK81" s="594"/>
      <c r="LNL81" s="594"/>
      <c r="LNM81" s="594"/>
      <c r="LNN81" s="594"/>
      <c r="LNO81" s="594"/>
      <c r="LNP81" s="594"/>
      <c r="LNQ81" s="594"/>
      <c r="LNR81" s="594"/>
      <c r="LNS81" s="594"/>
      <c r="LNT81" s="594"/>
      <c r="LNU81" s="594"/>
      <c r="LNV81" s="594"/>
      <c r="LNW81" s="594"/>
      <c r="LNX81" s="594"/>
      <c r="LNY81" s="594"/>
      <c r="LNZ81" s="594"/>
      <c r="LOA81" s="594"/>
      <c r="LOB81" s="594"/>
      <c r="LOC81" s="594"/>
      <c r="LOD81" s="594"/>
      <c r="LOE81" s="594"/>
      <c r="LOF81" s="594"/>
      <c r="LOG81" s="594"/>
      <c r="LOH81" s="594"/>
      <c r="LOI81" s="594"/>
      <c r="LOJ81" s="594"/>
      <c r="LOK81" s="594"/>
      <c r="LOL81" s="594"/>
      <c r="LOM81" s="594"/>
      <c r="LON81" s="594"/>
      <c r="LOO81" s="594"/>
      <c r="LOP81" s="594"/>
      <c r="LOQ81" s="594"/>
      <c r="LOR81" s="594"/>
      <c r="LOS81" s="594"/>
      <c r="LOT81" s="594"/>
      <c r="LOU81" s="594"/>
      <c r="LOV81" s="594"/>
      <c r="LOW81" s="594"/>
      <c r="LOX81" s="594"/>
      <c r="LOY81" s="594"/>
      <c r="LOZ81" s="594"/>
      <c r="LPA81" s="594"/>
      <c r="LPB81" s="594"/>
      <c r="LPC81" s="594"/>
      <c r="LPD81" s="594"/>
      <c r="LPE81" s="594"/>
      <c r="LPF81" s="594"/>
      <c r="LPG81" s="594"/>
      <c r="LPH81" s="594"/>
      <c r="LPI81" s="594"/>
      <c r="LPJ81" s="594"/>
      <c r="LPK81" s="594"/>
      <c r="LPL81" s="594"/>
      <c r="LPM81" s="594"/>
      <c r="LPN81" s="594"/>
      <c r="LPO81" s="594"/>
      <c r="LPP81" s="594"/>
      <c r="LPQ81" s="594"/>
      <c r="LPR81" s="594"/>
      <c r="LPS81" s="594"/>
      <c r="LPT81" s="594"/>
      <c r="LPU81" s="594"/>
      <c r="LPV81" s="594"/>
      <c r="LPW81" s="594"/>
      <c r="LPX81" s="594"/>
      <c r="LPY81" s="594"/>
      <c r="LPZ81" s="594"/>
      <c r="LQA81" s="594"/>
      <c r="LQB81" s="594"/>
      <c r="LQC81" s="594"/>
      <c r="LQD81" s="594"/>
      <c r="LQE81" s="594"/>
      <c r="LQF81" s="594"/>
      <c r="LQG81" s="594"/>
      <c r="LQH81" s="594"/>
      <c r="LQI81" s="594"/>
      <c r="LQJ81" s="594"/>
      <c r="LQK81" s="594"/>
      <c r="LQL81" s="594"/>
      <c r="LQM81" s="594"/>
      <c r="LQN81" s="594"/>
      <c r="LQO81" s="594"/>
      <c r="LQP81" s="594"/>
      <c r="LQQ81" s="594"/>
      <c r="LQR81" s="594"/>
      <c r="LQS81" s="594"/>
      <c r="LQT81" s="594"/>
      <c r="LQU81" s="594"/>
      <c r="LQV81" s="594"/>
      <c r="LQW81" s="594"/>
      <c r="LQX81" s="594"/>
      <c r="LQY81" s="594"/>
      <c r="LQZ81" s="594"/>
      <c r="LRA81" s="594"/>
      <c r="LRB81" s="594"/>
      <c r="LRC81" s="594"/>
      <c r="LRD81" s="594"/>
      <c r="LRE81" s="594"/>
      <c r="LRF81" s="594"/>
      <c r="LRG81" s="594"/>
      <c r="LRH81" s="594"/>
      <c r="LRI81" s="594"/>
      <c r="LRJ81" s="594"/>
      <c r="LRK81" s="594"/>
      <c r="LRL81" s="594"/>
      <c r="LRM81" s="594"/>
      <c r="LRN81" s="594"/>
      <c r="LRO81" s="594"/>
      <c r="LRP81" s="594"/>
      <c r="LRQ81" s="594"/>
      <c r="LRR81" s="594"/>
      <c r="LRS81" s="594"/>
      <c r="LRT81" s="594"/>
      <c r="LRU81" s="594"/>
      <c r="LRV81" s="594"/>
      <c r="LRW81" s="594"/>
      <c r="LRX81" s="594"/>
      <c r="LRY81" s="594"/>
      <c r="LRZ81" s="594"/>
      <c r="LSA81" s="594"/>
      <c r="LSB81" s="594"/>
      <c r="LSC81" s="594"/>
      <c r="LSD81" s="594"/>
      <c r="LSE81" s="594"/>
      <c r="LSF81" s="594"/>
      <c r="LSG81" s="594"/>
      <c r="LSH81" s="594"/>
      <c r="LSI81" s="594"/>
      <c r="LSJ81" s="594"/>
      <c r="LSK81" s="594"/>
      <c r="LSL81" s="594"/>
      <c r="LSM81" s="594"/>
      <c r="LSN81" s="594"/>
      <c r="LSO81" s="594"/>
      <c r="LSP81" s="594"/>
      <c r="LSQ81" s="594"/>
      <c r="LSR81" s="594"/>
      <c r="LSS81" s="594"/>
      <c r="LST81" s="594"/>
      <c r="LSU81" s="594"/>
      <c r="LSV81" s="594"/>
      <c r="LSW81" s="594"/>
      <c r="LSX81" s="594"/>
      <c r="LSY81" s="594"/>
      <c r="LSZ81" s="594"/>
      <c r="LTA81" s="594"/>
      <c r="LTB81" s="594"/>
      <c r="LTC81" s="594"/>
      <c r="LTD81" s="594"/>
      <c r="LTE81" s="594"/>
      <c r="LTF81" s="594"/>
      <c r="LTG81" s="594"/>
      <c r="LTH81" s="594"/>
      <c r="LTI81" s="594"/>
      <c r="LTJ81" s="594"/>
      <c r="LTK81" s="594"/>
      <c r="LTL81" s="594"/>
      <c r="LTM81" s="594"/>
      <c r="LTN81" s="594"/>
      <c r="LTO81" s="594"/>
      <c r="LTP81" s="594"/>
      <c r="LTQ81" s="594"/>
      <c r="LTR81" s="594"/>
      <c r="LTS81" s="594"/>
      <c r="LTT81" s="594"/>
      <c r="LTU81" s="594"/>
      <c r="LTV81" s="594"/>
      <c r="LTW81" s="594"/>
      <c r="LTX81" s="594"/>
      <c r="LTY81" s="594"/>
      <c r="LTZ81" s="594"/>
      <c r="LUA81" s="594"/>
      <c r="LUB81" s="594"/>
      <c r="LUC81" s="594"/>
      <c r="LUD81" s="594"/>
      <c r="LUE81" s="594"/>
      <c r="LUF81" s="594"/>
      <c r="LUG81" s="594"/>
      <c r="LUH81" s="594"/>
      <c r="LUI81" s="594"/>
      <c r="LUJ81" s="594"/>
      <c r="LUK81" s="594"/>
      <c r="LUL81" s="594"/>
      <c r="LUM81" s="594"/>
      <c r="LUN81" s="594"/>
      <c r="LUO81" s="594"/>
      <c r="LUP81" s="594"/>
      <c r="LUQ81" s="594"/>
      <c r="LUR81" s="594"/>
      <c r="LUS81" s="594"/>
      <c r="LUT81" s="594"/>
      <c r="LUU81" s="594"/>
      <c r="LUV81" s="594"/>
      <c r="LUW81" s="594"/>
      <c r="LUX81" s="594"/>
      <c r="LUY81" s="594"/>
      <c r="LUZ81" s="594"/>
      <c r="LVA81" s="594"/>
      <c r="LVB81" s="594"/>
      <c r="LVC81" s="594"/>
      <c r="LVD81" s="594"/>
      <c r="LVE81" s="594"/>
      <c r="LVF81" s="594"/>
      <c r="LVG81" s="594"/>
      <c r="LVH81" s="594"/>
      <c r="LVI81" s="594"/>
      <c r="LVJ81" s="594"/>
      <c r="LVK81" s="594"/>
      <c r="LVL81" s="594"/>
      <c r="LVM81" s="594"/>
      <c r="LVN81" s="594"/>
      <c r="LVO81" s="594"/>
      <c r="LVP81" s="594"/>
      <c r="LVQ81" s="594"/>
      <c r="LVR81" s="594"/>
      <c r="LVS81" s="594"/>
      <c r="LVT81" s="594"/>
      <c r="LVU81" s="594"/>
      <c r="LVV81" s="594"/>
      <c r="LVW81" s="594"/>
      <c r="LVX81" s="594"/>
      <c r="LVY81" s="594"/>
      <c r="LVZ81" s="594"/>
      <c r="LWA81" s="594"/>
      <c r="LWB81" s="594"/>
      <c r="LWC81" s="594"/>
      <c r="LWD81" s="594"/>
      <c r="LWE81" s="594"/>
      <c r="LWF81" s="594"/>
      <c r="LWG81" s="594"/>
      <c r="LWH81" s="594"/>
      <c r="LWI81" s="594"/>
      <c r="LWJ81" s="594"/>
      <c r="LWK81" s="594"/>
      <c r="LWL81" s="594"/>
      <c r="LWM81" s="594"/>
      <c r="LWN81" s="594"/>
      <c r="LWO81" s="594"/>
      <c r="LWP81" s="594"/>
      <c r="LWQ81" s="594"/>
      <c r="LWR81" s="594"/>
      <c r="LWS81" s="594"/>
      <c r="LWT81" s="594"/>
      <c r="LWU81" s="594"/>
      <c r="LWV81" s="594"/>
      <c r="LWW81" s="594"/>
      <c r="LWX81" s="594"/>
      <c r="LWY81" s="594"/>
      <c r="LWZ81" s="594"/>
      <c r="LXA81" s="594"/>
      <c r="LXB81" s="594"/>
      <c r="LXC81" s="594"/>
      <c r="LXD81" s="594"/>
      <c r="LXE81" s="594"/>
      <c r="LXF81" s="594"/>
      <c r="LXG81" s="594"/>
      <c r="LXH81" s="594"/>
      <c r="LXI81" s="594"/>
      <c r="LXJ81" s="594"/>
      <c r="LXK81" s="594"/>
      <c r="LXL81" s="594"/>
      <c r="LXM81" s="594"/>
      <c r="LXN81" s="594"/>
      <c r="LXO81" s="594"/>
      <c r="LXP81" s="594"/>
      <c r="LXQ81" s="594"/>
      <c r="LXR81" s="594"/>
      <c r="LXS81" s="594"/>
      <c r="LXT81" s="594"/>
      <c r="LXU81" s="594"/>
      <c r="LXV81" s="594"/>
      <c r="LXW81" s="594"/>
      <c r="LXX81" s="594"/>
      <c r="LXY81" s="594"/>
      <c r="LXZ81" s="594"/>
      <c r="LYA81" s="594"/>
      <c r="LYB81" s="594"/>
      <c r="LYC81" s="594"/>
      <c r="LYD81" s="594"/>
      <c r="LYE81" s="594"/>
      <c r="LYF81" s="594"/>
      <c r="LYG81" s="594"/>
      <c r="LYH81" s="594"/>
      <c r="LYI81" s="594"/>
      <c r="LYJ81" s="594"/>
      <c r="LYK81" s="594"/>
      <c r="LYL81" s="594"/>
      <c r="LYM81" s="594"/>
      <c r="LYN81" s="594"/>
      <c r="LYO81" s="594"/>
      <c r="LYP81" s="594"/>
      <c r="LYQ81" s="594"/>
      <c r="LYR81" s="594"/>
      <c r="LYS81" s="594"/>
      <c r="LYT81" s="594"/>
      <c r="LYU81" s="594"/>
      <c r="LYV81" s="594"/>
      <c r="LYW81" s="594"/>
      <c r="LYX81" s="594"/>
      <c r="LYY81" s="594"/>
      <c r="LYZ81" s="594"/>
      <c r="LZA81" s="594"/>
      <c r="LZB81" s="594"/>
      <c r="LZC81" s="594"/>
      <c r="LZD81" s="594"/>
      <c r="LZE81" s="594"/>
      <c r="LZF81" s="594"/>
      <c r="LZG81" s="594"/>
      <c r="LZH81" s="594"/>
      <c r="LZI81" s="594"/>
      <c r="LZJ81" s="594"/>
      <c r="LZK81" s="594"/>
      <c r="LZL81" s="594"/>
      <c r="LZM81" s="594"/>
      <c r="LZN81" s="594"/>
      <c r="LZO81" s="594"/>
      <c r="LZP81" s="594"/>
      <c r="LZQ81" s="594"/>
      <c r="LZR81" s="594"/>
      <c r="LZS81" s="594"/>
      <c r="LZT81" s="594"/>
      <c r="LZU81" s="594"/>
      <c r="LZV81" s="594"/>
      <c r="LZW81" s="594"/>
      <c r="LZX81" s="594"/>
      <c r="LZY81" s="594"/>
      <c r="LZZ81" s="594"/>
      <c r="MAA81" s="594"/>
      <c r="MAB81" s="594"/>
      <c r="MAC81" s="594"/>
      <c r="MAD81" s="594"/>
      <c r="MAE81" s="594"/>
      <c r="MAF81" s="594"/>
      <c r="MAG81" s="594"/>
      <c r="MAH81" s="594"/>
      <c r="MAI81" s="594"/>
      <c r="MAJ81" s="594"/>
      <c r="MAK81" s="594"/>
      <c r="MAL81" s="594"/>
      <c r="MAM81" s="594"/>
      <c r="MAN81" s="594"/>
      <c r="MAO81" s="594"/>
      <c r="MAP81" s="594"/>
      <c r="MAQ81" s="594"/>
      <c r="MAR81" s="594"/>
      <c r="MAS81" s="594"/>
      <c r="MAT81" s="594"/>
      <c r="MAU81" s="594"/>
      <c r="MAV81" s="594"/>
      <c r="MAW81" s="594"/>
      <c r="MAX81" s="594"/>
      <c r="MAY81" s="594"/>
      <c r="MAZ81" s="594"/>
      <c r="MBA81" s="594"/>
      <c r="MBB81" s="594"/>
      <c r="MBC81" s="594"/>
      <c r="MBD81" s="594"/>
      <c r="MBE81" s="594"/>
      <c r="MBF81" s="594"/>
      <c r="MBG81" s="594"/>
      <c r="MBH81" s="594"/>
      <c r="MBI81" s="594"/>
      <c r="MBJ81" s="594"/>
      <c r="MBK81" s="594"/>
      <c r="MBL81" s="594"/>
      <c r="MBM81" s="594"/>
      <c r="MBN81" s="594"/>
      <c r="MBO81" s="594"/>
      <c r="MBP81" s="594"/>
      <c r="MBQ81" s="594"/>
      <c r="MBR81" s="594"/>
      <c r="MBS81" s="594"/>
      <c r="MBT81" s="594"/>
      <c r="MBU81" s="594"/>
      <c r="MBV81" s="594"/>
      <c r="MBW81" s="594"/>
      <c r="MBX81" s="594"/>
      <c r="MBY81" s="594"/>
      <c r="MBZ81" s="594"/>
      <c r="MCA81" s="594"/>
      <c r="MCB81" s="594"/>
      <c r="MCC81" s="594"/>
      <c r="MCD81" s="594"/>
      <c r="MCE81" s="594"/>
      <c r="MCF81" s="594"/>
      <c r="MCG81" s="594"/>
      <c r="MCH81" s="594"/>
      <c r="MCI81" s="594"/>
      <c r="MCJ81" s="594"/>
      <c r="MCK81" s="594"/>
      <c r="MCL81" s="594"/>
      <c r="MCM81" s="594"/>
      <c r="MCN81" s="594"/>
      <c r="MCO81" s="594"/>
      <c r="MCP81" s="594"/>
      <c r="MCQ81" s="594"/>
      <c r="MCR81" s="594"/>
      <c r="MCS81" s="594"/>
      <c r="MCT81" s="594"/>
      <c r="MCU81" s="594"/>
      <c r="MCV81" s="594"/>
      <c r="MCW81" s="594"/>
      <c r="MCX81" s="594"/>
      <c r="MCY81" s="594"/>
      <c r="MCZ81" s="594"/>
      <c r="MDA81" s="594"/>
      <c r="MDB81" s="594"/>
      <c r="MDC81" s="594"/>
      <c r="MDD81" s="594"/>
      <c r="MDE81" s="594"/>
      <c r="MDF81" s="594"/>
      <c r="MDG81" s="594"/>
      <c r="MDH81" s="594"/>
      <c r="MDI81" s="594"/>
      <c r="MDJ81" s="594"/>
      <c r="MDK81" s="594"/>
      <c r="MDL81" s="594"/>
      <c r="MDM81" s="594"/>
      <c r="MDN81" s="594"/>
      <c r="MDO81" s="594"/>
      <c r="MDP81" s="594"/>
      <c r="MDQ81" s="594"/>
      <c r="MDR81" s="594"/>
      <c r="MDS81" s="594"/>
      <c r="MDT81" s="594"/>
      <c r="MDU81" s="594"/>
      <c r="MDV81" s="594"/>
      <c r="MDW81" s="594"/>
      <c r="MDX81" s="594"/>
      <c r="MDY81" s="594"/>
      <c r="MDZ81" s="594"/>
      <c r="MEA81" s="594"/>
      <c r="MEB81" s="594"/>
      <c r="MEC81" s="594"/>
      <c r="MED81" s="594"/>
      <c r="MEE81" s="594"/>
      <c r="MEF81" s="594"/>
      <c r="MEG81" s="594"/>
      <c r="MEH81" s="594"/>
      <c r="MEI81" s="594"/>
      <c r="MEJ81" s="594"/>
      <c r="MEK81" s="594"/>
      <c r="MEL81" s="594"/>
      <c r="MEM81" s="594"/>
      <c r="MEN81" s="594"/>
      <c r="MEO81" s="594"/>
      <c r="MEP81" s="594"/>
      <c r="MEQ81" s="594"/>
      <c r="MER81" s="594"/>
      <c r="MES81" s="594"/>
      <c r="MET81" s="594"/>
      <c r="MEU81" s="594"/>
      <c r="MEV81" s="594"/>
      <c r="MEW81" s="594"/>
      <c r="MEX81" s="594"/>
      <c r="MEY81" s="594"/>
      <c r="MEZ81" s="594"/>
      <c r="MFA81" s="594"/>
      <c r="MFB81" s="594"/>
      <c r="MFC81" s="594"/>
      <c r="MFD81" s="594"/>
      <c r="MFE81" s="594"/>
      <c r="MFF81" s="594"/>
      <c r="MFG81" s="594"/>
      <c r="MFH81" s="594"/>
      <c r="MFI81" s="594"/>
      <c r="MFJ81" s="594"/>
      <c r="MFK81" s="594"/>
      <c r="MFL81" s="594"/>
      <c r="MFM81" s="594"/>
      <c r="MFN81" s="594"/>
      <c r="MFO81" s="594"/>
      <c r="MFP81" s="594"/>
      <c r="MFQ81" s="594"/>
      <c r="MFR81" s="594"/>
      <c r="MFS81" s="594"/>
      <c r="MFT81" s="594"/>
      <c r="MFU81" s="594"/>
      <c r="MFV81" s="594"/>
      <c r="MFW81" s="594"/>
      <c r="MFX81" s="594"/>
      <c r="MFY81" s="594"/>
      <c r="MFZ81" s="594"/>
      <c r="MGA81" s="594"/>
      <c r="MGB81" s="594"/>
      <c r="MGC81" s="594"/>
      <c r="MGD81" s="594"/>
      <c r="MGE81" s="594"/>
      <c r="MGF81" s="594"/>
      <c r="MGG81" s="594"/>
      <c r="MGH81" s="594"/>
      <c r="MGI81" s="594"/>
      <c r="MGJ81" s="594"/>
      <c r="MGK81" s="594"/>
      <c r="MGL81" s="594"/>
      <c r="MGM81" s="594"/>
      <c r="MGN81" s="594"/>
      <c r="MGO81" s="594"/>
      <c r="MGP81" s="594"/>
      <c r="MGQ81" s="594"/>
      <c r="MGR81" s="594"/>
      <c r="MGS81" s="594"/>
      <c r="MGT81" s="594"/>
      <c r="MGU81" s="594"/>
      <c r="MGV81" s="594"/>
      <c r="MGW81" s="594"/>
      <c r="MGX81" s="594"/>
      <c r="MGY81" s="594"/>
      <c r="MGZ81" s="594"/>
      <c r="MHA81" s="594"/>
      <c r="MHB81" s="594"/>
      <c r="MHC81" s="594"/>
      <c r="MHD81" s="594"/>
      <c r="MHE81" s="594"/>
      <c r="MHF81" s="594"/>
      <c r="MHG81" s="594"/>
      <c r="MHH81" s="594"/>
      <c r="MHI81" s="594"/>
      <c r="MHJ81" s="594"/>
      <c r="MHK81" s="594"/>
      <c r="MHL81" s="594"/>
      <c r="MHM81" s="594"/>
      <c r="MHN81" s="594"/>
      <c r="MHO81" s="594"/>
      <c r="MHP81" s="594"/>
      <c r="MHQ81" s="594"/>
      <c r="MHR81" s="594"/>
      <c r="MHS81" s="594"/>
      <c r="MHT81" s="594"/>
      <c r="MHU81" s="594"/>
      <c r="MHV81" s="594"/>
      <c r="MHW81" s="594"/>
      <c r="MHX81" s="594"/>
      <c r="MHY81" s="594"/>
      <c r="MHZ81" s="594"/>
      <c r="MIA81" s="594"/>
      <c r="MIB81" s="594"/>
      <c r="MIC81" s="594"/>
      <c r="MID81" s="594"/>
      <c r="MIE81" s="594"/>
      <c r="MIF81" s="594"/>
      <c r="MIG81" s="594"/>
      <c r="MIH81" s="594"/>
      <c r="MII81" s="594"/>
      <c r="MIJ81" s="594"/>
      <c r="MIK81" s="594"/>
      <c r="MIL81" s="594"/>
      <c r="MIM81" s="594"/>
      <c r="MIN81" s="594"/>
      <c r="MIO81" s="594"/>
      <c r="MIP81" s="594"/>
      <c r="MIQ81" s="594"/>
      <c r="MIR81" s="594"/>
      <c r="MIS81" s="594"/>
      <c r="MIT81" s="594"/>
      <c r="MIU81" s="594"/>
      <c r="MIV81" s="594"/>
      <c r="MIW81" s="594"/>
      <c r="MIX81" s="594"/>
      <c r="MIY81" s="594"/>
      <c r="MIZ81" s="594"/>
      <c r="MJA81" s="594"/>
      <c r="MJB81" s="594"/>
      <c r="MJC81" s="594"/>
      <c r="MJD81" s="594"/>
      <c r="MJE81" s="594"/>
      <c r="MJF81" s="594"/>
      <c r="MJG81" s="594"/>
      <c r="MJH81" s="594"/>
      <c r="MJI81" s="594"/>
      <c r="MJJ81" s="594"/>
      <c r="MJK81" s="594"/>
      <c r="MJL81" s="594"/>
      <c r="MJM81" s="594"/>
      <c r="MJN81" s="594"/>
      <c r="MJO81" s="594"/>
      <c r="MJP81" s="594"/>
      <c r="MJQ81" s="594"/>
      <c r="MJR81" s="594"/>
      <c r="MJS81" s="594"/>
      <c r="MJT81" s="594"/>
      <c r="MJU81" s="594"/>
      <c r="MJV81" s="594"/>
      <c r="MJW81" s="594"/>
      <c r="MJX81" s="594"/>
      <c r="MJY81" s="594"/>
      <c r="MJZ81" s="594"/>
      <c r="MKA81" s="594"/>
      <c r="MKB81" s="594"/>
      <c r="MKC81" s="594"/>
      <c r="MKD81" s="594"/>
      <c r="MKE81" s="594"/>
      <c r="MKF81" s="594"/>
      <c r="MKG81" s="594"/>
      <c r="MKH81" s="594"/>
      <c r="MKI81" s="594"/>
      <c r="MKJ81" s="594"/>
      <c r="MKK81" s="594"/>
      <c r="MKL81" s="594"/>
      <c r="MKM81" s="594"/>
      <c r="MKN81" s="594"/>
      <c r="MKO81" s="594"/>
      <c r="MKP81" s="594"/>
      <c r="MKQ81" s="594"/>
      <c r="MKR81" s="594"/>
      <c r="MKS81" s="594"/>
      <c r="MKT81" s="594"/>
      <c r="MKU81" s="594"/>
      <c r="MKV81" s="594"/>
      <c r="MKW81" s="594"/>
      <c r="MKX81" s="594"/>
      <c r="MKY81" s="594"/>
      <c r="MKZ81" s="594"/>
      <c r="MLA81" s="594"/>
      <c r="MLB81" s="594"/>
      <c r="MLC81" s="594"/>
      <c r="MLD81" s="594"/>
      <c r="MLE81" s="594"/>
      <c r="MLF81" s="594"/>
      <c r="MLG81" s="594"/>
      <c r="MLH81" s="594"/>
      <c r="MLI81" s="594"/>
      <c r="MLJ81" s="594"/>
      <c r="MLK81" s="594"/>
      <c r="MLL81" s="594"/>
      <c r="MLM81" s="594"/>
      <c r="MLN81" s="594"/>
      <c r="MLO81" s="594"/>
      <c r="MLP81" s="594"/>
      <c r="MLQ81" s="594"/>
      <c r="MLR81" s="594"/>
      <c r="MLS81" s="594"/>
      <c r="MLT81" s="594"/>
      <c r="MLU81" s="594"/>
      <c r="MLV81" s="594"/>
      <c r="MLW81" s="594"/>
      <c r="MLX81" s="594"/>
      <c r="MLY81" s="594"/>
      <c r="MLZ81" s="594"/>
      <c r="MMA81" s="594"/>
      <c r="MMB81" s="594"/>
      <c r="MMC81" s="594"/>
      <c r="MMD81" s="594"/>
      <c r="MME81" s="594"/>
      <c r="MMF81" s="594"/>
      <c r="MMG81" s="594"/>
      <c r="MMH81" s="594"/>
      <c r="MMI81" s="594"/>
      <c r="MMJ81" s="594"/>
      <c r="MMK81" s="594"/>
      <c r="MML81" s="594"/>
      <c r="MMM81" s="594"/>
      <c r="MMN81" s="594"/>
      <c r="MMO81" s="594"/>
      <c r="MMP81" s="594"/>
      <c r="MMQ81" s="594"/>
      <c r="MMR81" s="594"/>
      <c r="MMS81" s="594"/>
      <c r="MMT81" s="594"/>
      <c r="MMU81" s="594"/>
      <c r="MMV81" s="594"/>
      <c r="MMW81" s="594"/>
      <c r="MMX81" s="594"/>
      <c r="MMY81" s="594"/>
      <c r="MMZ81" s="594"/>
      <c r="MNA81" s="594"/>
      <c r="MNB81" s="594"/>
      <c r="MNC81" s="594"/>
      <c r="MND81" s="594"/>
      <c r="MNE81" s="594"/>
      <c r="MNF81" s="594"/>
      <c r="MNG81" s="594"/>
      <c r="MNH81" s="594"/>
      <c r="MNI81" s="594"/>
      <c r="MNJ81" s="594"/>
      <c r="MNK81" s="594"/>
      <c r="MNL81" s="594"/>
      <c r="MNM81" s="594"/>
      <c r="MNN81" s="594"/>
      <c r="MNO81" s="594"/>
      <c r="MNP81" s="594"/>
      <c r="MNQ81" s="594"/>
      <c r="MNR81" s="594"/>
      <c r="MNS81" s="594"/>
      <c r="MNT81" s="594"/>
      <c r="MNU81" s="594"/>
      <c r="MNV81" s="594"/>
      <c r="MNW81" s="594"/>
      <c r="MNX81" s="594"/>
      <c r="MNY81" s="594"/>
      <c r="MNZ81" s="594"/>
      <c r="MOA81" s="594"/>
      <c r="MOB81" s="594"/>
      <c r="MOC81" s="594"/>
      <c r="MOD81" s="594"/>
      <c r="MOE81" s="594"/>
      <c r="MOF81" s="594"/>
      <c r="MOG81" s="594"/>
      <c r="MOH81" s="594"/>
      <c r="MOI81" s="594"/>
      <c r="MOJ81" s="594"/>
      <c r="MOK81" s="594"/>
      <c r="MOL81" s="594"/>
      <c r="MOM81" s="594"/>
      <c r="MON81" s="594"/>
      <c r="MOO81" s="594"/>
      <c r="MOP81" s="594"/>
      <c r="MOQ81" s="594"/>
      <c r="MOR81" s="594"/>
      <c r="MOS81" s="594"/>
      <c r="MOT81" s="594"/>
      <c r="MOU81" s="594"/>
      <c r="MOV81" s="594"/>
      <c r="MOW81" s="594"/>
      <c r="MOX81" s="594"/>
      <c r="MOY81" s="594"/>
      <c r="MOZ81" s="594"/>
      <c r="MPA81" s="594"/>
      <c r="MPB81" s="594"/>
      <c r="MPC81" s="594"/>
      <c r="MPD81" s="594"/>
      <c r="MPE81" s="594"/>
      <c r="MPF81" s="594"/>
      <c r="MPG81" s="594"/>
      <c r="MPH81" s="594"/>
      <c r="MPI81" s="594"/>
      <c r="MPJ81" s="594"/>
      <c r="MPK81" s="594"/>
      <c r="MPL81" s="594"/>
      <c r="MPM81" s="594"/>
      <c r="MPN81" s="594"/>
      <c r="MPO81" s="594"/>
      <c r="MPP81" s="594"/>
      <c r="MPQ81" s="594"/>
      <c r="MPR81" s="594"/>
      <c r="MPS81" s="594"/>
      <c r="MPT81" s="594"/>
      <c r="MPU81" s="594"/>
      <c r="MPV81" s="594"/>
      <c r="MPW81" s="594"/>
      <c r="MPX81" s="594"/>
      <c r="MPY81" s="594"/>
      <c r="MPZ81" s="594"/>
      <c r="MQA81" s="594"/>
      <c r="MQB81" s="594"/>
      <c r="MQC81" s="594"/>
      <c r="MQD81" s="594"/>
      <c r="MQE81" s="594"/>
      <c r="MQF81" s="594"/>
      <c r="MQG81" s="594"/>
      <c r="MQH81" s="594"/>
      <c r="MQI81" s="594"/>
      <c r="MQJ81" s="594"/>
      <c r="MQK81" s="594"/>
      <c r="MQL81" s="594"/>
      <c r="MQM81" s="594"/>
      <c r="MQN81" s="594"/>
      <c r="MQO81" s="594"/>
      <c r="MQP81" s="594"/>
      <c r="MQQ81" s="594"/>
      <c r="MQR81" s="594"/>
      <c r="MQS81" s="594"/>
      <c r="MQT81" s="594"/>
      <c r="MQU81" s="594"/>
      <c r="MQV81" s="594"/>
      <c r="MQW81" s="594"/>
      <c r="MQX81" s="594"/>
      <c r="MQY81" s="594"/>
      <c r="MQZ81" s="594"/>
      <c r="MRA81" s="594"/>
      <c r="MRB81" s="594"/>
      <c r="MRC81" s="594"/>
      <c r="MRD81" s="594"/>
      <c r="MRE81" s="594"/>
      <c r="MRF81" s="594"/>
      <c r="MRG81" s="594"/>
      <c r="MRH81" s="594"/>
      <c r="MRI81" s="594"/>
      <c r="MRJ81" s="594"/>
      <c r="MRK81" s="594"/>
      <c r="MRL81" s="594"/>
      <c r="MRM81" s="594"/>
      <c r="MRN81" s="594"/>
      <c r="MRO81" s="594"/>
      <c r="MRP81" s="594"/>
      <c r="MRQ81" s="594"/>
      <c r="MRR81" s="594"/>
      <c r="MRS81" s="594"/>
      <c r="MRT81" s="594"/>
      <c r="MRU81" s="594"/>
      <c r="MRV81" s="594"/>
      <c r="MRW81" s="594"/>
      <c r="MRX81" s="594"/>
      <c r="MRY81" s="594"/>
      <c r="MRZ81" s="594"/>
      <c r="MSA81" s="594"/>
      <c r="MSB81" s="594"/>
      <c r="MSC81" s="594"/>
      <c r="MSD81" s="594"/>
      <c r="MSE81" s="594"/>
      <c r="MSF81" s="594"/>
      <c r="MSG81" s="594"/>
      <c r="MSH81" s="594"/>
      <c r="MSI81" s="594"/>
      <c r="MSJ81" s="594"/>
      <c r="MSK81" s="594"/>
      <c r="MSL81" s="594"/>
      <c r="MSM81" s="594"/>
      <c r="MSN81" s="594"/>
      <c r="MSO81" s="594"/>
      <c r="MSP81" s="594"/>
      <c r="MSQ81" s="594"/>
      <c r="MSR81" s="594"/>
      <c r="MSS81" s="594"/>
      <c r="MST81" s="594"/>
      <c r="MSU81" s="594"/>
      <c r="MSV81" s="594"/>
      <c r="MSW81" s="594"/>
      <c r="MSX81" s="594"/>
      <c r="MSY81" s="594"/>
      <c r="MSZ81" s="594"/>
      <c r="MTA81" s="594"/>
      <c r="MTB81" s="594"/>
      <c r="MTC81" s="594"/>
      <c r="MTD81" s="594"/>
      <c r="MTE81" s="594"/>
      <c r="MTF81" s="594"/>
      <c r="MTG81" s="594"/>
      <c r="MTH81" s="594"/>
      <c r="MTI81" s="594"/>
      <c r="MTJ81" s="594"/>
      <c r="MTK81" s="594"/>
      <c r="MTL81" s="594"/>
      <c r="MTM81" s="594"/>
      <c r="MTN81" s="594"/>
      <c r="MTO81" s="594"/>
      <c r="MTP81" s="594"/>
      <c r="MTQ81" s="594"/>
      <c r="MTR81" s="594"/>
      <c r="MTS81" s="594"/>
      <c r="MTT81" s="594"/>
      <c r="MTU81" s="594"/>
      <c r="MTV81" s="594"/>
      <c r="MTW81" s="594"/>
      <c r="MTX81" s="594"/>
      <c r="MTY81" s="594"/>
      <c r="MTZ81" s="594"/>
      <c r="MUA81" s="594"/>
      <c r="MUB81" s="594"/>
      <c r="MUC81" s="594"/>
      <c r="MUD81" s="594"/>
      <c r="MUE81" s="594"/>
      <c r="MUF81" s="594"/>
      <c r="MUG81" s="594"/>
      <c r="MUH81" s="594"/>
      <c r="MUI81" s="594"/>
      <c r="MUJ81" s="594"/>
      <c r="MUK81" s="594"/>
      <c r="MUL81" s="594"/>
      <c r="MUM81" s="594"/>
      <c r="MUN81" s="594"/>
      <c r="MUO81" s="594"/>
      <c r="MUP81" s="594"/>
      <c r="MUQ81" s="594"/>
      <c r="MUR81" s="594"/>
      <c r="MUS81" s="594"/>
      <c r="MUT81" s="594"/>
      <c r="MUU81" s="594"/>
      <c r="MUV81" s="594"/>
      <c r="MUW81" s="594"/>
      <c r="MUX81" s="594"/>
      <c r="MUY81" s="594"/>
      <c r="MUZ81" s="594"/>
      <c r="MVA81" s="594"/>
      <c r="MVB81" s="594"/>
      <c r="MVC81" s="594"/>
      <c r="MVD81" s="594"/>
      <c r="MVE81" s="594"/>
      <c r="MVF81" s="594"/>
      <c r="MVG81" s="594"/>
      <c r="MVH81" s="594"/>
      <c r="MVI81" s="594"/>
      <c r="MVJ81" s="594"/>
      <c r="MVK81" s="594"/>
      <c r="MVL81" s="594"/>
      <c r="MVM81" s="594"/>
      <c r="MVN81" s="594"/>
      <c r="MVO81" s="594"/>
      <c r="MVP81" s="594"/>
      <c r="MVQ81" s="594"/>
      <c r="MVR81" s="594"/>
      <c r="MVS81" s="594"/>
      <c r="MVT81" s="594"/>
      <c r="MVU81" s="594"/>
      <c r="MVV81" s="594"/>
      <c r="MVW81" s="594"/>
      <c r="MVX81" s="594"/>
      <c r="MVY81" s="594"/>
      <c r="MVZ81" s="594"/>
      <c r="MWA81" s="594"/>
      <c r="MWB81" s="594"/>
      <c r="MWC81" s="594"/>
      <c r="MWD81" s="594"/>
      <c r="MWE81" s="594"/>
      <c r="MWF81" s="594"/>
      <c r="MWG81" s="594"/>
      <c r="MWH81" s="594"/>
      <c r="MWI81" s="594"/>
      <c r="MWJ81" s="594"/>
      <c r="MWK81" s="594"/>
      <c r="MWL81" s="594"/>
      <c r="MWM81" s="594"/>
      <c r="MWN81" s="594"/>
      <c r="MWO81" s="594"/>
      <c r="MWP81" s="594"/>
      <c r="MWQ81" s="594"/>
      <c r="MWR81" s="594"/>
      <c r="MWS81" s="594"/>
      <c r="MWT81" s="594"/>
      <c r="MWU81" s="594"/>
      <c r="MWV81" s="594"/>
      <c r="MWW81" s="594"/>
      <c r="MWX81" s="594"/>
      <c r="MWY81" s="594"/>
      <c r="MWZ81" s="594"/>
      <c r="MXA81" s="594"/>
      <c r="MXB81" s="594"/>
      <c r="MXC81" s="594"/>
      <c r="MXD81" s="594"/>
      <c r="MXE81" s="594"/>
      <c r="MXF81" s="594"/>
      <c r="MXG81" s="594"/>
      <c r="MXH81" s="594"/>
      <c r="MXI81" s="594"/>
      <c r="MXJ81" s="594"/>
      <c r="MXK81" s="594"/>
      <c r="MXL81" s="594"/>
      <c r="MXM81" s="594"/>
      <c r="MXN81" s="594"/>
      <c r="MXO81" s="594"/>
      <c r="MXP81" s="594"/>
      <c r="MXQ81" s="594"/>
      <c r="MXR81" s="594"/>
      <c r="MXS81" s="594"/>
      <c r="MXT81" s="594"/>
      <c r="MXU81" s="594"/>
      <c r="MXV81" s="594"/>
      <c r="MXW81" s="594"/>
      <c r="MXX81" s="594"/>
      <c r="MXY81" s="594"/>
      <c r="MXZ81" s="594"/>
      <c r="MYA81" s="594"/>
      <c r="MYB81" s="594"/>
      <c r="MYC81" s="594"/>
      <c r="MYD81" s="594"/>
      <c r="MYE81" s="594"/>
      <c r="MYF81" s="594"/>
      <c r="MYG81" s="594"/>
      <c r="MYH81" s="594"/>
      <c r="MYI81" s="594"/>
      <c r="MYJ81" s="594"/>
      <c r="MYK81" s="594"/>
      <c r="MYL81" s="594"/>
      <c r="MYM81" s="594"/>
      <c r="MYN81" s="594"/>
      <c r="MYO81" s="594"/>
      <c r="MYP81" s="594"/>
      <c r="MYQ81" s="594"/>
      <c r="MYR81" s="594"/>
      <c r="MYS81" s="594"/>
      <c r="MYT81" s="594"/>
      <c r="MYU81" s="594"/>
      <c r="MYV81" s="594"/>
      <c r="MYW81" s="594"/>
      <c r="MYX81" s="594"/>
      <c r="MYY81" s="594"/>
      <c r="MYZ81" s="594"/>
      <c r="MZA81" s="594"/>
      <c r="MZB81" s="594"/>
      <c r="MZC81" s="594"/>
      <c r="MZD81" s="594"/>
      <c r="MZE81" s="594"/>
      <c r="MZF81" s="594"/>
      <c r="MZG81" s="594"/>
      <c r="MZH81" s="594"/>
      <c r="MZI81" s="594"/>
      <c r="MZJ81" s="594"/>
      <c r="MZK81" s="594"/>
      <c r="MZL81" s="594"/>
      <c r="MZM81" s="594"/>
      <c r="MZN81" s="594"/>
      <c r="MZO81" s="594"/>
      <c r="MZP81" s="594"/>
      <c r="MZQ81" s="594"/>
      <c r="MZR81" s="594"/>
      <c r="MZS81" s="594"/>
      <c r="MZT81" s="594"/>
      <c r="MZU81" s="594"/>
      <c r="MZV81" s="594"/>
      <c r="MZW81" s="594"/>
      <c r="MZX81" s="594"/>
      <c r="MZY81" s="594"/>
      <c r="MZZ81" s="594"/>
      <c r="NAA81" s="594"/>
      <c r="NAB81" s="594"/>
      <c r="NAC81" s="594"/>
      <c r="NAD81" s="594"/>
      <c r="NAE81" s="594"/>
      <c r="NAF81" s="594"/>
      <c r="NAG81" s="594"/>
      <c r="NAH81" s="594"/>
      <c r="NAI81" s="594"/>
      <c r="NAJ81" s="594"/>
      <c r="NAK81" s="594"/>
      <c r="NAL81" s="594"/>
      <c r="NAM81" s="594"/>
      <c r="NAN81" s="594"/>
      <c r="NAO81" s="594"/>
      <c r="NAP81" s="594"/>
      <c r="NAQ81" s="594"/>
      <c r="NAR81" s="594"/>
      <c r="NAS81" s="594"/>
      <c r="NAT81" s="594"/>
      <c r="NAU81" s="594"/>
      <c r="NAV81" s="594"/>
      <c r="NAW81" s="594"/>
      <c r="NAX81" s="594"/>
      <c r="NAY81" s="594"/>
      <c r="NAZ81" s="594"/>
      <c r="NBA81" s="594"/>
      <c r="NBB81" s="594"/>
      <c r="NBC81" s="594"/>
      <c r="NBD81" s="594"/>
      <c r="NBE81" s="594"/>
      <c r="NBF81" s="594"/>
      <c r="NBG81" s="594"/>
      <c r="NBH81" s="594"/>
      <c r="NBI81" s="594"/>
      <c r="NBJ81" s="594"/>
      <c r="NBK81" s="594"/>
      <c r="NBL81" s="594"/>
      <c r="NBM81" s="594"/>
      <c r="NBN81" s="594"/>
      <c r="NBO81" s="594"/>
      <c r="NBP81" s="594"/>
      <c r="NBQ81" s="594"/>
      <c r="NBR81" s="594"/>
      <c r="NBS81" s="594"/>
      <c r="NBT81" s="594"/>
      <c r="NBU81" s="594"/>
      <c r="NBV81" s="594"/>
      <c r="NBW81" s="594"/>
      <c r="NBX81" s="594"/>
      <c r="NBY81" s="594"/>
      <c r="NBZ81" s="594"/>
      <c r="NCA81" s="594"/>
      <c r="NCB81" s="594"/>
      <c r="NCC81" s="594"/>
      <c r="NCD81" s="594"/>
      <c r="NCE81" s="594"/>
      <c r="NCF81" s="594"/>
      <c r="NCG81" s="594"/>
      <c r="NCH81" s="594"/>
      <c r="NCI81" s="594"/>
      <c r="NCJ81" s="594"/>
      <c r="NCK81" s="594"/>
      <c r="NCL81" s="594"/>
      <c r="NCM81" s="594"/>
      <c r="NCN81" s="594"/>
      <c r="NCO81" s="594"/>
      <c r="NCP81" s="594"/>
      <c r="NCQ81" s="594"/>
      <c r="NCR81" s="594"/>
      <c r="NCS81" s="594"/>
      <c r="NCT81" s="594"/>
      <c r="NCU81" s="594"/>
      <c r="NCV81" s="594"/>
      <c r="NCW81" s="594"/>
      <c r="NCX81" s="594"/>
      <c r="NCY81" s="594"/>
      <c r="NCZ81" s="594"/>
      <c r="NDA81" s="594"/>
      <c r="NDB81" s="594"/>
      <c r="NDC81" s="594"/>
      <c r="NDD81" s="594"/>
      <c r="NDE81" s="594"/>
      <c r="NDF81" s="594"/>
      <c r="NDG81" s="594"/>
      <c r="NDH81" s="594"/>
      <c r="NDI81" s="594"/>
      <c r="NDJ81" s="594"/>
      <c r="NDK81" s="594"/>
      <c r="NDL81" s="594"/>
      <c r="NDM81" s="594"/>
      <c r="NDN81" s="594"/>
      <c r="NDO81" s="594"/>
      <c r="NDP81" s="594"/>
      <c r="NDQ81" s="594"/>
      <c r="NDR81" s="594"/>
      <c r="NDS81" s="594"/>
      <c r="NDT81" s="594"/>
      <c r="NDU81" s="594"/>
      <c r="NDV81" s="594"/>
      <c r="NDW81" s="594"/>
      <c r="NDX81" s="594"/>
      <c r="NDY81" s="594"/>
      <c r="NDZ81" s="594"/>
      <c r="NEA81" s="594"/>
      <c r="NEB81" s="594"/>
      <c r="NEC81" s="594"/>
      <c r="NED81" s="594"/>
      <c r="NEE81" s="594"/>
      <c r="NEF81" s="594"/>
      <c r="NEG81" s="594"/>
      <c r="NEH81" s="594"/>
      <c r="NEI81" s="594"/>
      <c r="NEJ81" s="594"/>
      <c r="NEK81" s="594"/>
      <c r="NEL81" s="594"/>
      <c r="NEM81" s="594"/>
      <c r="NEN81" s="594"/>
      <c r="NEO81" s="594"/>
      <c r="NEP81" s="594"/>
      <c r="NEQ81" s="594"/>
      <c r="NER81" s="594"/>
      <c r="NES81" s="594"/>
      <c r="NET81" s="594"/>
      <c r="NEU81" s="594"/>
      <c r="NEV81" s="594"/>
      <c r="NEW81" s="594"/>
      <c r="NEX81" s="594"/>
      <c r="NEY81" s="594"/>
      <c r="NEZ81" s="594"/>
      <c r="NFA81" s="594"/>
      <c r="NFB81" s="594"/>
      <c r="NFC81" s="594"/>
      <c r="NFD81" s="594"/>
      <c r="NFE81" s="594"/>
      <c r="NFF81" s="594"/>
      <c r="NFG81" s="594"/>
      <c r="NFH81" s="594"/>
      <c r="NFI81" s="594"/>
      <c r="NFJ81" s="594"/>
      <c r="NFK81" s="594"/>
      <c r="NFL81" s="594"/>
      <c r="NFM81" s="594"/>
      <c r="NFN81" s="594"/>
      <c r="NFO81" s="594"/>
      <c r="NFP81" s="594"/>
      <c r="NFQ81" s="594"/>
      <c r="NFR81" s="594"/>
      <c r="NFS81" s="594"/>
      <c r="NFT81" s="594"/>
      <c r="NFU81" s="594"/>
      <c r="NFV81" s="594"/>
      <c r="NFW81" s="594"/>
      <c r="NFX81" s="594"/>
      <c r="NFY81" s="594"/>
      <c r="NFZ81" s="594"/>
      <c r="NGA81" s="594"/>
      <c r="NGB81" s="594"/>
      <c r="NGC81" s="594"/>
      <c r="NGD81" s="594"/>
      <c r="NGE81" s="594"/>
      <c r="NGF81" s="594"/>
      <c r="NGG81" s="594"/>
      <c r="NGH81" s="594"/>
      <c r="NGI81" s="594"/>
      <c r="NGJ81" s="594"/>
      <c r="NGK81" s="594"/>
      <c r="NGL81" s="594"/>
      <c r="NGM81" s="594"/>
      <c r="NGN81" s="594"/>
      <c r="NGO81" s="594"/>
      <c r="NGP81" s="594"/>
      <c r="NGQ81" s="594"/>
      <c r="NGR81" s="594"/>
      <c r="NGS81" s="594"/>
      <c r="NGT81" s="594"/>
      <c r="NGU81" s="594"/>
      <c r="NGV81" s="594"/>
      <c r="NGW81" s="594"/>
      <c r="NGX81" s="594"/>
      <c r="NGY81" s="594"/>
      <c r="NGZ81" s="594"/>
      <c r="NHA81" s="594"/>
      <c r="NHB81" s="594"/>
      <c r="NHC81" s="594"/>
      <c r="NHD81" s="594"/>
      <c r="NHE81" s="594"/>
      <c r="NHF81" s="594"/>
      <c r="NHG81" s="594"/>
      <c r="NHH81" s="594"/>
      <c r="NHI81" s="594"/>
      <c r="NHJ81" s="594"/>
      <c r="NHK81" s="594"/>
      <c r="NHL81" s="594"/>
      <c r="NHM81" s="594"/>
      <c r="NHN81" s="594"/>
      <c r="NHO81" s="594"/>
      <c r="NHP81" s="594"/>
      <c r="NHQ81" s="594"/>
      <c r="NHR81" s="594"/>
      <c r="NHS81" s="594"/>
      <c r="NHT81" s="594"/>
      <c r="NHU81" s="594"/>
      <c r="NHV81" s="594"/>
      <c r="NHW81" s="594"/>
      <c r="NHX81" s="594"/>
      <c r="NHY81" s="594"/>
      <c r="NHZ81" s="594"/>
      <c r="NIA81" s="594"/>
      <c r="NIB81" s="594"/>
      <c r="NIC81" s="594"/>
      <c r="NID81" s="594"/>
      <c r="NIE81" s="594"/>
      <c r="NIF81" s="594"/>
      <c r="NIG81" s="594"/>
      <c r="NIH81" s="594"/>
      <c r="NII81" s="594"/>
      <c r="NIJ81" s="594"/>
      <c r="NIK81" s="594"/>
      <c r="NIL81" s="594"/>
      <c r="NIM81" s="594"/>
      <c r="NIN81" s="594"/>
      <c r="NIO81" s="594"/>
      <c r="NIP81" s="594"/>
      <c r="NIQ81" s="594"/>
      <c r="NIR81" s="594"/>
      <c r="NIS81" s="594"/>
      <c r="NIT81" s="594"/>
      <c r="NIU81" s="594"/>
      <c r="NIV81" s="594"/>
      <c r="NIW81" s="594"/>
      <c r="NIX81" s="594"/>
      <c r="NIY81" s="594"/>
      <c r="NIZ81" s="594"/>
      <c r="NJA81" s="594"/>
      <c r="NJB81" s="594"/>
      <c r="NJC81" s="594"/>
      <c r="NJD81" s="594"/>
      <c r="NJE81" s="594"/>
      <c r="NJF81" s="594"/>
      <c r="NJG81" s="594"/>
      <c r="NJH81" s="594"/>
      <c r="NJI81" s="594"/>
      <c r="NJJ81" s="594"/>
      <c r="NJK81" s="594"/>
      <c r="NJL81" s="594"/>
      <c r="NJM81" s="594"/>
      <c r="NJN81" s="594"/>
      <c r="NJO81" s="594"/>
      <c r="NJP81" s="594"/>
      <c r="NJQ81" s="594"/>
      <c r="NJR81" s="594"/>
      <c r="NJS81" s="594"/>
      <c r="NJT81" s="594"/>
      <c r="NJU81" s="594"/>
      <c r="NJV81" s="594"/>
      <c r="NJW81" s="594"/>
      <c r="NJX81" s="594"/>
      <c r="NJY81" s="594"/>
      <c r="NJZ81" s="594"/>
      <c r="NKA81" s="594"/>
      <c r="NKB81" s="594"/>
      <c r="NKC81" s="594"/>
      <c r="NKD81" s="594"/>
      <c r="NKE81" s="594"/>
      <c r="NKF81" s="594"/>
      <c r="NKG81" s="594"/>
      <c r="NKH81" s="594"/>
      <c r="NKI81" s="594"/>
      <c r="NKJ81" s="594"/>
      <c r="NKK81" s="594"/>
      <c r="NKL81" s="594"/>
      <c r="NKM81" s="594"/>
      <c r="NKN81" s="594"/>
      <c r="NKO81" s="594"/>
      <c r="NKP81" s="594"/>
      <c r="NKQ81" s="594"/>
      <c r="NKR81" s="594"/>
      <c r="NKS81" s="594"/>
      <c r="NKT81" s="594"/>
      <c r="NKU81" s="594"/>
      <c r="NKV81" s="594"/>
      <c r="NKW81" s="594"/>
      <c r="NKX81" s="594"/>
      <c r="NKY81" s="594"/>
      <c r="NKZ81" s="594"/>
      <c r="NLA81" s="594"/>
      <c r="NLB81" s="594"/>
      <c r="NLC81" s="594"/>
      <c r="NLD81" s="594"/>
      <c r="NLE81" s="594"/>
      <c r="NLF81" s="594"/>
      <c r="NLG81" s="594"/>
      <c r="NLH81" s="594"/>
      <c r="NLI81" s="594"/>
      <c r="NLJ81" s="594"/>
      <c r="NLK81" s="594"/>
      <c r="NLL81" s="594"/>
      <c r="NLM81" s="594"/>
      <c r="NLN81" s="594"/>
      <c r="NLO81" s="594"/>
      <c r="NLP81" s="594"/>
      <c r="NLQ81" s="594"/>
      <c r="NLR81" s="594"/>
      <c r="NLS81" s="594"/>
      <c r="NLT81" s="594"/>
      <c r="NLU81" s="594"/>
      <c r="NLV81" s="594"/>
      <c r="NLW81" s="594"/>
      <c r="NLX81" s="594"/>
      <c r="NLY81" s="594"/>
      <c r="NLZ81" s="594"/>
      <c r="NMA81" s="594"/>
      <c r="NMB81" s="594"/>
      <c r="NMC81" s="594"/>
      <c r="NMD81" s="594"/>
      <c r="NME81" s="594"/>
      <c r="NMF81" s="594"/>
      <c r="NMG81" s="594"/>
      <c r="NMH81" s="594"/>
      <c r="NMI81" s="594"/>
      <c r="NMJ81" s="594"/>
      <c r="NMK81" s="594"/>
      <c r="NML81" s="594"/>
      <c r="NMM81" s="594"/>
      <c r="NMN81" s="594"/>
      <c r="NMO81" s="594"/>
      <c r="NMP81" s="594"/>
      <c r="NMQ81" s="594"/>
      <c r="NMR81" s="594"/>
      <c r="NMS81" s="594"/>
      <c r="NMT81" s="594"/>
      <c r="NMU81" s="594"/>
      <c r="NMV81" s="594"/>
      <c r="NMW81" s="594"/>
      <c r="NMX81" s="594"/>
      <c r="NMY81" s="594"/>
      <c r="NMZ81" s="594"/>
      <c r="NNA81" s="594"/>
      <c r="NNB81" s="594"/>
      <c r="NNC81" s="594"/>
      <c r="NND81" s="594"/>
      <c r="NNE81" s="594"/>
      <c r="NNF81" s="594"/>
      <c r="NNG81" s="594"/>
      <c r="NNH81" s="594"/>
      <c r="NNI81" s="594"/>
      <c r="NNJ81" s="594"/>
      <c r="NNK81" s="594"/>
      <c r="NNL81" s="594"/>
      <c r="NNM81" s="594"/>
      <c r="NNN81" s="594"/>
      <c r="NNO81" s="594"/>
      <c r="NNP81" s="594"/>
      <c r="NNQ81" s="594"/>
      <c r="NNR81" s="594"/>
      <c r="NNS81" s="594"/>
      <c r="NNT81" s="594"/>
      <c r="NNU81" s="594"/>
      <c r="NNV81" s="594"/>
      <c r="NNW81" s="594"/>
      <c r="NNX81" s="594"/>
      <c r="NNY81" s="594"/>
      <c r="NNZ81" s="594"/>
      <c r="NOA81" s="594"/>
      <c r="NOB81" s="594"/>
      <c r="NOC81" s="594"/>
      <c r="NOD81" s="594"/>
      <c r="NOE81" s="594"/>
      <c r="NOF81" s="594"/>
      <c r="NOG81" s="594"/>
      <c r="NOH81" s="594"/>
      <c r="NOI81" s="594"/>
      <c r="NOJ81" s="594"/>
      <c r="NOK81" s="594"/>
      <c r="NOL81" s="594"/>
      <c r="NOM81" s="594"/>
      <c r="NON81" s="594"/>
      <c r="NOO81" s="594"/>
      <c r="NOP81" s="594"/>
      <c r="NOQ81" s="594"/>
      <c r="NOR81" s="594"/>
      <c r="NOS81" s="594"/>
      <c r="NOT81" s="594"/>
      <c r="NOU81" s="594"/>
      <c r="NOV81" s="594"/>
      <c r="NOW81" s="594"/>
      <c r="NOX81" s="594"/>
      <c r="NOY81" s="594"/>
      <c r="NOZ81" s="594"/>
      <c r="NPA81" s="594"/>
      <c r="NPB81" s="594"/>
      <c r="NPC81" s="594"/>
      <c r="NPD81" s="594"/>
      <c r="NPE81" s="594"/>
      <c r="NPF81" s="594"/>
      <c r="NPG81" s="594"/>
      <c r="NPH81" s="594"/>
      <c r="NPI81" s="594"/>
      <c r="NPJ81" s="594"/>
      <c r="NPK81" s="594"/>
      <c r="NPL81" s="594"/>
      <c r="NPM81" s="594"/>
      <c r="NPN81" s="594"/>
      <c r="NPO81" s="594"/>
      <c r="NPP81" s="594"/>
      <c r="NPQ81" s="594"/>
      <c r="NPR81" s="594"/>
      <c r="NPS81" s="594"/>
      <c r="NPT81" s="594"/>
      <c r="NPU81" s="594"/>
      <c r="NPV81" s="594"/>
      <c r="NPW81" s="594"/>
      <c r="NPX81" s="594"/>
      <c r="NPY81" s="594"/>
      <c r="NPZ81" s="594"/>
      <c r="NQA81" s="594"/>
      <c r="NQB81" s="594"/>
      <c r="NQC81" s="594"/>
      <c r="NQD81" s="594"/>
      <c r="NQE81" s="594"/>
      <c r="NQF81" s="594"/>
      <c r="NQG81" s="594"/>
      <c r="NQH81" s="594"/>
      <c r="NQI81" s="594"/>
      <c r="NQJ81" s="594"/>
      <c r="NQK81" s="594"/>
      <c r="NQL81" s="594"/>
      <c r="NQM81" s="594"/>
      <c r="NQN81" s="594"/>
      <c r="NQO81" s="594"/>
      <c r="NQP81" s="594"/>
      <c r="NQQ81" s="594"/>
      <c r="NQR81" s="594"/>
      <c r="NQS81" s="594"/>
      <c r="NQT81" s="594"/>
      <c r="NQU81" s="594"/>
      <c r="NQV81" s="594"/>
      <c r="NQW81" s="594"/>
      <c r="NQX81" s="594"/>
      <c r="NQY81" s="594"/>
      <c r="NQZ81" s="594"/>
      <c r="NRA81" s="594"/>
      <c r="NRB81" s="594"/>
      <c r="NRC81" s="594"/>
      <c r="NRD81" s="594"/>
      <c r="NRE81" s="594"/>
      <c r="NRF81" s="594"/>
      <c r="NRG81" s="594"/>
      <c r="NRH81" s="594"/>
      <c r="NRI81" s="594"/>
      <c r="NRJ81" s="594"/>
      <c r="NRK81" s="594"/>
      <c r="NRL81" s="594"/>
      <c r="NRM81" s="594"/>
      <c r="NRN81" s="594"/>
      <c r="NRO81" s="594"/>
      <c r="NRP81" s="594"/>
      <c r="NRQ81" s="594"/>
      <c r="NRR81" s="594"/>
      <c r="NRS81" s="594"/>
      <c r="NRT81" s="594"/>
      <c r="NRU81" s="594"/>
      <c r="NRV81" s="594"/>
      <c r="NRW81" s="594"/>
      <c r="NRX81" s="594"/>
      <c r="NRY81" s="594"/>
      <c r="NRZ81" s="594"/>
      <c r="NSA81" s="594"/>
      <c r="NSB81" s="594"/>
      <c r="NSC81" s="594"/>
      <c r="NSD81" s="594"/>
      <c r="NSE81" s="594"/>
      <c r="NSF81" s="594"/>
      <c r="NSG81" s="594"/>
      <c r="NSH81" s="594"/>
      <c r="NSI81" s="594"/>
      <c r="NSJ81" s="594"/>
      <c r="NSK81" s="594"/>
      <c r="NSL81" s="594"/>
      <c r="NSM81" s="594"/>
      <c r="NSN81" s="594"/>
      <c r="NSO81" s="594"/>
      <c r="NSP81" s="594"/>
      <c r="NSQ81" s="594"/>
      <c r="NSR81" s="594"/>
      <c r="NSS81" s="594"/>
      <c r="NST81" s="594"/>
      <c r="NSU81" s="594"/>
      <c r="NSV81" s="594"/>
      <c r="NSW81" s="594"/>
      <c r="NSX81" s="594"/>
      <c r="NSY81" s="594"/>
      <c r="NSZ81" s="594"/>
      <c r="NTA81" s="594"/>
      <c r="NTB81" s="594"/>
      <c r="NTC81" s="594"/>
      <c r="NTD81" s="594"/>
      <c r="NTE81" s="594"/>
      <c r="NTF81" s="594"/>
      <c r="NTG81" s="594"/>
      <c r="NTH81" s="594"/>
      <c r="NTI81" s="594"/>
      <c r="NTJ81" s="594"/>
      <c r="NTK81" s="594"/>
      <c r="NTL81" s="594"/>
      <c r="NTM81" s="594"/>
      <c r="NTN81" s="594"/>
      <c r="NTO81" s="594"/>
      <c r="NTP81" s="594"/>
      <c r="NTQ81" s="594"/>
      <c r="NTR81" s="594"/>
      <c r="NTS81" s="594"/>
      <c r="NTT81" s="594"/>
      <c r="NTU81" s="594"/>
      <c r="NTV81" s="594"/>
      <c r="NTW81" s="594"/>
      <c r="NTX81" s="594"/>
      <c r="NTY81" s="594"/>
      <c r="NTZ81" s="594"/>
      <c r="NUA81" s="594"/>
      <c r="NUB81" s="594"/>
      <c r="NUC81" s="594"/>
      <c r="NUD81" s="594"/>
      <c r="NUE81" s="594"/>
      <c r="NUF81" s="594"/>
      <c r="NUG81" s="594"/>
      <c r="NUH81" s="594"/>
      <c r="NUI81" s="594"/>
      <c r="NUJ81" s="594"/>
      <c r="NUK81" s="594"/>
      <c r="NUL81" s="594"/>
      <c r="NUM81" s="594"/>
      <c r="NUN81" s="594"/>
      <c r="NUO81" s="594"/>
      <c r="NUP81" s="594"/>
      <c r="NUQ81" s="594"/>
      <c r="NUR81" s="594"/>
      <c r="NUS81" s="594"/>
      <c r="NUT81" s="594"/>
      <c r="NUU81" s="594"/>
      <c r="NUV81" s="594"/>
      <c r="NUW81" s="594"/>
      <c r="NUX81" s="594"/>
      <c r="NUY81" s="594"/>
      <c r="NUZ81" s="594"/>
      <c r="NVA81" s="594"/>
      <c r="NVB81" s="594"/>
      <c r="NVC81" s="594"/>
      <c r="NVD81" s="594"/>
      <c r="NVE81" s="594"/>
      <c r="NVF81" s="594"/>
      <c r="NVG81" s="594"/>
      <c r="NVH81" s="594"/>
      <c r="NVI81" s="594"/>
      <c r="NVJ81" s="594"/>
      <c r="NVK81" s="594"/>
      <c r="NVL81" s="594"/>
      <c r="NVM81" s="594"/>
      <c r="NVN81" s="594"/>
      <c r="NVO81" s="594"/>
      <c r="NVP81" s="594"/>
      <c r="NVQ81" s="594"/>
      <c r="NVR81" s="594"/>
      <c r="NVS81" s="594"/>
      <c r="NVT81" s="594"/>
      <c r="NVU81" s="594"/>
      <c r="NVV81" s="594"/>
      <c r="NVW81" s="594"/>
      <c r="NVX81" s="594"/>
      <c r="NVY81" s="594"/>
      <c r="NVZ81" s="594"/>
      <c r="NWA81" s="594"/>
      <c r="NWB81" s="594"/>
      <c r="NWC81" s="594"/>
      <c r="NWD81" s="594"/>
      <c r="NWE81" s="594"/>
      <c r="NWF81" s="594"/>
      <c r="NWG81" s="594"/>
      <c r="NWH81" s="594"/>
      <c r="NWI81" s="594"/>
      <c r="NWJ81" s="594"/>
      <c r="NWK81" s="594"/>
      <c r="NWL81" s="594"/>
      <c r="NWM81" s="594"/>
      <c r="NWN81" s="594"/>
      <c r="NWO81" s="594"/>
      <c r="NWP81" s="594"/>
      <c r="NWQ81" s="594"/>
      <c r="NWR81" s="594"/>
      <c r="NWS81" s="594"/>
      <c r="NWT81" s="594"/>
      <c r="NWU81" s="594"/>
      <c r="NWV81" s="594"/>
      <c r="NWW81" s="594"/>
      <c r="NWX81" s="594"/>
      <c r="NWY81" s="594"/>
      <c r="NWZ81" s="594"/>
      <c r="NXA81" s="594"/>
      <c r="NXB81" s="594"/>
      <c r="NXC81" s="594"/>
      <c r="NXD81" s="594"/>
      <c r="NXE81" s="594"/>
      <c r="NXF81" s="594"/>
      <c r="NXG81" s="594"/>
      <c r="NXH81" s="594"/>
      <c r="NXI81" s="594"/>
      <c r="NXJ81" s="594"/>
      <c r="NXK81" s="594"/>
      <c r="NXL81" s="594"/>
      <c r="NXM81" s="594"/>
      <c r="NXN81" s="594"/>
      <c r="NXO81" s="594"/>
      <c r="NXP81" s="594"/>
      <c r="NXQ81" s="594"/>
      <c r="NXR81" s="594"/>
      <c r="NXS81" s="594"/>
      <c r="NXT81" s="594"/>
      <c r="NXU81" s="594"/>
      <c r="NXV81" s="594"/>
      <c r="NXW81" s="594"/>
      <c r="NXX81" s="594"/>
      <c r="NXY81" s="594"/>
      <c r="NXZ81" s="594"/>
      <c r="NYA81" s="594"/>
      <c r="NYB81" s="594"/>
      <c r="NYC81" s="594"/>
      <c r="NYD81" s="594"/>
      <c r="NYE81" s="594"/>
      <c r="NYF81" s="594"/>
      <c r="NYG81" s="594"/>
      <c r="NYH81" s="594"/>
      <c r="NYI81" s="594"/>
      <c r="NYJ81" s="594"/>
      <c r="NYK81" s="594"/>
      <c r="NYL81" s="594"/>
      <c r="NYM81" s="594"/>
      <c r="NYN81" s="594"/>
      <c r="NYO81" s="594"/>
      <c r="NYP81" s="594"/>
      <c r="NYQ81" s="594"/>
      <c r="NYR81" s="594"/>
      <c r="NYS81" s="594"/>
      <c r="NYT81" s="594"/>
      <c r="NYU81" s="594"/>
      <c r="NYV81" s="594"/>
      <c r="NYW81" s="594"/>
      <c r="NYX81" s="594"/>
      <c r="NYY81" s="594"/>
      <c r="NYZ81" s="594"/>
      <c r="NZA81" s="594"/>
      <c r="NZB81" s="594"/>
      <c r="NZC81" s="594"/>
      <c r="NZD81" s="594"/>
      <c r="NZE81" s="594"/>
      <c r="NZF81" s="594"/>
      <c r="NZG81" s="594"/>
      <c r="NZH81" s="594"/>
      <c r="NZI81" s="594"/>
      <c r="NZJ81" s="594"/>
      <c r="NZK81" s="594"/>
      <c r="NZL81" s="594"/>
      <c r="NZM81" s="594"/>
      <c r="NZN81" s="594"/>
      <c r="NZO81" s="594"/>
      <c r="NZP81" s="594"/>
      <c r="NZQ81" s="594"/>
      <c r="NZR81" s="594"/>
      <c r="NZS81" s="594"/>
      <c r="NZT81" s="594"/>
      <c r="NZU81" s="594"/>
      <c r="NZV81" s="594"/>
      <c r="NZW81" s="594"/>
      <c r="NZX81" s="594"/>
      <c r="NZY81" s="594"/>
      <c r="NZZ81" s="594"/>
      <c r="OAA81" s="594"/>
      <c r="OAB81" s="594"/>
      <c r="OAC81" s="594"/>
      <c r="OAD81" s="594"/>
      <c r="OAE81" s="594"/>
      <c r="OAF81" s="594"/>
      <c r="OAG81" s="594"/>
      <c r="OAH81" s="594"/>
      <c r="OAI81" s="594"/>
      <c r="OAJ81" s="594"/>
      <c r="OAK81" s="594"/>
      <c r="OAL81" s="594"/>
      <c r="OAM81" s="594"/>
      <c r="OAN81" s="594"/>
      <c r="OAO81" s="594"/>
      <c r="OAP81" s="594"/>
      <c r="OAQ81" s="594"/>
      <c r="OAR81" s="594"/>
      <c r="OAS81" s="594"/>
      <c r="OAT81" s="594"/>
      <c r="OAU81" s="594"/>
      <c r="OAV81" s="594"/>
      <c r="OAW81" s="594"/>
      <c r="OAX81" s="594"/>
      <c r="OAY81" s="594"/>
      <c r="OAZ81" s="594"/>
      <c r="OBA81" s="594"/>
      <c r="OBB81" s="594"/>
      <c r="OBC81" s="594"/>
      <c r="OBD81" s="594"/>
      <c r="OBE81" s="594"/>
      <c r="OBF81" s="594"/>
      <c r="OBG81" s="594"/>
      <c r="OBH81" s="594"/>
      <c r="OBI81" s="594"/>
      <c r="OBJ81" s="594"/>
      <c r="OBK81" s="594"/>
      <c r="OBL81" s="594"/>
      <c r="OBM81" s="594"/>
      <c r="OBN81" s="594"/>
      <c r="OBO81" s="594"/>
      <c r="OBP81" s="594"/>
      <c r="OBQ81" s="594"/>
      <c r="OBR81" s="594"/>
      <c r="OBS81" s="594"/>
      <c r="OBT81" s="594"/>
      <c r="OBU81" s="594"/>
      <c r="OBV81" s="594"/>
      <c r="OBW81" s="594"/>
      <c r="OBX81" s="594"/>
      <c r="OBY81" s="594"/>
      <c r="OBZ81" s="594"/>
      <c r="OCA81" s="594"/>
      <c r="OCB81" s="594"/>
      <c r="OCC81" s="594"/>
      <c r="OCD81" s="594"/>
      <c r="OCE81" s="594"/>
      <c r="OCF81" s="594"/>
      <c r="OCG81" s="594"/>
      <c r="OCH81" s="594"/>
      <c r="OCI81" s="594"/>
      <c r="OCJ81" s="594"/>
      <c r="OCK81" s="594"/>
      <c r="OCL81" s="594"/>
      <c r="OCM81" s="594"/>
      <c r="OCN81" s="594"/>
      <c r="OCO81" s="594"/>
      <c r="OCP81" s="594"/>
      <c r="OCQ81" s="594"/>
      <c r="OCR81" s="594"/>
      <c r="OCS81" s="594"/>
      <c r="OCT81" s="594"/>
      <c r="OCU81" s="594"/>
      <c r="OCV81" s="594"/>
      <c r="OCW81" s="594"/>
      <c r="OCX81" s="594"/>
      <c r="OCY81" s="594"/>
      <c r="OCZ81" s="594"/>
      <c r="ODA81" s="594"/>
      <c r="ODB81" s="594"/>
      <c r="ODC81" s="594"/>
      <c r="ODD81" s="594"/>
      <c r="ODE81" s="594"/>
      <c r="ODF81" s="594"/>
      <c r="ODG81" s="594"/>
      <c r="ODH81" s="594"/>
      <c r="ODI81" s="594"/>
      <c r="ODJ81" s="594"/>
      <c r="ODK81" s="594"/>
      <c r="ODL81" s="594"/>
      <c r="ODM81" s="594"/>
      <c r="ODN81" s="594"/>
      <c r="ODO81" s="594"/>
      <c r="ODP81" s="594"/>
      <c r="ODQ81" s="594"/>
      <c r="ODR81" s="594"/>
      <c r="ODS81" s="594"/>
      <c r="ODT81" s="594"/>
      <c r="ODU81" s="594"/>
      <c r="ODV81" s="594"/>
      <c r="ODW81" s="594"/>
      <c r="ODX81" s="594"/>
      <c r="ODY81" s="594"/>
      <c r="ODZ81" s="594"/>
      <c r="OEA81" s="594"/>
      <c r="OEB81" s="594"/>
      <c r="OEC81" s="594"/>
      <c r="OED81" s="594"/>
      <c r="OEE81" s="594"/>
      <c r="OEF81" s="594"/>
      <c r="OEG81" s="594"/>
      <c r="OEH81" s="594"/>
      <c r="OEI81" s="594"/>
      <c r="OEJ81" s="594"/>
      <c r="OEK81" s="594"/>
      <c r="OEL81" s="594"/>
      <c r="OEM81" s="594"/>
      <c r="OEN81" s="594"/>
      <c r="OEO81" s="594"/>
      <c r="OEP81" s="594"/>
      <c r="OEQ81" s="594"/>
      <c r="OER81" s="594"/>
      <c r="OES81" s="594"/>
      <c r="OET81" s="594"/>
      <c r="OEU81" s="594"/>
      <c r="OEV81" s="594"/>
      <c r="OEW81" s="594"/>
      <c r="OEX81" s="594"/>
      <c r="OEY81" s="594"/>
      <c r="OEZ81" s="594"/>
      <c r="OFA81" s="594"/>
      <c r="OFB81" s="594"/>
      <c r="OFC81" s="594"/>
      <c r="OFD81" s="594"/>
      <c r="OFE81" s="594"/>
      <c r="OFF81" s="594"/>
      <c r="OFG81" s="594"/>
      <c r="OFH81" s="594"/>
      <c r="OFI81" s="594"/>
      <c r="OFJ81" s="594"/>
      <c r="OFK81" s="594"/>
      <c r="OFL81" s="594"/>
      <c r="OFM81" s="594"/>
      <c r="OFN81" s="594"/>
      <c r="OFO81" s="594"/>
      <c r="OFP81" s="594"/>
      <c r="OFQ81" s="594"/>
      <c r="OFR81" s="594"/>
      <c r="OFS81" s="594"/>
      <c r="OFT81" s="594"/>
      <c r="OFU81" s="594"/>
      <c r="OFV81" s="594"/>
      <c r="OFW81" s="594"/>
      <c r="OFX81" s="594"/>
      <c r="OFY81" s="594"/>
      <c r="OFZ81" s="594"/>
      <c r="OGA81" s="594"/>
      <c r="OGB81" s="594"/>
      <c r="OGC81" s="594"/>
      <c r="OGD81" s="594"/>
      <c r="OGE81" s="594"/>
      <c r="OGF81" s="594"/>
      <c r="OGG81" s="594"/>
      <c r="OGH81" s="594"/>
      <c r="OGI81" s="594"/>
      <c r="OGJ81" s="594"/>
      <c r="OGK81" s="594"/>
      <c r="OGL81" s="594"/>
      <c r="OGM81" s="594"/>
      <c r="OGN81" s="594"/>
      <c r="OGO81" s="594"/>
      <c r="OGP81" s="594"/>
      <c r="OGQ81" s="594"/>
      <c r="OGR81" s="594"/>
      <c r="OGS81" s="594"/>
      <c r="OGT81" s="594"/>
      <c r="OGU81" s="594"/>
      <c r="OGV81" s="594"/>
      <c r="OGW81" s="594"/>
      <c r="OGX81" s="594"/>
      <c r="OGY81" s="594"/>
      <c r="OGZ81" s="594"/>
      <c r="OHA81" s="594"/>
      <c r="OHB81" s="594"/>
      <c r="OHC81" s="594"/>
      <c r="OHD81" s="594"/>
      <c r="OHE81" s="594"/>
      <c r="OHF81" s="594"/>
      <c r="OHG81" s="594"/>
      <c r="OHH81" s="594"/>
      <c r="OHI81" s="594"/>
      <c r="OHJ81" s="594"/>
      <c r="OHK81" s="594"/>
      <c r="OHL81" s="594"/>
      <c r="OHM81" s="594"/>
      <c r="OHN81" s="594"/>
      <c r="OHO81" s="594"/>
      <c r="OHP81" s="594"/>
      <c r="OHQ81" s="594"/>
      <c r="OHR81" s="594"/>
      <c r="OHS81" s="594"/>
      <c r="OHT81" s="594"/>
      <c r="OHU81" s="594"/>
      <c r="OHV81" s="594"/>
      <c r="OHW81" s="594"/>
      <c r="OHX81" s="594"/>
      <c r="OHY81" s="594"/>
      <c r="OHZ81" s="594"/>
      <c r="OIA81" s="594"/>
      <c r="OIB81" s="594"/>
      <c r="OIC81" s="594"/>
      <c r="OID81" s="594"/>
      <c r="OIE81" s="594"/>
      <c r="OIF81" s="594"/>
      <c r="OIG81" s="594"/>
      <c r="OIH81" s="594"/>
      <c r="OII81" s="594"/>
      <c r="OIJ81" s="594"/>
      <c r="OIK81" s="594"/>
      <c r="OIL81" s="594"/>
      <c r="OIM81" s="594"/>
      <c r="OIN81" s="594"/>
      <c r="OIO81" s="594"/>
      <c r="OIP81" s="594"/>
      <c r="OIQ81" s="594"/>
      <c r="OIR81" s="594"/>
      <c r="OIS81" s="594"/>
      <c r="OIT81" s="594"/>
      <c r="OIU81" s="594"/>
      <c r="OIV81" s="594"/>
      <c r="OIW81" s="594"/>
      <c r="OIX81" s="594"/>
      <c r="OIY81" s="594"/>
      <c r="OIZ81" s="594"/>
      <c r="OJA81" s="594"/>
      <c r="OJB81" s="594"/>
      <c r="OJC81" s="594"/>
      <c r="OJD81" s="594"/>
      <c r="OJE81" s="594"/>
      <c r="OJF81" s="594"/>
      <c r="OJG81" s="594"/>
      <c r="OJH81" s="594"/>
      <c r="OJI81" s="594"/>
      <c r="OJJ81" s="594"/>
      <c r="OJK81" s="594"/>
      <c r="OJL81" s="594"/>
      <c r="OJM81" s="594"/>
      <c r="OJN81" s="594"/>
      <c r="OJO81" s="594"/>
      <c r="OJP81" s="594"/>
      <c r="OJQ81" s="594"/>
      <c r="OJR81" s="594"/>
      <c r="OJS81" s="594"/>
      <c r="OJT81" s="594"/>
      <c r="OJU81" s="594"/>
      <c r="OJV81" s="594"/>
      <c r="OJW81" s="594"/>
      <c r="OJX81" s="594"/>
      <c r="OJY81" s="594"/>
      <c r="OJZ81" s="594"/>
      <c r="OKA81" s="594"/>
      <c r="OKB81" s="594"/>
      <c r="OKC81" s="594"/>
      <c r="OKD81" s="594"/>
      <c r="OKE81" s="594"/>
      <c r="OKF81" s="594"/>
      <c r="OKG81" s="594"/>
      <c r="OKH81" s="594"/>
      <c r="OKI81" s="594"/>
      <c r="OKJ81" s="594"/>
      <c r="OKK81" s="594"/>
      <c r="OKL81" s="594"/>
      <c r="OKM81" s="594"/>
      <c r="OKN81" s="594"/>
      <c r="OKO81" s="594"/>
      <c r="OKP81" s="594"/>
      <c r="OKQ81" s="594"/>
      <c r="OKR81" s="594"/>
      <c r="OKS81" s="594"/>
      <c r="OKT81" s="594"/>
      <c r="OKU81" s="594"/>
      <c r="OKV81" s="594"/>
      <c r="OKW81" s="594"/>
      <c r="OKX81" s="594"/>
      <c r="OKY81" s="594"/>
      <c r="OKZ81" s="594"/>
      <c r="OLA81" s="594"/>
      <c r="OLB81" s="594"/>
      <c r="OLC81" s="594"/>
      <c r="OLD81" s="594"/>
      <c r="OLE81" s="594"/>
      <c r="OLF81" s="594"/>
      <c r="OLG81" s="594"/>
      <c r="OLH81" s="594"/>
      <c r="OLI81" s="594"/>
      <c r="OLJ81" s="594"/>
      <c r="OLK81" s="594"/>
      <c r="OLL81" s="594"/>
      <c r="OLM81" s="594"/>
      <c r="OLN81" s="594"/>
      <c r="OLO81" s="594"/>
      <c r="OLP81" s="594"/>
      <c r="OLQ81" s="594"/>
      <c r="OLR81" s="594"/>
      <c r="OLS81" s="594"/>
      <c r="OLT81" s="594"/>
      <c r="OLU81" s="594"/>
      <c r="OLV81" s="594"/>
      <c r="OLW81" s="594"/>
      <c r="OLX81" s="594"/>
      <c r="OLY81" s="594"/>
      <c r="OLZ81" s="594"/>
      <c r="OMA81" s="594"/>
      <c r="OMB81" s="594"/>
      <c r="OMC81" s="594"/>
      <c r="OMD81" s="594"/>
      <c r="OME81" s="594"/>
      <c r="OMF81" s="594"/>
      <c r="OMG81" s="594"/>
      <c r="OMH81" s="594"/>
      <c r="OMI81" s="594"/>
      <c r="OMJ81" s="594"/>
      <c r="OMK81" s="594"/>
      <c r="OML81" s="594"/>
      <c r="OMM81" s="594"/>
      <c r="OMN81" s="594"/>
      <c r="OMO81" s="594"/>
      <c r="OMP81" s="594"/>
      <c r="OMQ81" s="594"/>
      <c r="OMR81" s="594"/>
      <c r="OMS81" s="594"/>
      <c r="OMT81" s="594"/>
      <c r="OMU81" s="594"/>
      <c r="OMV81" s="594"/>
      <c r="OMW81" s="594"/>
      <c r="OMX81" s="594"/>
      <c r="OMY81" s="594"/>
      <c r="OMZ81" s="594"/>
      <c r="ONA81" s="594"/>
      <c r="ONB81" s="594"/>
      <c r="ONC81" s="594"/>
      <c r="OND81" s="594"/>
      <c r="ONE81" s="594"/>
      <c r="ONF81" s="594"/>
      <c r="ONG81" s="594"/>
      <c r="ONH81" s="594"/>
      <c r="ONI81" s="594"/>
      <c r="ONJ81" s="594"/>
      <c r="ONK81" s="594"/>
      <c r="ONL81" s="594"/>
      <c r="ONM81" s="594"/>
      <c r="ONN81" s="594"/>
      <c r="ONO81" s="594"/>
      <c r="ONP81" s="594"/>
      <c r="ONQ81" s="594"/>
      <c r="ONR81" s="594"/>
      <c r="ONS81" s="594"/>
      <c r="ONT81" s="594"/>
      <c r="ONU81" s="594"/>
      <c r="ONV81" s="594"/>
      <c r="ONW81" s="594"/>
      <c r="ONX81" s="594"/>
      <c r="ONY81" s="594"/>
      <c r="ONZ81" s="594"/>
      <c r="OOA81" s="594"/>
      <c r="OOB81" s="594"/>
      <c r="OOC81" s="594"/>
      <c r="OOD81" s="594"/>
      <c r="OOE81" s="594"/>
      <c r="OOF81" s="594"/>
      <c r="OOG81" s="594"/>
      <c r="OOH81" s="594"/>
      <c r="OOI81" s="594"/>
      <c r="OOJ81" s="594"/>
      <c r="OOK81" s="594"/>
      <c r="OOL81" s="594"/>
      <c r="OOM81" s="594"/>
      <c r="OON81" s="594"/>
      <c r="OOO81" s="594"/>
      <c r="OOP81" s="594"/>
      <c r="OOQ81" s="594"/>
      <c r="OOR81" s="594"/>
      <c r="OOS81" s="594"/>
      <c r="OOT81" s="594"/>
      <c r="OOU81" s="594"/>
      <c r="OOV81" s="594"/>
      <c r="OOW81" s="594"/>
      <c r="OOX81" s="594"/>
      <c r="OOY81" s="594"/>
      <c r="OOZ81" s="594"/>
      <c r="OPA81" s="594"/>
      <c r="OPB81" s="594"/>
      <c r="OPC81" s="594"/>
      <c r="OPD81" s="594"/>
      <c r="OPE81" s="594"/>
      <c r="OPF81" s="594"/>
      <c r="OPG81" s="594"/>
      <c r="OPH81" s="594"/>
      <c r="OPI81" s="594"/>
      <c r="OPJ81" s="594"/>
      <c r="OPK81" s="594"/>
      <c r="OPL81" s="594"/>
      <c r="OPM81" s="594"/>
      <c r="OPN81" s="594"/>
      <c r="OPO81" s="594"/>
      <c r="OPP81" s="594"/>
      <c r="OPQ81" s="594"/>
      <c r="OPR81" s="594"/>
      <c r="OPS81" s="594"/>
      <c r="OPT81" s="594"/>
      <c r="OPU81" s="594"/>
      <c r="OPV81" s="594"/>
      <c r="OPW81" s="594"/>
      <c r="OPX81" s="594"/>
      <c r="OPY81" s="594"/>
      <c r="OPZ81" s="594"/>
      <c r="OQA81" s="594"/>
      <c r="OQB81" s="594"/>
      <c r="OQC81" s="594"/>
      <c r="OQD81" s="594"/>
      <c r="OQE81" s="594"/>
      <c r="OQF81" s="594"/>
      <c r="OQG81" s="594"/>
      <c r="OQH81" s="594"/>
      <c r="OQI81" s="594"/>
      <c r="OQJ81" s="594"/>
      <c r="OQK81" s="594"/>
      <c r="OQL81" s="594"/>
      <c r="OQM81" s="594"/>
      <c r="OQN81" s="594"/>
      <c r="OQO81" s="594"/>
      <c r="OQP81" s="594"/>
      <c r="OQQ81" s="594"/>
      <c r="OQR81" s="594"/>
      <c r="OQS81" s="594"/>
      <c r="OQT81" s="594"/>
      <c r="OQU81" s="594"/>
      <c r="OQV81" s="594"/>
      <c r="OQW81" s="594"/>
      <c r="OQX81" s="594"/>
      <c r="OQY81" s="594"/>
      <c r="OQZ81" s="594"/>
      <c r="ORA81" s="594"/>
      <c r="ORB81" s="594"/>
      <c r="ORC81" s="594"/>
      <c r="ORD81" s="594"/>
      <c r="ORE81" s="594"/>
      <c r="ORF81" s="594"/>
      <c r="ORG81" s="594"/>
      <c r="ORH81" s="594"/>
      <c r="ORI81" s="594"/>
      <c r="ORJ81" s="594"/>
      <c r="ORK81" s="594"/>
      <c r="ORL81" s="594"/>
      <c r="ORM81" s="594"/>
      <c r="ORN81" s="594"/>
      <c r="ORO81" s="594"/>
      <c r="ORP81" s="594"/>
      <c r="ORQ81" s="594"/>
      <c r="ORR81" s="594"/>
      <c r="ORS81" s="594"/>
      <c r="ORT81" s="594"/>
      <c r="ORU81" s="594"/>
      <c r="ORV81" s="594"/>
      <c r="ORW81" s="594"/>
      <c r="ORX81" s="594"/>
      <c r="ORY81" s="594"/>
      <c r="ORZ81" s="594"/>
      <c r="OSA81" s="594"/>
      <c r="OSB81" s="594"/>
      <c r="OSC81" s="594"/>
      <c r="OSD81" s="594"/>
      <c r="OSE81" s="594"/>
      <c r="OSF81" s="594"/>
      <c r="OSG81" s="594"/>
      <c r="OSH81" s="594"/>
      <c r="OSI81" s="594"/>
      <c r="OSJ81" s="594"/>
      <c r="OSK81" s="594"/>
      <c r="OSL81" s="594"/>
      <c r="OSM81" s="594"/>
      <c r="OSN81" s="594"/>
      <c r="OSO81" s="594"/>
      <c r="OSP81" s="594"/>
      <c r="OSQ81" s="594"/>
      <c r="OSR81" s="594"/>
      <c r="OSS81" s="594"/>
      <c r="OST81" s="594"/>
      <c r="OSU81" s="594"/>
      <c r="OSV81" s="594"/>
      <c r="OSW81" s="594"/>
      <c r="OSX81" s="594"/>
      <c r="OSY81" s="594"/>
      <c r="OSZ81" s="594"/>
      <c r="OTA81" s="594"/>
      <c r="OTB81" s="594"/>
      <c r="OTC81" s="594"/>
      <c r="OTD81" s="594"/>
      <c r="OTE81" s="594"/>
      <c r="OTF81" s="594"/>
      <c r="OTG81" s="594"/>
      <c r="OTH81" s="594"/>
      <c r="OTI81" s="594"/>
      <c r="OTJ81" s="594"/>
      <c r="OTK81" s="594"/>
      <c r="OTL81" s="594"/>
      <c r="OTM81" s="594"/>
      <c r="OTN81" s="594"/>
      <c r="OTO81" s="594"/>
      <c r="OTP81" s="594"/>
      <c r="OTQ81" s="594"/>
      <c r="OTR81" s="594"/>
      <c r="OTS81" s="594"/>
      <c r="OTT81" s="594"/>
      <c r="OTU81" s="594"/>
      <c r="OTV81" s="594"/>
      <c r="OTW81" s="594"/>
      <c r="OTX81" s="594"/>
      <c r="OTY81" s="594"/>
      <c r="OTZ81" s="594"/>
      <c r="OUA81" s="594"/>
      <c r="OUB81" s="594"/>
      <c r="OUC81" s="594"/>
      <c r="OUD81" s="594"/>
      <c r="OUE81" s="594"/>
      <c r="OUF81" s="594"/>
      <c r="OUG81" s="594"/>
      <c r="OUH81" s="594"/>
      <c r="OUI81" s="594"/>
      <c r="OUJ81" s="594"/>
      <c r="OUK81" s="594"/>
      <c r="OUL81" s="594"/>
      <c r="OUM81" s="594"/>
      <c r="OUN81" s="594"/>
      <c r="OUO81" s="594"/>
      <c r="OUP81" s="594"/>
      <c r="OUQ81" s="594"/>
      <c r="OUR81" s="594"/>
      <c r="OUS81" s="594"/>
      <c r="OUT81" s="594"/>
      <c r="OUU81" s="594"/>
      <c r="OUV81" s="594"/>
      <c r="OUW81" s="594"/>
      <c r="OUX81" s="594"/>
      <c r="OUY81" s="594"/>
      <c r="OUZ81" s="594"/>
      <c r="OVA81" s="594"/>
      <c r="OVB81" s="594"/>
      <c r="OVC81" s="594"/>
      <c r="OVD81" s="594"/>
      <c r="OVE81" s="594"/>
      <c r="OVF81" s="594"/>
      <c r="OVG81" s="594"/>
      <c r="OVH81" s="594"/>
      <c r="OVI81" s="594"/>
      <c r="OVJ81" s="594"/>
      <c r="OVK81" s="594"/>
      <c r="OVL81" s="594"/>
      <c r="OVM81" s="594"/>
      <c r="OVN81" s="594"/>
      <c r="OVO81" s="594"/>
      <c r="OVP81" s="594"/>
      <c r="OVQ81" s="594"/>
      <c r="OVR81" s="594"/>
      <c r="OVS81" s="594"/>
      <c r="OVT81" s="594"/>
      <c r="OVU81" s="594"/>
      <c r="OVV81" s="594"/>
      <c r="OVW81" s="594"/>
      <c r="OVX81" s="594"/>
      <c r="OVY81" s="594"/>
      <c r="OVZ81" s="594"/>
      <c r="OWA81" s="594"/>
      <c r="OWB81" s="594"/>
      <c r="OWC81" s="594"/>
      <c r="OWD81" s="594"/>
      <c r="OWE81" s="594"/>
      <c r="OWF81" s="594"/>
      <c r="OWG81" s="594"/>
      <c r="OWH81" s="594"/>
      <c r="OWI81" s="594"/>
      <c r="OWJ81" s="594"/>
      <c r="OWK81" s="594"/>
      <c r="OWL81" s="594"/>
      <c r="OWM81" s="594"/>
      <c r="OWN81" s="594"/>
      <c r="OWO81" s="594"/>
      <c r="OWP81" s="594"/>
      <c r="OWQ81" s="594"/>
      <c r="OWR81" s="594"/>
      <c r="OWS81" s="594"/>
      <c r="OWT81" s="594"/>
      <c r="OWU81" s="594"/>
      <c r="OWV81" s="594"/>
      <c r="OWW81" s="594"/>
      <c r="OWX81" s="594"/>
      <c r="OWY81" s="594"/>
      <c r="OWZ81" s="594"/>
      <c r="OXA81" s="594"/>
      <c r="OXB81" s="594"/>
      <c r="OXC81" s="594"/>
      <c r="OXD81" s="594"/>
      <c r="OXE81" s="594"/>
      <c r="OXF81" s="594"/>
      <c r="OXG81" s="594"/>
      <c r="OXH81" s="594"/>
      <c r="OXI81" s="594"/>
      <c r="OXJ81" s="594"/>
      <c r="OXK81" s="594"/>
      <c r="OXL81" s="594"/>
      <c r="OXM81" s="594"/>
      <c r="OXN81" s="594"/>
      <c r="OXO81" s="594"/>
      <c r="OXP81" s="594"/>
      <c r="OXQ81" s="594"/>
      <c r="OXR81" s="594"/>
      <c r="OXS81" s="594"/>
      <c r="OXT81" s="594"/>
      <c r="OXU81" s="594"/>
      <c r="OXV81" s="594"/>
      <c r="OXW81" s="594"/>
      <c r="OXX81" s="594"/>
      <c r="OXY81" s="594"/>
      <c r="OXZ81" s="594"/>
      <c r="OYA81" s="594"/>
      <c r="OYB81" s="594"/>
      <c r="OYC81" s="594"/>
      <c r="OYD81" s="594"/>
      <c r="OYE81" s="594"/>
      <c r="OYF81" s="594"/>
      <c r="OYG81" s="594"/>
      <c r="OYH81" s="594"/>
      <c r="OYI81" s="594"/>
      <c r="OYJ81" s="594"/>
      <c r="OYK81" s="594"/>
      <c r="OYL81" s="594"/>
      <c r="OYM81" s="594"/>
      <c r="OYN81" s="594"/>
      <c r="OYO81" s="594"/>
      <c r="OYP81" s="594"/>
      <c r="OYQ81" s="594"/>
      <c r="OYR81" s="594"/>
      <c r="OYS81" s="594"/>
      <c r="OYT81" s="594"/>
      <c r="OYU81" s="594"/>
      <c r="OYV81" s="594"/>
      <c r="OYW81" s="594"/>
      <c r="OYX81" s="594"/>
      <c r="OYY81" s="594"/>
      <c r="OYZ81" s="594"/>
      <c r="OZA81" s="594"/>
      <c r="OZB81" s="594"/>
      <c r="OZC81" s="594"/>
      <c r="OZD81" s="594"/>
      <c r="OZE81" s="594"/>
      <c r="OZF81" s="594"/>
      <c r="OZG81" s="594"/>
      <c r="OZH81" s="594"/>
      <c r="OZI81" s="594"/>
      <c r="OZJ81" s="594"/>
      <c r="OZK81" s="594"/>
      <c r="OZL81" s="594"/>
      <c r="OZM81" s="594"/>
      <c r="OZN81" s="594"/>
      <c r="OZO81" s="594"/>
      <c r="OZP81" s="594"/>
      <c r="OZQ81" s="594"/>
      <c r="OZR81" s="594"/>
      <c r="OZS81" s="594"/>
      <c r="OZT81" s="594"/>
      <c r="OZU81" s="594"/>
      <c r="OZV81" s="594"/>
      <c r="OZW81" s="594"/>
      <c r="OZX81" s="594"/>
      <c r="OZY81" s="594"/>
      <c r="OZZ81" s="594"/>
      <c r="PAA81" s="594"/>
      <c r="PAB81" s="594"/>
      <c r="PAC81" s="594"/>
      <c r="PAD81" s="594"/>
      <c r="PAE81" s="594"/>
      <c r="PAF81" s="594"/>
      <c r="PAG81" s="594"/>
      <c r="PAH81" s="594"/>
      <c r="PAI81" s="594"/>
      <c r="PAJ81" s="594"/>
      <c r="PAK81" s="594"/>
      <c r="PAL81" s="594"/>
      <c r="PAM81" s="594"/>
      <c r="PAN81" s="594"/>
      <c r="PAO81" s="594"/>
      <c r="PAP81" s="594"/>
      <c r="PAQ81" s="594"/>
      <c r="PAR81" s="594"/>
      <c r="PAS81" s="594"/>
      <c r="PAT81" s="594"/>
      <c r="PAU81" s="594"/>
      <c r="PAV81" s="594"/>
      <c r="PAW81" s="594"/>
      <c r="PAX81" s="594"/>
      <c r="PAY81" s="594"/>
      <c r="PAZ81" s="594"/>
      <c r="PBA81" s="594"/>
      <c r="PBB81" s="594"/>
      <c r="PBC81" s="594"/>
      <c r="PBD81" s="594"/>
      <c r="PBE81" s="594"/>
      <c r="PBF81" s="594"/>
      <c r="PBG81" s="594"/>
      <c r="PBH81" s="594"/>
      <c r="PBI81" s="594"/>
      <c r="PBJ81" s="594"/>
      <c r="PBK81" s="594"/>
      <c r="PBL81" s="594"/>
      <c r="PBM81" s="594"/>
      <c r="PBN81" s="594"/>
      <c r="PBO81" s="594"/>
      <c r="PBP81" s="594"/>
      <c r="PBQ81" s="594"/>
      <c r="PBR81" s="594"/>
      <c r="PBS81" s="594"/>
      <c r="PBT81" s="594"/>
      <c r="PBU81" s="594"/>
      <c r="PBV81" s="594"/>
      <c r="PBW81" s="594"/>
      <c r="PBX81" s="594"/>
      <c r="PBY81" s="594"/>
      <c r="PBZ81" s="594"/>
      <c r="PCA81" s="594"/>
      <c r="PCB81" s="594"/>
      <c r="PCC81" s="594"/>
      <c r="PCD81" s="594"/>
      <c r="PCE81" s="594"/>
      <c r="PCF81" s="594"/>
      <c r="PCG81" s="594"/>
      <c r="PCH81" s="594"/>
      <c r="PCI81" s="594"/>
      <c r="PCJ81" s="594"/>
      <c r="PCK81" s="594"/>
      <c r="PCL81" s="594"/>
      <c r="PCM81" s="594"/>
      <c r="PCN81" s="594"/>
      <c r="PCO81" s="594"/>
      <c r="PCP81" s="594"/>
      <c r="PCQ81" s="594"/>
      <c r="PCR81" s="594"/>
      <c r="PCS81" s="594"/>
      <c r="PCT81" s="594"/>
      <c r="PCU81" s="594"/>
      <c r="PCV81" s="594"/>
      <c r="PCW81" s="594"/>
      <c r="PCX81" s="594"/>
      <c r="PCY81" s="594"/>
      <c r="PCZ81" s="594"/>
      <c r="PDA81" s="594"/>
      <c r="PDB81" s="594"/>
      <c r="PDC81" s="594"/>
      <c r="PDD81" s="594"/>
      <c r="PDE81" s="594"/>
      <c r="PDF81" s="594"/>
      <c r="PDG81" s="594"/>
      <c r="PDH81" s="594"/>
      <c r="PDI81" s="594"/>
      <c r="PDJ81" s="594"/>
      <c r="PDK81" s="594"/>
      <c r="PDL81" s="594"/>
      <c r="PDM81" s="594"/>
      <c r="PDN81" s="594"/>
      <c r="PDO81" s="594"/>
      <c r="PDP81" s="594"/>
      <c r="PDQ81" s="594"/>
      <c r="PDR81" s="594"/>
      <c r="PDS81" s="594"/>
      <c r="PDT81" s="594"/>
      <c r="PDU81" s="594"/>
      <c r="PDV81" s="594"/>
      <c r="PDW81" s="594"/>
      <c r="PDX81" s="594"/>
      <c r="PDY81" s="594"/>
      <c r="PDZ81" s="594"/>
      <c r="PEA81" s="594"/>
      <c r="PEB81" s="594"/>
      <c r="PEC81" s="594"/>
      <c r="PED81" s="594"/>
      <c r="PEE81" s="594"/>
      <c r="PEF81" s="594"/>
      <c r="PEG81" s="594"/>
      <c r="PEH81" s="594"/>
      <c r="PEI81" s="594"/>
      <c r="PEJ81" s="594"/>
      <c r="PEK81" s="594"/>
      <c r="PEL81" s="594"/>
      <c r="PEM81" s="594"/>
      <c r="PEN81" s="594"/>
      <c r="PEO81" s="594"/>
      <c r="PEP81" s="594"/>
      <c r="PEQ81" s="594"/>
      <c r="PER81" s="594"/>
      <c r="PES81" s="594"/>
      <c r="PET81" s="594"/>
      <c r="PEU81" s="594"/>
      <c r="PEV81" s="594"/>
      <c r="PEW81" s="594"/>
      <c r="PEX81" s="594"/>
      <c r="PEY81" s="594"/>
      <c r="PEZ81" s="594"/>
      <c r="PFA81" s="594"/>
      <c r="PFB81" s="594"/>
      <c r="PFC81" s="594"/>
      <c r="PFD81" s="594"/>
      <c r="PFE81" s="594"/>
      <c r="PFF81" s="594"/>
      <c r="PFG81" s="594"/>
      <c r="PFH81" s="594"/>
      <c r="PFI81" s="594"/>
      <c r="PFJ81" s="594"/>
      <c r="PFK81" s="594"/>
      <c r="PFL81" s="594"/>
      <c r="PFM81" s="594"/>
      <c r="PFN81" s="594"/>
      <c r="PFO81" s="594"/>
      <c r="PFP81" s="594"/>
      <c r="PFQ81" s="594"/>
      <c r="PFR81" s="594"/>
      <c r="PFS81" s="594"/>
      <c r="PFT81" s="594"/>
      <c r="PFU81" s="594"/>
      <c r="PFV81" s="594"/>
      <c r="PFW81" s="594"/>
      <c r="PFX81" s="594"/>
      <c r="PFY81" s="594"/>
      <c r="PFZ81" s="594"/>
      <c r="PGA81" s="594"/>
      <c r="PGB81" s="594"/>
      <c r="PGC81" s="594"/>
      <c r="PGD81" s="594"/>
      <c r="PGE81" s="594"/>
      <c r="PGF81" s="594"/>
      <c r="PGG81" s="594"/>
      <c r="PGH81" s="594"/>
      <c r="PGI81" s="594"/>
      <c r="PGJ81" s="594"/>
      <c r="PGK81" s="594"/>
      <c r="PGL81" s="594"/>
      <c r="PGM81" s="594"/>
      <c r="PGN81" s="594"/>
      <c r="PGO81" s="594"/>
      <c r="PGP81" s="594"/>
      <c r="PGQ81" s="594"/>
      <c r="PGR81" s="594"/>
      <c r="PGS81" s="594"/>
      <c r="PGT81" s="594"/>
      <c r="PGU81" s="594"/>
      <c r="PGV81" s="594"/>
      <c r="PGW81" s="594"/>
      <c r="PGX81" s="594"/>
      <c r="PGY81" s="594"/>
      <c r="PGZ81" s="594"/>
      <c r="PHA81" s="594"/>
      <c r="PHB81" s="594"/>
      <c r="PHC81" s="594"/>
      <c r="PHD81" s="594"/>
      <c r="PHE81" s="594"/>
      <c r="PHF81" s="594"/>
      <c r="PHG81" s="594"/>
      <c r="PHH81" s="594"/>
      <c r="PHI81" s="594"/>
      <c r="PHJ81" s="594"/>
      <c r="PHK81" s="594"/>
      <c r="PHL81" s="594"/>
      <c r="PHM81" s="594"/>
      <c r="PHN81" s="594"/>
      <c r="PHO81" s="594"/>
      <c r="PHP81" s="594"/>
      <c r="PHQ81" s="594"/>
      <c r="PHR81" s="594"/>
      <c r="PHS81" s="594"/>
      <c r="PHT81" s="594"/>
      <c r="PHU81" s="594"/>
      <c r="PHV81" s="594"/>
      <c r="PHW81" s="594"/>
      <c r="PHX81" s="594"/>
      <c r="PHY81" s="594"/>
      <c r="PHZ81" s="594"/>
      <c r="PIA81" s="594"/>
      <c r="PIB81" s="594"/>
      <c r="PIC81" s="594"/>
      <c r="PID81" s="594"/>
      <c r="PIE81" s="594"/>
      <c r="PIF81" s="594"/>
      <c r="PIG81" s="594"/>
      <c r="PIH81" s="594"/>
      <c r="PII81" s="594"/>
      <c r="PIJ81" s="594"/>
      <c r="PIK81" s="594"/>
      <c r="PIL81" s="594"/>
      <c r="PIM81" s="594"/>
      <c r="PIN81" s="594"/>
      <c r="PIO81" s="594"/>
      <c r="PIP81" s="594"/>
      <c r="PIQ81" s="594"/>
      <c r="PIR81" s="594"/>
      <c r="PIS81" s="594"/>
      <c r="PIT81" s="594"/>
      <c r="PIU81" s="594"/>
      <c r="PIV81" s="594"/>
      <c r="PIW81" s="594"/>
      <c r="PIX81" s="594"/>
      <c r="PIY81" s="594"/>
      <c r="PIZ81" s="594"/>
      <c r="PJA81" s="594"/>
      <c r="PJB81" s="594"/>
      <c r="PJC81" s="594"/>
      <c r="PJD81" s="594"/>
      <c r="PJE81" s="594"/>
      <c r="PJF81" s="594"/>
      <c r="PJG81" s="594"/>
      <c r="PJH81" s="594"/>
      <c r="PJI81" s="594"/>
      <c r="PJJ81" s="594"/>
      <c r="PJK81" s="594"/>
      <c r="PJL81" s="594"/>
      <c r="PJM81" s="594"/>
      <c r="PJN81" s="594"/>
      <c r="PJO81" s="594"/>
      <c r="PJP81" s="594"/>
      <c r="PJQ81" s="594"/>
      <c r="PJR81" s="594"/>
      <c r="PJS81" s="594"/>
      <c r="PJT81" s="594"/>
      <c r="PJU81" s="594"/>
      <c r="PJV81" s="594"/>
      <c r="PJW81" s="594"/>
      <c r="PJX81" s="594"/>
      <c r="PJY81" s="594"/>
      <c r="PJZ81" s="594"/>
      <c r="PKA81" s="594"/>
      <c r="PKB81" s="594"/>
      <c r="PKC81" s="594"/>
      <c r="PKD81" s="594"/>
      <c r="PKE81" s="594"/>
      <c r="PKF81" s="594"/>
      <c r="PKG81" s="594"/>
      <c r="PKH81" s="594"/>
      <c r="PKI81" s="594"/>
      <c r="PKJ81" s="594"/>
      <c r="PKK81" s="594"/>
      <c r="PKL81" s="594"/>
      <c r="PKM81" s="594"/>
      <c r="PKN81" s="594"/>
      <c r="PKO81" s="594"/>
      <c r="PKP81" s="594"/>
      <c r="PKQ81" s="594"/>
      <c r="PKR81" s="594"/>
      <c r="PKS81" s="594"/>
      <c r="PKT81" s="594"/>
      <c r="PKU81" s="594"/>
      <c r="PKV81" s="594"/>
      <c r="PKW81" s="594"/>
      <c r="PKX81" s="594"/>
      <c r="PKY81" s="594"/>
      <c r="PKZ81" s="594"/>
      <c r="PLA81" s="594"/>
      <c r="PLB81" s="594"/>
      <c r="PLC81" s="594"/>
      <c r="PLD81" s="594"/>
      <c r="PLE81" s="594"/>
      <c r="PLF81" s="594"/>
      <c r="PLG81" s="594"/>
      <c r="PLH81" s="594"/>
      <c r="PLI81" s="594"/>
      <c r="PLJ81" s="594"/>
      <c r="PLK81" s="594"/>
      <c r="PLL81" s="594"/>
      <c r="PLM81" s="594"/>
      <c r="PLN81" s="594"/>
      <c r="PLO81" s="594"/>
      <c r="PLP81" s="594"/>
      <c r="PLQ81" s="594"/>
      <c r="PLR81" s="594"/>
      <c r="PLS81" s="594"/>
      <c r="PLT81" s="594"/>
      <c r="PLU81" s="594"/>
      <c r="PLV81" s="594"/>
      <c r="PLW81" s="594"/>
      <c r="PLX81" s="594"/>
      <c r="PLY81" s="594"/>
      <c r="PLZ81" s="594"/>
      <c r="PMA81" s="594"/>
      <c r="PMB81" s="594"/>
      <c r="PMC81" s="594"/>
      <c r="PMD81" s="594"/>
      <c r="PME81" s="594"/>
      <c r="PMF81" s="594"/>
      <c r="PMG81" s="594"/>
      <c r="PMH81" s="594"/>
      <c r="PMI81" s="594"/>
      <c r="PMJ81" s="594"/>
      <c r="PMK81" s="594"/>
      <c r="PML81" s="594"/>
      <c r="PMM81" s="594"/>
      <c r="PMN81" s="594"/>
      <c r="PMO81" s="594"/>
      <c r="PMP81" s="594"/>
      <c r="PMQ81" s="594"/>
      <c r="PMR81" s="594"/>
      <c r="PMS81" s="594"/>
      <c r="PMT81" s="594"/>
      <c r="PMU81" s="594"/>
      <c r="PMV81" s="594"/>
      <c r="PMW81" s="594"/>
      <c r="PMX81" s="594"/>
      <c r="PMY81" s="594"/>
      <c r="PMZ81" s="594"/>
      <c r="PNA81" s="594"/>
      <c r="PNB81" s="594"/>
      <c r="PNC81" s="594"/>
      <c r="PND81" s="594"/>
      <c r="PNE81" s="594"/>
      <c r="PNF81" s="594"/>
      <c r="PNG81" s="594"/>
      <c r="PNH81" s="594"/>
      <c r="PNI81" s="594"/>
      <c r="PNJ81" s="594"/>
      <c r="PNK81" s="594"/>
      <c r="PNL81" s="594"/>
      <c r="PNM81" s="594"/>
      <c r="PNN81" s="594"/>
      <c r="PNO81" s="594"/>
      <c r="PNP81" s="594"/>
      <c r="PNQ81" s="594"/>
      <c r="PNR81" s="594"/>
      <c r="PNS81" s="594"/>
      <c r="PNT81" s="594"/>
      <c r="PNU81" s="594"/>
      <c r="PNV81" s="594"/>
      <c r="PNW81" s="594"/>
      <c r="PNX81" s="594"/>
      <c r="PNY81" s="594"/>
      <c r="PNZ81" s="594"/>
      <c r="POA81" s="594"/>
      <c r="POB81" s="594"/>
      <c r="POC81" s="594"/>
      <c r="POD81" s="594"/>
      <c r="POE81" s="594"/>
      <c r="POF81" s="594"/>
      <c r="POG81" s="594"/>
      <c r="POH81" s="594"/>
      <c r="POI81" s="594"/>
      <c r="POJ81" s="594"/>
      <c r="POK81" s="594"/>
      <c r="POL81" s="594"/>
      <c r="POM81" s="594"/>
      <c r="PON81" s="594"/>
      <c r="POO81" s="594"/>
      <c r="POP81" s="594"/>
      <c r="POQ81" s="594"/>
      <c r="POR81" s="594"/>
      <c r="POS81" s="594"/>
      <c r="POT81" s="594"/>
      <c r="POU81" s="594"/>
      <c r="POV81" s="594"/>
      <c r="POW81" s="594"/>
      <c r="POX81" s="594"/>
      <c r="POY81" s="594"/>
      <c r="POZ81" s="594"/>
      <c r="PPA81" s="594"/>
      <c r="PPB81" s="594"/>
      <c r="PPC81" s="594"/>
      <c r="PPD81" s="594"/>
      <c r="PPE81" s="594"/>
      <c r="PPF81" s="594"/>
      <c r="PPG81" s="594"/>
      <c r="PPH81" s="594"/>
      <c r="PPI81" s="594"/>
      <c r="PPJ81" s="594"/>
      <c r="PPK81" s="594"/>
      <c r="PPL81" s="594"/>
      <c r="PPM81" s="594"/>
      <c r="PPN81" s="594"/>
      <c r="PPO81" s="594"/>
      <c r="PPP81" s="594"/>
      <c r="PPQ81" s="594"/>
      <c r="PPR81" s="594"/>
      <c r="PPS81" s="594"/>
      <c r="PPT81" s="594"/>
      <c r="PPU81" s="594"/>
      <c r="PPV81" s="594"/>
      <c r="PPW81" s="594"/>
      <c r="PPX81" s="594"/>
      <c r="PPY81" s="594"/>
      <c r="PPZ81" s="594"/>
      <c r="PQA81" s="594"/>
      <c r="PQB81" s="594"/>
      <c r="PQC81" s="594"/>
      <c r="PQD81" s="594"/>
      <c r="PQE81" s="594"/>
      <c r="PQF81" s="594"/>
      <c r="PQG81" s="594"/>
      <c r="PQH81" s="594"/>
      <c r="PQI81" s="594"/>
      <c r="PQJ81" s="594"/>
      <c r="PQK81" s="594"/>
      <c r="PQL81" s="594"/>
      <c r="PQM81" s="594"/>
      <c r="PQN81" s="594"/>
      <c r="PQO81" s="594"/>
      <c r="PQP81" s="594"/>
      <c r="PQQ81" s="594"/>
      <c r="PQR81" s="594"/>
      <c r="PQS81" s="594"/>
      <c r="PQT81" s="594"/>
      <c r="PQU81" s="594"/>
      <c r="PQV81" s="594"/>
      <c r="PQW81" s="594"/>
      <c r="PQX81" s="594"/>
      <c r="PQY81" s="594"/>
      <c r="PQZ81" s="594"/>
      <c r="PRA81" s="594"/>
      <c r="PRB81" s="594"/>
      <c r="PRC81" s="594"/>
      <c r="PRD81" s="594"/>
      <c r="PRE81" s="594"/>
      <c r="PRF81" s="594"/>
      <c r="PRG81" s="594"/>
      <c r="PRH81" s="594"/>
      <c r="PRI81" s="594"/>
      <c r="PRJ81" s="594"/>
      <c r="PRK81" s="594"/>
      <c r="PRL81" s="594"/>
      <c r="PRM81" s="594"/>
      <c r="PRN81" s="594"/>
      <c r="PRO81" s="594"/>
      <c r="PRP81" s="594"/>
      <c r="PRQ81" s="594"/>
      <c r="PRR81" s="594"/>
      <c r="PRS81" s="594"/>
      <c r="PRT81" s="594"/>
      <c r="PRU81" s="594"/>
      <c r="PRV81" s="594"/>
      <c r="PRW81" s="594"/>
      <c r="PRX81" s="594"/>
      <c r="PRY81" s="594"/>
      <c r="PRZ81" s="594"/>
      <c r="PSA81" s="594"/>
      <c r="PSB81" s="594"/>
      <c r="PSC81" s="594"/>
      <c r="PSD81" s="594"/>
      <c r="PSE81" s="594"/>
      <c r="PSF81" s="594"/>
      <c r="PSG81" s="594"/>
      <c r="PSH81" s="594"/>
      <c r="PSI81" s="594"/>
      <c r="PSJ81" s="594"/>
      <c r="PSK81" s="594"/>
      <c r="PSL81" s="594"/>
      <c r="PSM81" s="594"/>
      <c r="PSN81" s="594"/>
      <c r="PSO81" s="594"/>
      <c r="PSP81" s="594"/>
      <c r="PSQ81" s="594"/>
      <c r="PSR81" s="594"/>
      <c r="PSS81" s="594"/>
      <c r="PST81" s="594"/>
      <c r="PSU81" s="594"/>
      <c r="PSV81" s="594"/>
      <c r="PSW81" s="594"/>
      <c r="PSX81" s="594"/>
      <c r="PSY81" s="594"/>
      <c r="PSZ81" s="594"/>
      <c r="PTA81" s="594"/>
      <c r="PTB81" s="594"/>
      <c r="PTC81" s="594"/>
      <c r="PTD81" s="594"/>
      <c r="PTE81" s="594"/>
      <c r="PTF81" s="594"/>
      <c r="PTG81" s="594"/>
      <c r="PTH81" s="594"/>
      <c r="PTI81" s="594"/>
      <c r="PTJ81" s="594"/>
      <c r="PTK81" s="594"/>
      <c r="PTL81" s="594"/>
      <c r="PTM81" s="594"/>
      <c r="PTN81" s="594"/>
      <c r="PTO81" s="594"/>
      <c r="PTP81" s="594"/>
      <c r="PTQ81" s="594"/>
      <c r="PTR81" s="594"/>
      <c r="PTS81" s="594"/>
      <c r="PTT81" s="594"/>
      <c r="PTU81" s="594"/>
      <c r="PTV81" s="594"/>
      <c r="PTW81" s="594"/>
      <c r="PTX81" s="594"/>
      <c r="PTY81" s="594"/>
      <c r="PTZ81" s="594"/>
      <c r="PUA81" s="594"/>
      <c r="PUB81" s="594"/>
      <c r="PUC81" s="594"/>
      <c r="PUD81" s="594"/>
      <c r="PUE81" s="594"/>
      <c r="PUF81" s="594"/>
      <c r="PUG81" s="594"/>
      <c r="PUH81" s="594"/>
      <c r="PUI81" s="594"/>
      <c r="PUJ81" s="594"/>
      <c r="PUK81" s="594"/>
      <c r="PUL81" s="594"/>
      <c r="PUM81" s="594"/>
      <c r="PUN81" s="594"/>
      <c r="PUO81" s="594"/>
      <c r="PUP81" s="594"/>
      <c r="PUQ81" s="594"/>
      <c r="PUR81" s="594"/>
      <c r="PUS81" s="594"/>
      <c r="PUT81" s="594"/>
      <c r="PUU81" s="594"/>
      <c r="PUV81" s="594"/>
      <c r="PUW81" s="594"/>
      <c r="PUX81" s="594"/>
      <c r="PUY81" s="594"/>
      <c r="PUZ81" s="594"/>
      <c r="PVA81" s="594"/>
      <c r="PVB81" s="594"/>
      <c r="PVC81" s="594"/>
      <c r="PVD81" s="594"/>
      <c r="PVE81" s="594"/>
      <c r="PVF81" s="594"/>
      <c r="PVG81" s="594"/>
      <c r="PVH81" s="594"/>
      <c r="PVI81" s="594"/>
      <c r="PVJ81" s="594"/>
      <c r="PVK81" s="594"/>
      <c r="PVL81" s="594"/>
      <c r="PVM81" s="594"/>
      <c r="PVN81" s="594"/>
      <c r="PVO81" s="594"/>
      <c r="PVP81" s="594"/>
      <c r="PVQ81" s="594"/>
      <c r="PVR81" s="594"/>
      <c r="PVS81" s="594"/>
      <c r="PVT81" s="594"/>
      <c r="PVU81" s="594"/>
      <c r="PVV81" s="594"/>
      <c r="PVW81" s="594"/>
      <c r="PVX81" s="594"/>
      <c r="PVY81" s="594"/>
      <c r="PVZ81" s="594"/>
      <c r="PWA81" s="594"/>
      <c r="PWB81" s="594"/>
      <c r="PWC81" s="594"/>
      <c r="PWD81" s="594"/>
      <c r="PWE81" s="594"/>
      <c r="PWF81" s="594"/>
      <c r="PWG81" s="594"/>
      <c r="PWH81" s="594"/>
      <c r="PWI81" s="594"/>
      <c r="PWJ81" s="594"/>
      <c r="PWK81" s="594"/>
      <c r="PWL81" s="594"/>
      <c r="PWM81" s="594"/>
      <c r="PWN81" s="594"/>
      <c r="PWO81" s="594"/>
      <c r="PWP81" s="594"/>
      <c r="PWQ81" s="594"/>
      <c r="PWR81" s="594"/>
      <c r="PWS81" s="594"/>
      <c r="PWT81" s="594"/>
      <c r="PWU81" s="594"/>
      <c r="PWV81" s="594"/>
      <c r="PWW81" s="594"/>
      <c r="PWX81" s="594"/>
      <c r="PWY81" s="594"/>
      <c r="PWZ81" s="594"/>
      <c r="PXA81" s="594"/>
      <c r="PXB81" s="594"/>
      <c r="PXC81" s="594"/>
      <c r="PXD81" s="594"/>
      <c r="PXE81" s="594"/>
      <c r="PXF81" s="594"/>
      <c r="PXG81" s="594"/>
      <c r="PXH81" s="594"/>
      <c r="PXI81" s="594"/>
      <c r="PXJ81" s="594"/>
      <c r="PXK81" s="594"/>
      <c r="PXL81" s="594"/>
      <c r="PXM81" s="594"/>
      <c r="PXN81" s="594"/>
      <c r="PXO81" s="594"/>
      <c r="PXP81" s="594"/>
      <c r="PXQ81" s="594"/>
      <c r="PXR81" s="594"/>
      <c r="PXS81" s="594"/>
      <c r="PXT81" s="594"/>
      <c r="PXU81" s="594"/>
      <c r="PXV81" s="594"/>
      <c r="PXW81" s="594"/>
      <c r="PXX81" s="594"/>
      <c r="PXY81" s="594"/>
      <c r="PXZ81" s="594"/>
      <c r="PYA81" s="594"/>
      <c r="PYB81" s="594"/>
      <c r="PYC81" s="594"/>
      <c r="PYD81" s="594"/>
      <c r="PYE81" s="594"/>
      <c r="PYF81" s="594"/>
      <c r="PYG81" s="594"/>
      <c r="PYH81" s="594"/>
      <c r="PYI81" s="594"/>
      <c r="PYJ81" s="594"/>
      <c r="PYK81" s="594"/>
      <c r="PYL81" s="594"/>
      <c r="PYM81" s="594"/>
      <c r="PYN81" s="594"/>
      <c r="PYO81" s="594"/>
      <c r="PYP81" s="594"/>
      <c r="PYQ81" s="594"/>
      <c r="PYR81" s="594"/>
      <c r="PYS81" s="594"/>
      <c r="PYT81" s="594"/>
      <c r="PYU81" s="594"/>
      <c r="PYV81" s="594"/>
      <c r="PYW81" s="594"/>
      <c r="PYX81" s="594"/>
      <c r="PYY81" s="594"/>
      <c r="PYZ81" s="594"/>
      <c r="PZA81" s="594"/>
      <c r="PZB81" s="594"/>
      <c r="PZC81" s="594"/>
      <c r="PZD81" s="594"/>
      <c r="PZE81" s="594"/>
      <c r="PZF81" s="594"/>
      <c r="PZG81" s="594"/>
      <c r="PZH81" s="594"/>
      <c r="PZI81" s="594"/>
      <c r="PZJ81" s="594"/>
      <c r="PZK81" s="594"/>
      <c r="PZL81" s="594"/>
      <c r="PZM81" s="594"/>
      <c r="PZN81" s="594"/>
      <c r="PZO81" s="594"/>
      <c r="PZP81" s="594"/>
      <c r="PZQ81" s="594"/>
      <c r="PZR81" s="594"/>
      <c r="PZS81" s="594"/>
      <c r="PZT81" s="594"/>
      <c r="PZU81" s="594"/>
      <c r="PZV81" s="594"/>
      <c r="PZW81" s="594"/>
      <c r="PZX81" s="594"/>
      <c r="PZY81" s="594"/>
      <c r="PZZ81" s="594"/>
      <c r="QAA81" s="594"/>
      <c r="QAB81" s="594"/>
      <c r="QAC81" s="594"/>
      <c r="QAD81" s="594"/>
      <c r="QAE81" s="594"/>
      <c r="QAF81" s="594"/>
      <c r="QAG81" s="594"/>
      <c r="QAH81" s="594"/>
      <c r="QAI81" s="594"/>
      <c r="QAJ81" s="594"/>
      <c r="QAK81" s="594"/>
      <c r="QAL81" s="594"/>
      <c r="QAM81" s="594"/>
      <c r="QAN81" s="594"/>
      <c r="QAO81" s="594"/>
      <c r="QAP81" s="594"/>
      <c r="QAQ81" s="594"/>
      <c r="QAR81" s="594"/>
      <c r="QAS81" s="594"/>
      <c r="QAT81" s="594"/>
      <c r="QAU81" s="594"/>
      <c r="QAV81" s="594"/>
      <c r="QAW81" s="594"/>
      <c r="QAX81" s="594"/>
      <c r="QAY81" s="594"/>
      <c r="QAZ81" s="594"/>
      <c r="QBA81" s="594"/>
      <c r="QBB81" s="594"/>
      <c r="QBC81" s="594"/>
      <c r="QBD81" s="594"/>
      <c r="QBE81" s="594"/>
      <c r="QBF81" s="594"/>
      <c r="QBG81" s="594"/>
      <c r="QBH81" s="594"/>
      <c r="QBI81" s="594"/>
      <c r="QBJ81" s="594"/>
      <c r="QBK81" s="594"/>
      <c r="QBL81" s="594"/>
      <c r="QBM81" s="594"/>
      <c r="QBN81" s="594"/>
      <c r="QBO81" s="594"/>
      <c r="QBP81" s="594"/>
      <c r="QBQ81" s="594"/>
      <c r="QBR81" s="594"/>
      <c r="QBS81" s="594"/>
      <c r="QBT81" s="594"/>
      <c r="QBU81" s="594"/>
      <c r="QBV81" s="594"/>
      <c r="QBW81" s="594"/>
      <c r="QBX81" s="594"/>
      <c r="QBY81" s="594"/>
      <c r="QBZ81" s="594"/>
      <c r="QCA81" s="594"/>
      <c r="QCB81" s="594"/>
      <c r="QCC81" s="594"/>
      <c r="QCD81" s="594"/>
      <c r="QCE81" s="594"/>
      <c r="QCF81" s="594"/>
      <c r="QCG81" s="594"/>
      <c r="QCH81" s="594"/>
      <c r="QCI81" s="594"/>
      <c r="QCJ81" s="594"/>
      <c r="QCK81" s="594"/>
      <c r="QCL81" s="594"/>
      <c r="QCM81" s="594"/>
      <c r="QCN81" s="594"/>
      <c r="QCO81" s="594"/>
      <c r="QCP81" s="594"/>
      <c r="QCQ81" s="594"/>
      <c r="QCR81" s="594"/>
      <c r="QCS81" s="594"/>
      <c r="QCT81" s="594"/>
      <c r="QCU81" s="594"/>
      <c r="QCV81" s="594"/>
      <c r="QCW81" s="594"/>
      <c r="QCX81" s="594"/>
      <c r="QCY81" s="594"/>
      <c r="QCZ81" s="594"/>
      <c r="QDA81" s="594"/>
      <c r="QDB81" s="594"/>
      <c r="QDC81" s="594"/>
      <c r="QDD81" s="594"/>
      <c r="QDE81" s="594"/>
      <c r="QDF81" s="594"/>
      <c r="QDG81" s="594"/>
      <c r="QDH81" s="594"/>
      <c r="QDI81" s="594"/>
      <c r="QDJ81" s="594"/>
      <c r="QDK81" s="594"/>
      <c r="QDL81" s="594"/>
      <c r="QDM81" s="594"/>
      <c r="QDN81" s="594"/>
      <c r="QDO81" s="594"/>
      <c r="QDP81" s="594"/>
      <c r="QDQ81" s="594"/>
      <c r="QDR81" s="594"/>
      <c r="QDS81" s="594"/>
      <c r="QDT81" s="594"/>
      <c r="QDU81" s="594"/>
      <c r="QDV81" s="594"/>
      <c r="QDW81" s="594"/>
      <c r="QDX81" s="594"/>
      <c r="QDY81" s="594"/>
      <c r="QDZ81" s="594"/>
      <c r="QEA81" s="594"/>
      <c r="QEB81" s="594"/>
      <c r="QEC81" s="594"/>
      <c r="QED81" s="594"/>
      <c r="QEE81" s="594"/>
      <c r="QEF81" s="594"/>
      <c r="QEG81" s="594"/>
      <c r="QEH81" s="594"/>
      <c r="QEI81" s="594"/>
      <c r="QEJ81" s="594"/>
      <c r="QEK81" s="594"/>
      <c r="QEL81" s="594"/>
      <c r="QEM81" s="594"/>
      <c r="QEN81" s="594"/>
      <c r="QEO81" s="594"/>
      <c r="QEP81" s="594"/>
      <c r="QEQ81" s="594"/>
      <c r="QER81" s="594"/>
      <c r="QES81" s="594"/>
      <c r="QET81" s="594"/>
      <c r="QEU81" s="594"/>
      <c r="QEV81" s="594"/>
      <c r="QEW81" s="594"/>
      <c r="QEX81" s="594"/>
      <c r="QEY81" s="594"/>
      <c r="QEZ81" s="594"/>
      <c r="QFA81" s="594"/>
      <c r="QFB81" s="594"/>
      <c r="QFC81" s="594"/>
      <c r="QFD81" s="594"/>
      <c r="QFE81" s="594"/>
      <c r="QFF81" s="594"/>
      <c r="QFG81" s="594"/>
      <c r="QFH81" s="594"/>
      <c r="QFI81" s="594"/>
      <c r="QFJ81" s="594"/>
      <c r="QFK81" s="594"/>
      <c r="QFL81" s="594"/>
      <c r="QFM81" s="594"/>
      <c r="QFN81" s="594"/>
      <c r="QFO81" s="594"/>
      <c r="QFP81" s="594"/>
      <c r="QFQ81" s="594"/>
      <c r="QFR81" s="594"/>
      <c r="QFS81" s="594"/>
      <c r="QFT81" s="594"/>
      <c r="QFU81" s="594"/>
      <c r="QFV81" s="594"/>
      <c r="QFW81" s="594"/>
      <c r="QFX81" s="594"/>
      <c r="QFY81" s="594"/>
      <c r="QFZ81" s="594"/>
      <c r="QGA81" s="594"/>
      <c r="QGB81" s="594"/>
      <c r="QGC81" s="594"/>
      <c r="QGD81" s="594"/>
      <c r="QGE81" s="594"/>
      <c r="QGF81" s="594"/>
      <c r="QGG81" s="594"/>
      <c r="QGH81" s="594"/>
      <c r="QGI81" s="594"/>
      <c r="QGJ81" s="594"/>
      <c r="QGK81" s="594"/>
      <c r="QGL81" s="594"/>
      <c r="QGM81" s="594"/>
      <c r="QGN81" s="594"/>
      <c r="QGO81" s="594"/>
      <c r="QGP81" s="594"/>
      <c r="QGQ81" s="594"/>
      <c r="QGR81" s="594"/>
      <c r="QGS81" s="594"/>
      <c r="QGT81" s="594"/>
      <c r="QGU81" s="594"/>
      <c r="QGV81" s="594"/>
      <c r="QGW81" s="594"/>
      <c r="QGX81" s="594"/>
      <c r="QGY81" s="594"/>
      <c r="QGZ81" s="594"/>
      <c r="QHA81" s="594"/>
      <c r="QHB81" s="594"/>
      <c r="QHC81" s="594"/>
      <c r="QHD81" s="594"/>
      <c r="QHE81" s="594"/>
      <c r="QHF81" s="594"/>
      <c r="QHG81" s="594"/>
      <c r="QHH81" s="594"/>
      <c r="QHI81" s="594"/>
      <c r="QHJ81" s="594"/>
      <c r="QHK81" s="594"/>
      <c r="QHL81" s="594"/>
      <c r="QHM81" s="594"/>
      <c r="QHN81" s="594"/>
      <c r="QHO81" s="594"/>
      <c r="QHP81" s="594"/>
      <c r="QHQ81" s="594"/>
      <c r="QHR81" s="594"/>
      <c r="QHS81" s="594"/>
      <c r="QHT81" s="594"/>
      <c r="QHU81" s="594"/>
      <c r="QHV81" s="594"/>
      <c r="QHW81" s="594"/>
      <c r="QHX81" s="594"/>
      <c r="QHY81" s="594"/>
      <c r="QHZ81" s="594"/>
      <c r="QIA81" s="594"/>
      <c r="QIB81" s="594"/>
      <c r="QIC81" s="594"/>
      <c r="QID81" s="594"/>
      <c r="QIE81" s="594"/>
      <c r="QIF81" s="594"/>
      <c r="QIG81" s="594"/>
      <c r="QIH81" s="594"/>
      <c r="QII81" s="594"/>
      <c r="QIJ81" s="594"/>
      <c r="QIK81" s="594"/>
      <c r="QIL81" s="594"/>
      <c r="QIM81" s="594"/>
      <c r="QIN81" s="594"/>
      <c r="QIO81" s="594"/>
      <c r="QIP81" s="594"/>
      <c r="QIQ81" s="594"/>
      <c r="QIR81" s="594"/>
      <c r="QIS81" s="594"/>
      <c r="QIT81" s="594"/>
      <c r="QIU81" s="594"/>
      <c r="QIV81" s="594"/>
      <c r="QIW81" s="594"/>
      <c r="QIX81" s="594"/>
      <c r="QIY81" s="594"/>
      <c r="QIZ81" s="594"/>
      <c r="QJA81" s="594"/>
      <c r="QJB81" s="594"/>
      <c r="QJC81" s="594"/>
      <c r="QJD81" s="594"/>
      <c r="QJE81" s="594"/>
      <c r="QJF81" s="594"/>
      <c r="QJG81" s="594"/>
      <c r="QJH81" s="594"/>
      <c r="QJI81" s="594"/>
      <c r="QJJ81" s="594"/>
      <c r="QJK81" s="594"/>
      <c r="QJL81" s="594"/>
      <c r="QJM81" s="594"/>
      <c r="QJN81" s="594"/>
      <c r="QJO81" s="594"/>
      <c r="QJP81" s="594"/>
      <c r="QJQ81" s="594"/>
      <c r="QJR81" s="594"/>
      <c r="QJS81" s="594"/>
      <c r="QJT81" s="594"/>
      <c r="QJU81" s="594"/>
      <c r="QJV81" s="594"/>
      <c r="QJW81" s="594"/>
      <c r="QJX81" s="594"/>
      <c r="QJY81" s="594"/>
      <c r="QJZ81" s="594"/>
      <c r="QKA81" s="594"/>
      <c r="QKB81" s="594"/>
      <c r="QKC81" s="594"/>
      <c r="QKD81" s="594"/>
      <c r="QKE81" s="594"/>
      <c r="QKF81" s="594"/>
      <c r="QKG81" s="594"/>
      <c r="QKH81" s="594"/>
      <c r="QKI81" s="594"/>
      <c r="QKJ81" s="594"/>
      <c r="QKK81" s="594"/>
      <c r="QKL81" s="594"/>
      <c r="QKM81" s="594"/>
      <c r="QKN81" s="594"/>
      <c r="QKO81" s="594"/>
      <c r="QKP81" s="594"/>
      <c r="QKQ81" s="594"/>
      <c r="QKR81" s="594"/>
      <c r="QKS81" s="594"/>
      <c r="QKT81" s="594"/>
      <c r="QKU81" s="594"/>
      <c r="QKV81" s="594"/>
      <c r="QKW81" s="594"/>
      <c r="QKX81" s="594"/>
      <c r="QKY81" s="594"/>
      <c r="QKZ81" s="594"/>
      <c r="QLA81" s="594"/>
      <c r="QLB81" s="594"/>
      <c r="QLC81" s="594"/>
      <c r="QLD81" s="594"/>
      <c r="QLE81" s="594"/>
      <c r="QLF81" s="594"/>
      <c r="QLG81" s="594"/>
      <c r="QLH81" s="594"/>
      <c r="QLI81" s="594"/>
      <c r="QLJ81" s="594"/>
      <c r="QLK81" s="594"/>
      <c r="QLL81" s="594"/>
      <c r="QLM81" s="594"/>
      <c r="QLN81" s="594"/>
      <c r="QLO81" s="594"/>
      <c r="QLP81" s="594"/>
      <c r="QLQ81" s="594"/>
      <c r="QLR81" s="594"/>
      <c r="QLS81" s="594"/>
      <c r="QLT81" s="594"/>
      <c r="QLU81" s="594"/>
      <c r="QLV81" s="594"/>
      <c r="QLW81" s="594"/>
      <c r="QLX81" s="594"/>
      <c r="QLY81" s="594"/>
      <c r="QLZ81" s="594"/>
      <c r="QMA81" s="594"/>
      <c r="QMB81" s="594"/>
      <c r="QMC81" s="594"/>
      <c r="QMD81" s="594"/>
      <c r="QME81" s="594"/>
      <c r="QMF81" s="594"/>
      <c r="QMG81" s="594"/>
      <c r="QMH81" s="594"/>
      <c r="QMI81" s="594"/>
      <c r="QMJ81" s="594"/>
      <c r="QMK81" s="594"/>
      <c r="QML81" s="594"/>
      <c r="QMM81" s="594"/>
      <c r="QMN81" s="594"/>
      <c r="QMO81" s="594"/>
      <c r="QMP81" s="594"/>
      <c r="QMQ81" s="594"/>
      <c r="QMR81" s="594"/>
      <c r="QMS81" s="594"/>
      <c r="QMT81" s="594"/>
      <c r="QMU81" s="594"/>
      <c r="QMV81" s="594"/>
      <c r="QMW81" s="594"/>
      <c r="QMX81" s="594"/>
      <c r="QMY81" s="594"/>
      <c r="QMZ81" s="594"/>
      <c r="QNA81" s="594"/>
      <c r="QNB81" s="594"/>
      <c r="QNC81" s="594"/>
      <c r="QND81" s="594"/>
      <c r="QNE81" s="594"/>
      <c r="QNF81" s="594"/>
      <c r="QNG81" s="594"/>
      <c r="QNH81" s="594"/>
      <c r="QNI81" s="594"/>
      <c r="QNJ81" s="594"/>
      <c r="QNK81" s="594"/>
      <c r="QNL81" s="594"/>
      <c r="QNM81" s="594"/>
      <c r="QNN81" s="594"/>
      <c r="QNO81" s="594"/>
      <c r="QNP81" s="594"/>
      <c r="QNQ81" s="594"/>
      <c r="QNR81" s="594"/>
      <c r="QNS81" s="594"/>
      <c r="QNT81" s="594"/>
      <c r="QNU81" s="594"/>
      <c r="QNV81" s="594"/>
      <c r="QNW81" s="594"/>
      <c r="QNX81" s="594"/>
      <c r="QNY81" s="594"/>
      <c r="QNZ81" s="594"/>
      <c r="QOA81" s="594"/>
      <c r="QOB81" s="594"/>
      <c r="QOC81" s="594"/>
      <c r="QOD81" s="594"/>
      <c r="QOE81" s="594"/>
      <c r="QOF81" s="594"/>
      <c r="QOG81" s="594"/>
      <c r="QOH81" s="594"/>
      <c r="QOI81" s="594"/>
      <c r="QOJ81" s="594"/>
      <c r="QOK81" s="594"/>
      <c r="QOL81" s="594"/>
      <c r="QOM81" s="594"/>
      <c r="QON81" s="594"/>
      <c r="QOO81" s="594"/>
      <c r="QOP81" s="594"/>
      <c r="QOQ81" s="594"/>
      <c r="QOR81" s="594"/>
      <c r="QOS81" s="594"/>
      <c r="QOT81" s="594"/>
      <c r="QOU81" s="594"/>
      <c r="QOV81" s="594"/>
      <c r="QOW81" s="594"/>
      <c r="QOX81" s="594"/>
      <c r="QOY81" s="594"/>
      <c r="QOZ81" s="594"/>
      <c r="QPA81" s="594"/>
      <c r="QPB81" s="594"/>
      <c r="QPC81" s="594"/>
      <c r="QPD81" s="594"/>
      <c r="QPE81" s="594"/>
      <c r="QPF81" s="594"/>
      <c r="QPG81" s="594"/>
      <c r="QPH81" s="594"/>
      <c r="QPI81" s="594"/>
      <c r="QPJ81" s="594"/>
      <c r="QPK81" s="594"/>
      <c r="QPL81" s="594"/>
      <c r="QPM81" s="594"/>
      <c r="QPN81" s="594"/>
      <c r="QPO81" s="594"/>
      <c r="QPP81" s="594"/>
      <c r="QPQ81" s="594"/>
      <c r="QPR81" s="594"/>
      <c r="QPS81" s="594"/>
      <c r="QPT81" s="594"/>
      <c r="QPU81" s="594"/>
      <c r="QPV81" s="594"/>
      <c r="QPW81" s="594"/>
      <c r="QPX81" s="594"/>
      <c r="QPY81" s="594"/>
      <c r="QPZ81" s="594"/>
      <c r="QQA81" s="594"/>
      <c r="QQB81" s="594"/>
      <c r="QQC81" s="594"/>
      <c r="QQD81" s="594"/>
      <c r="QQE81" s="594"/>
      <c r="QQF81" s="594"/>
      <c r="QQG81" s="594"/>
      <c r="QQH81" s="594"/>
      <c r="QQI81" s="594"/>
      <c r="QQJ81" s="594"/>
      <c r="QQK81" s="594"/>
      <c r="QQL81" s="594"/>
      <c r="QQM81" s="594"/>
      <c r="QQN81" s="594"/>
      <c r="QQO81" s="594"/>
      <c r="QQP81" s="594"/>
      <c r="QQQ81" s="594"/>
      <c r="QQR81" s="594"/>
      <c r="QQS81" s="594"/>
      <c r="QQT81" s="594"/>
      <c r="QQU81" s="594"/>
      <c r="QQV81" s="594"/>
      <c r="QQW81" s="594"/>
      <c r="QQX81" s="594"/>
      <c r="QQY81" s="594"/>
      <c r="QQZ81" s="594"/>
      <c r="QRA81" s="594"/>
      <c r="QRB81" s="594"/>
      <c r="QRC81" s="594"/>
      <c r="QRD81" s="594"/>
      <c r="QRE81" s="594"/>
      <c r="QRF81" s="594"/>
      <c r="QRG81" s="594"/>
      <c r="QRH81" s="594"/>
      <c r="QRI81" s="594"/>
      <c r="QRJ81" s="594"/>
      <c r="QRK81" s="594"/>
      <c r="QRL81" s="594"/>
      <c r="QRM81" s="594"/>
      <c r="QRN81" s="594"/>
      <c r="QRO81" s="594"/>
      <c r="QRP81" s="594"/>
      <c r="QRQ81" s="594"/>
      <c r="QRR81" s="594"/>
      <c r="QRS81" s="594"/>
      <c r="QRT81" s="594"/>
      <c r="QRU81" s="594"/>
      <c r="QRV81" s="594"/>
      <c r="QRW81" s="594"/>
      <c r="QRX81" s="594"/>
      <c r="QRY81" s="594"/>
      <c r="QRZ81" s="594"/>
      <c r="QSA81" s="594"/>
      <c r="QSB81" s="594"/>
      <c r="QSC81" s="594"/>
      <c r="QSD81" s="594"/>
      <c r="QSE81" s="594"/>
      <c r="QSF81" s="594"/>
      <c r="QSG81" s="594"/>
      <c r="QSH81" s="594"/>
      <c r="QSI81" s="594"/>
      <c r="QSJ81" s="594"/>
      <c r="QSK81" s="594"/>
      <c r="QSL81" s="594"/>
      <c r="QSM81" s="594"/>
      <c r="QSN81" s="594"/>
      <c r="QSO81" s="594"/>
      <c r="QSP81" s="594"/>
      <c r="QSQ81" s="594"/>
      <c r="QSR81" s="594"/>
      <c r="QSS81" s="594"/>
      <c r="QST81" s="594"/>
      <c r="QSU81" s="594"/>
      <c r="QSV81" s="594"/>
      <c r="QSW81" s="594"/>
      <c r="QSX81" s="594"/>
      <c r="QSY81" s="594"/>
      <c r="QSZ81" s="594"/>
      <c r="QTA81" s="594"/>
      <c r="QTB81" s="594"/>
      <c r="QTC81" s="594"/>
      <c r="QTD81" s="594"/>
      <c r="QTE81" s="594"/>
      <c r="QTF81" s="594"/>
      <c r="QTG81" s="594"/>
      <c r="QTH81" s="594"/>
      <c r="QTI81" s="594"/>
      <c r="QTJ81" s="594"/>
      <c r="QTK81" s="594"/>
      <c r="QTL81" s="594"/>
      <c r="QTM81" s="594"/>
      <c r="QTN81" s="594"/>
      <c r="QTO81" s="594"/>
      <c r="QTP81" s="594"/>
      <c r="QTQ81" s="594"/>
      <c r="QTR81" s="594"/>
      <c r="QTS81" s="594"/>
      <c r="QTT81" s="594"/>
      <c r="QTU81" s="594"/>
      <c r="QTV81" s="594"/>
      <c r="QTW81" s="594"/>
      <c r="QTX81" s="594"/>
      <c r="QTY81" s="594"/>
      <c r="QTZ81" s="594"/>
      <c r="QUA81" s="594"/>
      <c r="QUB81" s="594"/>
      <c r="QUC81" s="594"/>
      <c r="QUD81" s="594"/>
      <c r="QUE81" s="594"/>
      <c r="QUF81" s="594"/>
      <c r="QUG81" s="594"/>
      <c r="QUH81" s="594"/>
      <c r="QUI81" s="594"/>
      <c r="QUJ81" s="594"/>
      <c r="QUK81" s="594"/>
      <c r="QUL81" s="594"/>
      <c r="QUM81" s="594"/>
      <c r="QUN81" s="594"/>
      <c r="QUO81" s="594"/>
      <c r="QUP81" s="594"/>
      <c r="QUQ81" s="594"/>
      <c r="QUR81" s="594"/>
      <c r="QUS81" s="594"/>
      <c r="QUT81" s="594"/>
      <c r="QUU81" s="594"/>
      <c r="QUV81" s="594"/>
      <c r="QUW81" s="594"/>
      <c r="QUX81" s="594"/>
      <c r="QUY81" s="594"/>
      <c r="QUZ81" s="594"/>
      <c r="QVA81" s="594"/>
      <c r="QVB81" s="594"/>
      <c r="QVC81" s="594"/>
      <c r="QVD81" s="594"/>
      <c r="QVE81" s="594"/>
      <c r="QVF81" s="594"/>
      <c r="QVG81" s="594"/>
      <c r="QVH81" s="594"/>
      <c r="QVI81" s="594"/>
      <c r="QVJ81" s="594"/>
      <c r="QVK81" s="594"/>
      <c r="QVL81" s="594"/>
      <c r="QVM81" s="594"/>
      <c r="QVN81" s="594"/>
      <c r="QVO81" s="594"/>
      <c r="QVP81" s="594"/>
      <c r="QVQ81" s="594"/>
      <c r="QVR81" s="594"/>
      <c r="QVS81" s="594"/>
      <c r="QVT81" s="594"/>
      <c r="QVU81" s="594"/>
      <c r="QVV81" s="594"/>
      <c r="QVW81" s="594"/>
      <c r="QVX81" s="594"/>
      <c r="QVY81" s="594"/>
      <c r="QVZ81" s="594"/>
      <c r="QWA81" s="594"/>
      <c r="QWB81" s="594"/>
      <c r="QWC81" s="594"/>
      <c r="QWD81" s="594"/>
      <c r="QWE81" s="594"/>
      <c r="QWF81" s="594"/>
      <c r="QWG81" s="594"/>
      <c r="QWH81" s="594"/>
      <c r="QWI81" s="594"/>
      <c r="QWJ81" s="594"/>
      <c r="QWK81" s="594"/>
      <c r="QWL81" s="594"/>
      <c r="QWM81" s="594"/>
      <c r="QWN81" s="594"/>
      <c r="QWO81" s="594"/>
      <c r="QWP81" s="594"/>
      <c r="QWQ81" s="594"/>
      <c r="QWR81" s="594"/>
      <c r="QWS81" s="594"/>
      <c r="QWT81" s="594"/>
      <c r="QWU81" s="594"/>
      <c r="QWV81" s="594"/>
      <c r="QWW81" s="594"/>
      <c r="QWX81" s="594"/>
      <c r="QWY81" s="594"/>
      <c r="QWZ81" s="594"/>
      <c r="QXA81" s="594"/>
      <c r="QXB81" s="594"/>
      <c r="QXC81" s="594"/>
      <c r="QXD81" s="594"/>
      <c r="QXE81" s="594"/>
      <c r="QXF81" s="594"/>
      <c r="QXG81" s="594"/>
      <c r="QXH81" s="594"/>
      <c r="QXI81" s="594"/>
      <c r="QXJ81" s="594"/>
      <c r="QXK81" s="594"/>
      <c r="QXL81" s="594"/>
      <c r="QXM81" s="594"/>
      <c r="QXN81" s="594"/>
      <c r="QXO81" s="594"/>
      <c r="QXP81" s="594"/>
      <c r="QXQ81" s="594"/>
      <c r="QXR81" s="594"/>
      <c r="QXS81" s="594"/>
      <c r="QXT81" s="594"/>
      <c r="QXU81" s="594"/>
      <c r="QXV81" s="594"/>
      <c r="QXW81" s="594"/>
      <c r="QXX81" s="594"/>
      <c r="QXY81" s="594"/>
      <c r="QXZ81" s="594"/>
      <c r="QYA81" s="594"/>
      <c r="QYB81" s="594"/>
      <c r="QYC81" s="594"/>
      <c r="QYD81" s="594"/>
      <c r="QYE81" s="594"/>
      <c r="QYF81" s="594"/>
      <c r="QYG81" s="594"/>
      <c r="QYH81" s="594"/>
      <c r="QYI81" s="594"/>
      <c r="QYJ81" s="594"/>
      <c r="QYK81" s="594"/>
      <c r="QYL81" s="594"/>
      <c r="QYM81" s="594"/>
      <c r="QYN81" s="594"/>
      <c r="QYO81" s="594"/>
      <c r="QYP81" s="594"/>
      <c r="QYQ81" s="594"/>
      <c r="QYR81" s="594"/>
      <c r="QYS81" s="594"/>
      <c r="QYT81" s="594"/>
      <c r="QYU81" s="594"/>
      <c r="QYV81" s="594"/>
      <c r="QYW81" s="594"/>
      <c r="QYX81" s="594"/>
      <c r="QYY81" s="594"/>
      <c r="QYZ81" s="594"/>
      <c r="QZA81" s="594"/>
      <c r="QZB81" s="594"/>
      <c r="QZC81" s="594"/>
      <c r="QZD81" s="594"/>
      <c r="QZE81" s="594"/>
      <c r="QZF81" s="594"/>
      <c r="QZG81" s="594"/>
      <c r="QZH81" s="594"/>
      <c r="QZI81" s="594"/>
      <c r="QZJ81" s="594"/>
      <c r="QZK81" s="594"/>
      <c r="QZL81" s="594"/>
      <c r="QZM81" s="594"/>
      <c r="QZN81" s="594"/>
      <c r="QZO81" s="594"/>
      <c r="QZP81" s="594"/>
      <c r="QZQ81" s="594"/>
      <c r="QZR81" s="594"/>
      <c r="QZS81" s="594"/>
      <c r="QZT81" s="594"/>
      <c r="QZU81" s="594"/>
      <c r="QZV81" s="594"/>
      <c r="QZW81" s="594"/>
      <c r="QZX81" s="594"/>
      <c r="QZY81" s="594"/>
      <c r="QZZ81" s="594"/>
      <c r="RAA81" s="594"/>
      <c r="RAB81" s="594"/>
      <c r="RAC81" s="594"/>
      <c r="RAD81" s="594"/>
      <c r="RAE81" s="594"/>
      <c r="RAF81" s="594"/>
      <c r="RAG81" s="594"/>
      <c r="RAH81" s="594"/>
      <c r="RAI81" s="594"/>
      <c r="RAJ81" s="594"/>
      <c r="RAK81" s="594"/>
      <c r="RAL81" s="594"/>
      <c r="RAM81" s="594"/>
      <c r="RAN81" s="594"/>
      <c r="RAO81" s="594"/>
      <c r="RAP81" s="594"/>
      <c r="RAQ81" s="594"/>
      <c r="RAR81" s="594"/>
      <c r="RAS81" s="594"/>
      <c r="RAT81" s="594"/>
      <c r="RAU81" s="594"/>
      <c r="RAV81" s="594"/>
      <c r="RAW81" s="594"/>
      <c r="RAX81" s="594"/>
      <c r="RAY81" s="594"/>
      <c r="RAZ81" s="594"/>
      <c r="RBA81" s="594"/>
      <c r="RBB81" s="594"/>
      <c r="RBC81" s="594"/>
      <c r="RBD81" s="594"/>
      <c r="RBE81" s="594"/>
      <c r="RBF81" s="594"/>
      <c r="RBG81" s="594"/>
      <c r="RBH81" s="594"/>
      <c r="RBI81" s="594"/>
      <c r="RBJ81" s="594"/>
      <c r="RBK81" s="594"/>
      <c r="RBL81" s="594"/>
      <c r="RBM81" s="594"/>
      <c r="RBN81" s="594"/>
      <c r="RBO81" s="594"/>
      <c r="RBP81" s="594"/>
      <c r="RBQ81" s="594"/>
      <c r="RBR81" s="594"/>
      <c r="RBS81" s="594"/>
      <c r="RBT81" s="594"/>
      <c r="RBU81" s="594"/>
      <c r="RBV81" s="594"/>
      <c r="RBW81" s="594"/>
      <c r="RBX81" s="594"/>
      <c r="RBY81" s="594"/>
      <c r="RBZ81" s="594"/>
      <c r="RCA81" s="594"/>
      <c r="RCB81" s="594"/>
      <c r="RCC81" s="594"/>
      <c r="RCD81" s="594"/>
      <c r="RCE81" s="594"/>
      <c r="RCF81" s="594"/>
      <c r="RCG81" s="594"/>
      <c r="RCH81" s="594"/>
      <c r="RCI81" s="594"/>
      <c r="RCJ81" s="594"/>
      <c r="RCK81" s="594"/>
      <c r="RCL81" s="594"/>
      <c r="RCM81" s="594"/>
      <c r="RCN81" s="594"/>
      <c r="RCO81" s="594"/>
      <c r="RCP81" s="594"/>
      <c r="RCQ81" s="594"/>
      <c r="RCR81" s="594"/>
      <c r="RCS81" s="594"/>
      <c r="RCT81" s="594"/>
      <c r="RCU81" s="594"/>
      <c r="RCV81" s="594"/>
      <c r="RCW81" s="594"/>
      <c r="RCX81" s="594"/>
      <c r="RCY81" s="594"/>
      <c r="RCZ81" s="594"/>
      <c r="RDA81" s="594"/>
      <c r="RDB81" s="594"/>
      <c r="RDC81" s="594"/>
      <c r="RDD81" s="594"/>
      <c r="RDE81" s="594"/>
      <c r="RDF81" s="594"/>
      <c r="RDG81" s="594"/>
      <c r="RDH81" s="594"/>
      <c r="RDI81" s="594"/>
      <c r="RDJ81" s="594"/>
      <c r="RDK81" s="594"/>
      <c r="RDL81" s="594"/>
      <c r="RDM81" s="594"/>
      <c r="RDN81" s="594"/>
      <c r="RDO81" s="594"/>
      <c r="RDP81" s="594"/>
      <c r="RDQ81" s="594"/>
      <c r="RDR81" s="594"/>
      <c r="RDS81" s="594"/>
      <c r="RDT81" s="594"/>
      <c r="RDU81" s="594"/>
      <c r="RDV81" s="594"/>
      <c r="RDW81" s="594"/>
      <c r="RDX81" s="594"/>
      <c r="RDY81" s="594"/>
      <c r="RDZ81" s="594"/>
      <c r="REA81" s="594"/>
      <c r="REB81" s="594"/>
      <c r="REC81" s="594"/>
      <c r="RED81" s="594"/>
      <c r="REE81" s="594"/>
      <c r="REF81" s="594"/>
      <c r="REG81" s="594"/>
      <c r="REH81" s="594"/>
      <c r="REI81" s="594"/>
      <c r="REJ81" s="594"/>
      <c r="REK81" s="594"/>
      <c r="REL81" s="594"/>
      <c r="REM81" s="594"/>
      <c r="REN81" s="594"/>
      <c r="REO81" s="594"/>
      <c r="REP81" s="594"/>
      <c r="REQ81" s="594"/>
      <c r="RER81" s="594"/>
      <c r="RES81" s="594"/>
      <c r="RET81" s="594"/>
      <c r="REU81" s="594"/>
      <c r="REV81" s="594"/>
      <c r="REW81" s="594"/>
      <c r="REX81" s="594"/>
      <c r="REY81" s="594"/>
      <c r="REZ81" s="594"/>
      <c r="RFA81" s="594"/>
      <c r="RFB81" s="594"/>
      <c r="RFC81" s="594"/>
      <c r="RFD81" s="594"/>
      <c r="RFE81" s="594"/>
      <c r="RFF81" s="594"/>
      <c r="RFG81" s="594"/>
      <c r="RFH81" s="594"/>
      <c r="RFI81" s="594"/>
      <c r="RFJ81" s="594"/>
      <c r="RFK81" s="594"/>
      <c r="RFL81" s="594"/>
      <c r="RFM81" s="594"/>
      <c r="RFN81" s="594"/>
      <c r="RFO81" s="594"/>
      <c r="RFP81" s="594"/>
      <c r="RFQ81" s="594"/>
      <c r="RFR81" s="594"/>
      <c r="RFS81" s="594"/>
      <c r="RFT81" s="594"/>
      <c r="RFU81" s="594"/>
      <c r="RFV81" s="594"/>
      <c r="RFW81" s="594"/>
      <c r="RFX81" s="594"/>
      <c r="RFY81" s="594"/>
      <c r="RFZ81" s="594"/>
      <c r="RGA81" s="594"/>
      <c r="RGB81" s="594"/>
      <c r="RGC81" s="594"/>
      <c r="RGD81" s="594"/>
      <c r="RGE81" s="594"/>
      <c r="RGF81" s="594"/>
      <c r="RGG81" s="594"/>
      <c r="RGH81" s="594"/>
      <c r="RGI81" s="594"/>
      <c r="RGJ81" s="594"/>
      <c r="RGK81" s="594"/>
      <c r="RGL81" s="594"/>
      <c r="RGM81" s="594"/>
      <c r="RGN81" s="594"/>
      <c r="RGO81" s="594"/>
      <c r="RGP81" s="594"/>
      <c r="RGQ81" s="594"/>
      <c r="RGR81" s="594"/>
      <c r="RGS81" s="594"/>
      <c r="RGT81" s="594"/>
      <c r="RGU81" s="594"/>
      <c r="RGV81" s="594"/>
      <c r="RGW81" s="594"/>
      <c r="RGX81" s="594"/>
      <c r="RGY81" s="594"/>
      <c r="RGZ81" s="594"/>
      <c r="RHA81" s="594"/>
      <c r="RHB81" s="594"/>
      <c r="RHC81" s="594"/>
      <c r="RHD81" s="594"/>
      <c r="RHE81" s="594"/>
      <c r="RHF81" s="594"/>
      <c r="RHG81" s="594"/>
      <c r="RHH81" s="594"/>
      <c r="RHI81" s="594"/>
      <c r="RHJ81" s="594"/>
      <c r="RHK81" s="594"/>
      <c r="RHL81" s="594"/>
      <c r="RHM81" s="594"/>
      <c r="RHN81" s="594"/>
      <c r="RHO81" s="594"/>
      <c r="RHP81" s="594"/>
      <c r="RHQ81" s="594"/>
      <c r="RHR81" s="594"/>
      <c r="RHS81" s="594"/>
      <c r="RHT81" s="594"/>
      <c r="RHU81" s="594"/>
      <c r="RHV81" s="594"/>
      <c r="RHW81" s="594"/>
      <c r="RHX81" s="594"/>
      <c r="RHY81" s="594"/>
      <c r="RHZ81" s="594"/>
      <c r="RIA81" s="594"/>
      <c r="RIB81" s="594"/>
      <c r="RIC81" s="594"/>
      <c r="RID81" s="594"/>
      <c r="RIE81" s="594"/>
      <c r="RIF81" s="594"/>
      <c r="RIG81" s="594"/>
      <c r="RIH81" s="594"/>
      <c r="RII81" s="594"/>
      <c r="RIJ81" s="594"/>
      <c r="RIK81" s="594"/>
      <c r="RIL81" s="594"/>
      <c r="RIM81" s="594"/>
      <c r="RIN81" s="594"/>
      <c r="RIO81" s="594"/>
      <c r="RIP81" s="594"/>
      <c r="RIQ81" s="594"/>
      <c r="RIR81" s="594"/>
      <c r="RIS81" s="594"/>
      <c r="RIT81" s="594"/>
      <c r="RIU81" s="594"/>
      <c r="RIV81" s="594"/>
      <c r="RIW81" s="594"/>
      <c r="RIX81" s="594"/>
      <c r="RIY81" s="594"/>
      <c r="RIZ81" s="594"/>
      <c r="RJA81" s="594"/>
      <c r="RJB81" s="594"/>
      <c r="RJC81" s="594"/>
      <c r="RJD81" s="594"/>
      <c r="RJE81" s="594"/>
      <c r="RJF81" s="594"/>
      <c r="RJG81" s="594"/>
      <c r="RJH81" s="594"/>
      <c r="RJI81" s="594"/>
      <c r="RJJ81" s="594"/>
      <c r="RJK81" s="594"/>
      <c r="RJL81" s="594"/>
      <c r="RJM81" s="594"/>
      <c r="RJN81" s="594"/>
      <c r="RJO81" s="594"/>
      <c r="RJP81" s="594"/>
      <c r="RJQ81" s="594"/>
      <c r="RJR81" s="594"/>
      <c r="RJS81" s="594"/>
      <c r="RJT81" s="594"/>
      <c r="RJU81" s="594"/>
      <c r="RJV81" s="594"/>
      <c r="RJW81" s="594"/>
      <c r="RJX81" s="594"/>
      <c r="RJY81" s="594"/>
      <c r="RJZ81" s="594"/>
      <c r="RKA81" s="594"/>
      <c r="RKB81" s="594"/>
      <c r="RKC81" s="594"/>
      <c r="RKD81" s="594"/>
      <c r="RKE81" s="594"/>
      <c r="RKF81" s="594"/>
      <c r="RKG81" s="594"/>
      <c r="RKH81" s="594"/>
      <c r="RKI81" s="594"/>
      <c r="RKJ81" s="594"/>
      <c r="RKK81" s="594"/>
      <c r="RKL81" s="594"/>
      <c r="RKM81" s="594"/>
      <c r="RKN81" s="594"/>
      <c r="RKO81" s="594"/>
      <c r="RKP81" s="594"/>
      <c r="RKQ81" s="594"/>
      <c r="RKR81" s="594"/>
      <c r="RKS81" s="594"/>
      <c r="RKT81" s="594"/>
      <c r="RKU81" s="594"/>
      <c r="RKV81" s="594"/>
      <c r="RKW81" s="594"/>
      <c r="RKX81" s="594"/>
      <c r="RKY81" s="594"/>
      <c r="RKZ81" s="594"/>
      <c r="RLA81" s="594"/>
      <c r="RLB81" s="594"/>
      <c r="RLC81" s="594"/>
      <c r="RLD81" s="594"/>
      <c r="RLE81" s="594"/>
      <c r="RLF81" s="594"/>
      <c r="RLG81" s="594"/>
      <c r="RLH81" s="594"/>
      <c r="RLI81" s="594"/>
      <c r="RLJ81" s="594"/>
      <c r="RLK81" s="594"/>
      <c r="RLL81" s="594"/>
      <c r="RLM81" s="594"/>
      <c r="RLN81" s="594"/>
      <c r="RLO81" s="594"/>
      <c r="RLP81" s="594"/>
      <c r="RLQ81" s="594"/>
      <c r="RLR81" s="594"/>
      <c r="RLS81" s="594"/>
      <c r="RLT81" s="594"/>
      <c r="RLU81" s="594"/>
      <c r="RLV81" s="594"/>
      <c r="RLW81" s="594"/>
      <c r="RLX81" s="594"/>
      <c r="RLY81" s="594"/>
      <c r="RLZ81" s="594"/>
      <c r="RMA81" s="594"/>
      <c r="RMB81" s="594"/>
      <c r="RMC81" s="594"/>
      <c r="RMD81" s="594"/>
      <c r="RME81" s="594"/>
      <c r="RMF81" s="594"/>
      <c r="RMG81" s="594"/>
      <c r="RMH81" s="594"/>
      <c r="RMI81" s="594"/>
      <c r="RMJ81" s="594"/>
      <c r="RMK81" s="594"/>
      <c r="RML81" s="594"/>
      <c r="RMM81" s="594"/>
      <c r="RMN81" s="594"/>
      <c r="RMO81" s="594"/>
      <c r="RMP81" s="594"/>
      <c r="RMQ81" s="594"/>
      <c r="RMR81" s="594"/>
      <c r="RMS81" s="594"/>
      <c r="RMT81" s="594"/>
      <c r="RMU81" s="594"/>
      <c r="RMV81" s="594"/>
      <c r="RMW81" s="594"/>
      <c r="RMX81" s="594"/>
      <c r="RMY81" s="594"/>
      <c r="RMZ81" s="594"/>
      <c r="RNA81" s="594"/>
      <c r="RNB81" s="594"/>
      <c r="RNC81" s="594"/>
      <c r="RND81" s="594"/>
      <c r="RNE81" s="594"/>
      <c r="RNF81" s="594"/>
      <c r="RNG81" s="594"/>
      <c r="RNH81" s="594"/>
      <c r="RNI81" s="594"/>
      <c r="RNJ81" s="594"/>
      <c r="RNK81" s="594"/>
      <c r="RNL81" s="594"/>
      <c r="RNM81" s="594"/>
      <c r="RNN81" s="594"/>
      <c r="RNO81" s="594"/>
      <c r="RNP81" s="594"/>
      <c r="RNQ81" s="594"/>
      <c r="RNR81" s="594"/>
      <c r="RNS81" s="594"/>
      <c r="RNT81" s="594"/>
      <c r="RNU81" s="594"/>
      <c r="RNV81" s="594"/>
      <c r="RNW81" s="594"/>
      <c r="RNX81" s="594"/>
      <c r="RNY81" s="594"/>
      <c r="RNZ81" s="594"/>
      <c r="ROA81" s="594"/>
      <c r="ROB81" s="594"/>
      <c r="ROC81" s="594"/>
      <c r="ROD81" s="594"/>
      <c r="ROE81" s="594"/>
      <c r="ROF81" s="594"/>
      <c r="ROG81" s="594"/>
      <c r="ROH81" s="594"/>
      <c r="ROI81" s="594"/>
      <c r="ROJ81" s="594"/>
      <c r="ROK81" s="594"/>
      <c r="ROL81" s="594"/>
      <c r="ROM81" s="594"/>
      <c r="RON81" s="594"/>
      <c r="ROO81" s="594"/>
      <c r="ROP81" s="594"/>
      <c r="ROQ81" s="594"/>
      <c r="ROR81" s="594"/>
      <c r="ROS81" s="594"/>
      <c r="ROT81" s="594"/>
      <c r="ROU81" s="594"/>
      <c r="ROV81" s="594"/>
      <c r="ROW81" s="594"/>
      <c r="ROX81" s="594"/>
      <c r="ROY81" s="594"/>
      <c r="ROZ81" s="594"/>
      <c r="RPA81" s="594"/>
      <c r="RPB81" s="594"/>
      <c r="RPC81" s="594"/>
      <c r="RPD81" s="594"/>
      <c r="RPE81" s="594"/>
      <c r="RPF81" s="594"/>
      <c r="RPG81" s="594"/>
      <c r="RPH81" s="594"/>
      <c r="RPI81" s="594"/>
      <c r="RPJ81" s="594"/>
      <c r="RPK81" s="594"/>
      <c r="RPL81" s="594"/>
      <c r="RPM81" s="594"/>
      <c r="RPN81" s="594"/>
      <c r="RPO81" s="594"/>
      <c r="RPP81" s="594"/>
      <c r="RPQ81" s="594"/>
      <c r="RPR81" s="594"/>
      <c r="RPS81" s="594"/>
      <c r="RPT81" s="594"/>
      <c r="RPU81" s="594"/>
      <c r="RPV81" s="594"/>
      <c r="RPW81" s="594"/>
      <c r="RPX81" s="594"/>
      <c r="RPY81" s="594"/>
      <c r="RPZ81" s="594"/>
      <c r="RQA81" s="594"/>
      <c r="RQB81" s="594"/>
      <c r="RQC81" s="594"/>
      <c r="RQD81" s="594"/>
      <c r="RQE81" s="594"/>
      <c r="RQF81" s="594"/>
      <c r="RQG81" s="594"/>
      <c r="RQH81" s="594"/>
      <c r="RQI81" s="594"/>
      <c r="RQJ81" s="594"/>
      <c r="RQK81" s="594"/>
      <c r="RQL81" s="594"/>
      <c r="RQM81" s="594"/>
      <c r="RQN81" s="594"/>
      <c r="RQO81" s="594"/>
      <c r="RQP81" s="594"/>
      <c r="RQQ81" s="594"/>
      <c r="RQR81" s="594"/>
      <c r="RQS81" s="594"/>
      <c r="RQT81" s="594"/>
      <c r="RQU81" s="594"/>
      <c r="RQV81" s="594"/>
      <c r="RQW81" s="594"/>
      <c r="RQX81" s="594"/>
      <c r="RQY81" s="594"/>
      <c r="RQZ81" s="594"/>
      <c r="RRA81" s="594"/>
      <c r="RRB81" s="594"/>
      <c r="RRC81" s="594"/>
      <c r="RRD81" s="594"/>
      <c r="RRE81" s="594"/>
      <c r="RRF81" s="594"/>
      <c r="RRG81" s="594"/>
      <c r="RRH81" s="594"/>
      <c r="RRI81" s="594"/>
      <c r="RRJ81" s="594"/>
      <c r="RRK81" s="594"/>
      <c r="RRL81" s="594"/>
      <c r="RRM81" s="594"/>
      <c r="RRN81" s="594"/>
      <c r="RRO81" s="594"/>
      <c r="RRP81" s="594"/>
      <c r="RRQ81" s="594"/>
      <c r="RRR81" s="594"/>
      <c r="RRS81" s="594"/>
      <c r="RRT81" s="594"/>
      <c r="RRU81" s="594"/>
      <c r="RRV81" s="594"/>
      <c r="RRW81" s="594"/>
      <c r="RRX81" s="594"/>
      <c r="RRY81" s="594"/>
      <c r="RRZ81" s="594"/>
      <c r="RSA81" s="594"/>
      <c r="RSB81" s="594"/>
      <c r="RSC81" s="594"/>
      <c r="RSD81" s="594"/>
      <c r="RSE81" s="594"/>
      <c r="RSF81" s="594"/>
      <c r="RSG81" s="594"/>
      <c r="RSH81" s="594"/>
      <c r="RSI81" s="594"/>
      <c r="RSJ81" s="594"/>
      <c r="RSK81" s="594"/>
      <c r="RSL81" s="594"/>
      <c r="RSM81" s="594"/>
      <c r="RSN81" s="594"/>
      <c r="RSO81" s="594"/>
      <c r="RSP81" s="594"/>
      <c r="RSQ81" s="594"/>
      <c r="RSR81" s="594"/>
      <c r="RSS81" s="594"/>
      <c r="RST81" s="594"/>
      <c r="RSU81" s="594"/>
      <c r="RSV81" s="594"/>
      <c r="RSW81" s="594"/>
      <c r="RSX81" s="594"/>
      <c r="RSY81" s="594"/>
      <c r="RSZ81" s="594"/>
      <c r="RTA81" s="594"/>
      <c r="RTB81" s="594"/>
      <c r="RTC81" s="594"/>
      <c r="RTD81" s="594"/>
      <c r="RTE81" s="594"/>
      <c r="RTF81" s="594"/>
      <c r="RTG81" s="594"/>
      <c r="RTH81" s="594"/>
      <c r="RTI81" s="594"/>
      <c r="RTJ81" s="594"/>
      <c r="RTK81" s="594"/>
      <c r="RTL81" s="594"/>
      <c r="RTM81" s="594"/>
      <c r="RTN81" s="594"/>
      <c r="RTO81" s="594"/>
      <c r="RTP81" s="594"/>
      <c r="RTQ81" s="594"/>
      <c r="RTR81" s="594"/>
      <c r="RTS81" s="594"/>
      <c r="RTT81" s="594"/>
      <c r="RTU81" s="594"/>
      <c r="RTV81" s="594"/>
      <c r="RTW81" s="594"/>
      <c r="RTX81" s="594"/>
      <c r="RTY81" s="594"/>
      <c r="RTZ81" s="594"/>
      <c r="RUA81" s="594"/>
      <c r="RUB81" s="594"/>
      <c r="RUC81" s="594"/>
      <c r="RUD81" s="594"/>
      <c r="RUE81" s="594"/>
      <c r="RUF81" s="594"/>
      <c r="RUG81" s="594"/>
      <c r="RUH81" s="594"/>
      <c r="RUI81" s="594"/>
      <c r="RUJ81" s="594"/>
      <c r="RUK81" s="594"/>
      <c r="RUL81" s="594"/>
      <c r="RUM81" s="594"/>
      <c r="RUN81" s="594"/>
      <c r="RUO81" s="594"/>
      <c r="RUP81" s="594"/>
      <c r="RUQ81" s="594"/>
      <c r="RUR81" s="594"/>
      <c r="RUS81" s="594"/>
      <c r="RUT81" s="594"/>
      <c r="RUU81" s="594"/>
      <c r="RUV81" s="594"/>
      <c r="RUW81" s="594"/>
      <c r="RUX81" s="594"/>
      <c r="RUY81" s="594"/>
      <c r="RUZ81" s="594"/>
      <c r="RVA81" s="594"/>
      <c r="RVB81" s="594"/>
      <c r="RVC81" s="594"/>
      <c r="RVD81" s="594"/>
      <c r="RVE81" s="594"/>
      <c r="RVF81" s="594"/>
      <c r="RVG81" s="594"/>
      <c r="RVH81" s="594"/>
      <c r="RVI81" s="594"/>
      <c r="RVJ81" s="594"/>
      <c r="RVK81" s="594"/>
      <c r="RVL81" s="594"/>
      <c r="RVM81" s="594"/>
      <c r="RVN81" s="594"/>
      <c r="RVO81" s="594"/>
      <c r="RVP81" s="594"/>
      <c r="RVQ81" s="594"/>
      <c r="RVR81" s="594"/>
      <c r="RVS81" s="594"/>
      <c r="RVT81" s="594"/>
      <c r="RVU81" s="594"/>
      <c r="RVV81" s="594"/>
      <c r="RVW81" s="594"/>
      <c r="RVX81" s="594"/>
      <c r="RVY81" s="594"/>
      <c r="RVZ81" s="594"/>
      <c r="RWA81" s="594"/>
      <c r="RWB81" s="594"/>
      <c r="RWC81" s="594"/>
      <c r="RWD81" s="594"/>
      <c r="RWE81" s="594"/>
      <c r="RWF81" s="594"/>
      <c r="RWG81" s="594"/>
      <c r="RWH81" s="594"/>
      <c r="RWI81" s="594"/>
      <c r="RWJ81" s="594"/>
      <c r="RWK81" s="594"/>
      <c r="RWL81" s="594"/>
      <c r="RWM81" s="594"/>
      <c r="RWN81" s="594"/>
      <c r="RWO81" s="594"/>
      <c r="RWP81" s="594"/>
      <c r="RWQ81" s="594"/>
      <c r="RWR81" s="594"/>
      <c r="RWS81" s="594"/>
      <c r="RWT81" s="594"/>
      <c r="RWU81" s="594"/>
      <c r="RWV81" s="594"/>
      <c r="RWW81" s="594"/>
      <c r="RWX81" s="594"/>
      <c r="RWY81" s="594"/>
      <c r="RWZ81" s="594"/>
      <c r="RXA81" s="594"/>
      <c r="RXB81" s="594"/>
      <c r="RXC81" s="594"/>
      <c r="RXD81" s="594"/>
      <c r="RXE81" s="594"/>
      <c r="RXF81" s="594"/>
      <c r="RXG81" s="594"/>
      <c r="RXH81" s="594"/>
      <c r="RXI81" s="594"/>
      <c r="RXJ81" s="594"/>
      <c r="RXK81" s="594"/>
      <c r="RXL81" s="594"/>
      <c r="RXM81" s="594"/>
      <c r="RXN81" s="594"/>
      <c r="RXO81" s="594"/>
      <c r="RXP81" s="594"/>
      <c r="RXQ81" s="594"/>
      <c r="RXR81" s="594"/>
      <c r="RXS81" s="594"/>
      <c r="RXT81" s="594"/>
      <c r="RXU81" s="594"/>
      <c r="RXV81" s="594"/>
      <c r="RXW81" s="594"/>
      <c r="RXX81" s="594"/>
      <c r="RXY81" s="594"/>
      <c r="RXZ81" s="594"/>
      <c r="RYA81" s="594"/>
      <c r="RYB81" s="594"/>
      <c r="RYC81" s="594"/>
      <c r="RYD81" s="594"/>
      <c r="RYE81" s="594"/>
      <c r="RYF81" s="594"/>
      <c r="RYG81" s="594"/>
      <c r="RYH81" s="594"/>
      <c r="RYI81" s="594"/>
      <c r="RYJ81" s="594"/>
      <c r="RYK81" s="594"/>
      <c r="RYL81" s="594"/>
      <c r="RYM81" s="594"/>
      <c r="RYN81" s="594"/>
      <c r="RYO81" s="594"/>
      <c r="RYP81" s="594"/>
      <c r="RYQ81" s="594"/>
      <c r="RYR81" s="594"/>
      <c r="RYS81" s="594"/>
      <c r="RYT81" s="594"/>
      <c r="RYU81" s="594"/>
      <c r="RYV81" s="594"/>
      <c r="RYW81" s="594"/>
      <c r="RYX81" s="594"/>
      <c r="RYY81" s="594"/>
      <c r="RYZ81" s="594"/>
      <c r="RZA81" s="594"/>
      <c r="RZB81" s="594"/>
      <c r="RZC81" s="594"/>
      <c r="RZD81" s="594"/>
      <c r="RZE81" s="594"/>
      <c r="RZF81" s="594"/>
      <c r="RZG81" s="594"/>
      <c r="RZH81" s="594"/>
      <c r="RZI81" s="594"/>
      <c r="RZJ81" s="594"/>
      <c r="RZK81" s="594"/>
      <c r="RZL81" s="594"/>
      <c r="RZM81" s="594"/>
      <c r="RZN81" s="594"/>
      <c r="RZO81" s="594"/>
      <c r="RZP81" s="594"/>
      <c r="RZQ81" s="594"/>
      <c r="RZR81" s="594"/>
      <c r="RZS81" s="594"/>
      <c r="RZT81" s="594"/>
      <c r="RZU81" s="594"/>
      <c r="RZV81" s="594"/>
      <c r="RZW81" s="594"/>
      <c r="RZX81" s="594"/>
      <c r="RZY81" s="594"/>
      <c r="RZZ81" s="594"/>
      <c r="SAA81" s="594"/>
      <c r="SAB81" s="594"/>
      <c r="SAC81" s="594"/>
      <c r="SAD81" s="594"/>
      <c r="SAE81" s="594"/>
      <c r="SAF81" s="594"/>
      <c r="SAG81" s="594"/>
      <c r="SAH81" s="594"/>
      <c r="SAI81" s="594"/>
      <c r="SAJ81" s="594"/>
      <c r="SAK81" s="594"/>
      <c r="SAL81" s="594"/>
      <c r="SAM81" s="594"/>
      <c r="SAN81" s="594"/>
      <c r="SAO81" s="594"/>
      <c r="SAP81" s="594"/>
      <c r="SAQ81" s="594"/>
      <c r="SAR81" s="594"/>
      <c r="SAS81" s="594"/>
      <c r="SAT81" s="594"/>
      <c r="SAU81" s="594"/>
      <c r="SAV81" s="594"/>
      <c r="SAW81" s="594"/>
      <c r="SAX81" s="594"/>
      <c r="SAY81" s="594"/>
      <c r="SAZ81" s="594"/>
      <c r="SBA81" s="594"/>
      <c r="SBB81" s="594"/>
      <c r="SBC81" s="594"/>
      <c r="SBD81" s="594"/>
      <c r="SBE81" s="594"/>
      <c r="SBF81" s="594"/>
      <c r="SBG81" s="594"/>
      <c r="SBH81" s="594"/>
      <c r="SBI81" s="594"/>
      <c r="SBJ81" s="594"/>
      <c r="SBK81" s="594"/>
      <c r="SBL81" s="594"/>
      <c r="SBM81" s="594"/>
      <c r="SBN81" s="594"/>
      <c r="SBO81" s="594"/>
      <c r="SBP81" s="594"/>
      <c r="SBQ81" s="594"/>
      <c r="SBR81" s="594"/>
      <c r="SBS81" s="594"/>
      <c r="SBT81" s="594"/>
      <c r="SBU81" s="594"/>
      <c r="SBV81" s="594"/>
      <c r="SBW81" s="594"/>
      <c r="SBX81" s="594"/>
      <c r="SBY81" s="594"/>
      <c r="SBZ81" s="594"/>
      <c r="SCA81" s="594"/>
      <c r="SCB81" s="594"/>
      <c r="SCC81" s="594"/>
      <c r="SCD81" s="594"/>
      <c r="SCE81" s="594"/>
      <c r="SCF81" s="594"/>
      <c r="SCG81" s="594"/>
      <c r="SCH81" s="594"/>
      <c r="SCI81" s="594"/>
      <c r="SCJ81" s="594"/>
      <c r="SCK81" s="594"/>
      <c r="SCL81" s="594"/>
      <c r="SCM81" s="594"/>
      <c r="SCN81" s="594"/>
      <c r="SCO81" s="594"/>
      <c r="SCP81" s="594"/>
      <c r="SCQ81" s="594"/>
      <c r="SCR81" s="594"/>
      <c r="SCS81" s="594"/>
      <c r="SCT81" s="594"/>
      <c r="SCU81" s="594"/>
      <c r="SCV81" s="594"/>
      <c r="SCW81" s="594"/>
      <c r="SCX81" s="594"/>
      <c r="SCY81" s="594"/>
      <c r="SCZ81" s="594"/>
      <c r="SDA81" s="594"/>
      <c r="SDB81" s="594"/>
      <c r="SDC81" s="594"/>
      <c r="SDD81" s="594"/>
      <c r="SDE81" s="594"/>
      <c r="SDF81" s="594"/>
      <c r="SDG81" s="594"/>
      <c r="SDH81" s="594"/>
      <c r="SDI81" s="594"/>
      <c r="SDJ81" s="594"/>
      <c r="SDK81" s="594"/>
      <c r="SDL81" s="594"/>
      <c r="SDM81" s="594"/>
      <c r="SDN81" s="594"/>
      <c r="SDO81" s="594"/>
      <c r="SDP81" s="594"/>
      <c r="SDQ81" s="594"/>
      <c r="SDR81" s="594"/>
      <c r="SDS81" s="594"/>
      <c r="SDT81" s="594"/>
      <c r="SDU81" s="594"/>
      <c r="SDV81" s="594"/>
      <c r="SDW81" s="594"/>
      <c r="SDX81" s="594"/>
      <c r="SDY81" s="594"/>
      <c r="SDZ81" s="594"/>
      <c r="SEA81" s="594"/>
      <c r="SEB81" s="594"/>
      <c r="SEC81" s="594"/>
      <c r="SED81" s="594"/>
      <c r="SEE81" s="594"/>
      <c r="SEF81" s="594"/>
      <c r="SEG81" s="594"/>
      <c r="SEH81" s="594"/>
      <c r="SEI81" s="594"/>
      <c r="SEJ81" s="594"/>
      <c r="SEK81" s="594"/>
      <c r="SEL81" s="594"/>
      <c r="SEM81" s="594"/>
      <c r="SEN81" s="594"/>
      <c r="SEO81" s="594"/>
      <c r="SEP81" s="594"/>
      <c r="SEQ81" s="594"/>
      <c r="SER81" s="594"/>
      <c r="SES81" s="594"/>
      <c r="SET81" s="594"/>
      <c r="SEU81" s="594"/>
      <c r="SEV81" s="594"/>
      <c r="SEW81" s="594"/>
      <c r="SEX81" s="594"/>
      <c r="SEY81" s="594"/>
      <c r="SEZ81" s="594"/>
      <c r="SFA81" s="594"/>
      <c r="SFB81" s="594"/>
      <c r="SFC81" s="594"/>
      <c r="SFD81" s="594"/>
      <c r="SFE81" s="594"/>
      <c r="SFF81" s="594"/>
      <c r="SFG81" s="594"/>
      <c r="SFH81" s="594"/>
      <c r="SFI81" s="594"/>
      <c r="SFJ81" s="594"/>
      <c r="SFK81" s="594"/>
      <c r="SFL81" s="594"/>
      <c r="SFM81" s="594"/>
      <c r="SFN81" s="594"/>
      <c r="SFO81" s="594"/>
      <c r="SFP81" s="594"/>
      <c r="SFQ81" s="594"/>
      <c r="SFR81" s="594"/>
      <c r="SFS81" s="594"/>
      <c r="SFT81" s="594"/>
      <c r="SFU81" s="594"/>
      <c r="SFV81" s="594"/>
      <c r="SFW81" s="594"/>
      <c r="SFX81" s="594"/>
      <c r="SFY81" s="594"/>
      <c r="SFZ81" s="594"/>
      <c r="SGA81" s="594"/>
      <c r="SGB81" s="594"/>
      <c r="SGC81" s="594"/>
      <c r="SGD81" s="594"/>
      <c r="SGE81" s="594"/>
      <c r="SGF81" s="594"/>
      <c r="SGG81" s="594"/>
      <c r="SGH81" s="594"/>
      <c r="SGI81" s="594"/>
      <c r="SGJ81" s="594"/>
      <c r="SGK81" s="594"/>
      <c r="SGL81" s="594"/>
      <c r="SGM81" s="594"/>
      <c r="SGN81" s="594"/>
      <c r="SGO81" s="594"/>
      <c r="SGP81" s="594"/>
      <c r="SGQ81" s="594"/>
      <c r="SGR81" s="594"/>
      <c r="SGS81" s="594"/>
      <c r="SGT81" s="594"/>
      <c r="SGU81" s="594"/>
      <c r="SGV81" s="594"/>
      <c r="SGW81" s="594"/>
      <c r="SGX81" s="594"/>
      <c r="SGY81" s="594"/>
      <c r="SGZ81" s="594"/>
      <c r="SHA81" s="594"/>
      <c r="SHB81" s="594"/>
      <c r="SHC81" s="594"/>
      <c r="SHD81" s="594"/>
      <c r="SHE81" s="594"/>
      <c r="SHF81" s="594"/>
      <c r="SHG81" s="594"/>
      <c r="SHH81" s="594"/>
      <c r="SHI81" s="594"/>
      <c r="SHJ81" s="594"/>
      <c r="SHK81" s="594"/>
      <c r="SHL81" s="594"/>
      <c r="SHM81" s="594"/>
      <c r="SHN81" s="594"/>
      <c r="SHO81" s="594"/>
      <c r="SHP81" s="594"/>
      <c r="SHQ81" s="594"/>
      <c r="SHR81" s="594"/>
      <c r="SHS81" s="594"/>
      <c r="SHT81" s="594"/>
      <c r="SHU81" s="594"/>
      <c r="SHV81" s="594"/>
      <c r="SHW81" s="594"/>
      <c r="SHX81" s="594"/>
      <c r="SHY81" s="594"/>
      <c r="SHZ81" s="594"/>
      <c r="SIA81" s="594"/>
      <c r="SIB81" s="594"/>
      <c r="SIC81" s="594"/>
      <c r="SID81" s="594"/>
      <c r="SIE81" s="594"/>
      <c r="SIF81" s="594"/>
      <c r="SIG81" s="594"/>
      <c r="SIH81" s="594"/>
      <c r="SII81" s="594"/>
      <c r="SIJ81" s="594"/>
      <c r="SIK81" s="594"/>
      <c r="SIL81" s="594"/>
      <c r="SIM81" s="594"/>
      <c r="SIN81" s="594"/>
      <c r="SIO81" s="594"/>
      <c r="SIP81" s="594"/>
      <c r="SIQ81" s="594"/>
      <c r="SIR81" s="594"/>
      <c r="SIS81" s="594"/>
      <c r="SIT81" s="594"/>
      <c r="SIU81" s="594"/>
      <c r="SIV81" s="594"/>
      <c r="SIW81" s="594"/>
      <c r="SIX81" s="594"/>
      <c r="SIY81" s="594"/>
      <c r="SIZ81" s="594"/>
      <c r="SJA81" s="594"/>
      <c r="SJB81" s="594"/>
      <c r="SJC81" s="594"/>
      <c r="SJD81" s="594"/>
      <c r="SJE81" s="594"/>
      <c r="SJF81" s="594"/>
      <c r="SJG81" s="594"/>
      <c r="SJH81" s="594"/>
      <c r="SJI81" s="594"/>
      <c r="SJJ81" s="594"/>
      <c r="SJK81" s="594"/>
      <c r="SJL81" s="594"/>
      <c r="SJM81" s="594"/>
      <c r="SJN81" s="594"/>
      <c r="SJO81" s="594"/>
      <c r="SJP81" s="594"/>
      <c r="SJQ81" s="594"/>
      <c r="SJR81" s="594"/>
      <c r="SJS81" s="594"/>
      <c r="SJT81" s="594"/>
      <c r="SJU81" s="594"/>
      <c r="SJV81" s="594"/>
      <c r="SJW81" s="594"/>
      <c r="SJX81" s="594"/>
      <c r="SJY81" s="594"/>
      <c r="SJZ81" s="594"/>
      <c r="SKA81" s="594"/>
      <c r="SKB81" s="594"/>
      <c r="SKC81" s="594"/>
      <c r="SKD81" s="594"/>
      <c r="SKE81" s="594"/>
      <c r="SKF81" s="594"/>
      <c r="SKG81" s="594"/>
      <c r="SKH81" s="594"/>
      <c r="SKI81" s="594"/>
      <c r="SKJ81" s="594"/>
      <c r="SKK81" s="594"/>
      <c r="SKL81" s="594"/>
      <c r="SKM81" s="594"/>
      <c r="SKN81" s="594"/>
      <c r="SKO81" s="594"/>
      <c r="SKP81" s="594"/>
      <c r="SKQ81" s="594"/>
      <c r="SKR81" s="594"/>
      <c r="SKS81" s="594"/>
      <c r="SKT81" s="594"/>
      <c r="SKU81" s="594"/>
      <c r="SKV81" s="594"/>
      <c r="SKW81" s="594"/>
      <c r="SKX81" s="594"/>
      <c r="SKY81" s="594"/>
      <c r="SKZ81" s="594"/>
      <c r="SLA81" s="594"/>
      <c r="SLB81" s="594"/>
      <c r="SLC81" s="594"/>
      <c r="SLD81" s="594"/>
      <c r="SLE81" s="594"/>
      <c r="SLF81" s="594"/>
      <c r="SLG81" s="594"/>
      <c r="SLH81" s="594"/>
      <c r="SLI81" s="594"/>
      <c r="SLJ81" s="594"/>
      <c r="SLK81" s="594"/>
      <c r="SLL81" s="594"/>
      <c r="SLM81" s="594"/>
      <c r="SLN81" s="594"/>
      <c r="SLO81" s="594"/>
      <c r="SLP81" s="594"/>
      <c r="SLQ81" s="594"/>
      <c r="SLR81" s="594"/>
      <c r="SLS81" s="594"/>
      <c r="SLT81" s="594"/>
      <c r="SLU81" s="594"/>
      <c r="SLV81" s="594"/>
      <c r="SLW81" s="594"/>
      <c r="SLX81" s="594"/>
      <c r="SLY81" s="594"/>
      <c r="SLZ81" s="594"/>
      <c r="SMA81" s="594"/>
      <c r="SMB81" s="594"/>
      <c r="SMC81" s="594"/>
      <c r="SMD81" s="594"/>
      <c r="SME81" s="594"/>
      <c r="SMF81" s="594"/>
      <c r="SMG81" s="594"/>
      <c r="SMH81" s="594"/>
      <c r="SMI81" s="594"/>
      <c r="SMJ81" s="594"/>
      <c r="SMK81" s="594"/>
      <c r="SML81" s="594"/>
      <c r="SMM81" s="594"/>
      <c r="SMN81" s="594"/>
      <c r="SMO81" s="594"/>
      <c r="SMP81" s="594"/>
      <c r="SMQ81" s="594"/>
      <c r="SMR81" s="594"/>
      <c r="SMS81" s="594"/>
      <c r="SMT81" s="594"/>
      <c r="SMU81" s="594"/>
      <c r="SMV81" s="594"/>
      <c r="SMW81" s="594"/>
      <c r="SMX81" s="594"/>
      <c r="SMY81" s="594"/>
      <c r="SMZ81" s="594"/>
      <c r="SNA81" s="594"/>
      <c r="SNB81" s="594"/>
      <c r="SNC81" s="594"/>
      <c r="SND81" s="594"/>
      <c r="SNE81" s="594"/>
      <c r="SNF81" s="594"/>
      <c r="SNG81" s="594"/>
      <c r="SNH81" s="594"/>
      <c r="SNI81" s="594"/>
      <c r="SNJ81" s="594"/>
      <c r="SNK81" s="594"/>
      <c r="SNL81" s="594"/>
      <c r="SNM81" s="594"/>
      <c r="SNN81" s="594"/>
      <c r="SNO81" s="594"/>
      <c r="SNP81" s="594"/>
      <c r="SNQ81" s="594"/>
      <c r="SNR81" s="594"/>
      <c r="SNS81" s="594"/>
      <c r="SNT81" s="594"/>
      <c r="SNU81" s="594"/>
      <c r="SNV81" s="594"/>
      <c r="SNW81" s="594"/>
      <c r="SNX81" s="594"/>
      <c r="SNY81" s="594"/>
      <c r="SNZ81" s="594"/>
      <c r="SOA81" s="594"/>
      <c r="SOB81" s="594"/>
      <c r="SOC81" s="594"/>
      <c r="SOD81" s="594"/>
      <c r="SOE81" s="594"/>
      <c r="SOF81" s="594"/>
      <c r="SOG81" s="594"/>
      <c r="SOH81" s="594"/>
      <c r="SOI81" s="594"/>
      <c r="SOJ81" s="594"/>
      <c r="SOK81" s="594"/>
      <c r="SOL81" s="594"/>
      <c r="SOM81" s="594"/>
      <c r="SON81" s="594"/>
      <c r="SOO81" s="594"/>
      <c r="SOP81" s="594"/>
      <c r="SOQ81" s="594"/>
      <c r="SOR81" s="594"/>
      <c r="SOS81" s="594"/>
      <c r="SOT81" s="594"/>
      <c r="SOU81" s="594"/>
      <c r="SOV81" s="594"/>
      <c r="SOW81" s="594"/>
      <c r="SOX81" s="594"/>
      <c r="SOY81" s="594"/>
      <c r="SOZ81" s="594"/>
      <c r="SPA81" s="594"/>
      <c r="SPB81" s="594"/>
      <c r="SPC81" s="594"/>
      <c r="SPD81" s="594"/>
      <c r="SPE81" s="594"/>
      <c r="SPF81" s="594"/>
      <c r="SPG81" s="594"/>
      <c r="SPH81" s="594"/>
      <c r="SPI81" s="594"/>
      <c r="SPJ81" s="594"/>
      <c r="SPK81" s="594"/>
      <c r="SPL81" s="594"/>
      <c r="SPM81" s="594"/>
      <c r="SPN81" s="594"/>
      <c r="SPO81" s="594"/>
      <c r="SPP81" s="594"/>
      <c r="SPQ81" s="594"/>
      <c r="SPR81" s="594"/>
      <c r="SPS81" s="594"/>
      <c r="SPT81" s="594"/>
      <c r="SPU81" s="594"/>
      <c r="SPV81" s="594"/>
      <c r="SPW81" s="594"/>
      <c r="SPX81" s="594"/>
      <c r="SPY81" s="594"/>
      <c r="SPZ81" s="594"/>
      <c r="SQA81" s="594"/>
      <c r="SQB81" s="594"/>
      <c r="SQC81" s="594"/>
      <c r="SQD81" s="594"/>
      <c r="SQE81" s="594"/>
      <c r="SQF81" s="594"/>
      <c r="SQG81" s="594"/>
      <c r="SQH81" s="594"/>
      <c r="SQI81" s="594"/>
      <c r="SQJ81" s="594"/>
      <c r="SQK81" s="594"/>
      <c r="SQL81" s="594"/>
      <c r="SQM81" s="594"/>
      <c r="SQN81" s="594"/>
      <c r="SQO81" s="594"/>
      <c r="SQP81" s="594"/>
      <c r="SQQ81" s="594"/>
      <c r="SQR81" s="594"/>
      <c r="SQS81" s="594"/>
      <c r="SQT81" s="594"/>
      <c r="SQU81" s="594"/>
      <c r="SQV81" s="594"/>
      <c r="SQW81" s="594"/>
      <c r="SQX81" s="594"/>
      <c r="SQY81" s="594"/>
      <c r="SQZ81" s="594"/>
      <c r="SRA81" s="594"/>
      <c r="SRB81" s="594"/>
      <c r="SRC81" s="594"/>
      <c r="SRD81" s="594"/>
      <c r="SRE81" s="594"/>
      <c r="SRF81" s="594"/>
      <c r="SRG81" s="594"/>
      <c r="SRH81" s="594"/>
      <c r="SRI81" s="594"/>
      <c r="SRJ81" s="594"/>
      <c r="SRK81" s="594"/>
      <c r="SRL81" s="594"/>
      <c r="SRM81" s="594"/>
      <c r="SRN81" s="594"/>
      <c r="SRO81" s="594"/>
      <c r="SRP81" s="594"/>
      <c r="SRQ81" s="594"/>
      <c r="SRR81" s="594"/>
      <c r="SRS81" s="594"/>
      <c r="SRT81" s="594"/>
      <c r="SRU81" s="594"/>
      <c r="SRV81" s="594"/>
      <c r="SRW81" s="594"/>
      <c r="SRX81" s="594"/>
      <c r="SRY81" s="594"/>
      <c r="SRZ81" s="594"/>
      <c r="SSA81" s="594"/>
      <c r="SSB81" s="594"/>
      <c r="SSC81" s="594"/>
      <c r="SSD81" s="594"/>
      <c r="SSE81" s="594"/>
      <c r="SSF81" s="594"/>
      <c r="SSG81" s="594"/>
      <c r="SSH81" s="594"/>
      <c r="SSI81" s="594"/>
      <c r="SSJ81" s="594"/>
      <c r="SSK81" s="594"/>
      <c r="SSL81" s="594"/>
      <c r="SSM81" s="594"/>
      <c r="SSN81" s="594"/>
      <c r="SSO81" s="594"/>
      <c r="SSP81" s="594"/>
      <c r="SSQ81" s="594"/>
      <c r="SSR81" s="594"/>
      <c r="SSS81" s="594"/>
      <c r="SST81" s="594"/>
      <c r="SSU81" s="594"/>
      <c r="SSV81" s="594"/>
      <c r="SSW81" s="594"/>
      <c r="SSX81" s="594"/>
      <c r="SSY81" s="594"/>
      <c r="SSZ81" s="594"/>
      <c r="STA81" s="594"/>
      <c r="STB81" s="594"/>
      <c r="STC81" s="594"/>
      <c r="STD81" s="594"/>
      <c r="STE81" s="594"/>
      <c r="STF81" s="594"/>
      <c r="STG81" s="594"/>
      <c r="STH81" s="594"/>
      <c r="STI81" s="594"/>
      <c r="STJ81" s="594"/>
      <c r="STK81" s="594"/>
      <c r="STL81" s="594"/>
      <c r="STM81" s="594"/>
      <c r="STN81" s="594"/>
      <c r="STO81" s="594"/>
      <c r="STP81" s="594"/>
      <c r="STQ81" s="594"/>
      <c r="STR81" s="594"/>
      <c r="STS81" s="594"/>
      <c r="STT81" s="594"/>
      <c r="STU81" s="594"/>
      <c r="STV81" s="594"/>
      <c r="STW81" s="594"/>
      <c r="STX81" s="594"/>
      <c r="STY81" s="594"/>
      <c r="STZ81" s="594"/>
      <c r="SUA81" s="594"/>
      <c r="SUB81" s="594"/>
      <c r="SUC81" s="594"/>
      <c r="SUD81" s="594"/>
      <c r="SUE81" s="594"/>
      <c r="SUF81" s="594"/>
      <c r="SUG81" s="594"/>
      <c r="SUH81" s="594"/>
      <c r="SUI81" s="594"/>
      <c r="SUJ81" s="594"/>
      <c r="SUK81" s="594"/>
      <c r="SUL81" s="594"/>
      <c r="SUM81" s="594"/>
      <c r="SUN81" s="594"/>
      <c r="SUO81" s="594"/>
      <c r="SUP81" s="594"/>
      <c r="SUQ81" s="594"/>
      <c r="SUR81" s="594"/>
      <c r="SUS81" s="594"/>
      <c r="SUT81" s="594"/>
      <c r="SUU81" s="594"/>
      <c r="SUV81" s="594"/>
      <c r="SUW81" s="594"/>
      <c r="SUX81" s="594"/>
      <c r="SUY81" s="594"/>
      <c r="SUZ81" s="594"/>
      <c r="SVA81" s="594"/>
      <c r="SVB81" s="594"/>
      <c r="SVC81" s="594"/>
      <c r="SVD81" s="594"/>
      <c r="SVE81" s="594"/>
      <c r="SVF81" s="594"/>
      <c r="SVG81" s="594"/>
      <c r="SVH81" s="594"/>
      <c r="SVI81" s="594"/>
      <c r="SVJ81" s="594"/>
      <c r="SVK81" s="594"/>
      <c r="SVL81" s="594"/>
      <c r="SVM81" s="594"/>
      <c r="SVN81" s="594"/>
      <c r="SVO81" s="594"/>
      <c r="SVP81" s="594"/>
      <c r="SVQ81" s="594"/>
      <c r="SVR81" s="594"/>
      <c r="SVS81" s="594"/>
      <c r="SVT81" s="594"/>
      <c r="SVU81" s="594"/>
      <c r="SVV81" s="594"/>
      <c r="SVW81" s="594"/>
      <c r="SVX81" s="594"/>
      <c r="SVY81" s="594"/>
      <c r="SVZ81" s="594"/>
      <c r="SWA81" s="594"/>
      <c r="SWB81" s="594"/>
      <c r="SWC81" s="594"/>
      <c r="SWD81" s="594"/>
      <c r="SWE81" s="594"/>
      <c r="SWF81" s="594"/>
      <c r="SWG81" s="594"/>
      <c r="SWH81" s="594"/>
      <c r="SWI81" s="594"/>
      <c r="SWJ81" s="594"/>
      <c r="SWK81" s="594"/>
      <c r="SWL81" s="594"/>
      <c r="SWM81" s="594"/>
      <c r="SWN81" s="594"/>
      <c r="SWO81" s="594"/>
      <c r="SWP81" s="594"/>
      <c r="SWQ81" s="594"/>
      <c r="SWR81" s="594"/>
      <c r="SWS81" s="594"/>
      <c r="SWT81" s="594"/>
      <c r="SWU81" s="594"/>
      <c r="SWV81" s="594"/>
      <c r="SWW81" s="594"/>
      <c r="SWX81" s="594"/>
      <c r="SWY81" s="594"/>
      <c r="SWZ81" s="594"/>
      <c r="SXA81" s="594"/>
      <c r="SXB81" s="594"/>
      <c r="SXC81" s="594"/>
      <c r="SXD81" s="594"/>
      <c r="SXE81" s="594"/>
      <c r="SXF81" s="594"/>
      <c r="SXG81" s="594"/>
      <c r="SXH81" s="594"/>
      <c r="SXI81" s="594"/>
      <c r="SXJ81" s="594"/>
      <c r="SXK81" s="594"/>
      <c r="SXL81" s="594"/>
      <c r="SXM81" s="594"/>
      <c r="SXN81" s="594"/>
      <c r="SXO81" s="594"/>
      <c r="SXP81" s="594"/>
      <c r="SXQ81" s="594"/>
      <c r="SXR81" s="594"/>
      <c r="SXS81" s="594"/>
      <c r="SXT81" s="594"/>
      <c r="SXU81" s="594"/>
      <c r="SXV81" s="594"/>
      <c r="SXW81" s="594"/>
      <c r="SXX81" s="594"/>
      <c r="SXY81" s="594"/>
      <c r="SXZ81" s="594"/>
      <c r="SYA81" s="594"/>
      <c r="SYB81" s="594"/>
      <c r="SYC81" s="594"/>
      <c r="SYD81" s="594"/>
      <c r="SYE81" s="594"/>
      <c r="SYF81" s="594"/>
      <c r="SYG81" s="594"/>
      <c r="SYH81" s="594"/>
      <c r="SYI81" s="594"/>
      <c r="SYJ81" s="594"/>
      <c r="SYK81" s="594"/>
      <c r="SYL81" s="594"/>
      <c r="SYM81" s="594"/>
      <c r="SYN81" s="594"/>
      <c r="SYO81" s="594"/>
      <c r="SYP81" s="594"/>
      <c r="SYQ81" s="594"/>
      <c r="SYR81" s="594"/>
      <c r="SYS81" s="594"/>
      <c r="SYT81" s="594"/>
      <c r="SYU81" s="594"/>
      <c r="SYV81" s="594"/>
      <c r="SYW81" s="594"/>
      <c r="SYX81" s="594"/>
      <c r="SYY81" s="594"/>
      <c r="SYZ81" s="594"/>
      <c r="SZA81" s="594"/>
      <c r="SZB81" s="594"/>
      <c r="SZC81" s="594"/>
      <c r="SZD81" s="594"/>
      <c r="SZE81" s="594"/>
      <c r="SZF81" s="594"/>
      <c r="SZG81" s="594"/>
      <c r="SZH81" s="594"/>
      <c r="SZI81" s="594"/>
      <c r="SZJ81" s="594"/>
      <c r="SZK81" s="594"/>
      <c r="SZL81" s="594"/>
      <c r="SZM81" s="594"/>
      <c r="SZN81" s="594"/>
      <c r="SZO81" s="594"/>
      <c r="SZP81" s="594"/>
      <c r="SZQ81" s="594"/>
      <c r="SZR81" s="594"/>
      <c r="SZS81" s="594"/>
      <c r="SZT81" s="594"/>
      <c r="SZU81" s="594"/>
      <c r="SZV81" s="594"/>
      <c r="SZW81" s="594"/>
      <c r="SZX81" s="594"/>
      <c r="SZY81" s="594"/>
      <c r="SZZ81" s="594"/>
      <c r="TAA81" s="594"/>
      <c r="TAB81" s="594"/>
      <c r="TAC81" s="594"/>
      <c r="TAD81" s="594"/>
      <c r="TAE81" s="594"/>
      <c r="TAF81" s="594"/>
      <c r="TAG81" s="594"/>
      <c r="TAH81" s="594"/>
      <c r="TAI81" s="594"/>
      <c r="TAJ81" s="594"/>
      <c r="TAK81" s="594"/>
      <c r="TAL81" s="594"/>
      <c r="TAM81" s="594"/>
      <c r="TAN81" s="594"/>
      <c r="TAO81" s="594"/>
      <c r="TAP81" s="594"/>
      <c r="TAQ81" s="594"/>
      <c r="TAR81" s="594"/>
      <c r="TAS81" s="594"/>
      <c r="TAT81" s="594"/>
      <c r="TAU81" s="594"/>
      <c r="TAV81" s="594"/>
      <c r="TAW81" s="594"/>
      <c r="TAX81" s="594"/>
      <c r="TAY81" s="594"/>
      <c r="TAZ81" s="594"/>
      <c r="TBA81" s="594"/>
      <c r="TBB81" s="594"/>
      <c r="TBC81" s="594"/>
      <c r="TBD81" s="594"/>
      <c r="TBE81" s="594"/>
      <c r="TBF81" s="594"/>
      <c r="TBG81" s="594"/>
      <c r="TBH81" s="594"/>
      <c r="TBI81" s="594"/>
      <c r="TBJ81" s="594"/>
      <c r="TBK81" s="594"/>
      <c r="TBL81" s="594"/>
      <c r="TBM81" s="594"/>
      <c r="TBN81" s="594"/>
      <c r="TBO81" s="594"/>
      <c r="TBP81" s="594"/>
      <c r="TBQ81" s="594"/>
      <c r="TBR81" s="594"/>
      <c r="TBS81" s="594"/>
      <c r="TBT81" s="594"/>
      <c r="TBU81" s="594"/>
      <c r="TBV81" s="594"/>
      <c r="TBW81" s="594"/>
      <c r="TBX81" s="594"/>
      <c r="TBY81" s="594"/>
      <c r="TBZ81" s="594"/>
      <c r="TCA81" s="594"/>
      <c r="TCB81" s="594"/>
      <c r="TCC81" s="594"/>
      <c r="TCD81" s="594"/>
      <c r="TCE81" s="594"/>
      <c r="TCF81" s="594"/>
      <c r="TCG81" s="594"/>
      <c r="TCH81" s="594"/>
      <c r="TCI81" s="594"/>
      <c r="TCJ81" s="594"/>
      <c r="TCK81" s="594"/>
      <c r="TCL81" s="594"/>
      <c r="TCM81" s="594"/>
      <c r="TCN81" s="594"/>
      <c r="TCO81" s="594"/>
      <c r="TCP81" s="594"/>
      <c r="TCQ81" s="594"/>
      <c r="TCR81" s="594"/>
      <c r="TCS81" s="594"/>
      <c r="TCT81" s="594"/>
      <c r="TCU81" s="594"/>
      <c r="TCV81" s="594"/>
      <c r="TCW81" s="594"/>
      <c r="TCX81" s="594"/>
      <c r="TCY81" s="594"/>
      <c r="TCZ81" s="594"/>
      <c r="TDA81" s="594"/>
      <c r="TDB81" s="594"/>
      <c r="TDC81" s="594"/>
      <c r="TDD81" s="594"/>
      <c r="TDE81" s="594"/>
      <c r="TDF81" s="594"/>
      <c r="TDG81" s="594"/>
      <c r="TDH81" s="594"/>
      <c r="TDI81" s="594"/>
      <c r="TDJ81" s="594"/>
      <c r="TDK81" s="594"/>
      <c r="TDL81" s="594"/>
      <c r="TDM81" s="594"/>
      <c r="TDN81" s="594"/>
      <c r="TDO81" s="594"/>
      <c r="TDP81" s="594"/>
      <c r="TDQ81" s="594"/>
      <c r="TDR81" s="594"/>
      <c r="TDS81" s="594"/>
      <c r="TDT81" s="594"/>
      <c r="TDU81" s="594"/>
      <c r="TDV81" s="594"/>
      <c r="TDW81" s="594"/>
      <c r="TDX81" s="594"/>
      <c r="TDY81" s="594"/>
      <c r="TDZ81" s="594"/>
      <c r="TEA81" s="594"/>
      <c r="TEB81" s="594"/>
      <c r="TEC81" s="594"/>
      <c r="TED81" s="594"/>
      <c r="TEE81" s="594"/>
      <c r="TEF81" s="594"/>
      <c r="TEG81" s="594"/>
      <c r="TEH81" s="594"/>
      <c r="TEI81" s="594"/>
      <c r="TEJ81" s="594"/>
      <c r="TEK81" s="594"/>
      <c r="TEL81" s="594"/>
      <c r="TEM81" s="594"/>
      <c r="TEN81" s="594"/>
      <c r="TEO81" s="594"/>
      <c r="TEP81" s="594"/>
      <c r="TEQ81" s="594"/>
      <c r="TER81" s="594"/>
      <c r="TES81" s="594"/>
      <c r="TET81" s="594"/>
      <c r="TEU81" s="594"/>
      <c r="TEV81" s="594"/>
      <c r="TEW81" s="594"/>
      <c r="TEX81" s="594"/>
      <c r="TEY81" s="594"/>
      <c r="TEZ81" s="594"/>
      <c r="TFA81" s="594"/>
      <c r="TFB81" s="594"/>
      <c r="TFC81" s="594"/>
      <c r="TFD81" s="594"/>
      <c r="TFE81" s="594"/>
      <c r="TFF81" s="594"/>
      <c r="TFG81" s="594"/>
      <c r="TFH81" s="594"/>
      <c r="TFI81" s="594"/>
      <c r="TFJ81" s="594"/>
      <c r="TFK81" s="594"/>
      <c r="TFL81" s="594"/>
      <c r="TFM81" s="594"/>
      <c r="TFN81" s="594"/>
      <c r="TFO81" s="594"/>
      <c r="TFP81" s="594"/>
      <c r="TFQ81" s="594"/>
      <c r="TFR81" s="594"/>
      <c r="TFS81" s="594"/>
      <c r="TFT81" s="594"/>
      <c r="TFU81" s="594"/>
      <c r="TFV81" s="594"/>
      <c r="TFW81" s="594"/>
      <c r="TFX81" s="594"/>
      <c r="TFY81" s="594"/>
      <c r="TFZ81" s="594"/>
      <c r="TGA81" s="594"/>
      <c r="TGB81" s="594"/>
      <c r="TGC81" s="594"/>
      <c r="TGD81" s="594"/>
      <c r="TGE81" s="594"/>
      <c r="TGF81" s="594"/>
      <c r="TGG81" s="594"/>
      <c r="TGH81" s="594"/>
      <c r="TGI81" s="594"/>
      <c r="TGJ81" s="594"/>
      <c r="TGK81" s="594"/>
      <c r="TGL81" s="594"/>
      <c r="TGM81" s="594"/>
      <c r="TGN81" s="594"/>
      <c r="TGO81" s="594"/>
      <c r="TGP81" s="594"/>
      <c r="TGQ81" s="594"/>
      <c r="TGR81" s="594"/>
      <c r="TGS81" s="594"/>
      <c r="TGT81" s="594"/>
      <c r="TGU81" s="594"/>
      <c r="TGV81" s="594"/>
      <c r="TGW81" s="594"/>
      <c r="TGX81" s="594"/>
      <c r="TGY81" s="594"/>
      <c r="TGZ81" s="594"/>
      <c r="THA81" s="594"/>
      <c r="THB81" s="594"/>
      <c r="THC81" s="594"/>
      <c r="THD81" s="594"/>
      <c r="THE81" s="594"/>
      <c r="THF81" s="594"/>
      <c r="THG81" s="594"/>
      <c r="THH81" s="594"/>
      <c r="THI81" s="594"/>
      <c r="THJ81" s="594"/>
      <c r="THK81" s="594"/>
      <c r="THL81" s="594"/>
      <c r="THM81" s="594"/>
      <c r="THN81" s="594"/>
      <c r="THO81" s="594"/>
      <c r="THP81" s="594"/>
      <c r="THQ81" s="594"/>
      <c r="THR81" s="594"/>
      <c r="THS81" s="594"/>
      <c r="THT81" s="594"/>
      <c r="THU81" s="594"/>
      <c r="THV81" s="594"/>
      <c r="THW81" s="594"/>
      <c r="THX81" s="594"/>
      <c r="THY81" s="594"/>
      <c r="THZ81" s="594"/>
      <c r="TIA81" s="594"/>
      <c r="TIB81" s="594"/>
      <c r="TIC81" s="594"/>
      <c r="TID81" s="594"/>
      <c r="TIE81" s="594"/>
      <c r="TIF81" s="594"/>
      <c r="TIG81" s="594"/>
      <c r="TIH81" s="594"/>
      <c r="TII81" s="594"/>
      <c r="TIJ81" s="594"/>
      <c r="TIK81" s="594"/>
      <c r="TIL81" s="594"/>
      <c r="TIM81" s="594"/>
      <c r="TIN81" s="594"/>
      <c r="TIO81" s="594"/>
      <c r="TIP81" s="594"/>
      <c r="TIQ81" s="594"/>
      <c r="TIR81" s="594"/>
      <c r="TIS81" s="594"/>
      <c r="TIT81" s="594"/>
      <c r="TIU81" s="594"/>
      <c r="TIV81" s="594"/>
      <c r="TIW81" s="594"/>
      <c r="TIX81" s="594"/>
      <c r="TIY81" s="594"/>
      <c r="TIZ81" s="594"/>
      <c r="TJA81" s="594"/>
      <c r="TJB81" s="594"/>
      <c r="TJC81" s="594"/>
      <c r="TJD81" s="594"/>
      <c r="TJE81" s="594"/>
      <c r="TJF81" s="594"/>
      <c r="TJG81" s="594"/>
      <c r="TJH81" s="594"/>
      <c r="TJI81" s="594"/>
      <c r="TJJ81" s="594"/>
      <c r="TJK81" s="594"/>
      <c r="TJL81" s="594"/>
      <c r="TJM81" s="594"/>
      <c r="TJN81" s="594"/>
      <c r="TJO81" s="594"/>
      <c r="TJP81" s="594"/>
      <c r="TJQ81" s="594"/>
      <c r="TJR81" s="594"/>
      <c r="TJS81" s="594"/>
      <c r="TJT81" s="594"/>
      <c r="TJU81" s="594"/>
      <c r="TJV81" s="594"/>
      <c r="TJW81" s="594"/>
      <c r="TJX81" s="594"/>
      <c r="TJY81" s="594"/>
      <c r="TJZ81" s="594"/>
      <c r="TKA81" s="594"/>
      <c r="TKB81" s="594"/>
      <c r="TKC81" s="594"/>
      <c r="TKD81" s="594"/>
      <c r="TKE81" s="594"/>
      <c r="TKF81" s="594"/>
      <c r="TKG81" s="594"/>
      <c r="TKH81" s="594"/>
      <c r="TKI81" s="594"/>
      <c r="TKJ81" s="594"/>
      <c r="TKK81" s="594"/>
      <c r="TKL81" s="594"/>
      <c r="TKM81" s="594"/>
      <c r="TKN81" s="594"/>
      <c r="TKO81" s="594"/>
      <c r="TKP81" s="594"/>
      <c r="TKQ81" s="594"/>
      <c r="TKR81" s="594"/>
      <c r="TKS81" s="594"/>
      <c r="TKT81" s="594"/>
      <c r="TKU81" s="594"/>
      <c r="TKV81" s="594"/>
      <c r="TKW81" s="594"/>
      <c r="TKX81" s="594"/>
      <c r="TKY81" s="594"/>
      <c r="TKZ81" s="594"/>
      <c r="TLA81" s="594"/>
      <c r="TLB81" s="594"/>
      <c r="TLC81" s="594"/>
      <c r="TLD81" s="594"/>
      <c r="TLE81" s="594"/>
      <c r="TLF81" s="594"/>
      <c r="TLG81" s="594"/>
      <c r="TLH81" s="594"/>
      <c r="TLI81" s="594"/>
      <c r="TLJ81" s="594"/>
      <c r="TLK81" s="594"/>
      <c r="TLL81" s="594"/>
      <c r="TLM81" s="594"/>
      <c r="TLN81" s="594"/>
      <c r="TLO81" s="594"/>
      <c r="TLP81" s="594"/>
      <c r="TLQ81" s="594"/>
      <c r="TLR81" s="594"/>
      <c r="TLS81" s="594"/>
      <c r="TLT81" s="594"/>
      <c r="TLU81" s="594"/>
      <c r="TLV81" s="594"/>
      <c r="TLW81" s="594"/>
      <c r="TLX81" s="594"/>
      <c r="TLY81" s="594"/>
      <c r="TLZ81" s="594"/>
      <c r="TMA81" s="594"/>
      <c r="TMB81" s="594"/>
      <c r="TMC81" s="594"/>
      <c r="TMD81" s="594"/>
      <c r="TME81" s="594"/>
      <c r="TMF81" s="594"/>
      <c r="TMG81" s="594"/>
      <c r="TMH81" s="594"/>
      <c r="TMI81" s="594"/>
      <c r="TMJ81" s="594"/>
      <c r="TMK81" s="594"/>
      <c r="TML81" s="594"/>
      <c r="TMM81" s="594"/>
      <c r="TMN81" s="594"/>
      <c r="TMO81" s="594"/>
      <c r="TMP81" s="594"/>
      <c r="TMQ81" s="594"/>
      <c r="TMR81" s="594"/>
      <c r="TMS81" s="594"/>
      <c r="TMT81" s="594"/>
      <c r="TMU81" s="594"/>
      <c r="TMV81" s="594"/>
      <c r="TMW81" s="594"/>
      <c r="TMX81" s="594"/>
      <c r="TMY81" s="594"/>
      <c r="TMZ81" s="594"/>
      <c r="TNA81" s="594"/>
      <c r="TNB81" s="594"/>
      <c r="TNC81" s="594"/>
      <c r="TND81" s="594"/>
      <c r="TNE81" s="594"/>
      <c r="TNF81" s="594"/>
      <c r="TNG81" s="594"/>
      <c r="TNH81" s="594"/>
      <c r="TNI81" s="594"/>
      <c r="TNJ81" s="594"/>
      <c r="TNK81" s="594"/>
      <c r="TNL81" s="594"/>
      <c r="TNM81" s="594"/>
      <c r="TNN81" s="594"/>
      <c r="TNO81" s="594"/>
      <c r="TNP81" s="594"/>
      <c r="TNQ81" s="594"/>
      <c r="TNR81" s="594"/>
      <c r="TNS81" s="594"/>
      <c r="TNT81" s="594"/>
      <c r="TNU81" s="594"/>
      <c r="TNV81" s="594"/>
      <c r="TNW81" s="594"/>
      <c r="TNX81" s="594"/>
      <c r="TNY81" s="594"/>
      <c r="TNZ81" s="594"/>
      <c r="TOA81" s="594"/>
      <c r="TOB81" s="594"/>
      <c r="TOC81" s="594"/>
      <c r="TOD81" s="594"/>
      <c r="TOE81" s="594"/>
      <c r="TOF81" s="594"/>
      <c r="TOG81" s="594"/>
      <c r="TOH81" s="594"/>
      <c r="TOI81" s="594"/>
      <c r="TOJ81" s="594"/>
      <c r="TOK81" s="594"/>
      <c r="TOL81" s="594"/>
      <c r="TOM81" s="594"/>
      <c r="TON81" s="594"/>
      <c r="TOO81" s="594"/>
      <c r="TOP81" s="594"/>
      <c r="TOQ81" s="594"/>
      <c r="TOR81" s="594"/>
      <c r="TOS81" s="594"/>
      <c r="TOT81" s="594"/>
      <c r="TOU81" s="594"/>
      <c r="TOV81" s="594"/>
      <c r="TOW81" s="594"/>
      <c r="TOX81" s="594"/>
      <c r="TOY81" s="594"/>
      <c r="TOZ81" s="594"/>
      <c r="TPA81" s="594"/>
      <c r="TPB81" s="594"/>
      <c r="TPC81" s="594"/>
      <c r="TPD81" s="594"/>
      <c r="TPE81" s="594"/>
      <c r="TPF81" s="594"/>
      <c r="TPG81" s="594"/>
      <c r="TPH81" s="594"/>
      <c r="TPI81" s="594"/>
      <c r="TPJ81" s="594"/>
      <c r="TPK81" s="594"/>
      <c r="TPL81" s="594"/>
      <c r="TPM81" s="594"/>
      <c r="TPN81" s="594"/>
      <c r="TPO81" s="594"/>
      <c r="TPP81" s="594"/>
      <c r="TPQ81" s="594"/>
      <c r="TPR81" s="594"/>
      <c r="TPS81" s="594"/>
      <c r="TPT81" s="594"/>
      <c r="TPU81" s="594"/>
      <c r="TPV81" s="594"/>
      <c r="TPW81" s="594"/>
      <c r="TPX81" s="594"/>
      <c r="TPY81" s="594"/>
      <c r="TPZ81" s="594"/>
      <c r="TQA81" s="594"/>
      <c r="TQB81" s="594"/>
      <c r="TQC81" s="594"/>
      <c r="TQD81" s="594"/>
      <c r="TQE81" s="594"/>
      <c r="TQF81" s="594"/>
      <c r="TQG81" s="594"/>
      <c r="TQH81" s="594"/>
      <c r="TQI81" s="594"/>
      <c r="TQJ81" s="594"/>
      <c r="TQK81" s="594"/>
      <c r="TQL81" s="594"/>
      <c r="TQM81" s="594"/>
      <c r="TQN81" s="594"/>
      <c r="TQO81" s="594"/>
      <c r="TQP81" s="594"/>
      <c r="TQQ81" s="594"/>
      <c r="TQR81" s="594"/>
      <c r="TQS81" s="594"/>
      <c r="TQT81" s="594"/>
      <c r="TQU81" s="594"/>
      <c r="TQV81" s="594"/>
      <c r="TQW81" s="594"/>
      <c r="TQX81" s="594"/>
      <c r="TQY81" s="594"/>
      <c r="TQZ81" s="594"/>
      <c r="TRA81" s="594"/>
      <c r="TRB81" s="594"/>
      <c r="TRC81" s="594"/>
      <c r="TRD81" s="594"/>
      <c r="TRE81" s="594"/>
      <c r="TRF81" s="594"/>
      <c r="TRG81" s="594"/>
      <c r="TRH81" s="594"/>
      <c r="TRI81" s="594"/>
      <c r="TRJ81" s="594"/>
      <c r="TRK81" s="594"/>
      <c r="TRL81" s="594"/>
      <c r="TRM81" s="594"/>
      <c r="TRN81" s="594"/>
      <c r="TRO81" s="594"/>
      <c r="TRP81" s="594"/>
      <c r="TRQ81" s="594"/>
      <c r="TRR81" s="594"/>
      <c r="TRS81" s="594"/>
      <c r="TRT81" s="594"/>
      <c r="TRU81" s="594"/>
      <c r="TRV81" s="594"/>
      <c r="TRW81" s="594"/>
      <c r="TRX81" s="594"/>
      <c r="TRY81" s="594"/>
      <c r="TRZ81" s="594"/>
      <c r="TSA81" s="594"/>
      <c r="TSB81" s="594"/>
      <c r="TSC81" s="594"/>
      <c r="TSD81" s="594"/>
      <c r="TSE81" s="594"/>
      <c r="TSF81" s="594"/>
      <c r="TSG81" s="594"/>
      <c r="TSH81" s="594"/>
      <c r="TSI81" s="594"/>
      <c r="TSJ81" s="594"/>
      <c r="TSK81" s="594"/>
      <c r="TSL81" s="594"/>
      <c r="TSM81" s="594"/>
      <c r="TSN81" s="594"/>
      <c r="TSO81" s="594"/>
      <c r="TSP81" s="594"/>
      <c r="TSQ81" s="594"/>
      <c r="TSR81" s="594"/>
      <c r="TSS81" s="594"/>
      <c r="TST81" s="594"/>
      <c r="TSU81" s="594"/>
      <c r="TSV81" s="594"/>
      <c r="TSW81" s="594"/>
      <c r="TSX81" s="594"/>
      <c r="TSY81" s="594"/>
      <c r="TSZ81" s="594"/>
      <c r="TTA81" s="594"/>
      <c r="TTB81" s="594"/>
      <c r="TTC81" s="594"/>
      <c r="TTD81" s="594"/>
      <c r="TTE81" s="594"/>
      <c r="TTF81" s="594"/>
      <c r="TTG81" s="594"/>
      <c r="TTH81" s="594"/>
      <c r="TTI81" s="594"/>
      <c r="TTJ81" s="594"/>
      <c r="TTK81" s="594"/>
      <c r="TTL81" s="594"/>
      <c r="TTM81" s="594"/>
      <c r="TTN81" s="594"/>
      <c r="TTO81" s="594"/>
      <c r="TTP81" s="594"/>
      <c r="TTQ81" s="594"/>
      <c r="TTR81" s="594"/>
      <c r="TTS81" s="594"/>
      <c r="TTT81" s="594"/>
      <c r="TTU81" s="594"/>
      <c r="TTV81" s="594"/>
      <c r="TTW81" s="594"/>
      <c r="TTX81" s="594"/>
      <c r="TTY81" s="594"/>
      <c r="TTZ81" s="594"/>
      <c r="TUA81" s="594"/>
      <c r="TUB81" s="594"/>
      <c r="TUC81" s="594"/>
      <c r="TUD81" s="594"/>
      <c r="TUE81" s="594"/>
      <c r="TUF81" s="594"/>
      <c r="TUG81" s="594"/>
      <c r="TUH81" s="594"/>
      <c r="TUI81" s="594"/>
      <c r="TUJ81" s="594"/>
      <c r="TUK81" s="594"/>
      <c r="TUL81" s="594"/>
      <c r="TUM81" s="594"/>
      <c r="TUN81" s="594"/>
      <c r="TUO81" s="594"/>
      <c r="TUP81" s="594"/>
      <c r="TUQ81" s="594"/>
      <c r="TUR81" s="594"/>
      <c r="TUS81" s="594"/>
      <c r="TUT81" s="594"/>
      <c r="TUU81" s="594"/>
      <c r="TUV81" s="594"/>
      <c r="TUW81" s="594"/>
      <c r="TUX81" s="594"/>
      <c r="TUY81" s="594"/>
      <c r="TUZ81" s="594"/>
      <c r="TVA81" s="594"/>
      <c r="TVB81" s="594"/>
      <c r="TVC81" s="594"/>
      <c r="TVD81" s="594"/>
      <c r="TVE81" s="594"/>
      <c r="TVF81" s="594"/>
      <c r="TVG81" s="594"/>
      <c r="TVH81" s="594"/>
      <c r="TVI81" s="594"/>
      <c r="TVJ81" s="594"/>
      <c r="TVK81" s="594"/>
      <c r="TVL81" s="594"/>
      <c r="TVM81" s="594"/>
      <c r="TVN81" s="594"/>
      <c r="TVO81" s="594"/>
      <c r="TVP81" s="594"/>
      <c r="TVQ81" s="594"/>
      <c r="TVR81" s="594"/>
      <c r="TVS81" s="594"/>
      <c r="TVT81" s="594"/>
      <c r="TVU81" s="594"/>
      <c r="TVV81" s="594"/>
      <c r="TVW81" s="594"/>
      <c r="TVX81" s="594"/>
      <c r="TVY81" s="594"/>
      <c r="TVZ81" s="594"/>
      <c r="TWA81" s="594"/>
      <c r="TWB81" s="594"/>
      <c r="TWC81" s="594"/>
      <c r="TWD81" s="594"/>
      <c r="TWE81" s="594"/>
      <c r="TWF81" s="594"/>
      <c r="TWG81" s="594"/>
      <c r="TWH81" s="594"/>
      <c r="TWI81" s="594"/>
      <c r="TWJ81" s="594"/>
      <c r="TWK81" s="594"/>
      <c r="TWL81" s="594"/>
      <c r="TWM81" s="594"/>
      <c r="TWN81" s="594"/>
      <c r="TWO81" s="594"/>
      <c r="TWP81" s="594"/>
      <c r="TWQ81" s="594"/>
      <c r="TWR81" s="594"/>
      <c r="TWS81" s="594"/>
      <c r="TWT81" s="594"/>
      <c r="TWU81" s="594"/>
      <c r="TWV81" s="594"/>
      <c r="TWW81" s="594"/>
      <c r="TWX81" s="594"/>
      <c r="TWY81" s="594"/>
      <c r="TWZ81" s="594"/>
      <c r="TXA81" s="594"/>
      <c r="TXB81" s="594"/>
      <c r="TXC81" s="594"/>
      <c r="TXD81" s="594"/>
      <c r="TXE81" s="594"/>
      <c r="TXF81" s="594"/>
      <c r="TXG81" s="594"/>
      <c r="TXH81" s="594"/>
      <c r="TXI81" s="594"/>
      <c r="TXJ81" s="594"/>
      <c r="TXK81" s="594"/>
      <c r="TXL81" s="594"/>
      <c r="TXM81" s="594"/>
      <c r="TXN81" s="594"/>
      <c r="TXO81" s="594"/>
      <c r="TXP81" s="594"/>
      <c r="TXQ81" s="594"/>
      <c r="TXR81" s="594"/>
      <c r="TXS81" s="594"/>
      <c r="TXT81" s="594"/>
      <c r="TXU81" s="594"/>
      <c r="TXV81" s="594"/>
      <c r="TXW81" s="594"/>
      <c r="TXX81" s="594"/>
      <c r="TXY81" s="594"/>
      <c r="TXZ81" s="594"/>
      <c r="TYA81" s="594"/>
      <c r="TYB81" s="594"/>
      <c r="TYC81" s="594"/>
      <c r="TYD81" s="594"/>
      <c r="TYE81" s="594"/>
      <c r="TYF81" s="594"/>
      <c r="TYG81" s="594"/>
      <c r="TYH81" s="594"/>
      <c r="TYI81" s="594"/>
      <c r="TYJ81" s="594"/>
      <c r="TYK81" s="594"/>
      <c r="TYL81" s="594"/>
      <c r="TYM81" s="594"/>
      <c r="TYN81" s="594"/>
      <c r="TYO81" s="594"/>
      <c r="TYP81" s="594"/>
      <c r="TYQ81" s="594"/>
      <c r="TYR81" s="594"/>
      <c r="TYS81" s="594"/>
      <c r="TYT81" s="594"/>
      <c r="TYU81" s="594"/>
      <c r="TYV81" s="594"/>
      <c r="TYW81" s="594"/>
      <c r="TYX81" s="594"/>
      <c r="TYY81" s="594"/>
      <c r="TYZ81" s="594"/>
      <c r="TZA81" s="594"/>
      <c r="TZB81" s="594"/>
      <c r="TZC81" s="594"/>
      <c r="TZD81" s="594"/>
      <c r="TZE81" s="594"/>
      <c r="TZF81" s="594"/>
      <c r="TZG81" s="594"/>
      <c r="TZH81" s="594"/>
      <c r="TZI81" s="594"/>
      <c r="TZJ81" s="594"/>
      <c r="TZK81" s="594"/>
      <c r="TZL81" s="594"/>
      <c r="TZM81" s="594"/>
      <c r="TZN81" s="594"/>
      <c r="TZO81" s="594"/>
      <c r="TZP81" s="594"/>
      <c r="TZQ81" s="594"/>
      <c r="TZR81" s="594"/>
      <c r="TZS81" s="594"/>
      <c r="TZT81" s="594"/>
      <c r="TZU81" s="594"/>
      <c r="TZV81" s="594"/>
      <c r="TZW81" s="594"/>
      <c r="TZX81" s="594"/>
      <c r="TZY81" s="594"/>
      <c r="TZZ81" s="594"/>
      <c r="UAA81" s="594"/>
      <c r="UAB81" s="594"/>
      <c r="UAC81" s="594"/>
      <c r="UAD81" s="594"/>
      <c r="UAE81" s="594"/>
      <c r="UAF81" s="594"/>
      <c r="UAG81" s="594"/>
      <c r="UAH81" s="594"/>
      <c r="UAI81" s="594"/>
      <c r="UAJ81" s="594"/>
      <c r="UAK81" s="594"/>
      <c r="UAL81" s="594"/>
      <c r="UAM81" s="594"/>
      <c r="UAN81" s="594"/>
      <c r="UAO81" s="594"/>
      <c r="UAP81" s="594"/>
      <c r="UAQ81" s="594"/>
      <c r="UAR81" s="594"/>
      <c r="UAS81" s="594"/>
      <c r="UAT81" s="594"/>
      <c r="UAU81" s="594"/>
      <c r="UAV81" s="594"/>
      <c r="UAW81" s="594"/>
      <c r="UAX81" s="594"/>
      <c r="UAY81" s="594"/>
      <c r="UAZ81" s="594"/>
      <c r="UBA81" s="594"/>
      <c r="UBB81" s="594"/>
      <c r="UBC81" s="594"/>
      <c r="UBD81" s="594"/>
      <c r="UBE81" s="594"/>
      <c r="UBF81" s="594"/>
      <c r="UBG81" s="594"/>
      <c r="UBH81" s="594"/>
      <c r="UBI81" s="594"/>
      <c r="UBJ81" s="594"/>
      <c r="UBK81" s="594"/>
      <c r="UBL81" s="594"/>
      <c r="UBM81" s="594"/>
      <c r="UBN81" s="594"/>
      <c r="UBO81" s="594"/>
      <c r="UBP81" s="594"/>
      <c r="UBQ81" s="594"/>
      <c r="UBR81" s="594"/>
      <c r="UBS81" s="594"/>
      <c r="UBT81" s="594"/>
      <c r="UBU81" s="594"/>
      <c r="UBV81" s="594"/>
      <c r="UBW81" s="594"/>
      <c r="UBX81" s="594"/>
      <c r="UBY81" s="594"/>
      <c r="UBZ81" s="594"/>
      <c r="UCA81" s="594"/>
      <c r="UCB81" s="594"/>
      <c r="UCC81" s="594"/>
      <c r="UCD81" s="594"/>
      <c r="UCE81" s="594"/>
      <c r="UCF81" s="594"/>
      <c r="UCG81" s="594"/>
      <c r="UCH81" s="594"/>
      <c r="UCI81" s="594"/>
      <c r="UCJ81" s="594"/>
      <c r="UCK81" s="594"/>
      <c r="UCL81" s="594"/>
      <c r="UCM81" s="594"/>
      <c r="UCN81" s="594"/>
      <c r="UCO81" s="594"/>
      <c r="UCP81" s="594"/>
      <c r="UCQ81" s="594"/>
      <c r="UCR81" s="594"/>
      <c r="UCS81" s="594"/>
      <c r="UCT81" s="594"/>
      <c r="UCU81" s="594"/>
      <c r="UCV81" s="594"/>
      <c r="UCW81" s="594"/>
      <c r="UCX81" s="594"/>
      <c r="UCY81" s="594"/>
      <c r="UCZ81" s="594"/>
      <c r="UDA81" s="594"/>
      <c r="UDB81" s="594"/>
      <c r="UDC81" s="594"/>
      <c r="UDD81" s="594"/>
      <c r="UDE81" s="594"/>
      <c r="UDF81" s="594"/>
      <c r="UDG81" s="594"/>
      <c r="UDH81" s="594"/>
      <c r="UDI81" s="594"/>
      <c r="UDJ81" s="594"/>
      <c r="UDK81" s="594"/>
      <c r="UDL81" s="594"/>
      <c r="UDM81" s="594"/>
      <c r="UDN81" s="594"/>
      <c r="UDO81" s="594"/>
      <c r="UDP81" s="594"/>
      <c r="UDQ81" s="594"/>
      <c r="UDR81" s="594"/>
      <c r="UDS81" s="594"/>
      <c r="UDT81" s="594"/>
      <c r="UDU81" s="594"/>
      <c r="UDV81" s="594"/>
      <c r="UDW81" s="594"/>
      <c r="UDX81" s="594"/>
      <c r="UDY81" s="594"/>
      <c r="UDZ81" s="594"/>
      <c r="UEA81" s="594"/>
      <c r="UEB81" s="594"/>
      <c r="UEC81" s="594"/>
      <c r="UED81" s="594"/>
      <c r="UEE81" s="594"/>
      <c r="UEF81" s="594"/>
      <c r="UEG81" s="594"/>
      <c r="UEH81" s="594"/>
      <c r="UEI81" s="594"/>
      <c r="UEJ81" s="594"/>
      <c r="UEK81" s="594"/>
      <c r="UEL81" s="594"/>
      <c r="UEM81" s="594"/>
      <c r="UEN81" s="594"/>
      <c r="UEO81" s="594"/>
      <c r="UEP81" s="594"/>
      <c r="UEQ81" s="594"/>
      <c r="UER81" s="594"/>
      <c r="UES81" s="594"/>
      <c r="UET81" s="594"/>
      <c r="UEU81" s="594"/>
      <c r="UEV81" s="594"/>
      <c r="UEW81" s="594"/>
      <c r="UEX81" s="594"/>
      <c r="UEY81" s="594"/>
      <c r="UEZ81" s="594"/>
      <c r="UFA81" s="594"/>
      <c r="UFB81" s="594"/>
      <c r="UFC81" s="594"/>
      <c r="UFD81" s="594"/>
      <c r="UFE81" s="594"/>
      <c r="UFF81" s="594"/>
      <c r="UFG81" s="594"/>
      <c r="UFH81" s="594"/>
      <c r="UFI81" s="594"/>
      <c r="UFJ81" s="594"/>
      <c r="UFK81" s="594"/>
      <c r="UFL81" s="594"/>
      <c r="UFM81" s="594"/>
      <c r="UFN81" s="594"/>
      <c r="UFO81" s="594"/>
      <c r="UFP81" s="594"/>
      <c r="UFQ81" s="594"/>
      <c r="UFR81" s="594"/>
      <c r="UFS81" s="594"/>
      <c r="UFT81" s="594"/>
      <c r="UFU81" s="594"/>
      <c r="UFV81" s="594"/>
      <c r="UFW81" s="594"/>
      <c r="UFX81" s="594"/>
      <c r="UFY81" s="594"/>
      <c r="UFZ81" s="594"/>
      <c r="UGA81" s="594"/>
      <c r="UGB81" s="594"/>
      <c r="UGC81" s="594"/>
      <c r="UGD81" s="594"/>
      <c r="UGE81" s="594"/>
      <c r="UGF81" s="594"/>
      <c r="UGG81" s="594"/>
      <c r="UGH81" s="594"/>
      <c r="UGI81" s="594"/>
      <c r="UGJ81" s="594"/>
      <c r="UGK81" s="594"/>
      <c r="UGL81" s="594"/>
      <c r="UGM81" s="594"/>
      <c r="UGN81" s="594"/>
      <c r="UGO81" s="594"/>
      <c r="UGP81" s="594"/>
      <c r="UGQ81" s="594"/>
      <c r="UGR81" s="594"/>
      <c r="UGS81" s="594"/>
      <c r="UGT81" s="594"/>
      <c r="UGU81" s="594"/>
      <c r="UGV81" s="594"/>
      <c r="UGW81" s="594"/>
      <c r="UGX81" s="594"/>
      <c r="UGY81" s="594"/>
      <c r="UGZ81" s="594"/>
      <c r="UHA81" s="594"/>
      <c r="UHB81" s="594"/>
      <c r="UHC81" s="594"/>
      <c r="UHD81" s="594"/>
      <c r="UHE81" s="594"/>
      <c r="UHF81" s="594"/>
      <c r="UHG81" s="594"/>
      <c r="UHH81" s="594"/>
      <c r="UHI81" s="594"/>
      <c r="UHJ81" s="594"/>
      <c r="UHK81" s="594"/>
      <c r="UHL81" s="594"/>
      <c r="UHM81" s="594"/>
      <c r="UHN81" s="594"/>
      <c r="UHO81" s="594"/>
      <c r="UHP81" s="594"/>
      <c r="UHQ81" s="594"/>
      <c r="UHR81" s="594"/>
      <c r="UHS81" s="594"/>
      <c r="UHT81" s="594"/>
      <c r="UHU81" s="594"/>
      <c r="UHV81" s="594"/>
      <c r="UHW81" s="594"/>
      <c r="UHX81" s="594"/>
      <c r="UHY81" s="594"/>
      <c r="UHZ81" s="594"/>
      <c r="UIA81" s="594"/>
      <c r="UIB81" s="594"/>
      <c r="UIC81" s="594"/>
      <c r="UID81" s="594"/>
      <c r="UIE81" s="594"/>
      <c r="UIF81" s="594"/>
      <c r="UIG81" s="594"/>
      <c r="UIH81" s="594"/>
      <c r="UII81" s="594"/>
      <c r="UIJ81" s="594"/>
      <c r="UIK81" s="594"/>
      <c r="UIL81" s="594"/>
      <c r="UIM81" s="594"/>
      <c r="UIN81" s="594"/>
      <c r="UIO81" s="594"/>
      <c r="UIP81" s="594"/>
      <c r="UIQ81" s="594"/>
      <c r="UIR81" s="594"/>
      <c r="UIS81" s="594"/>
      <c r="UIT81" s="594"/>
      <c r="UIU81" s="594"/>
      <c r="UIV81" s="594"/>
      <c r="UIW81" s="594"/>
      <c r="UIX81" s="594"/>
      <c r="UIY81" s="594"/>
      <c r="UIZ81" s="594"/>
      <c r="UJA81" s="594"/>
      <c r="UJB81" s="594"/>
      <c r="UJC81" s="594"/>
      <c r="UJD81" s="594"/>
      <c r="UJE81" s="594"/>
      <c r="UJF81" s="594"/>
      <c r="UJG81" s="594"/>
      <c r="UJH81" s="594"/>
      <c r="UJI81" s="594"/>
      <c r="UJJ81" s="594"/>
      <c r="UJK81" s="594"/>
      <c r="UJL81" s="594"/>
      <c r="UJM81" s="594"/>
      <c r="UJN81" s="594"/>
      <c r="UJO81" s="594"/>
      <c r="UJP81" s="594"/>
      <c r="UJQ81" s="594"/>
      <c r="UJR81" s="594"/>
      <c r="UJS81" s="594"/>
      <c r="UJT81" s="594"/>
      <c r="UJU81" s="594"/>
      <c r="UJV81" s="594"/>
      <c r="UJW81" s="594"/>
      <c r="UJX81" s="594"/>
      <c r="UJY81" s="594"/>
      <c r="UJZ81" s="594"/>
      <c r="UKA81" s="594"/>
      <c r="UKB81" s="594"/>
      <c r="UKC81" s="594"/>
      <c r="UKD81" s="594"/>
      <c r="UKE81" s="594"/>
      <c r="UKF81" s="594"/>
      <c r="UKG81" s="594"/>
      <c r="UKH81" s="594"/>
      <c r="UKI81" s="594"/>
      <c r="UKJ81" s="594"/>
      <c r="UKK81" s="594"/>
      <c r="UKL81" s="594"/>
      <c r="UKM81" s="594"/>
      <c r="UKN81" s="594"/>
      <c r="UKO81" s="594"/>
      <c r="UKP81" s="594"/>
      <c r="UKQ81" s="594"/>
      <c r="UKR81" s="594"/>
      <c r="UKS81" s="594"/>
      <c r="UKT81" s="594"/>
      <c r="UKU81" s="594"/>
      <c r="UKV81" s="594"/>
      <c r="UKW81" s="594"/>
      <c r="UKX81" s="594"/>
      <c r="UKY81" s="594"/>
      <c r="UKZ81" s="594"/>
      <c r="ULA81" s="594"/>
      <c r="ULB81" s="594"/>
      <c r="ULC81" s="594"/>
      <c r="ULD81" s="594"/>
      <c r="ULE81" s="594"/>
      <c r="ULF81" s="594"/>
      <c r="ULG81" s="594"/>
      <c r="ULH81" s="594"/>
      <c r="ULI81" s="594"/>
      <c r="ULJ81" s="594"/>
      <c r="ULK81" s="594"/>
      <c r="ULL81" s="594"/>
      <c r="ULM81" s="594"/>
      <c r="ULN81" s="594"/>
      <c r="ULO81" s="594"/>
      <c r="ULP81" s="594"/>
      <c r="ULQ81" s="594"/>
      <c r="ULR81" s="594"/>
      <c r="ULS81" s="594"/>
      <c r="ULT81" s="594"/>
      <c r="ULU81" s="594"/>
      <c r="ULV81" s="594"/>
      <c r="ULW81" s="594"/>
      <c r="ULX81" s="594"/>
      <c r="ULY81" s="594"/>
      <c r="ULZ81" s="594"/>
      <c r="UMA81" s="594"/>
      <c r="UMB81" s="594"/>
      <c r="UMC81" s="594"/>
      <c r="UMD81" s="594"/>
      <c r="UME81" s="594"/>
      <c r="UMF81" s="594"/>
      <c r="UMG81" s="594"/>
      <c r="UMH81" s="594"/>
      <c r="UMI81" s="594"/>
      <c r="UMJ81" s="594"/>
      <c r="UMK81" s="594"/>
      <c r="UML81" s="594"/>
      <c r="UMM81" s="594"/>
      <c r="UMN81" s="594"/>
      <c r="UMO81" s="594"/>
      <c r="UMP81" s="594"/>
      <c r="UMQ81" s="594"/>
      <c r="UMR81" s="594"/>
      <c r="UMS81" s="594"/>
      <c r="UMT81" s="594"/>
      <c r="UMU81" s="594"/>
      <c r="UMV81" s="594"/>
      <c r="UMW81" s="594"/>
      <c r="UMX81" s="594"/>
      <c r="UMY81" s="594"/>
      <c r="UMZ81" s="594"/>
      <c r="UNA81" s="594"/>
      <c r="UNB81" s="594"/>
      <c r="UNC81" s="594"/>
      <c r="UND81" s="594"/>
      <c r="UNE81" s="594"/>
      <c r="UNF81" s="594"/>
      <c r="UNG81" s="594"/>
      <c r="UNH81" s="594"/>
      <c r="UNI81" s="594"/>
      <c r="UNJ81" s="594"/>
      <c r="UNK81" s="594"/>
      <c r="UNL81" s="594"/>
      <c r="UNM81" s="594"/>
      <c r="UNN81" s="594"/>
      <c r="UNO81" s="594"/>
      <c r="UNP81" s="594"/>
      <c r="UNQ81" s="594"/>
      <c r="UNR81" s="594"/>
      <c r="UNS81" s="594"/>
      <c r="UNT81" s="594"/>
      <c r="UNU81" s="594"/>
      <c r="UNV81" s="594"/>
      <c r="UNW81" s="594"/>
      <c r="UNX81" s="594"/>
      <c r="UNY81" s="594"/>
      <c r="UNZ81" s="594"/>
      <c r="UOA81" s="594"/>
      <c r="UOB81" s="594"/>
      <c r="UOC81" s="594"/>
      <c r="UOD81" s="594"/>
      <c r="UOE81" s="594"/>
      <c r="UOF81" s="594"/>
      <c r="UOG81" s="594"/>
      <c r="UOH81" s="594"/>
      <c r="UOI81" s="594"/>
      <c r="UOJ81" s="594"/>
      <c r="UOK81" s="594"/>
      <c r="UOL81" s="594"/>
      <c r="UOM81" s="594"/>
      <c r="UON81" s="594"/>
      <c r="UOO81" s="594"/>
      <c r="UOP81" s="594"/>
      <c r="UOQ81" s="594"/>
      <c r="UOR81" s="594"/>
      <c r="UOS81" s="594"/>
      <c r="UOT81" s="594"/>
      <c r="UOU81" s="594"/>
      <c r="UOV81" s="594"/>
      <c r="UOW81" s="594"/>
      <c r="UOX81" s="594"/>
      <c r="UOY81" s="594"/>
      <c r="UOZ81" s="594"/>
      <c r="UPA81" s="594"/>
      <c r="UPB81" s="594"/>
      <c r="UPC81" s="594"/>
      <c r="UPD81" s="594"/>
      <c r="UPE81" s="594"/>
      <c r="UPF81" s="594"/>
      <c r="UPG81" s="594"/>
      <c r="UPH81" s="594"/>
      <c r="UPI81" s="594"/>
      <c r="UPJ81" s="594"/>
      <c r="UPK81" s="594"/>
      <c r="UPL81" s="594"/>
      <c r="UPM81" s="594"/>
      <c r="UPN81" s="594"/>
      <c r="UPO81" s="594"/>
      <c r="UPP81" s="594"/>
      <c r="UPQ81" s="594"/>
      <c r="UPR81" s="594"/>
      <c r="UPS81" s="594"/>
      <c r="UPT81" s="594"/>
      <c r="UPU81" s="594"/>
      <c r="UPV81" s="594"/>
      <c r="UPW81" s="594"/>
      <c r="UPX81" s="594"/>
      <c r="UPY81" s="594"/>
      <c r="UPZ81" s="594"/>
      <c r="UQA81" s="594"/>
      <c r="UQB81" s="594"/>
      <c r="UQC81" s="594"/>
      <c r="UQD81" s="594"/>
      <c r="UQE81" s="594"/>
      <c r="UQF81" s="594"/>
      <c r="UQG81" s="594"/>
      <c r="UQH81" s="594"/>
      <c r="UQI81" s="594"/>
      <c r="UQJ81" s="594"/>
      <c r="UQK81" s="594"/>
      <c r="UQL81" s="594"/>
      <c r="UQM81" s="594"/>
      <c r="UQN81" s="594"/>
      <c r="UQO81" s="594"/>
      <c r="UQP81" s="594"/>
      <c r="UQQ81" s="594"/>
      <c r="UQR81" s="594"/>
      <c r="UQS81" s="594"/>
      <c r="UQT81" s="594"/>
      <c r="UQU81" s="594"/>
      <c r="UQV81" s="594"/>
      <c r="UQW81" s="594"/>
      <c r="UQX81" s="594"/>
      <c r="UQY81" s="594"/>
      <c r="UQZ81" s="594"/>
      <c r="URA81" s="594"/>
      <c r="URB81" s="594"/>
      <c r="URC81" s="594"/>
      <c r="URD81" s="594"/>
      <c r="URE81" s="594"/>
      <c r="URF81" s="594"/>
      <c r="URG81" s="594"/>
      <c r="URH81" s="594"/>
      <c r="URI81" s="594"/>
      <c r="URJ81" s="594"/>
      <c r="URK81" s="594"/>
      <c r="URL81" s="594"/>
      <c r="URM81" s="594"/>
      <c r="URN81" s="594"/>
      <c r="URO81" s="594"/>
      <c r="URP81" s="594"/>
      <c r="URQ81" s="594"/>
      <c r="URR81" s="594"/>
      <c r="URS81" s="594"/>
      <c r="URT81" s="594"/>
      <c r="URU81" s="594"/>
      <c r="URV81" s="594"/>
      <c r="URW81" s="594"/>
      <c r="URX81" s="594"/>
      <c r="URY81" s="594"/>
      <c r="URZ81" s="594"/>
      <c r="USA81" s="594"/>
      <c r="USB81" s="594"/>
      <c r="USC81" s="594"/>
      <c r="USD81" s="594"/>
      <c r="USE81" s="594"/>
      <c r="USF81" s="594"/>
      <c r="USG81" s="594"/>
      <c r="USH81" s="594"/>
      <c r="USI81" s="594"/>
      <c r="USJ81" s="594"/>
      <c r="USK81" s="594"/>
      <c r="USL81" s="594"/>
      <c r="USM81" s="594"/>
      <c r="USN81" s="594"/>
      <c r="USO81" s="594"/>
      <c r="USP81" s="594"/>
      <c r="USQ81" s="594"/>
      <c r="USR81" s="594"/>
      <c r="USS81" s="594"/>
      <c r="UST81" s="594"/>
      <c r="USU81" s="594"/>
      <c r="USV81" s="594"/>
      <c r="USW81" s="594"/>
      <c r="USX81" s="594"/>
      <c r="USY81" s="594"/>
      <c r="USZ81" s="594"/>
      <c r="UTA81" s="594"/>
      <c r="UTB81" s="594"/>
      <c r="UTC81" s="594"/>
      <c r="UTD81" s="594"/>
      <c r="UTE81" s="594"/>
      <c r="UTF81" s="594"/>
      <c r="UTG81" s="594"/>
      <c r="UTH81" s="594"/>
      <c r="UTI81" s="594"/>
      <c r="UTJ81" s="594"/>
      <c r="UTK81" s="594"/>
      <c r="UTL81" s="594"/>
      <c r="UTM81" s="594"/>
      <c r="UTN81" s="594"/>
      <c r="UTO81" s="594"/>
      <c r="UTP81" s="594"/>
      <c r="UTQ81" s="594"/>
      <c r="UTR81" s="594"/>
      <c r="UTS81" s="594"/>
      <c r="UTT81" s="594"/>
      <c r="UTU81" s="594"/>
      <c r="UTV81" s="594"/>
      <c r="UTW81" s="594"/>
      <c r="UTX81" s="594"/>
      <c r="UTY81" s="594"/>
      <c r="UTZ81" s="594"/>
      <c r="UUA81" s="594"/>
      <c r="UUB81" s="594"/>
      <c r="UUC81" s="594"/>
      <c r="UUD81" s="594"/>
      <c r="UUE81" s="594"/>
      <c r="UUF81" s="594"/>
      <c r="UUG81" s="594"/>
      <c r="UUH81" s="594"/>
      <c r="UUI81" s="594"/>
      <c r="UUJ81" s="594"/>
      <c r="UUK81" s="594"/>
      <c r="UUL81" s="594"/>
      <c r="UUM81" s="594"/>
      <c r="UUN81" s="594"/>
      <c r="UUO81" s="594"/>
      <c r="UUP81" s="594"/>
      <c r="UUQ81" s="594"/>
      <c r="UUR81" s="594"/>
      <c r="UUS81" s="594"/>
      <c r="UUT81" s="594"/>
      <c r="UUU81" s="594"/>
      <c r="UUV81" s="594"/>
      <c r="UUW81" s="594"/>
      <c r="UUX81" s="594"/>
      <c r="UUY81" s="594"/>
      <c r="UUZ81" s="594"/>
      <c r="UVA81" s="594"/>
      <c r="UVB81" s="594"/>
      <c r="UVC81" s="594"/>
      <c r="UVD81" s="594"/>
      <c r="UVE81" s="594"/>
      <c r="UVF81" s="594"/>
      <c r="UVG81" s="594"/>
      <c r="UVH81" s="594"/>
      <c r="UVI81" s="594"/>
      <c r="UVJ81" s="594"/>
      <c r="UVK81" s="594"/>
      <c r="UVL81" s="594"/>
      <c r="UVM81" s="594"/>
      <c r="UVN81" s="594"/>
      <c r="UVO81" s="594"/>
      <c r="UVP81" s="594"/>
      <c r="UVQ81" s="594"/>
      <c r="UVR81" s="594"/>
      <c r="UVS81" s="594"/>
      <c r="UVT81" s="594"/>
      <c r="UVU81" s="594"/>
      <c r="UVV81" s="594"/>
      <c r="UVW81" s="594"/>
      <c r="UVX81" s="594"/>
      <c r="UVY81" s="594"/>
      <c r="UVZ81" s="594"/>
      <c r="UWA81" s="594"/>
      <c r="UWB81" s="594"/>
      <c r="UWC81" s="594"/>
      <c r="UWD81" s="594"/>
      <c r="UWE81" s="594"/>
      <c r="UWF81" s="594"/>
      <c r="UWG81" s="594"/>
      <c r="UWH81" s="594"/>
      <c r="UWI81" s="594"/>
      <c r="UWJ81" s="594"/>
      <c r="UWK81" s="594"/>
      <c r="UWL81" s="594"/>
      <c r="UWM81" s="594"/>
      <c r="UWN81" s="594"/>
      <c r="UWO81" s="594"/>
      <c r="UWP81" s="594"/>
      <c r="UWQ81" s="594"/>
      <c r="UWR81" s="594"/>
      <c r="UWS81" s="594"/>
      <c r="UWT81" s="594"/>
      <c r="UWU81" s="594"/>
      <c r="UWV81" s="594"/>
      <c r="UWW81" s="594"/>
      <c r="UWX81" s="594"/>
      <c r="UWY81" s="594"/>
      <c r="UWZ81" s="594"/>
      <c r="UXA81" s="594"/>
      <c r="UXB81" s="594"/>
      <c r="UXC81" s="594"/>
      <c r="UXD81" s="594"/>
      <c r="UXE81" s="594"/>
      <c r="UXF81" s="594"/>
      <c r="UXG81" s="594"/>
      <c r="UXH81" s="594"/>
      <c r="UXI81" s="594"/>
      <c r="UXJ81" s="594"/>
      <c r="UXK81" s="594"/>
      <c r="UXL81" s="594"/>
      <c r="UXM81" s="594"/>
      <c r="UXN81" s="594"/>
      <c r="UXO81" s="594"/>
      <c r="UXP81" s="594"/>
      <c r="UXQ81" s="594"/>
      <c r="UXR81" s="594"/>
      <c r="UXS81" s="594"/>
      <c r="UXT81" s="594"/>
      <c r="UXU81" s="594"/>
      <c r="UXV81" s="594"/>
      <c r="UXW81" s="594"/>
      <c r="UXX81" s="594"/>
      <c r="UXY81" s="594"/>
      <c r="UXZ81" s="594"/>
      <c r="UYA81" s="594"/>
      <c r="UYB81" s="594"/>
      <c r="UYC81" s="594"/>
      <c r="UYD81" s="594"/>
      <c r="UYE81" s="594"/>
      <c r="UYF81" s="594"/>
      <c r="UYG81" s="594"/>
      <c r="UYH81" s="594"/>
      <c r="UYI81" s="594"/>
      <c r="UYJ81" s="594"/>
      <c r="UYK81" s="594"/>
      <c r="UYL81" s="594"/>
      <c r="UYM81" s="594"/>
      <c r="UYN81" s="594"/>
      <c r="UYO81" s="594"/>
      <c r="UYP81" s="594"/>
      <c r="UYQ81" s="594"/>
      <c r="UYR81" s="594"/>
      <c r="UYS81" s="594"/>
      <c r="UYT81" s="594"/>
      <c r="UYU81" s="594"/>
      <c r="UYV81" s="594"/>
      <c r="UYW81" s="594"/>
      <c r="UYX81" s="594"/>
      <c r="UYY81" s="594"/>
      <c r="UYZ81" s="594"/>
      <c r="UZA81" s="594"/>
      <c r="UZB81" s="594"/>
      <c r="UZC81" s="594"/>
      <c r="UZD81" s="594"/>
      <c r="UZE81" s="594"/>
      <c r="UZF81" s="594"/>
      <c r="UZG81" s="594"/>
      <c r="UZH81" s="594"/>
      <c r="UZI81" s="594"/>
      <c r="UZJ81" s="594"/>
      <c r="UZK81" s="594"/>
      <c r="UZL81" s="594"/>
      <c r="UZM81" s="594"/>
      <c r="UZN81" s="594"/>
      <c r="UZO81" s="594"/>
      <c r="UZP81" s="594"/>
      <c r="UZQ81" s="594"/>
      <c r="UZR81" s="594"/>
      <c r="UZS81" s="594"/>
      <c r="UZT81" s="594"/>
      <c r="UZU81" s="594"/>
      <c r="UZV81" s="594"/>
      <c r="UZW81" s="594"/>
      <c r="UZX81" s="594"/>
      <c r="UZY81" s="594"/>
      <c r="UZZ81" s="594"/>
      <c r="VAA81" s="594"/>
      <c r="VAB81" s="594"/>
      <c r="VAC81" s="594"/>
      <c r="VAD81" s="594"/>
      <c r="VAE81" s="594"/>
      <c r="VAF81" s="594"/>
      <c r="VAG81" s="594"/>
      <c r="VAH81" s="594"/>
      <c r="VAI81" s="594"/>
      <c r="VAJ81" s="594"/>
      <c r="VAK81" s="594"/>
      <c r="VAL81" s="594"/>
      <c r="VAM81" s="594"/>
      <c r="VAN81" s="594"/>
      <c r="VAO81" s="594"/>
      <c r="VAP81" s="594"/>
      <c r="VAQ81" s="594"/>
      <c r="VAR81" s="594"/>
      <c r="VAS81" s="594"/>
      <c r="VAT81" s="594"/>
      <c r="VAU81" s="594"/>
      <c r="VAV81" s="594"/>
      <c r="VAW81" s="594"/>
      <c r="VAX81" s="594"/>
      <c r="VAY81" s="594"/>
      <c r="VAZ81" s="594"/>
      <c r="VBA81" s="594"/>
      <c r="VBB81" s="594"/>
      <c r="VBC81" s="594"/>
      <c r="VBD81" s="594"/>
      <c r="VBE81" s="594"/>
      <c r="VBF81" s="594"/>
      <c r="VBG81" s="594"/>
      <c r="VBH81" s="594"/>
      <c r="VBI81" s="594"/>
      <c r="VBJ81" s="594"/>
      <c r="VBK81" s="594"/>
      <c r="VBL81" s="594"/>
      <c r="VBM81" s="594"/>
      <c r="VBN81" s="594"/>
      <c r="VBO81" s="594"/>
      <c r="VBP81" s="594"/>
      <c r="VBQ81" s="594"/>
      <c r="VBR81" s="594"/>
      <c r="VBS81" s="594"/>
      <c r="VBT81" s="594"/>
      <c r="VBU81" s="594"/>
      <c r="VBV81" s="594"/>
      <c r="VBW81" s="594"/>
      <c r="VBX81" s="594"/>
      <c r="VBY81" s="594"/>
      <c r="VBZ81" s="594"/>
      <c r="VCA81" s="594"/>
      <c r="VCB81" s="594"/>
      <c r="VCC81" s="594"/>
      <c r="VCD81" s="594"/>
      <c r="VCE81" s="594"/>
      <c r="VCF81" s="594"/>
      <c r="VCG81" s="594"/>
      <c r="VCH81" s="594"/>
      <c r="VCI81" s="594"/>
      <c r="VCJ81" s="594"/>
      <c r="VCK81" s="594"/>
      <c r="VCL81" s="594"/>
      <c r="VCM81" s="594"/>
      <c r="VCN81" s="594"/>
      <c r="VCO81" s="594"/>
      <c r="VCP81" s="594"/>
      <c r="VCQ81" s="594"/>
      <c r="VCR81" s="594"/>
      <c r="VCS81" s="594"/>
      <c r="VCT81" s="594"/>
      <c r="VCU81" s="594"/>
      <c r="VCV81" s="594"/>
      <c r="VCW81" s="594"/>
      <c r="VCX81" s="594"/>
      <c r="VCY81" s="594"/>
      <c r="VCZ81" s="594"/>
      <c r="VDA81" s="594"/>
      <c r="VDB81" s="594"/>
      <c r="VDC81" s="594"/>
      <c r="VDD81" s="594"/>
      <c r="VDE81" s="594"/>
      <c r="VDF81" s="594"/>
      <c r="VDG81" s="594"/>
      <c r="VDH81" s="594"/>
      <c r="VDI81" s="594"/>
      <c r="VDJ81" s="594"/>
      <c r="VDK81" s="594"/>
      <c r="VDL81" s="594"/>
      <c r="VDM81" s="594"/>
      <c r="VDN81" s="594"/>
      <c r="VDO81" s="594"/>
      <c r="VDP81" s="594"/>
      <c r="VDQ81" s="594"/>
      <c r="VDR81" s="594"/>
      <c r="VDS81" s="594"/>
      <c r="VDT81" s="594"/>
      <c r="VDU81" s="594"/>
      <c r="VDV81" s="594"/>
      <c r="VDW81" s="594"/>
      <c r="VDX81" s="594"/>
      <c r="VDY81" s="594"/>
      <c r="VDZ81" s="594"/>
      <c r="VEA81" s="594"/>
      <c r="VEB81" s="594"/>
      <c r="VEC81" s="594"/>
      <c r="VED81" s="594"/>
      <c r="VEE81" s="594"/>
      <c r="VEF81" s="594"/>
      <c r="VEG81" s="594"/>
      <c r="VEH81" s="594"/>
      <c r="VEI81" s="594"/>
      <c r="VEJ81" s="594"/>
      <c r="VEK81" s="594"/>
      <c r="VEL81" s="594"/>
      <c r="VEM81" s="594"/>
      <c r="VEN81" s="594"/>
      <c r="VEO81" s="594"/>
      <c r="VEP81" s="594"/>
      <c r="VEQ81" s="594"/>
      <c r="VER81" s="594"/>
      <c r="VES81" s="594"/>
      <c r="VET81" s="594"/>
      <c r="VEU81" s="594"/>
      <c r="VEV81" s="594"/>
      <c r="VEW81" s="594"/>
      <c r="VEX81" s="594"/>
      <c r="VEY81" s="594"/>
      <c r="VEZ81" s="594"/>
      <c r="VFA81" s="594"/>
      <c r="VFB81" s="594"/>
      <c r="VFC81" s="594"/>
      <c r="VFD81" s="594"/>
      <c r="VFE81" s="594"/>
      <c r="VFF81" s="594"/>
      <c r="VFG81" s="594"/>
      <c r="VFH81" s="594"/>
      <c r="VFI81" s="594"/>
      <c r="VFJ81" s="594"/>
      <c r="VFK81" s="594"/>
      <c r="VFL81" s="594"/>
      <c r="VFM81" s="594"/>
      <c r="VFN81" s="594"/>
      <c r="VFO81" s="594"/>
      <c r="VFP81" s="594"/>
      <c r="VFQ81" s="594"/>
      <c r="VFR81" s="594"/>
      <c r="VFS81" s="594"/>
      <c r="VFT81" s="594"/>
      <c r="VFU81" s="594"/>
      <c r="VFV81" s="594"/>
      <c r="VFW81" s="594"/>
      <c r="VFX81" s="594"/>
      <c r="VFY81" s="594"/>
      <c r="VFZ81" s="594"/>
      <c r="VGA81" s="594"/>
      <c r="VGB81" s="594"/>
      <c r="VGC81" s="594"/>
      <c r="VGD81" s="594"/>
      <c r="VGE81" s="594"/>
      <c r="VGF81" s="594"/>
      <c r="VGG81" s="594"/>
      <c r="VGH81" s="594"/>
      <c r="VGI81" s="594"/>
      <c r="VGJ81" s="594"/>
      <c r="VGK81" s="594"/>
      <c r="VGL81" s="594"/>
      <c r="VGM81" s="594"/>
      <c r="VGN81" s="594"/>
      <c r="VGO81" s="594"/>
      <c r="VGP81" s="594"/>
      <c r="VGQ81" s="594"/>
      <c r="VGR81" s="594"/>
      <c r="VGS81" s="594"/>
      <c r="VGT81" s="594"/>
      <c r="VGU81" s="594"/>
      <c r="VGV81" s="594"/>
      <c r="VGW81" s="594"/>
      <c r="VGX81" s="594"/>
      <c r="VGY81" s="594"/>
      <c r="VGZ81" s="594"/>
      <c r="VHA81" s="594"/>
      <c r="VHB81" s="594"/>
      <c r="VHC81" s="594"/>
      <c r="VHD81" s="594"/>
      <c r="VHE81" s="594"/>
      <c r="VHF81" s="594"/>
      <c r="VHG81" s="594"/>
      <c r="VHH81" s="594"/>
      <c r="VHI81" s="594"/>
      <c r="VHJ81" s="594"/>
      <c r="VHK81" s="594"/>
      <c r="VHL81" s="594"/>
      <c r="VHM81" s="594"/>
      <c r="VHN81" s="594"/>
      <c r="VHO81" s="594"/>
      <c r="VHP81" s="594"/>
      <c r="VHQ81" s="594"/>
      <c r="VHR81" s="594"/>
      <c r="VHS81" s="594"/>
      <c r="VHT81" s="594"/>
      <c r="VHU81" s="594"/>
      <c r="VHV81" s="594"/>
      <c r="VHW81" s="594"/>
      <c r="VHX81" s="594"/>
      <c r="VHY81" s="594"/>
      <c r="VHZ81" s="594"/>
      <c r="VIA81" s="594"/>
      <c r="VIB81" s="594"/>
      <c r="VIC81" s="594"/>
      <c r="VID81" s="594"/>
      <c r="VIE81" s="594"/>
      <c r="VIF81" s="594"/>
      <c r="VIG81" s="594"/>
      <c r="VIH81" s="594"/>
      <c r="VII81" s="594"/>
      <c r="VIJ81" s="594"/>
      <c r="VIK81" s="594"/>
      <c r="VIL81" s="594"/>
      <c r="VIM81" s="594"/>
      <c r="VIN81" s="594"/>
      <c r="VIO81" s="594"/>
      <c r="VIP81" s="594"/>
      <c r="VIQ81" s="594"/>
      <c r="VIR81" s="594"/>
      <c r="VIS81" s="594"/>
      <c r="VIT81" s="594"/>
      <c r="VIU81" s="594"/>
      <c r="VIV81" s="594"/>
      <c r="VIW81" s="594"/>
      <c r="VIX81" s="594"/>
      <c r="VIY81" s="594"/>
      <c r="VIZ81" s="594"/>
      <c r="VJA81" s="594"/>
      <c r="VJB81" s="594"/>
      <c r="VJC81" s="594"/>
      <c r="VJD81" s="594"/>
      <c r="VJE81" s="594"/>
      <c r="VJF81" s="594"/>
      <c r="VJG81" s="594"/>
      <c r="VJH81" s="594"/>
      <c r="VJI81" s="594"/>
      <c r="VJJ81" s="594"/>
      <c r="VJK81" s="594"/>
      <c r="VJL81" s="594"/>
      <c r="VJM81" s="594"/>
      <c r="VJN81" s="594"/>
      <c r="VJO81" s="594"/>
      <c r="VJP81" s="594"/>
      <c r="VJQ81" s="594"/>
      <c r="VJR81" s="594"/>
      <c r="VJS81" s="594"/>
      <c r="VJT81" s="594"/>
      <c r="VJU81" s="594"/>
      <c r="VJV81" s="594"/>
      <c r="VJW81" s="594"/>
      <c r="VJX81" s="594"/>
      <c r="VJY81" s="594"/>
      <c r="VJZ81" s="594"/>
      <c r="VKA81" s="594"/>
      <c r="VKB81" s="594"/>
      <c r="VKC81" s="594"/>
      <c r="VKD81" s="594"/>
      <c r="VKE81" s="594"/>
      <c r="VKF81" s="594"/>
      <c r="VKG81" s="594"/>
      <c r="VKH81" s="594"/>
      <c r="VKI81" s="594"/>
      <c r="VKJ81" s="594"/>
      <c r="VKK81" s="594"/>
      <c r="VKL81" s="594"/>
      <c r="VKM81" s="594"/>
      <c r="VKN81" s="594"/>
      <c r="VKO81" s="594"/>
      <c r="VKP81" s="594"/>
      <c r="VKQ81" s="594"/>
      <c r="VKR81" s="594"/>
      <c r="VKS81" s="594"/>
      <c r="VKT81" s="594"/>
      <c r="VKU81" s="594"/>
      <c r="VKV81" s="594"/>
      <c r="VKW81" s="594"/>
      <c r="VKX81" s="594"/>
      <c r="VKY81" s="594"/>
      <c r="VKZ81" s="594"/>
      <c r="VLA81" s="594"/>
      <c r="VLB81" s="594"/>
      <c r="VLC81" s="594"/>
      <c r="VLD81" s="594"/>
      <c r="VLE81" s="594"/>
      <c r="VLF81" s="594"/>
      <c r="VLG81" s="594"/>
      <c r="VLH81" s="594"/>
      <c r="VLI81" s="594"/>
      <c r="VLJ81" s="594"/>
      <c r="VLK81" s="594"/>
      <c r="VLL81" s="594"/>
      <c r="VLM81" s="594"/>
      <c r="VLN81" s="594"/>
      <c r="VLO81" s="594"/>
      <c r="VLP81" s="594"/>
      <c r="VLQ81" s="594"/>
      <c r="VLR81" s="594"/>
      <c r="VLS81" s="594"/>
      <c r="VLT81" s="594"/>
      <c r="VLU81" s="594"/>
      <c r="VLV81" s="594"/>
      <c r="VLW81" s="594"/>
      <c r="VLX81" s="594"/>
      <c r="VLY81" s="594"/>
      <c r="VLZ81" s="594"/>
      <c r="VMA81" s="594"/>
      <c r="VMB81" s="594"/>
      <c r="VMC81" s="594"/>
      <c r="VMD81" s="594"/>
      <c r="VME81" s="594"/>
      <c r="VMF81" s="594"/>
      <c r="VMG81" s="594"/>
      <c r="VMH81" s="594"/>
      <c r="VMI81" s="594"/>
      <c r="VMJ81" s="594"/>
      <c r="VMK81" s="594"/>
      <c r="VML81" s="594"/>
      <c r="VMM81" s="594"/>
      <c r="VMN81" s="594"/>
      <c r="VMO81" s="594"/>
      <c r="VMP81" s="594"/>
      <c r="VMQ81" s="594"/>
      <c r="VMR81" s="594"/>
      <c r="VMS81" s="594"/>
      <c r="VMT81" s="594"/>
      <c r="VMU81" s="594"/>
      <c r="VMV81" s="594"/>
      <c r="VMW81" s="594"/>
      <c r="VMX81" s="594"/>
      <c r="VMY81" s="594"/>
      <c r="VMZ81" s="594"/>
      <c r="VNA81" s="594"/>
      <c r="VNB81" s="594"/>
      <c r="VNC81" s="594"/>
      <c r="VND81" s="594"/>
      <c r="VNE81" s="594"/>
      <c r="VNF81" s="594"/>
      <c r="VNG81" s="594"/>
      <c r="VNH81" s="594"/>
      <c r="VNI81" s="594"/>
      <c r="VNJ81" s="594"/>
      <c r="VNK81" s="594"/>
      <c r="VNL81" s="594"/>
      <c r="VNM81" s="594"/>
      <c r="VNN81" s="594"/>
      <c r="VNO81" s="594"/>
      <c r="VNP81" s="594"/>
      <c r="VNQ81" s="594"/>
      <c r="VNR81" s="594"/>
      <c r="VNS81" s="594"/>
      <c r="VNT81" s="594"/>
      <c r="VNU81" s="594"/>
      <c r="VNV81" s="594"/>
      <c r="VNW81" s="594"/>
      <c r="VNX81" s="594"/>
      <c r="VNY81" s="594"/>
      <c r="VNZ81" s="594"/>
      <c r="VOA81" s="594"/>
      <c r="VOB81" s="594"/>
      <c r="VOC81" s="594"/>
      <c r="VOD81" s="594"/>
      <c r="VOE81" s="594"/>
      <c r="VOF81" s="594"/>
      <c r="VOG81" s="594"/>
      <c r="VOH81" s="594"/>
      <c r="VOI81" s="594"/>
      <c r="VOJ81" s="594"/>
      <c r="VOK81" s="594"/>
      <c r="VOL81" s="594"/>
      <c r="VOM81" s="594"/>
      <c r="VON81" s="594"/>
      <c r="VOO81" s="594"/>
      <c r="VOP81" s="594"/>
      <c r="VOQ81" s="594"/>
      <c r="VOR81" s="594"/>
      <c r="VOS81" s="594"/>
      <c r="VOT81" s="594"/>
      <c r="VOU81" s="594"/>
      <c r="VOV81" s="594"/>
      <c r="VOW81" s="594"/>
      <c r="VOX81" s="594"/>
      <c r="VOY81" s="594"/>
      <c r="VOZ81" s="594"/>
      <c r="VPA81" s="594"/>
      <c r="VPB81" s="594"/>
      <c r="VPC81" s="594"/>
      <c r="VPD81" s="594"/>
      <c r="VPE81" s="594"/>
      <c r="VPF81" s="594"/>
      <c r="VPG81" s="594"/>
      <c r="VPH81" s="594"/>
      <c r="VPI81" s="594"/>
      <c r="VPJ81" s="594"/>
      <c r="VPK81" s="594"/>
      <c r="VPL81" s="594"/>
      <c r="VPM81" s="594"/>
      <c r="VPN81" s="594"/>
      <c r="VPO81" s="594"/>
      <c r="VPP81" s="594"/>
      <c r="VPQ81" s="594"/>
      <c r="VPR81" s="594"/>
      <c r="VPS81" s="594"/>
      <c r="VPT81" s="594"/>
      <c r="VPU81" s="594"/>
      <c r="VPV81" s="594"/>
      <c r="VPW81" s="594"/>
      <c r="VPX81" s="594"/>
      <c r="VPY81" s="594"/>
      <c r="VPZ81" s="594"/>
      <c r="VQA81" s="594"/>
      <c r="VQB81" s="594"/>
      <c r="VQC81" s="594"/>
      <c r="VQD81" s="594"/>
      <c r="VQE81" s="594"/>
      <c r="VQF81" s="594"/>
      <c r="VQG81" s="594"/>
      <c r="VQH81" s="594"/>
      <c r="VQI81" s="594"/>
      <c r="VQJ81" s="594"/>
      <c r="VQK81" s="594"/>
      <c r="VQL81" s="594"/>
      <c r="VQM81" s="594"/>
      <c r="VQN81" s="594"/>
      <c r="VQO81" s="594"/>
      <c r="VQP81" s="594"/>
      <c r="VQQ81" s="594"/>
      <c r="VQR81" s="594"/>
      <c r="VQS81" s="594"/>
      <c r="VQT81" s="594"/>
      <c r="VQU81" s="594"/>
      <c r="VQV81" s="594"/>
      <c r="VQW81" s="594"/>
      <c r="VQX81" s="594"/>
      <c r="VQY81" s="594"/>
      <c r="VQZ81" s="594"/>
      <c r="VRA81" s="594"/>
      <c r="VRB81" s="594"/>
      <c r="VRC81" s="594"/>
      <c r="VRD81" s="594"/>
      <c r="VRE81" s="594"/>
      <c r="VRF81" s="594"/>
      <c r="VRG81" s="594"/>
      <c r="VRH81" s="594"/>
      <c r="VRI81" s="594"/>
      <c r="VRJ81" s="594"/>
      <c r="VRK81" s="594"/>
      <c r="VRL81" s="594"/>
      <c r="VRM81" s="594"/>
      <c r="VRN81" s="594"/>
      <c r="VRO81" s="594"/>
      <c r="VRP81" s="594"/>
      <c r="VRQ81" s="594"/>
      <c r="VRR81" s="594"/>
      <c r="VRS81" s="594"/>
      <c r="VRT81" s="594"/>
      <c r="VRU81" s="594"/>
      <c r="VRV81" s="594"/>
      <c r="VRW81" s="594"/>
      <c r="VRX81" s="594"/>
      <c r="VRY81" s="594"/>
      <c r="VRZ81" s="594"/>
      <c r="VSA81" s="594"/>
      <c r="VSB81" s="594"/>
      <c r="VSC81" s="594"/>
      <c r="VSD81" s="594"/>
      <c r="VSE81" s="594"/>
      <c r="VSF81" s="594"/>
      <c r="VSG81" s="594"/>
      <c r="VSH81" s="594"/>
      <c r="VSI81" s="594"/>
      <c r="VSJ81" s="594"/>
      <c r="VSK81" s="594"/>
      <c r="VSL81" s="594"/>
      <c r="VSM81" s="594"/>
      <c r="VSN81" s="594"/>
      <c r="VSO81" s="594"/>
      <c r="VSP81" s="594"/>
      <c r="VSQ81" s="594"/>
      <c r="VSR81" s="594"/>
      <c r="VSS81" s="594"/>
      <c r="VST81" s="594"/>
      <c r="VSU81" s="594"/>
      <c r="VSV81" s="594"/>
      <c r="VSW81" s="594"/>
      <c r="VSX81" s="594"/>
      <c r="VSY81" s="594"/>
      <c r="VSZ81" s="594"/>
      <c r="VTA81" s="594"/>
      <c r="VTB81" s="594"/>
      <c r="VTC81" s="594"/>
      <c r="VTD81" s="594"/>
      <c r="VTE81" s="594"/>
      <c r="VTF81" s="594"/>
      <c r="VTG81" s="594"/>
      <c r="VTH81" s="594"/>
      <c r="VTI81" s="594"/>
      <c r="VTJ81" s="594"/>
      <c r="VTK81" s="594"/>
      <c r="VTL81" s="594"/>
      <c r="VTM81" s="594"/>
      <c r="VTN81" s="594"/>
      <c r="VTO81" s="594"/>
      <c r="VTP81" s="594"/>
      <c r="VTQ81" s="594"/>
      <c r="VTR81" s="594"/>
      <c r="VTS81" s="594"/>
      <c r="VTT81" s="594"/>
      <c r="VTU81" s="594"/>
      <c r="VTV81" s="594"/>
      <c r="VTW81" s="594"/>
      <c r="VTX81" s="594"/>
      <c r="VTY81" s="594"/>
      <c r="VTZ81" s="594"/>
      <c r="VUA81" s="594"/>
      <c r="VUB81" s="594"/>
      <c r="VUC81" s="594"/>
      <c r="VUD81" s="594"/>
      <c r="VUE81" s="594"/>
      <c r="VUF81" s="594"/>
      <c r="VUG81" s="594"/>
      <c r="VUH81" s="594"/>
      <c r="VUI81" s="594"/>
      <c r="VUJ81" s="594"/>
      <c r="VUK81" s="594"/>
      <c r="VUL81" s="594"/>
      <c r="VUM81" s="594"/>
      <c r="VUN81" s="594"/>
      <c r="VUO81" s="594"/>
      <c r="VUP81" s="594"/>
      <c r="VUQ81" s="594"/>
      <c r="VUR81" s="594"/>
      <c r="VUS81" s="594"/>
      <c r="VUT81" s="594"/>
      <c r="VUU81" s="594"/>
      <c r="VUV81" s="594"/>
      <c r="VUW81" s="594"/>
      <c r="VUX81" s="594"/>
      <c r="VUY81" s="594"/>
      <c r="VUZ81" s="594"/>
      <c r="VVA81" s="594"/>
      <c r="VVB81" s="594"/>
      <c r="VVC81" s="594"/>
      <c r="VVD81" s="594"/>
      <c r="VVE81" s="594"/>
      <c r="VVF81" s="594"/>
      <c r="VVG81" s="594"/>
      <c r="VVH81" s="594"/>
      <c r="VVI81" s="594"/>
      <c r="VVJ81" s="594"/>
      <c r="VVK81" s="594"/>
      <c r="VVL81" s="594"/>
      <c r="VVM81" s="594"/>
      <c r="VVN81" s="594"/>
      <c r="VVO81" s="594"/>
      <c r="VVP81" s="594"/>
      <c r="VVQ81" s="594"/>
      <c r="VVR81" s="594"/>
      <c r="VVS81" s="594"/>
      <c r="VVT81" s="594"/>
      <c r="VVU81" s="594"/>
      <c r="VVV81" s="594"/>
      <c r="VVW81" s="594"/>
      <c r="VVX81" s="594"/>
      <c r="VVY81" s="594"/>
      <c r="VVZ81" s="594"/>
      <c r="VWA81" s="594"/>
      <c r="VWB81" s="594"/>
      <c r="VWC81" s="594"/>
      <c r="VWD81" s="594"/>
      <c r="VWE81" s="594"/>
      <c r="VWF81" s="594"/>
      <c r="VWG81" s="594"/>
      <c r="VWH81" s="594"/>
      <c r="VWI81" s="594"/>
      <c r="VWJ81" s="594"/>
      <c r="VWK81" s="594"/>
      <c r="VWL81" s="594"/>
      <c r="VWM81" s="594"/>
      <c r="VWN81" s="594"/>
      <c r="VWO81" s="594"/>
      <c r="VWP81" s="594"/>
      <c r="VWQ81" s="594"/>
      <c r="VWR81" s="594"/>
      <c r="VWS81" s="594"/>
      <c r="VWT81" s="594"/>
      <c r="VWU81" s="594"/>
      <c r="VWV81" s="594"/>
      <c r="VWW81" s="594"/>
      <c r="VWX81" s="594"/>
      <c r="VWY81" s="594"/>
      <c r="VWZ81" s="594"/>
      <c r="VXA81" s="594"/>
      <c r="VXB81" s="594"/>
      <c r="VXC81" s="594"/>
      <c r="VXD81" s="594"/>
      <c r="VXE81" s="594"/>
      <c r="VXF81" s="594"/>
      <c r="VXG81" s="594"/>
      <c r="VXH81" s="594"/>
      <c r="VXI81" s="594"/>
      <c r="VXJ81" s="594"/>
      <c r="VXK81" s="594"/>
      <c r="VXL81" s="594"/>
      <c r="VXM81" s="594"/>
      <c r="VXN81" s="594"/>
      <c r="VXO81" s="594"/>
      <c r="VXP81" s="594"/>
      <c r="VXQ81" s="594"/>
      <c r="VXR81" s="594"/>
      <c r="VXS81" s="594"/>
      <c r="VXT81" s="594"/>
      <c r="VXU81" s="594"/>
      <c r="VXV81" s="594"/>
      <c r="VXW81" s="594"/>
      <c r="VXX81" s="594"/>
      <c r="VXY81" s="594"/>
      <c r="VXZ81" s="594"/>
      <c r="VYA81" s="594"/>
      <c r="VYB81" s="594"/>
      <c r="VYC81" s="594"/>
      <c r="VYD81" s="594"/>
      <c r="VYE81" s="594"/>
      <c r="VYF81" s="594"/>
      <c r="VYG81" s="594"/>
      <c r="VYH81" s="594"/>
      <c r="VYI81" s="594"/>
      <c r="VYJ81" s="594"/>
      <c r="VYK81" s="594"/>
      <c r="VYL81" s="594"/>
      <c r="VYM81" s="594"/>
      <c r="VYN81" s="594"/>
      <c r="VYO81" s="594"/>
      <c r="VYP81" s="594"/>
      <c r="VYQ81" s="594"/>
      <c r="VYR81" s="594"/>
      <c r="VYS81" s="594"/>
      <c r="VYT81" s="594"/>
      <c r="VYU81" s="594"/>
      <c r="VYV81" s="594"/>
      <c r="VYW81" s="594"/>
      <c r="VYX81" s="594"/>
      <c r="VYY81" s="594"/>
      <c r="VYZ81" s="594"/>
      <c r="VZA81" s="594"/>
      <c r="VZB81" s="594"/>
      <c r="VZC81" s="594"/>
      <c r="VZD81" s="594"/>
      <c r="VZE81" s="594"/>
      <c r="VZF81" s="594"/>
      <c r="VZG81" s="594"/>
      <c r="VZH81" s="594"/>
      <c r="VZI81" s="594"/>
      <c r="VZJ81" s="594"/>
      <c r="VZK81" s="594"/>
      <c r="VZL81" s="594"/>
      <c r="VZM81" s="594"/>
      <c r="VZN81" s="594"/>
      <c r="VZO81" s="594"/>
      <c r="VZP81" s="594"/>
      <c r="VZQ81" s="594"/>
      <c r="VZR81" s="594"/>
      <c r="VZS81" s="594"/>
      <c r="VZT81" s="594"/>
      <c r="VZU81" s="594"/>
      <c r="VZV81" s="594"/>
      <c r="VZW81" s="594"/>
      <c r="VZX81" s="594"/>
      <c r="VZY81" s="594"/>
      <c r="VZZ81" s="594"/>
      <c r="WAA81" s="594"/>
      <c r="WAB81" s="594"/>
      <c r="WAC81" s="594"/>
      <c r="WAD81" s="594"/>
      <c r="WAE81" s="594"/>
      <c r="WAF81" s="594"/>
      <c r="WAG81" s="594"/>
      <c r="WAH81" s="594"/>
      <c r="WAI81" s="594"/>
      <c r="WAJ81" s="594"/>
      <c r="WAK81" s="594"/>
      <c r="WAL81" s="594"/>
      <c r="WAM81" s="594"/>
      <c r="WAN81" s="594"/>
      <c r="WAO81" s="594"/>
      <c r="WAP81" s="594"/>
      <c r="WAQ81" s="594"/>
      <c r="WAR81" s="594"/>
      <c r="WAS81" s="594"/>
      <c r="WAT81" s="594"/>
      <c r="WAU81" s="594"/>
      <c r="WAV81" s="594"/>
      <c r="WAW81" s="594"/>
      <c r="WAX81" s="594"/>
      <c r="WAY81" s="594"/>
      <c r="WAZ81" s="594"/>
      <c r="WBA81" s="594"/>
      <c r="WBB81" s="594"/>
      <c r="WBC81" s="594"/>
      <c r="WBD81" s="594"/>
      <c r="WBE81" s="594"/>
      <c r="WBF81" s="594"/>
      <c r="WBG81" s="594"/>
      <c r="WBH81" s="594"/>
      <c r="WBI81" s="594"/>
      <c r="WBJ81" s="594"/>
      <c r="WBK81" s="594"/>
      <c r="WBL81" s="594"/>
      <c r="WBM81" s="594"/>
      <c r="WBN81" s="594"/>
      <c r="WBO81" s="594"/>
      <c r="WBP81" s="594"/>
      <c r="WBQ81" s="594"/>
      <c r="WBR81" s="594"/>
      <c r="WBS81" s="594"/>
      <c r="WBT81" s="594"/>
      <c r="WBU81" s="594"/>
      <c r="WBV81" s="594"/>
      <c r="WBW81" s="594"/>
      <c r="WBX81" s="594"/>
      <c r="WBY81" s="594"/>
      <c r="WBZ81" s="594"/>
      <c r="WCA81" s="594"/>
      <c r="WCB81" s="594"/>
      <c r="WCC81" s="594"/>
      <c r="WCD81" s="594"/>
      <c r="WCE81" s="594"/>
      <c r="WCF81" s="594"/>
      <c r="WCG81" s="594"/>
      <c r="WCH81" s="594"/>
      <c r="WCI81" s="594"/>
      <c r="WCJ81" s="594"/>
      <c r="WCK81" s="594"/>
      <c r="WCL81" s="594"/>
      <c r="WCM81" s="594"/>
      <c r="WCN81" s="594"/>
      <c r="WCO81" s="594"/>
      <c r="WCP81" s="594"/>
      <c r="WCQ81" s="594"/>
      <c r="WCR81" s="594"/>
      <c r="WCS81" s="594"/>
      <c r="WCT81" s="594"/>
      <c r="WCU81" s="594"/>
      <c r="WCV81" s="594"/>
      <c r="WCW81" s="594"/>
      <c r="WCX81" s="594"/>
      <c r="WCY81" s="594"/>
      <c r="WCZ81" s="594"/>
      <c r="WDA81" s="594"/>
      <c r="WDB81" s="594"/>
      <c r="WDC81" s="594"/>
      <c r="WDD81" s="594"/>
      <c r="WDE81" s="594"/>
      <c r="WDF81" s="594"/>
      <c r="WDG81" s="594"/>
      <c r="WDH81" s="594"/>
      <c r="WDI81" s="594"/>
      <c r="WDJ81" s="594"/>
      <c r="WDK81" s="594"/>
      <c r="WDL81" s="594"/>
      <c r="WDM81" s="594"/>
      <c r="WDN81" s="594"/>
      <c r="WDO81" s="594"/>
      <c r="WDP81" s="594"/>
      <c r="WDQ81" s="594"/>
      <c r="WDR81" s="594"/>
      <c r="WDS81" s="594"/>
      <c r="WDT81" s="594"/>
      <c r="WDU81" s="594"/>
      <c r="WDV81" s="594"/>
      <c r="WDW81" s="594"/>
      <c r="WDX81" s="594"/>
      <c r="WDY81" s="594"/>
      <c r="WDZ81" s="594"/>
      <c r="WEA81" s="594"/>
      <c r="WEB81" s="594"/>
      <c r="WEC81" s="594"/>
      <c r="WED81" s="594"/>
      <c r="WEE81" s="594"/>
      <c r="WEF81" s="594"/>
      <c r="WEG81" s="594"/>
      <c r="WEH81" s="594"/>
      <c r="WEI81" s="594"/>
      <c r="WEJ81" s="594"/>
      <c r="WEK81" s="594"/>
      <c r="WEL81" s="594"/>
      <c r="WEM81" s="594"/>
      <c r="WEN81" s="594"/>
      <c r="WEO81" s="594"/>
      <c r="WEP81" s="594"/>
      <c r="WEQ81" s="594"/>
      <c r="WER81" s="594"/>
      <c r="WES81" s="594"/>
      <c r="WET81" s="594"/>
      <c r="WEU81" s="594"/>
      <c r="WEV81" s="594"/>
      <c r="WEW81" s="594"/>
      <c r="WEX81" s="594"/>
      <c r="WEY81" s="594"/>
      <c r="WEZ81" s="594"/>
      <c r="WFA81" s="594"/>
      <c r="WFB81" s="594"/>
      <c r="WFC81" s="594"/>
      <c r="WFD81" s="594"/>
      <c r="WFE81" s="594"/>
      <c r="WFF81" s="594"/>
      <c r="WFG81" s="594"/>
      <c r="WFH81" s="594"/>
      <c r="WFI81" s="594"/>
      <c r="WFJ81" s="594"/>
      <c r="WFK81" s="594"/>
      <c r="WFL81" s="594"/>
      <c r="WFM81" s="594"/>
      <c r="WFN81" s="594"/>
      <c r="WFO81" s="594"/>
      <c r="WFP81" s="594"/>
      <c r="WFQ81" s="594"/>
      <c r="WFR81" s="594"/>
      <c r="WFS81" s="594"/>
      <c r="WFT81" s="594"/>
      <c r="WFU81" s="594"/>
      <c r="WFV81" s="594"/>
      <c r="WFW81" s="594"/>
      <c r="WFX81" s="594"/>
      <c r="WFY81" s="594"/>
      <c r="WFZ81" s="594"/>
      <c r="WGA81" s="594"/>
      <c r="WGB81" s="594"/>
      <c r="WGC81" s="594"/>
      <c r="WGD81" s="594"/>
      <c r="WGE81" s="594"/>
      <c r="WGF81" s="594"/>
      <c r="WGG81" s="594"/>
      <c r="WGH81" s="594"/>
      <c r="WGI81" s="594"/>
      <c r="WGJ81" s="594"/>
      <c r="WGK81" s="594"/>
      <c r="WGL81" s="594"/>
      <c r="WGM81" s="594"/>
      <c r="WGN81" s="594"/>
      <c r="WGO81" s="594"/>
      <c r="WGP81" s="594"/>
      <c r="WGQ81" s="594"/>
      <c r="WGR81" s="594"/>
      <c r="WGS81" s="594"/>
      <c r="WGT81" s="594"/>
      <c r="WGU81" s="594"/>
      <c r="WGV81" s="594"/>
      <c r="WGW81" s="594"/>
      <c r="WGX81" s="594"/>
      <c r="WGY81" s="594"/>
      <c r="WGZ81" s="594"/>
      <c r="WHA81" s="594"/>
      <c r="WHB81" s="594"/>
      <c r="WHC81" s="594"/>
      <c r="WHD81" s="594"/>
      <c r="WHE81" s="594"/>
      <c r="WHF81" s="594"/>
      <c r="WHG81" s="594"/>
      <c r="WHH81" s="594"/>
      <c r="WHI81" s="594"/>
      <c r="WHJ81" s="594"/>
      <c r="WHK81" s="594"/>
      <c r="WHL81" s="594"/>
      <c r="WHM81" s="594"/>
      <c r="WHN81" s="594"/>
      <c r="WHO81" s="594"/>
      <c r="WHP81" s="594"/>
      <c r="WHQ81" s="594"/>
      <c r="WHR81" s="594"/>
      <c r="WHS81" s="594"/>
      <c r="WHT81" s="594"/>
      <c r="WHU81" s="594"/>
      <c r="WHV81" s="594"/>
      <c r="WHW81" s="594"/>
      <c r="WHX81" s="594"/>
      <c r="WHY81" s="594"/>
      <c r="WHZ81" s="594"/>
      <c r="WIA81" s="594"/>
      <c r="WIB81" s="594"/>
      <c r="WIC81" s="594"/>
      <c r="WID81" s="594"/>
      <c r="WIE81" s="594"/>
      <c r="WIF81" s="594"/>
      <c r="WIG81" s="594"/>
      <c r="WIH81" s="594"/>
      <c r="WII81" s="594"/>
      <c r="WIJ81" s="594"/>
      <c r="WIK81" s="594"/>
      <c r="WIL81" s="594"/>
      <c r="WIM81" s="594"/>
      <c r="WIN81" s="594"/>
      <c r="WIO81" s="594"/>
      <c r="WIP81" s="594"/>
      <c r="WIQ81" s="594"/>
      <c r="WIR81" s="594"/>
      <c r="WIS81" s="594"/>
      <c r="WIT81" s="594"/>
      <c r="WIU81" s="594"/>
      <c r="WIV81" s="594"/>
      <c r="WIW81" s="594"/>
      <c r="WIX81" s="594"/>
      <c r="WIY81" s="594"/>
      <c r="WIZ81" s="594"/>
      <c r="WJA81" s="594"/>
      <c r="WJB81" s="594"/>
      <c r="WJC81" s="594"/>
      <c r="WJD81" s="594"/>
      <c r="WJE81" s="594"/>
      <c r="WJF81" s="594"/>
      <c r="WJG81" s="594"/>
      <c r="WJH81" s="594"/>
      <c r="WJI81" s="594"/>
      <c r="WJJ81" s="594"/>
      <c r="WJK81" s="594"/>
      <c r="WJL81" s="594"/>
      <c r="WJM81" s="594"/>
      <c r="WJN81" s="594"/>
      <c r="WJO81" s="594"/>
      <c r="WJP81" s="594"/>
      <c r="WJQ81" s="594"/>
      <c r="WJR81" s="594"/>
      <c r="WJS81" s="594"/>
      <c r="WJT81" s="594"/>
      <c r="WJU81" s="594"/>
      <c r="WJV81" s="594"/>
      <c r="WJW81" s="594"/>
      <c r="WJX81" s="594"/>
      <c r="WJY81" s="594"/>
      <c r="WJZ81" s="594"/>
      <c r="WKA81" s="594"/>
      <c r="WKB81" s="594"/>
      <c r="WKC81" s="594"/>
      <c r="WKD81" s="594"/>
      <c r="WKE81" s="594"/>
      <c r="WKF81" s="594"/>
      <c r="WKG81" s="594"/>
      <c r="WKH81" s="594"/>
      <c r="WKI81" s="594"/>
      <c r="WKJ81" s="594"/>
      <c r="WKK81" s="594"/>
      <c r="WKL81" s="594"/>
      <c r="WKM81" s="594"/>
      <c r="WKN81" s="594"/>
      <c r="WKO81" s="594"/>
      <c r="WKP81" s="594"/>
      <c r="WKQ81" s="594"/>
      <c r="WKR81" s="594"/>
      <c r="WKS81" s="594"/>
      <c r="WKT81" s="594"/>
      <c r="WKU81" s="594"/>
      <c r="WKV81" s="594"/>
      <c r="WKW81" s="594"/>
      <c r="WKX81" s="594"/>
      <c r="WKY81" s="594"/>
      <c r="WKZ81" s="594"/>
      <c r="WLA81" s="594"/>
      <c r="WLB81" s="594"/>
      <c r="WLC81" s="594"/>
      <c r="WLD81" s="594"/>
      <c r="WLE81" s="594"/>
      <c r="WLF81" s="594"/>
      <c r="WLG81" s="594"/>
      <c r="WLH81" s="594"/>
      <c r="WLI81" s="594"/>
      <c r="WLJ81" s="594"/>
      <c r="WLK81" s="594"/>
      <c r="WLL81" s="594"/>
      <c r="WLM81" s="594"/>
      <c r="WLN81" s="594"/>
      <c r="WLO81" s="594"/>
      <c r="WLP81" s="594"/>
      <c r="WLQ81" s="594"/>
      <c r="WLR81" s="594"/>
      <c r="WLS81" s="594"/>
      <c r="WLT81" s="594"/>
      <c r="WLU81" s="594"/>
      <c r="WLV81" s="594"/>
      <c r="WLW81" s="594"/>
      <c r="WLX81" s="594"/>
      <c r="WLY81" s="594"/>
      <c r="WLZ81" s="594"/>
      <c r="WMA81" s="594"/>
      <c r="WMB81" s="594"/>
      <c r="WMC81" s="594"/>
      <c r="WMD81" s="594"/>
      <c r="WME81" s="594"/>
      <c r="WMF81" s="594"/>
      <c r="WMG81" s="594"/>
      <c r="WMH81" s="594"/>
      <c r="WMI81" s="594"/>
      <c r="WMJ81" s="594"/>
      <c r="WMK81" s="594"/>
      <c r="WML81" s="594"/>
      <c r="WMM81" s="594"/>
      <c r="WMN81" s="594"/>
      <c r="WMO81" s="594"/>
      <c r="WMP81" s="594"/>
      <c r="WMQ81" s="594"/>
      <c r="WMR81" s="594"/>
      <c r="WMS81" s="594"/>
      <c r="WMT81" s="594"/>
      <c r="WMU81" s="594"/>
      <c r="WMV81" s="594"/>
      <c r="WMW81" s="594"/>
      <c r="WMX81" s="594"/>
      <c r="WMY81" s="594"/>
      <c r="WMZ81" s="594"/>
      <c r="WNA81" s="594"/>
      <c r="WNB81" s="594"/>
      <c r="WNC81" s="594"/>
      <c r="WND81" s="594"/>
      <c r="WNE81" s="594"/>
      <c r="WNF81" s="594"/>
      <c r="WNG81" s="594"/>
      <c r="WNH81" s="594"/>
      <c r="WNI81" s="594"/>
      <c r="WNJ81" s="594"/>
      <c r="WNK81" s="594"/>
      <c r="WNL81" s="594"/>
      <c r="WNM81" s="594"/>
      <c r="WNN81" s="594"/>
      <c r="WNO81" s="594"/>
      <c r="WNP81" s="594"/>
      <c r="WNQ81" s="594"/>
      <c r="WNR81" s="594"/>
      <c r="WNS81" s="594"/>
      <c r="WNT81" s="594"/>
      <c r="WNU81" s="594"/>
      <c r="WNV81" s="594"/>
      <c r="WNW81" s="594"/>
      <c r="WNX81" s="594"/>
      <c r="WNY81" s="594"/>
      <c r="WNZ81" s="594"/>
      <c r="WOA81" s="594"/>
      <c r="WOB81" s="594"/>
      <c r="WOC81" s="594"/>
      <c r="WOD81" s="594"/>
      <c r="WOE81" s="594"/>
      <c r="WOF81" s="594"/>
      <c r="WOG81" s="594"/>
      <c r="WOH81" s="594"/>
      <c r="WOI81" s="594"/>
      <c r="WOJ81" s="594"/>
      <c r="WOK81" s="594"/>
      <c r="WOL81" s="594"/>
      <c r="WOM81" s="594"/>
      <c r="WON81" s="594"/>
      <c r="WOO81" s="594"/>
      <c r="WOP81" s="594"/>
      <c r="WOQ81" s="594"/>
      <c r="WOR81" s="594"/>
      <c r="WOS81" s="594"/>
      <c r="WOT81" s="594"/>
      <c r="WOU81" s="594"/>
      <c r="WOV81" s="594"/>
      <c r="WOW81" s="594"/>
      <c r="WOX81" s="594"/>
      <c r="WOY81" s="594"/>
      <c r="WOZ81" s="594"/>
      <c r="WPA81" s="594"/>
      <c r="WPB81" s="594"/>
      <c r="WPC81" s="594"/>
      <c r="WPD81" s="594"/>
      <c r="WPE81" s="594"/>
      <c r="WPF81" s="594"/>
      <c r="WPG81" s="594"/>
      <c r="WPH81" s="594"/>
      <c r="WPI81" s="594"/>
      <c r="WPJ81" s="594"/>
      <c r="WPK81" s="594"/>
      <c r="WPL81" s="594"/>
      <c r="WPM81" s="594"/>
      <c r="WPN81" s="594"/>
      <c r="WPO81" s="594"/>
      <c r="WPP81" s="594"/>
      <c r="WPQ81" s="594"/>
      <c r="WPR81" s="594"/>
      <c r="WPS81" s="594"/>
      <c r="WPT81" s="594"/>
      <c r="WPU81" s="594"/>
      <c r="WPV81" s="594"/>
      <c r="WPW81" s="594"/>
      <c r="WPX81" s="594"/>
      <c r="WPY81" s="594"/>
      <c r="WPZ81" s="594"/>
      <c r="WQA81" s="594"/>
      <c r="WQB81" s="594"/>
      <c r="WQC81" s="594"/>
      <c r="WQD81" s="594"/>
      <c r="WQE81" s="594"/>
      <c r="WQF81" s="594"/>
      <c r="WQG81" s="594"/>
      <c r="WQH81" s="594"/>
      <c r="WQI81" s="594"/>
      <c r="WQJ81" s="594"/>
      <c r="WQK81" s="594"/>
      <c r="WQL81" s="594"/>
      <c r="WQM81" s="594"/>
      <c r="WQN81" s="594"/>
      <c r="WQO81" s="594"/>
      <c r="WQP81" s="594"/>
      <c r="WQQ81" s="594"/>
      <c r="WQR81" s="594"/>
      <c r="WQS81" s="594"/>
      <c r="WQT81" s="594"/>
      <c r="WQU81" s="594"/>
      <c r="WQV81" s="594"/>
      <c r="WQW81" s="594"/>
      <c r="WQX81" s="594"/>
      <c r="WQY81" s="594"/>
      <c r="WQZ81" s="594"/>
      <c r="WRA81" s="594"/>
      <c r="WRB81" s="594"/>
      <c r="WRC81" s="594"/>
      <c r="WRD81" s="594"/>
      <c r="WRE81" s="594"/>
      <c r="WRF81" s="594"/>
      <c r="WRG81" s="594"/>
      <c r="WRH81" s="594"/>
      <c r="WRI81" s="594"/>
      <c r="WRJ81" s="594"/>
      <c r="WRK81" s="594"/>
      <c r="WRL81" s="594"/>
      <c r="WRM81" s="594"/>
      <c r="WRN81" s="594"/>
      <c r="WRO81" s="594"/>
      <c r="WRP81" s="594"/>
      <c r="WRQ81" s="594"/>
      <c r="WRR81" s="594"/>
      <c r="WRS81" s="594"/>
      <c r="WRT81" s="594"/>
      <c r="WRU81" s="594"/>
      <c r="WRV81" s="594"/>
      <c r="WRW81" s="594"/>
      <c r="WRX81" s="594"/>
      <c r="WRY81" s="594"/>
      <c r="WRZ81" s="594"/>
      <c r="WSA81" s="594"/>
      <c r="WSB81" s="594"/>
      <c r="WSC81" s="594"/>
      <c r="WSD81" s="594"/>
      <c r="WSE81" s="594"/>
      <c r="WSF81" s="594"/>
      <c r="WSG81" s="594"/>
      <c r="WSH81" s="594"/>
      <c r="WSI81" s="594"/>
      <c r="WSJ81" s="594"/>
      <c r="WSK81" s="594"/>
      <c r="WSL81" s="594"/>
      <c r="WSM81" s="594"/>
      <c r="WSN81" s="594"/>
      <c r="WSO81" s="594"/>
      <c r="WSP81" s="594"/>
      <c r="WSQ81" s="594"/>
      <c r="WSR81" s="594"/>
      <c r="WSS81" s="594"/>
      <c r="WST81" s="594"/>
      <c r="WSU81" s="594"/>
      <c r="WSV81" s="594"/>
      <c r="WSW81" s="594"/>
      <c r="WSX81" s="594"/>
      <c r="WSY81" s="594"/>
      <c r="WSZ81" s="594"/>
      <c r="WTA81" s="594"/>
      <c r="WTB81" s="594"/>
      <c r="WTC81" s="594"/>
      <c r="WTD81" s="594"/>
      <c r="WTE81" s="594"/>
      <c r="WTF81" s="594"/>
      <c r="WTG81" s="594"/>
      <c r="WTH81" s="594"/>
      <c r="WTI81" s="594"/>
      <c r="WTJ81" s="594"/>
      <c r="WTK81" s="594"/>
      <c r="WTL81" s="594"/>
      <c r="WTM81" s="594"/>
      <c r="WTN81" s="594"/>
      <c r="WTO81" s="594"/>
      <c r="WTP81" s="594"/>
      <c r="WTQ81" s="594"/>
      <c r="WTR81" s="594"/>
      <c r="WTS81" s="594"/>
      <c r="WTT81" s="594"/>
      <c r="WTU81" s="594"/>
      <c r="WTV81" s="594"/>
      <c r="WTW81" s="594"/>
      <c r="WTX81" s="594"/>
      <c r="WTY81" s="594"/>
      <c r="WTZ81" s="594"/>
      <c r="WUA81" s="594"/>
      <c r="WUB81" s="594"/>
      <c r="WUC81" s="594"/>
      <c r="WUD81" s="594"/>
      <c r="WUE81" s="594"/>
      <c r="WUF81" s="594"/>
      <c r="WUG81" s="594"/>
      <c r="WUH81" s="594"/>
      <c r="WUI81" s="594"/>
      <c r="WUJ81" s="594"/>
      <c r="WUK81" s="594"/>
      <c r="WUL81" s="594"/>
      <c r="WUM81" s="594"/>
      <c r="WUN81" s="594"/>
      <c r="WUO81" s="594"/>
      <c r="WUP81" s="594"/>
      <c r="WUQ81" s="594"/>
      <c r="WUR81" s="594"/>
      <c r="WUS81" s="594"/>
      <c r="WUT81" s="594"/>
      <c r="WUU81" s="594"/>
      <c r="WUV81" s="594"/>
      <c r="WUW81" s="594"/>
      <c r="WUX81" s="594"/>
      <c r="WUY81" s="594"/>
      <c r="WUZ81" s="594"/>
      <c r="WVA81" s="594"/>
      <c r="WVB81" s="594"/>
      <c r="WVC81" s="594"/>
      <c r="WVD81" s="594"/>
      <c r="WVE81" s="594"/>
      <c r="WVF81" s="594"/>
      <c r="WVG81" s="594"/>
      <c r="WVH81" s="594"/>
      <c r="WVI81" s="594"/>
      <c r="WVJ81" s="594"/>
      <c r="WVK81" s="594"/>
      <c r="WVL81" s="594"/>
      <c r="WVM81" s="594"/>
      <c r="WVN81" s="594"/>
      <c r="WVO81" s="594"/>
      <c r="WVP81" s="594"/>
      <c r="WVQ81" s="594"/>
      <c r="WVR81" s="594"/>
      <c r="WVS81" s="594"/>
      <c r="WVT81" s="594"/>
      <c r="WVU81" s="594"/>
      <c r="WVV81" s="594"/>
      <c r="WVW81" s="594"/>
      <c r="WVX81" s="594"/>
      <c r="WVY81" s="594"/>
      <c r="WVZ81" s="594"/>
      <c r="WWA81" s="594"/>
      <c r="WWB81" s="594"/>
      <c r="WWC81" s="594"/>
      <c r="WWD81" s="594"/>
      <c r="WWE81" s="594"/>
      <c r="WWF81" s="594"/>
      <c r="WWG81" s="594"/>
      <c r="WWH81" s="594"/>
      <c r="WWI81" s="594"/>
      <c r="WWJ81" s="594"/>
      <c r="WWK81" s="594"/>
      <c r="WWL81" s="594"/>
      <c r="WWM81" s="594"/>
      <c r="WWN81" s="594"/>
      <c r="WWO81" s="594"/>
      <c r="WWP81" s="594"/>
      <c r="WWQ81" s="594"/>
      <c r="WWR81" s="594"/>
      <c r="WWS81" s="594"/>
      <c r="WWT81" s="594"/>
      <c r="WWU81" s="594"/>
      <c r="WWV81" s="594"/>
      <c r="WWW81" s="594"/>
      <c r="WWX81" s="594"/>
      <c r="WWY81" s="594"/>
      <c r="WWZ81" s="594"/>
      <c r="WXA81" s="594"/>
      <c r="WXB81" s="594"/>
      <c r="WXC81" s="594"/>
      <c r="WXD81" s="594"/>
      <c r="WXE81" s="594"/>
      <c r="WXF81" s="594"/>
      <c r="WXG81" s="594"/>
      <c r="WXH81" s="594"/>
      <c r="WXI81" s="594"/>
      <c r="WXJ81" s="594"/>
      <c r="WXK81" s="594"/>
      <c r="WXL81" s="594"/>
      <c r="WXM81" s="594"/>
      <c r="WXN81" s="594"/>
      <c r="WXO81" s="594"/>
      <c r="WXP81" s="594"/>
      <c r="WXQ81" s="594"/>
      <c r="WXR81" s="594"/>
      <c r="WXS81" s="594"/>
      <c r="WXT81" s="594"/>
      <c r="WXU81" s="594"/>
      <c r="WXV81" s="594"/>
      <c r="WXW81" s="594"/>
      <c r="WXX81" s="594"/>
      <c r="WXY81" s="594"/>
      <c r="WXZ81" s="594"/>
      <c r="WYA81" s="594"/>
      <c r="WYB81" s="594"/>
      <c r="WYC81" s="594"/>
      <c r="WYD81" s="594"/>
      <c r="WYE81" s="594"/>
      <c r="WYF81" s="594"/>
      <c r="WYG81" s="594"/>
      <c r="WYH81" s="594"/>
      <c r="WYI81" s="594"/>
      <c r="WYJ81" s="594"/>
      <c r="WYK81" s="594"/>
      <c r="WYL81" s="594"/>
      <c r="WYM81" s="594"/>
      <c r="WYN81" s="594"/>
      <c r="WYO81" s="594"/>
      <c r="WYP81" s="594"/>
      <c r="WYQ81" s="594"/>
      <c r="WYR81" s="594"/>
      <c r="WYS81" s="594"/>
      <c r="WYT81" s="594"/>
      <c r="WYU81" s="594"/>
      <c r="WYV81" s="594"/>
      <c r="WYW81" s="594"/>
      <c r="WYX81" s="594"/>
      <c r="WYY81" s="594"/>
      <c r="WYZ81" s="594"/>
      <c r="WZA81" s="594"/>
      <c r="WZB81" s="594"/>
      <c r="WZC81" s="594"/>
      <c r="WZD81" s="594"/>
      <c r="WZE81" s="594"/>
      <c r="WZF81" s="594"/>
      <c r="WZG81" s="594"/>
      <c r="WZH81" s="594"/>
      <c r="WZI81" s="594"/>
      <c r="WZJ81" s="594"/>
      <c r="WZK81" s="594"/>
      <c r="WZL81" s="594"/>
      <c r="WZM81" s="594"/>
      <c r="WZN81" s="594"/>
      <c r="WZO81" s="594"/>
      <c r="WZP81" s="594"/>
      <c r="WZQ81" s="594"/>
      <c r="WZR81" s="594"/>
      <c r="WZS81" s="594"/>
      <c r="WZT81" s="594"/>
      <c r="WZU81" s="594"/>
      <c r="WZV81" s="594"/>
      <c r="WZW81" s="594"/>
      <c r="WZX81" s="594"/>
      <c r="WZY81" s="594"/>
      <c r="WZZ81" s="594"/>
      <c r="XAA81" s="594"/>
      <c r="XAB81" s="594"/>
      <c r="XAC81" s="594"/>
      <c r="XAD81" s="594"/>
      <c r="XAE81" s="594"/>
      <c r="XAF81" s="594"/>
      <c r="XAG81" s="594"/>
      <c r="XAH81" s="594"/>
      <c r="XAI81" s="594"/>
      <c r="XAJ81" s="594"/>
      <c r="XAK81" s="594"/>
      <c r="XAL81" s="594"/>
      <c r="XAM81" s="594"/>
      <c r="XAN81" s="594"/>
      <c r="XAO81" s="594"/>
      <c r="XAP81" s="594"/>
      <c r="XAQ81" s="594"/>
      <c r="XAR81" s="594"/>
      <c r="XAS81" s="594"/>
      <c r="XAT81" s="594"/>
      <c r="XAU81" s="594"/>
      <c r="XAV81" s="594"/>
      <c r="XAW81" s="594"/>
      <c r="XAX81" s="594"/>
      <c r="XAY81" s="594"/>
      <c r="XAZ81" s="594"/>
      <c r="XBA81" s="594"/>
      <c r="XBB81" s="594"/>
      <c r="XBC81" s="594"/>
      <c r="XBD81" s="594"/>
      <c r="XBE81" s="594"/>
      <c r="XBF81" s="594"/>
      <c r="XBG81" s="594"/>
      <c r="XBH81" s="594"/>
      <c r="XBI81" s="594"/>
      <c r="XBJ81" s="594"/>
      <c r="XBK81" s="594"/>
      <c r="XBL81" s="594"/>
      <c r="XBM81" s="594"/>
      <c r="XBN81" s="594"/>
      <c r="XBO81" s="594"/>
      <c r="XBP81" s="594"/>
      <c r="XBQ81" s="594"/>
      <c r="XBR81" s="594"/>
      <c r="XBS81" s="594"/>
      <c r="XBT81" s="594"/>
      <c r="XBU81" s="594"/>
      <c r="XBV81" s="594"/>
      <c r="XBW81" s="594"/>
      <c r="XBX81" s="594"/>
      <c r="XBY81" s="594"/>
      <c r="XBZ81" s="594"/>
      <c r="XCA81" s="594"/>
      <c r="XCB81" s="594"/>
      <c r="XCC81" s="594"/>
      <c r="XCD81" s="594"/>
      <c r="XCE81" s="594"/>
      <c r="XCF81" s="594"/>
      <c r="XCG81" s="594"/>
      <c r="XCH81" s="594"/>
      <c r="XCI81" s="594"/>
      <c r="XCJ81" s="594"/>
      <c r="XCK81" s="594"/>
      <c r="XCL81" s="594"/>
      <c r="XCM81" s="594"/>
      <c r="XCN81" s="594"/>
      <c r="XCO81" s="594"/>
      <c r="XCP81" s="594"/>
      <c r="XCQ81" s="594"/>
      <c r="XCR81" s="594"/>
      <c r="XCS81" s="594"/>
      <c r="XCT81" s="594"/>
      <c r="XCU81" s="594"/>
      <c r="XCV81" s="594"/>
      <c r="XCW81" s="594"/>
      <c r="XCX81" s="594"/>
      <c r="XCY81" s="594"/>
      <c r="XCZ81" s="594"/>
      <c r="XDA81" s="594"/>
      <c r="XDB81" s="594"/>
      <c r="XDC81" s="594"/>
      <c r="XDD81" s="594"/>
      <c r="XDE81" s="594"/>
      <c r="XDF81" s="594"/>
      <c r="XDG81" s="594"/>
      <c r="XDH81" s="594"/>
      <c r="XDI81" s="594"/>
      <c r="XDJ81" s="594"/>
      <c r="XDK81" s="594"/>
      <c r="XDL81" s="594"/>
      <c r="XDM81" s="594"/>
      <c r="XDN81" s="594"/>
      <c r="XDO81" s="594"/>
      <c r="XDP81" s="594"/>
      <c r="XDQ81" s="594"/>
      <c r="XDR81" s="594"/>
      <c r="XDS81" s="594"/>
      <c r="XDT81" s="594"/>
      <c r="XDU81" s="594"/>
      <c r="XDV81" s="594"/>
      <c r="XDW81" s="594"/>
      <c r="XDX81" s="594"/>
      <c r="XDY81" s="594"/>
      <c r="XDZ81" s="594"/>
      <c r="XEA81" s="594"/>
      <c r="XEB81" s="594"/>
      <c r="XEC81" s="594"/>
      <c r="XED81" s="594"/>
      <c r="XEE81" s="594"/>
      <c r="XEF81" s="594"/>
      <c r="XEG81" s="594"/>
      <c r="XEH81" s="594"/>
      <c r="XEI81" s="594"/>
      <c r="XEJ81" s="594"/>
      <c r="XEK81" s="594"/>
      <c r="XEL81" s="594"/>
      <c r="XEM81" s="594"/>
      <c r="XEN81" s="594"/>
      <c r="XEO81" s="594"/>
      <c r="XEP81" s="594"/>
    </row>
    <row r="82" spans="1:16370" s="136" customFormat="1">
      <c r="A82" s="38"/>
      <c r="B82" s="171"/>
      <c r="C82" s="256"/>
      <c r="D82" s="71"/>
      <c r="E82" s="40"/>
      <c r="F82" s="96"/>
      <c r="G82" s="40"/>
      <c r="H82" s="99"/>
      <c r="I82" s="96"/>
      <c r="J82" s="96"/>
      <c r="K82" s="96"/>
      <c r="L82" s="78"/>
      <c r="M82" s="51"/>
      <c r="N82" s="78"/>
      <c r="O82" s="78"/>
      <c r="P82" s="330"/>
      <c r="Q82" s="264">
        <f>1</f>
        <v>1</v>
      </c>
      <c r="R82" s="130"/>
      <c r="T82" s="138"/>
      <c r="U82" s="137"/>
      <c r="X82" s="263"/>
      <c r="Y82" s="263" t="str">
        <f t="shared" si="12"/>
        <v/>
      </c>
      <c r="Z82" s="130" t="str">
        <f t="shared" si="11"/>
        <v/>
      </c>
    </row>
    <row r="83" spans="1:16370" s="136" customFormat="1" ht="204">
      <c r="A83" s="38" t="e">
        <f>#REF!+1</f>
        <v>#REF!</v>
      </c>
      <c r="B83" s="173" t="s">
        <v>347</v>
      </c>
      <c r="C83" s="135" t="s">
        <v>347</v>
      </c>
      <c r="D83" s="153" t="s">
        <v>348</v>
      </c>
      <c r="E83" s="141">
        <f>LEN(D83)</f>
        <v>297</v>
      </c>
      <c r="F83" s="153" t="s">
        <v>349</v>
      </c>
      <c r="G83" s="141">
        <f>LEN(F83)</f>
        <v>322</v>
      </c>
      <c r="H83" s="150" t="s">
        <v>37</v>
      </c>
      <c r="I83" s="141" t="s">
        <v>24</v>
      </c>
      <c r="J83" s="141" t="s">
        <v>24</v>
      </c>
      <c r="K83" s="141" t="s">
        <v>38</v>
      </c>
      <c r="L83" s="163" t="s">
        <v>350</v>
      </c>
      <c r="M83" s="208" t="s">
        <v>24</v>
      </c>
      <c r="N83" s="163" t="s">
        <v>351</v>
      </c>
      <c r="O83" s="51"/>
      <c r="P83" s="2"/>
      <c r="Q83" s="259">
        <f>1</f>
        <v>1</v>
      </c>
      <c r="R83" s="130"/>
      <c r="T83" s="405" t="s">
        <v>33</v>
      </c>
      <c r="U83" s="137"/>
      <c r="X83" s="262">
        <v>17.261402130126953</v>
      </c>
      <c r="Y83" s="262">
        <f t="shared" si="12"/>
        <v>17.261402130126953</v>
      </c>
      <c r="Z83" s="130">
        <f t="shared" si="11"/>
        <v>17.261402130126953</v>
      </c>
    </row>
    <row r="84" spans="1:16370" s="136" customFormat="1">
      <c r="A84" s="38"/>
      <c r="B84" s="171"/>
      <c r="C84" s="91"/>
      <c r="D84" s="169"/>
      <c r="E84" s="40"/>
      <c r="F84" s="40"/>
      <c r="G84" s="40"/>
      <c r="H84" s="92"/>
      <c r="I84" s="40"/>
      <c r="J84" s="40"/>
      <c r="K84" s="40"/>
      <c r="L84" s="82"/>
      <c r="M84" s="51"/>
      <c r="N84" s="82"/>
      <c r="O84" s="82"/>
      <c r="P84" s="2"/>
      <c r="Q84" s="264">
        <f>1</f>
        <v>1</v>
      </c>
      <c r="R84" s="130"/>
      <c r="T84" s="138"/>
      <c r="U84" s="137"/>
      <c r="X84" s="263"/>
      <c r="Y84" s="263" t="str">
        <f t="shared" si="12"/>
        <v/>
      </c>
      <c r="Z84" s="130" t="str">
        <f t="shared" si="11"/>
        <v/>
      </c>
    </row>
    <row r="85" spans="1:16370" s="136" customFormat="1" ht="409.6">
      <c r="A85" s="38" t="e">
        <f>A83+1</f>
        <v>#REF!</v>
      </c>
      <c r="B85" s="173" t="s">
        <v>352</v>
      </c>
      <c r="C85" s="135" t="s">
        <v>352</v>
      </c>
      <c r="D85" s="153" t="s">
        <v>353</v>
      </c>
      <c r="E85" s="141">
        <f>LEN(D85)</f>
        <v>1243</v>
      </c>
      <c r="F85" s="563" t="s">
        <v>354</v>
      </c>
      <c r="G85" s="141">
        <f>LEN(F85)</f>
        <v>1321</v>
      </c>
      <c r="H85" s="150" t="s">
        <v>37</v>
      </c>
      <c r="I85" s="141" t="s">
        <v>24</v>
      </c>
      <c r="J85" s="141" t="s">
        <v>24</v>
      </c>
      <c r="K85" s="141" t="s">
        <v>355</v>
      </c>
      <c r="L85" s="132" t="s">
        <v>356</v>
      </c>
      <c r="M85" s="208" t="s">
        <v>24</v>
      </c>
      <c r="N85" s="139" t="s">
        <v>357</v>
      </c>
      <c r="O85" s="43"/>
      <c r="P85" s="2"/>
      <c r="Q85" s="259">
        <f>1</f>
        <v>1</v>
      </c>
      <c r="R85" s="130"/>
      <c r="T85" s="405" t="s">
        <v>33</v>
      </c>
      <c r="U85" s="137"/>
      <c r="X85" s="262">
        <v>14.47539234161377</v>
      </c>
      <c r="Y85" s="262">
        <f t="shared" si="12"/>
        <v>14.47539234161377</v>
      </c>
      <c r="Z85" s="130">
        <f t="shared" si="11"/>
        <v>14.47539234161377</v>
      </c>
    </row>
    <row r="86" spans="1:16370" s="221" customFormat="1" ht="182.25" customHeight="1">
      <c r="A86" s="314"/>
      <c r="B86" s="223" t="s">
        <v>358</v>
      </c>
      <c r="C86" s="234" t="s">
        <v>359</v>
      </c>
      <c r="D86" s="140" t="s">
        <v>273</v>
      </c>
      <c r="E86" s="133">
        <f>LEN(D86)</f>
        <v>134</v>
      </c>
      <c r="F86" s="393" t="s">
        <v>274</v>
      </c>
      <c r="G86" s="141">
        <f>LEN(F86)</f>
        <v>168</v>
      </c>
      <c r="H86" s="135" t="s">
        <v>37</v>
      </c>
      <c r="I86" s="133" t="s">
        <v>24</v>
      </c>
      <c r="J86" s="133" t="s">
        <v>24</v>
      </c>
      <c r="K86" s="133" t="s">
        <v>38</v>
      </c>
      <c r="L86" s="132" t="s">
        <v>360</v>
      </c>
      <c r="M86" s="208" t="s">
        <v>24</v>
      </c>
      <c r="N86" s="139" t="s">
        <v>361</v>
      </c>
      <c r="O86" s="43"/>
      <c r="P86" s="42"/>
      <c r="Q86" s="367">
        <f>1</f>
        <v>1</v>
      </c>
      <c r="R86" s="131"/>
      <c r="T86" s="409" t="s">
        <v>33</v>
      </c>
      <c r="U86" s="215"/>
      <c r="X86" s="266">
        <v>8</v>
      </c>
      <c r="Y86" s="266">
        <f t="shared" si="12"/>
        <v>8</v>
      </c>
      <c r="Z86" s="131">
        <f>IF(T86="yes",Y86,"")</f>
        <v>8</v>
      </c>
    </row>
    <row r="87" spans="1:16370" s="221" customFormat="1" ht="182.25" customHeight="1">
      <c r="A87" s="314"/>
      <c r="B87" s="223" t="s">
        <v>362</v>
      </c>
      <c r="C87" s="234" t="s">
        <v>363</v>
      </c>
      <c r="D87" s="140" t="s">
        <v>326</v>
      </c>
      <c r="E87" s="133">
        <f>LEN(D87)</f>
        <v>160</v>
      </c>
      <c r="F87" s="393" t="s">
        <v>280</v>
      </c>
      <c r="G87" s="141">
        <f>LEN(F87)</f>
        <v>188</v>
      </c>
      <c r="H87" s="135" t="s">
        <v>37</v>
      </c>
      <c r="I87" s="133" t="s">
        <v>24</v>
      </c>
      <c r="J87" s="133" t="s">
        <v>24</v>
      </c>
      <c r="K87" s="133" t="s">
        <v>38</v>
      </c>
      <c r="L87" s="132" t="s">
        <v>360</v>
      </c>
      <c r="M87" s="208" t="s">
        <v>24</v>
      </c>
      <c r="N87" s="139" t="s">
        <v>364</v>
      </c>
      <c r="O87" s="43"/>
      <c r="P87" s="42"/>
      <c r="Q87" s="367">
        <f>1</f>
        <v>1</v>
      </c>
      <c r="R87" s="131"/>
      <c r="T87" s="409" t="s">
        <v>33</v>
      </c>
      <c r="U87" s="215"/>
      <c r="X87" s="266">
        <v>8</v>
      </c>
      <c r="Y87" s="266">
        <f t="shared" si="12"/>
        <v>8</v>
      </c>
      <c r="Z87" s="131">
        <f>IF(T87="yes",Y87,"")</f>
        <v>8</v>
      </c>
    </row>
    <row r="88" spans="1:16370" s="136" customFormat="1" ht="182.25" customHeight="1">
      <c r="A88" s="314"/>
      <c r="B88" s="223" t="s">
        <v>365</v>
      </c>
      <c r="C88" s="234" t="s">
        <v>366</v>
      </c>
      <c r="D88" s="140" t="s">
        <v>284</v>
      </c>
      <c r="E88" s="133">
        <f>LEN(D88)</f>
        <v>163</v>
      </c>
      <c r="F88" s="393" t="s">
        <v>285</v>
      </c>
      <c r="G88" s="141">
        <f>LEN(F88)</f>
        <v>185</v>
      </c>
      <c r="H88" s="135" t="s">
        <v>37</v>
      </c>
      <c r="I88" s="133" t="s">
        <v>24</v>
      </c>
      <c r="J88" s="133" t="s">
        <v>24</v>
      </c>
      <c r="K88" s="133" t="s">
        <v>38</v>
      </c>
      <c r="L88" s="132" t="s">
        <v>360</v>
      </c>
      <c r="M88" s="208" t="s">
        <v>24</v>
      </c>
      <c r="N88" s="139" t="s">
        <v>367</v>
      </c>
      <c r="O88" s="43"/>
      <c r="P88" s="42"/>
      <c r="Q88" s="259">
        <f>1</f>
        <v>1</v>
      </c>
      <c r="R88" s="130"/>
      <c r="T88" s="405" t="s">
        <v>33</v>
      </c>
      <c r="U88" s="137"/>
      <c r="X88" s="262">
        <v>8</v>
      </c>
      <c r="Y88" s="262">
        <f t="shared" si="12"/>
        <v>8</v>
      </c>
      <c r="Z88" s="130">
        <f>IF(T88="yes",Y88,"")</f>
        <v>8</v>
      </c>
    </row>
    <row r="89" spans="1:16370" s="136" customFormat="1">
      <c r="A89" s="90"/>
      <c r="B89" s="251"/>
      <c r="C89" s="256"/>
      <c r="D89" s="257"/>
      <c r="E89" s="96"/>
      <c r="G89" s="96"/>
      <c r="H89" s="91"/>
      <c r="I89" s="96"/>
      <c r="J89" s="96"/>
      <c r="K89" s="96"/>
      <c r="L89" s="78"/>
      <c r="M89" s="51"/>
      <c r="N89" s="162"/>
      <c r="O89" s="162"/>
      <c r="P89" s="42"/>
      <c r="Q89" s="264">
        <f>1</f>
        <v>1</v>
      </c>
      <c r="R89" s="130"/>
      <c r="T89" s="138"/>
      <c r="U89" s="137"/>
      <c r="X89" s="263"/>
      <c r="Y89" s="263" t="str">
        <f t="shared" si="12"/>
        <v/>
      </c>
      <c r="Z89" s="130" t="str">
        <f t="shared" si="11"/>
        <v/>
      </c>
    </row>
    <row r="90" spans="1:16370" s="136" customFormat="1" ht="135.94999999999999">
      <c r="A90" s="6" t="e">
        <f>A85+1</f>
        <v>#REF!</v>
      </c>
      <c r="B90" s="224" t="s">
        <v>368</v>
      </c>
      <c r="C90" s="9" t="s">
        <v>368</v>
      </c>
      <c r="D90" s="14" t="s">
        <v>369</v>
      </c>
      <c r="E90" s="12">
        <f>LEN(D90)</f>
        <v>243</v>
      </c>
      <c r="F90" s="424" t="s">
        <v>370</v>
      </c>
      <c r="G90" s="12">
        <f>LEN(F90)</f>
        <v>273</v>
      </c>
      <c r="H90" s="28" t="s">
        <v>127</v>
      </c>
      <c r="I90" s="12" t="s">
        <v>24</v>
      </c>
      <c r="J90" s="12" t="s">
        <v>24</v>
      </c>
      <c r="K90" s="12" t="s">
        <v>27</v>
      </c>
      <c r="L90" s="355" t="s">
        <v>371</v>
      </c>
      <c r="M90" s="72" t="s">
        <v>24</v>
      </c>
      <c r="N90" s="356" t="s">
        <v>372</v>
      </c>
      <c r="O90" s="24"/>
      <c r="P90" s="579" t="s">
        <v>292</v>
      </c>
      <c r="Q90" s="264">
        <f>1</f>
        <v>1</v>
      </c>
      <c r="R90" s="130"/>
      <c r="T90" s="138" t="s">
        <v>23</v>
      </c>
      <c r="U90" s="137"/>
      <c r="X90" s="263">
        <v>24.401098251342773</v>
      </c>
      <c r="Y90" s="263">
        <f t="shared" si="12"/>
        <v>24.401098251342773</v>
      </c>
      <c r="Z90" s="130" t="str">
        <f t="shared" si="11"/>
        <v/>
      </c>
    </row>
    <row r="91" spans="1:16370" s="136" customFormat="1" ht="119.1">
      <c r="A91" s="6" t="e">
        <f>A90+1</f>
        <v>#REF!</v>
      </c>
      <c r="B91" s="224" t="s">
        <v>373</v>
      </c>
      <c r="C91" s="233" t="s">
        <v>373</v>
      </c>
      <c r="D91" s="14" t="s">
        <v>294</v>
      </c>
      <c r="E91" s="12">
        <f>LEN(D91)</f>
        <v>253</v>
      </c>
      <c r="F91" s="425" t="s">
        <v>374</v>
      </c>
      <c r="G91" s="12">
        <f>LEN(F91)</f>
        <v>284</v>
      </c>
      <c r="H91" s="25" t="s">
        <v>37</v>
      </c>
      <c r="I91" s="8" t="s">
        <v>24</v>
      </c>
      <c r="J91" s="8" t="s">
        <v>24</v>
      </c>
      <c r="K91" s="8" t="s">
        <v>38</v>
      </c>
      <c r="L91" s="26" t="s">
        <v>375</v>
      </c>
      <c r="M91" s="72" t="s">
        <v>24</v>
      </c>
      <c r="N91" s="26" t="s">
        <v>376</v>
      </c>
      <c r="O91" s="26"/>
      <c r="P91" s="580"/>
      <c r="Q91" s="264">
        <f>1</f>
        <v>1</v>
      </c>
      <c r="R91" s="130"/>
      <c r="T91" s="138" t="s">
        <v>23</v>
      </c>
      <c r="U91" s="137"/>
      <c r="X91" s="263">
        <v>2.4700000000000002</v>
      </c>
      <c r="Y91" s="263">
        <f t="shared" si="12"/>
        <v>2.4700000000000002</v>
      </c>
      <c r="Z91" s="130" t="str">
        <f t="shared" si="11"/>
        <v/>
      </c>
    </row>
    <row r="92" spans="1:16370" s="136" customFormat="1" ht="170.1">
      <c r="A92" s="49">
        <v>18</v>
      </c>
      <c r="B92" s="352" t="s">
        <v>377</v>
      </c>
      <c r="C92" s="353" t="s">
        <v>377</v>
      </c>
      <c r="D92" s="48" t="s">
        <v>299</v>
      </c>
      <c r="E92" s="8">
        <f>LEN(D92)</f>
        <v>181</v>
      </c>
      <c r="F92" s="425" t="s">
        <v>340</v>
      </c>
      <c r="G92" s="12">
        <f>LEN(F92)</f>
        <v>168</v>
      </c>
      <c r="H92" s="9" t="s">
        <v>37</v>
      </c>
      <c r="I92" s="8" t="s">
        <v>24</v>
      </c>
      <c r="J92" s="8" t="s">
        <v>24</v>
      </c>
      <c r="K92" s="8" t="s">
        <v>38</v>
      </c>
      <c r="L92" s="26" t="s">
        <v>378</v>
      </c>
      <c r="M92" s="72" t="s">
        <v>24</v>
      </c>
      <c r="N92" s="337" t="s">
        <v>379</v>
      </c>
      <c r="O92" s="337"/>
      <c r="P92" s="42"/>
      <c r="Q92" s="264">
        <f>1</f>
        <v>1</v>
      </c>
      <c r="R92" s="130"/>
      <c r="T92" s="138" t="s">
        <v>23</v>
      </c>
      <c r="U92" s="137"/>
      <c r="X92" s="263">
        <v>4.7874016761779785</v>
      </c>
      <c r="Y92" s="263">
        <f t="shared" si="12"/>
        <v>4.7874016761779785</v>
      </c>
      <c r="Z92" s="130" t="str">
        <f>IF(T92="yes",Y92,"")</f>
        <v/>
      </c>
    </row>
    <row r="93" spans="1:16370" s="136" customFormat="1" ht="153">
      <c r="A93" s="18"/>
      <c r="B93" s="224" t="s">
        <v>380</v>
      </c>
      <c r="C93" s="233" t="s">
        <v>380</v>
      </c>
      <c r="D93" s="29" t="s">
        <v>304</v>
      </c>
      <c r="E93" s="16">
        <f>LEN(D93)</f>
        <v>215</v>
      </c>
      <c r="F93" s="424" t="s">
        <v>344</v>
      </c>
      <c r="G93" s="12">
        <f>LEN(F93)</f>
        <v>275</v>
      </c>
      <c r="H93" s="28" t="s">
        <v>37</v>
      </c>
      <c r="I93" s="12" t="s">
        <v>24</v>
      </c>
      <c r="J93" s="12" t="s">
        <v>24</v>
      </c>
      <c r="K93" s="12" t="s">
        <v>38</v>
      </c>
      <c r="L93" s="23" t="s">
        <v>381</v>
      </c>
      <c r="M93" s="72" t="s">
        <v>24</v>
      </c>
      <c r="N93" s="351" t="s">
        <v>382</v>
      </c>
      <c r="O93" s="335"/>
      <c r="P93" s="2"/>
      <c r="Q93" s="264">
        <f>1</f>
        <v>1</v>
      </c>
      <c r="R93" s="130"/>
      <c r="S93" s="594"/>
      <c r="T93" s="138" t="s">
        <v>23</v>
      </c>
      <c r="U93" s="137"/>
      <c r="V93" s="594"/>
      <c r="W93" s="594"/>
      <c r="X93" s="263">
        <v>20.918367385864258</v>
      </c>
      <c r="Y93" s="263">
        <f t="shared" si="12"/>
        <v>20.918367385864258</v>
      </c>
      <c r="Z93" s="130" t="str">
        <f>IF(T93="yes",Y93,"")</f>
        <v/>
      </c>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4"/>
      <c r="AX93" s="594"/>
      <c r="AY93" s="594"/>
      <c r="AZ93" s="594"/>
      <c r="BA93" s="594"/>
      <c r="BB93" s="594"/>
      <c r="BC93" s="594"/>
      <c r="BD93" s="594"/>
      <c r="BE93" s="594"/>
      <c r="BF93" s="594"/>
      <c r="BG93" s="594"/>
      <c r="BH93" s="594"/>
      <c r="BI93" s="594"/>
      <c r="BJ93" s="594"/>
      <c r="BK93" s="594"/>
      <c r="BL93" s="594"/>
      <c r="BM93" s="594"/>
      <c r="BN93" s="594"/>
      <c r="BO93" s="594"/>
      <c r="BP93" s="594"/>
      <c r="BQ93" s="594"/>
      <c r="BR93" s="594"/>
      <c r="BS93" s="594"/>
      <c r="BT93" s="594"/>
      <c r="BU93" s="594"/>
      <c r="BV93" s="594"/>
      <c r="BW93" s="594"/>
      <c r="BX93" s="594"/>
      <c r="BY93" s="594"/>
      <c r="BZ93" s="594"/>
      <c r="CA93" s="594"/>
      <c r="CB93" s="594"/>
      <c r="CC93" s="594"/>
      <c r="CD93" s="594"/>
      <c r="CE93" s="594"/>
      <c r="CF93" s="594"/>
      <c r="CG93" s="594"/>
      <c r="CH93" s="594"/>
      <c r="CI93" s="594"/>
      <c r="CJ93" s="594"/>
      <c r="CK93" s="594"/>
      <c r="CL93" s="594"/>
      <c r="CM93" s="594"/>
      <c r="CN93" s="594"/>
      <c r="CO93" s="594"/>
      <c r="CP93" s="594"/>
      <c r="CQ93" s="594"/>
      <c r="CR93" s="594"/>
      <c r="CS93" s="594"/>
      <c r="CT93" s="594"/>
      <c r="CU93" s="594"/>
      <c r="CV93" s="594"/>
      <c r="CW93" s="594"/>
      <c r="CX93" s="594"/>
      <c r="CY93" s="594"/>
      <c r="CZ93" s="594"/>
      <c r="DA93" s="594"/>
      <c r="DB93" s="594"/>
      <c r="DC93" s="594"/>
      <c r="DD93" s="594"/>
      <c r="DE93" s="594"/>
      <c r="DF93" s="594"/>
      <c r="DG93" s="594"/>
      <c r="DH93" s="594"/>
      <c r="DI93" s="594"/>
      <c r="DJ93" s="594"/>
      <c r="DK93" s="594"/>
      <c r="DL93" s="594"/>
      <c r="DM93" s="594"/>
      <c r="DN93" s="594"/>
      <c r="DO93" s="594"/>
      <c r="DP93" s="594"/>
      <c r="DQ93" s="594"/>
      <c r="DR93" s="594"/>
      <c r="DS93" s="594"/>
      <c r="DT93" s="594"/>
      <c r="DU93" s="594"/>
      <c r="DV93" s="594"/>
      <c r="DW93" s="594"/>
      <c r="DX93" s="594"/>
      <c r="DY93" s="594"/>
      <c r="DZ93" s="594"/>
      <c r="EA93" s="594"/>
      <c r="EB93" s="594"/>
      <c r="EC93" s="594"/>
      <c r="ED93" s="594"/>
      <c r="EE93" s="594"/>
      <c r="EF93" s="594"/>
      <c r="EG93" s="594"/>
      <c r="EH93" s="594"/>
      <c r="EI93" s="594"/>
      <c r="EJ93" s="594"/>
      <c r="EK93" s="594"/>
      <c r="EL93" s="594"/>
      <c r="EM93" s="594"/>
      <c r="EN93" s="594"/>
      <c r="EO93" s="594"/>
      <c r="EP93" s="594"/>
      <c r="EQ93" s="594"/>
      <c r="ER93" s="594"/>
      <c r="ES93" s="594"/>
      <c r="ET93" s="594"/>
      <c r="EU93" s="594"/>
      <c r="EV93" s="594"/>
      <c r="EW93" s="594"/>
      <c r="EX93" s="594"/>
      <c r="EY93" s="594"/>
      <c r="EZ93" s="594"/>
      <c r="FA93" s="594"/>
      <c r="FB93" s="594"/>
      <c r="FC93" s="594"/>
      <c r="FD93" s="594"/>
      <c r="FE93" s="594"/>
      <c r="FF93" s="594"/>
      <c r="FG93" s="594"/>
      <c r="FH93" s="594"/>
      <c r="FI93" s="594"/>
      <c r="FJ93" s="594"/>
      <c r="FK93" s="594"/>
      <c r="FL93" s="594"/>
      <c r="FM93" s="594"/>
      <c r="FN93" s="594"/>
      <c r="FO93" s="594"/>
      <c r="FP93" s="594"/>
      <c r="FQ93" s="594"/>
      <c r="FR93" s="594"/>
      <c r="FS93" s="594"/>
      <c r="FT93" s="594"/>
      <c r="FU93" s="594"/>
      <c r="FV93" s="594"/>
      <c r="FW93" s="594"/>
      <c r="FX93" s="594"/>
      <c r="FY93" s="594"/>
      <c r="FZ93" s="594"/>
      <c r="GA93" s="594"/>
      <c r="GB93" s="594"/>
      <c r="GC93" s="594"/>
      <c r="GD93" s="594"/>
      <c r="GE93" s="594"/>
      <c r="GF93" s="594"/>
      <c r="GG93" s="594"/>
      <c r="GH93" s="594"/>
      <c r="GI93" s="594"/>
      <c r="GJ93" s="594"/>
      <c r="GK93" s="594"/>
      <c r="GL93" s="594"/>
      <c r="GM93" s="594"/>
      <c r="GN93" s="594"/>
      <c r="GO93" s="594"/>
      <c r="GP93" s="594"/>
      <c r="GQ93" s="594"/>
      <c r="GR93" s="594"/>
      <c r="GS93" s="594"/>
      <c r="GT93" s="594"/>
      <c r="GU93" s="594"/>
      <c r="GV93" s="594"/>
      <c r="GW93" s="594"/>
      <c r="GX93" s="594"/>
      <c r="GY93" s="594"/>
      <c r="GZ93" s="594"/>
      <c r="HA93" s="594"/>
      <c r="HB93" s="594"/>
      <c r="HC93" s="594"/>
      <c r="HD93" s="594"/>
      <c r="HE93" s="594"/>
      <c r="HF93" s="594"/>
      <c r="HG93" s="594"/>
      <c r="HH93" s="594"/>
      <c r="HI93" s="594"/>
      <c r="HJ93" s="594"/>
      <c r="HK93" s="594"/>
      <c r="HL93" s="594"/>
      <c r="HM93" s="594"/>
      <c r="HN93" s="594"/>
      <c r="HO93" s="594"/>
      <c r="HP93" s="594"/>
      <c r="HQ93" s="594"/>
      <c r="HR93" s="594"/>
      <c r="HS93" s="594"/>
      <c r="HT93" s="594"/>
      <c r="HU93" s="594"/>
      <c r="HV93" s="594"/>
      <c r="HW93" s="594"/>
      <c r="HX93" s="594"/>
      <c r="HY93" s="594"/>
      <c r="HZ93" s="594"/>
      <c r="IA93" s="594"/>
      <c r="IB93" s="594"/>
      <c r="IC93" s="594"/>
      <c r="ID93" s="594"/>
      <c r="IE93" s="594"/>
      <c r="IF93" s="594"/>
      <c r="IG93" s="594"/>
      <c r="IH93" s="594"/>
      <c r="II93" s="594"/>
      <c r="IJ93" s="594"/>
      <c r="IK93" s="594"/>
      <c r="IL93" s="594"/>
      <c r="IM93" s="594"/>
      <c r="IN93" s="594"/>
      <c r="IO93" s="594"/>
      <c r="IP93" s="594"/>
      <c r="IQ93" s="594"/>
      <c r="IR93" s="594"/>
      <c r="IS93" s="594"/>
      <c r="IT93" s="594"/>
      <c r="IU93" s="594"/>
      <c r="IV93" s="594"/>
      <c r="IW93" s="594"/>
      <c r="IX93" s="594"/>
      <c r="IY93" s="594"/>
      <c r="IZ93" s="594"/>
      <c r="JA93" s="594"/>
      <c r="JB93" s="594"/>
      <c r="JC93" s="594"/>
      <c r="JD93" s="594"/>
      <c r="JE93" s="594"/>
      <c r="JF93" s="594"/>
      <c r="JG93" s="594"/>
      <c r="JH93" s="594"/>
      <c r="JI93" s="594"/>
      <c r="JJ93" s="594"/>
      <c r="JK93" s="594"/>
      <c r="JL93" s="594"/>
      <c r="JM93" s="594"/>
      <c r="JN93" s="594"/>
      <c r="JO93" s="594"/>
      <c r="JP93" s="594"/>
      <c r="JQ93" s="594"/>
      <c r="JR93" s="594"/>
      <c r="JS93" s="594"/>
      <c r="JT93" s="594"/>
      <c r="JU93" s="594"/>
      <c r="JV93" s="594"/>
      <c r="JW93" s="594"/>
      <c r="JX93" s="594"/>
      <c r="JY93" s="594"/>
      <c r="JZ93" s="594"/>
      <c r="KA93" s="594"/>
      <c r="KB93" s="594"/>
      <c r="KC93" s="594"/>
      <c r="KD93" s="594"/>
      <c r="KE93" s="594"/>
      <c r="KF93" s="594"/>
      <c r="KG93" s="594"/>
      <c r="KH93" s="594"/>
      <c r="KI93" s="594"/>
      <c r="KJ93" s="594"/>
      <c r="KK93" s="594"/>
      <c r="KL93" s="594"/>
      <c r="KM93" s="594"/>
      <c r="KN93" s="594"/>
      <c r="KO93" s="594"/>
      <c r="KP93" s="594"/>
      <c r="KQ93" s="594"/>
      <c r="KR93" s="594"/>
      <c r="KS93" s="594"/>
      <c r="KT93" s="594"/>
      <c r="KU93" s="594"/>
      <c r="KV93" s="594"/>
      <c r="KW93" s="594"/>
      <c r="KX93" s="594"/>
      <c r="KY93" s="594"/>
      <c r="KZ93" s="594"/>
      <c r="LA93" s="594"/>
      <c r="LB93" s="594"/>
      <c r="LC93" s="594"/>
      <c r="LD93" s="594"/>
      <c r="LE93" s="594"/>
      <c r="LF93" s="594"/>
      <c r="LG93" s="594"/>
      <c r="LH93" s="594"/>
      <c r="LI93" s="594"/>
      <c r="LJ93" s="594"/>
      <c r="LK93" s="594"/>
      <c r="LL93" s="594"/>
      <c r="LM93" s="594"/>
      <c r="LN93" s="594"/>
      <c r="LO93" s="594"/>
      <c r="LP93" s="594"/>
      <c r="LQ93" s="594"/>
      <c r="LR93" s="594"/>
      <c r="LS93" s="594"/>
      <c r="LT93" s="594"/>
      <c r="LU93" s="594"/>
      <c r="LV93" s="594"/>
      <c r="LW93" s="594"/>
      <c r="LX93" s="594"/>
      <c r="LY93" s="594"/>
      <c r="LZ93" s="594"/>
      <c r="MA93" s="594"/>
      <c r="MB93" s="594"/>
      <c r="MC93" s="594"/>
      <c r="MD93" s="594"/>
      <c r="ME93" s="594"/>
      <c r="MF93" s="594"/>
      <c r="MG93" s="594"/>
      <c r="MH93" s="594"/>
      <c r="MI93" s="594"/>
      <c r="MJ93" s="594"/>
      <c r="MK93" s="594"/>
      <c r="ML93" s="594"/>
      <c r="MM93" s="594"/>
      <c r="MN93" s="594"/>
      <c r="MO93" s="594"/>
      <c r="MP93" s="594"/>
      <c r="MQ93" s="594"/>
      <c r="MR93" s="594"/>
      <c r="MS93" s="594"/>
      <c r="MT93" s="594"/>
      <c r="MU93" s="594"/>
      <c r="MV93" s="594"/>
      <c r="MW93" s="594"/>
      <c r="MX93" s="594"/>
      <c r="MY93" s="594"/>
      <c r="MZ93" s="594"/>
      <c r="NA93" s="594"/>
      <c r="NB93" s="594"/>
      <c r="NC93" s="594"/>
      <c r="ND93" s="594"/>
      <c r="NE93" s="594"/>
      <c r="NF93" s="594"/>
      <c r="NG93" s="594"/>
      <c r="NH93" s="594"/>
      <c r="NI93" s="594"/>
      <c r="NJ93" s="594"/>
      <c r="NK93" s="594"/>
      <c r="NL93" s="594"/>
      <c r="NM93" s="594"/>
      <c r="NN93" s="594"/>
      <c r="NO93" s="594"/>
      <c r="NP93" s="594"/>
      <c r="NQ93" s="594"/>
      <c r="NR93" s="594"/>
      <c r="NS93" s="594"/>
      <c r="NT93" s="594"/>
      <c r="NU93" s="594"/>
      <c r="NV93" s="594"/>
      <c r="NW93" s="594"/>
      <c r="NX93" s="594"/>
      <c r="NY93" s="594"/>
      <c r="NZ93" s="594"/>
      <c r="OA93" s="594"/>
      <c r="OB93" s="594"/>
      <c r="OC93" s="594"/>
      <c r="OD93" s="594"/>
      <c r="OE93" s="594"/>
      <c r="OF93" s="594"/>
      <c r="OG93" s="594"/>
      <c r="OH93" s="594"/>
      <c r="OI93" s="594"/>
      <c r="OJ93" s="594"/>
      <c r="OK93" s="594"/>
      <c r="OL93" s="594"/>
      <c r="OM93" s="594"/>
      <c r="ON93" s="594"/>
      <c r="OO93" s="594"/>
      <c r="OP93" s="594"/>
      <c r="OQ93" s="594"/>
      <c r="OR93" s="594"/>
      <c r="OS93" s="594"/>
      <c r="OT93" s="594"/>
      <c r="OU93" s="594"/>
      <c r="OV93" s="594"/>
      <c r="OW93" s="594"/>
      <c r="OX93" s="594"/>
      <c r="OY93" s="594"/>
      <c r="OZ93" s="594"/>
      <c r="PA93" s="594"/>
      <c r="PB93" s="594"/>
      <c r="PC93" s="594"/>
      <c r="PD93" s="594"/>
      <c r="PE93" s="594"/>
      <c r="PF93" s="594"/>
      <c r="PG93" s="594"/>
      <c r="PH93" s="594"/>
      <c r="PI93" s="594"/>
      <c r="PJ93" s="594"/>
      <c r="PK93" s="594"/>
      <c r="PL93" s="594"/>
      <c r="PM93" s="594"/>
      <c r="PN93" s="594"/>
      <c r="PO93" s="594"/>
      <c r="PP93" s="594"/>
      <c r="PQ93" s="594"/>
      <c r="PR93" s="594"/>
      <c r="PS93" s="594"/>
      <c r="PT93" s="594"/>
      <c r="PU93" s="594"/>
      <c r="PV93" s="594"/>
      <c r="PW93" s="594"/>
      <c r="PX93" s="594"/>
      <c r="PY93" s="594"/>
      <c r="PZ93" s="594"/>
      <c r="QA93" s="594"/>
      <c r="QB93" s="594"/>
      <c r="QC93" s="594"/>
      <c r="QD93" s="594"/>
      <c r="QE93" s="594"/>
      <c r="QF93" s="594"/>
      <c r="QG93" s="594"/>
      <c r="QH93" s="594"/>
      <c r="QI93" s="594"/>
      <c r="QJ93" s="594"/>
      <c r="QK93" s="594"/>
      <c r="QL93" s="594"/>
      <c r="QM93" s="594"/>
      <c r="QN93" s="594"/>
      <c r="QO93" s="594"/>
      <c r="QP93" s="594"/>
      <c r="QQ93" s="594"/>
      <c r="QR93" s="594"/>
      <c r="QS93" s="594"/>
      <c r="QT93" s="594"/>
      <c r="QU93" s="594"/>
      <c r="QV93" s="594"/>
      <c r="QW93" s="594"/>
      <c r="QX93" s="594"/>
      <c r="QY93" s="594"/>
      <c r="QZ93" s="594"/>
      <c r="RA93" s="594"/>
      <c r="RB93" s="594"/>
      <c r="RC93" s="594"/>
      <c r="RD93" s="594"/>
      <c r="RE93" s="594"/>
      <c r="RF93" s="594"/>
      <c r="RG93" s="594"/>
      <c r="RH93" s="594"/>
      <c r="RI93" s="594"/>
      <c r="RJ93" s="594"/>
      <c r="RK93" s="594"/>
      <c r="RL93" s="594"/>
      <c r="RM93" s="594"/>
      <c r="RN93" s="594"/>
      <c r="RO93" s="594"/>
      <c r="RP93" s="594"/>
      <c r="RQ93" s="594"/>
      <c r="RR93" s="594"/>
      <c r="RS93" s="594"/>
      <c r="RT93" s="594"/>
      <c r="RU93" s="594"/>
      <c r="RV93" s="594"/>
      <c r="RW93" s="594"/>
      <c r="RX93" s="594"/>
      <c r="RY93" s="594"/>
      <c r="RZ93" s="594"/>
      <c r="SA93" s="594"/>
      <c r="SB93" s="594"/>
      <c r="SC93" s="594"/>
      <c r="SD93" s="594"/>
      <c r="SE93" s="594"/>
      <c r="SF93" s="594"/>
      <c r="SG93" s="594"/>
      <c r="SH93" s="594"/>
      <c r="SI93" s="594"/>
      <c r="SJ93" s="594"/>
      <c r="SK93" s="594"/>
      <c r="SL93" s="594"/>
      <c r="SM93" s="594"/>
      <c r="SN93" s="594"/>
      <c r="SO93" s="594"/>
      <c r="SP93" s="594"/>
      <c r="SQ93" s="594"/>
      <c r="SR93" s="594"/>
      <c r="SS93" s="594"/>
      <c r="ST93" s="594"/>
      <c r="SU93" s="594"/>
      <c r="SV93" s="594"/>
      <c r="SW93" s="594"/>
      <c r="SX93" s="594"/>
      <c r="SY93" s="594"/>
      <c r="SZ93" s="594"/>
      <c r="TA93" s="594"/>
      <c r="TB93" s="594"/>
      <c r="TC93" s="594"/>
      <c r="TD93" s="594"/>
      <c r="TE93" s="594"/>
      <c r="TF93" s="594"/>
      <c r="TG93" s="594"/>
      <c r="TH93" s="594"/>
      <c r="TI93" s="594"/>
      <c r="TJ93" s="594"/>
      <c r="TK93" s="594"/>
      <c r="TL93" s="594"/>
      <c r="TM93" s="594"/>
      <c r="TN93" s="594"/>
      <c r="TO93" s="594"/>
      <c r="TP93" s="594"/>
      <c r="TQ93" s="594"/>
      <c r="TR93" s="594"/>
      <c r="TS93" s="594"/>
      <c r="TT93" s="594"/>
      <c r="TU93" s="594"/>
      <c r="TV93" s="594"/>
      <c r="TW93" s="594"/>
      <c r="TX93" s="594"/>
      <c r="TY93" s="594"/>
      <c r="TZ93" s="594"/>
      <c r="UA93" s="594"/>
      <c r="UB93" s="594"/>
      <c r="UC93" s="594"/>
      <c r="UD93" s="594"/>
      <c r="UE93" s="594"/>
      <c r="UF93" s="594"/>
      <c r="UG93" s="594"/>
      <c r="UH93" s="594"/>
      <c r="UI93" s="594"/>
      <c r="UJ93" s="594"/>
      <c r="UK93" s="594"/>
      <c r="UL93" s="594"/>
      <c r="UM93" s="594"/>
      <c r="UN93" s="594"/>
      <c r="UO93" s="594"/>
      <c r="UP93" s="594"/>
      <c r="UQ93" s="594"/>
      <c r="UR93" s="594"/>
      <c r="US93" s="594"/>
      <c r="UT93" s="594"/>
      <c r="UU93" s="594"/>
      <c r="UV93" s="594"/>
      <c r="UW93" s="594"/>
      <c r="UX93" s="594"/>
      <c r="UY93" s="594"/>
      <c r="UZ93" s="594"/>
      <c r="VA93" s="594"/>
      <c r="VB93" s="594"/>
      <c r="VC93" s="594"/>
      <c r="VD93" s="594"/>
      <c r="VE93" s="594"/>
      <c r="VF93" s="594"/>
      <c r="VG93" s="594"/>
      <c r="VH93" s="594"/>
      <c r="VI93" s="594"/>
      <c r="VJ93" s="594"/>
      <c r="VK93" s="594"/>
      <c r="VL93" s="594"/>
      <c r="VM93" s="594"/>
      <c r="VN93" s="594"/>
      <c r="VO93" s="594"/>
      <c r="VP93" s="594"/>
      <c r="VQ93" s="594"/>
      <c r="VR93" s="594"/>
      <c r="VS93" s="594"/>
      <c r="VT93" s="594"/>
      <c r="VU93" s="594"/>
      <c r="VV93" s="594"/>
      <c r="VW93" s="594"/>
      <c r="VX93" s="594"/>
      <c r="VY93" s="594"/>
      <c r="VZ93" s="594"/>
      <c r="WA93" s="594"/>
      <c r="WB93" s="594"/>
      <c r="WC93" s="594"/>
      <c r="WD93" s="594"/>
      <c r="WE93" s="594"/>
      <c r="WF93" s="594"/>
      <c r="WG93" s="594"/>
      <c r="WH93" s="594"/>
      <c r="WI93" s="594"/>
      <c r="WJ93" s="594"/>
      <c r="WK93" s="594"/>
      <c r="WL93" s="594"/>
      <c r="WM93" s="594"/>
      <c r="WN93" s="594"/>
      <c r="WO93" s="594"/>
      <c r="WP93" s="594"/>
      <c r="WQ93" s="594"/>
      <c r="WR93" s="594"/>
      <c r="WS93" s="594"/>
      <c r="WT93" s="594"/>
      <c r="WU93" s="594"/>
      <c r="WV93" s="594"/>
      <c r="WW93" s="594"/>
      <c r="WX93" s="594"/>
      <c r="WY93" s="594"/>
      <c r="WZ93" s="594"/>
      <c r="XA93" s="594"/>
      <c r="XB93" s="594"/>
      <c r="XC93" s="594"/>
      <c r="XD93" s="594"/>
      <c r="XE93" s="594"/>
      <c r="XF93" s="594"/>
      <c r="XG93" s="594"/>
      <c r="XH93" s="594"/>
      <c r="XI93" s="594"/>
      <c r="XJ93" s="594"/>
      <c r="XK93" s="594"/>
      <c r="XL93" s="594"/>
      <c r="XM93" s="594"/>
      <c r="XN93" s="594"/>
      <c r="XO93" s="594"/>
      <c r="XP93" s="594"/>
      <c r="XQ93" s="594"/>
      <c r="XR93" s="594"/>
      <c r="XS93" s="594"/>
      <c r="XT93" s="594"/>
      <c r="XU93" s="594"/>
      <c r="XV93" s="594"/>
      <c r="XW93" s="594"/>
      <c r="XX93" s="594"/>
      <c r="XY93" s="594"/>
      <c r="XZ93" s="594"/>
      <c r="YA93" s="594"/>
      <c r="YB93" s="594"/>
      <c r="YC93" s="594"/>
      <c r="YD93" s="594"/>
      <c r="YE93" s="594"/>
      <c r="YF93" s="594"/>
      <c r="YG93" s="594"/>
      <c r="YH93" s="594"/>
      <c r="YI93" s="594"/>
      <c r="YJ93" s="594"/>
      <c r="YK93" s="594"/>
      <c r="YL93" s="594"/>
      <c r="YM93" s="594"/>
      <c r="YN93" s="594"/>
      <c r="YO93" s="594"/>
      <c r="YP93" s="594"/>
      <c r="YQ93" s="594"/>
      <c r="YR93" s="594"/>
      <c r="YS93" s="594"/>
      <c r="YT93" s="594"/>
      <c r="YU93" s="594"/>
      <c r="YV93" s="594"/>
      <c r="YW93" s="594"/>
      <c r="YX93" s="594"/>
      <c r="YY93" s="594"/>
      <c r="YZ93" s="594"/>
      <c r="ZA93" s="594"/>
      <c r="ZB93" s="594"/>
      <c r="ZC93" s="594"/>
      <c r="ZD93" s="594"/>
      <c r="ZE93" s="594"/>
      <c r="ZF93" s="594"/>
      <c r="ZG93" s="594"/>
      <c r="ZH93" s="594"/>
      <c r="ZI93" s="594"/>
      <c r="ZJ93" s="594"/>
      <c r="ZK93" s="594"/>
      <c r="ZL93" s="594"/>
      <c r="ZM93" s="594"/>
      <c r="ZN93" s="594"/>
      <c r="ZO93" s="594"/>
      <c r="ZP93" s="594"/>
      <c r="ZQ93" s="594"/>
      <c r="ZR93" s="594"/>
      <c r="ZS93" s="594"/>
      <c r="ZT93" s="594"/>
      <c r="ZU93" s="594"/>
      <c r="ZV93" s="594"/>
      <c r="ZW93" s="594"/>
      <c r="ZX93" s="594"/>
      <c r="ZY93" s="594"/>
      <c r="ZZ93" s="594"/>
      <c r="AAA93" s="594"/>
      <c r="AAB93" s="594"/>
      <c r="AAC93" s="594"/>
      <c r="AAD93" s="594"/>
      <c r="AAE93" s="594"/>
      <c r="AAF93" s="594"/>
      <c r="AAG93" s="594"/>
      <c r="AAH93" s="594"/>
      <c r="AAI93" s="594"/>
      <c r="AAJ93" s="594"/>
      <c r="AAK93" s="594"/>
      <c r="AAL93" s="594"/>
      <c r="AAM93" s="594"/>
      <c r="AAN93" s="594"/>
      <c r="AAO93" s="594"/>
      <c r="AAP93" s="594"/>
      <c r="AAQ93" s="594"/>
      <c r="AAR93" s="594"/>
      <c r="AAS93" s="594"/>
      <c r="AAT93" s="594"/>
      <c r="AAU93" s="594"/>
      <c r="AAV93" s="594"/>
      <c r="AAW93" s="594"/>
      <c r="AAX93" s="594"/>
      <c r="AAY93" s="594"/>
      <c r="AAZ93" s="594"/>
      <c r="ABA93" s="594"/>
      <c r="ABB93" s="594"/>
      <c r="ABC93" s="594"/>
      <c r="ABD93" s="594"/>
      <c r="ABE93" s="594"/>
      <c r="ABF93" s="594"/>
      <c r="ABG93" s="594"/>
      <c r="ABH93" s="594"/>
      <c r="ABI93" s="594"/>
      <c r="ABJ93" s="594"/>
      <c r="ABK93" s="594"/>
      <c r="ABL93" s="594"/>
      <c r="ABM93" s="594"/>
      <c r="ABN93" s="594"/>
      <c r="ABO93" s="594"/>
      <c r="ABP93" s="594"/>
      <c r="ABQ93" s="594"/>
      <c r="ABR93" s="594"/>
      <c r="ABS93" s="594"/>
      <c r="ABT93" s="594"/>
      <c r="ABU93" s="594"/>
      <c r="ABV93" s="594"/>
      <c r="ABW93" s="594"/>
      <c r="ABX93" s="594"/>
      <c r="ABY93" s="594"/>
      <c r="ABZ93" s="594"/>
      <c r="ACA93" s="594"/>
      <c r="ACB93" s="594"/>
      <c r="ACC93" s="594"/>
      <c r="ACD93" s="594"/>
      <c r="ACE93" s="594"/>
      <c r="ACF93" s="594"/>
      <c r="ACG93" s="594"/>
      <c r="ACH93" s="594"/>
      <c r="ACI93" s="594"/>
      <c r="ACJ93" s="594"/>
      <c r="ACK93" s="594"/>
      <c r="ACL93" s="594"/>
      <c r="ACM93" s="594"/>
      <c r="ACN93" s="594"/>
      <c r="ACO93" s="594"/>
      <c r="ACP93" s="594"/>
      <c r="ACQ93" s="594"/>
      <c r="ACR93" s="594"/>
      <c r="ACS93" s="594"/>
      <c r="ACT93" s="594"/>
      <c r="ACU93" s="594"/>
      <c r="ACV93" s="594"/>
      <c r="ACW93" s="594"/>
      <c r="ACX93" s="594"/>
      <c r="ACY93" s="594"/>
      <c r="ACZ93" s="594"/>
      <c r="ADA93" s="594"/>
      <c r="ADB93" s="594"/>
      <c r="ADC93" s="594"/>
      <c r="ADD93" s="594"/>
      <c r="ADE93" s="594"/>
      <c r="ADF93" s="594"/>
      <c r="ADG93" s="594"/>
      <c r="ADH93" s="594"/>
      <c r="ADI93" s="594"/>
      <c r="ADJ93" s="594"/>
      <c r="ADK93" s="594"/>
      <c r="ADL93" s="594"/>
      <c r="ADM93" s="594"/>
      <c r="ADN93" s="594"/>
      <c r="ADO93" s="594"/>
      <c r="ADP93" s="594"/>
      <c r="ADQ93" s="594"/>
      <c r="ADR93" s="594"/>
      <c r="ADS93" s="594"/>
      <c r="ADT93" s="594"/>
      <c r="ADU93" s="594"/>
      <c r="ADV93" s="594"/>
      <c r="ADW93" s="594"/>
      <c r="ADX93" s="594"/>
      <c r="ADY93" s="594"/>
      <c r="ADZ93" s="594"/>
      <c r="AEA93" s="594"/>
      <c r="AEB93" s="594"/>
      <c r="AEC93" s="594"/>
      <c r="AED93" s="594"/>
      <c r="AEE93" s="594"/>
      <c r="AEF93" s="594"/>
      <c r="AEG93" s="594"/>
      <c r="AEH93" s="594"/>
      <c r="AEI93" s="594"/>
      <c r="AEJ93" s="594"/>
      <c r="AEK93" s="594"/>
      <c r="AEL93" s="594"/>
      <c r="AEM93" s="594"/>
      <c r="AEN93" s="594"/>
      <c r="AEO93" s="594"/>
      <c r="AEP93" s="594"/>
      <c r="AEQ93" s="594"/>
      <c r="AER93" s="594"/>
      <c r="AES93" s="594"/>
      <c r="AET93" s="594"/>
      <c r="AEU93" s="594"/>
      <c r="AEV93" s="594"/>
      <c r="AEW93" s="594"/>
      <c r="AEX93" s="594"/>
      <c r="AEY93" s="594"/>
      <c r="AEZ93" s="594"/>
      <c r="AFA93" s="594"/>
      <c r="AFB93" s="594"/>
      <c r="AFC93" s="594"/>
      <c r="AFD93" s="594"/>
      <c r="AFE93" s="594"/>
      <c r="AFF93" s="594"/>
      <c r="AFG93" s="594"/>
      <c r="AFH93" s="594"/>
      <c r="AFI93" s="594"/>
      <c r="AFJ93" s="594"/>
      <c r="AFK93" s="594"/>
      <c r="AFL93" s="594"/>
      <c r="AFM93" s="594"/>
      <c r="AFN93" s="594"/>
      <c r="AFO93" s="594"/>
      <c r="AFP93" s="594"/>
      <c r="AFQ93" s="594"/>
      <c r="AFR93" s="594"/>
      <c r="AFS93" s="594"/>
      <c r="AFT93" s="594"/>
      <c r="AFU93" s="594"/>
      <c r="AFV93" s="594"/>
      <c r="AFW93" s="594"/>
      <c r="AFX93" s="594"/>
      <c r="AFY93" s="594"/>
      <c r="AFZ93" s="594"/>
      <c r="AGA93" s="594"/>
      <c r="AGB93" s="594"/>
      <c r="AGC93" s="594"/>
      <c r="AGD93" s="594"/>
      <c r="AGE93" s="594"/>
      <c r="AGF93" s="594"/>
      <c r="AGG93" s="594"/>
      <c r="AGH93" s="594"/>
      <c r="AGI93" s="594"/>
      <c r="AGJ93" s="594"/>
      <c r="AGK93" s="594"/>
      <c r="AGL93" s="594"/>
      <c r="AGM93" s="594"/>
      <c r="AGN93" s="594"/>
      <c r="AGO93" s="594"/>
      <c r="AGP93" s="594"/>
      <c r="AGQ93" s="594"/>
      <c r="AGR93" s="594"/>
      <c r="AGS93" s="594"/>
      <c r="AGT93" s="594"/>
      <c r="AGU93" s="594"/>
      <c r="AGV93" s="594"/>
      <c r="AGW93" s="594"/>
      <c r="AGX93" s="594"/>
      <c r="AGY93" s="594"/>
      <c r="AGZ93" s="594"/>
      <c r="AHA93" s="594"/>
      <c r="AHB93" s="594"/>
      <c r="AHC93" s="594"/>
      <c r="AHD93" s="594"/>
      <c r="AHE93" s="594"/>
      <c r="AHF93" s="594"/>
      <c r="AHG93" s="594"/>
      <c r="AHH93" s="594"/>
      <c r="AHI93" s="594"/>
      <c r="AHJ93" s="594"/>
      <c r="AHK93" s="594"/>
      <c r="AHL93" s="594"/>
      <c r="AHM93" s="594"/>
      <c r="AHN93" s="594"/>
      <c r="AHO93" s="594"/>
      <c r="AHP93" s="594"/>
      <c r="AHQ93" s="594"/>
      <c r="AHR93" s="594"/>
      <c r="AHS93" s="594"/>
      <c r="AHT93" s="594"/>
      <c r="AHU93" s="594"/>
      <c r="AHV93" s="594"/>
      <c r="AHW93" s="594"/>
      <c r="AHX93" s="594"/>
      <c r="AHY93" s="594"/>
      <c r="AHZ93" s="594"/>
      <c r="AIA93" s="594"/>
      <c r="AIB93" s="594"/>
      <c r="AIC93" s="594"/>
      <c r="AID93" s="594"/>
      <c r="AIE93" s="594"/>
      <c r="AIF93" s="594"/>
      <c r="AIG93" s="594"/>
      <c r="AIH93" s="594"/>
      <c r="AII93" s="594"/>
      <c r="AIJ93" s="594"/>
      <c r="AIK93" s="594"/>
      <c r="AIL93" s="594"/>
      <c r="AIM93" s="594"/>
      <c r="AIN93" s="594"/>
      <c r="AIO93" s="594"/>
      <c r="AIP93" s="594"/>
      <c r="AIQ93" s="594"/>
      <c r="AIR93" s="594"/>
      <c r="AIS93" s="594"/>
      <c r="AIT93" s="594"/>
      <c r="AIU93" s="594"/>
      <c r="AIV93" s="594"/>
      <c r="AIW93" s="594"/>
      <c r="AIX93" s="594"/>
      <c r="AIY93" s="594"/>
      <c r="AIZ93" s="594"/>
      <c r="AJA93" s="594"/>
      <c r="AJB93" s="594"/>
      <c r="AJC93" s="594"/>
      <c r="AJD93" s="594"/>
      <c r="AJE93" s="594"/>
      <c r="AJF93" s="594"/>
      <c r="AJG93" s="594"/>
      <c r="AJH93" s="594"/>
      <c r="AJI93" s="594"/>
      <c r="AJJ93" s="594"/>
      <c r="AJK93" s="594"/>
      <c r="AJL93" s="594"/>
      <c r="AJM93" s="594"/>
      <c r="AJN93" s="594"/>
      <c r="AJO93" s="594"/>
      <c r="AJP93" s="594"/>
      <c r="AJQ93" s="594"/>
      <c r="AJR93" s="594"/>
      <c r="AJS93" s="594"/>
      <c r="AJT93" s="594"/>
      <c r="AJU93" s="594"/>
      <c r="AJV93" s="594"/>
      <c r="AJW93" s="594"/>
      <c r="AJX93" s="594"/>
      <c r="AJY93" s="594"/>
      <c r="AJZ93" s="594"/>
      <c r="AKA93" s="594"/>
      <c r="AKB93" s="594"/>
      <c r="AKC93" s="594"/>
      <c r="AKD93" s="594"/>
      <c r="AKE93" s="594"/>
      <c r="AKF93" s="594"/>
      <c r="AKG93" s="594"/>
      <c r="AKH93" s="594"/>
      <c r="AKI93" s="594"/>
      <c r="AKJ93" s="594"/>
      <c r="AKK93" s="594"/>
      <c r="AKL93" s="594"/>
      <c r="AKM93" s="594"/>
      <c r="AKN93" s="594"/>
      <c r="AKO93" s="594"/>
      <c r="AKP93" s="594"/>
      <c r="AKQ93" s="594"/>
      <c r="AKR93" s="594"/>
      <c r="AKS93" s="594"/>
      <c r="AKT93" s="594"/>
      <c r="AKU93" s="594"/>
      <c r="AKV93" s="594"/>
      <c r="AKW93" s="594"/>
      <c r="AKX93" s="594"/>
      <c r="AKY93" s="594"/>
      <c r="AKZ93" s="594"/>
      <c r="ALA93" s="594"/>
      <c r="ALB93" s="594"/>
      <c r="ALC93" s="594"/>
      <c r="ALD93" s="594"/>
      <c r="ALE93" s="594"/>
      <c r="ALF93" s="594"/>
      <c r="ALG93" s="594"/>
      <c r="ALH93" s="594"/>
      <c r="ALI93" s="594"/>
      <c r="ALJ93" s="594"/>
      <c r="ALK93" s="594"/>
      <c r="ALL93" s="594"/>
      <c r="ALM93" s="594"/>
      <c r="ALN93" s="594"/>
      <c r="ALO93" s="594"/>
      <c r="ALP93" s="594"/>
      <c r="ALQ93" s="594"/>
      <c r="ALR93" s="594"/>
      <c r="ALS93" s="594"/>
      <c r="ALT93" s="594"/>
      <c r="ALU93" s="594"/>
      <c r="ALV93" s="594"/>
      <c r="ALW93" s="594"/>
      <c r="ALX93" s="594"/>
      <c r="ALY93" s="594"/>
      <c r="ALZ93" s="594"/>
      <c r="AMA93" s="594"/>
      <c r="AMB93" s="594"/>
      <c r="AMC93" s="594"/>
      <c r="AMD93" s="594"/>
      <c r="AME93" s="594"/>
      <c r="AMF93" s="594"/>
      <c r="AMG93" s="594"/>
      <c r="AMH93" s="594"/>
      <c r="AMI93" s="594"/>
      <c r="AMJ93" s="594"/>
      <c r="AMK93" s="594"/>
      <c r="AML93" s="594"/>
      <c r="AMM93" s="594"/>
      <c r="AMN93" s="594"/>
      <c r="AMO93" s="594"/>
      <c r="AMP93" s="594"/>
      <c r="AMQ93" s="594"/>
      <c r="AMR93" s="594"/>
      <c r="AMS93" s="594"/>
      <c r="AMT93" s="594"/>
      <c r="AMU93" s="594"/>
      <c r="AMV93" s="594"/>
      <c r="AMW93" s="594"/>
      <c r="AMX93" s="594"/>
      <c r="AMY93" s="594"/>
      <c r="AMZ93" s="594"/>
      <c r="ANA93" s="594"/>
      <c r="ANB93" s="594"/>
      <c r="ANC93" s="594"/>
      <c r="AND93" s="594"/>
      <c r="ANE93" s="594"/>
      <c r="ANF93" s="594"/>
      <c r="ANG93" s="594"/>
      <c r="ANH93" s="594"/>
      <c r="ANI93" s="594"/>
      <c r="ANJ93" s="594"/>
      <c r="ANK93" s="594"/>
      <c r="ANL93" s="594"/>
      <c r="ANM93" s="594"/>
      <c r="ANN93" s="594"/>
      <c r="ANO93" s="594"/>
      <c r="ANP93" s="594"/>
      <c r="ANQ93" s="594"/>
      <c r="ANR93" s="594"/>
      <c r="ANS93" s="594"/>
      <c r="ANT93" s="594"/>
      <c r="ANU93" s="594"/>
      <c r="ANV93" s="594"/>
      <c r="ANW93" s="594"/>
      <c r="ANX93" s="594"/>
      <c r="ANY93" s="594"/>
      <c r="ANZ93" s="594"/>
      <c r="AOA93" s="594"/>
      <c r="AOB93" s="594"/>
      <c r="AOC93" s="594"/>
      <c r="AOD93" s="594"/>
      <c r="AOE93" s="594"/>
      <c r="AOF93" s="594"/>
      <c r="AOG93" s="594"/>
      <c r="AOH93" s="594"/>
      <c r="AOI93" s="594"/>
      <c r="AOJ93" s="594"/>
      <c r="AOK93" s="594"/>
      <c r="AOL93" s="594"/>
      <c r="AOM93" s="594"/>
      <c r="AON93" s="594"/>
      <c r="AOO93" s="594"/>
      <c r="AOP93" s="594"/>
      <c r="AOQ93" s="594"/>
      <c r="AOR93" s="594"/>
      <c r="AOS93" s="594"/>
      <c r="AOT93" s="594"/>
      <c r="AOU93" s="594"/>
      <c r="AOV93" s="594"/>
      <c r="AOW93" s="594"/>
      <c r="AOX93" s="594"/>
      <c r="AOY93" s="594"/>
      <c r="AOZ93" s="594"/>
      <c r="APA93" s="594"/>
      <c r="APB93" s="594"/>
      <c r="APC93" s="594"/>
      <c r="APD93" s="594"/>
      <c r="APE93" s="594"/>
      <c r="APF93" s="594"/>
      <c r="APG93" s="594"/>
      <c r="APH93" s="594"/>
      <c r="API93" s="594"/>
      <c r="APJ93" s="594"/>
      <c r="APK93" s="594"/>
      <c r="APL93" s="594"/>
      <c r="APM93" s="594"/>
      <c r="APN93" s="594"/>
      <c r="APO93" s="594"/>
      <c r="APP93" s="594"/>
      <c r="APQ93" s="594"/>
      <c r="APR93" s="594"/>
      <c r="APS93" s="594"/>
      <c r="APT93" s="594"/>
      <c r="APU93" s="594"/>
      <c r="APV93" s="594"/>
      <c r="APW93" s="594"/>
      <c r="APX93" s="594"/>
      <c r="APY93" s="594"/>
      <c r="APZ93" s="594"/>
      <c r="AQA93" s="594"/>
      <c r="AQB93" s="594"/>
      <c r="AQC93" s="594"/>
      <c r="AQD93" s="594"/>
      <c r="AQE93" s="594"/>
      <c r="AQF93" s="594"/>
      <c r="AQG93" s="594"/>
      <c r="AQH93" s="594"/>
      <c r="AQI93" s="594"/>
      <c r="AQJ93" s="594"/>
      <c r="AQK93" s="594"/>
      <c r="AQL93" s="594"/>
      <c r="AQM93" s="594"/>
      <c r="AQN93" s="594"/>
      <c r="AQO93" s="594"/>
      <c r="AQP93" s="594"/>
      <c r="AQQ93" s="594"/>
      <c r="AQR93" s="594"/>
      <c r="AQS93" s="594"/>
      <c r="AQT93" s="594"/>
      <c r="AQU93" s="594"/>
      <c r="AQV93" s="594"/>
      <c r="AQW93" s="594"/>
      <c r="AQX93" s="594"/>
      <c r="AQY93" s="594"/>
      <c r="AQZ93" s="594"/>
      <c r="ARA93" s="594"/>
      <c r="ARB93" s="594"/>
      <c r="ARC93" s="594"/>
      <c r="ARD93" s="594"/>
      <c r="ARE93" s="594"/>
      <c r="ARF93" s="594"/>
      <c r="ARG93" s="594"/>
      <c r="ARH93" s="594"/>
      <c r="ARI93" s="594"/>
      <c r="ARJ93" s="594"/>
      <c r="ARK93" s="594"/>
      <c r="ARL93" s="594"/>
      <c r="ARM93" s="594"/>
      <c r="ARN93" s="594"/>
      <c r="ARO93" s="594"/>
      <c r="ARP93" s="594"/>
      <c r="ARQ93" s="594"/>
      <c r="ARR93" s="594"/>
      <c r="ARS93" s="594"/>
      <c r="ART93" s="594"/>
      <c r="ARU93" s="594"/>
      <c r="ARV93" s="594"/>
      <c r="ARW93" s="594"/>
      <c r="ARX93" s="594"/>
      <c r="ARY93" s="594"/>
      <c r="ARZ93" s="594"/>
      <c r="ASA93" s="594"/>
      <c r="ASB93" s="594"/>
      <c r="ASC93" s="594"/>
      <c r="ASD93" s="594"/>
      <c r="ASE93" s="594"/>
      <c r="ASF93" s="594"/>
      <c r="ASG93" s="594"/>
      <c r="ASH93" s="594"/>
      <c r="ASI93" s="594"/>
      <c r="ASJ93" s="594"/>
      <c r="ASK93" s="594"/>
      <c r="ASL93" s="594"/>
      <c r="ASM93" s="594"/>
      <c r="ASN93" s="594"/>
      <c r="ASO93" s="594"/>
      <c r="ASP93" s="594"/>
      <c r="ASQ93" s="594"/>
      <c r="ASR93" s="594"/>
      <c r="ASS93" s="594"/>
      <c r="AST93" s="594"/>
      <c r="ASU93" s="594"/>
      <c r="ASV93" s="594"/>
      <c r="ASW93" s="594"/>
      <c r="ASX93" s="594"/>
      <c r="ASY93" s="594"/>
      <c r="ASZ93" s="594"/>
      <c r="ATA93" s="594"/>
      <c r="ATB93" s="594"/>
      <c r="ATC93" s="594"/>
      <c r="ATD93" s="594"/>
      <c r="ATE93" s="594"/>
      <c r="ATF93" s="594"/>
      <c r="ATG93" s="594"/>
      <c r="ATH93" s="594"/>
      <c r="ATI93" s="594"/>
      <c r="ATJ93" s="594"/>
      <c r="ATK93" s="594"/>
      <c r="ATL93" s="594"/>
      <c r="ATM93" s="594"/>
      <c r="ATN93" s="594"/>
      <c r="ATO93" s="594"/>
      <c r="ATP93" s="594"/>
      <c r="ATQ93" s="594"/>
      <c r="ATR93" s="594"/>
      <c r="ATS93" s="594"/>
      <c r="ATT93" s="594"/>
      <c r="ATU93" s="594"/>
      <c r="ATV93" s="594"/>
      <c r="ATW93" s="594"/>
      <c r="ATX93" s="594"/>
      <c r="ATY93" s="594"/>
      <c r="ATZ93" s="594"/>
      <c r="AUA93" s="594"/>
      <c r="AUB93" s="594"/>
      <c r="AUC93" s="594"/>
      <c r="AUD93" s="594"/>
      <c r="AUE93" s="594"/>
      <c r="AUF93" s="594"/>
      <c r="AUG93" s="594"/>
      <c r="AUH93" s="594"/>
      <c r="AUI93" s="594"/>
      <c r="AUJ93" s="594"/>
      <c r="AUK93" s="594"/>
      <c r="AUL93" s="594"/>
      <c r="AUM93" s="594"/>
      <c r="AUN93" s="594"/>
      <c r="AUO93" s="594"/>
      <c r="AUP93" s="594"/>
      <c r="AUQ93" s="594"/>
      <c r="AUR93" s="594"/>
      <c r="AUS93" s="594"/>
      <c r="AUT93" s="594"/>
      <c r="AUU93" s="594"/>
      <c r="AUV93" s="594"/>
      <c r="AUW93" s="594"/>
      <c r="AUX93" s="594"/>
      <c r="AUY93" s="594"/>
      <c r="AUZ93" s="594"/>
      <c r="AVA93" s="594"/>
      <c r="AVB93" s="594"/>
      <c r="AVC93" s="594"/>
      <c r="AVD93" s="594"/>
      <c r="AVE93" s="594"/>
      <c r="AVF93" s="594"/>
      <c r="AVG93" s="594"/>
      <c r="AVH93" s="594"/>
      <c r="AVI93" s="594"/>
      <c r="AVJ93" s="594"/>
      <c r="AVK93" s="594"/>
      <c r="AVL93" s="594"/>
      <c r="AVM93" s="594"/>
      <c r="AVN93" s="594"/>
      <c r="AVO93" s="594"/>
      <c r="AVP93" s="594"/>
      <c r="AVQ93" s="594"/>
      <c r="AVR93" s="594"/>
      <c r="AVS93" s="594"/>
      <c r="AVT93" s="594"/>
      <c r="AVU93" s="594"/>
      <c r="AVV93" s="594"/>
      <c r="AVW93" s="594"/>
      <c r="AVX93" s="594"/>
      <c r="AVY93" s="594"/>
      <c r="AVZ93" s="594"/>
      <c r="AWA93" s="594"/>
      <c r="AWB93" s="594"/>
      <c r="AWC93" s="594"/>
      <c r="AWD93" s="594"/>
      <c r="AWE93" s="594"/>
      <c r="AWF93" s="594"/>
      <c r="AWG93" s="594"/>
      <c r="AWH93" s="594"/>
      <c r="AWI93" s="594"/>
      <c r="AWJ93" s="594"/>
      <c r="AWK93" s="594"/>
      <c r="AWL93" s="594"/>
      <c r="AWM93" s="594"/>
      <c r="AWN93" s="594"/>
      <c r="AWO93" s="594"/>
      <c r="AWP93" s="594"/>
      <c r="AWQ93" s="594"/>
      <c r="AWR93" s="594"/>
      <c r="AWS93" s="594"/>
      <c r="AWT93" s="594"/>
      <c r="AWU93" s="594"/>
      <c r="AWV93" s="594"/>
      <c r="AWW93" s="594"/>
      <c r="AWX93" s="594"/>
      <c r="AWY93" s="594"/>
      <c r="AWZ93" s="594"/>
      <c r="AXA93" s="594"/>
      <c r="AXB93" s="594"/>
      <c r="AXC93" s="594"/>
      <c r="AXD93" s="594"/>
      <c r="AXE93" s="594"/>
      <c r="AXF93" s="594"/>
      <c r="AXG93" s="594"/>
      <c r="AXH93" s="594"/>
      <c r="AXI93" s="594"/>
      <c r="AXJ93" s="594"/>
      <c r="AXK93" s="594"/>
      <c r="AXL93" s="594"/>
      <c r="AXM93" s="594"/>
      <c r="AXN93" s="594"/>
      <c r="AXO93" s="594"/>
      <c r="AXP93" s="594"/>
      <c r="AXQ93" s="594"/>
      <c r="AXR93" s="594"/>
      <c r="AXS93" s="594"/>
      <c r="AXT93" s="594"/>
      <c r="AXU93" s="594"/>
      <c r="AXV93" s="594"/>
      <c r="AXW93" s="594"/>
      <c r="AXX93" s="594"/>
      <c r="AXY93" s="594"/>
      <c r="AXZ93" s="594"/>
      <c r="AYA93" s="594"/>
      <c r="AYB93" s="594"/>
      <c r="AYC93" s="594"/>
      <c r="AYD93" s="594"/>
      <c r="AYE93" s="594"/>
      <c r="AYF93" s="594"/>
      <c r="AYG93" s="594"/>
      <c r="AYH93" s="594"/>
      <c r="AYI93" s="594"/>
      <c r="AYJ93" s="594"/>
      <c r="AYK93" s="594"/>
      <c r="AYL93" s="594"/>
      <c r="AYM93" s="594"/>
      <c r="AYN93" s="594"/>
      <c r="AYO93" s="594"/>
      <c r="AYP93" s="594"/>
      <c r="AYQ93" s="594"/>
      <c r="AYR93" s="594"/>
      <c r="AYS93" s="594"/>
      <c r="AYT93" s="594"/>
      <c r="AYU93" s="594"/>
      <c r="AYV93" s="594"/>
      <c r="AYW93" s="594"/>
      <c r="AYX93" s="594"/>
      <c r="AYY93" s="594"/>
      <c r="AYZ93" s="594"/>
      <c r="AZA93" s="594"/>
      <c r="AZB93" s="594"/>
      <c r="AZC93" s="594"/>
      <c r="AZD93" s="594"/>
      <c r="AZE93" s="594"/>
      <c r="AZF93" s="594"/>
      <c r="AZG93" s="594"/>
      <c r="AZH93" s="594"/>
      <c r="AZI93" s="594"/>
      <c r="AZJ93" s="594"/>
      <c r="AZK93" s="594"/>
      <c r="AZL93" s="594"/>
      <c r="AZM93" s="594"/>
      <c r="AZN93" s="594"/>
      <c r="AZO93" s="594"/>
      <c r="AZP93" s="594"/>
      <c r="AZQ93" s="594"/>
      <c r="AZR93" s="594"/>
      <c r="AZS93" s="594"/>
      <c r="AZT93" s="594"/>
      <c r="AZU93" s="594"/>
      <c r="AZV93" s="594"/>
      <c r="AZW93" s="594"/>
      <c r="AZX93" s="594"/>
      <c r="AZY93" s="594"/>
      <c r="AZZ93" s="594"/>
      <c r="BAA93" s="594"/>
      <c r="BAB93" s="594"/>
      <c r="BAC93" s="594"/>
      <c r="BAD93" s="594"/>
      <c r="BAE93" s="594"/>
      <c r="BAF93" s="594"/>
      <c r="BAG93" s="594"/>
      <c r="BAH93" s="594"/>
      <c r="BAI93" s="594"/>
      <c r="BAJ93" s="594"/>
      <c r="BAK93" s="594"/>
      <c r="BAL93" s="594"/>
      <c r="BAM93" s="594"/>
      <c r="BAN93" s="594"/>
      <c r="BAO93" s="594"/>
      <c r="BAP93" s="594"/>
      <c r="BAQ93" s="594"/>
      <c r="BAR93" s="594"/>
      <c r="BAS93" s="594"/>
      <c r="BAT93" s="594"/>
      <c r="BAU93" s="594"/>
      <c r="BAV93" s="594"/>
      <c r="BAW93" s="594"/>
      <c r="BAX93" s="594"/>
      <c r="BAY93" s="594"/>
      <c r="BAZ93" s="594"/>
      <c r="BBA93" s="594"/>
      <c r="BBB93" s="594"/>
      <c r="BBC93" s="594"/>
      <c r="BBD93" s="594"/>
      <c r="BBE93" s="594"/>
      <c r="BBF93" s="594"/>
      <c r="BBG93" s="594"/>
      <c r="BBH93" s="594"/>
      <c r="BBI93" s="594"/>
      <c r="BBJ93" s="594"/>
      <c r="BBK93" s="594"/>
      <c r="BBL93" s="594"/>
      <c r="BBM93" s="594"/>
      <c r="BBN93" s="594"/>
      <c r="BBO93" s="594"/>
      <c r="BBP93" s="594"/>
      <c r="BBQ93" s="594"/>
      <c r="BBR93" s="594"/>
      <c r="BBS93" s="594"/>
      <c r="BBT93" s="594"/>
      <c r="BBU93" s="594"/>
      <c r="BBV93" s="594"/>
      <c r="BBW93" s="594"/>
      <c r="BBX93" s="594"/>
      <c r="BBY93" s="594"/>
      <c r="BBZ93" s="594"/>
      <c r="BCA93" s="594"/>
      <c r="BCB93" s="594"/>
      <c r="BCC93" s="594"/>
      <c r="BCD93" s="594"/>
      <c r="BCE93" s="594"/>
      <c r="BCF93" s="594"/>
      <c r="BCG93" s="594"/>
      <c r="BCH93" s="594"/>
      <c r="BCI93" s="594"/>
      <c r="BCJ93" s="594"/>
      <c r="BCK93" s="594"/>
      <c r="BCL93" s="594"/>
      <c r="BCM93" s="594"/>
      <c r="BCN93" s="594"/>
      <c r="BCO93" s="594"/>
      <c r="BCP93" s="594"/>
      <c r="BCQ93" s="594"/>
      <c r="BCR93" s="594"/>
      <c r="BCS93" s="594"/>
      <c r="BCT93" s="594"/>
      <c r="BCU93" s="594"/>
      <c r="BCV93" s="594"/>
      <c r="BCW93" s="594"/>
      <c r="BCX93" s="594"/>
      <c r="BCY93" s="594"/>
      <c r="BCZ93" s="594"/>
      <c r="BDA93" s="594"/>
      <c r="BDB93" s="594"/>
      <c r="BDC93" s="594"/>
      <c r="BDD93" s="594"/>
      <c r="BDE93" s="594"/>
      <c r="BDF93" s="594"/>
      <c r="BDG93" s="594"/>
      <c r="BDH93" s="594"/>
      <c r="BDI93" s="594"/>
      <c r="BDJ93" s="594"/>
      <c r="BDK93" s="594"/>
      <c r="BDL93" s="594"/>
      <c r="BDM93" s="594"/>
      <c r="BDN93" s="594"/>
      <c r="BDO93" s="594"/>
      <c r="BDP93" s="594"/>
      <c r="BDQ93" s="594"/>
      <c r="BDR93" s="594"/>
      <c r="BDS93" s="594"/>
      <c r="BDT93" s="594"/>
      <c r="BDU93" s="594"/>
      <c r="BDV93" s="594"/>
      <c r="BDW93" s="594"/>
      <c r="BDX93" s="594"/>
      <c r="BDY93" s="594"/>
      <c r="BDZ93" s="594"/>
      <c r="BEA93" s="594"/>
      <c r="BEB93" s="594"/>
      <c r="BEC93" s="594"/>
      <c r="BED93" s="594"/>
      <c r="BEE93" s="594"/>
      <c r="BEF93" s="594"/>
      <c r="BEG93" s="594"/>
      <c r="BEH93" s="594"/>
      <c r="BEI93" s="594"/>
      <c r="BEJ93" s="594"/>
      <c r="BEK93" s="594"/>
      <c r="BEL93" s="594"/>
      <c r="BEM93" s="594"/>
      <c r="BEN93" s="594"/>
      <c r="BEO93" s="594"/>
      <c r="BEP93" s="594"/>
      <c r="BEQ93" s="594"/>
      <c r="BER93" s="594"/>
      <c r="BES93" s="594"/>
      <c r="BET93" s="594"/>
      <c r="BEU93" s="594"/>
      <c r="BEV93" s="594"/>
      <c r="BEW93" s="594"/>
      <c r="BEX93" s="594"/>
      <c r="BEY93" s="594"/>
      <c r="BEZ93" s="594"/>
      <c r="BFA93" s="594"/>
      <c r="BFB93" s="594"/>
      <c r="BFC93" s="594"/>
      <c r="BFD93" s="594"/>
      <c r="BFE93" s="594"/>
      <c r="BFF93" s="594"/>
      <c r="BFG93" s="594"/>
      <c r="BFH93" s="594"/>
      <c r="BFI93" s="594"/>
      <c r="BFJ93" s="594"/>
      <c r="BFK93" s="594"/>
      <c r="BFL93" s="594"/>
      <c r="BFM93" s="594"/>
      <c r="BFN93" s="594"/>
      <c r="BFO93" s="594"/>
      <c r="BFP93" s="594"/>
      <c r="BFQ93" s="594"/>
      <c r="BFR93" s="594"/>
      <c r="BFS93" s="594"/>
      <c r="BFT93" s="594"/>
      <c r="BFU93" s="594"/>
      <c r="BFV93" s="594"/>
      <c r="BFW93" s="594"/>
      <c r="BFX93" s="594"/>
      <c r="BFY93" s="594"/>
      <c r="BFZ93" s="594"/>
      <c r="BGA93" s="594"/>
      <c r="BGB93" s="594"/>
      <c r="BGC93" s="594"/>
      <c r="BGD93" s="594"/>
      <c r="BGE93" s="594"/>
      <c r="BGF93" s="594"/>
      <c r="BGG93" s="594"/>
      <c r="BGH93" s="594"/>
      <c r="BGI93" s="594"/>
      <c r="BGJ93" s="594"/>
      <c r="BGK93" s="594"/>
      <c r="BGL93" s="594"/>
      <c r="BGM93" s="594"/>
      <c r="BGN93" s="594"/>
      <c r="BGO93" s="594"/>
      <c r="BGP93" s="594"/>
      <c r="BGQ93" s="594"/>
      <c r="BGR93" s="594"/>
      <c r="BGS93" s="594"/>
      <c r="BGT93" s="594"/>
      <c r="BGU93" s="594"/>
      <c r="BGV93" s="594"/>
      <c r="BGW93" s="594"/>
      <c r="BGX93" s="594"/>
      <c r="BGY93" s="594"/>
      <c r="BGZ93" s="594"/>
      <c r="BHA93" s="594"/>
      <c r="BHB93" s="594"/>
      <c r="BHC93" s="594"/>
      <c r="BHD93" s="594"/>
      <c r="BHE93" s="594"/>
      <c r="BHF93" s="594"/>
      <c r="BHG93" s="594"/>
      <c r="BHH93" s="594"/>
      <c r="BHI93" s="594"/>
      <c r="BHJ93" s="594"/>
      <c r="BHK93" s="594"/>
      <c r="BHL93" s="594"/>
      <c r="BHM93" s="594"/>
      <c r="BHN93" s="594"/>
      <c r="BHO93" s="594"/>
      <c r="BHP93" s="594"/>
      <c r="BHQ93" s="594"/>
      <c r="BHR93" s="594"/>
      <c r="BHS93" s="594"/>
      <c r="BHT93" s="594"/>
      <c r="BHU93" s="594"/>
      <c r="BHV93" s="594"/>
      <c r="BHW93" s="594"/>
      <c r="BHX93" s="594"/>
      <c r="BHY93" s="594"/>
      <c r="BHZ93" s="594"/>
      <c r="BIA93" s="594"/>
      <c r="BIB93" s="594"/>
      <c r="BIC93" s="594"/>
      <c r="BID93" s="594"/>
      <c r="BIE93" s="594"/>
      <c r="BIF93" s="594"/>
      <c r="BIG93" s="594"/>
      <c r="BIH93" s="594"/>
      <c r="BII93" s="594"/>
      <c r="BIJ93" s="594"/>
      <c r="BIK93" s="594"/>
      <c r="BIL93" s="594"/>
      <c r="BIM93" s="594"/>
      <c r="BIN93" s="594"/>
      <c r="BIO93" s="594"/>
      <c r="BIP93" s="594"/>
      <c r="BIQ93" s="594"/>
      <c r="BIR93" s="594"/>
      <c r="BIS93" s="594"/>
      <c r="BIT93" s="594"/>
      <c r="BIU93" s="594"/>
      <c r="BIV93" s="594"/>
      <c r="BIW93" s="594"/>
      <c r="BIX93" s="594"/>
      <c r="BIY93" s="594"/>
      <c r="BIZ93" s="594"/>
      <c r="BJA93" s="594"/>
      <c r="BJB93" s="594"/>
      <c r="BJC93" s="594"/>
      <c r="BJD93" s="594"/>
      <c r="BJE93" s="594"/>
      <c r="BJF93" s="594"/>
      <c r="BJG93" s="594"/>
      <c r="BJH93" s="594"/>
      <c r="BJI93" s="594"/>
      <c r="BJJ93" s="594"/>
      <c r="BJK93" s="594"/>
      <c r="BJL93" s="594"/>
      <c r="BJM93" s="594"/>
      <c r="BJN93" s="594"/>
      <c r="BJO93" s="594"/>
      <c r="BJP93" s="594"/>
      <c r="BJQ93" s="594"/>
      <c r="BJR93" s="594"/>
      <c r="BJS93" s="594"/>
      <c r="BJT93" s="594"/>
      <c r="BJU93" s="594"/>
      <c r="BJV93" s="594"/>
      <c r="BJW93" s="594"/>
      <c r="BJX93" s="594"/>
      <c r="BJY93" s="594"/>
      <c r="BJZ93" s="594"/>
      <c r="BKA93" s="594"/>
      <c r="BKB93" s="594"/>
      <c r="BKC93" s="594"/>
      <c r="BKD93" s="594"/>
      <c r="BKE93" s="594"/>
      <c r="BKF93" s="594"/>
      <c r="BKG93" s="594"/>
      <c r="BKH93" s="594"/>
      <c r="BKI93" s="594"/>
      <c r="BKJ93" s="594"/>
      <c r="BKK93" s="594"/>
      <c r="BKL93" s="594"/>
      <c r="BKM93" s="594"/>
      <c r="BKN93" s="594"/>
      <c r="BKO93" s="594"/>
      <c r="BKP93" s="594"/>
      <c r="BKQ93" s="594"/>
      <c r="BKR93" s="594"/>
      <c r="BKS93" s="594"/>
      <c r="BKT93" s="594"/>
      <c r="BKU93" s="594"/>
      <c r="BKV93" s="594"/>
      <c r="BKW93" s="594"/>
      <c r="BKX93" s="594"/>
      <c r="BKY93" s="594"/>
      <c r="BKZ93" s="594"/>
      <c r="BLA93" s="594"/>
      <c r="BLB93" s="594"/>
      <c r="BLC93" s="594"/>
      <c r="BLD93" s="594"/>
      <c r="BLE93" s="594"/>
      <c r="BLF93" s="594"/>
      <c r="BLG93" s="594"/>
      <c r="BLH93" s="594"/>
      <c r="BLI93" s="594"/>
      <c r="BLJ93" s="594"/>
      <c r="BLK93" s="594"/>
      <c r="BLL93" s="594"/>
      <c r="BLM93" s="594"/>
      <c r="BLN93" s="594"/>
      <c r="BLO93" s="594"/>
      <c r="BLP93" s="594"/>
      <c r="BLQ93" s="594"/>
      <c r="BLR93" s="594"/>
      <c r="BLS93" s="594"/>
      <c r="BLT93" s="594"/>
      <c r="BLU93" s="594"/>
      <c r="BLV93" s="594"/>
      <c r="BLW93" s="594"/>
      <c r="BLX93" s="594"/>
      <c r="BLY93" s="594"/>
      <c r="BLZ93" s="594"/>
      <c r="BMA93" s="594"/>
      <c r="BMB93" s="594"/>
      <c r="BMC93" s="594"/>
      <c r="BMD93" s="594"/>
      <c r="BME93" s="594"/>
      <c r="BMF93" s="594"/>
      <c r="BMG93" s="594"/>
      <c r="BMH93" s="594"/>
      <c r="BMI93" s="594"/>
      <c r="BMJ93" s="594"/>
      <c r="BMK93" s="594"/>
      <c r="BML93" s="594"/>
      <c r="BMM93" s="594"/>
      <c r="BMN93" s="594"/>
      <c r="BMO93" s="594"/>
      <c r="BMP93" s="594"/>
      <c r="BMQ93" s="594"/>
      <c r="BMR93" s="594"/>
      <c r="BMS93" s="594"/>
      <c r="BMT93" s="594"/>
      <c r="BMU93" s="594"/>
      <c r="BMV93" s="594"/>
      <c r="BMW93" s="594"/>
      <c r="BMX93" s="594"/>
      <c r="BMY93" s="594"/>
      <c r="BMZ93" s="594"/>
      <c r="BNA93" s="594"/>
      <c r="BNB93" s="594"/>
      <c r="BNC93" s="594"/>
      <c r="BND93" s="594"/>
      <c r="BNE93" s="594"/>
      <c r="BNF93" s="594"/>
      <c r="BNG93" s="594"/>
      <c r="BNH93" s="594"/>
      <c r="BNI93" s="594"/>
      <c r="BNJ93" s="594"/>
      <c r="BNK93" s="594"/>
      <c r="BNL93" s="594"/>
      <c r="BNM93" s="594"/>
      <c r="BNN93" s="594"/>
      <c r="BNO93" s="594"/>
      <c r="BNP93" s="594"/>
      <c r="BNQ93" s="594"/>
      <c r="BNR93" s="594"/>
      <c r="BNS93" s="594"/>
      <c r="BNT93" s="594"/>
      <c r="BNU93" s="594"/>
      <c r="BNV93" s="594"/>
      <c r="BNW93" s="594"/>
      <c r="BNX93" s="594"/>
      <c r="BNY93" s="594"/>
      <c r="BNZ93" s="594"/>
      <c r="BOA93" s="594"/>
      <c r="BOB93" s="594"/>
      <c r="BOC93" s="594"/>
      <c r="BOD93" s="594"/>
      <c r="BOE93" s="594"/>
      <c r="BOF93" s="594"/>
      <c r="BOG93" s="594"/>
      <c r="BOH93" s="594"/>
      <c r="BOI93" s="594"/>
      <c r="BOJ93" s="594"/>
      <c r="BOK93" s="594"/>
      <c r="BOL93" s="594"/>
      <c r="BOM93" s="594"/>
      <c r="BON93" s="594"/>
      <c r="BOO93" s="594"/>
      <c r="BOP93" s="594"/>
      <c r="BOQ93" s="594"/>
      <c r="BOR93" s="594"/>
      <c r="BOS93" s="594"/>
      <c r="BOT93" s="594"/>
      <c r="BOU93" s="594"/>
      <c r="BOV93" s="594"/>
      <c r="BOW93" s="594"/>
      <c r="BOX93" s="594"/>
      <c r="BOY93" s="594"/>
      <c r="BOZ93" s="594"/>
      <c r="BPA93" s="594"/>
      <c r="BPB93" s="594"/>
      <c r="BPC93" s="594"/>
      <c r="BPD93" s="594"/>
      <c r="BPE93" s="594"/>
      <c r="BPF93" s="594"/>
      <c r="BPG93" s="594"/>
      <c r="BPH93" s="594"/>
      <c r="BPI93" s="594"/>
      <c r="BPJ93" s="594"/>
      <c r="BPK93" s="594"/>
      <c r="BPL93" s="594"/>
      <c r="BPM93" s="594"/>
      <c r="BPN93" s="594"/>
      <c r="BPO93" s="594"/>
      <c r="BPP93" s="594"/>
      <c r="BPQ93" s="594"/>
      <c r="BPR93" s="594"/>
      <c r="BPS93" s="594"/>
      <c r="BPT93" s="594"/>
      <c r="BPU93" s="594"/>
      <c r="BPV93" s="594"/>
      <c r="BPW93" s="594"/>
      <c r="BPX93" s="594"/>
      <c r="BPY93" s="594"/>
      <c r="BPZ93" s="594"/>
      <c r="BQA93" s="594"/>
      <c r="BQB93" s="594"/>
      <c r="BQC93" s="594"/>
      <c r="BQD93" s="594"/>
      <c r="BQE93" s="594"/>
      <c r="BQF93" s="594"/>
      <c r="BQG93" s="594"/>
      <c r="BQH93" s="594"/>
      <c r="BQI93" s="594"/>
      <c r="BQJ93" s="594"/>
      <c r="BQK93" s="594"/>
      <c r="BQL93" s="594"/>
      <c r="BQM93" s="594"/>
      <c r="BQN93" s="594"/>
      <c r="BQO93" s="594"/>
      <c r="BQP93" s="594"/>
      <c r="BQQ93" s="594"/>
      <c r="BQR93" s="594"/>
      <c r="BQS93" s="594"/>
      <c r="BQT93" s="594"/>
      <c r="BQU93" s="594"/>
      <c r="BQV93" s="594"/>
      <c r="BQW93" s="594"/>
      <c r="BQX93" s="594"/>
      <c r="BQY93" s="594"/>
      <c r="BQZ93" s="594"/>
      <c r="BRA93" s="594"/>
      <c r="BRB93" s="594"/>
      <c r="BRC93" s="594"/>
      <c r="BRD93" s="594"/>
      <c r="BRE93" s="594"/>
      <c r="BRF93" s="594"/>
      <c r="BRG93" s="594"/>
      <c r="BRH93" s="594"/>
      <c r="BRI93" s="594"/>
      <c r="BRJ93" s="594"/>
      <c r="BRK93" s="594"/>
      <c r="BRL93" s="594"/>
      <c r="BRM93" s="594"/>
      <c r="BRN93" s="594"/>
      <c r="BRO93" s="594"/>
      <c r="BRP93" s="594"/>
      <c r="BRQ93" s="594"/>
      <c r="BRR93" s="594"/>
      <c r="BRS93" s="594"/>
      <c r="BRT93" s="594"/>
      <c r="BRU93" s="594"/>
      <c r="BRV93" s="594"/>
      <c r="BRW93" s="594"/>
      <c r="BRX93" s="594"/>
      <c r="BRY93" s="594"/>
      <c r="BRZ93" s="594"/>
      <c r="BSA93" s="594"/>
      <c r="BSB93" s="594"/>
      <c r="BSC93" s="594"/>
      <c r="BSD93" s="594"/>
      <c r="BSE93" s="594"/>
      <c r="BSF93" s="594"/>
      <c r="BSG93" s="594"/>
      <c r="BSH93" s="594"/>
      <c r="BSI93" s="594"/>
      <c r="BSJ93" s="594"/>
      <c r="BSK93" s="594"/>
      <c r="BSL93" s="594"/>
      <c r="BSM93" s="594"/>
      <c r="BSN93" s="594"/>
      <c r="BSO93" s="594"/>
      <c r="BSP93" s="594"/>
      <c r="BSQ93" s="594"/>
      <c r="BSR93" s="594"/>
      <c r="BSS93" s="594"/>
      <c r="BST93" s="594"/>
      <c r="BSU93" s="594"/>
      <c r="BSV93" s="594"/>
      <c r="BSW93" s="594"/>
      <c r="BSX93" s="594"/>
      <c r="BSY93" s="594"/>
      <c r="BSZ93" s="594"/>
      <c r="BTA93" s="594"/>
      <c r="BTB93" s="594"/>
      <c r="BTC93" s="594"/>
      <c r="BTD93" s="594"/>
      <c r="BTE93" s="594"/>
      <c r="BTF93" s="594"/>
      <c r="BTG93" s="594"/>
      <c r="BTH93" s="594"/>
      <c r="BTI93" s="594"/>
      <c r="BTJ93" s="594"/>
      <c r="BTK93" s="594"/>
      <c r="BTL93" s="594"/>
      <c r="BTM93" s="594"/>
      <c r="BTN93" s="594"/>
      <c r="BTO93" s="594"/>
      <c r="BTP93" s="594"/>
      <c r="BTQ93" s="594"/>
      <c r="BTR93" s="594"/>
      <c r="BTS93" s="594"/>
      <c r="BTT93" s="594"/>
      <c r="BTU93" s="594"/>
      <c r="BTV93" s="594"/>
      <c r="BTW93" s="594"/>
      <c r="BTX93" s="594"/>
      <c r="BTY93" s="594"/>
      <c r="BTZ93" s="594"/>
      <c r="BUA93" s="594"/>
      <c r="BUB93" s="594"/>
      <c r="BUC93" s="594"/>
      <c r="BUD93" s="594"/>
      <c r="BUE93" s="594"/>
      <c r="BUF93" s="594"/>
      <c r="BUG93" s="594"/>
      <c r="BUH93" s="594"/>
      <c r="BUI93" s="594"/>
      <c r="BUJ93" s="594"/>
      <c r="BUK93" s="594"/>
      <c r="BUL93" s="594"/>
      <c r="BUM93" s="594"/>
      <c r="BUN93" s="594"/>
      <c r="BUO93" s="594"/>
      <c r="BUP93" s="594"/>
      <c r="BUQ93" s="594"/>
      <c r="BUR93" s="594"/>
      <c r="BUS93" s="594"/>
      <c r="BUT93" s="594"/>
      <c r="BUU93" s="594"/>
      <c r="BUV93" s="594"/>
      <c r="BUW93" s="594"/>
      <c r="BUX93" s="594"/>
      <c r="BUY93" s="594"/>
      <c r="BUZ93" s="594"/>
      <c r="BVA93" s="594"/>
      <c r="BVB93" s="594"/>
      <c r="BVC93" s="594"/>
      <c r="BVD93" s="594"/>
      <c r="BVE93" s="594"/>
      <c r="BVF93" s="594"/>
      <c r="BVG93" s="594"/>
      <c r="BVH93" s="594"/>
      <c r="BVI93" s="594"/>
      <c r="BVJ93" s="594"/>
      <c r="BVK93" s="594"/>
      <c r="BVL93" s="594"/>
      <c r="BVM93" s="594"/>
      <c r="BVN93" s="594"/>
      <c r="BVO93" s="594"/>
      <c r="BVP93" s="594"/>
      <c r="BVQ93" s="594"/>
      <c r="BVR93" s="594"/>
      <c r="BVS93" s="594"/>
      <c r="BVT93" s="594"/>
      <c r="BVU93" s="594"/>
      <c r="BVV93" s="594"/>
      <c r="BVW93" s="594"/>
      <c r="BVX93" s="594"/>
      <c r="BVY93" s="594"/>
      <c r="BVZ93" s="594"/>
      <c r="BWA93" s="594"/>
      <c r="BWB93" s="594"/>
      <c r="BWC93" s="594"/>
      <c r="BWD93" s="594"/>
      <c r="BWE93" s="594"/>
      <c r="BWF93" s="594"/>
      <c r="BWG93" s="594"/>
      <c r="BWH93" s="594"/>
      <c r="BWI93" s="594"/>
      <c r="BWJ93" s="594"/>
      <c r="BWK93" s="594"/>
      <c r="BWL93" s="594"/>
      <c r="BWM93" s="594"/>
      <c r="BWN93" s="594"/>
      <c r="BWO93" s="594"/>
      <c r="BWP93" s="594"/>
      <c r="BWQ93" s="594"/>
      <c r="BWR93" s="594"/>
      <c r="BWS93" s="594"/>
      <c r="BWT93" s="594"/>
      <c r="BWU93" s="594"/>
      <c r="BWV93" s="594"/>
      <c r="BWW93" s="594"/>
      <c r="BWX93" s="594"/>
      <c r="BWY93" s="594"/>
      <c r="BWZ93" s="594"/>
      <c r="BXA93" s="594"/>
      <c r="BXB93" s="594"/>
      <c r="BXC93" s="594"/>
      <c r="BXD93" s="594"/>
      <c r="BXE93" s="594"/>
      <c r="BXF93" s="594"/>
      <c r="BXG93" s="594"/>
      <c r="BXH93" s="594"/>
      <c r="BXI93" s="594"/>
      <c r="BXJ93" s="594"/>
      <c r="BXK93" s="594"/>
      <c r="BXL93" s="594"/>
      <c r="BXM93" s="594"/>
      <c r="BXN93" s="594"/>
      <c r="BXO93" s="594"/>
      <c r="BXP93" s="594"/>
      <c r="BXQ93" s="594"/>
      <c r="BXR93" s="594"/>
      <c r="BXS93" s="594"/>
      <c r="BXT93" s="594"/>
      <c r="BXU93" s="594"/>
      <c r="BXV93" s="594"/>
      <c r="BXW93" s="594"/>
      <c r="BXX93" s="594"/>
      <c r="BXY93" s="594"/>
      <c r="BXZ93" s="594"/>
      <c r="BYA93" s="594"/>
      <c r="BYB93" s="594"/>
      <c r="BYC93" s="594"/>
      <c r="BYD93" s="594"/>
      <c r="BYE93" s="594"/>
      <c r="BYF93" s="594"/>
      <c r="BYG93" s="594"/>
      <c r="BYH93" s="594"/>
      <c r="BYI93" s="594"/>
      <c r="BYJ93" s="594"/>
      <c r="BYK93" s="594"/>
      <c r="BYL93" s="594"/>
      <c r="BYM93" s="594"/>
      <c r="BYN93" s="594"/>
      <c r="BYO93" s="594"/>
      <c r="BYP93" s="594"/>
      <c r="BYQ93" s="594"/>
      <c r="BYR93" s="594"/>
      <c r="BYS93" s="594"/>
      <c r="BYT93" s="594"/>
      <c r="BYU93" s="594"/>
      <c r="BYV93" s="594"/>
      <c r="BYW93" s="594"/>
      <c r="BYX93" s="594"/>
      <c r="BYY93" s="594"/>
      <c r="BYZ93" s="594"/>
      <c r="BZA93" s="594"/>
      <c r="BZB93" s="594"/>
      <c r="BZC93" s="594"/>
      <c r="BZD93" s="594"/>
      <c r="BZE93" s="594"/>
      <c r="BZF93" s="594"/>
      <c r="BZG93" s="594"/>
      <c r="BZH93" s="594"/>
      <c r="BZI93" s="594"/>
      <c r="BZJ93" s="594"/>
      <c r="BZK93" s="594"/>
      <c r="BZL93" s="594"/>
      <c r="BZM93" s="594"/>
      <c r="BZN93" s="594"/>
      <c r="BZO93" s="594"/>
      <c r="BZP93" s="594"/>
      <c r="BZQ93" s="594"/>
      <c r="BZR93" s="594"/>
      <c r="BZS93" s="594"/>
      <c r="BZT93" s="594"/>
      <c r="BZU93" s="594"/>
      <c r="BZV93" s="594"/>
      <c r="BZW93" s="594"/>
      <c r="BZX93" s="594"/>
      <c r="BZY93" s="594"/>
      <c r="BZZ93" s="594"/>
      <c r="CAA93" s="594"/>
      <c r="CAB93" s="594"/>
      <c r="CAC93" s="594"/>
      <c r="CAD93" s="594"/>
      <c r="CAE93" s="594"/>
      <c r="CAF93" s="594"/>
      <c r="CAG93" s="594"/>
      <c r="CAH93" s="594"/>
      <c r="CAI93" s="594"/>
      <c r="CAJ93" s="594"/>
      <c r="CAK93" s="594"/>
      <c r="CAL93" s="594"/>
      <c r="CAM93" s="594"/>
      <c r="CAN93" s="594"/>
      <c r="CAO93" s="594"/>
      <c r="CAP93" s="594"/>
      <c r="CAQ93" s="594"/>
      <c r="CAR93" s="594"/>
      <c r="CAS93" s="594"/>
      <c r="CAT93" s="594"/>
      <c r="CAU93" s="594"/>
      <c r="CAV93" s="594"/>
      <c r="CAW93" s="594"/>
      <c r="CAX93" s="594"/>
      <c r="CAY93" s="594"/>
      <c r="CAZ93" s="594"/>
      <c r="CBA93" s="594"/>
      <c r="CBB93" s="594"/>
      <c r="CBC93" s="594"/>
      <c r="CBD93" s="594"/>
      <c r="CBE93" s="594"/>
      <c r="CBF93" s="594"/>
      <c r="CBG93" s="594"/>
      <c r="CBH93" s="594"/>
      <c r="CBI93" s="594"/>
      <c r="CBJ93" s="594"/>
      <c r="CBK93" s="594"/>
      <c r="CBL93" s="594"/>
      <c r="CBM93" s="594"/>
      <c r="CBN93" s="594"/>
      <c r="CBO93" s="594"/>
      <c r="CBP93" s="594"/>
      <c r="CBQ93" s="594"/>
      <c r="CBR93" s="594"/>
      <c r="CBS93" s="594"/>
      <c r="CBT93" s="594"/>
      <c r="CBU93" s="594"/>
      <c r="CBV93" s="594"/>
      <c r="CBW93" s="594"/>
      <c r="CBX93" s="594"/>
      <c r="CBY93" s="594"/>
      <c r="CBZ93" s="594"/>
      <c r="CCA93" s="594"/>
      <c r="CCB93" s="594"/>
      <c r="CCC93" s="594"/>
      <c r="CCD93" s="594"/>
      <c r="CCE93" s="594"/>
      <c r="CCF93" s="594"/>
      <c r="CCG93" s="594"/>
      <c r="CCH93" s="594"/>
      <c r="CCI93" s="594"/>
      <c r="CCJ93" s="594"/>
      <c r="CCK93" s="594"/>
      <c r="CCL93" s="594"/>
      <c r="CCM93" s="594"/>
      <c r="CCN93" s="594"/>
      <c r="CCO93" s="594"/>
      <c r="CCP93" s="594"/>
      <c r="CCQ93" s="594"/>
      <c r="CCR93" s="594"/>
      <c r="CCS93" s="594"/>
      <c r="CCT93" s="594"/>
      <c r="CCU93" s="594"/>
      <c r="CCV93" s="594"/>
      <c r="CCW93" s="594"/>
      <c r="CCX93" s="594"/>
      <c r="CCY93" s="594"/>
      <c r="CCZ93" s="594"/>
      <c r="CDA93" s="594"/>
      <c r="CDB93" s="594"/>
      <c r="CDC93" s="594"/>
      <c r="CDD93" s="594"/>
      <c r="CDE93" s="594"/>
      <c r="CDF93" s="594"/>
      <c r="CDG93" s="594"/>
      <c r="CDH93" s="594"/>
      <c r="CDI93" s="594"/>
      <c r="CDJ93" s="594"/>
      <c r="CDK93" s="594"/>
      <c r="CDL93" s="594"/>
      <c r="CDM93" s="594"/>
      <c r="CDN93" s="594"/>
      <c r="CDO93" s="594"/>
      <c r="CDP93" s="594"/>
      <c r="CDQ93" s="594"/>
      <c r="CDR93" s="594"/>
      <c r="CDS93" s="594"/>
      <c r="CDT93" s="594"/>
      <c r="CDU93" s="594"/>
      <c r="CDV93" s="594"/>
      <c r="CDW93" s="594"/>
      <c r="CDX93" s="594"/>
      <c r="CDY93" s="594"/>
      <c r="CDZ93" s="594"/>
      <c r="CEA93" s="594"/>
      <c r="CEB93" s="594"/>
      <c r="CEC93" s="594"/>
      <c r="CED93" s="594"/>
      <c r="CEE93" s="594"/>
      <c r="CEF93" s="594"/>
      <c r="CEG93" s="594"/>
      <c r="CEH93" s="594"/>
      <c r="CEI93" s="594"/>
      <c r="CEJ93" s="594"/>
      <c r="CEK93" s="594"/>
      <c r="CEL93" s="594"/>
      <c r="CEM93" s="594"/>
      <c r="CEN93" s="594"/>
      <c r="CEO93" s="594"/>
      <c r="CEP93" s="594"/>
      <c r="CEQ93" s="594"/>
      <c r="CER93" s="594"/>
      <c r="CES93" s="594"/>
      <c r="CET93" s="594"/>
      <c r="CEU93" s="594"/>
      <c r="CEV93" s="594"/>
      <c r="CEW93" s="594"/>
      <c r="CEX93" s="594"/>
      <c r="CEY93" s="594"/>
      <c r="CEZ93" s="594"/>
      <c r="CFA93" s="594"/>
      <c r="CFB93" s="594"/>
      <c r="CFC93" s="594"/>
      <c r="CFD93" s="594"/>
      <c r="CFE93" s="594"/>
      <c r="CFF93" s="594"/>
      <c r="CFG93" s="594"/>
      <c r="CFH93" s="594"/>
      <c r="CFI93" s="594"/>
      <c r="CFJ93" s="594"/>
      <c r="CFK93" s="594"/>
      <c r="CFL93" s="594"/>
      <c r="CFM93" s="594"/>
      <c r="CFN93" s="594"/>
      <c r="CFO93" s="594"/>
      <c r="CFP93" s="594"/>
      <c r="CFQ93" s="594"/>
      <c r="CFR93" s="594"/>
      <c r="CFS93" s="594"/>
      <c r="CFT93" s="594"/>
      <c r="CFU93" s="594"/>
      <c r="CFV93" s="594"/>
      <c r="CFW93" s="594"/>
      <c r="CFX93" s="594"/>
      <c r="CFY93" s="594"/>
      <c r="CFZ93" s="594"/>
      <c r="CGA93" s="594"/>
      <c r="CGB93" s="594"/>
      <c r="CGC93" s="594"/>
      <c r="CGD93" s="594"/>
      <c r="CGE93" s="594"/>
      <c r="CGF93" s="594"/>
      <c r="CGG93" s="594"/>
      <c r="CGH93" s="594"/>
      <c r="CGI93" s="594"/>
      <c r="CGJ93" s="594"/>
      <c r="CGK93" s="594"/>
      <c r="CGL93" s="594"/>
      <c r="CGM93" s="594"/>
      <c r="CGN93" s="594"/>
      <c r="CGO93" s="594"/>
      <c r="CGP93" s="594"/>
      <c r="CGQ93" s="594"/>
      <c r="CGR93" s="594"/>
      <c r="CGS93" s="594"/>
      <c r="CGT93" s="594"/>
      <c r="CGU93" s="594"/>
      <c r="CGV93" s="594"/>
      <c r="CGW93" s="594"/>
      <c r="CGX93" s="594"/>
      <c r="CGY93" s="594"/>
      <c r="CGZ93" s="594"/>
      <c r="CHA93" s="594"/>
      <c r="CHB93" s="594"/>
      <c r="CHC93" s="594"/>
      <c r="CHD93" s="594"/>
      <c r="CHE93" s="594"/>
      <c r="CHF93" s="594"/>
      <c r="CHG93" s="594"/>
      <c r="CHH93" s="594"/>
      <c r="CHI93" s="594"/>
      <c r="CHJ93" s="594"/>
      <c r="CHK93" s="594"/>
      <c r="CHL93" s="594"/>
      <c r="CHM93" s="594"/>
      <c r="CHN93" s="594"/>
      <c r="CHO93" s="594"/>
      <c r="CHP93" s="594"/>
      <c r="CHQ93" s="594"/>
      <c r="CHR93" s="594"/>
      <c r="CHS93" s="594"/>
      <c r="CHT93" s="594"/>
      <c r="CHU93" s="594"/>
      <c r="CHV93" s="594"/>
      <c r="CHW93" s="594"/>
      <c r="CHX93" s="594"/>
      <c r="CHY93" s="594"/>
      <c r="CHZ93" s="594"/>
      <c r="CIA93" s="594"/>
      <c r="CIB93" s="594"/>
      <c r="CIC93" s="594"/>
      <c r="CID93" s="594"/>
      <c r="CIE93" s="594"/>
      <c r="CIF93" s="594"/>
      <c r="CIG93" s="594"/>
      <c r="CIH93" s="594"/>
      <c r="CII93" s="594"/>
      <c r="CIJ93" s="594"/>
      <c r="CIK93" s="594"/>
      <c r="CIL93" s="594"/>
      <c r="CIM93" s="594"/>
      <c r="CIN93" s="594"/>
      <c r="CIO93" s="594"/>
      <c r="CIP93" s="594"/>
      <c r="CIQ93" s="594"/>
      <c r="CIR93" s="594"/>
      <c r="CIS93" s="594"/>
      <c r="CIT93" s="594"/>
      <c r="CIU93" s="594"/>
      <c r="CIV93" s="594"/>
      <c r="CIW93" s="594"/>
      <c r="CIX93" s="594"/>
      <c r="CIY93" s="594"/>
      <c r="CIZ93" s="594"/>
      <c r="CJA93" s="594"/>
      <c r="CJB93" s="594"/>
      <c r="CJC93" s="594"/>
      <c r="CJD93" s="594"/>
      <c r="CJE93" s="594"/>
      <c r="CJF93" s="594"/>
      <c r="CJG93" s="594"/>
      <c r="CJH93" s="594"/>
      <c r="CJI93" s="594"/>
      <c r="CJJ93" s="594"/>
      <c r="CJK93" s="594"/>
      <c r="CJL93" s="594"/>
      <c r="CJM93" s="594"/>
      <c r="CJN93" s="594"/>
      <c r="CJO93" s="594"/>
      <c r="CJP93" s="594"/>
      <c r="CJQ93" s="594"/>
      <c r="CJR93" s="594"/>
      <c r="CJS93" s="594"/>
      <c r="CJT93" s="594"/>
      <c r="CJU93" s="594"/>
      <c r="CJV93" s="594"/>
      <c r="CJW93" s="594"/>
      <c r="CJX93" s="594"/>
      <c r="CJY93" s="594"/>
      <c r="CJZ93" s="594"/>
      <c r="CKA93" s="594"/>
      <c r="CKB93" s="594"/>
      <c r="CKC93" s="594"/>
      <c r="CKD93" s="594"/>
      <c r="CKE93" s="594"/>
      <c r="CKF93" s="594"/>
      <c r="CKG93" s="594"/>
      <c r="CKH93" s="594"/>
      <c r="CKI93" s="594"/>
      <c r="CKJ93" s="594"/>
      <c r="CKK93" s="594"/>
      <c r="CKL93" s="594"/>
      <c r="CKM93" s="594"/>
      <c r="CKN93" s="594"/>
      <c r="CKO93" s="594"/>
      <c r="CKP93" s="594"/>
      <c r="CKQ93" s="594"/>
      <c r="CKR93" s="594"/>
      <c r="CKS93" s="594"/>
      <c r="CKT93" s="594"/>
      <c r="CKU93" s="594"/>
      <c r="CKV93" s="594"/>
      <c r="CKW93" s="594"/>
      <c r="CKX93" s="594"/>
      <c r="CKY93" s="594"/>
      <c r="CKZ93" s="594"/>
      <c r="CLA93" s="594"/>
      <c r="CLB93" s="594"/>
      <c r="CLC93" s="594"/>
      <c r="CLD93" s="594"/>
      <c r="CLE93" s="594"/>
      <c r="CLF93" s="594"/>
      <c r="CLG93" s="594"/>
      <c r="CLH93" s="594"/>
      <c r="CLI93" s="594"/>
      <c r="CLJ93" s="594"/>
      <c r="CLK93" s="594"/>
      <c r="CLL93" s="594"/>
      <c r="CLM93" s="594"/>
      <c r="CLN93" s="594"/>
      <c r="CLO93" s="594"/>
      <c r="CLP93" s="594"/>
      <c r="CLQ93" s="594"/>
      <c r="CLR93" s="594"/>
      <c r="CLS93" s="594"/>
      <c r="CLT93" s="594"/>
      <c r="CLU93" s="594"/>
      <c r="CLV93" s="594"/>
      <c r="CLW93" s="594"/>
      <c r="CLX93" s="594"/>
      <c r="CLY93" s="594"/>
      <c r="CLZ93" s="594"/>
      <c r="CMA93" s="594"/>
      <c r="CMB93" s="594"/>
      <c r="CMC93" s="594"/>
      <c r="CMD93" s="594"/>
      <c r="CME93" s="594"/>
      <c r="CMF93" s="594"/>
      <c r="CMG93" s="594"/>
      <c r="CMH93" s="594"/>
      <c r="CMI93" s="594"/>
      <c r="CMJ93" s="594"/>
      <c r="CMK93" s="594"/>
      <c r="CML93" s="594"/>
      <c r="CMM93" s="594"/>
      <c r="CMN93" s="594"/>
      <c r="CMO93" s="594"/>
      <c r="CMP93" s="594"/>
      <c r="CMQ93" s="594"/>
      <c r="CMR93" s="594"/>
      <c r="CMS93" s="594"/>
      <c r="CMT93" s="594"/>
      <c r="CMU93" s="594"/>
      <c r="CMV93" s="594"/>
      <c r="CMW93" s="594"/>
      <c r="CMX93" s="594"/>
      <c r="CMY93" s="594"/>
      <c r="CMZ93" s="594"/>
      <c r="CNA93" s="594"/>
      <c r="CNB93" s="594"/>
      <c r="CNC93" s="594"/>
      <c r="CND93" s="594"/>
      <c r="CNE93" s="594"/>
      <c r="CNF93" s="594"/>
      <c r="CNG93" s="594"/>
      <c r="CNH93" s="594"/>
      <c r="CNI93" s="594"/>
      <c r="CNJ93" s="594"/>
      <c r="CNK93" s="594"/>
      <c r="CNL93" s="594"/>
      <c r="CNM93" s="594"/>
      <c r="CNN93" s="594"/>
      <c r="CNO93" s="594"/>
      <c r="CNP93" s="594"/>
      <c r="CNQ93" s="594"/>
      <c r="CNR93" s="594"/>
      <c r="CNS93" s="594"/>
      <c r="CNT93" s="594"/>
      <c r="CNU93" s="594"/>
      <c r="CNV93" s="594"/>
      <c r="CNW93" s="594"/>
      <c r="CNX93" s="594"/>
      <c r="CNY93" s="594"/>
      <c r="CNZ93" s="594"/>
      <c r="COA93" s="594"/>
      <c r="COB93" s="594"/>
      <c r="COC93" s="594"/>
      <c r="COD93" s="594"/>
      <c r="COE93" s="594"/>
      <c r="COF93" s="594"/>
      <c r="COG93" s="594"/>
      <c r="COH93" s="594"/>
      <c r="COI93" s="594"/>
      <c r="COJ93" s="594"/>
      <c r="COK93" s="594"/>
      <c r="COL93" s="594"/>
      <c r="COM93" s="594"/>
      <c r="CON93" s="594"/>
      <c r="COO93" s="594"/>
      <c r="COP93" s="594"/>
      <c r="COQ93" s="594"/>
      <c r="COR93" s="594"/>
      <c r="COS93" s="594"/>
      <c r="COT93" s="594"/>
      <c r="COU93" s="594"/>
      <c r="COV93" s="594"/>
      <c r="COW93" s="594"/>
      <c r="COX93" s="594"/>
      <c r="COY93" s="594"/>
      <c r="COZ93" s="594"/>
      <c r="CPA93" s="594"/>
      <c r="CPB93" s="594"/>
      <c r="CPC93" s="594"/>
      <c r="CPD93" s="594"/>
      <c r="CPE93" s="594"/>
      <c r="CPF93" s="594"/>
      <c r="CPG93" s="594"/>
      <c r="CPH93" s="594"/>
      <c r="CPI93" s="594"/>
      <c r="CPJ93" s="594"/>
      <c r="CPK93" s="594"/>
      <c r="CPL93" s="594"/>
      <c r="CPM93" s="594"/>
      <c r="CPN93" s="594"/>
      <c r="CPO93" s="594"/>
      <c r="CPP93" s="594"/>
      <c r="CPQ93" s="594"/>
      <c r="CPR93" s="594"/>
      <c r="CPS93" s="594"/>
      <c r="CPT93" s="594"/>
      <c r="CPU93" s="594"/>
      <c r="CPV93" s="594"/>
      <c r="CPW93" s="594"/>
      <c r="CPX93" s="594"/>
      <c r="CPY93" s="594"/>
      <c r="CPZ93" s="594"/>
      <c r="CQA93" s="594"/>
      <c r="CQB93" s="594"/>
      <c r="CQC93" s="594"/>
      <c r="CQD93" s="594"/>
      <c r="CQE93" s="594"/>
      <c r="CQF93" s="594"/>
      <c r="CQG93" s="594"/>
      <c r="CQH93" s="594"/>
      <c r="CQI93" s="594"/>
      <c r="CQJ93" s="594"/>
      <c r="CQK93" s="594"/>
      <c r="CQL93" s="594"/>
      <c r="CQM93" s="594"/>
      <c r="CQN93" s="594"/>
      <c r="CQO93" s="594"/>
      <c r="CQP93" s="594"/>
      <c r="CQQ93" s="594"/>
      <c r="CQR93" s="594"/>
      <c r="CQS93" s="594"/>
      <c r="CQT93" s="594"/>
      <c r="CQU93" s="594"/>
      <c r="CQV93" s="594"/>
      <c r="CQW93" s="594"/>
      <c r="CQX93" s="594"/>
      <c r="CQY93" s="594"/>
      <c r="CQZ93" s="594"/>
      <c r="CRA93" s="594"/>
      <c r="CRB93" s="594"/>
      <c r="CRC93" s="594"/>
      <c r="CRD93" s="594"/>
      <c r="CRE93" s="594"/>
      <c r="CRF93" s="594"/>
      <c r="CRG93" s="594"/>
      <c r="CRH93" s="594"/>
      <c r="CRI93" s="594"/>
      <c r="CRJ93" s="594"/>
      <c r="CRK93" s="594"/>
      <c r="CRL93" s="594"/>
      <c r="CRM93" s="594"/>
      <c r="CRN93" s="594"/>
      <c r="CRO93" s="594"/>
      <c r="CRP93" s="594"/>
      <c r="CRQ93" s="594"/>
      <c r="CRR93" s="594"/>
      <c r="CRS93" s="594"/>
      <c r="CRT93" s="594"/>
      <c r="CRU93" s="594"/>
      <c r="CRV93" s="594"/>
      <c r="CRW93" s="594"/>
      <c r="CRX93" s="594"/>
      <c r="CRY93" s="594"/>
      <c r="CRZ93" s="594"/>
      <c r="CSA93" s="594"/>
      <c r="CSB93" s="594"/>
      <c r="CSC93" s="594"/>
      <c r="CSD93" s="594"/>
      <c r="CSE93" s="594"/>
      <c r="CSF93" s="594"/>
      <c r="CSG93" s="594"/>
      <c r="CSH93" s="594"/>
      <c r="CSI93" s="594"/>
      <c r="CSJ93" s="594"/>
      <c r="CSK93" s="594"/>
      <c r="CSL93" s="594"/>
      <c r="CSM93" s="594"/>
      <c r="CSN93" s="594"/>
      <c r="CSO93" s="594"/>
      <c r="CSP93" s="594"/>
      <c r="CSQ93" s="594"/>
      <c r="CSR93" s="594"/>
      <c r="CSS93" s="594"/>
      <c r="CST93" s="594"/>
      <c r="CSU93" s="594"/>
      <c r="CSV93" s="594"/>
      <c r="CSW93" s="594"/>
      <c r="CSX93" s="594"/>
      <c r="CSY93" s="594"/>
      <c r="CSZ93" s="594"/>
      <c r="CTA93" s="594"/>
      <c r="CTB93" s="594"/>
      <c r="CTC93" s="594"/>
      <c r="CTD93" s="594"/>
      <c r="CTE93" s="594"/>
      <c r="CTF93" s="594"/>
      <c r="CTG93" s="594"/>
      <c r="CTH93" s="594"/>
      <c r="CTI93" s="594"/>
      <c r="CTJ93" s="594"/>
      <c r="CTK93" s="594"/>
      <c r="CTL93" s="594"/>
      <c r="CTM93" s="594"/>
      <c r="CTN93" s="594"/>
      <c r="CTO93" s="594"/>
      <c r="CTP93" s="594"/>
      <c r="CTQ93" s="594"/>
      <c r="CTR93" s="594"/>
      <c r="CTS93" s="594"/>
      <c r="CTT93" s="594"/>
      <c r="CTU93" s="594"/>
      <c r="CTV93" s="594"/>
      <c r="CTW93" s="594"/>
      <c r="CTX93" s="594"/>
      <c r="CTY93" s="594"/>
      <c r="CTZ93" s="594"/>
      <c r="CUA93" s="594"/>
      <c r="CUB93" s="594"/>
      <c r="CUC93" s="594"/>
      <c r="CUD93" s="594"/>
      <c r="CUE93" s="594"/>
      <c r="CUF93" s="594"/>
      <c r="CUG93" s="594"/>
      <c r="CUH93" s="594"/>
      <c r="CUI93" s="594"/>
      <c r="CUJ93" s="594"/>
      <c r="CUK93" s="594"/>
      <c r="CUL93" s="594"/>
      <c r="CUM93" s="594"/>
      <c r="CUN93" s="594"/>
      <c r="CUO93" s="594"/>
      <c r="CUP93" s="594"/>
      <c r="CUQ93" s="594"/>
      <c r="CUR93" s="594"/>
      <c r="CUS93" s="594"/>
      <c r="CUT93" s="594"/>
      <c r="CUU93" s="594"/>
      <c r="CUV93" s="594"/>
      <c r="CUW93" s="594"/>
      <c r="CUX93" s="594"/>
      <c r="CUY93" s="594"/>
      <c r="CUZ93" s="594"/>
      <c r="CVA93" s="594"/>
      <c r="CVB93" s="594"/>
      <c r="CVC93" s="594"/>
      <c r="CVD93" s="594"/>
      <c r="CVE93" s="594"/>
      <c r="CVF93" s="594"/>
      <c r="CVG93" s="594"/>
      <c r="CVH93" s="594"/>
      <c r="CVI93" s="594"/>
      <c r="CVJ93" s="594"/>
      <c r="CVK93" s="594"/>
      <c r="CVL93" s="594"/>
      <c r="CVM93" s="594"/>
      <c r="CVN93" s="594"/>
      <c r="CVO93" s="594"/>
      <c r="CVP93" s="594"/>
      <c r="CVQ93" s="594"/>
      <c r="CVR93" s="594"/>
      <c r="CVS93" s="594"/>
      <c r="CVT93" s="594"/>
      <c r="CVU93" s="594"/>
      <c r="CVV93" s="594"/>
      <c r="CVW93" s="594"/>
      <c r="CVX93" s="594"/>
      <c r="CVY93" s="594"/>
      <c r="CVZ93" s="594"/>
      <c r="CWA93" s="594"/>
      <c r="CWB93" s="594"/>
      <c r="CWC93" s="594"/>
      <c r="CWD93" s="594"/>
      <c r="CWE93" s="594"/>
      <c r="CWF93" s="594"/>
      <c r="CWG93" s="594"/>
      <c r="CWH93" s="594"/>
      <c r="CWI93" s="594"/>
      <c r="CWJ93" s="594"/>
      <c r="CWK93" s="594"/>
      <c r="CWL93" s="594"/>
      <c r="CWM93" s="594"/>
      <c r="CWN93" s="594"/>
      <c r="CWO93" s="594"/>
      <c r="CWP93" s="594"/>
      <c r="CWQ93" s="594"/>
      <c r="CWR93" s="594"/>
      <c r="CWS93" s="594"/>
      <c r="CWT93" s="594"/>
      <c r="CWU93" s="594"/>
      <c r="CWV93" s="594"/>
      <c r="CWW93" s="594"/>
      <c r="CWX93" s="594"/>
      <c r="CWY93" s="594"/>
      <c r="CWZ93" s="594"/>
      <c r="CXA93" s="594"/>
      <c r="CXB93" s="594"/>
      <c r="CXC93" s="594"/>
      <c r="CXD93" s="594"/>
      <c r="CXE93" s="594"/>
      <c r="CXF93" s="594"/>
      <c r="CXG93" s="594"/>
      <c r="CXH93" s="594"/>
      <c r="CXI93" s="594"/>
      <c r="CXJ93" s="594"/>
      <c r="CXK93" s="594"/>
      <c r="CXL93" s="594"/>
      <c r="CXM93" s="594"/>
      <c r="CXN93" s="594"/>
      <c r="CXO93" s="594"/>
      <c r="CXP93" s="594"/>
      <c r="CXQ93" s="594"/>
      <c r="CXR93" s="594"/>
      <c r="CXS93" s="594"/>
      <c r="CXT93" s="594"/>
      <c r="CXU93" s="594"/>
      <c r="CXV93" s="594"/>
      <c r="CXW93" s="594"/>
      <c r="CXX93" s="594"/>
      <c r="CXY93" s="594"/>
      <c r="CXZ93" s="594"/>
      <c r="CYA93" s="594"/>
      <c r="CYB93" s="594"/>
      <c r="CYC93" s="594"/>
      <c r="CYD93" s="594"/>
      <c r="CYE93" s="594"/>
      <c r="CYF93" s="594"/>
      <c r="CYG93" s="594"/>
      <c r="CYH93" s="594"/>
      <c r="CYI93" s="594"/>
      <c r="CYJ93" s="594"/>
      <c r="CYK93" s="594"/>
      <c r="CYL93" s="594"/>
      <c r="CYM93" s="594"/>
      <c r="CYN93" s="594"/>
      <c r="CYO93" s="594"/>
      <c r="CYP93" s="594"/>
      <c r="CYQ93" s="594"/>
      <c r="CYR93" s="594"/>
      <c r="CYS93" s="594"/>
      <c r="CYT93" s="594"/>
      <c r="CYU93" s="594"/>
      <c r="CYV93" s="594"/>
      <c r="CYW93" s="594"/>
      <c r="CYX93" s="594"/>
      <c r="CYY93" s="594"/>
      <c r="CYZ93" s="594"/>
      <c r="CZA93" s="594"/>
      <c r="CZB93" s="594"/>
      <c r="CZC93" s="594"/>
      <c r="CZD93" s="594"/>
      <c r="CZE93" s="594"/>
      <c r="CZF93" s="594"/>
      <c r="CZG93" s="594"/>
      <c r="CZH93" s="594"/>
      <c r="CZI93" s="594"/>
      <c r="CZJ93" s="594"/>
      <c r="CZK93" s="594"/>
      <c r="CZL93" s="594"/>
      <c r="CZM93" s="594"/>
      <c r="CZN93" s="594"/>
      <c r="CZO93" s="594"/>
      <c r="CZP93" s="594"/>
      <c r="CZQ93" s="594"/>
      <c r="CZR93" s="594"/>
      <c r="CZS93" s="594"/>
      <c r="CZT93" s="594"/>
      <c r="CZU93" s="594"/>
      <c r="CZV93" s="594"/>
      <c r="CZW93" s="594"/>
      <c r="CZX93" s="594"/>
      <c r="CZY93" s="594"/>
      <c r="CZZ93" s="594"/>
      <c r="DAA93" s="594"/>
      <c r="DAB93" s="594"/>
      <c r="DAC93" s="594"/>
      <c r="DAD93" s="594"/>
      <c r="DAE93" s="594"/>
      <c r="DAF93" s="594"/>
      <c r="DAG93" s="594"/>
      <c r="DAH93" s="594"/>
      <c r="DAI93" s="594"/>
      <c r="DAJ93" s="594"/>
      <c r="DAK93" s="594"/>
      <c r="DAL93" s="594"/>
      <c r="DAM93" s="594"/>
      <c r="DAN93" s="594"/>
      <c r="DAO93" s="594"/>
      <c r="DAP93" s="594"/>
      <c r="DAQ93" s="594"/>
      <c r="DAR93" s="594"/>
      <c r="DAS93" s="594"/>
      <c r="DAT93" s="594"/>
      <c r="DAU93" s="594"/>
      <c r="DAV93" s="594"/>
      <c r="DAW93" s="594"/>
      <c r="DAX93" s="594"/>
      <c r="DAY93" s="594"/>
      <c r="DAZ93" s="594"/>
      <c r="DBA93" s="594"/>
      <c r="DBB93" s="594"/>
      <c r="DBC93" s="594"/>
      <c r="DBD93" s="594"/>
      <c r="DBE93" s="594"/>
      <c r="DBF93" s="594"/>
      <c r="DBG93" s="594"/>
      <c r="DBH93" s="594"/>
      <c r="DBI93" s="594"/>
      <c r="DBJ93" s="594"/>
      <c r="DBK93" s="594"/>
      <c r="DBL93" s="594"/>
      <c r="DBM93" s="594"/>
      <c r="DBN93" s="594"/>
      <c r="DBO93" s="594"/>
      <c r="DBP93" s="594"/>
      <c r="DBQ93" s="594"/>
      <c r="DBR93" s="594"/>
      <c r="DBS93" s="594"/>
      <c r="DBT93" s="594"/>
      <c r="DBU93" s="594"/>
      <c r="DBV93" s="594"/>
      <c r="DBW93" s="594"/>
      <c r="DBX93" s="594"/>
      <c r="DBY93" s="594"/>
      <c r="DBZ93" s="594"/>
      <c r="DCA93" s="594"/>
      <c r="DCB93" s="594"/>
      <c r="DCC93" s="594"/>
      <c r="DCD93" s="594"/>
      <c r="DCE93" s="594"/>
      <c r="DCF93" s="594"/>
      <c r="DCG93" s="594"/>
      <c r="DCH93" s="594"/>
      <c r="DCI93" s="594"/>
      <c r="DCJ93" s="594"/>
      <c r="DCK93" s="594"/>
      <c r="DCL93" s="594"/>
      <c r="DCM93" s="594"/>
      <c r="DCN93" s="594"/>
      <c r="DCO93" s="594"/>
      <c r="DCP93" s="594"/>
      <c r="DCQ93" s="594"/>
      <c r="DCR93" s="594"/>
      <c r="DCS93" s="594"/>
      <c r="DCT93" s="594"/>
      <c r="DCU93" s="594"/>
      <c r="DCV93" s="594"/>
      <c r="DCW93" s="594"/>
      <c r="DCX93" s="594"/>
      <c r="DCY93" s="594"/>
      <c r="DCZ93" s="594"/>
      <c r="DDA93" s="594"/>
      <c r="DDB93" s="594"/>
      <c r="DDC93" s="594"/>
      <c r="DDD93" s="594"/>
      <c r="DDE93" s="594"/>
      <c r="DDF93" s="594"/>
      <c r="DDG93" s="594"/>
      <c r="DDH93" s="594"/>
      <c r="DDI93" s="594"/>
      <c r="DDJ93" s="594"/>
      <c r="DDK93" s="594"/>
      <c r="DDL93" s="594"/>
      <c r="DDM93" s="594"/>
      <c r="DDN93" s="594"/>
      <c r="DDO93" s="594"/>
      <c r="DDP93" s="594"/>
      <c r="DDQ93" s="594"/>
      <c r="DDR93" s="594"/>
      <c r="DDS93" s="594"/>
      <c r="DDT93" s="594"/>
      <c r="DDU93" s="594"/>
      <c r="DDV93" s="594"/>
      <c r="DDW93" s="594"/>
      <c r="DDX93" s="594"/>
      <c r="DDY93" s="594"/>
      <c r="DDZ93" s="594"/>
      <c r="DEA93" s="594"/>
      <c r="DEB93" s="594"/>
      <c r="DEC93" s="594"/>
      <c r="DED93" s="594"/>
      <c r="DEE93" s="594"/>
      <c r="DEF93" s="594"/>
      <c r="DEG93" s="594"/>
      <c r="DEH93" s="594"/>
      <c r="DEI93" s="594"/>
      <c r="DEJ93" s="594"/>
      <c r="DEK93" s="594"/>
      <c r="DEL93" s="594"/>
      <c r="DEM93" s="594"/>
      <c r="DEN93" s="594"/>
      <c r="DEO93" s="594"/>
      <c r="DEP93" s="594"/>
      <c r="DEQ93" s="594"/>
      <c r="DER93" s="594"/>
      <c r="DES93" s="594"/>
      <c r="DET93" s="594"/>
      <c r="DEU93" s="594"/>
      <c r="DEV93" s="594"/>
      <c r="DEW93" s="594"/>
      <c r="DEX93" s="594"/>
      <c r="DEY93" s="594"/>
      <c r="DEZ93" s="594"/>
      <c r="DFA93" s="594"/>
      <c r="DFB93" s="594"/>
      <c r="DFC93" s="594"/>
      <c r="DFD93" s="594"/>
      <c r="DFE93" s="594"/>
      <c r="DFF93" s="594"/>
      <c r="DFG93" s="594"/>
      <c r="DFH93" s="594"/>
      <c r="DFI93" s="594"/>
      <c r="DFJ93" s="594"/>
      <c r="DFK93" s="594"/>
      <c r="DFL93" s="594"/>
      <c r="DFM93" s="594"/>
      <c r="DFN93" s="594"/>
      <c r="DFO93" s="594"/>
      <c r="DFP93" s="594"/>
      <c r="DFQ93" s="594"/>
      <c r="DFR93" s="594"/>
      <c r="DFS93" s="594"/>
      <c r="DFT93" s="594"/>
      <c r="DFU93" s="594"/>
      <c r="DFV93" s="594"/>
      <c r="DFW93" s="594"/>
      <c r="DFX93" s="594"/>
      <c r="DFY93" s="594"/>
      <c r="DFZ93" s="594"/>
      <c r="DGA93" s="594"/>
      <c r="DGB93" s="594"/>
      <c r="DGC93" s="594"/>
      <c r="DGD93" s="594"/>
      <c r="DGE93" s="594"/>
      <c r="DGF93" s="594"/>
      <c r="DGG93" s="594"/>
      <c r="DGH93" s="594"/>
      <c r="DGI93" s="594"/>
      <c r="DGJ93" s="594"/>
      <c r="DGK93" s="594"/>
      <c r="DGL93" s="594"/>
      <c r="DGM93" s="594"/>
      <c r="DGN93" s="594"/>
      <c r="DGO93" s="594"/>
      <c r="DGP93" s="594"/>
      <c r="DGQ93" s="594"/>
      <c r="DGR93" s="594"/>
      <c r="DGS93" s="594"/>
      <c r="DGT93" s="594"/>
      <c r="DGU93" s="594"/>
      <c r="DGV93" s="594"/>
      <c r="DGW93" s="594"/>
      <c r="DGX93" s="594"/>
      <c r="DGY93" s="594"/>
      <c r="DGZ93" s="594"/>
      <c r="DHA93" s="594"/>
      <c r="DHB93" s="594"/>
      <c r="DHC93" s="594"/>
      <c r="DHD93" s="594"/>
      <c r="DHE93" s="594"/>
      <c r="DHF93" s="594"/>
      <c r="DHG93" s="594"/>
      <c r="DHH93" s="594"/>
      <c r="DHI93" s="594"/>
      <c r="DHJ93" s="594"/>
      <c r="DHK93" s="594"/>
      <c r="DHL93" s="594"/>
      <c r="DHM93" s="594"/>
      <c r="DHN93" s="594"/>
      <c r="DHO93" s="594"/>
      <c r="DHP93" s="594"/>
      <c r="DHQ93" s="594"/>
      <c r="DHR93" s="594"/>
      <c r="DHS93" s="594"/>
      <c r="DHT93" s="594"/>
      <c r="DHU93" s="594"/>
      <c r="DHV93" s="594"/>
      <c r="DHW93" s="594"/>
      <c r="DHX93" s="594"/>
      <c r="DHY93" s="594"/>
      <c r="DHZ93" s="594"/>
      <c r="DIA93" s="594"/>
      <c r="DIB93" s="594"/>
      <c r="DIC93" s="594"/>
      <c r="DID93" s="594"/>
      <c r="DIE93" s="594"/>
      <c r="DIF93" s="594"/>
      <c r="DIG93" s="594"/>
      <c r="DIH93" s="594"/>
      <c r="DII93" s="594"/>
      <c r="DIJ93" s="594"/>
      <c r="DIK93" s="594"/>
      <c r="DIL93" s="594"/>
      <c r="DIM93" s="594"/>
      <c r="DIN93" s="594"/>
      <c r="DIO93" s="594"/>
      <c r="DIP93" s="594"/>
      <c r="DIQ93" s="594"/>
      <c r="DIR93" s="594"/>
      <c r="DIS93" s="594"/>
      <c r="DIT93" s="594"/>
      <c r="DIU93" s="594"/>
      <c r="DIV93" s="594"/>
      <c r="DIW93" s="594"/>
      <c r="DIX93" s="594"/>
      <c r="DIY93" s="594"/>
      <c r="DIZ93" s="594"/>
      <c r="DJA93" s="594"/>
      <c r="DJB93" s="594"/>
      <c r="DJC93" s="594"/>
      <c r="DJD93" s="594"/>
      <c r="DJE93" s="594"/>
      <c r="DJF93" s="594"/>
      <c r="DJG93" s="594"/>
      <c r="DJH93" s="594"/>
      <c r="DJI93" s="594"/>
      <c r="DJJ93" s="594"/>
      <c r="DJK93" s="594"/>
      <c r="DJL93" s="594"/>
      <c r="DJM93" s="594"/>
      <c r="DJN93" s="594"/>
      <c r="DJO93" s="594"/>
      <c r="DJP93" s="594"/>
      <c r="DJQ93" s="594"/>
      <c r="DJR93" s="594"/>
      <c r="DJS93" s="594"/>
      <c r="DJT93" s="594"/>
      <c r="DJU93" s="594"/>
      <c r="DJV93" s="594"/>
      <c r="DJW93" s="594"/>
      <c r="DJX93" s="594"/>
      <c r="DJY93" s="594"/>
      <c r="DJZ93" s="594"/>
      <c r="DKA93" s="594"/>
      <c r="DKB93" s="594"/>
      <c r="DKC93" s="594"/>
      <c r="DKD93" s="594"/>
      <c r="DKE93" s="594"/>
      <c r="DKF93" s="594"/>
      <c r="DKG93" s="594"/>
      <c r="DKH93" s="594"/>
      <c r="DKI93" s="594"/>
      <c r="DKJ93" s="594"/>
      <c r="DKK93" s="594"/>
      <c r="DKL93" s="594"/>
      <c r="DKM93" s="594"/>
      <c r="DKN93" s="594"/>
      <c r="DKO93" s="594"/>
      <c r="DKP93" s="594"/>
      <c r="DKQ93" s="594"/>
      <c r="DKR93" s="594"/>
      <c r="DKS93" s="594"/>
      <c r="DKT93" s="594"/>
      <c r="DKU93" s="594"/>
      <c r="DKV93" s="594"/>
      <c r="DKW93" s="594"/>
      <c r="DKX93" s="594"/>
      <c r="DKY93" s="594"/>
      <c r="DKZ93" s="594"/>
      <c r="DLA93" s="594"/>
      <c r="DLB93" s="594"/>
      <c r="DLC93" s="594"/>
      <c r="DLD93" s="594"/>
      <c r="DLE93" s="594"/>
      <c r="DLF93" s="594"/>
      <c r="DLG93" s="594"/>
      <c r="DLH93" s="594"/>
      <c r="DLI93" s="594"/>
      <c r="DLJ93" s="594"/>
      <c r="DLK93" s="594"/>
      <c r="DLL93" s="594"/>
      <c r="DLM93" s="594"/>
      <c r="DLN93" s="594"/>
      <c r="DLO93" s="594"/>
      <c r="DLP93" s="594"/>
      <c r="DLQ93" s="594"/>
      <c r="DLR93" s="594"/>
      <c r="DLS93" s="594"/>
      <c r="DLT93" s="594"/>
      <c r="DLU93" s="594"/>
      <c r="DLV93" s="594"/>
      <c r="DLW93" s="594"/>
      <c r="DLX93" s="594"/>
      <c r="DLY93" s="594"/>
      <c r="DLZ93" s="594"/>
      <c r="DMA93" s="594"/>
      <c r="DMB93" s="594"/>
      <c r="DMC93" s="594"/>
      <c r="DMD93" s="594"/>
      <c r="DME93" s="594"/>
      <c r="DMF93" s="594"/>
      <c r="DMG93" s="594"/>
      <c r="DMH93" s="594"/>
      <c r="DMI93" s="594"/>
      <c r="DMJ93" s="594"/>
      <c r="DMK93" s="594"/>
      <c r="DML93" s="594"/>
      <c r="DMM93" s="594"/>
      <c r="DMN93" s="594"/>
      <c r="DMO93" s="594"/>
      <c r="DMP93" s="594"/>
      <c r="DMQ93" s="594"/>
      <c r="DMR93" s="594"/>
      <c r="DMS93" s="594"/>
      <c r="DMT93" s="594"/>
      <c r="DMU93" s="594"/>
      <c r="DMV93" s="594"/>
      <c r="DMW93" s="594"/>
      <c r="DMX93" s="594"/>
      <c r="DMY93" s="594"/>
      <c r="DMZ93" s="594"/>
      <c r="DNA93" s="594"/>
      <c r="DNB93" s="594"/>
      <c r="DNC93" s="594"/>
      <c r="DND93" s="594"/>
      <c r="DNE93" s="594"/>
      <c r="DNF93" s="594"/>
      <c r="DNG93" s="594"/>
      <c r="DNH93" s="594"/>
      <c r="DNI93" s="594"/>
      <c r="DNJ93" s="594"/>
      <c r="DNK93" s="594"/>
      <c r="DNL93" s="594"/>
      <c r="DNM93" s="594"/>
      <c r="DNN93" s="594"/>
      <c r="DNO93" s="594"/>
      <c r="DNP93" s="594"/>
      <c r="DNQ93" s="594"/>
      <c r="DNR93" s="594"/>
      <c r="DNS93" s="594"/>
      <c r="DNT93" s="594"/>
      <c r="DNU93" s="594"/>
      <c r="DNV93" s="594"/>
      <c r="DNW93" s="594"/>
      <c r="DNX93" s="594"/>
      <c r="DNY93" s="594"/>
      <c r="DNZ93" s="594"/>
      <c r="DOA93" s="594"/>
      <c r="DOB93" s="594"/>
      <c r="DOC93" s="594"/>
      <c r="DOD93" s="594"/>
      <c r="DOE93" s="594"/>
      <c r="DOF93" s="594"/>
      <c r="DOG93" s="594"/>
      <c r="DOH93" s="594"/>
      <c r="DOI93" s="594"/>
      <c r="DOJ93" s="594"/>
      <c r="DOK93" s="594"/>
      <c r="DOL93" s="594"/>
      <c r="DOM93" s="594"/>
      <c r="DON93" s="594"/>
      <c r="DOO93" s="594"/>
      <c r="DOP93" s="594"/>
      <c r="DOQ93" s="594"/>
      <c r="DOR93" s="594"/>
      <c r="DOS93" s="594"/>
      <c r="DOT93" s="594"/>
      <c r="DOU93" s="594"/>
      <c r="DOV93" s="594"/>
      <c r="DOW93" s="594"/>
      <c r="DOX93" s="594"/>
      <c r="DOY93" s="594"/>
      <c r="DOZ93" s="594"/>
      <c r="DPA93" s="594"/>
      <c r="DPB93" s="594"/>
      <c r="DPC93" s="594"/>
      <c r="DPD93" s="594"/>
      <c r="DPE93" s="594"/>
      <c r="DPF93" s="594"/>
      <c r="DPG93" s="594"/>
      <c r="DPH93" s="594"/>
      <c r="DPI93" s="594"/>
      <c r="DPJ93" s="594"/>
      <c r="DPK93" s="594"/>
      <c r="DPL93" s="594"/>
      <c r="DPM93" s="594"/>
      <c r="DPN93" s="594"/>
      <c r="DPO93" s="594"/>
      <c r="DPP93" s="594"/>
      <c r="DPQ93" s="594"/>
      <c r="DPR93" s="594"/>
      <c r="DPS93" s="594"/>
      <c r="DPT93" s="594"/>
      <c r="DPU93" s="594"/>
      <c r="DPV93" s="594"/>
      <c r="DPW93" s="594"/>
      <c r="DPX93" s="594"/>
      <c r="DPY93" s="594"/>
      <c r="DPZ93" s="594"/>
      <c r="DQA93" s="594"/>
      <c r="DQB93" s="594"/>
      <c r="DQC93" s="594"/>
      <c r="DQD93" s="594"/>
      <c r="DQE93" s="594"/>
      <c r="DQF93" s="594"/>
      <c r="DQG93" s="594"/>
      <c r="DQH93" s="594"/>
      <c r="DQI93" s="594"/>
      <c r="DQJ93" s="594"/>
      <c r="DQK93" s="594"/>
      <c r="DQL93" s="594"/>
      <c r="DQM93" s="594"/>
      <c r="DQN93" s="594"/>
      <c r="DQO93" s="594"/>
      <c r="DQP93" s="594"/>
      <c r="DQQ93" s="594"/>
      <c r="DQR93" s="594"/>
      <c r="DQS93" s="594"/>
      <c r="DQT93" s="594"/>
      <c r="DQU93" s="594"/>
      <c r="DQV93" s="594"/>
      <c r="DQW93" s="594"/>
      <c r="DQX93" s="594"/>
      <c r="DQY93" s="594"/>
      <c r="DQZ93" s="594"/>
      <c r="DRA93" s="594"/>
      <c r="DRB93" s="594"/>
      <c r="DRC93" s="594"/>
      <c r="DRD93" s="594"/>
      <c r="DRE93" s="594"/>
      <c r="DRF93" s="594"/>
      <c r="DRG93" s="594"/>
      <c r="DRH93" s="594"/>
      <c r="DRI93" s="594"/>
      <c r="DRJ93" s="594"/>
      <c r="DRK93" s="594"/>
      <c r="DRL93" s="594"/>
      <c r="DRM93" s="594"/>
      <c r="DRN93" s="594"/>
      <c r="DRO93" s="594"/>
      <c r="DRP93" s="594"/>
      <c r="DRQ93" s="594"/>
      <c r="DRR93" s="594"/>
      <c r="DRS93" s="594"/>
      <c r="DRT93" s="594"/>
      <c r="DRU93" s="594"/>
      <c r="DRV93" s="594"/>
      <c r="DRW93" s="594"/>
      <c r="DRX93" s="594"/>
      <c r="DRY93" s="594"/>
      <c r="DRZ93" s="594"/>
      <c r="DSA93" s="594"/>
      <c r="DSB93" s="594"/>
      <c r="DSC93" s="594"/>
      <c r="DSD93" s="594"/>
      <c r="DSE93" s="594"/>
      <c r="DSF93" s="594"/>
      <c r="DSG93" s="594"/>
      <c r="DSH93" s="594"/>
      <c r="DSI93" s="594"/>
      <c r="DSJ93" s="594"/>
      <c r="DSK93" s="594"/>
      <c r="DSL93" s="594"/>
      <c r="DSM93" s="594"/>
      <c r="DSN93" s="594"/>
      <c r="DSO93" s="594"/>
      <c r="DSP93" s="594"/>
      <c r="DSQ93" s="594"/>
      <c r="DSR93" s="594"/>
      <c r="DSS93" s="594"/>
      <c r="DST93" s="594"/>
      <c r="DSU93" s="594"/>
      <c r="DSV93" s="594"/>
      <c r="DSW93" s="594"/>
      <c r="DSX93" s="594"/>
      <c r="DSY93" s="594"/>
      <c r="DSZ93" s="594"/>
      <c r="DTA93" s="594"/>
      <c r="DTB93" s="594"/>
      <c r="DTC93" s="594"/>
      <c r="DTD93" s="594"/>
      <c r="DTE93" s="594"/>
      <c r="DTF93" s="594"/>
      <c r="DTG93" s="594"/>
      <c r="DTH93" s="594"/>
      <c r="DTI93" s="594"/>
      <c r="DTJ93" s="594"/>
      <c r="DTK93" s="594"/>
      <c r="DTL93" s="594"/>
      <c r="DTM93" s="594"/>
      <c r="DTN93" s="594"/>
      <c r="DTO93" s="594"/>
      <c r="DTP93" s="594"/>
      <c r="DTQ93" s="594"/>
      <c r="DTR93" s="594"/>
      <c r="DTS93" s="594"/>
      <c r="DTT93" s="594"/>
      <c r="DTU93" s="594"/>
      <c r="DTV93" s="594"/>
      <c r="DTW93" s="594"/>
      <c r="DTX93" s="594"/>
      <c r="DTY93" s="594"/>
      <c r="DTZ93" s="594"/>
      <c r="DUA93" s="594"/>
      <c r="DUB93" s="594"/>
      <c r="DUC93" s="594"/>
      <c r="DUD93" s="594"/>
      <c r="DUE93" s="594"/>
      <c r="DUF93" s="594"/>
      <c r="DUG93" s="594"/>
      <c r="DUH93" s="594"/>
      <c r="DUI93" s="594"/>
      <c r="DUJ93" s="594"/>
      <c r="DUK93" s="594"/>
      <c r="DUL93" s="594"/>
      <c r="DUM93" s="594"/>
      <c r="DUN93" s="594"/>
      <c r="DUO93" s="594"/>
      <c r="DUP93" s="594"/>
      <c r="DUQ93" s="594"/>
      <c r="DUR93" s="594"/>
      <c r="DUS93" s="594"/>
      <c r="DUT93" s="594"/>
      <c r="DUU93" s="594"/>
      <c r="DUV93" s="594"/>
      <c r="DUW93" s="594"/>
      <c r="DUX93" s="594"/>
      <c r="DUY93" s="594"/>
      <c r="DUZ93" s="594"/>
      <c r="DVA93" s="594"/>
      <c r="DVB93" s="594"/>
      <c r="DVC93" s="594"/>
      <c r="DVD93" s="594"/>
      <c r="DVE93" s="594"/>
      <c r="DVF93" s="594"/>
      <c r="DVG93" s="594"/>
      <c r="DVH93" s="594"/>
      <c r="DVI93" s="594"/>
      <c r="DVJ93" s="594"/>
      <c r="DVK93" s="594"/>
      <c r="DVL93" s="594"/>
      <c r="DVM93" s="594"/>
      <c r="DVN93" s="594"/>
      <c r="DVO93" s="594"/>
      <c r="DVP93" s="594"/>
      <c r="DVQ93" s="594"/>
      <c r="DVR93" s="594"/>
      <c r="DVS93" s="594"/>
      <c r="DVT93" s="594"/>
      <c r="DVU93" s="594"/>
      <c r="DVV93" s="594"/>
      <c r="DVW93" s="594"/>
      <c r="DVX93" s="594"/>
      <c r="DVY93" s="594"/>
      <c r="DVZ93" s="594"/>
      <c r="DWA93" s="594"/>
      <c r="DWB93" s="594"/>
      <c r="DWC93" s="594"/>
      <c r="DWD93" s="594"/>
      <c r="DWE93" s="594"/>
      <c r="DWF93" s="594"/>
      <c r="DWG93" s="594"/>
      <c r="DWH93" s="594"/>
      <c r="DWI93" s="594"/>
      <c r="DWJ93" s="594"/>
      <c r="DWK93" s="594"/>
      <c r="DWL93" s="594"/>
      <c r="DWM93" s="594"/>
      <c r="DWN93" s="594"/>
      <c r="DWO93" s="594"/>
      <c r="DWP93" s="594"/>
      <c r="DWQ93" s="594"/>
      <c r="DWR93" s="594"/>
      <c r="DWS93" s="594"/>
      <c r="DWT93" s="594"/>
      <c r="DWU93" s="594"/>
      <c r="DWV93" s="594"/>
      <c r="DWW93" s="594"/>
      <c r="DWX93" s="594"/>
      <c r="DWY93" s="594"/>
      <c r="DWZ93" s="594"/>
      <c r="DXA93" s="594"/>
      <c r="DXB93" s="594"/>
      <c r="DXC93" s="594"/>
      <c r="DXD93" s="594"/>
      <c r="DXE93" s="594"/>
      <c r="DXF93" s="594"/>
      <c r="DXG93" s="594"/>
      <c r="DXH93" s="594"/>
      <c r="DXI93" s="594"/>
      <c r="DXJ93" s="594"/>
      <c r="DXK93" s="594"/>
      <c r="DXL93" s="594"/>
      <c r="DXM93" s="594"/>
      <c r="DXN93" s="594"/>
      <c r="DXO93" s="594"/>
      <c r="DXP93" s="594"/>
      <c r="DXQ93" s="594"/>
      <c r="DXR93" s="594"/>
      <c r="DXS93" s="594"/>
      <c r="DXT93" s="594"/>
      <c r="DXU93" s="594"/>
      <c r="DXV93" s="594"/>
      <c r="DXW93" s="594"/>
      <c r="DXX93" s="594"/>
      <c r="DXY93" s="594"/>
      <c r="DXZ93" s="594"/>
      <c r="DYA93" s="594"/>
      <c r="DYB93" s="594"/>
      <c r="DYC93" s="594"/>
      <c r="DYD93" s="594"/>
      <c r="DYE93" s="594"/>
      <c r="DYF93" s="594"/>
      <c r="DYG93" s="594"/>
      <c r="DYH93" s="594"/>
      <c r="DYI93" s="594"/>
      <c r="DYJ93" s="594"/>
      <c r="DYK93" s="594"/>
      <c r="DYL93" s="594"/>
      <c r="DYM93" s="594"/>
      <c r="DYN93" s="594"/>
      <c r="DYO93" s="594"/>
      <c r="DYP93" s="594"/>
      <c r="DYQ93" s="594"/>
      <c r="DYR93" s="594"/>
      <c r="DYS93" s="594"/>
      <c r="DYT93" s="594"/>
      <c r="DYU93" s="594"/>
      <c r="DYV93" s="594"/>
      <c r="DYW93" s="594"/>
      <c r="DYX93" s="594"/>
      <c r="DYY93" s="594"/>
      <c r="DYZ93" s="594"/>
      <c r="DZA93" s="594"/>
      <c r="DZB93" s="594"/>
      <c r="DZC93" s="594"/>
      <c r="DZD93" s="594"/>
      <c r="DZE93" s="594"/>
      <c r="DZF93" s="594"/>
      <c r="DZG93" s="594"/>
      <c r="DZH93" s="594"/>
      <c r="DZI93" s="594"/>
      <c r="DZJ93" s="594"/>
      <c r="DZK93" s="594"/>
      <c r="DZL93" s="594"/>
      <c r="DZM93" s="594"/>
      <c r="DZN93" s="594"/>
      <c r="DZO93" s="594"/>
      <c r="DZP93" s="594"/>
      <c r="DZQ93" s="594"/>
      <c r="DZR93" s="594"/>
      <c r="DZS93" s="594"/>
      <c r="DZT93" s="594"/>
      <c r="DZU93" s="594"/>
      <c r="DZV93" s="594"/>
      <c r="DZW93" s="594"/>
      <c r="DZX93" s="594"/>
      <c r="DZY93" s="594"/>
      <c r="DZZ93" s="594"/>
      <c r="EAA93" s="594"/>
      <c r="EAB93" s="594"/>
      <c r="EAC93" s="594"/>
      <c r="EAD93" s="594"/>
      <c r="EAE93" s="594"/>
      <c r="EAF93" s="594"/>
      <c r="EAG93" s="594"/>
      <c r="EAH93" s="594"/>
      <c r="EAI93" s="594"/>
      <c r="EAJ93" s="594"/>
      <c r="EAK93" s="594"/>
      <c r="EAL93" s="594"/>
      <c r="EAM93" s="594"/>
      <c r="EAN93" s="594"/>
      <c r="EAO93" s="594"/>
      <c r="EAP93" s="594"/>
      <c r="EAQ93" s="594"/>
      <c r="EAR93" s="594"/>
      <c r="EAS93" s="594"/>
      <c r="EAT93" s="594"/>
      <c r="EAU93" s="594"/>
      <c r="EAV93" s="594"/>
      <c r="EAW93" s="594"/>
      <c r="EAX93" s="594"/>
      <c r="EAY93" s="594"/>
      <c r="EAZ93" s="594"/>
      <c r="EBA93" s="594"/>
      <c r="EBB93" s="594"/>
      <c r="EBC93" s="594"/>
      <c r="EBD93" s="594"/>
      <c r="EBE93" s="594"/>
      <c r="EBF93" s="594"/>
      <c r="EBG93" s="594"/>
      <c r="EBH93" s="594"/>
      <c r="EBI93" s="594"/>
      <c r="EBJ93" s="594"/>
      <c r="EBK93" s="594"/>
      <c r="EBL93" s="594"/>
      <c r="EBM93" s="594"/>
      <c r="EBN93" s="594"/>
      <c r="EBO93" s="594"/>
      <c r="EBP93" s="594"/>
      <c r="EBQ93" s="594"/>
      <c r="EBR93" s="594"/>
      <c r="EBS93" s="594"/>
      <c r="EBT93" s="594"/>
      <c r="EBU93" s="594"/>
      <c r="EBV93" s="594"/>
      <c r="EBW93" s="594"/>
      <c r="EBX93" s="594"/>
      <c r="EBY93" s="594"/>
      <c r="EBZ93" s="594"/>
      <c r="ECA93" s="594"/>
      <c r="ECB93" s="594"/>
      <c r="ECC93" s="594"/>
      <c r="ECD93" s="594"/>
      <c r="ECE93" s="594"/>
      <c r="ECF93" s="594"/>
      <c r="ECG93" s="594"/>
      <c r="ECH93" s="594"/>
      <c r="ECI93" s="594"/>
      <c r="ECJ93" s="594"/>
      <c r="ECK93" s="594"/>
      <c r="ECL93" s="594"/>
      <c r="ECM93" s="594"/>
      <c r="ECN93" s="594"/>
      <c r="ECO93" s="594"/>
      <c r="ECP93" s="594"/>
      <c r="ECQ93" s="594"/>
      <c r="ECR93" s="594"/>
      <c r="ECS93" s="594"/>
      <c r="ECT93" s="594"/>
      <c r="ECU93" s="594"/>
      <c r="ECV93" s="594"/>
      <c r="ECW93" s="594"/>
      <c r="ECX93" s="594"/>
      <c r="ECY93" s="594"/>
      <c r="ECZ93" s="594"/>
      <c r="EDA93" s="594"/>
      <c r="EDB93" s="594"/>
      <c r="EDC93" s="594"/>
      <c r="EDD93" s="594"/>
      <c r="EDE93" s="594"/>
      <c r="EDF93" s="594"/>
      <c r="EDG93" s="594"/>
      <c r="EDH93" s="594"/>
      <c r="EDI93" s="594"/>
      <c r="EDJ93" s="594"/>
      <c r="EDK93" s="594"/>
      <c r="EDL93" s="594"/>
      <c r="EDM93" s="594"/>
      <c r="EDN93" s="594"/>
      <c r="EDO93" s="594"/>
      <c r="EDP93" s="594"/>
      <c r="EDQ93" s="594"/>
      <c r="EDR93" s="594"/>
      <c r="EDS93" s="594"/>
      <c r="EDT93" s="594"/>
      <c r="EDU93" s="594"/>
      <c r="EDV93" s="594"/>
      <c r="EDW93" s="594"/>
      <c r="EDX93" s="594"/>
      <c r="EDY93" s="594"/>
      <c r="EDZ93" s="594"/>
      <c r="EEA93" s="594"/>
      <c r="EEB93" s="594"/>
      <c r="EEC93" s="594"/>
      <c r="EED93" s="594"/>
      <c r="EEE93" s="594"/>
      <c r="EEF93" s="594"/>
      <c r="EEG93" s="594"/>
      <c r="EEH93" s="594"/>
      <c r="EEI93" s="594"/>
      <c r="EEJ93" s="594"/>
      <c r="EEK93" s="594"/>
      <c r="EEL93" s="594"/>
      <c r="EEM93" s="594"/>
      <c r="EEN93" s="594"/>
      <c r="EEO93" s="594"/>
      <c r="EEP93" s="594"/>
      <c r="EEQ93" s="594"/>
      <c r="EER93" s="594"/>
      <c r="EES93" s="594"/>
      <c r="EET93" s="594"/>
      <c r="EEU93" s="594"/>
      <c r="EEV93" s="594"/>
      <c r="EEW93" s="594"/>
      <c r="EEX93" s="594"/>
      <c r="EEY93" s="594"/>
      <c r="EEZ93" s="594"/>
      <c r="EFA93" s="594"/>
      <c r="EFB93" s="594"/>
      <c r="EFC93" s="594"/>
      <c r="EFD93" s="594"/>
      <c r="EFE93" s="594"/>
      <c r="EFF93" s="594"/>
      <c r="EFG93" s="594"/>
      <c r="EFH93" s="594"/>
      <c r="EFI93" s="594"/>
      <c r="EFJ93" s="594"/>
      <c r="EFK93" s="594"/>
      <c r="EFL93" s="594"/>
      <c r="EFM93" s="594"/>
      <c r="EFN93" s="594"/>
      <c r="EFO93" s="594"/>
      <c r="EFP93" s="594"/>
      <c r="EFQ93" s="594"/>
      <c r="EFR93" s="594"/>
      <c r="EFS93" s="594"/>
      <c r="EFT93" s="594"/>
      <c r="EFU93" s="594"/>
      <c r="EFV93" s="594"/>
      <c r="EFW93" s="594"/>
      <c r="EFX93" s="594"/>
      <c r="EFY93" s="594"/>
      <c r="EFZ93" s="594"/>
      <c r="EGA93" s="594"/>
      <c r="EGB93" s="594"/>
      <c r="EGC93" s="594"/>
      <c r="EGD93" s="594"/>
      <c r="EGE93" s="594"/>
      <c r="EGF93" s="594"/>
      <c r="EGG93" s="594"/>
      <c r="EGH93" s="594"/>
      <c r="EGI93" s="594"/>
      <c r="EGJ93" s="594"/>
      <c r="EGK93" s="594"/>
      <c r="EGL93" s="594"/>
      <c r="EGM93" s="594"/>
      <c r="EGN93" s="594"/>
      <c r="EGO93" s="594"/>
      <c r="EGP93" s="594"/>
      <c r="EGQ93" s="594"/>
      <c r="EGR93" s="594"/>
      <c r="EGS93" s="594"/>
      <c r="EGT93" s="594"/>
      <c r="EGU93" s="594"/>
      <c r="EGV93" s="594"/>
      <c r="EGW93" s="594"/>
      <c r="EGX93" s="594"/>
      <c r="EGY93" s="594"/>
      <c r="EGZ93" s="594"/>
      <c r="EHA93" s="594"/>
      <c r="EHB93" s="594"/>
      <c r="EHC93" s="594"/>
      <c r="EHD93" s="594"/>
      <c r="EHE93" s="594"/>
      <c r="EHF93" s="594"/>
      <c r="EHG93" s="594"/>
      <c r="EHH93" s="594"/>
      <c r="EHI93" s="594"/>
      <c r="EHJ93" s="594"/>
      <c r="EHK93" s="594"/>
      <c r="EHL93" s="594"/>
      <c r="EHM93" s="594"/>
      <c r="EHN93" s="594"/>
      <c r="EHO93" s="594"/>
      <c r="EHP93" s="594"/>
      <c r="EHQ93" s="594"/>
      <c r="EHR93" s="594"/>
      <c r="EHS93" s="594"/>
      <c r="EHT93" s="594"/>
      <c r="EHU93" s="594"/>
      <c r="EHV93" s="594"/>
      <c r="EHW93" s="594"/>
      <c r="EHX93" s="594"/>
      <c r="EHY93" s="594"/>
      <c r="EHZ93" s="594"/>
      <c r="EIA93" s="594"/>
      <c r="EIB93" s="594"/>
      <c r="EIC93" s="594"/>
      <c r="EID93" s="594"/>
      <c r="EIE93" s="594"/>
      <c r="EIF93" s="594"/>
      <c r="EIG93" s="594"/>
      <c r="EIH93" s="594"/>
      <c r="EII93" s="594"/>
      <c r="EIJ93" s="594"/>
      <c r="EIK93" s="594"/>
      <c r="EIL93" s="594"/>
      <c r="EIM93" s="594"/>
      <c r="EIN93" s="594"/>
      <c r="EIO93" s="594"/>
      <c r="EIP93" s="594"/>
      <c r="EIQ93" s="594"/>
      <c r="EIR93" s="594"/>
      <c r="EIS93" s="594"/>
      <c r="EIT93" s="594"/>
      <c r="EIU93" s="594"/>
      <c r="EIV93" s="594"/>
      <c r="EIW93" s="594"/>
      <c r="EIX93" s="594"/>
      <c r="EIY93" s="594"/>
      <c r="EIZ93" s="594"/>
      <c r="EJA93" s="594"/>
      <c r="EJB93" s="594"/>
      <c r="EJC93" s="594"/>
      <c r="EJD93" s="594"/>
      <c r="EJE93" s="594"/>
      <c r="EJF93" s="594"/>
      <c r="EJG93" s="594"/>
      <c r="EJH93" s="594"/>
      <c r="EJI93" s="594"/>
      <c r="EJJ93" s="594"/>
      <c r="EJK93" s="594"/>
      <c r="EJL93" s="594"/>
      <c r="EJM93" s="594"/>
      <c r="EJN93" s="594"/>
      <c r="EJO93" s="594"/>
      <c r="EJP93" s="594"/>
      <c r="EJQ93" s="594"/>
      <c r="EJR93" s="594"/>
      <c r="EJS93" s="594"/>
      <c r="EJT93" s="594"/>
      <c r="EJU93" s="594"/>
      <c r="EJV93" s="594"/>
      <c r="EJW93" s="594"/>
      <c r="EJX93" s="594"/>
      <c r="EJY93" s="594"/>
      <c r="EJZ93" s="594"/>
      <c r="EKA93" s="594"/>
      <c r="EKB93" s="594"/>
      <c r="EKC93" s="594"/>
      <c r="EKD93" s="594"/>
      <c r="EKE93" s="594"/>
      <c r="EKF93" s="594"/>
      <c r="EKG93" s="594"/>
      <c r="EKH93" s="594"/>
      <c r="EKI93" s="594"/>
      <c r="EKJ93" s="594"/>
      <c r="EKK93" s="594"/>
      <c r="EKL93" s="594"/>
      <c r="EKM93" s="594"/>
      <c r="EKN93" s="594"/>
      <c r="EKO93" s="594"/>
      <c r="EKP93" s="594"/>
      <c r="EKQ93" s="594"/>
      <c r="EKR93" s="594"/>
      <c r="EKS93" s="594"/>
      <c r="EKT93" s="594"/>
      <c r="EKU93" s="594"/>
      <c r="EKV93" s="594"/>
      <c r="EKW93" s="594"/>
      <c r="EKX93" s="594"/>
      <c r="EKY93" s="594"/>
      <c r="EKZ93" s="594"/>
      <c r="ELA93" s="594"/>
      <c r="ELB93" s="594"/>
      <c r="ELC93" s="594"/>
      <c r="ELD93" s="594"/>
      <c r="ELE93" s="594"/>
      <c r="ELF93" s="594"/>
      <c r="ELG93" s="594"/>
      <c r="ELH93" s="594"/>
      <c r="ELI93" s="594"/>
      <c r="ELJ93" s="594"/>
      <c r="ELK93" s="594"/>
      <c r="ELL93" s="594"/>
      <c r="ELM93" s="594"/>
      <c r="ELN93" s="594"/>
      <c r="ELO93" s="594"/>
      <c r="ELP93" s="594"/>
      <c r="ELQ93" s="594"/>
      <c r="ELR93" s="594"/>
      <c r="ELS93" s="594"/>
      <c r="ELT93" s="594"/>
      <c r="ELU93" s="594"/>
      <c r="ELV93" s="594"/>
      <c r="ELW93" s="594"/>
      <c r="ELX93" s="594"/>
      <c r="ELY93" s="594"/>
      <c r="ELZ93" s="594"/>
      <c r="EMA93" s="594"/>
      <c r="EMB93" s="594"/>
      <c r="EMC93" s="594"/>
      <c r="EMD93" s="594"/>
      <c r="EME93" s="594"/>
      <c r="EMF93" s="594"/>
      <c r="EMG93" s="594"/>
      <c r="EMH93" s="594"/>
      <c r="EMI93" s="594"/>
      <c r="EMJ93" s="594"/>
      <c r="EMK93" s="594"/>
      <c r="EML93" s="594"/>
      <c r="EMM93" s="594"/>
      <c r="EMN93" s="594"/>
      <c r="EMO93" s="594"/>
      <c r="EMP93" s="594"/>
      <c r="EMQ93" s="594"/>
      <c r="EMR93" s="594"/>
      <c r="EMS93" s="594"/>
      <c r="EMT93" s="594"/>
      <c r="EMU93" s="594"/>
      <c r="EMV93" s="594"/>
      <c r="EMW93" s="594"/>
      <c r="EMX93" s="594"/>
      <c r="EMY93" s="594"/>
      <c r="EMZ93" s="594"/>
      <c r="ENA93" s="594"/>
      <c r="ENB93" s="594"/>
      <c r="ENC93" s="594"/>
      <c r="END93" s="594"/>
      <c r="ENE93" s="594"/>
      <c r="ENF93" s="594"/>
      <c r="ENG93" s="594"/>
      <c r="ENH93" s="594"/>
      <c r="ENI93" s="594"/>
      <c r="ENJ93" s="594"/>
      <c r="ENK93" s="594"/>
      <c r="ENL93" s="594"/>
      <c r="ENM93" s="594"/>
      <c r="ENN93" s="594"/>
      <c r="ENO93" s="594"/>
      <c r="ENP93" s="594"/>
      <c r="ENQ93" s="594"/>
      <c r="ENR93" s="594"/>
      <c r="ENS93" s="594"/>
      <c r="ENT93" s="594"/>
      <c r="ENU93" s="594"/>
      <c r="ENV93" s="594"/>
      <c r="ENW93" s="594"/>
      <c r="ENX93" s="594"/>
      <c r="ENY93" s="594"/>
      <c r="ENZ93" s="594"/>
      <c r="EOA93" s="594"/>
      <c r="EOB93" s="594"/>
      <c r="EOC93" s="594"/>
      <c r="EOD93" s="594"/>
      <c r="EOE93" s="594"/>
      <c r="EOF93" s="594"/>
      <c r="EOG93" s="594"/>
      <c r="EOH93" s="594"/>
      <c r="EOI93" s="594"/>
      <c r="EOJ93" s="594"/>
      <c r="EOK93" s="594"/>
      <c r="EOL93" s="594"/>
      <c r="EOM93" s="594"/>
      <c r="EON93" s="594"/>
      <c r="EOO93" s="594"/>
      <c r="EOP93" s="594"/>
      <c r="EOQ93" s="594"/>
      <c r="EOR93" s="594"/>
      <c r="EOS93" s="594"/>
      <c r="EOT93" s="594"/>
      <c r="EOU93" s="594"/>
      <c r="EOV93" s="594"/>
      <c r="EOW93" s="594"/>
      <c r="EOX93" s="594"/>
      <c r="EOY93" s="594"/>
      <c r="EOZ93" s="594"/>
      <c r="EPA93" s="594"/>
      <c r="EPB93" s="594"/>
      <c r="EPC93" s="594"/>
      <c r="EPD93" s="594"/>
      <c r="EPE93" s="594"/>
      <c r="EPF93" s="594"/>
      <c r="EPG93" s="594"/>
      <c r="EPH93" s="594"/>
      <c r="EPI93" s="594"/>
      <c r="EPJ93" s="594"/>
      <c r="EPK93" s="594"/>
      <c r="EPL93" s="594"/>
      <c r="EPM93" s="594"/>
      <c r="EPN93" s="594"/>
      <c r="EPO93" s="594"/>
      <c r="EPP93" s="594"/>
      <c r="EPQ93" s="594"/>
      <c r="EPR93" s="594"/>
      <c r="EPS93" s="594"/>
      <c r="EPT93" s="594"/>
      <c r="EPU93" s="594"/>
      <c r="EPV93" s="594"/>
      <c r="EPW93" s="594"/>
      <c r="EPX93" s="594"/>
      <c r="EPY93" s="594"/>
      <c r="EPZ93" s="594"/>
      <c r="EQA93" s="594"/>
      <c r="EQB93" s="594"/>
      <c r="EQC93" s="594"/>
      <c r="EQD93" s="594"/>
      <c r="EQE93" s="594"/>
      <c r="EQF93" s="594"/>
      <c r="EQG93" s="594"/>
      <c r="EQH93" s="594"/>
      <c r="EQI93" s="594"/>
      <c r="EQJ93" s="594"/>
      <c r="EQK93" s="594"/>
      <c r="EQL93" s="594"/>
      <c r="EQM93" s="594"/>
      <c r="EQN93" s="594"/>
      <c r="EQO93" s="594"/>
      <c r="EQP93" s="594"/>
      <c r="EQQ93" s="594"/>
      <c r="EQR93" s="594"/>
      <c r="EQS93" s="594"/>
      <c r="EQT93" s="594"/>
      <c r="EQU93" s="594"/>
      <c r="EQV93" s="594"/>
      <c r="EQW93" s="594"/>
      <c r="EQX93" s="594"/>
      <c r="EQY93" s="594"/>
      <c r="EQZ93" s="594"/>
      <c r="ERA93" s="594"/>
      <c r="ERB93" s="594"/>
      <c r="ERC93" s="594"/>
      <c r="ERD93" s="594"/>
      <c r="ERE93" s="594"/>
      <c r="ERF93" s="594"/>
      <c r="ERG93" s="594"/>
      <c r="ERH93" s="594"/>
      <c r="ERI93" s="594"/>
      <c r="ERJ93" s="594"/>
      <c r="ERK93" s="594"/>
      <c r="ERL93" s="594"/>
      <c r="ERM93" s="594"/>
      <c r="ERN93" s="594"/>
      <c r="ERO93" s="594"/>
      <c r="ERP93" s="594"/>
      <c r="ERQ93" s="594"/>
      <c r="ERR93" s="594"/>
      <c r="ERS93" s="594"/>
      <c r="ERT93" s="594"/>
      <c r="ERU93" s="594"/>
      <c r="ERV93" s="594"/>
      <c r="ERW93" s="594"/>
      <c r="ERX93" s="594"/>
      <c r="ERY93" s="594"/>
      <c r="ERZ93" s="594"/>
      <c r="ESA93" s="594"/>
      <c r="ESB93" s="594"/>
      <c r="ESC93" s="594"/>
      <c r="ESD93" s="594"/>
      <c r="ESE93" s="594"/>
      <c r="ESF93" s="594"/>
      <c r="ESG93" s="594"/>
      <c r="ESH93" s="594"/>
      <c r="ESI93" s="594"/>
      <c r="ESJ93" s="594"/>
      <c r="ESK93" s="594"/>
      <c r="ESL93" s="594"/>
      <c r="ESM93" s="594"/>
      <c r="ESN93" s="594"/>
      <c r="ESO93" s="594"/>
      <c r="ESP93" s="594"/>
      <c r="ESQ93" s="594"/>
      <c r="ESR93" s="594"/>
      <c r="ESS93" s="594"/>
      <c r="EST93" s="594"/>
      <c r="ESU93" s="594"/>
      <c r="ESV93" s="594"/>
      <c r="ESW93" s="594"/>
      <c r="ESX93" s="594"/>
      <c r="ESY93" s="594"/>
      <c r="ESZ93" s="594"/>
      <c r="ETA93" s="594"/>
      <c r="ETB93" s="594"/>
      <c r="ETC93" s="594"/>
      <c r="ETD93" s="594"/>
      <c r="ETE93" s="594"/>
      <c r="ETF93" s="594"/>
      <c r="ETG93" s="594"/>
      <c r="ETH93" s="594"/>
      <c r="ETI93" s="594"/>
      <c r="ETJ93" s="594"/>
      <c r="ETK93" s="594"/>
      <c r="ETL93" s="594"/>
      <c r="ETM93" s="594"/>
      <c r="ETN93" s="594"/>
      <c r="ETO93" s="594"/>
      <c r="ETP93" s="594"/>
      <c r="ETQ93" s="594"/>
      <c r="ETR93" s="594"/>
      <c r="ETS93" s="594"/>
      <c r="ETT93" s="594"/>
      <c r="ETU93" s="594"/>
      <c r="ETV93" s="594"/>
      <c r="ETW93" s="594"/>
      <c r="ETX93" s="594"/>
      <c r="ETY93" s="594"/>
      <c r="ETZ93" s="594"/>
      <c r="EUA93" s="594"/>
      <c r="EUB93" s="594"/>
      <c r="EUC93" s="594"/>
      <c r="EUD93" s="594"/>
      <c r="EUE93" s="594"/>
      <c r="EUF93" s="594"/>
      <c r="EUG93" s="594"/>
      <c r="EUH93" s="594"/>
      <c r="EUI93" s="594"/>
      <c r="EUJ93" s="594"/>
      <c r="EUK93" s="594"/>
      <c r="EUL93" s="594"/>
      <c r="EUM93" s="594"/>
      <c r="EUN93" s="594"/>
      <c r="EUO93" s="594"/>
      <c r="EUP93" s="594"/>
      <c r="EUQ93" s="594"/>
      <c r="EUR93" s="594"/>
      <c r="EUS93" s="594"/>
      <c r="EUT93" s="594"/>
      <c r="EUU93" s="594"/>
      <c r="EUV93" s="594"/>
      <c r="EUW93" s="594"/>
      <c r="EUX93" s="594"/>
      <c r="EUY93" s="594"/>
      <c r="EUZ93" s="594"/>
      <c r="EVA93" s="594"/>
      <c r="EVB93" s="594"/>
      <c r="EVC93" s="594"/>
      <c r="EVD93" s="594"/>
      <c r="EVE93" s="594"/>
      <c r="EVF93" s="594"/>
      <c r="EVG93" s="594"/>
      <c r="EVH93" s="594"/>
      <c r="EVI93" s="594"/>
      <c r="EVJ93" s="594"/>
      <c r="EVK93" s="594"/>
      <c r="EVL93" s="594"/>
      <c r="EVM93" s="594"/>
      <c r="EVN93" s="594"/>
      <c r="EVO93" s="594"/>
      <c r="EVP93" s="594"/>
      <c r="EVQ93" s="594"/>
      <c r="EVR93" s="594"/>
      <c r="EVS93" s="594"/>
      <c r="EVT93" s="594"/>
      <c r="EVU93" s="594"/>
      <c r="EVV93" s="594"/>
      <c r="EVW93" s="594"/>
      <c r="EVX93" s="594"/>
      <c r="EVY93" s="594"/>
      <c r="EVZ93" s="594"/>
      <c r="EWA93" s="594"/>
      <c r="EWB93" s="594"/>
      <c r="EWC93" s="594"/>
      <c r="EWD93" s="594"/>
      <c r="EWE93" s="594"/>
      <c r="EWF93" s="594"/>
      <c r="EWG93" s="594"/>
      <c r="EWH93" s="594"/>
      <c r="EWI93" s="594"/>
      <c r="EWJ93" s="594"/>
      <c r="EWK93" s="594"/>
      <c r="EWL93" s="594"/>
      <c r="EWM93" s="594"/>
      <c r="EWN93" s="594"/>
      <c r="EWO93" s="594"/>
      <c r="EWP93" s="594"/>
      <c r="EWQ93" s="594"/>
      <c r="EWR93" s="594"/>
      <c r="EWS93" s="594"/>
      <c r="EWT93" s="594"/>
      <c r="EWU93" s="594"/>
      <c r="EWV93" s="594"/>
      <c r="EWW93" s="594"/>
      <c r="EWX93" s="594"/>
      <c r="EWY93" s="594"/>
      <c r="EWZ93" s="594"/>
      <c r="EXA93" s="594"/>
      <c r="EXB93" s="594"/>
      <c r="EXC93" s="594"/>
      <c r="EXD93" s="594"/>
      <c r="EXE93" s="594"/>
      <c r="EXF93" s="594"/>
      <c r="EXG93" s="594"/>
      <c r="EXH93" s="594"/>
      <c r="EXI93" s="594"/>
      <c r="EXJ93" s="594"/>
      <c r="EXK93" s="594"/>
      <c r="EXL93" s="594"/>
      <c r="EXM93" s="594"/>
      <c r="EXN93" s="594"/>
      <c r="EXO93" s="594"/>
      <c r="EXP93" s="594"/>
      <c r="EXQ93" s="594"/>
      <c r="EXR93" s="594"/>
      <c r="EXS93" s="594"/>
      <c r="EXT93" s="594"/>
      <c r="EXU93" s="594"/>
      <c r="EXV93" s="594"/>
      <c r="EXW93" s="594"/>
      <c r="EXX93" s="594"/>
      <c r="EXY93" s="594"/>
      <c r="EXZ93" s="594"/>
      <c r="EYA93" s="594"/>
      <c r="EYB93" s="594"/>
      <c r="EYC93" s="594"/>
      <c r="EYD93" s="594"/>
      <c r="EYE93" s="594"/>
      <c r="EYF93" s="594"/>
      <c r="EYG93" s="594"/>
      <c r="EYH93" s="594"/>
      <c r="EYI93" s="594"/>
      <c r="EYJ93" s="594"/>
      <c r="EYK93" s="594"/>
      <c r="EYL93" s="594"/>
      <c r="EYM93" s="594"/>
      <c r="EYN93" s="594"/>
      <c r="EYO93" s="594"/>
      <c r="EYP93" s="594"/>
      <c r="EYQ93" s="594"/>
      <c r="EYR93" s="594"/>
      <c r="EYS93" s="594"/>
      <c r="EYT93" s="594"/>
      <c r="EYU93" s="594"/>
      <c r="EYV93" s="594"/>
      <c r="EYW93" s="594"/>
      <c r="EYX93" s="594"/>
      <c r="EYY93" s="594"/>
      <c r="EYZ93" s="594"/>
      <c r="EZA93" s="594"/>
      <c r="EZB93" s="594"/>
      <c r="EZC93" s="594"/>
      <c r="EZD93" s="594"/>
      <c r="EZE93" s="594"/>
      <c r="EZF93" s="594"/>
      <c r="EZG93" s="594"/>
      <c r="EZH93" s="594"/>
      <c r="EZI93" s="594"/>
      <c r="EZJ93" s="594"/>
      <c r="EZK93" s="594"/>
      <c r="EZL93" s="594"/>
      <c r="EZM93" s="594"/>
      <c r="EZN93" s="594"/>
      <c r="EZO93" s="594"/>
      <c r="EZP93" s="594"/>
      <c r="EZQ93" s="594"/>
      <c r="EZR93" s="594"/>
      <c r="EZS93" s="594"/>
      <c r="EZT93" s="594"/>
      <c r="EZU93" s="594"/>
      <c r="EZV93" s="594"/>
      <c r="EZW93" s="594"/>
      <c r="EZX93" s="594"/>
      <c r="EZY93" s="594"/>
      <c r="EZZ93" s="594"/>
      <c r="FAA93" s="594"/>
      <c r="FAB93" s="594"/>
      <c r="FAC93" s="594"/>
      <c r="FAD93" s="594"/>
      <c r="FAE93" s="594"/>
      <c r="FAF93" s="594"/>
      <c r="FAG93" s="594"/>
      <c r="FAH93" s="594"/>
      <c r="FAI93" s="594"/>
      <c r="FAJ93" s="594"/>
      <c r="FAK93" s="594"/>
      <c r="FAL93" s="594"/>
      <c r="FAM93" s="594"/>
      <c r="FAN93" s="594"/>
      <c r="FAO93" s="594"/>
      <c r="FAP93" s="594"/>
      <c r="FAQ93" s="594"/>
      <c r="FAR93" s="594"/>
      <c r="FAS93" s="594"/>
      <c r="FAT93" s="594"/>
      <c r="FAU93" s="594"/>
      <c r="FAV93" s="594"/>
      <c r="FAW93" s="594"/>
      <c r="FAX93" s="594"/>
      <c r="FAY93" s="594"/>
      <c r="FAZ93" s="594"/>
      <c r="FBA93" s="594"/>
      <c r="FBB93" s="594"/>
      <c r="FBC93" s="594"/>
      <c r="FBD93" s="594"/>
      <c r="FBE93" s="594"/>
      <c r="FBF93" s="594"/>
      <c r="FBG93" s="594"/>
      <c r="FBH93" s="594"/>
      <c r="FBI93" s="594"/>
      <c r="FBJ93" s="594"/>
      <c r="FBK93" s="594"/>
      <c r="FBL93" s="594"/>
      <c r="FBM93" s="594"/>
      <c r="FBN93" s="594"/>
      <c r="FBO93" s="594"/>
      <c r="FBP93" s="594"/>
      <c r="FBQ93" s="594"/>
      <c r="FBR93" s="594"/>
      <c r="FBS93" s="594"/>
      <c r="FBT93" s="594"/>
      <c r="FBU93" s="594"/>
      <c r="FBV93" s="594"/>
      <c r="FBW93" s="594"/>
      <c r="FBX93" s="594"/>
      <c r="FBY93" s="594"/>
      <c r="FBZ93" s="594"/>
      <c r="FCA93" s="594"/>
      <c r="FCB93" s="594"/>
      <c r="FCC93" s="594"/>
      <c r="FCD93" s="594"/>
      <c r="FCE93" s="594"/>
      <c r="FCF93" s="594"/>
      <c r="FCG93" s="594"/>
      <c r="FCH93" s="594"/>
      <c r="FCI93" s="594"/>
      <c r="FCJ93" s="594"/>
      <c r="FCK93" s="594"/>
      <c r="FCL93" s="594"/>
      <c r="FCM93" s="594"/>
      <c r="FCN93" s="594"/>
      <c r="FCO93" s="594"/>
      <c r="FCP93" s="594"/>
      <c r="FCQ93" s="594"/>
      <c r="FCR93" s="594"/>
      <c r="FCS93" s="594"/>
      <c r="FCT93" s="594"/>
      <c r="FCU93" s="594"/>
      <c r="FCV93" s="594"/>
      <c r="FCW93" s="594"/>
      <c r="FCX93" s="594"/>
      <c r="FCY93" s="594"/>
      <c r="FCZ93" s="594"/>
      <c r="FDA93" s="594"/>
      <c r="FDB93" s="594"/>
      <c r="FDC93" s="594"/>
      <c r="FDD93" s="594"/>
      <c r="FDE93" s="594"/>
      <c r="FDF93" s="594"/>
      <c r="FDG93" s="594"/>
      <c r="FDH93" s="594"/>
      <c r="FDI93" s="594"/>
      <c r="FDJ93" s="594"/>
      <c r="FDK93" s="594"/>
      <c r="FDL93" s="594"/>
      <c r="FDM93" s="594"/>
      <c r="FDN93" s="594"/>
      <c r="FDO93" s="594"/>
      <c r="FDP93" s="594"/>
      <c r="FDQ93" s="594"/>
      <c r="FDR93" s="594"/>
      <c r="FDS93" s="594"/>
      <c r="FDT93" s="594"/>
      <c r="FDU93" s="594"/>
      <c r="FDV93" s="594"/>
      <c r="FDW93" s="594"/>
      <c r="FDX93" s="594"/>
      <c r="FDY93" s="594"/>
      <c r="FDZ93" s="594"/>
      <c r="FEA93" s="594"/>
      <c r="FEB93" s="594"/>
      <c r="FEC93" s="594"/>
      <c r="FED93" s="594"/>
      <c r="FEE93" s="594"/>
      <c r="FEF93" s="594"/>
      <c r="FEG93" s="594"/>
      <c r="FEH93" s="594"/>
      <c r="FEI93" s="594"/>
      <c r="FEJ93" s="594"/>
      <c r="FEK93" s="594"/>
      <c r="FEL93" s="594"/>
      <c r="FEM93" s="594"/>
      <c r="FEN93" s="594"/>
      <c r="FEO93" s="594"/>
      <c r="FEP93" s="594"/>
      <c r="FEQ93" s="594"/>
      <c r="FER93" s="594"/>
      <c r="FES93" s="594"/>
      <c r="FET93" s="594"/>
      <c r="FEU93" s="594"/>
      <c r="FEV93" s="594"/>
      <c r="FEW93" s="594"/>
      <c r="FEX93" s="594"/>
      <c r="FEY93" s="594"/>
      <c r="FEZ93" s="594"/>
      <c r="FFA93" s="594"/>
      <c r="FFB93" s="594"/>
      <c r="FFC93" s="594"/>
      <c r="FFD93" s="594"/>
      <c r="FFE93" s="594"/>
      <c r="FFF93" s="594"/>
      <c r="FFG93" s="594"/>
      <c r="FFH93" s="594"/>
      <c r="FFI93" s="594"/>
      <c r="FFJ93" s="594"/>
      <c r="FFK93" s="594"/>
      <c r="FFL93" s="594"/>
      <c r="FFM93" s="594"/>
      <c r="FFN93" s="594"/>
      <c r="FFO93" s="594"/>
      <c r="FFP93" s="594"/>
      <c r="FFQ93" s="594"/>
      <c r="FFR93" s="594"/>
      <c r="FFS93" s="594"/>
      <c r="FFT93" s="594"/>
      <c r="FFU93" s="594"/>
      <c r="FFV93" s="594"/>
      <c r="FFW93" s="594"/>
      <c r="FFX93" s="594"/>
      <c r="FFY93" s="594"/>
      <c r="FFZ93" s="594"/>
      <c r="FGA93" s="594"/>
      <c r="FGB93" s="594"/>
      <c r="FGC93" s="594"/>
      <c r="FGD93" s="594"/>
      <c r="FGE93" s="594"/>
      <c r="FGF93" s="594"/>
      <c r="FGG93" s="594"/>
      <c r="FGH93" s="594"/>
      <c r="FGI93" s="594"/>
      <c r="FGJ93" s="594"/>
      <c r="FGK93" s="594"/>
      <c r="FGL93" s="594"/>
      <c r="FGM93" s="594"/>
      <c r="FGN93" s="594"/>
      <c r="FGO93" s="594"/>
      <c r="FGP93" s="594"/>
      <c r="FGQ93" s="594"/>
      <c r="FGR93" s="594"/>
      <c r="FGS93" s="594"/>
      <c r="FGT93" s="594"/>
      <c r="FGU93" s="594"/>
      <c r="FGV93" s="594"/>
      <c r="FGW93" s="594"/>
      <c r="FGX93" s="594"/>
      <c r="FGY93" s="594"/>
      <c r="FGZ93" s="594"/>
      <c r="FHA93" s="594"/>
      <c r="FHB93" s="594"/>
      <c r="FHC93" s="594"/>
      <c r="FHD93" s="594"/>
      <c r="FHE93" s="594"/>
      <c r="FHF93" s="594"/>
      <c r="FHG93" s="594"/>
      <c r="FHH93" s="594"/>
      <c r="FHI93" s="594"/>
      <c r="FHJ93" s="594"/>
      <c r="FHK93" s="594"/>
      <c r="FHL93" s="594"/>
      <c r="FHM93" s="594"/>
      <c r="FHN93" s="594"/>
      <c r="FHO93" s="594"/>
      <c r="FHP93" s="594"/>
      <c r="FHQ93" s="594"/>
      <c r="FHR93" s="594"/>
      <c r="FHS93" s="594"/>
      <c r="FHT93" s="594"/>
      <c r="FHU93" s="594"/>
      <c r="FHV93" s="594"/>
      <c r="FHW93" s="594"/>
      <c r="FHX93" s="594"/>
      <c r="FHY93" s="594"/>
      <c r="FHZ93" s="594"/>
      <c r="FIA93" s="594"/>
      <c r="FIB93" s="594"/>
      <c r="FIC93" s="594"/>
      <c r="FID93" s="594"/>
      <c r="FIE93" s="594"/>
      <c r="FIF93" s="594"/>
      <c r="FIG93" s="594"/>
      <c r="FIH93" s="594"/>
      <c r="FII93" s="594"/>
      <c r="FIJ93" s="594"/>
      <c r="FIK93" s="594"/>
      <c r="FIL93" s="594"/>
      <c r="FIM93" s="594"/>
      <c r="FIN93" s="594"/>
      <c r="FIO93" s="594"/>
      <c r="FIP93" s="594"/>
      <c r="FIQ93" s="594"/>
      <c r="FIR93" s="594"/>
      <c r="FIS93" s="594"/>
      <c r="FIT93" s="594"/>
      <c r="FIU93" s="594"/>
      <c r="FIV93" s="594"/>
      <c r="FIW93" s="594"/>
      <c r="FIX93" s="594"/>
      <c r="FIY93" s="594"/>
      <c r="FIZ93" s="594"/>
      <c r="FJA93" s="594"/>
      <c r="FJB93" s="594"/>
      <c r="FJC93" s="594"/>
      <c r="FJD93" s="594"/>
      <c r="FJE93" s="594"/>
      <c r="FJF93" s="594"/>
      <c r="FJG93" s="594"/>
      <c r="FJH93" s="594"/>
      <c r="FJI93" s="594"/>
      <c r="FJJ93" s="594"/>
      <c r="FJK93" s="594"/>
      <c r="FJL93" s="594"/>
      <c r="FJM93" s="594"/>
      <c r="FJN93" s="594"/>
      <c r="FJO93" s="594"/>
      <c r="FJP93" s="594"/>
      <c r="FJQ93" s="594"/>
      <c r="FJR93" s="594"/>
      <c r="FJS93" s="594"/>
      <c r="FJT93" s="594"/>
      <c r="FJU93" s="594"/>
      <c r="FJV93" s="594"/>
      <c r="FJW93" s="594"/>
      <c r="FJX93" s="594"/>
      <c r="FJY93" s="594"/>
      <c r="FJZ93" s="594"/>
      <c r="FKA93" s="594"/>
      <c r="FKB93" s="594"/>
      <c r="FKC93" s="594"/>
      <c r="FKD93" s="594"/>
      <c r="FKE93" s="594"/>
      <c r="FKF93" s="594"/>
      <c r="FKG93" s="594"/>
      <c r="FKH93" s="594"/>
      <c r="FKI93" s="594"/>
      <c r="FKJ93" s="594"/>
      <c r="FKK93" s="594"/>
      <c r="FKL93" s="594"/>
      <c r="FKM93" s="594"/>
      <c r="FKN93" s="594"/>
      <c r="FKO93" s="594"/>
      <c r="FKP93" s="594"/>
      <c r="FKQ93" s="594"/>
      <c r="FKR93" s="594"/>
      <c r="FKS93" s="594"/>
      <c r="FKT93" s="594"/>
      <c r="FKU93" s="594"/>
      <c r="FKV93" s="594"/>
      <c r="FKW93" s="594"/>
      <c r="FKX93" s="594"/>
      <c r="FKY93" s="594"/>
      <c r="FKZ93" s="594"/>
      <c r="FLA93" s="594"/>
      <c r="FLB93" s="594"/>
      <c r="FLC93" s="594"/>
      <c r="FLD93" s="594"/>
      <c r="FLE93" s="594"/>
      <c r="FLF93" s="594"/>
      <c r="FLG93" s="594"/>
      <c r="FLH93" s="594"/>
      <c r="FLI93" s="594"/>
      <c r="FLJ93" s="594"/>
      <c r="FLK93" s="594"/>
      <c r="FLL93" s="594"/>
      <c r="FLM93" s="594"/>
      <c r="FLN93" s="594"/>
      <c r="FLO93" s="594"/>
      <c r="FLP93" s="594"/>
      <c r="FLQ93" s="594"/>
      <c r="FLR93" s="594"/>
      <c r="FLS93" s="594"/>
      <c r="FLT93" s="594"/>
      <c r="FLU93" s="594"/>
      <c r="FLV93" s="594"/>
      <c r="FLW93" s="594"/>
      <c r="FLX93" s="594"/>
      <c r="FLY93" s="594"/>
      <c r="FLZ93" s="594"/>
      <c r="FMA93" s="594"/>
      <c r="FMB93" s="594"/>
      <c r="FMC93" s="594"/>
      <c r="FMD93" s="594"/>
      <c r="FME93" s="594"/>
      <c r="FMF93" s="594"/>
      <c r="FMG93" s="594"/>
      <c r="FMH93" s="594"/>
      <c r="FMI93" s="594"/>
      <c r="FMJ93" s="594"/>
      <c r="FMK93" s="594"/>
      <c r="FML93" s="594"/>
      <c r="FMM93" s="594"/>
      <c r="FMN93" s="594"/>
      <c r="FMO93" s="594"/>
      <c r="FMP93" s="594"/>
      <c r="FMQ93" s="594"/>
      <c r="FMR93" s="594"/>
      <c r="FMS93" s="594"/>
      <c r="FMT93" s="594"/>
      <c r="FMU93" s="594"/>
      <c r="FMV93" s="594"/>
      <c r="FMW93" s="594"/>
      <c r="FMX93" s="594"/>
      <c r="FMY93" s="594"/>
      <c r="FMZ93" s="594"/>
      <c r="FNA93" s="594"/>
      <c r="FNB93" s="594"/>
      <c r="FNC93" s="594"/>
      <c r="FND93" s="594"/>
      <c r="FNE93" s="594"/>
      <c r="FNF93" s="594"/>
      <c r="FNG93" s="594"/>
      <c r="FNH93" s="594"/>
      <c r="FNI93" s="594"/>
      <c r="FNJ93" s="594"/>
      <c r="FNK93" s="594"/>
      <c r="FNL93" s="594"/>
      <c r="FNM93" s="594"/>
      <c r="FNN93" s="594"/>
      <c r="FNO93" s="594"/>
      <c r="FNP93" s="594"/>
      <c r="FNQ93" s="594"/>
      <c r="FNR93" s="594"/>
      <c r="FNS93" s="594"/>
      <c r="FNT93" s="594"/>
      <c r="FNU93" s="594"/>
      <c r="FNV93" s="594"/>
      <c r="FNW93" s="594"/>
      <c r="FNX93" s="594"/>
      <c r="FNY93" s="594"/>
      <c r="FNZ93" s="594"/>
      <c r="FOA93" s="594"/>
      <c r="FOB93" s="594"/>
      <c r="FOC93" s="594"/>
      <c r="FOD93" s="594"/>
      <c r="FOE93" s="594"/>
      <c r="FOF93" s="594"/>
      <c r="FOG93" s="594"/>
      <c r="FOH93" s="594"/>
      <c r="FOI93" s="594"/>
      <c r="FOJ93" s="594"/>
      <c r="FOK93" s="594"/>
      <c r="FOL93" s="594"/>
      <c r="FOM93" s="594"/>
      <c r="FON93" s="594"/>
      <c r="FOO93" s="594"/>
      <c r="FOP93" s="594"/>
      <c r="FOQ93" s="594"/>
      <c r="FOR93" s="594"/>
      <c r="FOS93" s="594"/>
      <c r="FOT93" s="594"/>
      <c r="FOU93" s="594"/>
      <c r="FOV93" s="594"/>
      <c r="FOW93" s="594"/>
      <c r="FOX93" s="594"/>
      <c r="FOY93" s="594"/>
      <c r="FOZ93" s="594"/>
      <c r="FPA93" s="594"/>
      <c r="FPB93" s="594"/>
      <c r="FPC93" s="594"/>
      <c r="FPD93" s="594"/>
      <c r="FPE93" s="594"/>
      <c r="FPF93" s="594"/>
      <c r="FPG93" s="594"/>
      <c r="FPH93" s="594"/>
      <c r="FPI93" s="594"/>
      <c r="FPJ93" s="594"/>
      <c r="FPK93" s="594"/>
      <c r="FPL93" s="594"/>
      <c r="FPM93" s="594"/>
      <c r="FPN93" s="594"/>
      <c r="FPO93" s="594"/>
      <c r="FPP93" s="594"/>
      <c r="FPQ93" s="594"/>
      <c r="FPR93" s="594"/>
      <c r="FPS93" s="594"/>
      <c r="FPT93" s="594"/>
      <c r="FPU93" s="594"/>
      <c r="FPV93" s="594"/>
      <c r="FPW93" s="594"/>
      <c r="FPX93" s="594"/>
      <c r="FPY93" s="594"/>
      <c r="FPZ93" s="594"/>
      <c r="FQA93" s="594"/>
      <c r="FQB93" s="594"/>
      <c r="FQC93" s="594"/>
      <c r="FQD93" s="594"/>
      <c r="FQE93" s="594"/>
      <c r="FQF93" s="594"/>
      <c r="FQG93" s="594"/>
      <c r="FQH93" s="594"/>
      <c r="FQI93" s="594"/>
      <c r="FQJ93" s="594"/>
      <c r="FQK93" s="594"/>
      <c r="FQL93" s="594"/>
      <c r="FQM93" s="594"/>
      <c r="FQN93" s="594"/>
      <c r="FQO93" s="594"/>
      <c r="FQP93" s="594"/>
      <c r="FQQ93" s="594"/>
      <c r="FQR93" s="594"/>
      <c r="FQS93" s="594"/>
      <c r="FQT93" s="594"/>
      <c r="FQU93" s="594"/>
      <c r="FQV93" s="594"/>
      <c r="FQW93" s="594"/>
      <c r="FQX93" s="594"/>
      <c r="FQY93" s="594"/>
      <c r="FQZ93" s="594"/>
      <c r="FRA93" s="594"/>
      <c r="FRB93" s="594"/>
      <c r="FRC93" s="594"/>
      <c r="FRD93" s="594"/>
      <c r="FRE93" s="594"/>
      <c r="FRF93" s="594"/>
      <c r="FRG93" s="594"/>
      <c r="FRH93" s="594"/>
      <c r="FRI93" s="594"/>
      <c r="FRJ93" s="594"/>
      <c r="FRK93" s="594"/>
      <c r="FRL93" s="594"/>
      <c r="FRM93" s="594"/>
      <c r="FRN93" s="594"/>
      <c r="FRO93" s="594"/>
      <c r="FRP93" s="594"/>
      <c r="FRQ93" s="594"/>
      <c r="FRR93" s="594"/>
      <c r="FRS93" s="594"/>
      <c r="FRT93" s="594"/>
      <c r="FRU93" s="594"/>
      <c r="FRV93" s="594"/>
      <c r="FRW93" s="594"/>
      <c r="FRX93" s="594"/>
      <c r="FRY93" s="594"/>
      <c r="FRZ93" s="594"/>
      <c r="FSA93" s="594"/>
      <c r="FSB93" s="594"/>
      <c r="FSC93" s="594"/>
      <c r="FSD93" s="594"/>
      <c r="FSE93" s="594"/>
      <c r="FSF93" s="594"/>
      <c r="FSG93" s="594"/>
      <c r="FSH93" s="594"/>
      <c r="FSI93" s="594"/>
      <c r="FSJ93" s="594"/>
      <c r="FSK93" s="594"/>
      <c r="FSL93" s="594"/>
      <c r="FSM93" s="594"/>
      <c r="FSN93" s="594"/>
      <c r="FSO93" s="594"/>
      <c r="FSP93" s="594"/>
      <c r="FSQ93" s="594"/>
      <c r="FSR93" s="594"/>
      <c r="FSS93" s="594"/>
      <c r="FST93" s="594"/>
      <c r="FSU93" s="594"/>
      <c r="FSV93" s="594"/>
      <c r="FSW93" s="594"/>
      <c r="FSX93" s="594"/>
      <c r="FSY93" s="594"/>
      <c r="FSZ93" s="594"/>
      <c r="FTA93" s="594"/>
      <c r="FTB93" s="594"/>
      <c r="FTC93" s="594"/>
      <c r="FTD93" s="594"/>
      <c r="FTE93" s="594"/>
      <c r="FTF93" s="594"/>
      <c r="FTG93" s="594"/>
      <c r="FTH93" s="594"/>
      <c r="FTI93" s="594"/>
      <c r="FTJ93" s="594"/>
      <c r="FTK93" s="594"/>
      <c r="FTL93" s="594"/>
      <c r="FTM93" s="594"/>
      <c r="FTN93" s="594"/>
      <c r="FTO93" s="594"/>
      <c r="FTP93" s="594"/>
      <c r="FTQ93" s="594"/>
      <c r="FTR93" s="594"/>
      <c r="FTS93" s="594"/>
      <c r="FTT93" s="594"/>
      <c r="FTU93" s="594"/>
      <c r="FTV93" s="594"/>
      <c r="FTW93" s="594"/>
      <c r="FTX93" s="594"/>
      <c r="FTY93" s="594"/>
      <c r="FTZ93" s="594"/>
      <c r="FUA93" s="594"/>
      <c r="FUB93" s="594"/>
      <c r="FUC93" s="594"/>
      <c r="FUD93" s="594"/>
      <c r="FUE93" s="594"/>
      <c r="FUF93" s="594"/>
      <c r="FUG93" s="594"/>
      <c r="FUH93" s="594"/>
      <c r="FUI93" s="594"/>
      <c r="FUJ93" s="594"/>
      <c r="FUK93" s="594"/>
      <c r="FUL93" s="594"/>
      <c r="FUM93" s="594"/>
      <c r="FUN93" s="594"/>
      <c r="FUO93" s="594"/>
      <c r="FUP93" s="594"/>
      <c r="FUQ93" s="594"/>
      <c r="FUR93" s="594"/>
      <c r="FUS93" s="594"/>
      <c r="FUT93" s="594"/>
      <c r="FUU93" s="594"/>
      <c r="FUV93" s="594"/>
      <c r="FUW93" s="594"/>
      <c r="FUX93" s="594"/>
      <c r="FUY93" s="594"/>
      <c r="FUZ93" s="594"/>
      <c r="FVA93" s="594"/>
      <c r="FVB93" s="594"/>
      <c r="FVC93" s="594"/>
      <c r="FVD93" s="594"/>
      <c r="FVE93" s="594"/>
      <c r="FVF93" s="594"/>
      <c r="FVG93" s="594"/>
      <c r="FVH93" s="594"/>
      <c r="FVI93" s="594"/>
      <c r="FVJ93" s="594"/>
      <c r="FVK93" s="594"/>
      <c r="FVL93" s="594"/>
      <c r="FVM93" s="594"/>
      <c r="FVN93" s="594"/>
      <c r="FVO93" s="594"/>
      <c r="FVP93" s="594"/>
      <c r="FVQ93" s="594"/>
      <c r="FVR93" s="594"/>
      <c r="FVS93" s="594"/>
      <c r="FVT93" s="594"/>
      <c r="FVU93" s="594"/>
      <c r="FVV93" s="594"/>
      <c r="FVW93" s="594"/>
      <c r="FVX93" s="594"/>
      <c r="FVY93" s="594"/>
      <c r="FVZ93" s="594"/>
      <c r="FWA93" s="594"/>
      <c r="FWB93" s="594"/>
      <c r="FWC93" s="594"/>
      <c r="FWD93" s="594"/>
      <c r="FWE93" s="594"/>
      <c r="FWF93" s="594"/>
      <c r="FWG93" s="594"/>
      <c r="FWH93" s="594"/>
      <c r="FWI93" s="594"/>
      <c r="FWJ93" s="594"/>
      <c r="FWK93" s="594"/>
      <c r="FWL93" s="594"/>
      <c r="FWM93" s="594"/>
      <c r="FWN93" s="594"/>
      <c r="FWO93" s="594"/>
      <c r="FWP93" s="594"/>
      <c r="FWQ93" s="594"/>
      <c r="FWR93" s="594"/>
      <c r="FWS93" s="594"/>
      <c r="FWT93" s="594"/>
      <c r="FWU93" s="594"/>
      <c r="FWV93" s="594"/>
      <c r="FWW93" s="594"/>
      <c r="FWX93" s="594"/>
      <c r="FWY93" s="594"/>
      <c r="FWZ93" s="594"/>
      <c r="FXA93" s="594"/>
      <c r="FXB93" s="594"/>
      <c r="FXC93" s="594"/>
      <c r="FXD93" s="594"/>
      <c r="FXE93" s="594"/>
      <c r="FXF93" s="594"/>
      <c r="FXG93" s="594"/>
      <c r="FXH93" s="594"/>
      <c r="FXI93" s="594"/>
      <c r="FXJ93" s="594"/>
      <c r="FXK93" s="594"/>
      <c r="FXL93" s="594"/>
      <c r="FXM93" s="594"/>
      <c r="FXN93" s="594"/>
      <c r="FXO93" s="594"/>
      <c r="FXP93" s="594"/>
      <c r="FXQ93" s="594"/>
      <c r="FXR93" s="594"/>
      <c r="FXS93" s="594"/>
      <c r="FXT93" s="594"/>
      <c r="FXU93" s="594"/>
      <c r="FXV93" s="594"/>
      <c r="FXW93" s="594"/>
      <c r="FXX93" s="594"/>
      <c r="FXY93" s="594"/>
      <c r="FXZ93" s="594"/>
      <c r="FYA93" s="594"/>
      <c r="FYB93" s="594"/>
      <c r="FYC93" s="594"/>
      <c r="FYD93" s="594"/>
      <c r="FYE93" s="594"/>
      <c r="FYF93" s="594"/>
      <c r="FYG93" s="594"/>
      <c r="FYH93" s="594"/>
      <c r="FYI93" s="594"/>
      <c r="FYJ93" s="594"/>
      <c r="FYK93" s="594"/>
      <c r="FYL93" s="594"/>
      <c r="FYM93" s="594"/>
      <c r="FYN93" s="594"/>
      <c r="FYO93" s="594"/>
      <c r="FYP93" s="594"/>
      <c r="FYQ93" s="594"/>
      <c r="FYR93" s="594"/>
      <c r="FYS93" s="594"/>
      <c r="FYT93" s="594"/>
      <c r="FYU93" s="594"/>
      <c r="FYV93" s="594"/>
      <c r="FYW93" s="594"/>
      <c r="FYX93" s="594"/>
      <c r="FYY93" s="594"/>
      <c r="FYZ93" s="594"/>
      <c r="FZA93" s="594"/>
      <c r="FZB93" s="594"/>
      <c r="FZC93" s="594"/>
      <c r="FZD93" s="594"/>
      <c r="FZE93" s="594"/>
      <c r="FZF93" s="594"/>
      <c r="FZG93" s="594"/>
      <c r="FZH93" s="594"/>
      <c r="FZI93" s="594"/>
      <c r="FZJ93" s="594"/>
      <c r="FZK93" s="594"/>
      <c r="FZL93" s="594"/>
      <c r="FZM93" s="594"/>
      <c r="FZN93" s="594"/>
      <c r="FZO93" s="594"/>
      <c r="FZP93" s="594"/>
      <c r="FZQ93" s="594"/>
      <c r="FZR93" s="594"/>
      <c r="FZS93" s="594"/>
      <c r="FZT93" s="594"/>
      <c r="FZU93" s="594"/>
      <c r="FZV93" s="594"/>
      <c r="FZW93" s="594"/>
      <c r="FZX93" s="594"/>
      <c r="FZY93" s="594"/>
      <c r="FZZ93" s="594"/>
      <c r="GAA93" s="594"/>
      <c r="GAB93" s="594"/>
      <c r="GAC93" s="594"/>
      <c r="GAD93" s="594"/>
      <c r="GAE93" s="594"/>
      <c r="GAF93" s="594"/>
      <c r="GAG93" s="594"/>
      <c r="GAH93" s="594"/>
      <c r="GAI93" s="594"/>
      <c r="GAJ93" s="594"/>
      <c r="GAK93" s="594"/>
      <c r="GAL93" s="594"/>
      <c r="GAM93" s="594"/>
      <c r="GAN93" s="594"/>
      <c r="GAO93" s="594"/>
      <c r="GAP93" s="594"/>
      <c r="GAQ93" s="594"/>
      <c r="GAR93" s="594"/>
      <c r="GAS93" s="594"/>
      <c r="GAT93" s="594"/>
      <c r="GAU93" s="594"/>
      <c r="GAV93" s="594"/>
      <c r="GAW93" s="594"/>
      <c r="GAX93" s="594"/>
      <c r="GAY93" s="594"/>
      <c r="GAZ93" s="594"/>
      <c r="GBA93" s="594"/>
      <c r="GBB93" s="594"/>
      <c r="GBC93" s="594"/>
      <c r="GBD93" s="594"/>
      <c r="GBE93" s="594"/>
      <c r="GBF93" s="594"/>
      <c r="GBG93" s="594"/>
      <c r="GBH93" s="594"/>
      <c r="GBI93" s="594"/>
      <c r="GBJ93" s="594"/>
      <c r="GBK93" s="594"/>
      <c r="GBL93" s="594"/>
      <c r="GBM93" s="594"/>
      <c r="GBN93" s="594"/>
      <c r="GBO93" s="594"/>
      <c r="GBP93" s="594"/>
      <c r="GBQ93" s="594"/>
      <c r="GBR93" s="594"/>
      <c r="GBS93" s="594"/>
      <c r="GBT93" s="594"/>
      <c r="GBU93" s="594"/>
      <c r="GBV93" s="594"/>
      <c r="GBW93" s="594"/>
      <c r="GBX93" s="594"/>
      <c r="GBY93" s="594"/>
      <c r="GBZ93" s="594"/>
      <c r="GCA93" s="594"/>
      <c r="GCB93" s="594"/>
      <c r="GCC93" s="594"/>
      <c r="GCD93" s="594"/>
      <c r="GCE93" s="594"/>
      <c r="GCF93" s="594"/>
      <c r="GCG93" s="594"/>
      <c r="GCH93" s="594"/>
      <c r="GCI93" s="594"/>
      <c r="GCJ93" s="594"/>
      <c r="GCK93" s="594"/>
      <c r="GCL93" s="594"/>
      <c r="GCM93" s="594"/>
      <c r="GCN93" s="594"/>
      <c r="GCO93" s="594"/>
      <c r="GCP93" s="594"/>
      <c r="GCQ93" s="594"/>
      <c r="GCR93" s="594"/>
      <c r="GCS93" s="594"/>
      <c r="GCT93" s="594"/>
      <c r="GCU93" s="594"/>
      <c r="GCV93" s="594"/>
      <c r="GCW93" s="594"/>
      <c r="GCX93" s="594"/>
      <c r="GCY93" s="594"/>
      <c r="GCZ93" s="594"/>
      <c r="GDA93" s="594"/>
      <c r="GDB93" s="594"/>
      <c r="GDC93" s="594"/>
      <c r="GDD93" s="594"/>
      <c r="GDE93" s="594"/>
      <c r="GDF93" s="594"/>
      <c r="GDG93" s="594"/>
      <c r="GDH93" s="594"/>
      <c r="GDI93" s="594"/>
      <c r="GDJ93" s="594"/>
      <c r="GDK93" s="594"/>
      <c r="GDL93" s="594"/>
      <c r="GDM93" s="594"/>
      <c r="GDN93" s="594"/>
      <c r="GDO93" s="594"/>
      <c r="GDP93" s="594"/>
      <c r="GDQ93" s="594"/>
      <c r="GDR93" s="594"/>
      <c r="GDS93" s="594"/>
      <c r="GDT93" s="594"/>
      <c r="GDU93" s="594"/>
      <c r="GDV93" s="594"/>
      <c r="GDW93" s="594"/>
      <c r="GDX93" s="594"/>
      <c r="GDY93" s="594"/>
      <c r="GDZ93" s="594"/>
      <c r="GEA93" s="594"/>
      <c r="GEB93" s="594"/>
      <c r="GEC93" s="594"/>
      <c r="GED93" s="594"/>
      <c r="GEE93" s="594"/>
      <c r="GEF93" s="594"/>
      <c r="GEG93" s="594"/>
      <c r="GEH93" s="594"/>
      <c r="GEI93" s="594"/>
      <c r="GEJ93" s="594"/>
      <c r="GEK93" s="594"/>
      <c r="GEL93" s="594"/>
      <c r="GEM93" s="594"/>
      <c r="GEN93" s="594"/>
      <c r="GEO93" s="594"/>
      <c r="GEP93" s="594"/>
      <c r="GEQ93" s="594"/>
      <c r="GER93" s="594"/>
      <c r="GES93" s="594"/>
      <c r="GET93" s="594"/>
      <c r="GEU93" s="594"/>
      <c r="GEV93" s="594"/>
      <c r="GEW93" s="594"/>
      <c r="GEX93" s="594"/>
      <c r="GEY93" s="594"/>
      <c r="GEZ93" s="594"/>
      <c r="GFA93" s="594"/>
      <c r="GFB93" s="594"/>
      <c r="GFC93" s="594"/>
      <c r="GFD93" s="594"/>
      <c r="GFE93" s="594"/>
      <c r="GFF93" s="594"/>
      <c r="GFG93" s="594"/>
      <c r="GFH93" s="594"/>
      <c r="GFI93" s="594"/>
      <c r="GFJ93" s="594"/>
      <c r="GFK93" s="594"/>
      <c r="GFL93" s="594"/>
      <c r="GFM93" s="594"/>
      <c r="GFN93" s="594"/>
      <c r="GFO93" s="594"/>
      <c r="GFP93" s="594"/>
      <c r="GFQ93" s="594"/>
      <c r="GFR93" s="594"/>
      <c r="GFS93" s="594"/>
      <c r="GFT93" s="594"/>
      <c r="GFU93" s="594"/>
      <c r="GFV93" s="594"/>
      <c r="GFW93" s="594"/>
      <c r="GFX93" s="594"/>
      <c r="GFY93" s="594"/>
      <c r="GFZ93" s="594"/>
      <c r="GGA93" s="594"/>
      <c r="GGB93" s="594"/>
      <c r="GGC93" s="594"/>
      <c r="GGD93" s="594"/>
      <c r="GGE93" s="594"/>
      <c r="GGF93" s="594"/>
      <c r="GGG93" s="594"/>
      <c r="GGH93" s="594"/>
      <c r="GGI93" s="594"/>
      <c r="GGJ93" s="594"/>
      <c r="GGK93" s="594"/>
      <c r="GGL93" s="594"/>
      <c r="GGM93" s="594"/>
      <c r="GGN93" s="594"/>
      <c r="GGO93" s="594"/>
      <c r="GGP93" s="594"/>
      <c r="GGQ93" s="594"/>
      <c r="GGR93" s="594"/>
      <c r="GGS93" s="594"/>
      <c r="GGT93" s="594"/>
      <c r="GGU93" s="594"/>
      <c r="GGV93" s="594"/>
      <c r="GGW93" s="594"/>
      <c r="GGX93" s="594"/>
      <c r="GGY93" s="594"/>
      <c r="GGZ93" s="594"/>
      <c r="GHA93" s="594"/>
      <c r="GHB93" s="594"/>
      <c r="GHC93" s="594"/>
      <c r="GHD93" s="594"/>
      <c r="GHE93" s="594"/>
      <c r="GHF93" s="594"/>
      <c r="GHG93" s="594"/>
      <c r="GHH93" s="594"/>
      <c r="GHI93" s="594"/>
      <c r="GHJ93" s="594"/>
      <c r="GHK93" s="594"/>
      <c r="GHL93" s="594"/>
      <c r="GHM93" s="594"/>
      <c r="GHN93" s="594"/>
      <c r="GHO93" s="594"/>
      <c r="GHP93" s="594"/>
      <c r="GHQ93" s="594"/>
      <c r="GHR93" s="594"/>
      <c r="GHS93" s="594"/>
      <c r="GHT93" s="594"/>
      <c r="GHU93" s="594"/>
      <c r="GHV93" s="594"/>
      <c r="GHW93" s="594"/>
      <c r="GHX93" s="594"/>
      <c r="GHY93" s="594"/>
      <c r="GHZ93" s="594"/>
      <c r="GIA93" s="594"/>
      <c r="GIB93" s="594"/>
      <c r="GIC93" s="594"/>
      <c r="GID93" s="594"/>
      <c r="GIE93" s="594"/>
      <c r="GIF93" s="594"/>
      <c r="GIG93" s="594"/>
      <c r="GIH93" s="594"/>
      <c r="GII93" s="594"/>
      <c r="GIJ93" s="594"/>
      <c r="GIK93" s="594"/>
      <c r="GIL93" s="594"/>
      <c r="GIM93" s="594"/>
      <c r="GIN93" s="594"/>
      <c r="GIO93" s="594"/>
      <c r="GIP93" s="594"/>
      <c r="GIQ93" s="594"/>
      <c r="GIR93" s="594"/>
      <c r="GIS93" s="594"/>
      <c r="GIT93" s="594"/>
      <c r="GIU93" s="594"/>
      <c r="GIV93" s="594"/>
      <c r="GIW93" s="594"/>
      <c r="GIX93" s="594"/>
      <c r="GIY93" s="594"/>
      <c r="GIZ93" s="594"/>
      <c r="GJA93" s="594"/>
      <c r="GJB93" s="594"/>
      <c r="GJC93" s="594"/>
      <c r="GJD93" s="594"/>
      <c r="GJE93" s="594"/>
      <c r="GJF93" s="594"/>
      <c r="GJG93" s="594"/>
      <c r="GJH93" s="594"/>
      <c r="GJI93" s="594"/>
      <c r="GJJ93" s="594"/>
      <c r="GJK93" s="594"/>
      <c r="GJL93" s="594"/>
      <c r="GJM93" s="594"/>
      <c r="GJN93" s="594"/>
      <c r="GJO93" s="594"/>
      <c r="GJP93" s="594"/>
      <c r="GJQ93" s="594"/>
      <c r="GJR93" s="594"/>
      <c r="GJS93" s="594"/>
      <c r="GJT93" s="594"/>
      <c r="GJU93" s="594"/>
      <c r="GJV93" s="594"/>
      <c r="GJW93" s="594"/>
      <c r="GJX93" s="594"/>
      <c r="GJY93" s="594"/>
      <c r="GJZ93" s="594"/>
      <c r="GKA93" s="594"/>
      <c r="GKB93" s="594"/>
      <c r="GKC93" s="594"/>
      <c r="GKD93" s="594"/>
      <c r="GKE93" s="594"/>
      <c r="GKF93" s="594"/>
      <c r="GKG93" s="594"/>
      <c r="GKH93" s="594"/>
      <c r="GKI93" s="594"/>
      <c r="GKJ93" s="594"/>
      <c r="GKK93" s="594"/>
      <c r="GKL93" s="594"/>
      <c r="GKM93" s="594"/>
      <c r="GKN93" s="594"/>
      <c r="GKO93" s="594"/>
      <c r="GKP93" s="594"/>
      <c r="GKQ93" s="594"/>
      <c r="GKR93" s="594"/>
      <c r="GKS93" s="594"/>
      <c r="GKT93" s="594"/>
      <c r="GKU93" s="594"/>
      <c r="GKV93" s="594"/>
      <c r="GKW93" s="594"/>
      <c r="GKX93" s="594"/>
      <c r="GKY93" s="594"/>
      <c r="GKZ93" s="594"/>
      <c r="GLA93" s="594"/>
      <c r="GLB93" s="594"/>
      <c r="GLC93" s="594"/>
      <c r="GLD93" s="594"/>
      <c r="GLE93" s="594"/>
      <c r="GLF93" s="594"/>
      <c r="GLG93" s="594"/>
      <c r="GLH93" s="594"/>
      <c r="GLI93" s="594"/>
      <c r="GLJ93" s="594"/>
      <c r="GLK93" s="594"/>
      <c r="GLL93" s="594"/>
      <c r="GLM93" s="594"/>
      <c r="GLN93" s="594"/>
      <c r="GLO93" s="594"/>
      <c r="GLP93" s="594"/>
      <c r="GLQ93" s="594"/>
      <c r="GLR93" s="594"/>
      <c r="GLS93" s="594"/>
      <c r="GLT93" s="594"/>
      <c r="GLU93" s="594"/>
      <c r="GLV93" s="594"/>
      <c r="GLW93" s="594"/>
      <c r="GLX93" s="594"/>
      <c r="GLY93" s="594"/>
      <c r="GLZ93" s="594"/>
      <c r="GMA93" s="594"/>
      <c r="GMB93" s="594"/>
      <c r="GMC93" s="594"/>
      <c r="GMD93" s="594"/>
      <c r="GME93" s="594"/>
      <c r="GMF93" s="594"/>
      <c r="GMG93" s="594"/>
      <c r="GMH93" s="594"/>
      <c r="GMI93" s="594"/>
      <c r="GMJ93" s="594"/>
      <c r="GMK93" s="594"/>
      <c r="GML93" s="594"/>
      <c r="GMM93" s="594"/>
      <c r="GMN93" s="594"/>
      <c r="GMO93" s="594"/>
      <c r="GMP93" s="594"/>
      <c r="GMQ93" s="594"/>
      <c r="GMR93" s="594"/>
      <c r="GMS93" s="594"/>
      <c r="GMT93" s="594"/>
      <c r="GMU93" s="594"/>
      <c r="GMV93" s="594"/>
      <c r="GMW93" s="594"/>
      <c r="GMX93" s="594"/>
      <c r="GMY93" s="594"/>
      <c r="GMZ93" s="594"/>
      <c r="GNA93" s="594"/>
      <c r="GNB93" s="594"/>
      <c r="GNC93" s="594"/>
      <c r="GND93" s="594"/>
      <c r="GNE93" s="594"/>
      <c r="GNF93" s="594"/>
      <c r="GNG93" s="594"/>
      <c r="GNH93" s="594"/>
      <c r="GNI93" s="594"/>
      <c r="GNJ93" s="594"/>
      <c r="GNK93" s="594"/>
      <c r="GNL93" s="594"/>
      <c r="GNM93" s="594"/>
      <c r="GNN93" s="594"/>
      <c r="GNO93" s="594"/>
      <c r="GNP93" s="594"/>
      <c r="GNQ93" s="594"/>
      <c r="GNR93" s="594"/>
      <c r="GNS93" s="594"/>
      <c r="GNT93" s="594"/>
      <c r="GNU93" s="594"/>
      <c r="GNV93" s="594"/>
      <c r="GNW93" s="594"/>
      <c r="GNX93" s="594"/>
      <c r="GNY93" s="594"/>
      <c r="GNZ93" s="594"/>
      <c r="GOA93" s="594"/>
      <c r="GOB93" s="594"/>
      <c r="GOC93" s="594"/>
      <c r="GOD93" s="594"/>
      <c r="GOE93" s="594"/>
      <c r="GOF93" s="594"/>
      <c r="GOG93" s="594"/>
      <c r="GOH93" s="594"/>
      <c r="GOI93" s="594"/>
      <c r="GOJ93" s="594"/>
      <c r="GOK93" s="594"/>
      <c r="GOL93" s="594"/>
      <c r="GOM93" s="594"/>
      <c r="GON93" s="594"/>
      <c r="GOO93" s="594"/>
      <c r="GOP93" s="594"/>
      <c r="GOQ93" s="594"/>
      <c r="GOR93" s="594"/>
      <c r="GOS93" s="594"/>
      <c r="GOT93" s="594"/>
      <c r="GOU93" s="594"/>
      <c r="GOV93" s="594"/>
      <c r="GOW93" s="594"/>
      <c r="GOX93" s="594"/>
      <c r="GOY93" s="594"/>
      <c r="GOZ93" s="594"/>
      <c r="GPA93" s="594"/>
      <c r="GPB93" s="594"/>
      <c r="GPC93" s="594"/>
      <c r="GPD93" s="594"/>
      <c r="GPE93" s="594"/>
      <c r="GPF93" s="594"/>
      <c r="GPG93" s="594"/>
      <c r="GPH93" s="594"/>
      <c r="GPI93" s="594"/>
      <c r="GPJ93" s="594"/>
      <c r="GPK93" s="594"/>
      <c r="GPL93" s="594"/>
      <c r="GPM93" s="594"/>
      <c r="GPN93" s="594"/>
      <c r="GPO93" s="594"/>
      <c r="GPP93" s="594"/>
      <c r="GPQ93" s="594"/>
      <c r="GPR93" s="594"/>
      <c r="GPS93" s="594"/>
      <c r="GPT93" s="594"/>
      <c r="GPU93" s="594"/>
      <c r="GPV93" s="594"/>
      <c r="GPW93" s="594"/>
      <c r="GPX93" s="594"/>
      <c r="GPY93" s="594"/>
      <c r="GPZ93" s="594"/>
      <c r="GQA93" s="594"/>
      <c r="GQB93" s="594"/>
      <c r="GQC93" s="594"/>
      <c r="GQD93" s="594"/>
      <c r="GQE93" s="594"/>
      <c r="GQF93" s="594"/>
      <c r="GQG93" s="594"/>
      <c r="GQH93" s="594"/>
      <c r="GQI93" s="594"/>
      <c r="GQJ93" s="594"/>
      <c r="GQK93" s="594"/>
      <c r="GQL93" s="594"/>
      <c r="GQM93" s="594"/>
      <c r="GQN93" s="594"/>
      <c r="GQO93" s="594"/>
      <c r="GQP93" s="594"/>
      <c r="GQQ93" s="594"/>
      <c r="GQR93" s="594"/>
      <c r="GQS93" s="594"/>
      <c r="GQT93" s="594"/>
      <c r="GQU93" s="594"/>
      <c r="GQV93" s="594"/>
      <c r="GQW93" s="594"/>
      <c r="GQX93" s="594"/>
      <c r="GQY93" s="594"/>
      <c r="GQZ93" s="594"/>
      <c r="GRA93" s="594"/>
      <c r="GRB93" s="594"/>
      <c r="GRC93" s="594"/>
      <c r="GRD93" s="594"/>
      <c r="GRE93" s="594"/>
      <c r="GRF93" s="594"/>
      <c r="GRG93" s="594"/>
      <c r="GRH93" s="594"/>
      <c r="GRI93" s="594"/>
      <c r="GRJ93" s="594"/>
      <c r="GRK93" s="594"/>
      <c r="GRL93" s="594"/>
      <c r="GRM93" s="594"/>
      <c r="GRN93" s="594"/>
      <c r="GRO93" s="594"/>
      <c r="GRP93" s="594"/>
      <c r="GRQ93" s="594"/>
      <c r="GRR93" s="594"/>
      <c r="GRS93" s="594"/>
      <c r="GRT93" s="594"/>
      <c r="GRU93" s="594"/>
      <c r="GRV93" s="594"/>
      <c r="GRW93" s="594"/>
      <c r="GRX93" s="594"/>
      <c r="GRY93" s="594"/>
      <c r="GRZ93" s="594"/>
      <c r="GSA93" s="594"/>
      <c r="GSB93" s="594"/>
      <c r="GSC93" s="594"/>
      <c r="GSD93" s="594"/>
      <c r="GSE93" s="594"/>
      <c r="GSF93" s="594"/>
      <c r="GSG93" s="594"/>
      <c r="GSH93" s="594"/>
      <c r="GSI93" s="594"/>
      <c r="GSJ93" s="594"/>
      <c r="GSK93" s="594"/>
      <c r="GSL93" s="594"/>
      <c r="GSM93" s="594"/>
      <c r="GSN93" s="594"/>
      <c r="GSO93" s="594"/>
      <c r="GSP93" s="594"/>
      <c r="GSQ93" s="594"/>
      <c r="GSR93" s="594"/>
      <c r="GSS93" s="594"/>
      <c r="GST93" s="594"/>
      <c r="GSU93" s="594"/>
      <c r="GSV93" s="594"/>
      <c r="GSW93" s="594"/>
      <c r="GSX93" s="594"/>
      <c r="GSY93" s="594"/>
      <c r="GSZ93" s="594"/>
      <c r="GTA93" s="594"/>
      <c r="GTB93" s="594"/>
      <c r="GTC93" s="594"/>
      <c r="GTD93" s="594"/>
      <c r="GTE93" s="594"/>
      <c r="GTF93" s="594"/>
      <c r="GTG93" s="594"/>
      <c r="GTH93" s="594"/>
      <c r="GTI93" s="594"/>
      <c r="GTJ93" s="594"/>
      <c r="GTK93" s="594"/>
      <c r="GTL93" s="594"/>
      <c r="GTM93" s="594"/>
      <c r="GTN93" s="594"/>
      <c r="GTO93" s="594"/>
      <c r="GTP93" s="594"/>
      <c r="GTQ93" s="594"/>
      <c r="GTR93" s="594"/>
      <c r="GTS93" s="594"/>
      <c r="GTT93" s="594"/>
      <c r="GTU93" s="594"/>
      <c r="GTV93" s="594"/>
      <c r="GTW93" s="594"/>
      <c r="GTX93" s="594"/>
      <c r="GTY93" s="594"/>
      <c r="GTZ93" s="594"/>
      <c r="GUA93" s="594"/>
      <c r="GUB93" s="594"/>
      <c r="GUC93" s="594"/>
      <c r="GUD93" s="594"/>
      <c r="GUE93" s="594"/>
      <c r="GUF93" s="594"/>
      <c r="GUG93" s="594"/>
      <c r="GUH93" s="594"/>
      <c r="GUI93" s="594"/>
      <c r="GUJ93" s="594"/>
      <c r="GUK93" s="594"/>
      <c r="GUL93" s="594"/>
      <c r="GUM93" s="594"/>
      <c r="GUN93" s="594"/>
      <c r="GUO93" s="594"/>
      <c r="GUP93" s="594"/>
      <c r="GUQ93" s="594"/>
      <c r="GUR93" s="594"/>
      <c r="GUS93" s="594"/>
      <c r="GUT93" s="594"/>
      <c r="GUU93" s="594"/>
      <c r="GUV93" s="594"/>
      <c r="GUW93" s="594"/>
      <c r="GUX93" s="594"/>
      <c r="GUY93" s="594"/>
      <c r="GUZ93" s="594"/>
      <c r="GVA93" s="594"/>
      <c r="GVB93" s="594"/>
      <c r="GVC93" s="594"/>
      <c r="GVD93" s="594"/>
      <c r="GVE93" s="594"/>
      <c r="GVF93" s="594"/>
      <c r="GVG93" s="594"/>
      <c r="GVH93" s="594"/>
      <c r="GVI93" s="594"/>
      <c r="GVJ93" s="594"/>
      <c r="GVK93" s="594"/>
      <c r="GVL93" s="594"/>
      <c r="GVM93" s="594"/>
      <c r="GVN93" s="594"/>
      <c r="GVO93" s="594"/>
      <c r="GVP93" s="594"/>
      <c r="GVQ93" s="594"/>
      <c r="GVR93" s="594"/>
      <c r="GVS93" s="594"/>
      <c r="GVT93" s="594"/>
      <c r="GVU93" s="594"/>
      <c r="GVV93" s="594"/>
      <c r="GVW93" s="594"/>
      <c r="GVX93" s="594"/>
      <c r="GVY93" s="594"/>
      <c r="GVZ93" s="594"/>
      <c r="GWA93" s="594"/>
      <c r="GWB93" s="594"/>
      <c r="GWC93" s="594"/>
      <c r="GWD93" s="594"/>
      <c r="GWE93" s="594"/>
      <c r="GWF93" s="594"/>
      <c r="GWG93" s="594"/>
      <c r="GWH93" s="594"/>
      <c r="GWI93" s="594"/>
      <c r="GWJ93" s="594"/>
      <c r="GWK93" s="594"/>
      <c r="GWL93" s="594"/>
      <c r="GWM93" s="594"/>
      <c r="GWN93" s="594"/>
      <c r="GWO93" s="594"/>
      <c r="GWP93" s="594"/>
      <c r="GWQ93" s="594"/>
      <c r="GWR93" s="594"/>
      <c r="GWS93" s="594"/>
      <c r="GWT93" s="594"/>
      <c r="GWU93" s="594"/>
      <c r="GWV93" s="594"/>
      <c r="GWW93" s="594"/>
      <c r="GWX93" s="594"/>
      <c r="GWY93" s="594"/>
      <c r="GWZ93" s="594"/>
      <c r="GXA93" s="594"/>
      <c r="GXB93" s="594"/>
      <c r="GXC93" s="594"/>
      <c r="GXD93" s="594"/>
      <c r="GXE93" s="594"/>
      <c r="GXF93" s="594"/>
      <c r="GXG93" s="594"/>
      <c r="GXH93" s="594"/>
      <c r="GXI93" s="594"/>
      <c r="GXJ93" s="594"/>
      <c r="GXK93" s="594"/>
      <c r="GXL93" s="594"/>
      <c r="GXM93" s="594"/>
      <c r="GXN93" s="594"/>
      <c r="GXO93" s="594"/>
      <c r="GXP93" s="594"/>
      <c r="GXQ93" s="594"/>
      <c r="GXR93" s="594"/>
      <c r="GXS93" s="594"/>
      <c r="GXT93" s="594"/>
      <c r="GXU93" s="594"/>
      <c r="GXV93" s="594"/>
      <c r="GXW93" s="594"/>
      <c r="GXX93" s="594"/>
      <c r="GXY93" s="594"/>
      <c r="GXZ93" s="594"/>
      <c r="GYA93" s="594"/>
      <c r="GYB93" s="594"/>
      <c r="GYC93" s="594"/>
      <c r="GYD93" s="594"/>
      <c r="GYE93" s="594"/>
      <c r="GYF93" s="594"/>
      <c r="GYG93" s="594"/>
      <c r="GYH93" s="594"/>
      <c r="GYI93" s="594"/>
      <c r="GYJ93" s="594"/>
      <c r="GYK93" s="594"/>
      <c r="GYL93" s="594"/>
      <c r="GYM93" s="594"/>
      <c r="GYN93" s="594"/>
      <c r="GYO93" s="594"/>
      <c r="GYP93" s="594"/>
      <c r="GYQ93" s="594"/>
      <c r="GYR93" s="594"/>
      <c r="GYS93" s="594"/>
      <c r="GYT93" s="594"/>
      <c r="GYU93" s="594"/>
      <c r="GYV93" s="594"/>
      <c r="GYW93" s="594"/>
      <c r="GYX93" s="594"/>
      <c r="GYY93" s="594"/>
      <c r="GYZ93" s="594"/>
      <c r="GZA93" s="594"/>
      <c r="GZB93" s="594"/>
      <c r="GZC93" s="594"/>
      <c r="GZD93" s="594"/>
      <c r="GZE93" s="594"/>
      <c r="GZF93" s="594"/>
      <c r="GZG93" s="594"/>
      <c r="GZH93" s="594"/>
      <c r="GZI93" s="594"/>
      <c r="GZJ93" s="594"/>
      <c r="GZK93" s="594"/>
      <c r="GZL93" s="594"/>
      <c r="GZM93" s="594"/>
      <c r="GZN93" s="594"/>
      <c r="GZO93" s="594"/>
      <c r="GZP93" s="594"/>
      <c r="GZQ93" s="594"/>
      <c r="GZR93" s="594"/>
      <c r="GZS93" s="594"/>
      <c r="GZT93" s="594"/>
      <c r="GZU93" s="594"/>
      <c r="GZV93" s="594"/>
      <c r="GZW93" s="594"/>
      <c r="GZX93" s="594"/>
      <c r="GZY93" s="594"/>
      <c r="GZZ93" s="594"/>
      <c r="HAA93" s="594"/>
      <c r="HAB93" s="594"/>
      <c r="HAC93" s="594"/>
      <c r="HAD93" s="594"/>
      <c r="HAE93" s="594"/>
      <c r="HAF93" s="594"/>
      <c r="HAG93" s="594"/>
      <c r="HAH93" s="594"/>
      <c r="HAI93" s="594"/>
      <c r="HAJ93" s="594"/>
      <c r="HAK93" s="594"/>
      <c r="HAL93" s="594"/>
      <c r="HAM93" s="594"/>
      <c r="HAN93" s="594"/>
      <c r="HAO93" s="594"/>
      <c r="HAP93" s="594"/>
      <c r="HAQ93" s="594"/>
      <c r="HAR93" s="594"/>
      <c r="HAS93" s="594"/>
      <c r="HAT93" s="594"/>
      <c r="HAU93" s="594"/>
      <c r="HAV93" s="594"/>
      <c r="HAW93" s="594"/>
      <c r="HAX93" s="594"/>
      <c r="HAY93" s="594"/>
      <c r="HAZ93" s="594"/>
      <c r="HBA93" s="594"/>
      <c r="HBB93" s="594"/>
      <c r="HBC93" s="594"/>
      <c r="HBD93" s="594"/>
      <c r="HBE93" s="594"/>
      <c r="HBF93" s="594"/>
      <c r="HBG93" s="594"/>
      <c r="HBH93" s="594"/>
      <c r="HBI93" s="594"/>
      <c r="HBJ93" s="594"/>
      <c r="HBK93" s="594"/>
      <c r="HBL93" s="594"/>
      <c r="HBM93" s="594"/>
      <c r="HBN93" s="594"/>
      <c r="HBO93" s="594"/>
      <c r="HBP93" s="594"/>
      <c r="HBQ93" s="594"/>
      <c r="HBR93" s="594"/>
      <c r="HBS93" s="594"/>
      <c r="HBT93" s="594"/>
      <c r="HBU93" s="594"/>
      <c r="HBV93" s="594"/>
      <c r="HBW93" s="594"/>
      <c r="HBX93" s="594"/>
      <c r="HBY93" s="594"/>
      <c r="HBZ93" s="594"/>
      <c r="HCA93" s="594"/>
      <c r="HCB93" s="594"/>
      <c r="HCC93" s="594"/>
      <c r="HCD93" s="594"/>
      <c r="HCE93" s="594"/>
      <c r="HCF93" s="594"/>
      <c r="HCG93" s="594"/>
      <c r="HCH93" s="594"/>
      <c r="HCI93" s="594"/>
      <c r="HCJ93" s="594"/>
      <c r="HCK93" s="594"/>
      <c r="HCL93" s="594"/>
      <c r="HCM93" s="594"/>
      <c r="HCN93" s="594"/>
      <c r="HCO93" s="594"/>
      <c r="HCP93" s="594"/>
      <c r="HCQ93" s="594"/>
      <c r="HCR93" s="594"/>
      <c r="HCS93" s="594"/>
      <c r="HCT93" s="594"/>
      <c r="HCU93" s="594"/>
      <c r="HCV93" s="594"/>
      <c r="HCW93" s="594"/>
      <c r="HCX93" s="594"/>
      <c r="HCY93" s="594"/>
      <c r="HCZ93" s="594"/>
      <c r="HDA93" s="594"/>
      <c r="HDB93" s="594"/>
      <c r="HDC93" s="594"/>
      <c r="HDD93" s="594"/>
      <c r="HDE93" s="594"/>
      <c r="HDF93" s="594"/>
      <c r="HDG93" s="594"/>
      <c r="HDH93" s="594"/>
      <c r="HDI93" s="594"/>
      <c r="HDJ93" s="594"/>
      <c r="HDK93" s="594"/>
      <c r="HDL93" s="594"/>
      <c r="HDM93" s="594"/>
      <c r="HDN93" s="594"/>
      <c r="HDO93" s="594"/>
      <c r="HDP93" s="594"/>
      <c r="HDQ93" s="594"/>
      <c r="HDR93" s="594"/>
      <c r="HDS93" s="594"/>
      <c r="HDT93" s="594"/>
      <c r="HDU93" s="594"/>
      <c r="HDV93" s="594"/>
      <c r="HDW93" s="594"/>
      <c r="HDX93" s="594"/>
      <c r="HDY93" s="594"/>
      <c r="HDZ93" s="594"/>
      <c r="HEA93" s="594"/>
      <c r="HEB93" s="594"/>
      <c r="HEC93" s="594"/>
      <c r="HED93" s="594"/>
      <c r="HEE93" s="594"/>
      <c r="HEF93" s="594"/>
      <c r="HEG93" s="594"/>
      <c r="HEH93" s="594"/>
      <c r="HEI93" s="594"/>
      <c r="HEJ93" s="594"/>
      <c r="HEK93" s="594"/>
      <c r="HEL93" s="594"/>
      <c r="HEM93" s="594"/>
      <c r="HEN93" s="594"/>
      <c r="HEO93" s="594"/>
      <c r="HEP93" s="594"/>
      <c r="HEQ93" s="594"/>
      <c r="HER93" s="594"/>
      <c r="HES93" s="594"/>
      <c r="HET93" s="594"/>
      <c r="HEU93" s="594"/>
      <c r="HEV93" s="594"/>
      <c r="HEW93" s="594"/>
      <c r="HEX93" s="594"/>
      <c r="HEY93" s="594"/>
      <c r="HEZ93" s="594"/>
      <c r="HFA93" s="594"/>
      <c r="HFB93" s="594"/>
      <c r="HFC93" s="594"/>
      <c r="HFD93" s="594"/>
      <c r="HFE93" s="594"/>
      <c r="HFF93" s="594"/>
      <c r="HFG93" s="594"/>
      <c r="HFH93" s="594"/>
      <c r="HFI93" s="594"/>
      <c r="HFJ93" s="594"/>
      <c r="HFK93" s="594"/>
      <c r="HFL93" s="594"/>
      <c r="HFM93" s="594"/>
      <c r="HFN93" s="594"/>
      <c r="HFO93" s="594"/>
      <c r="HFP93" s="594"/>
      <c r="HFQ93" s="594"/>
      <c r="HFR93" s="594"/>
      <c r="HFS93" s="594"/>
      <c r="HFT93" s="594"/>
      <c r="HFU93" s="594"/>
      <c r="HFV93" s="594"/>
      <c r="HFW93" s="594"/>
      <c r="HFX93" s="594"/>
      <c r="HFY93" s="594"/>
      <c r="HFZ93" s="594"/>
      <c r="HGA93" s="594"/>
      <c r="HGB93" s="594"/>
      <c r="HGC93" s="594"/>
      <c r="HGD93" s="594"/>
      <c r="HGE93" s="594"/>
      <c r="HGF93" s="594"/>
      <c r="HGG93" s="594"/>
      <c r="HGH93" s="594"/>
      <c r="HGI93" s="594"/>
      <c r="HGJ93" s="594"/>
      <c r="HGK93" s="594"/>
      <c r="HGL93" s="594"/>
      <c r="HGM93" s="594"/>
      <c r="HGN93" s="594"/>
      <c r="HGO93" s="594"/>
      <c r="HGP93" s="594"/>
      <c r="HGQ93" s="594"/>
      <c r="HGR93" s="594"/>
      <c r="HGS93" s="594"/>
      <c r="HGT93" s="594"/>
      <c r="HGU93" s="594"/>
      <c r="HGV93" s="594"/>
      <c r="HGW93" s="594"/>
      <c r="HGX93" s="594"/>
      <c r="HGY93" s="594"/>
      <c r="HGZ93" s="594"/>
      <c r="HHA93" s="594"/>
      <c r="HHB93" s="594"/>
      <c r="HHC93" s="594"/>
      <c r="HHD93" s="594"/>
      <c r="HHE93" s="594"/>
      <c r="HHF93" s="594"/>
      <c r="HHG93" s="594"/>
      <c r="HHH93" s="594"/>
      <c r="HHI93" s="594"/>
      <c r="HHJ93" s="594"/>
      <c r="HHK93" s="594"/>
      <c r="HHL93" s="594"/>
      <c r="HHM93" s="594"/>
      <c r="HHN93" s="594"/>
      <c r="HHO93" s="594"/>
      <c r="HHP93" s="594"/>
      <c r="HHQ93" s="594"/>
      <c r="HHR93" s="594"/>
      <c r="HHS93" s="594"/>
      <c r="HHT93" s="594"/>
      <c r="HHU93" s="594"/>
      <c r="HHV93" s="594"/>
      <c r="HHW93" s="594"/>
      <c r="HHX93" s="594"/>
      <c r="HHY93" s="594"/>
      <c r="HHZ93" s="594"/>
      <c r="HIA93" s="594"/>
      <c r="HIB93" s="594"/>
      <c r="HIC93" s="594"/>
      <c r="HID93" s="594"/>
      <c r="HIE93" s="594"/>
      <c r="HIF93" s="594"/>
      <c r="HIG93" s="594"/>
      <c r="HIH93" s="594"/>
      <c r="HII93" s="594"/>
      <c r="HIJ93" s="594"/>
      <c r="HIK93" s="594"/>
      <c r="HIL93" s="594"/>
      <c r="HIM93" s="594"/>
      <c r="HIN93" s="594"/>
      <c r="HIO93" s="594"/>
      <c r="HIP93" s="594"/>
      <c r="HIQ93" s="594"/>
      <c r="HIR93" s="594"/>
      <c r="HIS93" s="594"/>
      <c r="HIT93" s="594"/>
      <c r="HIU93" s="594"/>
      <c r="HIV93" s="594"/>
      <c r="HIW93" s="594"/>
      <c r="HIX93" s="594"/>
      <c r="HIY93" s="594"/>
      <c r="HIZ93" s="594"/>
      <c r="HJA93" s="594"/>
      <c r="HJB93" s="594"/>
      <c r="HJC93" s="594"/>
      <c r="HJD93" s="594"/>
      <c r="HJE93" s="594"/>
      <c r="HJF93" s="594"/>
      <c r="HJG93" s="594"/>
      <c r="HJH93" s="594"/>
      <c r="HJI93" s="594"/>
      <c r="HJJ93" s="594"/>
      <c r="HJK93" s="594"/>
      <c r="HJL93" s="594"/>
      <c r="HJM93" s="594"/>
      <c r="HJN93" s="594"/>
      <c r="HJO93" s="594"/>
      <c r="HJP93" s="594"/>
      <c r="HJQ93" s="594"/>
      <c r="HJR93" s="594"/>
      <c r="HJS93" s="594"/>
      <c r="HJT93" s="594"/>
      <c r="HJU93" s="594"/>
      <c r="HJV93" s="594"/>
      <c r="HJW93" s="594"/>
      <c r="HJX93" s="594"/>
      <c r="HJY93" s="594"/>
      <c r="HJZ93" s="594"/>
      <c r="HKA93" s="594"/>
      <c r="HKB93" s="594"/>
      <c r="HKC93" s="594"/>
      <c r="HKD93" s="594"/>
      <c r="HKE93" s="594"/>
      <c r="HKF93" s="594"/>
      <c r="HKG93" s="594"/>
      <c r="HKH93" s="594"/>
      <c r="HKI93" s="594"/>
      <c r="HKJ93" s="594"/>
      <c r="HKK93" s="594"/>
      <c r="HKL93" s="594"/>
      <c r="HKM93" s="594"/>
      <c r="HKN93" s="594"/>
      <c r="HKO93" s="594"/>
      <c r="HKP93" s="594"/>
      <c r="HKQ93" s="594"/>
      <c r="HKR93" s="594"/>
      <c r="HKS93" s="594"/>
      <c r="HKT93" s="594"/>
      <c r="HKU93" s="594"/>
      <c r="HKV93" s="594"/>
      <c r="HKW93" s="594"/>
      <c r="HKX93" s="594"/>
      <c r="HKY93" s="594"/>
      <c r="HKZ93" s="594"/>
      <c r="HLA93" s="594"/>
      <c r="HLB93" s="594"/>
      <c r="HLC93" s="594"/>
      <c r="HLD93" s="594"/>
      <c r="HLE93" s="594"/>
      <c r="HLF93" s="594"/>
      <c r="HLG93" s="594"/>
      <c r="HLH93" s="594"/>
      <c r="HLI93" s="594"/>
      <c r="HLJ93" s="594"/>
      <c r="HLK93" s="594"/>
      <c r="HLL93" s="594"/>
      <c r="HLM93" s="594"/>
      <c r="HLN93" s="594"/>
      <c r="HLO93" s="594"/>
      <c r="HLP93" s="594"/>
      <c r="HLQ93" s="594"/>
      <c r="HLR93" s="594"/>
      <c r="HLS93" s="594"/>
      <c r="HLT93" s="594"/>
      <c r="HLU93" s="594"/>
      <c r="HLV93" s="594"/>
      <c r="HLW93" s="594"/>
      <c r="HLX93" s="594"/>
      <c r="HLY93" s="594"/>
      <c r="HLZ93" s="594"/>
      <c r="HMA93" s="594"/>
      <c r="HMB93" s="594"/>
      <c r="HMC93" s="594"/>
      <c r="HMD93" s="594"/>
      <c r="HME93" s="594"/>
      <c r="HMF93" s="594"/>
      <c r="HMG93" s="594"/>
      <c r="HMH93" s="594"/>
      <c r="HMI93" s="594"/>
      <c r="HMJ93" s="594"/>
      <c r="HMK93" s="594"/>
      <c r="HML93" s="594"/>
      <c r="HMM93" s="594"/>
      <c r="HMN93" s="594"/>
      <c r="HMO93" s="594"/>
      <c r="HMP93" s="594"/>
      <c r="HMQ93" s="594"/>
      <c r="HMR93" s="594"/>
      <c r="HMS93" s="594"/>
      <c r="HMT93" s="594"/>
      <c r="HMU93" s="594"/>
      <c r="HMV93" s="594"/>
      <c r="HMW93" s="594"/>
      <c r="HMX93" s="594"/>
      <c r="HMY93" s="594"/>
      <c r="HMZ93" s="594"/>
      <c r="HNA93" s="594"/>
      <c r="HNB93" s="594"/>
      <c r="HNC93" s="594"/>
      <c r="HND93" s="594"/>
      <c r="HNE93" s="594"/>
      <c r="HNF93" s="594"/>
      <c r="HNG93" s="594"/>
      <c r="HNH93" s="594"/>
      <c r="HNI93" s="594"/>
      <c r="HNJ93" s="594"/>
      <c r="HNK93" s="594"/>
      <c r="HNL93" s="594"/>
      <c r="HNM93" s="594"/>
      <c r="HNN93" s="594"/>
      <c r="HNO93" s="594"/>
      <c r="HNP93" s="594"/>
      <c r="HNQ93" s="594"/>
      <c r="HNR93" s="594"/>
      <c r="HNS93" s="594"/>
      <c r="HNT93" s="594"/>
      <c r="HNU93" s="594"/>
      <c r="HNV93" s="594"/>
      <c r="HNW93" s="594"/>
      <c r="HNX93" s="594"/>
      <c r="HNY93" s="594"/>
      <c r="HNZ93" s="594"/>
      <c r="HOA93" s="594"/>
      <c r="HOB93" s="594"/>
      <c r="HOC93" s="594"/>
      <c r="HOD93" s="594"/>
      <c r="HOE93" s="594"/>
      <c r="HOF93" s="594"/>
      <c r="HOG93" s="594"/>
      <c r="HOH93" s="594"/>
      <c r="HOI93" s="594"/>
      <c r="HOJ93" s="594"/>
      <c r="HOK93" s="594"/>
      <c r="HOL93" s="594"/>
      <c r="HOM93" s="594"/>
      <c r="HON93" s="594"/>
      <c r="HOO93" s="594"/>
      <c r="HOP93" s="594"/>
      <c r="HOQ93" s="594"/>
      <c r="HOR93" s="594"/>
      <c r="HOS93" s="594"/>
      <c r="HOT93" s="594"/>
      <c r="HOU93" s="594"/>
      <c r="HOV93" s="594"/>
      <c r="HOW93" s="594"/>
      <c r="HOX93" s="594"/>
      <c r="HOY93" s="594"/>
      <c r="HOZ93" s="594"/>
      <c r="HPA93" s="594"/>
      <c r="HPB93" s="594"/>
      <c r="HPC93" s="594"/>
      <c r="HPD93" s="594"/>
      <c r="HPE93" s="594"/>
      <c r="HPF93" s="594"/>
      <c r="HPG93" s="594"/>
      <c r="HPH93" s="594"/>
      <c r="HPI93" s="594"/>
      <c r="HPJ93" s="594"/>
      <c r="HPK93" s="594"/>
      <c r="HPL93" s="594"/>
      <c r="HPM93" s="594"/>
      <c r="HPN93" s="594"/>
      <c r="HPO93" s="594"/>
      <c r="HPP93" s="594"/>
      <c r="HPQ93" s="594"/>
      <c r="HPR93" s="594"/>
      <c r="HPS93" s="594"/>
      <c r="HPT93" s="594"/>
      <c r="HPU93" s="594"/>
      <c r="HPV93" s="594"/>
      <c r="HPW93" s="594"/>
      <c r="HPX93" s="594"/>
      <c r="HPY93" s="594"/>
      <c r="HPZ93" s="594"/>
      <c r="HQA93" s="594"/>
      <c r="HQB93" s="594"/>
      <c r="HQC93" s="594"/>
      <c r="HQD93" s="594"/>
      <c r="HQE93" s="594"/>
      <c r="HQF93" s="594"/>
      <c r="HQG93" s="594"/>
      <c r="HQH93" s="594"/>
      <c r="HQI93" s="594"/>
      <c r="HQJ93" s="594"/>
      <c r="HQK93" s="594"/>
      <c r="HQL93" s="594"/>
      <c r="HQM93" s="594"/>
      <c r="HQN93" s="594"/>
      <c r="HQO93" s="594"/>
      <c r="HQP93" s="594"/>
      <c r="HQQ93" s="594"/>
      <c r="HQR93" s="594"/>
      <c r="HQS93" s="594"/>
      <c r="HQT93" s="594"/>
      <c r="HQU93" s="594"/>
      <c r="HQV93" s="594"/>
      <c r="HQW93" s="594"/>
      <c r="HQX93" s="594"/>
      <c r="HQY93" s="594"/>
      <c r="HQZ93" s="594"/>
      <c r="HRA93" s="594"/>
      <c r="HRB93" s="594"/>
      <c r="HRC93" s="594"/>
      <c r="HRD93" s="594"/>
      <c r="HRE93" s="594"/>
      <c r="HRF93" s="594"/>
      <c r="HRG93" s="594"/>
      <c r="HRH93" s="594"/>
      <c r="HRI93" s="594"/>
      <c r="HRJ93" s="594"/>
      <c r="HRK93" s="594"/>
      <c r="HRL93" s="594"/>
      <c r="HRM93" s="594"/>
      <c r="HRN93" s="594"/>
      <c r="HRO93" s="594"/>
      <c r="HRP93" s="594"/>
      <c r="HRQ93" s="594"/>
      <c r="HRR93" s="594"/>
      <c r="HRS93" s="594"/>
      <c r="HRT93" s="594"/>
      <c r="HRU93" s="594"/>
      <c r="HRV93" s="594"/>
      <c r="HRW93" s="594"/>
      <c r="HRX93" s="594"/>
      <c r="HRY93" s="594"/>
      <c r="HRZ93" s="594"/>
      <c r="HSA93" s="594"/>
      <c r="HSB93" s="594"/>
      <c r="HSC93" s="594"/>
      <c r="HSD93" s="594"/>
      <c r="HSE93" s="594"/>
      <c r="HSF93" s="594"/>
      <c r="HSG93" s="594"/>
      <c r="HSH93" s="594"/>
      <c r="HSI93" s="594"/>
      <c r="HSJ93" s="594"/>
      <c r="HSK93" s="594"/>
      <c r="HSL93" s="594"/>
      <c r="HSM93" s="594"/>
      <c r="HSN93" s="594"/>
      <c r="HSO93" s="594"/>
      <c r="HSP93" s="594"/>
      <c r="HSQ93" s="594"/>
      <c r="HSR93" s="594"/>
      <c r="HSS93" s="594"/>
      <c r="HST93" s="594"/>
      <c r="HSU93" s="594"/>
      <c r="HSV93" s="594"/>
      <c r="HSW93" s="594"/>
      <c r="HSX93" s="594"/>
      <c r="HSY93" s="594"/>
      <c r="HSZ93" s="594"/>
      <c r="HTA93" s="594"/>
      <c r="HTB93" s="594"/>
      <c r="HTC93" s="594"/>
      <c r="HTD93" s="594"/>
      <c r="HTE93" s="594"/>
      <c r="HTF93" s="594"/>
      <c r="HTG93" s="594"/>
      <c r="HTH93" s="594"/>
      <c r="HTI93" s="594"/>
      <c r="HTJ93" s="594"/>
      <c r="HTK93" s="594"/>
      <c r="HTL93" s="594"/>
      <c r="HTM93" s="594"/>
      <c r="HTN93" s="594"/>
      <c r="HTO93" s="594"/>
      <c r="HTP93" s="594"/>
      <c r="HTQ93" s="594"/>
      <c r="HTR93" s="594"/>
      <c r="HTS93" s="594"/>
      <c r="HTT93" s="594"/>
      <c r="HTU93" s="594"/>
      <c r="HTV93" s="594"/>
      <c r="HTW93" s="594"/>
      <c r="HTX93" s="594"/>
      <c r="HTY93" s="594"/>
      <c r="HTZ93" s="594"/>
      <c r="HUA93" s="594"/>
      <c r="HUB93" s="594"/>
      <c r="HUC93" s="594"/>
      <c r="HUD93" s="594"/>
      <c r="HUE93" s="594"/>
      <c r="HUF93" s="594"/>
      <c r="HUG93" s="594"/>
      <c r="HUH93" s="594"/>
      <c r="HUI93" s="594"/>
      <c r="HUJ93" s="594"/>
      <c r="HUK93" s="594"/>
      <c r="HUL93" s="594"/>
      <c r="HUM93" s="594"/>
      <c r="HUN93" s="594"/>
      <c r="HUO93" s="594"/>
      <c r="HUP93" s="594"/>
      <c r="HUQ93" s="594"/>
      <c r="HUR93" s="594"/>
      <c r="HUS93" s="594"/>
      <c r="HUT93" s="594"/>
      <c r="HUU93" s="594"/>
      <c r="HUV93" s="594"/>
      <c r="HUW93" s="594"/>
      <c r="HUX93" s="594"/>
      <c r="HUY93" s="594"/>
      <c r="HUZ93" s="594"/>
      <c r="HVA93" s="594"/>
      <c r="HVB93" s="594"/>
      <c r="HVC93" s="594"/>
      <c r="HVD93" s="594"/>
      <c r="HVE93" s="594"/>
      <c r="HVF93" s="594"/>
      <c r="HVG93" s="594"/>
      <c r="HVH93" s="594"/>
      <c r="HVI93" s="594"/>
      <c r="HVJ93" s="594"/>
      <c r="HVK93" s="594"/>
      <c r="HVL93" s="594"/>
      <c r="HVM93" s="594"/>
      <c r="HVN93" s="594"/>
      <c r="HVO93" s="594"/>
      <c r="HVP93" s="594"/>
      <c r="HVQ93" s="594"/>
      <c r="HVR93" s="594"/>
      <c r="HVS93" s="594"/>
      <c r="HVT93" s="594"/>
      <c r="HVU93" s="594"/>
      <c r="HVV93" s="594"/>
      <c r="HVW93" s="594"/>
      <c r="HVX93" s="594"/>
      <c r="HVY93" s="594"/>
      <c r="HVZ93" s="594"/>
      <c r="HWA93" s="594"/>
      <c r="HWB93" s="594"/>
      <c r="HWC93" s="594"/>
      <c r="HWD93" s="594"/>
      <c r="HWE93" s="594"/>
      <c r="HWF93" s="594"/>
      <c r="HWG93" s="594"/>
      <c r="HWH93" s="594"/>
      <c r="HWI93" s="594"/>
      <c r="HWJ93" s="594"/>
      <c r="HWK93" s="594"/>
      <c r="HWL93" s="594"/>
      <c r="HWM93" s="594"/>
      <c r="HWN93" s="594"/>
      <c r="HWO93" s="594"/>
      <c r="HWP93" s="594"/>
      <c r="HWQ93" s="594"/>
      <c r="HWR93" s="594"/>
      <c r="HWS93" s="594"/>
      <c r="HWT93" s="594"/>
      <c r="HWU93" s="594"/>
      <c r="HWV93" s="594"/>
      <c r="HWW93" s="594"/>
      <c r="HWX93" s="594"/>
      <c r="HWY93" s="594"/>
      <c r="HWZ93" s="594"/>
      <c r="HXA93" s="594"/>
      <c r="HXB93" s="594"/>
      <c r="HXC93" s="594"/>
      <c r="HXD93" s="594"/>
      <c r="HXE93" s="594"/>
      <c r="HXF93" s="594"/>
      <c r="HXG93" s="594"/>
      <c r="HXH93" s="594"/>
      <c r="HXI93" s="594"/>
      <c r="HXJ93" s="594"/>
      <c r="HXK93" s="594"/>
      <c r="HXL93" s="594"/>
      <c r="HXM93" s="594"/>
      <c r="HXN93" s="594"/>
      <c r="HXO93" s="594"/>
      <c r="HXP93" s="594"/>
      <c r="HXQ93" s="594"/>
      <c r="HXR93" s="594"/>
      <c r="HXS93" s="594"/>
      <c r="HXT93" s="594"/>
      <c r="HXU93" s="594"/>
      <c r="HXV93" s="594"/>
      <c r="HXW93" s="594"/>
      <c r="HXX93" s="594"/>
      <c r="HXY93" s="594"/>
      <c r="HXZ93" s="594"/>
      <c r="HYA93" s="594"/>
      <c r="HYB93" s="594"/>
      <c r="HYC93" s="594"/>
      <c r="HYD93" s="594"/>
      <c r="HYE93" s="594"/>
      <c r="HYF93" s="594"/>
      <c r="HYG93" s="594"/>
      <c r="HYH93" s="594"/>
      <c r="HYI93" s="594"/>
      <c r="HYJ93" s="594"/>
      <c r="HYK93" s="594"/>
      <c r="HYL93" s="594"/>
      <c r="HYM93" s="594"/>
      <c r="HYN93" s="594"/>
      <c r="HYO93" s="594"/>
      <c r="HYP93" s="594"/>
      <c r="HYQ93" s="594"/>
      <c r="HYR93" s="594"/>
      <c r="HYS93" s="594"/>
      <c r="HYT93" s="594"/>
      <c r="HYU93" s="594"/>
      <c r="HYV93" s="594"/>
      <c r="HYW93" s="594"/>
      <c r="HYX93" s="594"/>
      <c r="HYY93" s="594"/>
      <c r="HYZ93" s="594"/>
      <c r="HZA93" s="594"/>
      <c r="HZB93" s="594"/>
      <c r="HZC93" s="594"/>
      <c r="HZD93" s="594"/>
      <c r="HZE93" s="594"/>
      <c r="HZF93" s="594"/>
      <c r="HZG93" s="594"/>
      <c r="HZH93" s="594"/>
      <c r="HZI93" s="594"/>
      <c r="HZJ93" s="594"/>
      <c r="HZK93" s="594"/>
      <c r="HZL93" s="594"/>
      <c r="HZM93" s="594"/>
      <c r="HZN93" s="594"/>
      <c r="HZO93" s="594"/>
      <c r="HZP93" s="594"/>
      <c r="HZQ93" s="594"/>
      <c r="HZR93" s="594"/>
      <c r="HZS93" s="594"/>
      <c r="HZT93" s="594"/>
      <c r="HZU93" s="594"/>
      <c r="HZV93" s="594"/>
      <c r="HZW93" s="594"/>
      <c r="HZX93" s="594"/>
      <c r="HZY93" s="594"/>
      <c r="HZZ93" s="594"/>
      <c r="IAA93" s="594"/>
      <c r="IAB93" s="594"/>
      <c r="IAC93" s="594"/>
      <c r="IAD93" s="594"/>
      <c r="IAE93" s="594"/>
      <c r="IAF93" s="594"/>
      <c r="IAG93" s="594"/>
      <c r="IAH93" s="594"/>
      <c r="IAI93" s="594"/>
      <c r="IAJ93" s="594"/>
      <c r="IAK93" s="594"/>
      <c r="IAL93" s="594"/>
      <c r="IAM93" s="594"/>
      <c r="IAN93" s="594"/>
      <c r="IAO93" s="594"/>
      <c r="IAP93" s="594"/>
      <c r="IAQ93" s="594"/>
      <c r="IAR93" s="594"/>
      <c r="IAS93" s="594"/>
      <c r="IAT93" s="594"/>
      <c r="IAU93" s="594"/>
      <c r="IAV93" s="594"/>
      <c r="IAW93" s="594"/>
      <c r="IAX93" s="594"/>
      <c r="IAY93" s="594"/>
      <c r="IAZ93" s="594"/>
      <c r="IBA93" s="594"/>
      <c r="IBB93" s="594"/>
      <c r="IBC93" s="594"/>
      <c r="IBD93" s="594"/>
      <c r="IBE93" s="594"/>
      <c r="IBF93" s="594"/>
      <c r="IBG93" s="594"/>
      <c r="IBH93" s="594"/>
      <c r="IBI93" s="594"/>
      <c r="IBJ93" s="594"/>
      <c r="IBK93" s="594"/>
      <c r="IBL93" s="594"/>
      <c r="IBM93" s="594"/>
      <c r="IBN93" s="594"/>
      <c r="IBO93" s="594"/>
      <c r="IBP93" s="594"/>
      <c r="IBQ93" s="594"/>
      <c r="IBR93" s="594"/>
      <c r="IBS93" s="594"/>
      <c r="IBT93" s="594"/>
      <c r="IBU93" s="594"/>
      <c r="IBV93" s="594"/>
      <c r="IBW93" s="594"/>
      <c r="IBX93" s="594"/>
      <c r="IBY93" s="594"/>
      <c r="IBZ93" s="594"/>
      <c r="ICA93" s="594"/>
      <c r="ICB93" s="594"/>
      <c r="ICC93" s="594"/>
      <c r="ICD93" s="594"/>
      <c r="ICE93" s="594"/>
      <c r="ICF93" s="594"/>
      <c r="ICG93" s="594"/>
      <c r="ICH93" s="594"/>
      <c r="ICI93" s="594"/>
      <c r="ICJ93" s="594"/>
      <c r="ICK93" s="594"/>
      <c r="ICL93" s="594"/>
      <c r="ICM93" s="594"/>
      <c r="ICN93" s="594"/>
      <c r="ICO93" s="594"/>
      <c r="ICP93" s="594"/>
      <c r="ICQ93" s="594"/>
      <c r="ICR93" s="594"/>
      <c r="ICS93" s="594"/>
      <c r="ICT93" s="594"/>
      <c r="ICU93" s="594"/>
      <c r="ICV93" s="594"/>
      <c r="ICW93" s="594"/>
      <c r="ICX93" s="594"/>
      <c r="ICY93" s="594"/>
      <c r="ICZ93" s="594"/>
      <c r="IDA93" s="594"/>
      <c r="IDB93" s="594"/>
      <c r="IDC93" s="594"/>
      <c r="IDD93" s="594"/>
      <c r="IDE93" s="594"/>
      <c r="IDF93" s="594"/>
      <c r="IDG93" s="594"/>
      <c r="IDH93" s="594"/>
      <c r="IDI93" s="594"/>
      <c r="IDJ93" s="594"/>
      <c r="IDK93" s="594"/>
      <c r="IDL93" s="594"/>
      <c r="IDM93" s="594"/>
      <c r="IDN93" s="594"/>
      <c r="IDO93" s="594"/>
      <c r="IDP93" s="594"/>
      <c r="IDQ93" s="594"/>
      <c r="IDR93" s="594"/>
      <c r="IDS93" s="594"/>
      <c r="IDT93" s="594"/>
      <c r="IDU93" s="594"/>
      <c r="IDV93" s="594"/>
      <c r="IDW93" s="594"/>
      <c r="IDX93" s="594"/>
      <c r="IDY93" s="594"/>
      <c r="IDZ93" s="594"/>
      <c r="IEA93" s="594"/>
      <c r="IEB93" s="594"/>
      <c r="IEC93" s="594"/>
      <c r="IED93" s="594"/>
      <c r="IEE93" s="594"/>
      <c r="IEF93" s="594"/>
      <c r="IEG93" s="594"/>
      <c r="IEH93" s="594"/>
      <c r="IEI93" s="594"/>
      <c r="IEJ93" s="594"/>
      <c r="IEK93" s="594"/>
      <c r="IEL93" s="594"/>
      <c r="IEM93" s="594"/>
      <c r="IEN93" s="594"/>
      <c r="IEO93" s="594"/>
      <c r="IEP93" s="594"/>
      <c r="IEQ93" s="594"/>
      <c r="IER93" s="594"/>
      <c r="IES93" s="594"/>
      <c r="IET93" s="594"/>
      <c r="IEU93" s="594"/>
      <c r="IEV93" s="594"/>
      <c r="IEW93" s="594"/>
      <c r="IEX93" s="594"/>
      <c r="IEY93" s="594"/>
      <c r="IEZ93" s="594"/>
      <c r="IFA93" s="594"/>
      <c r="IFB93" s="594"/>
      <c r="IFC93" s="594"/>
      <c r="IFD93" s="594"/>
      <c r="IFE93" s="594"/>
      <c r="IFF93" s="594"/>
      <c r="IFG93" s="594"/>
      <c r="IFH93" s="594"/>
      <c r="IFI93" s="594"/>
      <c r="IFJ93" s="594"/>
      <c r="IFK93" s="594"/>
      <c r="IFL93" s="594"/>
      <c r="IFM93" s="594"/>
      <c r="IFN93" s="594"/>
      <c r="IFO93" s="594"/>
      <c r="IFP93" s="594"/>
      <c r="IFQ93" s="594"/>
      <c r="IFR93" s="594"/>
      <c r="IFS93" s="594"/>
      <c r="IFT93" s="594"/>
      <c r="IFU93" s="594"/>
      <c r="IFV93" s="594"/>
      <c r="IFW93" s="594"/>
      <c r="IFX93" s="594"/>
      <c r="IFY93" s="594"/>
      <c r="IFZ93" s="594"/>
      <c r="IGA93" s="594"/>
      <c r="IGB93" s="594"/>
      <c r="IGC93" s="594"/>
      <c r="IGD93" s="594"/>
      <c r="IGE93" s="594"/>
      <c r="IGF93" s="594"/>
      <c r="IGG93" s="594"/>
      <c r="IGH93" s="594"/>
      <c r="IGI93" s="594"/>
      <c r="IGJ93" s="594"/>
      <c r="IGK93" s="594"/>
      <c r="IGL93" s="594"/>
      <c r="IGM93" s="594"/>
      <c r="IGN93" s="594"/>
      <c r="IGO93" s="594"/>
      <c r="IGP93" s="594"/>
      <c r="IGQ93" s="594"/>
      <c r="IGR93" s="594"/>
      <c r="IGS93" s="594"/>
      <c r="IGT93" s="594"/>
      <c r="IGU93" s="594"/>
      <c r="IGV93" s="594"/>
      <c r="IGW93" s="594"/>
      <c r="IGX93" s="594"/>
      <c r="IGY93" s="594"/>
      <c r="IGZ93" s="594"/>
      <c r="IHA93" s="594"/>
      <c r="IHB93" s="594"/>
      <c r="IHC93" s="594"/>
      <c r="IHD93" s="594"/>
      <c r="IHE93" s="594"/>
      <c r="IHF93" s="594"/>
      <c r="IHG93" s="594"/>
      <c r="IHH93" s="594"/>
      <c r="IHI93" s="594"/>
      <c r="IHJ93" s="594"/>
      <c r="IHK93" s="594"/>
      <c r="IHL93" s="594"/>
      <c r="IHM93" s="594"/>
      <c r="IHN93" s="594"/>
      <c r="IHO93" s="594"/>
      <c r="IHP93" s="594"/>
      <c r="IHQ93" s="594"/>
      <c r="IHR93" s="594"/>
      <c r="IHS93" s="594"/>
      <c r="IHT93" s="594"/>
      <c r="IHU93" s="594"/>
      <c r="IHV93" s="594"/>
      <c r="IHW93" s="594"/>
      <c r="IHX93" s="594"/>
      <c r="IHY93" s="594"/>
      <c r="IHZ93" s="594"/>
      <c r="IIA93" s="594"/>
      <c r="IIB93" s="594"/>
      <c r="IIC93" s="594"/>
      <c r="IID93" s="594"/>
      <c r="IIE93" s="594"/>
      <c r="IIF93" s="594"/>
      <c r="IIG93" s="594"/>
      <c r="IIH93" s="594"/>
      <c r="III93" s="594"/>
      <c r="IIJ93" s="594"/>
      <c r="IIK93" s="594"/>
      <c r="IIL93" s="594"/>
      <c r="IIM93" s="594"/>
      <c r="IIN93" s="594"/>
      <c r="IIO93" s="594"/>
      <c r="IIP93" s="594"/>
      <c r="IIQ93" s="594"/>
      <c r="IIR93" s="594"/>
      <c r="IIS93" s="594"/>
      <c r="IIT93" s="594"/>
      <c r="IIU93" s="594"/>
      <c r="IIV93" s="594"/>
      <c r="IIW93" s="594"/>
      <c r="IIX93" s="594"/>
      <c r="IIY93" s="594"/>
      <c r="IIZ93" s="594"/>
      <c r="IJA93" s="594"/>
      <c r="IJB93" s="594"/>
      <c r="IJC93" s="594"/>
      <c r="IJD93" s="594"/>
      <c r="IJE93" s="594"/>
      <c r="IJF93" s="594"/>
      <c r="IJG93" s="594"/>
      <c r="IJH93" s="594"/>
      <c r="IJI93" s="594"/>
      <c r="IJJ93" s="594"/>
      <c r="IJK93" s="594"/>
      <c r="IJL93" s="594"/>
      <c r="IJM93" s="594"/>
      <c r="IJN93" s="594"/>
      <c r="IJO93" s="594"/>
      <c r="IJP93" s="594"/>
      <c r="IJQ93" s="594"/>
      <c r="IJR93" s="594"/>
      <c r="IJS93" s="594"/>
      <c r="IJT93" s="594"/>
      <c r="IJU93" s="594"/>
      <c r="IJV93" s="594"/>
      <c r="IJW93" s="594"/>
      <c r="IJX93" s="594"/>
      <c r="IJY93" s="594"/>
      <c r="IJZ93" s="594"/>
      <c r="IKA93" s="594"/>
      <c r="IKB93" s="594"/>
      <c r="IKC93" s="594"/>
      <c r="IKD93" s="594"/>
      <c r="IKE93" s="594"/>
      <c r="IKF93" s="594"/>
      <c r="IKG93" s="594"/>
      <c r="IKH93" s="594"/>
      <c r="IKI93" s="594"/>
      <c r="IKJ93" s="594"/>
      <c r="IKK93" s="594"/>
      <c r="IKL93" s="594"/>
      <c r="IKM93" s="594"/>
      <c r="IKN93" s="594"/>
      <c r="IKO93" s="594"/>
      <c r="IKP93" s="594"/>
      <c r="IKQ93" s="594"/>
      <c r="IKR93" s="594"/>
      <c r="IKS93" s="594"/>
      <c r="IKT93" s="594"/>
      <c r="IKU93" s="594"/>
      <c r="IKV93" s="594"/>
      <c r="IKW93" s="594"/>
      <c r="IKX93" s="594"/>
      <c r="IKY93" s="594"/>
      <c r="IKZ93" s="594"/>
      <c r="ILA93" s="594"/>
      <c r="ILB93" s="594"/>
      <c r="ILC93" s="594"/>
      <c r="ILD93" s="594"/>
      <c r="ILE93" s="594"/>
      <c r="ILF93" s="594"/>
      <c r="ILG93" s="594"/>
      <c r="ILH93" s="594"/>
      <c r="ILI93" s="594"/>
      <c r="ILJ93" s="594"/>
      <c r="ILK93" s="594"/>
      <c r="ILL93" s="594"/>
      <c r="ILM93" s="594"/>
      <c r="ILN93" s="594"/>
      <c r="ILO93" s="594"/>
      <c r="ILP93" s="594"/>
      <c r="ILQ93" s="594"/>
      <c r="ILR93" s="594"/>
      <c r="ILS93" s="594"/>
      <c r="ILT93" s="594"/>
      <c r="ILU93" s="594"/>
      <c r="ILV93" s="594"/>
      <c r="ILW93" s="594"/>
      <c r="ILX93" s="594"/>
      <c r="ILY93" s="594"/>
      <c r="ILZ93" s="594"/>
      <c r="IMA93" s="594"/>
      <c r="IMB93" s="594"/>
      <c r="IMC93" s="594"/>
      <c r="IMD93" s="594"/>
      <c r="IME93" s="594"/>
      <c r="IMF93" s="594"/>
      <c r="IMG93" s="594"/>
      <c r="IMH93" s="594"/>
      <c r="IMI93" s="594"/>
      <c r="IMJ93" s="594"/>
      <c r="IMK93" s="594"/>
      <c r="IML93" s="594"/>
      <c r="IMM93" s="594"/>
      <c r="IMN93" s="594"/>
      <c r="IMO93" s="594"/>
      <c r="IMP93" s="594"/>
      <c r="IMQ93" s="594"/>
      <c r="IMR93" s="594"/>
      <c r="IMS93" s="594"/>
      <c r="IMT93" s="594"/>
      <c r="IMU93" s="594"/>
      <c r="IMV93" s="594"/>
      <c r="IMW93" s="594"/>
      <c r="IMX93" s="594"/>
      <c r="IMY93" s="594"/>
      <c r="IMZ93" s="594"/>
      <c r="INA93" s="594"/>
      <c r="INB93" s="594"/>
      <c r="INC93" s="594"/>
      <c r="IND93" s="594"/>
      <c r="INE93" s="594"/>
      <c r="INF93" s="594"/>
      <c r="ING93" s="594"/>
      <c r="INH93" s="594"/>
      <c r="INI93" s="594"/>
      <c r="INJ93" s="594"/>
      <c r="INK93" s="594"/>
      <c r="INL93" s="594"/>
      <c r="INM93" s="594"/>
      <c r="INN93" s="594"/>
      <c r="INO93" s="594"/>
      <c r="INP93" s="594"/>
      <c r="INQ93" s="594"/>
      <c r="INR93" s="594"/>
      <c r="INS93" s="594"/>
      <c r="INT93" s="594"/>
      <c r="INU93" s="594"/>
      <c r="INV93" s="594"/>
      <c r="INW93" s="594"/>
      <c r="INX93" s="594"/>
      <c r="INY93" s="594"/>
      <c r="INZ93" s="594"/>
      <c r="IOA93" s="594"/>
      <c r="IOB93" s="594"/>
      <c r="IOC93" s="594"/>
      <c r="IOD93" s="594"/>
      <c r="IOE93" s="594"/>
      <c r="IOF93" s="594"/>
      <c r="IOG93" s="594"/>
      <c r="IOH93" s="594"/>
      <c r="IOI93" s="594"/>
      <c r="IOJ93" s="594"/>
      <c r="IOK93" s="594"/>
      <c r="IOL93" s="594"/>
      <c r="IOM93" s="594"/>
      <c r="ION93" s="594"/>
      <c r="IOO93" s="594"/>
      <c r="IOP93" s="594"/>
      <c r="IOQ93" s="594"/>
      <c r="IOR93" s="594"/>
      <c r="IOS93" s="594"/>
      <c r="IOT93" s="594"/>
      <c r="IOU93" s="594"/>
      <c r="IOV93" s="594"/>
      <c r="IOW93" s="594"/>
      <c r="IOX93" s="594"/>
      <c r="IOY93" s="594"/>
      <c r="IOZ93" s="594"/>
      <c r="IPA93" s="594"/>
      <c r="IPB93" s="594"/>
      <c r="IPC93" s="594"/>
      <c r="IPD93" s="594"/>
      <c r="IPE93" s="594"/>
      <c r="IPF93" s="594"/>
      <c r="IPG93" s="594"/>
      <c r="IPH93" s="594"/>
      <c r="IPI93" s="594"/>
      <c r="IPJ93" s="594"/>
      <c r="IPK93" s="594"/>
      <c r="IPL93" s="594"/>
      <c r="IPM93" s="594"/>
      <c r="IPN93" s="594"/>
      <c r="IPO93" s="594"/>
      <c r="IPP93" s="594"/>
      <c r="IPQ93" s="594"/>
      <c r="IPR93" s="594"/>
      <c r="IPS93" s="594"/>
      <c r="IPT93" s="594"/>
      <c r="IPU93" s="594"/>
      <c r="IPV93" s="594"/>
      <c r="IPW93" s="594"/>
      <c r="IPX93" s="594"/>
      <c r="IPY93" s="594"/>
      <c r="IPZ93" s="594"/>
      <c r="IQA93" s="594"/>
      <c r="IQB93" s="594"/>
      <c r="IQC93" s="594"/>
      <c r="IQD93" s="594"/>
      <c r="IQE93" s="594"/>
      <c r="IQF93" s="594"/>
      <c r="IQG93" s="594"/>
      <c r="IQH93" s="594"/>
      <c r="IQI93" s="594"/>
      <c r="IQJ93" s="594"/>
      <c r="IQK93" s="594"/>
      <c r="IQL93" s="594"/>
      <c r="IQM93" s="594"/>
      <c r="IQN93" s="594"/>
      <c r="IQO93" s="594"/>
      <c r="IQP93" s="594"/>
      <c r="IQQ93" s="594"/>
      <c r="IQR93" s="594"/>
      <c r="IQS93" s="594"/>
      <c r="IQT93" s="594"/>
      <c r="IQU93" s="594"/>
      <c r="IQV93" s="594"/>
      <c r="IQW93" s="594"/>
      <c r="IQX93" s="594"/>
      <c r="IQY93" s="594"/>
      <c r="IQZ93" s="594"/>
      <c r="IRA93" s="594"/>
      <c r="IRB93" s="594"/>
      <c r="IRC93" s="594"/>
      <c r="IRD93" s="594"/>
      <c r="IRE93" s="594"/>
      <c r="IRF93" s="594"/>
      <c r="IRG93" s="594"/>
      <c r="IRH93" s="594"/>
      <c r="IRI93" s="594"/>
      <c r="IRJ93" s="594"/>
      <c r="IRK93" s="594"/>
      <c r="IRL93" s="594"/>
      <c r="IRM93" s="594"/>
      <c r="IRN93" s="594"/>
      <c r="IRO93" s="594"/>
      <c r="IRP93" s="594"/>
      <c r="IRQ93" s="594"/>
      <c r="IRR93" s="594"/>
      <c r="IRS93" s="594"/>
      <c r="IRT93" s="594"/>
      <c r="IRU93" s="594"/>
      <c r="IRV93" s="594"/>
      <c r="IRW93" s="594"/>
      <c r="IRX93" s="594"/>
      <c r="IRY93" s="594"/>
      <c r="IRZ93" s="594"/>
      <c r="ISA93" s="594"/>
      <c r="ISB93" s="594"/>
      <c r="ISC93" s="594"/>
      <c r="ISD93" s="594"/>
      <c r="ISE93" s="594"/>
      <c r="ISF93" s="594"/>
      <c r="ISG93" s="594"/>
      <c r="ISH93" s="594"/>
      <c r="ISI93" s="594"/>
      <c r="ISJ93" s="594"/>
      <c r="ISK93" s="594"/>
      <c r="ISL93" s="594"/>
      <c r="ISM93" s="594"/>
      <c r="ISN93" s="594"/>
      <c r="ISO93" s="594"/>
      <c r="ISP93" s="594"/>
      <c r="ISQ93" s="594"/>
      <c r="ISR93" s="594"/>
      <c r="ISS93" s="594"/>
      <c r="IST93" s="594"/>
      <c r="ISU93" s="594"/>
      <c r="ISV93" s="594"/>
      <c r="ISW93" s="594"/>
      <c r="ISX93" s="594"/>
      <c r="ISY93" s="594"/>
      <c r="ISZ93" s="594"/>
      <c r="ITA93" s="594"/>
      <c r="ITB93" s="594"/>
      <c r="ITC93" s="594"/>
      <c r="ITD93" s="594"/>
      <c r="ITE93" s="594"/>
      <c r="ITF93" s="594"/>
      <c r="ITG93" s="594"/>
      <c r="ITH93" s="594"/>
      <c r="ITI93" s="594"/>
      <c r="ITJ93" s="594"/>
      <c r="ITK93" s="594"/>
      <c r="ITL93" s="594"/>
      <c r="ITM93" s="594"/>
      <c r="ITN93" s="594"/>
      <c r="ITO93" s="594"/>
      <c r="ITP93" s="594"/>
      <c r="ITQ93" s="594"/>
      <c r="ITR93" s="594"/>
      <c r="ITS93" s="594"/>
      <c r="ITT93" s="594"/>
      <c r="ITU93" s="594"/>
      <c r="ITV93" s="594"/>
      <c r="ITW93" s="594"/>
      <c r="ITX93" s="594"/>
      <c r="ITY93" s="594"/>
      <c r="ITZ93" s="594"/>
      <c r="IUA93" s="594"/>
      <c r="IUB93" s="594"/>
      <c r="IUC93" s="594"/>
      <c r="IUD93" s="594"/>
      <c r="IUE93" s="594"/>
      <c r="IUF93" s="594"/>
      <c r="IUG93" s="594"/>
      <c r="IUH93" s="594"/>
      <c r="IUI93" s="594"/>
      <c r="IUJ93" s="594"/>
      <c r="IUK93" s="594"/>
      <c r="IUL93" s="594"/>
      <c r="IUM93" s="594"/>
      <c r="IUN93" s="594"/>
      <c r="IUO93" s="594"/>
      <c r="IUP93" s="594"/>
      <c r="IUQ93" s="594"/>
      <c r="IUR93" s="594"/>
      <c r="IUS93" s="594"/>
      <c r="IUT93" s="594"/>
      <c r="IUU93" s="594"/>
      <c r="IUV93" s="594"/>
      <c r="IUW93" s="594"/>
      <c r="IUX93" s="594"/>
      <c r="IUY93" s="594"/>
      <c r="IUZ93" s="594"/>
      <c r="IVA93" s="594"/>
      <c r="IVB93" s="594"/>
      <c r="IVC93" s="594"/>
      <c r="IVD93" s="594"/>
      <c r="IVE93" s="594"/>
      <c r="IVF93" s="594"/>
      <c r="IVG93" s="594"/>
      <c r="IVH93" s="594"/>
      <c r="IVI93" s="594"/>
      <c r="IVJ93" s="594"/>
      <c r="IVK93" s="594"/>
      <c r="IVL93" s="594"/>
      <c r="IVM93" s="594"/>
      <c r="IVN93" s="594"/>
      <c r="IVO93" s="594"/>
      <c r="IVP93" s="594"/>
      <c r="IVQ93" s="594"/>
      <c r="IVR93" s="594"/>
      <c r="IVS93" s="594"/>
      <c r="IVT93" s="594"/>
      <c r="IVU93" s="594"/>
      <c r="IVV93" s="594"/>
      <c r="IVW93" s="594"/>
      <c r="IVX93" s="594"/>
      <c r="IVY93" s="594"/>
      <c r="IVZ93" s="594"/>
      <c r="IWA93" s="594"/>
      <c r="IWB93" s="594"/>
      <c r="IWC93" s="594"/>
      <c r="IWD93" s="594"/>
      <c r="IWE93" s="594"/>
      <c r="IWF93" s="594"/>
      <c r="IWG93" s="594"/>
      <c r="IWH93" s="594"/>
      <c r="IWI93" s="594"/>
      <c r="IWJ93" s="594"/>
      <c r="IWK93" s="594"/>
      <c r="IWL93" s="594"/>
      <c r="IWM93" s="594"/>
      <c r="IWN93" s="594"/>
      <c r="IWO93" s="594"/>
      <c r="IWP93" s="594"/>
      <c r="IWQ93" s="594"/>
      <c r="IWR93" s="594"/>
      <c r="IWS93" s="594"/>
      <c r="IWT93" s="594"/>
      <c r="IWU93" s="594"/>
      <c r="IWV93" s="594"/>
      <c r="IWW93" s="594"/>
      <c r="IWX93" s="594"/>
      <c r="IWY93" s="594"/>
      <c r="IWZ93" s="594"/>
      <c r="IXA93" s="594"/>
      <c r="IXB93" s="594"/>
      <c r="IXC93" s="594"/>
      <c r="IXD93" s="594"/>
      <c r="IXE93" s="594"/>
      <c r="IXF93" s="594"/>
      <c r="IXG93" s="594"/>
      <c r="IXH93" s="594"/>
      <c r="IXI93" s="594"/>
      <c r="IXJ93" s="594"/>
      <c r="IXK93" s="594"/>
      <c r="IXL93" s="594"/>
      <c r="IXM93" s="594"/>
      <c r="IXN93" s="594"/>
      <c r="IXO93" s="594"/>
      <c r="IXP93" s="594"/>
      <c r="IXQ93" s="594"/>
      <c r="IXR93" s="594"/>
      <c r="IXS93" s="594"/>
      <c r="IXT93" s="594"/>
      <c r="IXU93" s="594"/>
      <c r="IXV93" s="594"/>
      <c r="IXW93" s="594"/>
      <c r="IXX93" s="594"/>
      <c r="IXY93" s="594"/>
      <c r="IXZ93" s="594"/>
      <c r="IYA93" s="594"/>
      <c r="IYB93" s="594"/>
      <c r="IYC93" s="594"/>
      <c r="IYD93" s="594"/>
      <c r="IYE93" s="594"/>
      <c r="IYF93" s="594"/>
      <c r="IYG93" s="594"/>
      <c r="IYH93" s="594"/>
      <c r="IYI93" s="594"/>
      <c r="IYJ93" s="594"/>
      <c r="IYK93" s="594"/>
      <c r="IYL93" s="594"/>
      <c r="IYM93" s="594"/>
      <c r="IYN93" s="594"/>
      <c r="IYO93" s="594"/>
      <c r="IYP93" s="594"/>
      <c r="IYQ93" s="594"/>
      <c r="IYR93" s="594"/>
      <c r="IYS93" s="594"/>
      <c r="IYT93" s="594"/>
      <c r="IYU93" s="594"/>
      <c r="IYV93" s="594"/>
      <c r="IYW93" s="594"/>
      <c r="IYX93" s="594"/>
      <c r="IYY93" s="594"/>
      <c r="IYZ93" s="594"/>
      <c r="IZA93" s="594"/>
      <c r="IZB93" s="594"/>
      <c r="IZC93" s="594"/>
      <c r="IZD93" s="594"/>
      <c r="IZE93" s="594"/>
      <c r="IZF93" s="594"/>
      <c r="IZG93" s="594"/>
      <c r="IZH93" s="594"/>
      <c r="IZI93" s="594"/>
      <c r="IZJ93" s="594"/>
      <c r="IZK93" s="594"/>
      <c r="IZL93" s="594"/>
      <c r="IZM93" s="594"/>
      <c r="IZN93" s="594"/>
      <c r="IZO93" s="594"/>
      <c r="IZP93" s="594"/>
      <c r="IZQ93" s="594"/>
      <c r="IZR93" s="594"/>
      <c r="IZS93" s="594"/>
      <c r="IZT93" s="594"/>
      <c r="IZU93" s="594"/>
      <c r="IZV93" s="594"/>
      <c r="IZW93" s="594"/>
      <c r="IZX93" s="594"/>
      <c r="IZY93" s="594"/>
      <c r="IZZ93" s="594"/>
      <c r="JAA93" s="594"/>
      <c r="JAB93" s="594"/>
      <c r="JAC93" s="594"/>
      <c r="JAD93" s="594"/>
      <c r="JAE93" s="594"/>
      <c r="JAF93" s="594"/>
      <c r="JAG93" s="594"/>
      <c r="JAH93" s="594"/>
      <c r="JAI93" s="594"/>
      <c r="JAJ93" s="594"/>
      <c r="JAK93" s="594"/>
      <c r="JAL93" s="594"/>
      <c r="JAM93" s="594"/>
      <c r="JAN93" s="594"/>
      <c r="JAO93" s="594"/>
      <c r="JAP93" s="594"/>
      <c r="JAQ93" s="594"/>
      <c r="JAR93" s="594"/>
      <c r="JAS93" s="594"/>
      <c r="JAT93" s="594"/>
      <c r="JAU93" s="594"/>
      <c r="JAV93" s="594"/>
      <c r="JAW93" s="594"/>
      <c r="JAX93" s="594"/>
      <c r="JAY93" s="594"/>
      <c r="JAZ93" s="594"/>
      <c r="JBA93" s="594"/>
      <c r="JBB93" s="594"/>
      <c r="JBC93" s="594"/>
      <c r="JBD93" s="594"/>
      <c r="JBE93" s="594"/>
      <c r="JBF93" s="594"/>
      <c r="JBG93" s="594"/>
      <c r="JBH93" s="594"/>
      <c r="JBI93" s="594"/>
      <c r="JBJ93" s="594"/>
      <c r="JBK93" s="594"/>
      <c r="JBL93" s="594"/>
      <c r="JBM93" s="594"/>
      <c r="JBN93" s="594"/>
      <c r="JBO93" s="594"/>
      <c r="JBP93" s="594"/>
      <c r="JBQ93" s="594"/>
      <c r="JBR93" s="594"/>
      <c r="JBS93" s="594"/>
      <c r="JBT93" s="594"/>
      <c r="JBU93" s="594"/>
      <c r="JBV93" s="594"/>
      <c r="JBW93" s="594"/>
      <c r="JBX93" s="594"/>
      <c r="JBY93" s="594"/>
      <c r="JBZ93" s="594"/>
      <c r="JCA93" s="594"/>
      <c r="JCB93" s="594"/>
      <c r="JCC93" s="594"/>
      <c r="JCD93" s="594"/>
      <c r="JCE93" s="594"/>
      <c r="JCF93" s="594"/>
      <c r="JCG93" s="594"/>
      <c r="JCH93" s="594"/>
      <c r="JCI93" s="594"/>
      <c r="JCJ93" s="594"/>
      <c r="JCK93" s="594"/>
      <c r="JCL93" s="594"/>
      <c r="JCM93" s="594"/>
      <c r="JCN93" s="594"/>
      <c r="JCO93" s="594"/>
      <c r="JCP93" s="594"/>
      <c r="JCQ93" s="594"/>
      <c r="JCR93" s="594"/>
      <c r="JCS93" s="594"/>
      <c r="JCT93" s="594"/>
      <c r="JCU93" s="594"/>
      <c r="JCV93" s="594"/>
      <c r="JCW93" s="594"/>
      <c r="JCX93" s="594"/>
      <c r="JCY93" s="594"/>
      <c r="JCZ93" s="594"/>
      <c r="JDA93" s="594"/>
      <c r="JDB93" s="594"/>
      <c r="JDC93" s="594"/>
      <c r="JDD93" s="594"/>
      <c r="JDE93" s="594"/>
      <c r="JDF93" s="594"/>
      <c r="JDG93" s="594"/>
      <c r="JDH93" s="594"/>
      <c r="JDI93" s="594"/>
      <c r="JDJ93" s="594"/>
      <c r="JDK93" s="594"/>
      <c r="JDL93" s="594"/>
      <c r="JDM93" s="594"/>
      <c r="JDN93" s="594"/>
      <c r="JDO93" s="594"/>
      <c r="JDP93" s="594"/>
      <c r="JDQ93" s="594"/>
      <c r="JDR93" s="594"/>
      <c r="JDS93" s="594"/>
      <c r="JDT93" s="594"/>
      <c r="JDU93" s="594"/>
      <c r="JDV93" s="594"/>
      <c r="JDW93" s="594"/>
      <c r="JDX93" s="594"/>
      <c r="JDY93" s="594"/>
      <c r="JDZ93" s="594"/>
      <c r="JEA93" s="594"/>
      <c r="JEB93" s="594"/>
      <c r="JEC93" s="594"/>
      <c r="JED93" s="594"/>
      <c r="JEE93" s="594"/>
      <c r="JEF93" s="594"/>
      <c r="JEG93" s="594"/>
      <c r="JEH93" s="594"/>
      <c r="JEI93" s="594"/>
      <c r="JEJ93" s="594"/>
      <c r="JEK93" s="594"/>
      <c r="JEL93" s="594"/>
      <c r="JEM93" s="594"/>
      <c r="JEN93" s="594"/>
      <c r="JEO93" s="594"/>
      <c r="JEP93" s="594"/>
      <c r="JEQ93" s="594"/>
      <c r="JER93" s="594"/>
      <c r="JES93" s="594"/>
      <c r="JET93" s="594"/>
      <c r="JEU93" s="594"/>
      <c r="JEV93" s="594"/>
      <c r="JEW93" s="594"/>
      <c r="JEX93" s="594"/>
      <c r="JEY93" s="594"/>
      <c r="JEZ93" s="594"/>
      <c r="JFA93" s="594"/>
      <c r="JFB93" s="594"/>
      <c r="JFC93" s="594"/>
      <c r="JFD93" s="594"/>
      <c r="JFE93" s="594"/>
      <c r="JFF93" s="594"/>
      <c r="JFG93" s="594"/>
      <c r="JFH93" s="594"/>
      <c r="JFI93" s="594"/>
      <c r="JFJ93" s="594"/>
      <c r="JFK93" s="594"/>
      <c r="JFL93" s="594"/>
      <c r="JFM93" s="594"/>
      <c r="JFN93" s="594"/>
      <c r="JFO93" s="594"/>
      <c r="JFP93" s="594"/>
      <c r="JFQ93" s="594"/>
      <c r="JFR93" s="594"/>
      <c r="JFS93" s="594"/>
      <c r="JFT93" s="594"/>
      <c r="JFU93" s="594"/>
      <c r="JFV93" s="594"/>
      <c r="JFW93" s="594"/>
      <c r="JFX93" s="594"/>
      <c r="JFY93" s="594"/>
      <c r="JFZ93" s="594"/>
      <c r="JGA93" s="594"/>
      <c r="JGB93" s="594"/>
      <c r="JGC93" s="594"/>
      <c r="JGD93" s="594"/>
      <c r="JGE93" s="594"/>
      <c r="JGF93" s="594"/>
      <c r="JGG93" s="594"/>
      <c r="JGH93" s="594"/>
      <c r="JGI93" s="594"/>
      <c r="JGJ93" s="594"/>
      <c r="JGK93" s="594"/>
      <c r="JGL93" s="594"/>
      <c r="JGM93" s="594"/>
      <c r="JGN93" s="594"/>
      <c r="JGO93" s="594"/>
      <c r="JGP93" s="594"/>
      <c r="JGQ93" s="594"/>
      <c r="JGR93" s="594"/>
      <c r="JGS93" s="594"/>
      <c r="JGT93" s="594"/>
      <c r="JGU93" s="594"/>
      <c r="JGV93" s="594"/>
      <c r="JGW93" s="594"/>
      <c r="JGX93" s="594"/>
      <c r="JGY93" s="594"/>
      <c r="JGZ93" s="594"/>
      <c r="JHA93" s="594"/>
      <c r="JHB93" s="594"/>
      <c r="JHC93" s="594"/>
      <c r="JHD93" s="594"/>
      <c r="JHE93" s="594"/>
      <c r="JHF93" s="594"/>
      <c r="JHG93" s="594"/>
      <c r="JHH93" s="594"/>
      <c r="JHI93" s="594"/>
      <c r="JHJ93" s="594"/>
      <c r="JHK93" s="594"/>
      <c r="JHL93" s="594"/>
      <c r="JHM93" s="594"/>
      <c r="JHN93" s="594"/>
      <c r="JHO93" s="594"/>
      <c r="JHP93" s="594"/>
      <c r="JHQ93" s="594"/>
      <c r="JHR93" s="594"/>
      <c r="JHS93" s="594"/>
      <c r="JHT93" s="594"/>
      <c r="JHU93" s="594"/>
      <c r="JHV93" s="594"/>
      <c r="JHW93" s="594"/>
      <c r="JHX93" s="594"/>
      <c r="JHY93" s="594"/>
      <c r="JHZ93" s="594"/>
      <c r="JIA93" s="594"/>
      <c r="JIB93" s="594"/>
      <c r="JIC93" s="594"/>
      <c r="JID93" s="594"/>
      <c r="JIE93" s="594"/>
      <c r="JIF93" s="594"/>
      <c r="JIG93" s="594"/>
      <c r="JIH93" s="594"/>
      <c r="JII93" s="594"/>
      <c r="JIJ93" s="594"/>
      <c r="JIK93" s="594"/>
      <c r="JIL93" s="594"/>
      <c r="JIM93" s="594"/>
      <c r="JIN93" s="594"/>
      <c r="JIO93" s="594"/>
      <c r="JIP93" s="594"/>
      <c r="JIQ93" s="594"/>
      <c r="JIR93" s="594"/>
      <c r="JIS93" s="594"/>
      <c r="JIT93" s="594"/>
      <c r="JIU93" s="594"/>
      <c r="JIV93" s="594"/>
      <c r="JIW93" s="594"/>
      <c r="JIX93" s="594"/>
      <c r="JIY93" s="594"/>
      <c r="JIZ93" s="594"/>
      <c r="JJA93" s="594"/>
      <c r="JJB93" s="594"/>
      <c r="JJC93" s="594"/>
      <c r="JJD93" s="594"/>
      <c r="JJE93" s="594"/>
      <c r="JJF93" s="594"/>
      <c r="JJG93" s="594"/>
      <c r="JJH93" s="594"/>
      <c r="JJI93" s="594"/>
      <c r="JJJ93" s="594"/>
      <c r="JJK93" s="594"/>
      <c r="JJL93" s="594"/>
      <c r="JJM93" s="594"/>
      <c r="JJN93" s="594"/>
      <c r="JJO93" s="594"/>
      <c r="JJP93" s="594"/>
      <c r="JJQ93" s="594"/>
      <c r="JJR93" s="594"/>
      <c r="JJS93" s="594"/>
      <c r="JJT93" s="594"/>
      <c r="JJU93" s="594"/>
      <c r="JJV93" s="594"/>
      <c r="JJW93" s="594"/>
      <c r="JJX93" s="594"/>
      <c r="JJY93" s="594"/>
      <c r="JJZ93" s="594"/>
      <c r="JKA93" s="594"/>
      <c r="JKB93" s="594"/>
      <c r="JKC93" s="594"/>
      <c r="JKD93" s="594"/>
      <c r="JKE93" s="594"/>
      <c r="JKF93" s="594"/>
      <c r="JKG93" s="594"/>
      <c r="JKH93" s="594"/>
      <c r="JKI93" s="594"/>
      <c r="JKJ93" s="594"/>
      <c r="JKK93" s="594"/>
      <c r="JKL93" s="594"/>
      <c r="JKM93" s="594"/>
      <c r="JKN93" s="594"/>
      <c r="JKO93" s="594"/>
      <c r="JKP93" s="594"/>
      <c r="JKQ93" s="594"/>
      <c r="JKR93" s="594"/>
      <c r="JKS93" s="594"/>
      <c r="JKT93" s="594"/>
      <c r="JKU93" s="594"/>
      <c r="JKV93" s="594"/>
      <c r="JKW93" s="594"/>
      <c r="JKX93" s="594"/>
      <c r="JKY93" s="594"/>
      <c r="JKZ93" s="594"/>
      <c r="JLA93" s="594"/>
      <c r="JLB93" s="594"/>
      <c r="JLC93" s="594"/>
      <c r="JLD93" s="594"/>
      <c r="JLE93" s="594"/>
      <c r="JLF93" s="594"/>
      <c r="JLG93" s="594"/>
      <c r="JLH93" s="594"/>
      <c r="JLI93" s="594"/>
      <c r="JLJ93" s="594"/>
      <c r="JLK93" s="594"/>
      <c r="JLL93" s="594"/>
      <c r="JLM93" s="594"/>
      <c r="JLN93" s="594"/>
      <c r="JLO93" s="594"/>
      <c r="JLP93" s="594"/>
      <c r="JLQ93" s="594"/>
      <c r="JLR93" s="594"/>
      <c r="JLS93" s="594"/>
      <c r="JLT93" s="594"/>
      <c r="JLU93" s="594"/>
      <c r="JLV93" s="594"/>
      <c r="JLW93" s="594"/>
      <c r="JLX93" s="594"/>
      <c r="JLY93" s="594"/>
      <c r="JLZ93" s="594"/>
      <c r="JMA93" s="594"/>
      <c r="JMB93" s="594"/>
      <c r="JMC93" s="594"/>
      <c r="JMD93" s="594"/>
      <c r="JME93" s="594"/>
      <c r="JMF93" s="594"/>
      <c r="JMG93" s="594"/>
      <c r="JMH93" s="594"/>
      <c r="JMI93" s="594"/>
      <c r="JMJ93" s="594"/>
      <c r="JMK93" s="594"/>
      <c r="JML93" s="594"/>
      <c r="JMM93" s="594"/>
      <c r="JMN93" s="594"/>
      <c r="JMO93" s="594"/>
      <c r="JMP93" s="594"/>
      <c r="JMQ93" s="594"/>
      <c r="JMR93" s="594"/>
      <c r="JMS93" s="594"/>
      <c r="JMT93" s="594"/>
      <c r="JMU93" s="594"/>
      <c r="JMV93" s="594"/>
      <c r="JMW93" s="594"/>
      <c r="JMX93" s="594"/>
      <c r="JMY93" s="594"/>
      <c r="JMZ93" s="594"/>
      <c r="JNA93" s="594"/>
      <c r="JNB93" s="594"/>
      <c r="JNC93" s="594"/>
      <c r="JND93" s="594"/>
      <c r="JNE93" s="594"/>
      <c r="JNF93" s="594"/>
      <c r="JNG93" s="594"/>
      <c r="JNH93" s="594"/>
      <c r="JNI93" s="594"/>
      <c r="JNJ93" s="594"/>
      <c r="JNK93" s="594"/>
      <c r="JNL93" s="594"/>
      <c r="JNM93" s="594"/>
      <c r="JNN93" s="594"/>
      <c r="JNO93" s="594"/>
      <c r="JNP93" s="594"/>
      <c r="JNQ93" s="594"/>
      <c r="JNR93" s="594"/>
      <c r="JNS93" s="594"/>
      <c r="JNT93" s="594"/>
      <c r="JNU93" s="594"/>
      <c r="JNV93" s="594"/>
      <c r="JNW93" s="594"/>
      <c r="JNX93" s="594"/>
      <c r="JNY93" s="594"/>
      <c r="JNZ93" s="594"/>
      <c r="JOA93" s="594"/>
      <c r="JOB93" s="594"/>
      <c r="JOC93" s="594"/>
      <c r="JOD93" s="594"/>
      <c r="JOE93" s="594"/>
      <c r="JOF93" s="594"/>
      <c r="JOG93" s="594"/>
      <c r="JOH93" s="594"/>
      <c r="JOI93" s="594"/>
      <c r="JOJ93" s="594"/>
      <c r="JOK93" s="594"/>
      <c r="JOL93" s="594"/>
      <c r="JOM93" s="594"/>
      <c r="JON93" s="594"/>
      <c r="JOO93" s="594"/>
      <c r="JOP93" s="594"/>
      <c r="JOQ93" s="594"/>
      <c r="JOR93" s="594"/>
      <c r="JOS93" s="594"/>
      <c r="JOT93" s="594"/>
      <c r="JOU93" s="594"/>
      <c r="JOV93" s="594"/>
      <c r="JOW93" s="594"/>
      <c r="JOX93" s="594"/>
      <c r="JOY93" s="594"/>
      <c r="JOZ93" s="594"/>
      <c r="JPA93" s="594"/>
      <c r="JPB93" s="594"/>
      <c r="JPC93" s="594"/>
      <c r="JPD93" s="594"/>
      <c r="JPE93" s="594"/>
      <c r="JPF93" s="594"/>
      <c r="JPG93" s="594"/>
      <c r="JPH93" s="594"/>
      <c r="JPI93" s="594"/>
      <c r="JPJ93" s="594"/>
      <c r="JPK93" s="594"/>
      <c r="JPL93" s="594"/>
      <c r="JPM93" s="594"/>
      <c r="JPN93" s="594"/>
      <c r="JPO93" s="594"/>
      <c r="JPP93" s="594"/>
      <c r="JPQ93" s="594"/>
      <c r="JPR93" s="594"/>
      <c r="JPS93" s="594"/>
      <c r="JPT93" s="594"/>
      <c r="JPU93" s="594"/>
      <c r="JPV93" s="594"/>
      <c r="JPW93" s="594"/>
      <c r="JPX93" s="594"/>
      <c r="JPY93" s="594"/>
      <c r="JPZ93" s="594"/>
      <c r="JQA93" s="594"/>
      <c r="JQB93" s="594"/>
      <c r="JQC93" s="594"/>
      <c r="JQD93" s="594"/>
      <c r="JQE93" s="594"/>
      <c r="JQF93" s="594"/>
      <c r="JQG93" s="594"/>
      <c r="JQH93" s="594"/>
      <c r="JQI93" s="594"/>
      <c r="JQJ93" s="594"/>
      <c r="JQK93" s="594"/>
      <c r="JQL93" s="594"/>
      <c r="JQM93" s="594"/>
      <c r="JQN93" s="594"/>
      <c r="JQO93" s="594"/>
      <c r="JQP93" s="594"/>
      <c r="JQQ93" s="594"/>
      <c r="JQR93" s="594"/>
      <c r="JQS93" s="594"/>
      <c r="JQT93" s="594"/>
      <c r="JQU93" s="594"/>
      <c r="JQV93" s="594"/>
      <c r="JQW93" s="594"/>
      <c r="JQX93" s="594"/>
      <c r="JQY93" s="594"/>
      <c r="JQZ93" s="594"/>
      <c r="JRA93" s="594"/>
      <c r="JRB93" s="594"/>
      <c r="JRC93" s="594"/>
      <c r="JRD93" s="594"/>
      <c r="JRE93" s="594"/>
      <c r="JRF93" s="594"/>
      <c r="JRG93" s="594"/>
      <c r="JRH93" s="594"/>
      <c r="JRI93" s="594"/>
      <c r="JRJ93" s="594"/>
      <c r="JRK93" s="594"/>
      <c r="JRL93" s="594"/>
      <c r="JRM93" s="594"/>
      <c r="JRN93" s="594"/>
      <c r="JRO93" s="594"/>
      <c r="JRP93" s="594"/>
      <c r="JRQ93" s="594"/>
      <c r="JRR93" s="594"/>
      <c r="JRS93" s="594"/>
      <c r="JRT93" s="594"/>
      <c r="JRU93" s="594"/>
      <c r="JRV93" s="594"/>
      <c r="JRW93" s="594"/>
      <c r="JRX93" s="594"/>
      <c r="JRY93" s="594"/>
      <c r="JRZ93" s="594"/>
      <c r="JSA93" s="594"/>
      <c r="JSB93" s="594"/>
      <c r="JSC93" s="594"/>
      <c r="JSD93" s="594"/>
      <c r="JSE93" s="594"/>
      <c r="JSF93" s="594"/>
      <c r="JSG93" s="594"/>
      <c r="JSH93" s="594"/>
      <c r="JSI93" s="594"/>
      <c r="JSJ93" s="594"/>
      <c r="JSK93" s="594"/>
      <c r="JSL93" s="594"/>
      <c r="JSM93" s="594"/>
      <c r="JSN93" s="594"/>
      <c r="JSO93" s="594"/>
      <c r="JSP93" s="594"/>
      <c r="JSQ93" s="594"/>
      <c r="JSR93" s="594"/>
      <c r="JSS93" s="594"/>
      <c r="JST93" s="594"/>
      <c r="JSU93" s="594"/>
      <c r="JSV93" s="594"/>
      <c r="JSW93" s="594"/>
      <c r="JSX93" s="594"/>
      <c r="JSY93" s="594"/>
      <c r="JSZ93" s="594"/>
      <c r="JTA93" s="594"/>
      <c r="JTB93" s="594"/>
      <c r="JTC93" s="594"/>
      <c r="JTD93" s="594"/>
      <c r="JTE93" s="594"/>
      <c r="JTF93" s="594"/>
      <c r="JTG93" s="594"/>
      <c r="JTH93" s="594"/>
      <c r="JTI93" s="594"/>
      <c r="JTJ93" s="594"/>
      <c r="JTK93" s="594"/>
      <c r="JTL93" s="594"/>
      <c r="JTM93" s="594"/>
      <c r="JTN93" s="594"/>
      <c r="JTO93" s="594"/>
      <c r="JTP93" s="594"/>
      <c r="JTQ93" s="594"/>
      <c r="JTR93" s="594"/>
      <c r="JTS93" s="594"/>
      <c r="JTT93" s="594"/>
      <c r="JTU93" s="594"/>
      <c r="JTV93" s="594"/>
      <c r="JTW93" s="594"/>
      <c r="JTX93" s="594"/>
      <c r="JTY93" s="594"/>
      <c r="JTZ93" s="594"/>
      <c r="JUA93" s="594"/>
      <c r="JUB93" s="594"/>
      <c r="JUC93" s="594"/>
      <c r="JUD93" s="594"/>
      <c r="JUE93" s="594"/>
      <c r="JUF93" s="594"/>
      <c r="JUG93" s="594"/>
      <c r="JUH93" s="594"/>
      <c r="JUI93" s="594"/>
      <c r="JUJ93" s="594"/>
      <c r="JUK93" s="594"/>
      <c r="JUL93" s="594"/>
      <c r="JUM93" s="594"/>
      <c r="JUN93" s="594"/>
      <c r="JUO93" s="594"/>
      <c r="JUP93" s="594"/>
      <c r="JUQ93" s="594"/>
      <c r="JUR93" s="594"/>
      <c r="JUS93" s="594"/>
      <c r="JUT93" s="594"/>
      <c r="JUU93" s="594"/>
      <c r="JUV93" s="594"/>
      <c r="JUW93" s="594"/>
      <c r="JUX93" s="594"/>
      <c r="JUY93" s="594"/>
      <c r="JUZ93" s="594"/>
      <c r="JVA93" s="594"/>
      <c r="JVB93" s="594"/>
      <c r="JVC93" s="594"/>
      <c r="JVD93" s="594"/>
      <c r="JVE93" s="594"/>
      <c r="JVF93" s="594"/>
      <c r="JVG93" s="594"/>
      <c r="JVH93" s="594"/>
      <c r="JVI93" s="594"/>
      <c r="JVJ93" s="594"/>
      <c r="JVK93" s="594"/>
      <c r="JVL93" s="594"/>
      <c r="JVM93" s="594"/>
      <c r="JVN93" s="594"/>
      <c r="JVO93" s="594"/>
      <c r="JVP93" s="594"/>
      <c r="JVQ93" s="594"/>
      <c r="JVR93" s="594"/>
      <c r="JVS93" s="594"/>
      <c r="JVT93" s="594"/>
      <c r="JVU93" s="594"/>
      <c r="JVV93" s="594"/>
      <c r="JVW93" s="594"/>
      <c r="JVX93" s="594"/>
      <c r="JVY93" s="594"/>
      <c r="JVZ93" s="594"/>
      <c r="JWA93" s="594"/>
      <c r="JWB93" s="594"/>
      <c r="JWC93" s="594"/>
      <c r="JWD93" s="594"/>
      <c r="JWE93" s="594"/>
      <c r="JWF93" s="594"/>
      <c r="JWG93" s="594"/>
      <c r="JWH93" s="594"/>
      <c r="JWI93" s="594"/>
      <c r="JWJ93" s="594"/>
      <c r="JWK93" s="594"/>
      <c r="JWL93" s="594"/>
      <c r="JWM93" s="594"/>
      <c r="JWN93" s="594"/>
      <c r="JWO93" s="594"/>
      <c r="JWP93" s="594"/>
      <c r="JWQ93" s="594"/>
      <c r="JWR93" s="594"/>
      <c r="JWS93" s="594"/>
      <c r="JWT93" s="594"/>
      <c r="JWU93" s="594"/>
      <c r="JWV93" s="594"/>
      <c r="JWW93" s="594"/>
      <c r="JWX93" s="594"/>
      <c r="JWY93" s="594"/>
      <c r="JWZ93" s="594"/>
      <c r="JXA93" s="594"/>
      <c r="JXB93" s="594"/>
      <c r="JXC93" s="594"/>
      <c r="JXD93" s="594"/>
      <c r="JXE93" s="594"/>
      <c r="JXF93" s="594"/>
      <c r="JXG93" s="594"/>
      <c r="JXH93" s="594"/>
      <c r="JXI93" s="594"/>
      <c r="JXJ93" s="594"/>
      <c r="JXK93" s="594"/>
      <c r="JXL93" s="594"/>
      <c r="JXM93" s="594"/>
      <c r="JXN93" s="594"/>
      <c r="JXO93" s="594"/>
      <c r="JXP93" s="594"/>
      <c r="JXQ93" s="594"/>
      <c r="JXR93" s="594"/>
      <c r="JXS93" s="594"/>
      <c r="JXT93" s="594"/>
      <c r="JXU93" s="594"/>
      <c r="JXV93" s="594"/>
      <c r="JXW93" s="594"/>
      <c r="JXX93" s="594"/>
      <c r="JXY93" s="594"/>
      <c r="JXZ93" s="594"/>
      <c r="JYA93" s="594"/>
      <c r="JYB93" s="594"/>
      <c r="JYC93" s="594"/>
      <c r="JYD93" s="594"/>
      <c r="JYE93" s="594"/>
      <c r="JYF93" s="594"/>
      <c r="JYG93" s="594"/>
      <c r="JYH93" s="594"/>
      <c r="JYI93" s="594"/>
      <c r="JYJ93" s="594"/>
      <c r="JYK93" s="594"/>
      <c r="JYL93" s="594"/>
      <c r="JYM93" s="594"/>
      <c r="JYN93" s="594"/>
      <c r="JYO93" s="594"/>
      <c r="JYP93" s="594"/>
      <c r="JYQ93" s="594"/>
      <c r="JYR93" s="594"/>
      <c r="JYS93" s="594"/>
      <c r="JYT93" s="594"/>
      <c r="JYU93" s="594"/>
      <c r="JYV93" s="594"/>
      <c r="JYW93" s="594"/>
      <c r="JYX93" s="594"/>
      <c r="JYY93" s="594"/>
      <c r="JYZ93" s="594"/>
      <c r="JZA93" s="594"/>
      <c r="JZB93" s="594"/>
      <c r="JZC93" s="594"/>
      <c r="JZD93" s="594"/>
      <c r="JZE93" s="594"/>
      <c r="JZF93" s="594"/>
      <c r="JZG93" s="594"/>
      <c r="JZH93" s="594"/>
      <c r="JZI93" s="594"/>
      <c r="JZJ93" s="594"/>
      <c r="JZK93" s="594"/>
      <c r="JZL93" s="594"/>
      <c r="JZM93" s="594"/>
      <c r="JZN93" s="594"/>
      <c r="JZO93" s="594"/>
      <c r="JZP93" s="594"/>
      <c r="JZQ93" s="594"/>
      <c r="JZR93" s="594"/>
      <c r="JZS93" s="594"/>
      <c r="JZT93" s="594"/>
      <c r="JZU93" s="594"/>
      <c r="JZV93" s="594"/>
      <c r="JZW93" s="594"/>
      <c r="JZX93" s="594"/>
      <c r="JZY93" s="594"/>
      <c r="JZZ93" s="594"/>
      <c r="KAA93" s="594"/>
      <c r="KAB93" s="594"/>
      <c r="KAC93" s="594"/>
      <c r="KAD93" s="594"/>
      <c r="KAE93" s="594"/>
      <c r="KAF93" s="594"/>
      <c r="KAG93" s="594"/>
      <c r="KAH93" s="594"/>
      <c r="KAI93" s="594"/>
      <c r="KAJ93" s="594"/>
      <c r="KAK93" s="594"/>
      <c r="KAL93" s="594"/>
      <c r="KAM93" s="594"/>
      <c r="KAN93" s="594"/>
      <c r="KAO93" s="594"/>
      <c r="KAP93" s="594"/>
      <c r="KAQ93" s="594"/>
      <c r="KAR93" s="594"/>
      <c r="KAS93" s="594"/>
      <c r="KAT93" s="594"/>
      <c r="KAU93" s="594"/>
      <c r="KAV93" s="594"/>
      <c r="KAW93" s="594"/>
      <c r="KAX93" s="594"/>
      <c r="KAY93" s="594"/>
      <c r="KAZ93" s="594"/>
      <c r="KBA93" s="594"/>
      <c r="KBB93" s="594"/>
      <c r="KBC93" s="594"/>
      <c r="KBD93" s="594"/>
      <c r="KBE93" s="594"/>
      <c r="KBF93" s="594"/>
      <c r="KBG93" s="594"/>
      <c r="KBH93" s="594"/>
      <c r="KBI93" s="594"/>
      <c r="KBJ93" s="594"/>
      <c r="KBK93" s="594"/>
      <c r="KBL93" s="594"/>
      <c r="KBM93" s="594"/>
      <c r="KBN93" s="594"/>
      <c r="KBO93" s="594"/>
      <c r="KBP93" s="594"/>
      <c r="KBQ93" s="594"/>
      <c r="KBR93" s="594"/>
      <c r="KBS93" s="594"/>
      <c r="KBT93" s="594"/>
      <c r="KBU93" s="594"/>
      <c r="KBV93" s="594"/>
      <c r="KBW93" s="594"/>
      <c r="KBX93" s="594"/>
      <c r="KBY93" s="594"/>
      <c r="KBZ93" s="594"/>
      <c r="KCA93" s="594"/>
      <c r="KCB93" s="594"/>
      <c r="KCC93" s="594"/>
      <c r="KCD93" s="594"/>
      <c r="KCE93" s="594"/>
      <c r="KCF93" s="594"/>
      <c r="KCG93" s="594"/>
      <c r="KCH93" s="594"/>
      <c r="KCI93" s="594"/>
      <c r="KCJ93" s="594"/>
      <c r="KCK93" s="594"/>
      <c r="KCL93" s="594"/>
      <c r="KCM93" s="594"/>
      <c r="KCN93" s="594"/>
      <c r="KCO93" s="594"/>
      <c r="KCP93" s="594"/>
      <c r="KCQ93" s="594"/>
      <c r="KCR93" s="594"/>
      <c r="KCS93" s="594"/>
      <c r="KCT93" s="594"/>
      <c r="KCU93" s="594"/>
      <c r="KCV93" s="594"/>
      <c r="KCW93" s="594"/>
      <c r="KCX93" s="594"/>
      <c r="KCY93" s="594"/>
      <c r="KCZ93" s="594"/>
      <c r="KDA93" s="594"/>
      <c r="KDB93" s="594"/>
      <c r="KDC93" s="594"/>
      <c r="KDD93" s="594"/>
      <c r="KDE93" s="594"/>
      <c r="KDF93" s="594"/>
      <c r="KDG93" s="594"/>
      <c r="KDH93" s="594"/>
      <c r="KDI93" s="594"/>
      <c r="KDJ93" s="594"/>
      <c r="KDK93" s="594"/>
      <c r="KDL93" s="594"/>
      <c r="KDM93" s="594"/>
      <c r="KDN93" s="594"/>
      <c r="KDO93" s="594"/>
      <c r="KDP93" s="594"/>
      <c r="KDQ93" s="594"/>
      <c r="KDR93" s="594"/>
      <c r="KDS93" s="594"/>
      <c r="KDT93" s="594"/>
      <c r="KDU93" s="594"/>
      <c r="KDV93" s="594"/>
      <c r="KDW93" s="594"/>
      <c r="KDX93" s="594"/>
      <c r="KDY93" s="594"/>
      <c r="KDZ93" s="594"/>
      <c r="KEA93" s="594"/>
      <c r="KEB93" s="594"/>
      <c r="KEC93" s="594"/>
      <c r="KED93" s="594"/>
      <c r="KEE93" s="594"/>
      <c r="KEF93" s="594"/>
      <c r="KEG93" s="594"/>
      <c r="KEH93" s="594"/>
      <c r="KEI93" s="594"/>
      <c r="KEJ93" s="594"/>
      <c r="KEK93" s="594"/>
      <c r="KEL93" s="594"/>
      <c r="KEM93" s="594"/>
      <c r="KEN93" s="594"/>
      <c r="KEO93" s="594"/>
      <c r="KEP93" s="594"/>
      <c r="KEQ93" s="594"/>
      <c r="KER93" s="594"/>
      <c r="KES93" s="594"/>
      <c r="KET93" s="594"/>
      <c r="KEU93" s="594"/>
      <c r="KEV93" s="594"/>
      <c r="KEW93" s="594"/>
      <c r="KEX93" s="594"/>
      <c r="KEY93" s="594"/>
      <c r="KEZ93" s="594"/>
      <c r="KFA93" s="594"/>
      <c r="KFB93" s="594"/>
      <c r="KFC93" s="594"/>
      <c r="KFD93" s="594"/>
      <c r="KFE93" s="594"/>
      <c r="KFF93" s="594"/>
      <c r="KFG93" s="594"/>
      <c r="KFH93" s="594"/>
      <c r="KFI93" s="594"/>
      <c r="KFJ93" s="594"/>
      <c r="KFK93" s="594"/>
      <c r="KFL93" s="594"/>
      <c r="KFM93" s="594"/>
      <c r="KFN93" s="594"/>
      <c r="KFO93" s="594"/>
      <c r="KFP93" s="594"/>
      <c r="KFQ93" s="594"/>
      <c r="KFR93" s="594"/>
      <c r="KFS93" s="594"/>
      <c r="KFT93" s="594"/>
      <c r="KFU93" s="594"/>
      <c r="KFV93" s="594"/>
      <c r="KFW93" s="594"/>
      <c r="KFX93" s="594"/>
      <c r="KFY93" s="594"/>
      <c r="KFZ93" s="594"/>
      <c r="KGA93" s="594"/>
      <c r="KGB93" s="594"/>
      <c r="KGC93" s="594"/>
      <c r="KGD93" s="594"/>
      <c r="KGE93" s="594"/>
      <c r="KGF93" s="594"/>
      <c r="KGG93" s="594"/>
      <c r="KGH93" s="594"/>
      <c r="KGI93" s="594"/>
      <c r="KGJ93" s="594"/>
      <c r="KGK93" s="594"/>
      <c r="KGL93" s="594"/>
      <c r="KGM93" s="594"/>
      <c r="KGN93" s="594"/>
      <c r="KGO93" s="594"/>
      <c r="KGP93" s="594"/>
      <c r="KGQ93" s="594"/>
      <c r="KGR93" s="594"/>
      <c r="KGS93" s="594"/>
      <c r="KGT93" s="594"/>
      <c r="KGU93" s="594"/>
      <c r="KGV93" s="594"/>
      <c r="KGW93" s="594"/>
      <c r="KGX93" s="594"/>
      <c r="KGY93" s="594"/>
      <c r="KGZ93" s="594"/>
      <c r="KHA93" s="594"/>
      <c r="KHB93" s="594"/>
      <c r="KHC93" s="594"/>
      <c r="KHD93" s="594"/>
      <c r="KHE93" s="594"/>
      <c r="KHF93" s="594"/>
      <c r="KHG93" s="594"/>
      <c r="KHH93" s="594"/>
      <c r="KHI93" s="594"/>
      <c r="KHJ93" s="594"/>
      <c r="KHK93" s="594"/>
      <c r="KHL93" s="594"/>
      <c r="KHM93" s="594"/>
      <c r="KHN93" s="594"/>
      <c r="KHO93" s="594"/>
      <c r="KHP93" s="594"/>
      <c r="KHQ93" s="594"/>
      <c r="KHR93" s="594"/>
      <c r="KHS93" s="594"/>
      <c r="KHT93" s="594"/>
      <c r="KHU93" s="594"/>
      <c r="KHV93" s="594"/>
      <c r="KHW93" s="594"/>
      <c r="KHX93" s="594"/>
      <c r="KHY93" s="594"/>
      <c r="KHZ93" s="594"/>
      <c r="KIA93" s="594"/>
      <c r="KIB93" s="594"/>
      <c r="KIC93" s="594"/>
      <c r="KID93" s="594"/>
      <c r="KIE93" s="594"/>
      <c r="KIF93" s="594"/>
      <c r="KIG93" s="594"/>
      <c r="KIH93" s="594"/>
      <c r="KII93" s="594"/>
      <c r="KIJ93" s="594"/>
      <c r="KIK93" s="594"/>
      <c r="KIL93" s="594"/>
      <c r="KIM93" s="594"/>
      <c r="KIN93" s="594"/>
      <c r="KIO93" s="594"/>
      <c r="KIP93" s="594"/>
      <c r="KIQ93" s="594"/>
      <c r="KIR93" s="594"/>
      <c r="KIS93" s="594"/>
      <c r="KIT93" s="594"/>
      <c r="KIU93" s="594"/>
      <c r="KIV93" s="594"/>
      <c r="KIW93" s="594"/>
      <c r="KIX93" s="594"/>
      <c r="KIY93" s="594"/>
      <c r="KIZ93" s="594"/>
      <c r="KJA93" s="594"/>
      <c r="KJB93" s="594"/>
      <c r="KJC93" s="594"/>
      <c r="KJD93" s="594"/>
      <c r="KJE93" s="594"/>
      <c r="KJF93" s="594"/>
      <c r="KJG93" s="594"/>
      <c r="KJH93" s="594"/>
      <c r="KJI93" s="594"/>
      <c r="KJJ93" s="594"/>
      <c r="KJK93" s="594"/>
      <c r="KJL93" s="594"/>
      <c r="KJM93" s="594"/>
      <c r="KJN93" s="594"/>
      <c r="KJO93" s="594"/>
      <c r="KJP93" s="594"/>
      <c r="KJQ93" s="594"/>
      <c r="KJR93" s="594"/>
      <c r="KJS93" s="594"/>
      <c r="KJT93" s="594"/>
      <c r="KJU93" s="594"/>
      <c r="KJV93" s="594"/>
      <c r="KJW93" s="594"/>
      <c r="KJX93" s="594"/>
      <c r="KJY93" s="594"/>
      <c r="KJZ93" s="594"/>
      <c r="KKA93" s="594"/>
      <c r="KKB93" s="594"/>
      <c r="KKC93" s="594"/>
      <c r="KKD93" s="594"/>
      <c r="KKE93" s="594"/>
      <c r="KKF93" s="594"/>
      <c r="KKG93" s="594"/>
      <c r="KKH93" s="594"/>
      <c r="KKI93" s="594"/>
      <c r="KKJ93" s="594"/>
      <c r="KKK93" s="594"/>
      <c r="KKL93" s="594"/>
      <c r="KKM93" s="594"/>
      <c r="KKN93" s="594"/>
      <c r="KKO93" s="594"/>
      <c r="KKP93" s="594"/>
      <c r="KKQ93" s="594"/>
      <c r="KKR93" s="594"/>
      <c r="KKS93" s="594"/>
      <c r="KKT93" s="594"/>
      <c r="KKU93" s="594"/>
      <c r="KKV93" s="594"/>
      <c r="KKW93" s="594"/>
      <c r="KKX93" s="594"/>
      <c r="KKY93" s="594"/>
      <c r="KKZ93" s="594"/>
      <c r="KLA93" s="594"/>
      <c r="KLB93" s="594"/>
      <c r="KLC93" s="594"/>
      <c r="KLD93" s="594"/>
      <c r="KLE93" s="594"/>
      <c r="KLF93" s="594"/>
      <c r="KLG93" s="594"/>
      <c r="KLH93" s="594"/>
      <c r="KLI93" s="594"/>
      <c r="KLJ93" s="594"/>
      <c r="KLK93" s="594"/>
      <c r="KLL93" s="594"/>
      <c r="KLM93" s="594"/>
      <c r="KLN93" s="594"/>
      <c r="KLO93" s="594"/>
      <c r="KLP93" s="594"/>
      <c r="KLQ93" s="594"/>
      <c r="KLR93" s="594"/>
      <c r="KLS93" s="594"/>
      <c r="KLT93" s="594"/>
      <c r="KLU93" s="594"/>
      <c r="KLV93" s="594"/>
      <c r="KLW93" s="594"/>
      <c r="KLX93" s="594"/>
      <c r="KLY93" s="594"/>
      <c r="KLZ93" s="594"/>
      <c r="KMA93" s="594"/>
      <c r="KMB93" s="594"/>
      <c r="KMC93" s="594"/>
      <c r="KMD93" s="594"/>
      <c r="KME93" s="594"/>
      <c r="KMF93" s="594"/>
      <c r="KMG93" s="594"/>
      <c r="KMH93" s="594"/>
      <c r="KMI93" s="594"/>
      <c r="KMJ93" s="594"/>
      <c r="KMK93" s="594"/>
      <c r="KML93" s="594"/>
      <c r="KMM93" s="594"/>
      <c r="KMN93" s="594"/>
      <c r="KMO93" s="594"/>
      <c r="KMP93" s="594"/>
      <c r="KMQ93" s="594"/>
      <c r="KMR93" s="594"/>
      <c r="KMS93" s="594"/>
      <c r="KMT93" s="594"/>
      <c r="KMU93" s="594"/>
      <c r="KMV93" s="594"/>
      <c r="KMW93" s="594"/>
      <c r="KMX93" s="594"/>
      <c r="KMY93" s="594"/>
      <c r="KMZ93" s="594"/>
      <c r="KNA93" s="594"/>
      <c r="KNB93" s="594"/>
      <c r="KNC93" s="594"/>
      <c r="KND93" s="594"/>
      <c r="KNE93" s="594"/>
      <c r="KNF93" s="594"/>
      <c r="KNG93" s="594"/>
      <c r="KNH93" s="594"/>
      <c r="KNI93" s="594"/>
      <c r="KNJ93" s="594"/>
      <c r="KNK93" s="594"/>
      <c r="KNL93" s="594"/>
      <c r="KNM93" s="594"/>
      <c r="KNN93" s="594"/>
      <c r="KNO93" s="594"/>
      <c r="KNP93" s="594"/>
      <c r="KNQ93" s="594"/>
      <c r="KNR93" s="594"/>
      <c r="KNS93" s="594"/>
      <c r="KNT93" s="594"/>
      <c r="KNU93" s="594"/>
      <c r="KNV93" s="594"/>
      <c r="KNW93" s="594"/>
      <c r="KNX93" s="594"/>
      <c r="KNY93" s="594"/>
      <c r="KNZ93" s="594"/>
      <c r="KOA93" s="594"/>
      <c r="KOB93" s="594"/>
      <c r="KOC93" s="594"/>
      <c r="KOD93" s="594"/>
      <c r="KOE93" s="594"/>
      <c r="KOF93" s="594"/>
      <c r="KOG93" s="594"/>
      <c r="KOH93" s="594"/>
      <c r="KOI93" s="594"/>
      <c r="KOJ93" s="594"/>
      <c r="KOK93" s="594"/>
      <c r="KOL93" s="594"/>
      <c r="KOM93" s="594"/>
      <c r="KON93" s="594"/>
      <c r="KOO93" s="594"/>
      <c r="KOP93" s="594"/>
      <c r="KOQ93" s="594"/>
      <c r="KOR93" s="594"/>
      <c r="KOS93" s="594"/>
      <c r="KOT93" s="594"/>
      <c r="KOU93" s="594"/>
      <c r="KOV93" s="594"/>
      <c r="KOW93" s="594"/>
      <c r="KOX93" s="594"/>
      <c r="KOY93" s="594"/>
      <c r="KOZ93" s="594"/>
      <c r="KPA93" s="594"/>
      <c r="KPB93" s="594"/>
      <c r="KPC93" s="594"/>
      <c r="KPD93" s="594"/>
      <c r="KPE93" s="594"/>
      <c r="KPF93" s="594"/>
      <c r="KPG93" s="594"/>
      <c r="KPH93" s="594"/>
      <c r="KPI93" s="594"/>
      <c r="KPJ93" s="594"/>
      <c r="KPK93" s="594"/>
      <c r="KPL93" s="594"/>
      <c r="KPM93" s="594"/>
      <c r="KPN93" s="594"/>
      <c r="KPO93" s="594"/>
      <c r="KPP93" s="594"/>
      <c r="KPQ93" s="594"/>
      <c r="KPR93" s="594"/>
      <c r="KPS93" s="594"/>
      <c r="KPT93" s="594"/>
      <c r="KPU93" s="594"/>
      <c r="KPV93" s="594"/>
      <c r="KPW93" s="594"/>
      <c r="KPX93" s="594"/>
      <c r="KPY93" s="594"/>
      <c r="KPZ93" s="594"/>
      <c r="KQA93" s="594"/>
      <c r="KQB93" s="594"/>
      <c r="KQC93" s="594"/>
      <c r="KQD93" s="594"/>
      <c r="KQE93" s="594"/>
      <c r="KQF93" s="594"/>
      <c r="KQG93" s="594"/>
      <c r="KQH93" s="594"/>
      <c r="KQI93" s="594"/>
      <c r="KQJ93" s="594"/>
      <c r="KQK93" s="594"/>
      <c r="KQL93" s="594"/>
      <c r="KQM93" s="594"/>
      <c r="KQN93" s="594"/>
      <c r="KQO93" s="594"/>
      <c r="KQP93" s="594"/>
      <c r="KQQ93" s="594"/>
      <c r="KQR93" s="594"/>
      <c r="KQS93" s="594"/>
      <c r="KQT93" s="594"/>
      <c r="KQU93" s="594"/>
      <c r="KQV93" s="594"/>
      <c r="KQW93" s="594"/>
      <c r="KQX93" s="594"/>
      <c r="KQY93" s="594"/>
      <c r="KQZ93" s="594"/>
      <c r="KRA93" s="594"/>
      <c r="KRB93" s="594"/>
      <c r="KRC93" s="594"/>
      <c r="KRD93" s="594"/>
      <c r="KRE93" s="594"/>
      <c r="KRF93" s="594"/>
      <c r="KRG93" s="594"/>
      <c r="KRH93" s="594"/>
      <c r="KRI93" s="594"/>
      <c r="KRJ93" s="594"/>
      <c r="KRK93" s="594"/>
      <c r="KRL93" s="594"/>
      <c r="KRM93" s="594"/>
      <c r="KRN93" s="594"/>
      <c r="KRO93" s="594"/>
      <c r="KRP93" s="594"/>
      <c r="KRQ93" s="594"/>
      <c r="KRR93" s="594"/>
      <c r="KRS93" s="594"/>
      <c r="KRT93" s="594"/>
      <c r="KRU93" s="594"/>
      <c r="KRV93" s="594"/>
      <c r="KRW93" s="594"/>
      <c r="KRX93" s="594"/>
      <c r="KRY93" s="594"/>
      <c r="KRZ93" s="594"/>
      <c r="KSA93" s="594"/>
      <c r="KSB93" s="594"/>
      <c r="KSC93" s="594"/>
      <c r="KSD93" s="594"/>
      <c r="KSE93" s="594"/>
      <c r="KSF93" s="594"/>
      <c r="KSG93" s="594"/>
      <c r="KSH93" s="594"/>
      <c r="KSI93" s="594"/>
      <c r="KSJ93" s="594"/>
      <c r="KSK93" s="594"/>
      <c r="KSL93" s="594"/>
      <c r="KSM93" s="594"/>
      <c r="KSN93" s="594"/>
      <c r="KSO93" s="594"/>
      <c r="KSP93" s="594"/>
      <c r="KSQ93" s="594"/>
      <c r="KSR93" s="594"/>
      <c r="KSS93" s="594"/>
      <c r="KST93" s="594"/>
      <c r="KSU93" s="594"/>
      <c r="KSV93" s="594"/>
      <c r="KSW93" s="594"/>
      <c r="KSX93" s="594"/>
      <c r="KSY93" s="594"/>
      <c r="KSZ93" s="594"/>
      <c r="KTA93" s="594"/>
      <c r="KTB93" s="594"/>
      <c r="KTC93" s="594"/>
      <c r="KTD93" s="594"/>
      <c r="KTE93" s="594"/>
      <c r="KTF93" s="594"/>
      <c r="KTG93" s="594"/>
      <c r="KTH93" s="594"/>
      <c r="KTI93" s="594"/>
      <c r="KTJ93" s="594"/>
      <c r="KTK93" s="594"/>
      <c r="KTL93" s="594"/>
      <c r="KTM93" s="594"/>
      <c r="KTN93" s="594"/>
      <c r="KTO93" s="594"/>
      <c r="KTP93" s="594"/>
      <c r="KTQ93" s="594"/>
      <c r="KTR93" s="594"/>
      <c r="KTS93" s="594"/>
      <c r="KTT93" s="594"/>
      <c r="KTU93" s="594"/>
      <c r="KTV93" s="594"/>
      <c r="KTW93" s="594"/>
      <c r="KTX93" s="594"/>
      <c r="KTY93" s="594"/>
      <c r="KTZ93" s="594"/>
      <c r="KUA93" s="594"/>
      <c r="KUB93" s="594"/>
      <c r="KUC93" s="594"/>
      <c r="KUD93" s="594"/>
      <c r="KUE93" s="594"/>
      <c r="KUF93" s="594"/>
      <c r="KUG93" s="594"/>
      <c r="KUH93" s="594"/>
      <c r="KUI93" s="594"/>
      <c r="KUJ93" s="594"/>
      <c r="KUK93" s="594"/>
      <c r="KUL93" s="594"/>
      <c r="KUM93" s="594"/>
      <c r="KUN93" s="594"/>
      <c r="KUO93" s="594"/>
      <c r="KUP93" s="594"/>
      <c r="KUQ93" s="594"/>
      <c r="KUR93" s="594"/>
      <c r="KUS93" s="594"/>
      <c r="KUT93" s="594"/>
      <c r="KUU93" s="594"/>
      <c r="KUV93" s="594"/>
      <c r="KUW93" s="594"/>
      <c r="KUX93" s="594"/>
      <c r="KUY93" s="594"/>
      <c r="KUZ93" s="594"/>
      <c r="KVA93" s="594"/>
      <c r="KVB93" s="594"/>
      <c r="KVC93" s="594"/>
      <c r="KVD93" s="594"/>
      <c r="KVE93" s="594"/>
      <c r="KVF93" s="594"/>
      <c r="KVG93" s="594"/>
      <c r="KVH93" s="594"/>
      <c r="KVI93" s="594"/>
      <c r="KVJ93" s="594"/>
      <c r="KVK93" s="594"/>
      <c r="KVL93" s="594"/>
      <c r="KVM93" s="594"/>
      <c r="KVN93" s="594"/>
      <c r="KVO93" s="594"/>
      <c r="KVP93" s="594"/>
      <c r="KVQ93" s="594"/>
      <c r="KVR93" s="594"/>
      <c r="KVS93" s="594"/>
      <c r="KVT93" s="594"/>
      <c r="KVU93" s="594"/>
      <c r="KVV93" s="594"/>
      <c r="KVW93" s="594"/>
      <c r="KVX93" s="594"/>
      <c r="KVY93" s="594"/>
      <c r="KVZ93" s="594"/>
      <c r="KWA93" s="594"/>
      <c r="KWB93" s="594"/>
      <c r="KWC93" s="594"/>
      <c r="KWD93" s="594"/>
      <c r="KWE93" s="594"/>
      <c r="KWF93" s="594"/>
      <c r="KWG93" s="594"/>
      <c r="KWH93" s="594"/>
      <c r="KWI93" s="594"/>
      <c r="KWJ93" s="594"/>
      <c r="KWK93" s="594"/>
      <c r="KWL93" s="594"/>
      <c r="KWM93" s="594"/>
      <c r="KWN93" s="594"/>
      <c r="KWO93" s="594"/>
      <c r="KWP93" s="594"/>
      <c r="KWQ93" s="594"/>
      <c r="KWR93" s="594"/>
      <c r="KWS93" s="594"/>
      <c r="KWT93" s="594"/>
      <c r="KWU93" s="594"/>
      <c r="KWV93" s="594"/>
      <c r="KWW93" s="594"/>
      <c r="KWX93" s="594"/>
      <c r="KWY93" s="594"/>
      <c r="KWZ93" s="594"/>
      <c r="KXA93" s="594"/>
      <c r="KXB93" s="594"/>
      <c r="KXC93" s="594"/>
      <c r="KXD93" s="594"/>
      <c r="KXE93" s="594"/>
      <c r="KXF93" s="594"/>
      <c r="KXG93" s="594"/>
      <c r="KXH93" s="594"/>
      <c r="KXI93" s="594"/>
      <c r="KXJ93" s="594"/>
      <c r="KXK93" s="594"/>
      <c r="KXL93" s="594"/>
      <c r="KXM93" s="594"/>
      <c r="KXN93" s="594"/>
      <c r="KXO93" s="594"/>
      <c r="KXP93" s="594"/>
      <c r="KXQ93" s="594"/>
      <c r="KXR93" s="594"/>
      <c r="KXS93" s="594"/>
      <c r="KXT93" s="594"/>
      <c r="KXU93" s="594"/>
      <c r="KXV93" s="594"/>
      <c r="KXW93" s="594"/>
      <c r="KXX93" s="594"/>
      <c r="KXY93" s="594"/>
      <c r="KXZ93" s="594"/>
      <c r="KYA93" s="594"/>
      <c r="KYB93" s="594"/>
      <c r="KYC93" s="594"/>
      <c r="KYD93" s="594"/>
      <c r="KYE93" s="594"/>
      <c r="KYF93" s="594"/>
      <c r="KYG93" s="594"/>
      <c r="KYH93" s="594"/>
      <c r="KYI93" s="594"/>
      <c r="KYJ93" s="594"/>
      <c r="KYK93" s="594"/>
      <c r="KYL93" s="594"/>
      <c r="KYM93" s="594"/>
      <c r="KYN93" s="594"/>
      <c r="KYO93" s="594"/>
      <c r="KYP93" s="594"/>
      <c r="KYQ93" s="594"/>
      <c r="KYR93" s="594"/>
      <c r="KYS93" s="594"/>
      <c r="KYT93" s="594"/>
      <c r="KYU93" s="594"/>
      <c r="KYV93" s="594"/>
      <c r="KYW93" s="594"/>
      <c r="KYX93" s="594"/>
      <c r="KYY93" s="594"/>
      <c r="KYZ93" s="594"/>
      <c r="KZA93" s="594"/>
      <c r="KZB93" s="594"/>
      <c r="KZC93" s="594"/>
      <c r="KZD93" s="594"/>
      <c r="KZE93" s="594"/>
      <c r="KZF93" s="594"/>
      <c r="KZG93" s="594"/>
      <c r="KZH93" s="594"/>
      <c r="KZI93" s="594"/>
      <c r="KZJ93" s="594"/>
      <c r="KZK93" s="594"/>
      <c r="KZL93" s="594"/>
      <c r="KZM93" s="594"/>
      <c r="KZN93" s="594"/>
      <c r="KZO93" s="594"/>
      <c r="KZP93" s="594"/>
      <c r="KZQ93" s="594"/>
      <c r="KZR93" s="594"/>
      <c r="KZS93" s="594"/>
      <c r="KZT93" s="594"/>
      <c r="KZU93" s="594"/>
      <c r="KZV93" s="594"/>
      <c r="KZW93" s="594"/>
      <c r="KZX93" s="594"/>
      <c r="KZY93" s="594"/>
      <c r="KZZ93" s="594"/>
      <c r="LAA93" s="594"/>
      <c r="LAB93" s="594"/>
      <c r="LAC93" s="594"/>
      <c r="LAD93" s="594"/>
      <c r="LAE93" s="594"/>
      <c r="LAF93" s="594"/>
      <c r="LAG93" s="594"/>
      <c r="LAH93" s="594"/>
      <c r="LAI93" s="594"/>
      <c r="LAJ93" s="594"/>
      <c r="LAK93" s="594"/>
      <c r="LAL93" s="594"/>
      <c r="LAM93" s="594"/>
      <c r="LAN93" s="594"/>
      <c r="LAO93" s="594"/>
      <c r="LAP93" s="594"/>
      <c r="LAQ93" s="594"/>
      <c r="LAR93" s="594"/>
      <c r="LAS93" s="594"/>
      <c r="LAT93" s="594"/>
      <c r="LAU93" s="594"/>
      <c r="LAV93" s="594"/>
      <c r="LAW93" s="594"/>
      <c r="LAX93" s="594"/>
      <c r="LAY93" s="594"/>
      <c r="LAZ93" s="594"/>
      <c r="LBA93" s="594"/>
      <c r="LBB93" s="594"/>
      <c r="LBC93" s="594"/>
      <c r="LBD93" s="594"/>
      <c r="LBE93" s="594"/>
      <c r="LBF93" s="594"/>
      <c r="LBG93" s="594"/>
      <c r="LBH93" s="594"/>
      <c r="LBI93" s="594"/>
      <c r="LBJ93" s="594"/>
      <c r="LBK93" s="594"/>
      <c r="LBL93" s="594"/>
      <c r="LBM93" s="594"/>
      <c r="LBN93" s="594"/>
      <c r="LBO93" s="594"/>
      <c r="LBP93" s="594"/>
      <c r="LBQ93" s="594"/>
      <c r="LBR93" s="594"/>
      <c r="LBS93" s="594"/>
      <c r="LBT93" s="594"/>
      <c r="LBU93" s="594"/>
      <c r="LBV93" s="594"/>
      <c r="LBW93" s="594"/>
      <c r="LBX93" s="594"/>
      <c r="LBY93" s="594"/>
      <c r="LBZ93" s="594"/>
      <c r="LCA93" s="594"/>
      <c r="LCB93" s="594"/>
      <c r="LCC93" s="594"/>
      <c r="LCD93" s="594"/>
      <c r="LCE93" s="594"/>
      <c r="LCF93" s="594"/>
      <c r="LCG93" s="594"/>
      <c r="LCH93" s="594"/>
      <c r="LCI93" s="594"/>
      <c r="LCJ93" s="594"/>
      <c r="LCK93" s="594"/>
      <c r="LCL93" s="594"/>
      <c r="LCM93" s="594"/>
      <c r="LCN93" s="594"/>
      <c r="LCO93" s="594"/>
      <c r="LCP93" s="594"/>
      <c r="LCQ93" s="594"/>
      <c r="LCR93" s="594"/>
      <c r="LCS93" s="594"/>
      <c r="LCT93" s="594"/>
      <c r="LCU93" s="594"/>
      <c r="LCV93" s="594"/>
      <c r="LCW93" s="594"/>
      <c r="LCX93" s="594"/>
      <c r="LCY93" s="594"/>
      <c r="LCZ93" s="594"/>
      <c r="LDA93" s="594"/>
      <c r="LDB93" s="594"/>
      <c r="LDC93" s="594"/>
      <c r="LDD93" s="594"/>
      <c r="LDE93" s="594"/>
      <c r="LDF93" s="594"/>
      <c r="LDG93" s="594"/>
      <c r="LDH93" s="594"/>
      <c r="LDI93" s="594"/>
      <c r="LDJ93" s="594"/>
      <c r="LDK93" s="594"/>
      <c r="LDL93" s="594"/>
      <c r="LDM93" s="594"/>
      <c r="LDN93" s="594"/>
      <c r="LDO93" s="594"/>
      <c r="LDP93" s="594"/>
      <c r="LDQ93" s="594"/>
      <c r="LDR93" s="594"/>
      <c r="LDS93" s="594"/>
      <c r="LDT93" s="594"/>
      <c r="LDU93" s="594"/>
      <c r="LDV93" s="594"/>
      <c r="LDW93" s="594"/>
      <c r="LDX93" s="594"/>
      <c r="LDY93" s="594"/>
      <c r="LDZ93" s="594"/>
      <c r="LEA93" s="594"/>
      <c r="LEB93" s="594"/>
      <c r="LEC93" s="594"/>
      <c r="LED93" s="594"/>
      <c r="LEE93" s="594"/>
      <c r="LEF93" s="594"/>
      <c r="LEG93" s="594"/>
      <c r="LEH93" s="594"/>
      <c r="LEI93" s="594"/>
      <c r="LEJ93" s="594"/>
      <c r="LEK93" s="594"/>
      <c r="LEL93" s="594"/>
      <c r="LEM93" s="594"/>
      <c r="LEN93" s="594"/>
      <c r="LEO93" s="594"/>
      <c r="LEP93" s="594"/>
      <c r="LEQ93" s="594"/>
      <c r="LER93" s="594"/>
      <c r="LES93" s="594"/>
      <c r="LET93" s="594"/>
      <c r="LEU93" s="594"/>
      <c r="LEV93" s="594"/>
      <c r="LEW93" s="594"/>
      <c r="LEX93" s="594"/>
      <c r="LEY93" s="594"/>
      <c r="LEZ93" s="594"/>
      <c r="LFA93" s="594"/>
      <c r="LFB93" s="594"/>
      <c r="LFC93" s="594"/>
      <c r="LFD93" s="594"/>
      <c r="LFE93" s="594"/>
      <c r="LFF93" s="594"/>
      <c r="LFG93" s="594"/>
      <c r="LFH93" s="594"/>
      <c r="LFI93" s="594"/>
      <c r="LFJ93" s="594"/>
      <c r="LFK93" s="594"/>
      <c r="LFL93" s="594"/>
      <c r="LFM93" s="594"/>
      <c r="LFN93" s="594"/>
      <c r="LFO93" s="594"/>
      <c r="LFP93" s="594"/>
      <c r="LFQ93" s="594"/>
      <c r="LFR93" s="594"/>
      <c r="LFS93" s="594"/>
      <c r="LFT93" s="594"/>
      <c r="LFU93" s="594"/>
      <c r="LFV93" s="594"/>
      <c r="LFW93" s="594"/>
      <c r="LFX93" s="594"/>
      <c r="LFY93" s="594"/>
      <c r="LFZ93" s="594"/>
      <c r="LGA93" s="594"/>
      <c r="LGB93" s="594"/>
      <c r="LGC93" s="594"/>
      <c r="LGD93" s="594"/>
      <c r="LGE93" s="594"/>
      <c r="LGF93" s="594"/>
      <c r="LGG93" s="594"/>
      <c r="LGH93" s="594"/>
      <c r="LGI93" s="594"/>
      <c r="LGJ93" s="594"/>
      <c r="LGK93" s="594"/>
      <c r="LGL93" s="594"/>
      <c r="LGM93" s="594"/>
      <c r="LGN93" s="594"/>
      <c r="LGO93" s="594"/>
      <c r="LGP93" s="594"/>
      <c r="LGQ93" s="594"/>
      <c r="LGR93" s="594"/>
      <c r="LGS93" s="594"/>
      <c r="LGT93" s="594"/>
      <c r="LGU93" s="594"/>
      <c r="LGV93" s="594"/>
      <c r="LGW93" s="594"/>
      <c r="LGX93" s="594"/>
      <c r="LGY93" s="594"/>
      <c r="LGZ93" s="594"/>
      <c r="LHA93" s="594"/>
      <c r="LHB93" s="594"/>
      <c r="LHC93" s="594"/>
      <c r="LHD93" s="594"/>
      <c r="LHE93" s="594"/>
      <c r="LHF93" s="594"/>
      <c r="LHG93" s="594"/>
      <c r="LHH93" s="594"/>
      <c r="LHI93" s="594"/>
      <c r="LHJ93" s="594"/>
      <c r="LHK93" s="594"/>
      <c r="LHL93" s="594"/>
      <c r="LHM93" s="594"/>
      <c r="LHN93" s="594"/>
      <c r="LHO93" s="594"/>
      <c r="LHP93" s="594"/>
      <c r="LHQ93" s="594"/>
      <c r="LHR93" s="594"/>
      <c r="LHS93" s="594"/>
      <c r="LHT93" s="594"/>
      <c r="LHU93" s="594"/>
      <c r="LHV93" s="594"/>
      <c r="LHW93" s="594"/>
      <c r="LHX93" s="594"/>
      <c r="LHY93" s="594"/>
      <c r="LHZ93" s="594"/>
      <c r="LIA93" s="594"/>
      <c r="LIB93" s="594"/>
      <c r="LIC93" s="594"/>
      <c r="LID93" s="594"/>
      <c r="LIE93" s="594"/>
      <c r="LIF93" s="594"/>
      <c r="LIG93" s="594"/>
      <c r="LIH93" s="594"/>
      <c r="LII93" s="594"/>
      <c r="LIJ93" s="594"/>
      <c r="LIK93" s="594"/>
      <c r="LIL93" s="594"/>
      <c r="LIM93" s="594"/>
      <c r="LIN93" s="594"/>
      <c r="LIO93" s="594"/>
      <c r="LIP93" s="594"/>
      <c r="LIQ93" s="594"/>
      <c r="LIR93" s="594"/>
      <c r="LIS93" s="594"/>
      <c r="LIT93" s="594"/>
      <c r="LIU93" s="594"/>
      <c r="LIV93" s="594"/>
      <c r="LIW93" s="594"/>
      <c r="LIX93" s="594"/>
      <c r="LIY93" s="594"/>
      <c r="LIZ93" s="594"/>
      <c r="LJA93" s="594"/>
      <c r="LJB93" s="594"/>
      <c r="LJC93" s="594"/>
      <c r="LJD93" s="594"/>
      <c r="LJE93" s="594"/>
      <c r="LJF93" s="594"/>
      <c r="LJG93" s="594"/>
      <c r="LJH93" s="594"/>
      <c r="LJI93" s="594"/>
      <c r="LJJ93" s="594"/>
      <c r="LJK93" s="594"/>
      <c r="LJL93" s="594"/>
      <c r="LJM93" s="594"/>
      <c r="LJN93" s="594"/>
      <c r="LJO93" s="594"/>
      <c r="LJP93" s="594"/>
      <c r="LJQ93" s="594"/>
      <c r="LJR93" s="594"/>
      <c r="LJS93" s="594"/>
      <c r="LJT93" s="594"/>
      <c r="LJU93" s="594"/>
      <c r="LJV93" s="594"/>
      <c r="LJW93" s="594"/>
      <c r="LJX93" s="594"/>
      <c r="LJY93" s="594"/>
      <c r="LJZ93" s="594"/>
      <c r="LKA93" s="594"/>
      <c r="LKB93" s="594"/>
      <c r="LKC93" s="594"/>
      <c r="LKD93" s="594"/>
      <c r="LKE93" s="594"/>
      <c r="LKF93" s="594"/>
      <c r="LKG93" s="594"/>
      <c r="LKH93" s="594"/>
      <c r="LKI93" s="594"/>
      <c r="LKJ93" s="594"/>
      <c r="LKK93" s="594"/>
      <c r="LKL93" s="594"/>
      <c r="LKM93" s="594"/>
      <c r="LKN93" s="594"/>
      <c r="LKO93" s="594"/>
      <c r="LKP93" s="594"/>
      <c r="LKQ93" s="594"/>
      <c r="LKR93" s="594"/>
      <c r="LKS93" s="594"/>
      <c r="LKT93" s="594"/>
      <c r="LKU93" s="594"/>
      <c r="LKV93" s="594"/>
      <c r="LKW93" s="594"/>
      <c r="LKX93" s="594"/>
      <c r="LKY93" s="594"/>
      <c r="LKZ93" s="594"/>
      <c r="LLA93" s="594"/>
      <c r="LLB93" s="594"/>
      <c r="LLC93" s="594"/>
      <c r="LLD93" s="594"/>
      <c r="LLE93" s="594"/>
      <c r="LLF93" s="594"/>
      <c r="LLG93" s="594"/>
      <c r="LLH93" s="594"/>
      <c r="LLI93" s="594"/>
      <c r="LLJ93" s="594"/>
      <c r="LLK93" s="594"/>
      <c r="LLL93" s="594"/>
      <c r="LLM93" s="594"/>
      <c r="LLN93" s="594"/>
      <c r="LLO93" s="594"/>
      <c r="LLP93" s="594"/>
      <c r="LLQ93" s="594"/>
      <c r="LLR93" s="594"/>
      <c r="LLS93" s="594"/>
      <c r="LLT93" s="594"/>
      <c r="LLU93" s="594"/>
      <c r="LLV93" s="594"/>
      <c r="LLW93" s="594"/>
      <c r="LLX93" s="594"/>
      <c r="LLY93" s="594"/>
      <c r="LLZ93" s="594"/>
      <c r="LMA93" s="594"/>
      <c r="LMB93" s="594"/>
      <c r="LMC93" s="594"/>
      <c r="LMD93" s="594"/>
      <c r="LME93" s="594"/>
      <c r="LMF93" s="594"/>
      <c r="LMG93" s="594"/>
      <c r="LMH93" s="594"/>
      <c r="LMI93" s="594"/>
      <c r="LMJ93" s="594"/>
      <c r="LMK93" s="594"/>
      <c r="LML93" s="594"/>
      <c r="LMM93" s="594"/>
      <c r="LMN93" s="594"/>
      <c r="LMO93" s="594"/>
      <c r="LMP93" s="594"/>
      <c r="LMQ93" s="594"/>
      <c r="LMR93" s="594"/>
      <c r="LMS93" s="594"/>
      <c r="LMT93" s="594"/>
      <c r="LMU93" s="594"/>
      <c r="LMV93" s="594"/>
      <c r="LMW93" s="594"/>
      <c r="LMX93" s="594"/>
      <c r="LMY93" s="594"/>
      <c r="LMZ93" s="594"/>
      <c r="LNA93" s="594"/>
      <c r="LNB93" s="594"/>
      <c r="LNC93" s="594"/>
      <c r="LND93" s="594"/>
      <c r="LNE93" s="594"/>
      <c r="LNF93" s="594"/>
      <c r="LNG93" s="594"/>
      <c r="LNH93" s="594"/>
      <c r="LNI93" s="594"/>
      <c r="LNJ93" s="594"/>
      <c r="LNK93" s="594"/>
      <c r="LNL93" s="594"/>
      <c r="LNM93" s="594"/>
      <c r="LNN93" s="594"/>
      <c r="LNO93" s="594"/>
      <c r="LNP93" s="594"/>
      <c r="LNQ93" s="594"/>
      <c r="LNR93" s="594"/>
      <c r="LNS93" s="594"/>
      <c r="LNT93" s="594"/>
      <c r="LNU93" s="594"/>
      <c r="LNV93" s="594"/>
      <c r="LNW93" s="594"/>
      <c r="LNX93" s="594"/>
      <c r="LNY93" s="594"/>
      <c r="LNZ93" s="594"/>
      <c r="LOA93" s="594"/>
      <c r="LOB93" s="594"/>
      <c r="LOC93" s="594"/>
      <c r="LOD93" s="594"/>
      <c r="LOE93" s="594"/>
      <c r="LOF93" s="594"/>
      <c r="LOG93" s="594"/>
      <c r="LOH93" s="594"/>
      <c r="LOI93" s="594"/>
      <c r="LOJ93" s="594"/>
      <c r="LOK93" s="594"/>
      <c r="LOL93" s="594"/>
      <c r="LOM93" s="594"/>
      <c r="LON93" s="594"/>
      <c r="LOO93" s="594"/>
      <c r="LOP93" s="594"/>
      <c r="LOQ93" s="594"/>
      <c r="LOR93" s="594"/>
      <c r="LOS93" s="594"/>
      <c r="LOT93" s="594"/>
      <c r="LOU93" s="594"/>
      <c r="LOV93" s="594"/>
      <c r="LOW93" s="594"/>
      <c r="LOX93" s="594"/>
      <c r="LOY93" s="594"/>
      <c r="LOZ93" s="594"/>
      <c r="LPA93" s="594"/>
      <c r="LPB93" s="594"/>
      <c r="LPC93" s="594"/>
      <c r="LPD93" s="594"/>
      <c r="LPE93" s="594"/>
      <c r="LPF93" s="594"/>
      <c r="LPG93" s="594"/>
      <c r="LPH93" s="594"/>
      <c r="LPI93" s="594"/>
      <c r="LPJ93" s="594"/>
      <c r="LPK93" s="594"/>
      <c r="LPL93" s="594"/>
      <c r="LPM93" s="594"/>
      <c r="LPN93" s="594"/>
      <c r="LPO93" s="594"/>
      <c r="LPP93" s="594"/>
      <c r="LPQ93" s="594"/>
      <c r="LPR93" s="594"/>
      <c r="LPS93" s="594"/>
      <c r="LPT93" s="594"/>
      <c r="LPU93" s="594"/>
      <c r="LPV93" s="594"/>
      <c r="LPW93" s="594"/>
      <c r="LPX93" s="594"/>
      <c r="LPY93" s="594"/>
      <c r="LPZ93" s="594"/>
      <c r="LQA93" s="594"/>
      <c r="LQB93" s="594"/>
      <c r="LQC93" s="594"/>
      <c r="LQD93" s="594"/>
      <c r="LQE93" s="594"/>
      <c r="LQF93" s="594"/>
      <c r="LQG93" s="594"/>
      <c r="LQH93" s="594"/>
      <c r="LQI93" s="594"/>
      <c r="LQJ93" s="594"/>
      <c r="LQK93" s="594"/>
      <c r="LQL93" s="594"/>
      <c r="LQM93" s="594"/>
      <c r="LQN93" s="594"/>
      <c r="LQO93" s="594"/>
      <c r="LQP93" s="594"/>
      <c r="LQQ93" s="594"/>
      <c r="LQR93" s="594"/>
      <c r="LQS93" s="594"/>
      <c r="LQT93" s="594"/>
      <c r="LQU93" s="594"/>
      <c r="LQV93" s="594"/>
      <c r="LQW93" s="594"/>
      <c r="LQX93" s="594"/>
      <c r="LQY93" s="594"/>
      <c r="LQZ93" s="594"/>
      <c r="LRA93" s="594"/>
      <c r="LRB93" s="594"/>
      <c r="LRC93" s="594"/>
      <c r="LRD93" s="594"/>
      <c r="LRE93" s="594"/>
      <c r="LRF93" s="594"/>
      <c r="LRG93" s="594"/>
      <c r="LRH93" s="594"/>
      <c r="LRI93" s="594"/>
      <c r="LRJ93" s="594"/>
      <c r="LRK93" s="594"/>
      <c r="LRL93" s="594"/>
      <c r="LRM93" s="594"/>
      <c r="LRN93" s="594"/>
      <c r="LRO93" s="594"/>
      <c r="LRP93" s="594"/>
      <c r="LRQ93" s="594"/>
      <c r="LRR93" s="594"/>
      <c r="LRS93" s="594"/>
      <c r="LRT93" s="594"/>
      <c r="LRU93" s="594"/>
      <c r="LRV93" s="594"/>
      <c r="LRW93" s="594"/>
      <c r="LRX93" s="594"/>
      <c r="LRY93" s="594"/>
      <c r="LRZ93" s="594"/>
      <c r="LSA93" s="594"/>
      <c r="LSB93" s="594"/>
      <c r="LSC93" s="594"/>
      <c r="LSD93" s="594"/>
      <c r="LSE93" s="594"/>
      <c r="LSF93" s="594"/>
      <c r="LSG93" s="594"/>
      <c r="LSH93" s="594"/>
      <c r="LSI93" s="594"/>
      <c r="LSJ93" s="594"/>
      <c r="LSK93" s="594"/>
      <c r="LSL93" s="594"/>
      <c r="LSM93" s="594"/>
      <c r="LSN93" s="594"/>
      <c r="LSO93" s="594"/>
      <c r="LSP93" s="594"/>
      <c r="LSQ93" s="594"/>
      <c r="LSR93" s="594"/>
      <c r="LSS93" s="594"/>
      <c r="LST93" s="594"/>
      <c r="LSU93" s="594"/>
      <c r="LSV93" s="594"/>
      <c r="LSW93" s="594"/>
      <c r="LSX93" s="594"/>
      <c r="LSY93" s="594"/>
      <c r="LSZ93" s="594"/>
      <c r="LTA93" s="594"/>
      <c r="LTB93" s="594"/>
      <c r="LTC93" s="594"/>
      <c r="LTD93" s="594"/>
      <c r="LTE93" s="594"/>
      <c r="LTF93" s="594"/>
      <c r="LTG93" s="594"/>
      <c r="LTH93" s="594"/>
      <c r="LTI93" s="594"/>
      <c r="LTJ93" s="594"/>
      <c r="LTK93" s="594"/>
      <c r="LTL93" s="594"/>
      <c r="LTM93" s="594"/>
      <c r="LTN93" s="594"/>
      <c r="LTO93" s="594"/>
      <c r="LTP93" s="594"/>
      <c r="LTQ93" s="594"/>
      <c r="LTR93" s="594"/>
      <c r="LTS93" s="594"/>
      <c r="LTT93" s="594"/>
      <c r="LTU93" s="594"/>
      <c r="LTV93" s="594"/>
      <c r="LTW93" s="594"/>
      <c r="LTX93" s="594"/>
      <c r="LTY93" s="594"/>
      <c r="LTZ93" s="594"/>
      <c r="LUA93" s="594"/>
      <c r="LUB93" s="594"/>
      <c r="LUC93" s="594"/>
      <c r="LUD93" s="594"/>
      <c r="LUE93" s="594"/>
      <c r="LUF93" s="594"/>
      <c r="LUG93" s="594"/>
      <c r="LUH93" s="594"/>
      <c r="LUI93" s="594"/>
      <c r="LUJ93" s="594"/>
      <c r="LUK93" s="594"/>
      <c r="LUL93" s="594"/>
      <c r="LUM93" s="594"/>
      <c r="LUN93" s="594"/>
      <c r="LUO93" s="594"/>
      <c r="LUP93" s="594"/>
      <c r="LUQ93" s="594"/>
      <c r="LUR93" s="594"/>
      <c r="LUS93" s="594"/>
      <c r="LUT93" s="594"/>
      <c r="LUU93" s="594"/>
      <c r="LUV93" s="594"/>
      <c r="LUW93" s="594"/>
      <c r="LUX93" s="594"/>
      <c r="LUY93" s="594"/>
      <c r="LUZ93" s="594"/>
      <c r="LVA93" s="594"/>
      <c r="LVB93" s="594"/>
      <c r="LVC93" s="594"/>
      <c r="LVD93" s="594"/>
      <c r="LVE93" s="594"/>
      <c r="LVF93" s="594"/>
      <c r="LVG93" s="594"/>
      <c r="LVH93" s="594"/>
      <c r="LVI93" s="594"/>
      <c r="LVJ93" s="594"/>
      <c r="LVK93" s="594"/>
      <c r="LVL93" s="594"/>
      <c r="LVM93" s="594"/>
      <c r="LVN93" s="594"/>
      <c r="LVO93" s="594"/>
      <c r="LVP93" s="594"/>
      <c r="LVQ93" s="594"/>
      <c r="LVR93" s="594"/>
      <c r="LVS93" s="594"/>
      <c r="LVT93" s="594"/>
      <c r="LVU93" s="594"/>
      <c r="LVV93" s="594"/>
      <c r="LVW93" s="594"/>
      <c r="LVX93" s="594"/>
      <c r="LVY93" s="594"/>
      <c r="LVZ93" s="594"/>
      <c r="LWA93" s="594"/>
      <c r="LWB93" s="594"/>
      <c r="LWC93" s="594"/>
      <c r="LWD93" s="594"/>
      <c r="LWE93" s="594"/>
      <c r="LWF93" s="594"/>
      <c r="LWG93" s="594"/>
      <c r="LWH93" s="594"/>
      <c r="LWI93" s="594"/>
      <c r="LWJ93" s="594"/>
      <c r="LWK93" s="594"/>
      <c r="LWL93" s="594"/>
      <c r="LWM93" s="594"/>
      <c r="LWN93" s="594"/>
      <c r="LWO93" s="594"/>
      <c r="LWP93" s="594"/>
      <c r="LWQ93" s="594"/>
      <c r="LWR93" s="594"/>
      <c r="LWS93" s="594"/>
      <c r="LWT93" s="594"/>
      <c r="LWU93" s="594"/>
      <c r="LWV93" s="594"/>
      <c r="LWW93" s="594"/>
      <c r="LWX93" s="594"/>
      <c r="LWY93" s="594"/>
      <c r="LWZ93" s="594"/>
      <c r="LXA93" s="594"/>
      <c r="LXB93" s="594"/>
      <c r="LXC93" s="594"/>
      <c r="LXD93" s="594"/>
      <c r="LXE93" s="594"/>
      <c r="LXF93" s="594"/>
      <c r="LXG93" s="594"/>
      <c r="LXH93" s="594"/>
      <c r="LXI93" s="594"/>
      <c r="LXJ93" s="594"/>
      <c r="LXK93" s="594"/>
      <c r="LXL93" s="594"/>
      <c r="LXM93" s="594"/>
      <c r="LXN93" s="594"/>
      <c r="LXO93" s="594"/>
      <c r="LXP93" s="594"/>
      <c r="LXQ93" s="594"/>
      <c r="LXR93" s="594"/>
      <c r="LXS93" s="594"/>
      <c r="LXT93" s="594"/>
      <c r="LXU93" s="594"/>
      <c r="LXV93" s="594"/>
      <c r="LXW93" s="594"/>
      <c r="LXX93" s="594"/>
      <c r="LXY93" s="594"/>
      <c r="LXZ93" s="594"/>
      <c r="LYA93" s="594"/>
      <c r="LYB93" s="594"/>
      <c r="LYC93" s="594"/>
      <c r="LYD93" s="594"/>
      <c r="LYE93" s="594"/>
      <c r="LYF93" s="594"/>
      <c r="LYG93" s="594"/>
      <c r="LYH93" s="594"/>
      <c r="LYI93" s="594"/>
      <c r="LYJ93" s="594"/>
      <c r="LYK93" s="594"/>
      <c r="LYL93" s="594"/>
      <c r="LYM93" s="594"/>
      <c r="LYN93" s="594"/>
      <c r="LYO93" s="594"/>
      <c r="LYP93" s="594"/>
      <c r="LYQ93" s="594"/>
      <c r="LYR93" s="594"/>
      <c r="LYS93" s="594"/>
      <c r="LYT93" s="594"/>
      <c r="LYU93" s="594"/>
      <c r="LYV93" s="594"/>
      <c r="LYW93" s="594"/>
      <c r="LYX93" s="594"/>
      <c r="LYY93" s="594"/>
      <c r="LYZ93" s="594"/>
      <c r="LZA93" s="594"/>
      <c r="LZB93" s="594"/>
      <c r="LZC93" s="594"/>
      <c r="LZD93" s="594"/>
      <c r="LZE93" s="594"/>
      <c r="LZF93" s="594"/>
      <c r="LZG93" s="594"/>
      <c r="LZH93" s="594"/>
      <c r="LZI93" s="594"/>
      <c r="LZJ93" s="594"/>
      <c r="LZK93" s="594"/>
      <c r="LZL93" s="594"/>
      <c r="LZM93" s="594"/>
      <c r="LZN93" s="594"/>
      <c r="LZO93" s="594"/>
      <c r="LZP93" s="594"/>
      <c r="LZQ93" s="594"/>
      <c r="LZR93" s="594"/>
      <c r="LZS93" s="594"/>
      <c r="LZT93" s="594"/>
      <c r="LZU93" s="594"/>
      <c r="LZV93" s="594"/>
      <c r="LZW93" s="594"/>
      <c r="LZX93" s="594"/>
      <c r="LZY93" s="594"/>
      <c r="LZZ93" s="594"/>
      <c r="MAA93" s="594"/>
      <c r="MAB93" s="594"/>
      <c r="MAC93" s="594"/>
      <c r="MAD93" s="594"/>
      <c r="MAE93" s="594"/>
      <c r="MAF93" s="594"/>
      <c r="MAG93" s="594"/>
      <c r="MAH93" s="594"/>
      <c r="MAI93" s="594"/>
      <c r="MAJ93" s="594"/>
      <c r="MAK93" s="594"/>
      <c r="MAL93" s="594"/>
      <c r="MAM93" s="594"/>
      <c r="MAN93" s="594"/>
      <c r="MAO93" s="594"/>
      <c r="MAP93" s="594"/>
      <c r="MAQ93" s="594"/>
      <c r="MAR93" s="594"/>
      <c r="MAS93" s="594"/>
      <c r="MAT93" s="594"/>
      <c r="MAU93" s="594"/>
      <c r="MAV93" s="594"/>
      <c r="MAW93" s="594"/>
      <c r="MAX93" s="594"/>
      <c r="MAY93" s="594"/>
      <c r="MAZ93" s="594"/>
      <c r="MBA93" s="594"/>
      <c r="MBB93" s="594"/>
      <c r="MBC93" s="594"/>
      <c r="MBD93" s="594"/>
      <c r="MBE93" s="594"/>
      <c r="MBF93" s="594"/>
      <c r="MBG93" s="594"/>
      <c r="MBH93" s="594"/>
      <c r="MBI93" s="594"/>
      <c r="MBJ93" s="594"/>
      <c r="MBK93" s="594"/>
      <c r="MBL93" s="594"/>
      <c r="MBM93" s="594"/>
      <c r="MBN93" s="594"/>
      <c r="MBO93" s="594"/>
      <c r="MBP93" s="594"/>
      <c r="MBQ93" s="594"/>
      <c r="MBR93" s="594"/>
      <c r="MBS93" s="594"/>
      <c r="MBT93" s="594"/>
      <c r="MBU93" s="594"/>
      <c r="MBV93" s="594"/>
      <c r="MBW93" s="594"/>
      <c r="MBX93" s="594"/>
      <c r="MBY93" s="594"/>
      <c r="MBZ93" s="594"/>
      <c r="MCA93" s="594"/>
      <c r="MCB93" s="594"/>
      <c r="MCC93" s="594"/>
      <c r="MCD93" s="594"/>
      <c r="MCE93" s="594"/>
      <c r="MCF93" s="594"/>
      <c r="MCG93" s="594"/>
      <c r="MCH93" s="594"/>
      <c r="MCI93" s="594"/>
      <c r="MCJ93" s="594"/>
      <c r="MCK93" s="594"/>
      <c r="MCL93" s="594"/>
      <c r="MCM93" s="594"/>
      <c r="MCN93" s="594"/>
      <c r="MCO93" s="594"/>
      <c r="MCP93" s="594"/>
      <c r="MCQ93" s="594"/>
      <c r="MCR93" s="594"/>
      <c r="MCS93" s="594"/>
      <c r="MCT93" s="594"/>
      <c r="MCU93" s="594"/>
      <c r="MCV93" s="594"/>
      <c r="MCW93" s="594"/>
      <c r="MCX93" s="594"/>
      <c r="MCY93" s="594"/>
      <c r="MCZ93" s="594"/>
      <c r="MDA93" s="594"/>
      <c r="MDB93" s="594"/>
      <c r="MDC93" s="594"/>
      <c r="MDD93" s="594"/>
      <c r="MDE93" s="594"/>
      <c r="MDF93" s="594"/>
      <c r="MDG93" s="594"/>
      <c r="MDH93" s="594"/>
      <c r="MDI93" s="594"/>
      <c r="MDJ93" s="594"/>
      <c r="MDK93" s="594"/>
      <c r="MDL93" s="594"/>
      <c r="MDM93" s="594"/>
      <c r="MDN93" s="594"/>
      <c r="MDO93" s="594"/>
      <c r="MDP93" s="594"/>
      <c r="MDQ93" s="594"/>
      <c r="MDR93" s="594"/>
      <c r="MDS93" s="594"/>
      <c r="MDT93" s="594"/>
      <c r="MDU93" s="594"/>
      <c r="MDV93" s="594"/>
      <c r="MDW93" s="594"/>
      <c r="MDX93" s="594"/>
      <c r="MDY93" s="594"/>
      <c r="MDZ93" s="594"/>
      <c r="MEA93" s="594"/>
      <c r="MEB93" s="594"/>
      <c r="MEC93" s="594"/>
      <c r="MED93" s="594"/>
      <c r="MEE93" s="594"/>
      <c r="MEF93" s="594"/>
      <c r="MEG93" s="594"/>
      <c r="MEH93" s="594"/>
      <c r="MEI93" s="594"/>
      <c r="MEJ93" s="594"/>
      <c r="MEK93" s="594"/>
      <c r="MEL93" s="594"/>
      <c r="MEM93" s="594"/>
      <c r="MEN93" s="594"/>
      <c r="MEO93" s="594"/>
      <c r="MEP93" s="594"/>
      <c r="MEQ93" s="594"/>
      <c r="MER93" s="594"/>
      <c r="MES93" s="594"/>
      <c r="MET93" s="594"/>
      <c r="MEU93" s="594"/>
      <c r="MEV93" s="594"/>
      <c r="MEW93" s="594"/>
      <c r="MEX93" s="594"/>
      <c r="MEY93" s="594"/>
      <c r="MEZ93" s="594"/>
      <c r="MFA93" s="594"/>
      <c r="MFB93" s="594"/>
      <c r="MFC93" s="594"/>
      <c r="MFD93" s="594"/>
      <c r="MFE93" s="594"/>
      <c r="MFF93" s="594"/>
      <c r="MFG93" s="594"/>
      <c r="MFH93" s="594"/>
      <c r="MFI93" s="594"/>
      <c r="MFJ93" s="594"/>
      <c r="MFK93" s="594"/>
      <c r="MFL93" s="594"/>
      <c r="MFM93" s="594"/>
      <c r="MFN93" s="594"/>
      <c r="MFO93" s="594"/>
      <c r="MFP93" s="594"/>
      <c r="MFQ93" s="594"/>
      <c r="MFR93" s="594"/>
      <c r="MFS93" s="594"/>
      <c r="MFT93" s="594"/>
      <c r="MFU93" s="594"/>
      <c r="MFV93" s="594"/>
      <c r="MFW93" s="594"/>
      <c r="MFX93" s="594"/>
      <c r="MFY93" s="594"/>
      <c r="MFZ93" s="594"/>
      <c r="MGA93" s="594"/>
      <c r="MGB93" s="594"/>
      <c r="MGC93" s="594"/>
      <c r="MGD93" s="594"/>
      <c r="MGE93" s="594"/>
      <c r="MGF93" s="594"/>
      <c r="MGG93" s="594"/>
      <c r="MGH93" s="594"/>
      <c r="MGI93" s="594"/>
      <c r="MGJ93" s="594"/>
      <c r="MGK93" s="594"/>
      <c r="MGL93" s="594"/>
      <c r="MGM93" s="594"/>
      <c r="MGN93" s="594"/>
      <c r="MGO93" s="594"/>
      <c r="MGP93" s="594"/>
      <c r="MGQ93" s="594"/>
      <c r="MGR93" s="594"/>
      <c r="MGS93" s="594"/>
      <c r="MGT93" s="594"/>
      <c r="MGU93" s="594"/>
      <c r="MGV93" s="594"/>
      <c r="MGW93" s="594"/>
      <c r="MGX93" s="594"/>
      <c r="MGY93" s="594"/>
      <c r="MGZ93" s="594"/>
      <c r="MHA93" s="594"/>
      <c r="MHB93" s="594"/>
      <c r="MHC93" s="594"/>
      <c r="MHD93" s="594"/>
      <c r="MHE93" s="594"/>
      <c r="MHF93" s="594"/>
      <c r="MHG93" s="594"/>
      <c r="MHH93" s="594"/>
      <c r="MHI93" s="594"/>
      <c r="MHJ93" s="594"/>
      <c r="MHK93" s="594"/>
      <c r="MHL93" s="594"/>
      <c r="MHM93" s="594"/>
      <c r="MHN93" s="594"/>
      <c r="MHO93" s="594"/>
      <c r="MHP93" s="594"/>
      <c r="MHQ93" s="594"/>
      <c r="MHR93" s="594"/>
      <c r="MHS93" s="594"/>
      <c r="MHT93" s="594"/>
      <c r="MHU93" s="594"/>
      <c r="MHV93" s="594"/>
      <c r="MHW93" s="594"/>
      <c r="MHX93" s="594"/>
      <c r="MHY93" s="594"/>
      <c r="MHZ93" s="594"/>
      <c r="MIA93" s="594"/>
      <c r="MIB93" s="594"/>
      <c r="MIC93" s="594"/>
      <c r="MID93" s="594"/>
      <c r="MIE93" s="594"/>
      <c r="MIF93" s="594"/>
      <c r="MIG93" s="594"/>
      <c r="MIH93" s="594"/>
      <c r="MII93" s="594"/>
      <c r="MIJ93" s="594"/>
      <c r="MIK93" s="594"/>
      <c r="MIL93" s="594"/>
      <c r="MIM93" s="594"/>
      <c r="MIN93" s="594"/>
      <c r="MIO93" s="594"/>
      <c r="MIP93" s="594"/>
      <c r="MIQ93" s="594"/>
      <c r="MIR93" s="594"/>
      <c r="MIS93" s="594"/>
      <c r="MIT93" s="594"/>
      <c r="MIU93" s="594"/>
      <c r="MIV93" s="594"/>
      <c r="MIW93" s="594"/>
      <c r="MIX93" s="594"/>
      <c r="MIY93" s="594"/>
      <c r="MIZ93" s="594"/>
      <c r="MJA93" s="594"/>
      <c r="MJB93" s="594"/>
      <c r="MJC93" s="594"/>
      <c r="MJD93" s="594"/>
      <c r="MJE93" s="594"/>
      <c r="MJF93" s="594"/>
      <c r="MJG93" s="594"/>
      <c r="MJH93" s="594"/>
      <c r="MJI93" s="594"/>
      <c r="MJJ93" s="594"/>
      <c r="MJK93" s="594"/>
      <c r="MJL93" s="594"/>
      <c r="MJM93" s="594"/>
      <c r="MJN93" s="594"/>
      <c r="MJO93" s="594"/>
      <c r="MJP93" s="594"/>
      <c r="MJQ93" s="594"/>
      <c r="MJR93" s="594"/>
      <c r="MJS93" s="594"/>
      <c r="MJT93" s="594"/>
      <c r="MJU93" s="594"/>
      <c r="MJV93" s="594"/>
      <c r="MJW93" s="594"/>
      <c r="MJX93" s="594"/>
      <c r="MJY93" s="594"/>
      <c r="MJZ93" s="594"/>
      <c r="MKA93" s="594"/>
      <c r="MKB93" s="594"/>
      <c r="MKC93" s="594"/>
      <c r="MKD93" s="594"/>
      <c r="MKE93" s="594"/>
      <c r="MKF93" s="594"/>
      <c r="MKG93" s="594"/>
      <c r="MKH93" s="594"/>
      <c r="MKI93" s="594"/>
      <c r="MKJ93" s="594"/>
      <c r="MKK93" s="594"/>
      <c r="MKL93" s="594"/>
      <c r="MKM93" s="594"/>
      <c r="MKN93" s="594"/>
      <c r="MKO93" s="594"/>
      <c r="MKP93" s="594"/>
      <c r="MKQ93" s="594"/>
      <c r="MKR93" s="594"/>
      <c r="MKS93" s="594"/>
      <c r="MKT93" s="594"/>
      <c r="MKU93" s="594"/>
      <c r="MKV93" s="594"/>
      <c r="MKW93" s="594"/>
      <c r="MKX93" s="594"/>
      <c r="MKY93" s="594"/>
      <c r="MKZ93" s="594"/>
      <c r="MLA93" s="594"/>
      <c r="MLB93" s="594"/>
      <c r="MLC93" s="594"/>
      <c r="MLD93" s="594"/>
      <c r="MLE93" s="594"/>
      <c r="MLF93" s="594"/>
      <c r="MLG93" s="594"/>
      <c r="MLH93" s="594"/>
      <c r="MLI93" s="594"/>
      <c r="MLJ93" s="594"/>
      <c r="MLK93" s="594"/>
      <c r="MLL93" s="594"/>
      <c r="MLM93" s="594"/>
      <c r="MLN93" s="594"/>
      <c r="MLO93" s="594"/>
      <c r="MLP93" s="594"/>
      <c r="MLQ93" s="594"/>
      <c r="MLR93" s="594"/>
      <c r="MLS93" s="594"/>
      <c r="MLT93" s="594"/>
      <c r="MLU93" s="594"/>
      <c r="MLV93" s="594"/>
      <c r="MLW93" s="594"/>
      <c r="MLX93" s="594"/>
      <c r="MLY93" s="594"/>
      <c r="MLZ93" s="594"/>
      <c r="MMA93" s="594"/>
      <c r="MMB93" s="594"/>
      <c r="MMC93" s="594"/>
      <c r="MMD93" s="594"/>
      <c r="MME93" s="594"/>
      <c r="MMF93" s="594"/>
      <c r="MMG93" s="594"/>
      <c r="MMH93" s="594"/>
      <c r="MMI93" s="594"/>
      <c r="MMJ93" s="594"/>
      <c r="MMK93" s="594"/>
      <c r="MML93" s="594"/>
      <c r="MMM93" s="594"/>
      <c r="MMN93" s="594"/>
      <c r="MMO93" s="594"/>
      <c r="MMP93" s="594"/>
      <c r="MMQ93" s="594"/>
      <c r="MMR93" s="594"/>
      <c r="MMS93" s="594"/>
      <c r="MMT93" s="594"/>
      <c r="MMU93" s="594"/>
      <c r="MMV93" s="594"/>
      <c r="MMW93" s="594"/>
      <c r="MMX93" s="594"/>
      <c r="MMY93" s="594"/>
      <c r="MMZ93" s="594"/>
      <c r="MNA93" s="594"/>
      <c r="MNB93" s="594"/>
      <c r="MNC93" s="594"/>
      <c r="MND93" s="594"/>
      <c r="MNE93" s="594"/>
      <c r="MNF93" s="594"/>
      <c r="MNG93" s="594"/>
      <c r="MNH93" s="594"/>
      <c r="MNI93" s="594"/>
      <c r="MNJ93" s="594"/>
      <c r="MNK93" s="594"/>
      <c r="MNL93" s="594"/>
      <c r="MNM93" s="594"/>
      <c r="MNN93" s="594"/>
      <c r="MNO93" s="594"/>
      <c r="MNP93" s="594"/>
      <c r="MNQ93" s="594"/>
      <c r="MNR93" s="594"/>
      <c r="MNS93" s="594"/>
      <c r="MNT93" s="594"/>
      <c r="MNU93" s="594"/>
      <c r="MNV93" s="594"/>
      <c r="MNW93" s="594"/>
      <c r="MNX93" s="594"/>
      <c r="MNY93" s="594"/>
      <c r="MNZ93" s="594"/>
      <c r="MOA93" s="594"/>
      <c r="MOB93" s="594"/>
      <c r="MOC93" s="594"/>
      <c r="MOD93" s="594"/>
      <c r="MOE93" s="594"/>
      <c r="MOF93" s="594"/>
      <c r="MOG93" s="594"/>
      <c r="MOH93" s="594"/>
      <c r="MOI93" s="594"/>
      <c r="MOJ93" s="594"/>
      <c r="MOK93" s="594"/>
      <c r="MOL93" s="594"/>
      <c r="MOM93" s="594"/>
      <c r="MON93" s="594"/>
      <c r="MOO93" s="594"/>
      <c r="MOP93" s="594"/>
      <c r="MOQ93" s="594"/>
      <c r="MOR93" s="594"/>
      <c r="MOS93" s="594"/>
      <c r="MOT93" s="594"/>
      <c r="MOU93" s="594"/>
      <c r="MOV93" s="594"/>
      <c r="MOW93" s="594"/>
      <c r="MOX93" s="594"/>
      <c r="MOY93" s="594"/>
      <c r="MOZ93" s="594"/>
      <c r="MPA93" s="594"/>
      <c r="MPB93" s="594"/>
      <c r="MPC93" s="594"/>
      <c r="MPD93" s="594"/>
      <c r="MPE93" s="594"/>
      <c r="MPF93" s="594"/>
      <c r="MPG93" s="594"/>
      <c r="MPH93" s="594"/>
      <c r="MPI93" s="594"/>
      <c r="MPJ93" s="594"/>
      <c r="MPK93" s="594"/>
      <c r="MPL93" s="594"/>
      <c r="MPM93" s="594"/>
      <c r="MPN93" s="594"/>
      <c r="MPO93" s="594"/>
      <c r="MPP93" s="594"/>
      <c r="MPQ93" s="594"/>
      <c r="MPR93" s="594"/>
      <c r="MPS93" s="594"/>
      <c r="MPT93" s="594"/>
      <c r="MPU93" s="594"/>
      <c r="MPV93" s="594"/>
      <c r="MPW93" s="594"/>
      <c r="MPX93" s="594"/>
      <c r="MPY93" s="594"/>
      <c r="MPZ93" s="594"/>
      <c r="MQA93" s="594"/>
      <c r="MQB93" s="594"/>
      <c r="MQC93" s="594"/>
      <c r="MQD93" s="594"/>
      <c r="MQE93" s="594"/>
      <c r="MQF93" s="594"/>
      <c r="MQG93" s="594"/>
      <c r="MQH93" s="594"/>
      <c r="MQI93" s="594"/>
      <c r="MQJ93" s="594"/>
      <c r="MQK93" s="594"/>
      <c r="MQL93" s="594"/>
      <c r="MQM93" s="594"/>
      <c r="MQN93" s="594"/>
      <c r="MQO93" s="594"/>
      <c r="MQP93" s="594"/>
      <c r="MQQ93" s="594"/>
      <c r="MQR93" s="594"/>
      <c r="MQS93" s="594"/>
      <c r="MQT93" s="594"/>
      <c r="MQU93" s="594"/>
      <c r="MQV93" s="594"/>
      <c r="MQW93" s="594"/>
      <c r="MQX93" s="594"/>
      <c r="MQY93" s="594"/>
      <c r="MQZ93" s="594"/>
      <c r="MRA93" s="594"/>
      <c r="MRB93" s="594"/>
      <c r="MRC93" s="594"/>
      <c r="MRD93" s="594"/>
      <c r="MRE93" s="594"/>
      <c r="MRF93" s="594"/>
      <c r="MRG93" s="594"/>
      <c r="MRH93" s="594"/>
      <c r="MRI93" s="594"/>
      <c r="MRJ93" s="594"/>
      <c r="MRK93" s="594"/>
      <c r="MRL93" s="594"/>
      <c r="MRM93" s="594"/>
      <c r="MRN93" s="594"/>
      <c r="MRO93" s="594"/>
      <c r="MRP93" s="594"/>
      <c r="MRQ93" s="594"/>
      <c r="MRR93" s="594"/>
      <c r="MRS93" s="594"/>
      <c r="MRT93" s="594"/>
      <c r="MRU93" s="594"/>
      <c r="MRV93" s="594"/>
      <c r="MRW93" s="594"/>
      <c r="MRX93" s="594"/>
      <c r="MRY93" s="594"/>
      <c r="MRZ93" s="594"/>
      <c r="MSA93" s="594"/>
      <c r="MSB93" s="594"/>
      <c r="MSC93" s="594"/>
      <c r="MSD93" s="594"/>
      <c r="MSE93" s="594"/>
      <c r="MSF93" s="594"/>
      <c r="MSG93" s="594"/>
      <c r="MSH93" s="594"/>
      <c r="MSI93" s="594"/>
      <c r="MSJ93" s="594"/>
      <c r="MSK93" s="594"/>
      <c r="MSL93" s="594"/>
      <c r="MSM93" s="594"/>
      <c r="MSN93" s="594"/>
      <c r="MSO93" s="594"/>
      <c r="MSP93" s="594"/>
      <c r="MSQ93" s="594"/>
      <c r="MSR93" s="594"/>
      <c r="MSS93" s="594"/>
      <c r="MST93" s="594"/>
      <c r="MSU93" s="594"/>
      <c r="MSV93" s="594"/>
      <c r="MSW93" s="594"/>
      <c r="MSX93" s="594"/>
      <c r="MSY93" s="594"/>
      <c r="MSZ93" s="594"/>
      <c r="MTA93" s="594"/>
      <c r="MTB93" s="594"/>
      <c r="MTC93" s="594"/>
      <c r="MTD93" s="594"/>
      <c r="MTE93" s="594"/>
      <c r="MTF93" s="594"/>
      <c r="MTG93" s="594"/>
      <c r="MTH93" s="594"/>
      <c r="MTI93" s="594"/>
      <c r="MTJ93" s="594"/>
      <c r="MTK93" s="594"/>
      <c r="MTL93" s="594"/>
      <c r="MTM93" s="594"/>
      <c r="MTN93" s="594"/>
      <c r="MTO93" s="594"/>
      <c r="MTP93" s="594"/>
      <c r="MTQ93" s="594"/>
      <c r="MTR93" s="594"/>
      <c r="MTS93" s="594"/>
      <c r="MTT93" s="594"/>
      <c r="MTU93" s="594"/>
      <c r="MTV93" s="594"/>
      <c r="MTW93" s="594"/>
      <c r="MTX93" s="594"/>
      <c r="MTY93" s="594"/>
      <c r="MTZ93" s="594"/>
      <c r="MUA93" s="594"/>
      <c r="MUB93" s="594"/>
      <c r="MUC93" s="594"/>
      <c r="MUD93" s="594"/>
      <c r="MUE93" s="594"/>
      <c r="MUF93" s="594"/>
      <c r="MUG93" s="594"/>
      <c r="MUH93" s="594"/>
      <c r="MUI93" s="594"/>
      <c r="MUJ93" s="594"/>
      <c r="MUK93" s="594"/>
      <c r="MUL93" s="594"/>
      <c r="MUM93" s="594"/>
      <c r="MUN93" s="594"/>
      <c r="MUO93" s="594"/>
      <c r="MUP93" s="594"/>
      <c r="MUQ93" s="594"/>
      <c r="MUR93" s="594"/>
      <c r="MUS93" s="594"/>
      <c r="MUT93" s="594"/>
      <c r="MUU93" s="594"/>
      <c r="MUV93" s="594"/>
      <c r="MUW93" s="594"/>
      <c r="MUX93" s="594"/>
      <c r="MUY93" s="594"/>
      <c r="MUZ93" s="594"/>
      <c r="MVA93" s="594"/>
      <c r="MVB93" s="594"/>
      <c r="MVC93" s="594"/>
      <c r="MVD93" s="594"/>
      <c r="MVE93" s="594"/>
      <c r="MVF93" s="594"/>
      <c r="MVG93" s="594"/>
      <c r="MVH93" s="594"/>
      <c r="MVI93" s="594"/>
      <c r="MVJ93" s="594"/>
      <c r="MVK93" s="594"/>
      <c r="MVL93" s="594"/>
      <c r="MVM93" s="594"/>
      <c r="MVN93" s="594"/>
      <c r="MVO93" s="594"/>
      <c r="MVP93" s="594"/>
      <c r="MVQ93" s="594"/>
      <c r="MVR93" s="594"/>
      <c r="MVS93" s="594"/>
      <c r="MVT93" s="594"/>
      <c r="MVU93" s="594"/>
      <c r="MVV93" s="594"/>
      <c r="MVW93" s="594"/>
      <c r="MVX93" s="594"/>
      <c r="MVY93" s="594"/>
      <c r="MVZ93" s="594"/>
      <c r="MWA93" s="594"/>
      <c r="MWB93" s="594"/>
      <c r="MWC93" s="594"/>
      <c r="MWD93" s="594"/>
      <c r="MWE93" s="594"/>
      <c r="MWF93" s="594"/>
      <c r="MWG93" s="594"/>
      <c r="MWH93" s="594"/>
      <c r="MWI93" s="594"/>
      <c r="MWJ93" s="594"/>
      <c r="MWK93" s="594"/>
      <c r="MWL93" s="594"/>
      <c r="MWM93" s="594"/>
      <c r="MWN93" s="594"/>
      <c r="MWO93" s="594"/>
      <c r="MWP93" s="594"/>
      <c r="MWQ93" s="594"/>
      <c r="MWR93" s="594"/>
      <c r="MWS93" s="594"/>
      <c r="MWT93" s="594"/>
      <c r="MWU93" s="594"/>
      <c r="MWV93" s="594"/>
      <c r="MWW93" s="594"/>
      <c r="MWX93" s="594"/>
      <c r="MWY93" s="594"/>
      <c r="MWZ93" s="594"/>
      <c r="MXA93" s="594"/>
      <c r="MXB93" s="594"/>
      <c r="MXC93" s="594"/>
      <c r="MXD93" s="594"/>
      <c r="MXE93" s="594"/>
      <c r="MXF93" s="594"/>
      <c r="MXG93" s="594"/>
      <c r="MXH93" s="594"/>
      <c r="MXI93" s="594"/>
      <c r="MXJ93" s="594"/>
      <c r="MXK93" s="594"/>
      <c r="MXL93" s="594"/>
      <c r="MXM93" s="594"/>
      <c r="MXN93" s="594"/>
      <c r="MXO93" s="594"/>
      <c r="MXP93" s="594"/>
      <c r="MXQ93" s="594"/>
      <c r="MXR93" s="594"/>
      <c r="MXS93" s="594"/>
      <c r="MXT93" s="594"/>
      <c r="MXU93" s="594"/>
      <c r="MXV93" s="594"/>
      <c r="MXW93" s="594"/>
      <c r="MXX93" s="594"/>
      <c r="MXY93" s="594"/>
      <c r="MXZ93" s="594"/>
      <c r="MYA93" s="594"/>
      <c r="MYB93" s="594"/>
      <c r="MYC93" s="594"/>
      <c r="MYD93" s="594"/>
      <c r="MYE93" s="594"/>
      <c r="MYF93" s="594"/>
      <c r="MYG93" s="594"/>
      <c r="MYH93" s="594"/>
      <c r="MYI93" s="594"/>
      <c r="MYJ93" s="594"/>
      <c r="MYK93" s="594"/>
      <c r="MYL93" s="594"/>
      <c r="MYM93" s="594"/>
      <c r="MYN93" s="594"/>
      <c r="MYO93" s="594"/>
      <c r="MYP93" s="594"/>
      <c r="MYQ93" s="594"/>
      <c r="MYR93" s="594"/>
      <c r="MYS93" s="594"/>
      <c r="MYT93" s="594"/>
      <c r="MYU93" s="594"/>
      <c r="MYV93" s="594"/>
      <c r="MYW93" s="594"/>
      <c r="MYX93" s="594"/>
      <c r="MYY93" s="594"/>
      <c r="MYZ93" s="594"/>
      <c r="MZA93" s="594"/>
      <c r="MZB93" s="594"/>
      <c r="MZC93" s="594"/>
      <c r="MZD93" s="594"/>
      <c r="MZE93" s="594"/>
      <c r="MZF93" s="594"/>
      <c r="MZG93" s="594"/>
      <c r="MZH93" s="594"/>
      <c r="MZI93" s="594"/>
      <c r="MZJ93" s="594"/>
      <c r="MZK93" s="594"/>
      <c r="MZL93" s="594"/>
      <c r="MZM93" s="594"/>
      <c r="MZN93" s="594"/>
      <c r="MZO93" s="594"/>
      <c r="MZP93" s="594"/>
      <c r="MZQ93" s="594"/>
      <c r="MZR93" s="594"/>
      <c r="MZS93" s="594"/>
      <c r="MZT93" s="594"/>
      <c r="MZU93" s="594"/>
      <c r="MZV93" s="594"/>
      <c r="MZW93" s="594"/>
      <c r="MZX93" s="594"/>
      <c r="MZY93" s="594"/>
      <c r="MZZ93" s="594"/>
      <c r="NAA93" s="594"/>
      <c r="NAB93" s="594"/>
      <c r="NAC93" s="594"/>
      <c r="NAD93" s="594"/>
      <c r="NAE93" s="594"/>
      <c r="NAF93" s="594"/>
      <c r="NAG93" s="594"/>
      <c r="NAH93" s="594"/>
      <c r="NAI93" s="594"/>
      <c r="NAJ93" s="594"/>
      <c r="NAK93" s="594"/>
      <c r="NAL93" s="594"/>
      <c r="NAM93" s="594"/>
      <c r="NAN93" s="594"/>
      <c r="NAO93" s="594"/>
      <c r="NAP93" s="594"/>
      <c r="NAQ93" s="594"/>
      <c r="NAR93" s="594"/>
      <c r="NAS93" s="594"/>
      <c r="NAT93" s="594"/>
      <c r="NAU93" s="594"/>
      <c r="NAV93" s="594"/>
      <c r="NAW93" s="594"/>
      <c r="NAX93" s="594"/>
      <c r="NAY93" s="594"/>
      <c r="NAZ93" s="594"/>
      <c r="NBA93" s="594"/>
      <c r="NBB93" s="594"/>
      <c r="NBC93" s="594"/>
      <c r="NBD93" s="594"/>
      <c r="NBE93" s="594"/>
      <c r="NBF93" s="594"/>
      <c r="NBG93" s="594"/>
      <c r="NBH93" s="594"/>
      <c r="NBI93" s="594"/>
      <c r="NBJ93" s="594"/>
      <c r="NBK93" s="594"/>
      <c r="NBL93" s="594"/>
      <c r="NBM93" s="594"/>
      <c r="NBN93" s="594"/>
      <c r="NBO93" s="594"/>
      <c r="NBP93" s="594"/>
      <c r="NBQ93" s="594"/>
      <c r="NBR93" s="594"/>
      <c r="NBS93" s="594"/>
      <c r="NBT93" s="594"/>
      <c r="NBU93" s="594"/>
      <c r="NBV93" s="594"/>
      <c r="NBW93" s="594"/>
      <c r="NBX93" s="594"/>
      <c r="NBY93" s="594"/>
      <c r="NBZ93" s="594"/>
      <c r="NCA93" s="594"/>
      <c r="NCB93" s="594"/>
      <c r="NCC93" s="594"/>
      <c r="NCD93" s="594"/>
      <c r="NCE93" s="594"/>
      <c r="NCF93" s="594"/>
      <c r="NCG93" s="594"/>
      <c r="NCH93" s="594"/>
      <c r="NCI93" s="594"/>
      <c r="NCJ93" s="594"/>
      <c r="NCK93" s="594"/>
      <c r="NCL93" s="594"/>
      <c r="NCM93" s="594"/>
      <c r="NCN93" s="594"/>
      <c r="NCO93" s="594"/>
      <c r="NCP93" s="594"/>
      <c r="NCQ93" s="594"/>
      <c r="NCR93" s="594"/>
      <c r="NCS93" s="594"/>
      <c r="NCT93" s="594"/>
      <c r="NCU93" s="594"/>
      <c r="NCV93" s="594"/>
      <c r="NCW93" s="594"/>
      <c r="NCX93" s="594"/>
      <c r="NCY93" s="594"/>
      <c r="NCZ93" s="594"/>
      <c r="NDA93" s="594"/>
      <c r="NDB93" s="594"/>
      <c r="NDC93" s="594"/>
      <c r="NDD93" s="594"/>
      <c r="NDE93" s="594"/>
      <c r="NDF93" s="594"/>
      <c r="NDG93" s="594"/>
      <c r="NDH93" s="594"/>
      <c r="NDI93" s="594"/>
      <c r="NDJ93" s="594"/>
      <c r="NDK93" s="594"/>
      <c r="NDL93" s="594"/>
      <c r="NDM93" s="594"/>
      <c r="NDN93" s="594"/>
      <c r="NDO93" s="594"/>
      <c r="NDP93" s="594"/>
      <c r="NDQ93" s="594"/>
      <c r="NDR93" s="594"/>
      <c r="NDS93" s="594"/>
      <c r="NDT93" s="594"/>
      <c r="NDU93" s="594"/>
      <c r="NDV93" s="594"/>
      <c r="NDW93" s="594"/>
      <c r="NDX93" s="594"/>
      <c r="NDY93" s="594"/>
      <c r="NDZ93" s="594"/>
      <c r="NEA93" s="594"/>
      <c r="NEB93" s="594"/>
      <c r="NEC93" s="594"/>
      <c r="NED93" s="594"/>
      <c r="NEE93" s="594"/>
      <c r="NEF93" s="594"/>
      <c r="NEG93" s="594"/>
      <c r="NEH93" s="594"/>
      <c r="NEI93" s="594"/>
      <c r="NEJ93" s="594"/>
      <c r="NEK93" s="594"/>
      <c r="NEL93" s="594"/>
      <c r="NEM93" s="594"/>
      <c r="NEN93" s="594"/>
      <c r="NEO93" s="594"/>
      <c r="NEP93" s="594"/>
      <c r="NEQ93" s="594"/>
      <c r="NER93" s="594"/>
      <c r="NES93" s="594"/>
      <c r="NET93" s="594"/>
      <c r="NEU93" s="594"/>
      <c r="NEV93" s="594"/>
      <c r="NEW93" s="594"/>
      <c r="NEX93" s="594"/>
      <c r="NEY93" s="594"/>
      <c r="NEZ93" s="594"/>
      <c r="NFA93" s="594"/>
      <c r="NFB93" s="594"/>
      <c r="NFC93" s="594"/>
      <c r="NFD93" s="594"/>
      <c r="NFE93" s="594"/>
      <c r="NFF93" s="594"/>
      <c r="NFG93" s="594"/>
      <c r="NFH93" s="594"/>
      <c r="NFI93" s="594"/>
      <c r="NFJ93" s="594"/>
      <c r="NFK93" s="594"/>
      <c r="NFL93" s="594"/>
      <c r="NFM93" s="594"/>
      <c r="NFN93" s="594"/>
      <c r="NFO93" s="594"/>
      <c r="NFP93" s="594"/>
      <c r="NFQ93" s="594"/>
      <c r="NFR93" s="594"/>
      <c r="NFS93" s="594"/>
      <c r="NFT93" s="594"/>
      <c r="NFU93" s="594"/>
      <c r="NFV93" s="594"/>
      <c r="NFW93" s="594"/>
      <c r="NFX93" s="594"/>
      <c r="NFY93" s="594"/>
      <c r="NFZ93" s="594"/>
      <c r="NGA93" s="594"/>
      <c r="NGB93" s="594"/>
      <c r="NGC93" s="594"/>
      <c r="NGD93" s="594"/>
      <c r="NGE93" s="594"/>
      <c r="NGF93" s="594"/>
      <c r="NGG93" s="594"/>
      <c r="NGH93" s="594"/>
      <c r="NGI93" s="594"/>
      <c r="NGJ93" s="594"/>
      <c r="NGK93" s="594"/>
      <c r="NGL93" s="594"/>
      <c r="NGM93" s="594"/>
      <c r="NGN93" s="594"/>
      <c r="NGO93" s="594"/>
      <c r="NGP93" s="594"/>
      <c r="NGQ93" s="594"/>
      <c r="NGR93" s="594"/>
      <c r="NGS93" s="594"/>
      <c r="NGT93" s="594"/>
      <c r="NGU93" s="594"/>
      <c r="NGV93" s="594"/>
      <c r="NGW93" s="594"/>
      <c r="NGX93" s="594"/>
      <c r="NGY93" s="594"/>
      <c r="NGZ93" s="594"/>
      <c r="NHA93" s="594"/>
      <c r="NHB93" s="594"/>
      <c r="NHC93" s="594"/>
      <c r="NHD93" s="594"/>
      <c r="NHE93" s="594"/>
      <c r="NHF93" s="594"/>
      <c r="NHG93" s="594"/>
      <c r="NHH93" s="594"/>
      <c r="NHI93" s="594"/>
      <c r="NHJ93" s="594"/>
      <c r="NHK93" s="594"/>
      <c r="NHL93" s="594"/>
      <c r="NHM93" s="594"/>
      <c r="NHN93" s="594"/>
      <c r="NHO93" s="594"/>
      <c r="NHP93" s="594"/>
      <c r="NHQ93" s="594"/>
      <c r="NHR93" s="594"/>
      <c r="NHS93" s="594"/>
      <c r="NHT93" s="594"/>
      <c r="NHU93" s="594"/>
      <c r="NHV93" s="594"/>
      <c r="NHW93" s="594"/>
      <c r="NHX93" s="594"/>
      <c r="NHY93" s="594"/>
      <c r="NHZ93" s="594"/>
      <c r="NIA93" s="594"/>
      <c r="NIB93" s="594"/>
      <c r="NIC93" s="594"/>
      <c r="NID93" s="594"/>
      <c r="NIE93" s="594"/>
      <c r="NIF93" s="594"/>
      <c r="NIG93" s="594"/>
      <c r="NIH93" s="594"/>
      <c r="NII93" s="594"/>
      <c r="NIJ93" s="594"/>
      <c r="NIK93" s="594"/>
      <c r="NIL93" s="594"/>
      <c r="NIM93" s="594"/>
      <c r="NIN93" s="594"/>
      <c r="NIO93" s="594"/>
      <c r="NIP93" s="594"/>
      <c r="NIQ93" s="594"/>
      <c r="NIR93" s="594"/>
      <c r="NIS93" s="594"/>
      <c r="NIT93" s="594"/>
      <c r="NIU93" s="594"/>
      <c r="NIV93" s="594"/>
      <c r="NIW93" s="594"/>
      <c r="NIX93" s="594"/>
      <c r="NIY93" s="594"/>
      <c r="NIZ93" s="594"/>
      <c r="NJA93" s="594"/>
      <c r="NJB93" s="594"/>
      <c r="NJC93" s="594"/>
      <c r="NJD93" s="594"/>
      <c r="NJE93" s="594"/>
      <c r="NJF93" s="594"/>
      <c r="NJG93" s="594"/>
      <c r="NJH93" s="594"/>
      <c r="NJI93" s="594"/>
      <c r="NJJ93" s="594"/>
      <c r="NJK93" s="594"/>
      <c r="NJL93" s="594"/>
      <c r="NJM93" s="594"/>
      <c r="NJN93" s="594"/>
      <c r="NJO93" s="594"/>
      <c r="NJP93" s="594"/>
      <c r="NJQ93" s="594"/>
      <c r="NJR93" s="594"/>
      <c r="NJS93" s="594"/>
      <c r="NJT93" s="594"/>
      <c r="NJU93" s="594"/>
      <c r="NJV93" s="594"/>
      <c r="NJW93" s="594"/>
      <c r="NJX93" s="594"/>
      <c r="NJY93" s="594"/>
      <c r="NJZ93" s="594"/>
      <c r="NKA93" s="594"/>
      <c r="NKB93" s="594"/>
      <c r="NKC93" s="594"/>
      <c r="NKD93" s="594"/>
      <c r="NKE93" s="594"/>
      <c r="NKF93" s="594"/>
      <c r="NKG93" s="594"/>
      <c r="NKH93" s="594"/>
      <c r="NKI93" s="594"/>
      <c r="NKJ93" s="594"/>
      <c r="NKK93" s="594"/>
      <c r="NKL93" s="594"/>
      <c r="NKM93" s="594"/>
      <c r="NKN93" s="594"/>
      <c r="NKO93" s="594"/>
      <c r="NKP93" s="594"/>
      <c r="NKQ93" s="594"/>
      <c r="NKR93" s="594"/>
      <c r="NKS93" s="594"/>
      <c r="NKT93" s="594"/>
      <c r="NKU93" s="594"/>
      <c r="NKV93" s="594"/>
      <c r="NKW93" s="594"/>
      <c r="NKX93" s="594"/>
      <c r="NKY93" s="594"/>
      <c r="NKZ93" s="594"/>
      <c r="NLA93" s="594"/>
      <c r="NLB93" s="594"/>
      <c r="NLC93" s="594"/>
      <c r="NLD93" s="594"/>
      <c r="NLE93" s="594"/>
      <c r="NLF93" s="594"/>
      <c r="NLG93" s="594"/>
      <c r="NLH93" s="594"/>
      <c r="NLI93" s="594"/>
      <c r="NLJ93" s="594"/>
      <c r="NLK93" s="594"/>
      <c r="NLL93" s="594"/>
      <c r="NLM93" s="594"/>
      <c r="NLN93" s="594"/>
      <c r="NLO93" s="594"/>
      <c r="NLP93" s="594"/>
      <c r="NLQ93" s="594"/>
      <c r="NLR93" s="594"/>
      <c r="NLS93" s="594"/>
      <c r="NLT93" s="594"/>
      <c r="NLU93" s="594"/>
      <c r="NLV93" s="594"/>
      <c r="NLW93" s="594"/>
      <c r="NLX93" s="594"/>
      <c r="NLY93" s="594"/>
      <c r="NLZ93" s="594"/>
      <c r="NMA93" s="594"/>
      <c r="NMB93" s="594"/>
      <c r="NMC93" s="594"/>
      <c r="NMD93" s="594"/>
      <c r="NME93" s="594"/>
      <c r="NMF93" s="594"/>
      <c r="NMG93" s="594"/>
      <c r="NMH93" s="594"/>
      <c r="NMI93" s="594"/>
      <c r="NMJ93" s="594"/>
      <c r="NMK93" s="594"/>
      <c r="NML93" s="594"/>
      <c r="NMM93" s="594"/>
      <c r="NMN93" s="594"/>
      <c r="NMO93" s="594"/>
      <c r="NMP93" s="594"/>
      <c r="NMQ93" s="594"/>
      <c r="NMR93" s="594"/>
      <c r="NMS93" s="594"/>
      <c r="NMT93" s="594"/>
      <c r="NMU93" s="594"/>
      <c r="NMV93" s="594"/>
      <c r="NMW93" s="594"/>
      <c r="NMX93" s="594"/>
      <c r="NMY93" s="594"/>
      <c r="NMZ93" s="594"/>
      <c r="NNA93" s="594"/>
      <c r="NNB93" s="594"/>
      <c r="NNC93" s="594"/>
      <c r="NND93" s="594"/>
      <c r="NNE93" s="594"/>
      <c r="NNF93" s="594"/>
      <c r="NNG93" s="594"/>
      <c r="NNH93" s="594"/>
      <c r="NNI93" s="594"/>
      <c r="NNJ93" s="594"/>
      <c r="NNK93" s="594"/>
      <c r="NNL93" s="594"/>
      <c r="NNM93" s="594"/>
      <c r="NNN93" s="594"/>
      <c r="NNO93" s="594"/>
      <c r="NNP93" s="594"/>
      <c r="NNQ93" s="594"/>
      <c r="NNR93" s="594"/>
      <c r="NNS93" s="594"/>
      <c r="NNT93" s="594"/>
      <c r="NNU93" s="594"/>
      <c r="NNV93" s="594"/>
      <c r="NNW93" s="594"/>
      <c r="NNX93" s="594"/>
      <c r="NNY93" s="594"/>
      <c r="NNZ93" s="594"/>
      <c r="NOA93" s="594"/>
      <c r="NOB93" s="594"/>
      <c r="NOC93" s="594"/>
      <c r="NOD93" s="594"/>
      <c r="NOE93" s="594"/>
      <c r="NOF93" s="594"/>
      <c r="NOG93" s="594"/>
      <c r="NOH93" s="594"/>
      <c r="NOI93" s="594"/>
      <c r="NOJ93" s="594"/>
      <c r="NOK93" s="594"/>
      <c r="NOL93" s="594"/>
      <c r="NOM93" s="594"/>
      <c r="NON93" s="594"/>
      <c r="NOO93" s="594"/>
      <c r="NOP93" s="594"/>
      <c r="NOQ93" s="594"/>
      <c r="NOR93" s="594"/>
      <c r="NOS93" s="594"/>
      <c r="NOT93" s="594"/>
      <c r="NOU93" s="594"/>
      <c r="NOV93" s="594"/>
      <c r="NOW93" s="594"/>
      <c r="NOX93" s="594"/>
      <c r="NOY93" s="594"/>
      <c r="NOZ93" s="594"/>
      <c r="NPA93" s="594"/>
      <c r="NPB93" s="594"/>
      <c r="NPC93" s="594"/>
      <c r="NPD93" s="594"/>
      <c r="NPE93" s="594"/>
      <c r="NPF93" s="594"/>
      <c r="NPG93" s="594"/>
      <c r="NPH93" s="594"/>
      <c r="NPI93" s="594"/>
      <c r="NPJ93" s="594"/>
      <c r="NPK93" s="594"/>
      <c r="NPL93" s="594"/>
      <c r="NPM93" s="594"/>
      <c r="NPN93" s="594"/>
      <c r="NPO93" s="594"/>
      <c r="NPP93" s="594"/>
      <c r="NPQ93" s="594"/>
      <c r="NPR93" s="594"/>
      <c r="NPS93" s="594"/>
      <c r="NPT93" s="594"/>
      <c r="NPU93" s="594"/>
      <c r="NPV93" s="594"/>
      <c r="NPW93" s="594"/>
      <c r="NPX93" s="594"/>
      <c r="NPY93" s="594"/>
      <c r="NPZ93" s="594"/>
      <c r="NQA93" s="594"/>
      <c r="NQB93" s="594"/>
      <c r="NQC93" s="594"/>
      <c r="NQD93" s="594"/>
      <c r="NQE93" s="594"/>
      <c r="NQF93" s="594"/>
      <c r="NQG93" s="594"/>
      <c r="NQH93" s="594"/>
      <c r="NQI93" s="594"/>
      <c r="NQJ93" s="594"/>
      <c r="NQK93" s="594"/>
      <c r="NQL93" s="594"/>
      <c r="NQM93" s="594"/>
      <c r="NQN93" s="594"/>
      <c r="NQO93" s="594"/>
      <c r="NQP93" s="594"/>
      <c r="NQQ93" s="594"/>
      <c r="NQR93" s="594"/>
      <c r="NQS93" s="594"/>
      <c r="NQT93" s="594"/>
      <c r="NQU93" s="594"/>
      <c r="NQV93" s="594"/>
      <c r="NQW93" s="594"/>
      <c r="NQX93" s="594"/>
      <c r="NQY93" s="594"/>
      <c r="NQZ93" s="594"/>
      <c r="NRA93" s="594"/>
      <c r="NRB93" s="594"/>
      <c r="NRC93" s="594"/>
      <c r="NRD93" s="594"/>
      <c r="NRE93" s="594"/>
      <c r="NRF93" s="594"/>
      <c r="NRG93" s="594"/>
      <c r="NRH93" s="594"/>
      <c r="NRI93" s="594"/>
      <c r="NRJ93" s="594"/>
      <c r="NRK93" s="594"/>
      <c r="NRL93" s="594"/>
      <c r="NRM93" s="594"/>
      <c r="NRN93" s="594"/>
      <c r="NRO93" s="594"/>
      <c r="NRP93" s="594"/>
      <c r="NRQ93" s="594"/>
      <c r="NRR93" s="594"/>
      <c r="NRS93" s="594"/>
      <c r="NRT93" s="594"/>
      <c r="NRU93" s="594"/>
      <c r="NRV93" s="594"/>
      <c r="NRW93" s="594"/>
      <c r="NRX93" s="594"/>
      <c r="NRY93" s="594"/>
      <c r="NRZ93" s="594"/>
      <c r="NSA93" s="594"/>
      <c r="NSB93" s="594"/>
      <c r="NSC93" s="594"/>
      <c r="NSD93" s="594"/>
      <c r="NSE93" s="594"/>
      <c r="NSF93" s="594"/>
      <c r="NSG93" s="594"/>
      <c r="NSH93" s="594"/>
      <c r="NSI93" s="594"/>
      <c r="NSJ93" s="594"/>
      <c r="NSK93" s="594"/>
      <c r="NSL93" s="594"/>
      <c r="NSM93" s="594"/>
      <c r="NSN93" s="594"/>
      <c r="NSO93" s="594"/>
      <c r="NSP93" s="594"/>
      <c r="NSQ93" s="594"/>
      <c r="NSR93" s="594"/>
      <c r="NSS93" s="594"/>
      <c r="NST93" s="594"/>
      <c r="NSU93" s="594"/>
      <c r="NSV93" s="594"/>
      <c r="NSW93" s="594"/>
      <c r="NSX93" s="594"/>
      <c r="NSY93" s="594"/>
      <c r="NSZ93" s="594"/>
      <c r="NTA93" s="594"/>
      <c r="NTB93" s="594"/>
      <c r="NTC93" s="594"/>
      <c r="NTD93" s="594"/>
      <c r="NTE93" s="594"/>
      <c r="NTF93" s="594"/>
      <c r="NTG93" s="594"/>
      <c r="NTH93" s="594"/>
      <c r="NTI93" s="594"/>
      <c r="NTJ93" s="594"/>
      <c r="NTK93" s="594"/>
      <c r="NTL93" s="594"/>
      <c r="NTM93" s="594"/>
      <c r="NTN93" s="594"/>
      <c r="NTO93" s="594"/>
      <c r="NTP93" s="594"/>
      <c r="NTQ93" s="594"/>
      <c r="NTR93" s="594"/>
      <c r="NTS93" s="594"/>
      <c r="NTT93" s="594"/>
      <c r="NTU93" s="594"/>
      <c r="NTV93" s="594"/>
      <c r="NTW93" s="594"/>
      <c r="NTX93" s="594"/>
      <c r="NTY93" s="594"/>
      <c r="NTZ93" s="594"/>
      <c r="NUA93" s="594"/>
      <c r="NUB93" s="594"/>
      <c r="NUC93" s="594"/>
      <c r="NUD93" s="594"/>
      <c r="NUE93" s="594"/>
      <c r="NUF93" s="594"/>
      <c r="NUG93" s="594"/>
      <c r="NUH93" s="594"/>
      <c r="NUI93" s="594"/>
      <c r="NUJ93" s="594"/>
      <c r="NUK93" s="594"/>
      <c r="NUL93" s="594"/>
      <c r="NUM93" s="594"/>
      <c r="NUN93" s="594"/>
      <c r="NUO93" s="594"/>
      <c r="NUP93" s="594"/>
      <c r="NUQ93" s="594"/>
      <c r="NUR93" s="594"/>
      <c r="NUS93" s="594"/>
      <c r="NUT93" s="594"/>
      <c r="NUU93" s="594"/>
      <c r="NUV93" s="594"/>
      <c r="NUW93" s="594"/>
      <c r="NUX93" s="594"/>
      <c r="NUY93" s="594"/>
      <c r="NUZ93" s="594"/>
      <c r="NVA93" s="594"/>
      <c r="NVB93" s="594"/>
      <c r="NVC93" s="594"/>
      <c r="NVD93" s="594"/>
      <c r="NVE93" s="594"/>
      <c r="NVF93" s="594"/>
      <c r="NVG93" s="594"/>
      <c r="NVH93" s="594"/>
      <c r="NVI93" s="594"/>
      <c r="NVJ93" s="594"/>
      <c r="NVK93" s="594"/>
      <c r="NVL93" s="594"/>
      <c r="NVM93" s="594"/>
      <c r="NVN93" s="594"/>
      <c r="NVO93" s="594"/>
      <c r="NVP93" s="594"/>
      <c r="NVQ93" s="594"/>
      <c r="NVR93" s="594"/>
      <c r="NVS93" s="594"/>
      <c r="NVT93" s="594"/>
      <c r="NVU93" s="594"/>
      <c r="NVV93" s="594"/>
      <c r="NVW93" s="594"/>
      <c r="NVX93" s="594"/>
      <c r="NVY93" s="594"/>
      <c r="NVZ93" s="594"/>
      <c r="NWA93" s="594"/>
      <c r="NWB93" s="594"/>
      <c r="NWC93" s="594"/>
      <c r="NWD93" s="594"/>
      <c r="NWE93" s="594"/>
      <c r="NWF93" s="594"/>
      <c r="NWG93" s="594"/>
      <c r="NWH93" s="594"/>
      <c r="NWI93" s="594"/>
      <c r="NWJ93" s="594"/>
      <c r="NWK93" s="594"/>
      <c r="NWL93" s="594"/>
      <c r="NWM93" s="594"/>
      <c r="NWN93" s="594"/>
      <c r="NWO93" s="594"/>
      <c r="NWP93" s="594"/>
      <c r="NWQ93" s="594"/>
      <c r="NWR93" s="594"/>
      <c r="NWS93" s="594"/>
      <c r="NWT93" s="594"/>
      <c r="NWU93" s="594"/>
      <c r="NWV93" s="594"/>
      <c r="NWW93" s="594"/>
      <c r="NWX93" s="594"/>
      <c r="NWY93" s="594"/>
      <c r="NWZ93" s="594"/>
      <c r="NXA93" s="594"/>
      <c r="NXB93" s="594"/>
      <c r="NXC93" s="594"/>
      <c r="NXD93" s="594"/>
      <c r="NXE93" s="594"/>
      <c r="NXF93" s="594"/>
      <c r="NXG93" s="594"/>
      <c r="NXH93" s="594"/>
      <c r="NXI93" s="594"/>
      <c r="NXJ93" s="594"/>
      <c r="NXK93" s="594"/>
      <c r="NXL93" s="594"/>
      <c r="NXM93" s="594"/>
      <c r="NXN93" s="594"/>
      <c r="NXO93" s="594"/>
      <c r="NXP93" s="594"/>
      <c r="NXQ93" s="594"/>
      <c r="NXR93" s="594"/>
      <c r="NXS93" s="594"/>
      <c r="NXT93" s="594"/>
      <c r="NXU93" s="594"/>
      <c r="NXV93" s="594"/>
      <c r="NXW93" s="594"/>
      <c r="NXX93" s="594"/>
      <c r="NXY93" s="594"/>
      <c r="NXZ93" s="594"/>
      <c r="NYA93" s="594"/>
      <c r="NYB93" s="594"/>
      <c r="NYC93" s="594"/>
      <c r="NYD93" s="594"/>
      <c r="NYE93" s="594"/>
      <c r="NYF93" s="594"/>
      <c r="NYG93" s="594"/>
      <c r="NYH93" s="594"/>
      <c r="NYI93" s="594"/>
      <c r="NYJ93" s="594"/>
      <c r="NYK93" s="594"/>
      <c r="NYL93" s="594"/>
      <c r="NYM93" s="594"/>
      <c r="NYN93" s="594"/>
      <c r="NYO93" s="594"/>
      <c r="NYP93" s="594"/>
      <c r="NYQ93" s="594"/>
      <c r="NYR93" s="594"/>
      <c r="NYS93" s="594"/>
      <c r="NYT93" s="594"/>
      <c r="NYU93" s="594"/>
      <c r="NYV93" s="594"/>
      <c r="NYW93" s="594"/>
      <c r="NYX93" s="594"/>
      <c r="NYY93" s="594"/>
      <c r="NYZ93" s="594"/>
      <c r="NZA93" s="594"/>
      <c r="NZB93" s="594"/>
      <c r="NZC93" s="594"/>
      <c r="NZD93" s="594"/>
      <c r="NZE93" s="594"/>
      <c r="NZF93" s="594"/>
      <c r="NZG93" s="594"/>
      <c r="NZH93" s="594"/>
      <c r="NZI93" s="594"/>
      <c r="NZJ93" s="594"/>
      <c r="NZK93" s="594"/>
      <c r="NZL93" s="594"/>
      <c r="NZM93" s="594"/>
      <c r="NZN93" s="594"/>
      <c r="NZO93" s="594"/>
      <c r="NZP93" s="594"/>
      <c r="NZQ93" s="594"/>
      <c r="NZR93" s="594"/>
      <c r="NZS93" s="594"/>
      <c r="NZT93" s="594"/>
      <c r="NZU93" s="594"/>
      <c r="NZV93" s="594"/>
      <c r="NZW93" s="594"/>
      <c r="NZX93" s="594"/>
      <c r="NZY93" s="594"/>
      <c r="NZZ93" s="594"/>
      <c r="OAA93" s="594"/>
      <c r="OAB93" s="594"/>
      <c r="OAC93" s="594"/>
      <c r="OAD93" s="594"/>
      <c r="OAE93" s="594"/>
      <c r="OAF93" s="594"/>
      <c r="OAG93" s="594"/>
      <c r="OAH93" s="594"/>
      <c r="OAI93" s="594"/>
      <c r="OAJ93" s="594"/>
      <c r="OAK93" s="594"/>
      <c r="OAL93" s="594"/>
      <c r="OAM93" s="594"/>
      <c r="OAN93" s="594"/>
      <c r="OAO93" s="594"/>
      <c r="OAP93" s="594"/>
      <c r="OAQ93" s="594"/>
      <c r="OAR93" s="594"/>
      <c r="OAS93" s="594"/>
      <c r="OAT93" s="594"/>
      <c r="OAU93" s="594"/>
      <c r="OAV93" s="594"/>
      <c r="OAW93" s="594"/>
      <c r="OAX93" s="594"/>
      <c r="OAY93" s="594"/>
      <c r="OAZ93" s="594"/>
      <c r="OBA93" s="594"/>
      <c r="OBB93" s="594"/>
      <c r="OBC93" s="594"/>
      <c r="OBD93" s="594"/>
      <c r="OBE93" s="594"/>
      <c r="OBF93" s="594"/>
      <c r="OBG93" s="594"/>
      <c r="OBH93" s="594"/>
      <c r="OBI93" s="594"/>
      <c r="OBJ93" s="594"/>
      <c r="OBK93" s="594"/>
      <c r="OBL93" s="594"/>
      <c r="OBM93" s="594"/>
      <c r="OBN93" s="594"/>
      <c r="OBO93" s="594"/>
      <c r="OBP93" s="594"/>
      <c r="OBQ93" s="594"/>
      <c r="OBR93" s="594"/>
      <c r="OBS93" s="594"/>
      <c r="OBT93" s="594"/>
      <c r="OBU93" s="594"/>
      <c r="OBV93" s="594"/>
      <c r="OBW93" s="594"/>
      <c r="OBX93" s="594"/>
      <c r="OBY93" s="594"/>
      <c r="OBZ93" s="594"/>
      <c r="OCA93" s="594"/>
      <c r="OCB93" s="594"/>
      <c r="OCC93" s="594"/>
      <c r="OCD93" s="594"/>
      <c r="OCE93" s="594"/>
      <c r="OCF93" s="594"/>
      <c r="OCG93" s="594"/>
      <c r="OCH93" s="594"/>
      <c r="OCI93" s="594"/>
      <c r="OCJ93" s="594"/>
      <c r="OCK93" s="594"/>
      <c r="OCL93" s="594"/>
      <c r="OCM93" s="594"/>
      <c r="OCN93" s="594"/>
      <c r="OCO93" s="594"/>
      <c r="OCP93" s="594"/>
      <c r="OCQ93" s="594"/>
      <c r="OCR93" s="594"/>
      <c r="OCS93" s="594"/>
      <c r="OCT93" s="594"/>
      <c r="OCU93" s="594"/>
      <c r="OCV93" s="594"/>
      <c r="OCW93" s="594"/>
      <c r="OCX93" s="594"/>
      <c r="OCY93" s="594"/>
      <c r="OCZ93" s="594"/>
      <c r="ODA93" s="594"/>
      <c r="ODB93" s="594"/>
      <c r="ODC93" s="594"/>
      <c r="ODD93" s="594"/>
      <c r="ODE93" s="594"/>
      <c r="ODF93" s="594"/>
      <c r="ODG93" s="594"/>
      <c r="ODH93" s="594"/>
      <c r="ODI93" s="594"/>
      <c r="ODJ93" s="594"/>
      <c r="ODK93" s="594"/>
      <c r="ODL93" s="594"/>
      <c r="ODM93" s="594"/>
      <c r="ODN93" s="594"/>
      <c r="ODO93" s="594"/>
      <c r="ODP93" s="594"/>
      <c r="ODQ93" s="594"/>
      <c r="ODR93" s="594"/>
      <c r="ODS93" s="594"/>
      <c r="ODT93" s="594"/>
      <c r="ODU93" s="594"/>
      <c r="ODV93" s="594"/>
      <c r="ODW93" s="594"/>
      <c r="ODX93" s="594"/>
      <c r="ODY93" s="594"/>
      <c r="ODZ93" s="594"/>
      <c r="OEA93" s="594"/>
      <c r="OEB93" s="594"/>
      <c r="OEC93" s="594"/>
      <c r="OED93" s="594"/>
      <c r="OEE93" s="594"/>
      <c r="OEF93" s="594"/>
      <c r="OEG93" s="594"/>
      <c r="OEH93" s="594"/>
      <c r="OEI93" s="594"/>
      <c r="OEJ93" s="594"/>
      <c r="OEK93" s="594"/>
      <c r="OEL93" s="594"/>
      <c r="OEM93" s="594"/>
      <c r="OEN93" s="594"/>
      <c r="OEO93" s="594"/>
      <c r="OEP93" s="594"/>
      <c r="OEQ93" s="594"/>
      <c r="OER93" s="594"/>
      <c r="OES93" s="594"/>
      <c r="OET93" s="594"/>
      <c r="OEU93" s="594"/>
      <c r="OEV93" s="594"/>
      <c r="OEW93" s="594"/>
      <c r="OEX93" s="594"/>
      <c r="OEY93" s="594"/>
      <c r="OEZ93" s="594"/>
      <c r="OFA93" s="594"/>
      <c r="OFB93" s="594"/>
      <c r="OFC93" s="594"/>
      <c r="OFD93" s="594"/>
      <c r="OFE93" s="594"/>
      <c r="OFF93" s="594"/>
      <c r="OFG93" s="594"/>
      <c r="OFH93" s="594"/>
      <c r="OFI93" s="594"/>
      <c r="OFJ93" s="594"/>
      <c r="OFK93" s="594"/>
      <c r="OFL93" s="594"/>
      <c r="OFM93" s="594"/>
      <c r="OFN93" s="594"/>
      <c r="OFO93" s="594"/>
      <c r="OFP93" s="594"/>
      <c r="OFQ93" s="594"/>
      <c r="OFR93" s="594"/>
      <c r="OFS93" s="594"/>
      <c r="OFT93" s="594"/>
      <c r="OFU93" s="594"/>
      <c r="OFV93" s="594"/>
      <c r="OFW93" s="594"/>
      <c r="OFX93" s="594"/>
      <c r="OFY93" s="594"/>
      <c r="OFZ93" s="594"/>
      <c r="OGA93" s="594"/>
      <c r="OGB93" s="594"/>
      <c r="OGC93" s="594"/>
      <c r="OGD93" s="594"/>
      <c r="OGE93" s="594"/>
      <c r="OGF93" s="594"/>
      <c r="OGG93" s="594"/>
      <c r="OGH93" s="594"/>
      <c r="OGI93" s="594"/>
      <c r="OGJ93" s="594"/>
      <c r="OGK93" s="594"/>
      <c r="OGL93" s="594"/>
      <c r="OGM93" s="594"/>
      <c r="OGN93" s="594"/>
      <c r="OGO93" s="594"/>
      <c r="OGP93" s="594"/>
      <c r="OGQ93" s="594"/>
      <c r="OGR93" s="594"/>
      <c r="OGS93" s="594"/>
      <c r="OGT93" s="594"/>
      <c r="OGU93" s="594"/>
      <c r="OGV93" s="594"/>
      <c r="OGW93" s="594"/>
      <c r="OGX93" s="594"/>
      <c r="OGY93" s="594"/>
      <c r="OGZ93" s="594"/>
      <c r="OHA93" s="594"/>
      <c r="OHB93" s="594"/>
      <c r="OHC93" s="594"/>
      <c r="OHD93" s="594"/>
      <c r="OHE93" s="594"/>
      <c r="OHF93" s="594"/>
      <c r="OHG93" s="594"/>
      <c r="OHH93" s="594"/>
      <c r="OHI93" s="594"/>
      <c r="OHJ93" s="594"/>
      <c r="OHK93" s="594"/>
      <c r="OHL93" s="594"/>
      <c r="OHM93" s="594"/>
      <c r="OHN93" s="594"/>
      <c r="OHO93" s="594"/>
      <c r="OHP93" s="594"/>
      <c r="OHQ93" s="594"/>
      <c r="OHR93" s="594"/>
      <c r="OHS93" s="594"/>
      <c r="OHT93" s="594"/>
      <c r="OHU93" s="594"/>
      <c r="OHV93" s="594"/>
      <c r="OHW93" s="594"/>
      <c r="OHX93" s="594"/>
      <c r="OHY93" s="594"/>
      <c r="OHZ93" s="594"/>
      <c r="OIA93" s="594"/>
      <c r="OIB93" s="594"/>
      <c r="OIC93" s="594"/>
      <c r="OID93" s="594"/>
      <c r="OIE93" s="594"/>
      <c r="OIF93" s="594"/>
      <c r="OIG93" s="594"/>
      <c r="OIH93" s="594"/>
      <c r="OII93" s="594"/>
      <c r="OIJ93" s="594"/>
      <c r="OIK93" s="594"/>
      <c r="OIL93" s="594"/>
      <c r="OIM93" s="594"/>
      <c r="OIN93" s="594"/>
      <c r="OIO93" s="594"/>
      <c r="OIP93" s="594"/>
      <c r="OIQ93" s="594"/>
      <c r="OIR93" s="594"/>
      <c r="OIS93" s="594"/>
      <c r="OIT93" s="594"/>
      <c r="OIU93" s="594"/>
      <c r="OIV93" s="594"/>
      <c r="OIW93" s="594"/>
      <c r="OIX93" s="594"/>
      <c r="OIY93" s="594"/>
      <c r="OIZ93" s="594"/>
      <c r="OJA93" s="594"/>
      <c r="OJB93" s="594"/>
      <c r="OJC93" s="594"/>
      <c r="OJD93" s="594"/>
      <c r="OJE93" s="594"/>
      <c r="OJF93" s="594"/>
      <c r="OJG93" s="594"/>
      <c r="OJH93" s="594"/>
      <c r="OJI93" s="594"/>
      <c r="OJJ93" s="594"/>
      <c r="OJK93" s="594"/>
      <c r="OJL93" s="594"/>
      <c r="OJM93" s="594"/>
      <c r="OJN93" s="594"/>
      <c r="OJO93" s="594"/>
      <c r="OJP93" s="594"/>
      <c r="OJQ93" s="594"/>
      <c r="OJR93" s="594"/>
      <c r="OJS93" s="594"/>
      <c r="OJT93" s="594"/>
      <c r="OJU93" s="594"/>
      <c r="OJV93" s="594"/>
      <c r="OJW93" s="594"/>
      <c r="OJX93" s="594"/>
      <c r="OJY93" s="594"/>
      <c r="OJZ93" s="594"/>
      <c r="OKA93" s="594"/>
      <c r="OKB93" s="594"/>
      <c r="OKC93" s="594"/>
      <c r="OKD93" s="594"/>
      <c r="OKE93" s="594"/>
      <c r="OKF93" s="594"/>
      <c r="OKG93" s="594"/>
      <c r="OKH93" s="594"/>
      <c r="OKI93" s="594"/>
      <c r="OKJ93" s="594"/>
      <c r="OKK93" s="594"/>
      <c r="OKL93" s="594"/>
      <c r="OKM93" s="594"/>
      <c r="OKN93" s="594"/>
      <c r="OKO93" s="594"/>
      <c r="OKP93" s="594"/>
      <c r="OKQ93" s="594"/>
      <c r="OKR93" s="594"/>
      <c r="OKS93" s="594"/>
      <c r="OKT93" s="594"/>
      <c r="OKU93" s="594"/>
      <c r="OKV93" s="594"/>
      <c r="OKW93" s="594"/>
      <c r="OKX93" s="594"/>
      <c r="OKY93" s="594"/>
      <c r="OKZ93" s="594"/>
      <c r="OLA93" s="594"/>
      <c r="OLB93" s="594"/>
      <c r="OLC93" s="594"/>
      <c r="OLD93" s="594"/>
      <c r="OLE93" s="594"/>
      <c r="OLF93" s="594"/>
      <c r="OLG93" s="594"/>
      <c r="OLH93" s="594"/>
      <c r="OLI93" s="594"/>
      <c r="OLJ93" s="594"/>
      <c r="OLK93" s="594"/>
      <c r="OLL93" s="594"/>
      <c r="OLM93" s="594"/>
      <c r="OLN93" s="594"/>
      <c r="OLO93" s="594"/>
      <c r="OLP93" s="594"/>
      <c r="OLQ93" s="594"/>
      <c r="OLR93" s="594"/>
      <c r="OLS93" s="594"/>
      <c r="OLT93" s="594"/>
      <c r="OLU93" s="594"/>
      <c r="OLV93" s="594"/>
      <c r="OLW93" s="594"/>
      <c r="OLX93" s="594"/>
      <c r="OLY93" s="594"/>
      <c r="OLZ93" s="594"/>
      <c r="OMA93" s="594"/>
      <c r="OMB93" s="594"/>
      <c r="OMC93" s="594"/>
      <c r="OMD93" s="594"/>
      <c r="OME93" s="594"/>
      <c r="OMF93" s="594"/>
      <c r="OMG93" s="594"/>
      <c r="OMH93" s="594"/>
      <c r="OMI93" s="594"/>
      <c r="OMJ93" s="594"/>
      <c r="OMK93" s="594"/>
      <c r="OML93" s="594"/>
      <c r="OMM93" s="594"/>
      <c r="OMN93" s="594"/>
      <c r="OMO93" s="594"/>
      <c r="OMP93" s="594"/>
      <c r="OMQ93" s="594"/>
      <c r="OMR93" s="594"/>
      <c r="OMS93" s="594"/>
      <c r="OMT93" s="594"/>
      <c r="OMU93" s="594"/>
      <c r="OMV93" s="594"/>
      <c r="OMW93" s="594"/>
      <c r="OMX93" s="594"/>
      <c r="OMY93" s="594"/>
      <c r="OMZ93" s="594"/>
      <c r="ONA93" s="594"/>
      <c r="ONB93" s="594"/>
      <c r="ONC93" s="594"/>
      <c r="OND93" s="594"/>
      <c r="ONE93" s="594"/>
      <c r="ONF93" s="594"/>
      <c r="ONG93" s="594"/>
      <c r="ONH93" s="594"/>
      <c r="ONI93" s="594"/>
      <c r="ONJ93" s="594"/>
      <c r="ONK93" s="594"/>
      <c r="ONL93" s="594"/>
      <c r="ONM93" s="594"/>
      <c r="ONN93" s="594"/>
      <c r="ONO93" s="594"/>
      <c r="ONP93" s="594"/>
      <c r="ONQ93" s="594"/>
      <c r="ONR93" s="594"/>
      <c r="ONS93" s="594"/>
      <c r="ONT93" s="594"/>
      <c r="ONU93" s="594"/>
      <c r="ONV93" s="594"/>
      <c r="ONW93" s="594"/>
      <c r="ONX93" s="594"/>
      <c r="ONY93" s="594"/>
      <c r="ONZ93" s="594"/>
      <c r="OOA93" s="594"/>
      <c r="OOB93" s="594"/>
      <c r="OOC93" s="594"/>
      <c r="OOD93" s="594"/>
      <c r="OOE93" s="594"/>
      <c r="OOF93" s="594"/>
      <c r="OOG93" s="594"/>
      <c r="OOH93" s="594"/>
      <c r="OOI93" s="594"/>
      <c r="OOJ93" s="594"/>
      <c r="OOK93" s="594"/>
      <c r="OOL93" s="594"/>
      <c r="OOM93" s="594"/>
      <c r="OON93" s="594"/>
      <c r="OOO93" s="594"/>
      <c r="OOP93" s="594"/>
      <c r="OOQ93" s="594"/>
      <c r="OOR93" s="594"/>
      <c r="OOS93" s="594"/>
      <c r="OOT93" s="594"/>
      <c r="OOU93" s="594"/>
      <c r="OOV93" s="594"/>
      <c r="OOW93" s="594"/>
      <c r="OOX93" s="594"/>
      <c r="OOY93" s="594"/>
      <c r="OOZ93" s="594"/>
      <c r="OPA93" s="594"/>
      <c r="OPB93" s="594"/>
      <c r="OPC93" s="594"/>
      <c r="OPD93" s="594"/>
      <c r="OPE93" s="594"/>
      <c r="OPF93" s="594"/>
      <c r="OPG93" s="594"/>
      <c r="OPH93" s="594"/>
      <c r="OPI93" s="594"/>
      <c r="OPJ93" s="594"/>
      <c r="OPK93" s="594"/>
      <c r="OPL93" s="594"/>
      <c r="OPM93" s="594"/>
      <c r="OPN93" s="594"/>
      <c r="OPO93" s="594"/>
      <c r="OPP93" s="594"/>
      <c r="OPQ93" s="594"/>
      <c r="OPR93" s="594"/>
      <c r="OPS93" s="594"/>
      <c r="OPT93" s="594"/>
      <c r="OPU93" s="594"/>
      <c r="OPV93" s="594"/>
      <c r="OPW93" s="594"/>
      <c r="OPX93" s="594"/>
      <c r="OPY93" s="594"/>
      <c r="OPZ93" s="594"/>
      <c r="OQA93" s="594"/>
      <c r="OQB93" s="594"/>
      <c r="OQC93" s="594"/>
      <c r="OQD93" s="594"/>
      <c r="OQE93" s="594"/>
      <c r="OQF93" s="594"/>
      <c r="OQG93" s="594"/>
      <c r="OQH93" s="594"/>
      <c r="OQI93" s="594"/>
      <c r="OQJ93" s="594"/>
      <c r="OQK93" s="594"/>
      <c r="OQL93" s="594"/>
      <c r="OQM93" s="594"/>
      <c r="OQN93" s="594"/>
      <c r="OQO93" s="594"/>
      <c r="OQP93" s="594"/>
      <c r="OQQ93" s="594"/>
      <c r="OQR93" s="594"/>
      <c r="OQS93" s="594"/>
      <c r="OQT93" s="594"/>
      <c r="OQU93" s="594"/>
      <c r="OQV93" s="594"/>
      <c r="OQW93" s="594"/>
      <c r="OQX93" s="594"/>
      <c r="OQY93" s="594"/>
      <c r="OQZ93" s="594"/>
      <c r="ORA93" s="594"/>
      <c r="ORB93" s="594"/>
      <c r="ORC93" s="594"/>
      <c r="ORD93" s="594"/>
      <c r="ORE93" s="594"/>
      <c r="ORF93" s="594"/>
      <c r="ORG93" s="594"/>
      <c r="ORH93" s="594"/>
      <c r="ORI93" s="594"/>
      <c r="ORJ93" s="594"/>
      <c r="ORK93" s="594"/>
      <c r="ORL93" s="594"/>
      <c r="ORM93" s="594"/>
      <c r="ORN93" s="594"/>
      <c r="ORO93" s="594"/>
      <c r="ORP93" s="594"/>
      <c r="ORQ93" s="594"/>
      <c r="ORR93" s="594"/>
      <c r="ORS93" s="594"/>
      <c r="ORT93" s="594"/>
      <c r="ORU93" s="594"/>
      <c r="ORV93" s="594"/>
      <c r="ORW93" s="594"/>
      <c r="ORX93" s="594"/>
      <c r="ORY93" s="594"/>
      <c r="ORZ93" s="594"/>
      <c r="OSA93" s="594"/>
      <c r="OSB93" s="594"/>
      <c r="OSC93" s="594"/>
      <c r="OSD93" s="594"/>
      <c r="OSE93" s="594"/>
      <c r="OSF93" s="594"/>
      <c r="OSG93" s="594"/>
      <c r="OSH93" s="594"/>
      <c r="OSI93" s="594"/>
      <c r="OSJ93" s="594"/>
      <c r="OSK93" s="594"/>
      <c r="OSL93" s="594"/>
      <c r="OSM93" s="594"/>
      <c r="OSN93" s="594"/>
      <c r="OSO93" s="594"/>
      <c r="OSP93" s="594"/>
      <c r="OSQ93" s="594"/>
      <c r="OSR93" s="594"/>
      <c r="OSS93" s="594"/>
      <c r="OST93" s="594"/>
      <c r="OSU93" s="594"/>
      <c r="OSV93" s="594"/>
      <c r="OSW93" s="594"/>
      <c r="OSX93" s="594"/>
      <c r="OSY93" s="594"/>
      <c r="OSZ93" s="594"/>
      <c r="OTA93" s="594"/>
      <c r="OTB93" s="594"/>
      <c r="OTC93" s="594"/>
      <c r="OTD93" s="594"/>
      <c r="OTE93" s="594"/>
      <c r="OTF93" s="594"/>
      <c r="OTG93" s="594"/>
      <c r="OTH93" s="594"/>
      <c r="OTI93" s="594"/>
      <c r="OTJ93" s="594"/>
      <c r="OTK93" s="594"/>
      <c r="OTL93" s="594"/>
      <c r="OTM93" s="594"/>
      <c r="OTN93" s="594"/>
      <c r="OTO93" s="594"/>
      <c r="OTP93" s="594"/>
      <c r="OTQ93" s="594"/>
      <c r="OTR93" s="594"/>
      <c r="OTS93" s="594"/>
      <c r="OTT93" s="594"/>
      <c r="OTU93" s="594"/>
      <c r="OTV93" s="594"/>
      <c r="OTW93" s="594"/>
      <c r="OTX93" s="594"/>
      <c r="OTY93" s="594"/>
      <c r="OTZ93" s="594"/>
      <c r="OUA93" s="594"/>
      <c r="OUB93" s="594"/>
      <c r="OUC93" s="594"/>
      <c r="OUD93" s="594"/>
      <c r="OUE93" s="594"/>
      <c r="OUF93" s="594"/>
      <c r="OUG93" s="594"/>
      <c r="OUH93" s="594"/>
      <c r="OUI93" s="594"/>
      <c r="OUJ93" s="594"/>
      <c r="OUK93" s="594"/>
      <c r="OUL93" s="594"/>
      <c r="OUM93" s="594"/>
      <c r="OUN93" s="594"/>
      <c r="OUO93" s="594"/>
      <c r="OUP93" s="594"/>
      <c r="OUQ93" s="594"/>
      <c r="OUR93" s="594"/>
      <c r="OUS93" s="594"/>
      <c r="OUT93" s="594"/>
      <c r="OUU93" s="594"/>
      <c r="OUV93" s="594"/>
      <c r="OUW93" s="594"/>
      <c r="OUX93" s="594"/>
      <c r="OUY93" s="594"/>
      <c r="OUZ93" s="594"/>
      <c r="OVA93" s="594"/>
      <c r="OVB93" s="594"/>
      <c r="OVC93" s="594"/>
      <c r="OVD93" s="594"/>
      <c r="OVE93" s="594"/>
      <c r="OVF93" s="594"/>
      <c r="OVG93" s="594"/>
      <c r="OVH93" s="594"/>
      <c r="OVI93" s="594"/>
      <c r="OVJ93" s="594"/>
      <c r="OVK93" s="594"/>
      <c r="OVL93" s="594"/>
      <c r="OVM93" s="594"/>
      <c r="OVN93" s="594"/>
      <c r="OVO93" s="594"/>
      <c r="OVP93" s="594"/>
      <c r="OVQ93" s="594"/>
      <c r="OVR93" s="594"/>
      <c r="OVS93" s="594"/>
      <c r="OVT93" s="594"/>
      <c r="OVU93" s="594"/>
      <c r="OVV93" s="594"/>
      <c r="OVW93" s="594"/>
      <c r="OVX93" s="594"/>
      <c r="OVY93" s="594"/>
      <c r="OVZ93" s="594"/>
      <c r="OWA93" s="594"/>
      <c r="OWB93" s="594"/>
      <c r="OWC93" s="594"/>
      <c r="OWD93" s="594"/>
      <c r="OWE93" s="594"/>
      <c r="OWF93" s="594"/>
      <c r="OWG93" s="594"/>
      <c r="OWH93" s="594"/>
      <c r="OWI93" s="594"/>
      <c r="OWJ93" s="594"/>
      <c r="OWK93" s="594"/>
      <c r="OWL93" s="594"/>
      <c r="OWM93" s="594"/>
      <c r="OWN93" s="594"/>
      <c r="OWO93" s="594"/>
      <c r="OWP93" s="594"/>
      <c r="OWQ93" s="594"/>
      <c r="OWR93" s="594"/>
      <c r="OWS93" s="594"/>
      <c r="OWT93" s="594"/>
      <c r="OWU93" s="594"/>
      <c r="OWV93" s="594"/>
      <c r="OWW93" s="594"/>
      <c r="OWX93" s="594"/>
      <c r="OWY93" s="594"/>
      <c r="OWZ93" s="594"/>
      <c r="OXA93" s="594"/>
      <c r="OXB93" s="594"/>
      <c r="OXC93" s="594"/>
      <c r="OXD93" s="594"/>
      <c r="OXE93" s="594"/>
      <c r="OXF93" s="594"/>
      <c r="OXG93" s="594"/>
      <c r="OXH93" s="594"/>
      <c r="OXI93" s="594"/>
      <c r="OXJ93" s="594"/>
      <c r="OXK93" s="594"/>
      <c r="OXL93" s="594"/>
      <c r="OXM93" s="594"/>
      <c r="OXN93" s="594"/>
      <c r="OXO93" s="594"/>
      <c r="OXP93" s="594"/>
      <c r="OXQ93" s="594"/>
      <c r="OXR93" s="594"/>
      <c r="OXS93" s="594"/>
      <c r="OXT93" s="594"/>
      <c r="OXU93" s="594"/>
      <c r="OXV93" s="594"/>
      <c r="OXW93" s="594"/>
      <c r="OXX93" s="594"/>
      <c r="OXY93" s="594"/>
      <c r="OXZ93" s="594"/>
      <c r="OYA93" s="594"/>
      <c r="OYB93" s="594"/>
      <c r="OYC93" s="594"/>
      <c r="OYD93" s="594"/>
      <c r="OYE93" s="594"/>
      <c r="OYF93" s="594"/>
      <c r="OYG93" s="594"/>
      <c r="OYH93" s="594"/>
      <c r="OYI93" s="594"/>
      <c r="OYJ93" s="594"/>
      <c r="OYK93" s="594"/>
      <c r="OYL93" s="594"/>
      <c r="OYM93" s="594"/>
      <c r="OYN93" s="594"/>
      <c r="OYO93" s="594"/>
      <c r="OYP93" s="594"/>
      <c r="OYQ93" s="594"/>
      <c r="OYR93" s="594"/>
      <c r="OYS93" s="594"/>
      <c r="OYT93" s="594"/>
      <c r="OYU93" s="594"/>
      <c r="OYV93" s="594"/>
      <c r="OYW93" s="594"/>
      <c r="OYX93" s="594"/>
      <c r="OYY93" s="594"/>
      <c r="OYZ93" s="594"/>
      <c r="OZA93" s="594"/>
      <c r="OZB93" s="594"/>
      <c r="OZC93" s="594"/>
      <c r="OZD93" s="594"/>
      <c r="OZE93" s="594"/>
      <c r="OZF93" s="594"/>
      <c r="OZG93" s="594"/>
      <c r="OZH93" s="594"/>
      <c r="OZI93" s="594"/>
      <c r="OZJ93" s="594"/>
      <c r="OZK93" s="594"/>
      <c r="OZL93" s="594"/>
      <c r="OZM93" s="594"/>
      <c r="OZN93" s="594"/>
      <c r="OZO93" s="594"/>
      <c r="OZP93" s="594"/>
      <c r="OZQ93" s="594"/>
      <c r="OZR93" s="594"/>
      <c r="OZS93" s="594"/>
      <c r="OZT93" s="594"/>
      <c r="OZU93" s="594"/>
      <c r="OZV93" s="594"/>
      <c r="OZW93" s="594"/>
      <c r="OZX93" s="594"/>
      <c r="OZY93" s="594"/>
      <c r="OZZ93" s="594"/>
      <c r="PAA93" s="594"/>
      <c r="PAB93" s="594"/>
      <c r="PAC93" s="594"/>
      <c r="PAD93" s="594"/>
      <c r="PAE93" s="594"/>
      <c r="PAF93" s="594"/>
      <c r="PAG93" s="594"/>
      <c r="PAH93" s="594"/>
      <c r="PAI93" s="594"/>
      <c r="PAJ93" s="594"/>
      <c r="PAK93" s="594"/>
      <c r="PAL93" s="594"/>
      <c r="PAM93" s="594"/>
      <c r="PAN93" s="594"/>
      <c r="PAO93" s="594"/>
      <c r="PAP93" s="594"/>
      <c r="PAQ93" s="594"/>
      <c r="PAR93" s="594"/>
      <c r="PAS93" s="594"/>
      <c r="PAT93" s="594"/>
      <c r="PAU93" s="594"/>
      <c r="PAV93" s="594"/>
      <c r="PAW93" s="594"/>
      <c r="PAX93" s="594"/>
      <c r="PAY93" s="594"/>
      <c r="PAZ93" s="594"/>
      <c r="PBA93" s="594"/>
      <c r="PBB93" s="594"/>
      <c r="PBC93" s="594"/>
      <c r="PBD93" s="594"/>
      <c r="PBE93" s="594"/>
      <c r="PBF93" s="594"/>
      <c r="PBG93" s="594"/>
      <c r="PBH93" s="594"/>
      <c r="PBI93" s="594"/>
      <c r="PBJ93" s="594"/>
      <c r="PBK93" s="594"/>
      <c r="PBL93" s="594"/>
      <c r="PBM93" s="594"/>
      <c r="PBN93" s="594"/>
      <c r="PBO93" s="594"/>
      <c r="PBP93" s="594"/>
      <c r="PBQ93" s="594"/>
      <c r="PBR93" s="594"/>
      <c r="PBS93" s="594"/>
      <c r="PBT93" s="594"/>
      <c r="PBU93" s="594"/>
      <c r="PBV93" s="594"/>
      <c r="PBW93" s="594"/>
      <c r="PBX93" s="594"/>
      <c r="PBY93" s="594"/>
      <c r="PBZ93" s="594"/>
      <c r="PCA93" s="594"/>
      <c r="PCB93" s="594"/>
      <c r="PCC93" s="594"/>
      <c r="PCD93" s="594"/>
      <c r="PCE93" s="594"/>
      <c r="PCF93" s="594"/>
      <c r="PCG93" s="594"/>
      <c r="PCH93" s="594"/>
      <c r="PCI93" s="594"/>
      <c r="PCJ93" s="594"/>
      <c r="PCK93" s="594"/>
      <c r="PCL93" s="594"/>
      <c r="PCM93" s="594"/>
      <c r="PCN93" s="594"/>
      <c r="PCO93" s="594"/>
      <c r="PCP93" s="594"/>
      <c r="PCQ93" s="594"/>
      <c r="PCR93" s="594"/>
      <c r="PCS93" s="594"/>
      <c r="PCT93" s="594"/>
      <c r="PCU93" s="594"/>
      <c r="PCV93" s="594"/>
      <c r="PCW93" s="594"/>
      <c r="PCX93" s="594"/>
      <c r="PCY93" s="594"/>
      <c r="PCZ93" s="594"/>
      <c r="PDA93" s="594"/>
      <c r="PDB93" s="594"/>
      <c r="PDC93" s="594"/>
      <c r="PDD93" s="594"/>
      <c r="PDE93" s="594"/>
      <c r="PDF93" s="594"/>
      <c r="PDG93" s="594"/>
      <c r="PDH93" s="594"/>
      <c r="PDI93" s="594"/>
      <c r="PDJ93" s="594"/>
      <c r="PDK93" s="594"/>
      <c r="PDL93" s="594"/>
      <c r="PDM93" s="594"/>
      <c r="PDN93" s="594"/>
      <c r="PDO93" s="594"/>
      <c r="PDP93" s="594"/>
      <c r="PDQ93" s="594"/>
      <c r="PDR93" s="594"/>
      <c r="PDS93" s="594"/>
      <c r="PDT93" s="594"/>
      <c r="PDU93" s="594"/>
      <c r="PDV93" s="594"/>
      <c r="PDW93" s="594"/>
      <c r="PDX93" s="594"/>
      <c r="PDY93" s="594"/>
      <c r="PDZ93" s="594"/>
      <c r="PEA93" s="594"/>
      <c r="PEB93" s="594"/>
      <c r="PEC93" s="594"/>
      <c r="PED93" s="594"/>
      <c r="PEE93" s="594"/>
      <c r="PEF93" s="594"/>
      <c r="PEG93" s="594"/>
      <c r="PEH93" s="594"/>
      <c r="PEI93" s="594"/>
      <c r="PEJ93" s="594"/>
      <c r="PEK93" s="594"/>
      <c r="PEL93" s="594"/>
      <c r="PEM93" s="594"/>
      <c r="PEN93" s="594"/>
      <c r="PEO93" s="594"/>
      <c r="PEP93" s="594"/>
      <c r="PEQ93" s="594"/>
      <c r="PER93" s="594"/>
      <c r="PES93" s="594"/>
      <c r="PET93" s="594"/>
      <c r="PEU93" s="594"/>
      <c r="PEV93" s="594"/>
      <c r="PEW93" s="594"/>
      <c r="PEX93" s="594"/>
      <c r="PEY93" s="594"/>
      <c r="PEZ93" s="594"/>
      <c r="PFA93" s="594"/>
      <c r="PFB93" s="594"/>
      <c r="PFC93" s="594"/>
      <c r="PFD93" s="594"/>
      <c r="PFE93" s="594"/>
      <c r="PFF93" s="594"/>
      <c r="PFG93" s="594"/>
      <c r="PFH93" s="594"/>
      <c r="PFI93" s="594"/>
      <c r="PFJ93" s="594"/>
      <c r="PFK93" s="594"/>
      <c r="PFL93" s="594"/>
      <c r="PFM93" s="594"/>
      <c r="PFN93" s="594"/>
      <c r="PFO93" s="594"/>
      <c r="PFP93" s="594"/>
      <c r="PFQ93" s="594"/>
      <c r="PFR93" s="594"/>
      <c r="PFS93" s="594"/>
      <c r="PFT93" s="594"/>
      <c r="PFU93" s="594"/>
      <c r="PFV93" s="594"/>
      <c r="PFW93" s="594"/>
      <c r="PFX93" s="594"/>
      <c r="PFY93" s="594"/>
      <c r="PFZ93" s="594"/>
      <c r="PGA93" s="594"/>
      <c r="PGB93" s="594"/>
      <c r="PGC93" s="594"/>
      <c r="PGD93" s="594"/>
      <c r="PGE93" s="594"/>
      <c r="PGF93" s="594"/>
      <c r="PGG93" s="594"/>
      <c r="PGH93" s="594"/>
      <c r="PGI93" s="594"/>
      <c r="PGJ93" s="594"/>
      <c r="PGK93" s="594"/>
      <c r="PGL93" s="594"/>
      <c r="PGM93" s="594"/>
      <c r="PGN93" s="594"/>
      <c r="PGO93" s="594"/>
      <c r="PGP93" s="594"/>
      <c r="PGQ93" s="594"/>
      <c r="PGR93" s="594"/>
      <c r="PGS93" s="594"/>
      <c r="PGT93" s="594"/>
      <c r="PGU93" s="594"/>
      <c r="PGV93" s="594"/>
      <c r="PGW93" s="594"/>
      <c r="PGX93" s="594"/>
      <c r="PGY93" s="594"/>
      <c r="PGZ93" s="594"/>
      <c r="PHA93" s="594"/>
      <c r="PHB93" s="594"/>
      <c r="PHC93" s="594"/>
      <c r="PHD93" s="594"/>
      <c r="PHE93" s="594"/>
      <c r="PHF93" s="594"/>
      <c r="PHG93" s="594"/>
      <c r="PHH93" s="594"/>
      <c r="PHI93" s="594"/>
      <c r="PHJ93" s="594"/>
      <c r="PHK93" s="594"/>
      <c r="PHL93" s="594"/>
      <c r="PHM93" s="594"/>
      <c r="PHN93" s="594"/>
      <c r="PHO93" s="594"/>
      <c r="PHP93" s="594"/>
      <c r="PHQ93" s="594"/>
      <c r="PHR93" s="594"/>
      <c r="PHS93" s="594"/>
      <c r="PHT93" s="594"/>
      <c r="PHU93" s="594"/>
      <c r="PHV93" s="594"/>
      <c r="PHW93" s="594"/>
      <c r="PHX93" s="594"/>
      <c r="PHY93" s="594"/>
      <c r="PHZ93" s="594"/>
      <c r="PIA93" s="594"/>
      <c r="PIB93" s="594"/>
      <c r="PIC93" s="594"/>
      <c r="PID93" s="594"/>
      <c r="PIE93" s="594"/>
      <c r="PIF93" s="594"/>
      <c r="PIG93" s="594"/>
      <c r="PIH93" s="594"/>
      <c r="PII93" s="594"/>
      <c r="PIJ93" s="594"/>
      <c r="PIK93" s="594"/>
      <c r="PIL93" s="594"/>
      <c r="PIM93" s="594"/>
      <c r="PIN93" s="594"/>
      <c r="PIO93" s="594"/>
      <c r="PIP93" s="594"/>
      <c r="PIQ93" s="594"/>
      <c r="PIR93" s="594"/>
      <c r="PIS93" s="594"/>
      <c r="PIT93" s="594"/>
      <c r="PIU93" s="594"/>
      <c r="PIV93" s="594"/>
      <c r="PIW93" s="594"/>
      <c r="PIX93" s="594"/>
      <c r="PIY93" s="594"/>
      <c r="PIZ93" s="594"/>
      <c r="PJA93" s="594"/>
      <c r="PJB93" s="594"/>
      <c r="PJC93" s="594"/>
      <c r="PJD93" s="594"/>
      <c r="PJE93" s="594"/>
      <c r="PJF93" s="594"/>
      <c r="PJG93" s="594"/>
      <c r="PJH93" s="594"/>
      <c r="PJI93" s="594"/>
      <c r="PJJ93" s="594"/>
      <c r="PJK93" s="594"/>
      <c r="PJL93" s="594"/>
      <c r="PJM93" s="594"/>
      <c r="PJN93" s="594"/>
      <c r="PJO93" s="594"/>
      <c r="PJP93" s="594"/>
      <c r="PJQ93" s="594"/>
      <c r="PJR93" s="594"/>
      <c r="PJS93" s="594"/>
      <c r="PJT93" s="594"/>
      <c r="PJU93" s="594"/>
      <c r="PJV93" s="594"/>
      <c r="PJW93" s="594"/>
      <c r="PJX93" s="594"/>
      <c r="PJY93" s="594"/>
      <c r="PJZ93" s="594"/>
      <c r="PKA93" s="594"/>
      <c r="PKB93" s="594"/>
      <c r="PKC93" s="594"/>
      <c r="PKD93" s="594"/>
      <c r="PKE93" s="594"/>
      <c r="PKF93" s="594"/>
      <c r="PKG93" s="594"/>
      <c r="PKH93" s="594"/>
      <c r="PKI93" s="594"/>
      <c r="PKJ93" s="594"/>
      <c r="PKK93" s="594"/>
      <c r="PKL93" s="594"/>
      <c r="PKM93" s="594"/>
      <c r="PKN93" s="594"/>
      <c r="PKO93" s="594"/>
      <c r="PKP93" s="594"/>
      <c r="PKQ93" s="594"/>
      <c r="PKR93" s="594"/>
      <c r="PKS93" s="594"/>
      <c r="PKT93" s="594"/>
      <c r="PKU93" s="594"/>
      <c r="PKV93" s="594"/>
      <c r="PKW93" s="594"/>
      <c r="PKX93" s="594"/>
      <c r="PKY93" s="594"/>
      <c r="PKZ93" s="594"/>
      <c r="PLA93" s="594"/>
      <c r="PLB93" s="594"/>
      <c r="PLC93" s="594"/>
      <c r="PLD93" s="594"/>
      <c r="PLE93" s="594"/>
      <c r="PLF93" s="594"/>
      <c r="PLG93" s="594"/>
      <c r="PLH93" s="594"/>
      <c r="PLI93" s="594"/>
      <c r="PLJ93" s="594"/>
      <c r="PLK93" s="594"/>
      <c r="PLL93" s="594"/>
      <c r="PLM93" s="594"/>
      <c r="PLN93" s="594"/>
      <c r="PLO93" s="594"/>
      <c r="PLP93" s="594"/>
      <c r="PLQ93" s="594"/>
      <c r="PLR93" s="594"/>
      <c r="PLS93" s="594"/>
      <c r="PLT93" s="594"/>
      <c r="PLU93" s="594"/>
      <c r="PLV93" s="594"/>
      <c r="PLW93" s="594"/>
      <c r="PLX93" s="594"/>
      <c r="PLY93" s="594"/>
      <c r="PLZ93" s="594"/>
      <c r="PMA93" s="594"/>
      <c r="PMB93" s="594"/>
      <c r="PMC93" s="594"/>
      <c r="PMD93" s="594"/>
      <c r="PME93" s="594"/>
      <c r="PMF93" s="594"/>
      <c r="PMG93" s="594"/>
      <c r="PMH93" s="594"/>
      <c r="PMI93" s="594"/>
      <c r="PMJ93" s="594"/>
      <c r="PMK93" s="594"/>
      <c r="PML93" s="594"/>
      <c r="PMM93" s="594"/>
      <c r="PMN93" s="594"/>
      <c r="PMO93" s="594"/>
      <c r="PMP93" s="594"/>
      <c r="PMQ93" s="594"/>
      <c r="PMR93" s="594"/>
      <c r="PMS93" s="594"/>
      <c r="PMT93" s="594"/>
      <c r="PMU93" s="594"/>
      <c r="PMV93" s="594"/>
      <c r="PMW93" s="594"/>
      <c r="PMX93" s="594"/>
      <c r="PMY93" s="594"/>
      <c r="PMZ93" s="594"/>
      <c r="PNA93" s="594"/>
      <c r="PNB93" s="594"/>
      <c r="PNC93" s="594"/>
      <c r="PND93" s="594"/>
      <c r="PNE93" s="594"/>
      <c r="PNF93" s="594"/>
      <c r="PNG93" s="594"/>
      <c r="PNH93" s="594"/>
      <c r="PNI93" s="594"/>
      <c r="PNJ93" s="594"/>
      <c r="PNK93" s="594"/>
      <c r="PNL93" s="594"/>
      <c r="PNM93" s="594"/>
      <c r="PNN93" s="594"/>
      <c r="PNO93" s="594"/>
      <c r="PNP93" s="594"/>
      <c r="PNQ93" s="594"/>
      <c r="PNR93" s="594"/>
      <c r="PNS93" s="594"/>
      <c r="PNT93" s="594"/>
      <c r="PNU93" s="594"/>
      <c r="PNV93" s="594"/>
      <c r="PNW93" s="594"/>
      <c r="PNX93" s="594"/>
      <c r="PNY93" s="594"/>
      <c r="PNZ93" s="594"/>
      <c r="POA93" s="594"/>
      <c r="POB93" s="594"/>
      <c r="POC93" s="594"/>
      <c r="POD93" s="594"/>
      <c r="POE93" s="594"/>
      <c r="POF93" s="594"/>
      <c r="POG93" s="594"/>
      <c r="POH93" s="594"/>
      <c r="POI93" s="594"/>
      <c r="POJ93" s="594"/>
      <c r="POK93" s="594"/>
      <c r="POL93" s="594"/>
      <c r="POM93" s="594"/>
      <c r="PON93" s="594"/>
      <c r="POO93" s="594"/>
      <c r="POP93" s="594"/>
      <c r="POQ93" s="594"/>
      <c r="POR93" s="594"/>
      <c r="POS93" s="594"/>
      <c r="POT93" s="594"/>
      <c r="POU93" s="594"/>
      <c r="POV93" s="594"/>
      <c r="POW93" s="594"/>
      <c r="POX93" s="594"/>
      <c r="POY93" s="594"/>
      <c r="POZ93" s="594"/>
      <c r="PPA93" s="594"/>
      <c r="PPB93" s="594"/>
      <c r="PPC93" s="594"/>
      <c r="PPD93" s="594"/>
      <c r="PPE93" s="594"/>
      <c r="PPF93" s="594"/>
      <c r="PPG93" s="594"/>
      <c r="PPH93" s="594"/>
      <c r="PPI93" s="594"/>
      <c r="PPJ93" s="594"/>
      <c r="PPK93" s="594"/>
      <c r="PPL93" s="594"/>
      <c r="PPM93" s="594"/>
      <c r="PPN93" s="594"/>
      <c r="PPO93" s="594"/>
      <c r="PPP93" s="594"/>
      <c r="PPQ93" s="594"/>
      <c r="PPR93" s="594"/>
      <c r="PPS93" s="594"/>
      <c r="PPT93" s="594"/>
      <c r="PPU93" s="594"/>
      <c r="PPV93" s="594"/>
      <c r="PPW93" s="594"/>
      <c r="PPX93" s="594"/>
      <c r="PPY93" s="594"/>
      <c r="PPZ93" s="594"/>
      <c r="PQA93" s="594"/>
      <c r="PQB93" s="594"/>
      <c r="PQC93" s="594"/>
      <c r="PQD93" s="594"/>
      <c r="PQE93" s="594"/>
      <c r="PQF93" s="594"/>
      <c r="PQG93" s="594"/>
      <c r="PQH93" s="594"/>
      <c r="PQI93" s="594"/>
      <c r="PQJ93" s="594"/>
      <c r="PQK93" s="594"/>
      <c r="PQL93" s="594"/>
      <c r="PQM93" s="594"/>
      <c r="PQN93" s="594"/>
      <c r="PQO93" s="594"/>
      <c r="PQP93" s="594"/>
      <c r="PQQ93" s="594"/>
      <c r="PQR93" s="594"/>
      <c r="PQS93" s="594"/>
      <c r="PQT93" s="594"/>
      <c r="PQU93" s="594"/>
      <c r="PQV93" s="594"/>
      <c r="PQW93" s="594"/>
      <c r="PQX93" s="594"/>
      <c r="PQY93" s="594"/>
      <c r="PQZ93" s="594"/>
      <c r="PRA93" s="594"/>
      <c r="PRB93" s="594"/>
      <c r="PRC93" s="594"/>
      <c r="PRD93" s="594"/>
      <c r="PRE93" s="594"/>
      <c r="PRF93" s="594"/>
      <c r="PRG93" s="594"/>
      <c r="PRH93" s="594"/>
      <c r="PRI93" s="594"/>
      <c r="PRJ93" s="594"/>
      <c r="PRK93" s="594"/>
      <c r="PRL93" s="594"/>
      <c r="PRM93" s="594"/>
      <c r="PRN93" s="594"/>
      <c r="PRO93" s="594"/>
      <c r="PRP93" s="594"/>
      <c r="PRQ93" s="594"/>
      <c r="PRR93" s="594"/>
      <c r="PRS93" s="594"/>
      <c r="PRT93" s="594"/>
      <c r="PRU93" s="594"/>
      <c r="PRV93" s="594"/>
      <c r="PRW93" s="594"/>
      <c r="PRX93" s="594"/>
      <c r="PRY93" s="594"/>
      <c r="PRZ93" s="594"/>
      <c r="PSA93" s="594"/>
      <c r="PSB93" s="594"/>
      <c r="PSC93" s="594"/>
      <c r="PSD93" s="594"/>
      <c r="PSE93" s="594"/>
      <c r="PSF93" s="594"/>
      <c r="PSG93" s="594"/>
      <c r="PSH93" s="594"/>
      <c r="PSI93" s="594"/>
      <c r="PSJ93" s="594"/>
      <c r="PSK93" s="594"/>
      <c r="PSL93" s="594"/>
      <c r="PSM93" s="594"/>
      <c r="PSN93" s="594"/>
      <c r="PSO93" s="594"/>
      <c r="PSP93" s="594"/>
      <c r="PSQ93" s="594"/>
      <c r="PSR93" s="594"/>
      <c r="PSS93" s="594"/>
      <c r="PST93" s="594"/>
      <c r="PSU93" s="594"/>
      <c r="PSV93" s="594"/>
      <c r="PSW93" s="594"/>
      <c r="PSX93" s="594"/>
      <c r="PSY93" s="594"/>
      <c r="PSZ93" s="594"/>
      <c r="PTA93" s="594"/>
      <c r="PTB93" s="594"/>
      <c r="PTC93" s="594"/>
      <c r="PTD93" s="594"/>
      <c r="PTE93" s="594"/>
      <c r="PTF93" s="594"/>
      <c r="PTG93" s="594"/>
      <c r="PTH93" s="594"/>
      <c r="PTI93" s="594"/>
      <c r="PTJ93" s="594"/>
      <c r="PTK93" s="594"/>
      <c r="PTL93" s="594"/>
      <c r="PTM93" s="594"/>
      <c r="PTN93" s="594"/>
      <c r="PTO93" s="594"/>
      <c r="PTP93" s="594"/>
      <c r="PTQ93" s="594"/>
      <c r="PTR93" s="594"/>
      <c r="PTS93" s="594"/>
      <c r="PTT93" s="594"/>
      <c r="PTU93" s="594"/>
      <c r="PTV93" s="594"/>
      <c r="PTW93" s="594"/>
      <c r="PTX93" s="594"/>
      <c r="PTY93" s="594"/>
      <c r="PTZ93" s="594"/>
      <c r="PUA93" s="594"/>
      <c r="PUB93" s="594"/>
      <c r="PUC93" s="594"/>
      <c r="PUD93" s="594"/>
      <c r="PUE93" s="594"/>
      <c r="PUF93" s="594"/>
      <c r="PUG93" s="594"/>
      <c r="PUH93" s="594"/>
      <c r="PUI93" s="594"/>
      <c r="PUJ93" s="594"/>
      <c r="PUK93" s="594"/>
      <c r="PUL93" s="594"/>
      <c r="PUM93" s="594"/>
      <c r="PUN93" s="594"/>
      <c r="PUO93" s="594"/>
      <c r="PUP93" s="594"/>
      <c r="PUQ93" s="594"/>
      <c r="PUR93" s="594"/>
      <c r="PUS93" s="594"/>
      <c r="PUT93" s="594"/>
      <c r="PUU93" s="594"/>
      <c r="PUV93" s="594"/>
      <c r="PUW93" s="594"/>
      <c r="PUX93" s="594"/>
      <c r="PUY93" s="594"/>
      <c r="PUZ93" s="594"/>
      <c r="PVA93" s="594"/>
      <c r="PVB93" s="594"/>
      <c r="PVC93" s="594"/>
      <c r="PVD93" s="594"/>
      <c r="PVE93" s="594"/>
      <c r="PVF93" s="594"/>
      <c r="PVG93" s="594"/>
      <c r="PVH93" s="594"/>
      <c r="PVI93" s="594"/>
      <c r="PVJ93" s="594"/>
      <c r="PVK93" s="594"/>
      <c r="PVL93" s="594"/>
      <c r="PVM93" s="594"/>
      <c r="PVN93" s="594"/>
      <c r="PVO93" s="594"/>
      <c r="PVP93" s="594"/>
      <c r="PVQ93" s="594"/>
      <c r="PVR93" s="594"/>
      <c r="PVS93" s="594"/>
      <c r="PVT93" s="594"/>
      <c r="PVU93" s="594"/>
      <c r="PVV93" s="594"/>
      <c r="PVW93" s="594"/>
      <c r="PVX93" s="594"/>
      <c r="PVY93" s="594"/>
      <c r="PVZ93" s="594"/>
      <c r="PWA93" s="594"/>
      <c r="PWB93" s="594"/>
      <c r="PWC93" s="594"/>
      <c r="PWD93" s="594"/>
      <c r="PWE93" s="594"/>
      <c r="PWF93" s="594"/>
      <c r="PWG93" s="594"/>
      <c r="PWH93" s="594"/>
      <c r="PWI93" s="594"/>
      <c r="PWJ93" s="594"/>
      <c r="PWK93" s="594"/>
      <c r="PWL93" s="594"/>
      <c r="PWM93" s="594"/>
      <c r="PWN93" s="594"/>
      <c r="PWO93" s="594"/>
      <c r="PWP93" s="594"/>
      <c r="PWQ93" s="594"/>
      <c r="PWR93" s="594"/>
      <c r="PWS93" s="594"/>
      <c r="PWT93" s="594"/>
      <c r="PWU93" s="594"/>
      <c r="PWV93" s="594"/>
      <c r="PWW93" s="594"/>
      <c r="PWX93" s="594"/>
      <c r="PWY93" s="594"/>
      <c r="PWZ93" s="594"/>
      <c r="PXA93" s="594"/>
      <c r="PXB93" s="594"/>
      <c r="PXC93" s="594"/>
      <c r="PXD93" s="594"/>
      <c r="PXE93" s="594"/>
      <c r="PXF93" s="594"/>
      <c r="PXG93" s="594"/>
      <c r="PXH93" s="594"/>
      <c r="PXI93" s="594"/>
      <c r="PXJ93" s="594"/>
      <c r="PXK93" s="594"/>
      <c r="PXL93" s="594"/>
      <c r="PXM93" s="594"/>
      <c r="PXN93" s="594"/>
      <c r="PXO93" s="594"/>
      <c r="PXP93" s="594"/>
      <c r="PXQ93" s="594"/>
      <c r="PXR93" s="594"/>
      <c r="PXS93" s="594"/>
      <c r="PXT93" s="594"/>
      <c r="PXU93" s="594"/>
      <c r="PXV93" s="594"/>
      <c r="PXW93" s="594"/>
      <c r="PXX93" s="594"/>
      <c r="PXY93" s="594"/>
      <c r="PXZ93" s="594"/>
      <c r="PYA93" s="594"/>
      <c r="PYB93" s="594"/>
      <c r="PYC93" s="594"/>
      <c r="PYD93" s="594"/>
      <c r="PYE93" s="594"/>
      <c r="PYF93" s="594"/>
      <c r="PYG93" s="594"/>
      <c r="PYH93" s="594"/>
      <c r="PYI93" s="594"/>
      <c r="PYJ93" s="594"/>
      <c r="PYK93" s="594"/>
      <c r="PYL93" s="594"/>
      <c r="PYM93" s="594"/>
      <c r="PYN93" s="594"/>
      <c r="PYO93" s="594"/>
      <c r="PYP93" s="594"/>
      <c r="PYQ93" s="594"/>
      <c r="PYR93" s="594"/>
      <c r="PYS93" s="594"/>
      <c r="PYT93" s="594"/>
      <c r="PYU93" s="594"/>
      <c r="PYV93" s="594"/>
      <c r="PYW93" s="594"/>
      <c r="PYX93" s="594"/>
      <c r="PYY93" s="594"/>
      <c r="PYZ93" s="594"/>
      <c r="PZA93" s="594"/>
      <c r="PZB93" s="594"/>
      <c r="PZC93" s="594"/>
      <c r="PZD93" s="594"/>
      <c r="PZE93" s="594"/>
      <c r="PZF93" s="594"/>
      <c r="PZG93" s="594"/>
      <c r="PZH93" s="594"/>
      <c r="PZI93" s="594"/>
      <c r="PZJ93" s="594"/>
      <c r="PZK93" s="594"/>
      <c r="PZL93" s="594"/>
      <c r="PZM93" s="594"/>
      <c r="PZN93" s="594"/>
      <c r="PZO93" s="594"/>
      <c r="PZP93" s="594"/>
      <c r="PZQ93" s="594"/>
      <c r="PZR93" s="594"/>
      <c r="PZS93" s="594"/>
      <c r="PZT93" s="594"/>
      <c r="PZU93" s="594"/>
      <c r="PZV93" s="594"/>
      <c r="PZW93" s="594"/>
      <c r="PZX93" s="594"/>
      <c r="PZY93" s="594"/>
      <c r="PZZ93" s="594"/>
      <c r="QAA93" s="594"/>
      <c r="QAB93" s="594"/>
      <c r="QAC93" s="594"/>
      <c r="QAD93" s="594"/>
      <c r="QAE93" s="594"/>
      <c r="QAF93" s="594"/>
      <c r="QAG93" s="594"/>
      <c r="QAH93" s="594"/>
      <c r="QAI93" s="594"/>
      <c r="QAJ93" s="594"/>
      <c r="QAK93" s="594"/>
      <c r="QAL93" s="594"/>
      <c r="QAM93" s="594"/>
      <c r="QAN93" s="594"/>
      <c r="QAO93" s="594"/>
      <c r="QAP93" s="594"/>
      <c r="QAQ93" s="594"/>
      <c r="QAR93" s="594"/>
      <c r="QAS93" s="594"/>
      <c r="QAT93" s="594"/>
      <c r="QAU93" s="594"/>
      <c r="QAV93" s="594"/>
      <c r="QAW93" s="594"/>
      <c r="QAX93" s="594"/>
      <c r="QAY93" s="594"/>
      <c r="QAZ93" s="594"/>
      <c r="QBA93" s="594"/>
      <c r="QBB93" s="594"/>
      <c r="QBC93" s="594"/>
      <c r="QBD93" s="594"/>
      <c r="QBE93" s="594"/>
      <c r="QBF93" s="594"/>
      <c r="QBG93" s="594"/>
      <c r="QBH93" s="594"/>
      <c r="QBI93" s="594"/>
      <c r="QBJ93" s="594"/>
      <c r="QBK93" s="594"/>
      <c r="QBL93" s="594"/>
      <c r="QBM93" s="594"/>
      <c r="QBN93" s="594"/>
      <c r="QBO93" s="594"/>
      <c r="QBP93" s="594"/>
      <c r="QBQ93" s="594"/>
      <c r="QBR93" s="594"/>
      <c r="QBS93" s="594"/>
      <c r="QBT93" s="594"/>
      <c r="QBU93" s="594"/>
      <c r="QBV93" s="594"/>
      <c r="QBW93" s="594"/>
      <c r="QBX93" s="594"/>
      <c r="QBY93" s="594"/>
      <c r="QBZ93" s="594"/>
      <c r="QCA93" s="594"/>
      <c r="QCB93" s="594"/>
      <c r="QCC93" s="594"/>
      <c r="QCD93" s="594"/>
      <c r="QCE93" s="594"/>
      <c r="QCF93" s="594"/>
      <c r="QCG93" s="594"/>
      <c r="QCH93" s="594"/>
      <c r="QCI93" s="594"/>
      <c r="QCJ93" s="594"/>
      <c r="QCK93" s="594"/>
      <c r="QCL93" s="594"/>
      <c r="QCM93" s="594"/>
      <c r="QCN93" s="594"/>
      <c r="QCO93" s="594"/>
      <c r="QCP93" s="594"/>
      <c r="QCQ93" s="594"/>
      <c r="QCR93" s="594"/>
      <c r="QCS93" s="594"/>
      <c r="QCT93" s="594"/>
      <c r="QCU93" s="594"/>
      <c r="QCV93" s="594"/>
      <c r="QCW93" s="594"/>
      <c r="QCX93" s="594"/>
      <c r="QCY93" s="594"/>
      <c r="QCZ93" s="594"/>
      <c r="QDA93" s="594"/>
      <c r="QDB93" s="594"/>
      <c r="QDC93" s="594"/>
      <c r="QDD93" s="594"/>
      <c r="QDE93" s="594"/>
      <c r="QDF93" s="594"/>
      <c r="QDG93" s="594"/>
      <c r="QDH93" s="594"/>
      <c r="QDI93" s="594"/>
      <c r="QDJ93" s="594"/>
      <c r="QDK93" s="594"/>
      <c r="QDL93" s="594"/>
      <c r="QDM93" s="594"/>
      <c r="QDN93" s="594"/>
      <c r="QDO93" s="594"/>
      <c r="QDP93" s="594"/>
      <c r="QDQ93" s="594"/>
      <c r="QDR93" s="594"/>
      <c r="QDS93" s="594"/>
      <c r="QDT93" s="594"/>
      <c r="QDU93" s="594"/>
      <c r="QDV93" s="594"/>
      <c r="QDW93" s="594"/>
      <c r="QDX93" s="594"/>
      <c r="QDY93" s="594"/>
      <c r="QDZ93" s="594"/>
      <c r="QEA93" s="594"/>
      <c r="QEB93" s="594"/>
      <c r="QEC93" s="594"/>
      <c r="QED93" s="594"/>
      <c r="QEE93" s="594"/>
      <c r="QEF93" s="594"/>
      <c r="QEG93" s="594"/>
      <c r="QEH93" s="594"/>
      <c r="QEI93" s="594"/>
      <c r="QEJ93" s="594"/>
      <c r="QEK93" s="594"/>
      <c r="QEL93" s="594"/>
      <c r="QEM93" s="594"/>
      <c r="QEN93" s="594"/>
      <c r="QEO93" s="594"/>
      <c r="QEP93" s="594"/>
      <c r="QEQ93" s="594"/>
      <c r="QER93" s="594"/>
      <c r="QES93" s="594"/>
      <c r="QET93" s="594"/>
      <c r="QEU93" s="594"/>
      <c r="QEV93" s="594"/>
      <c r="QEW93" s="594"/>
      <c r="QEX93" s="594"/>
      <c r="QEY93" s="594"/>
      <c r="QEZ93" s="594"/>
      <c r="QFA93" s="594"/>
      <c r="QFB93" s="594"/>
      <c r="QFC93" s="594"/>
      <c r="QFD93" s="594"/>
      <c r="QFE93" s="594"/>
      <c r="QFF93" s="594"/>
      <c r="QFG93" s="594"/>
      <c r="QFH93" s="594"/>
      <c r="QFI93" s="594"/>
      <c r="QFJ93" s="594"/>
      <c r="QFK93" s="594"/>
      <c r="QFL93" s="594"/>
      <c r="QFM93" s="594"/>
      <c r="QFN93" s="594"/>
      <c r="QFO93" s="594"/>
      <c r="QFP93" s="594"/>
      <c r="QFQ93" s="594"/>
      <c r="QFR93" s="594"/>
      <c r="QFS93" s="594"/>
      <c r="QFT93" s="594"/>
      <c r="QFU93" s="594"/>
      <c r="QFV93" s="594"/>
      <c r="QFW93" s="594"/>
      <c r="QFX93" s="594"/>
      <c r="QFY93" s="594"/>
      <c r="QFZ93" s="594"/>
      <c r="QGA93" s="594"/>
      <c r="QGB93" s="594"/>
      <c r="QGC93" s="594"/>
      <c r="QGD93" s="594"/>
      <c r="QGE93" s="594"/>
      <c r="QGF93" s="594"/>
      <c r="QGG93" s="594"/>
      <c r="QGH93" s="594"/>
      <c r="QGI93" s="594"/>
      <c r="QGJ93" s="594"/>
      <c r="QGK93" s="594"/>
      <c r="QGL93" s="594"/>
      <c r="QGM93" s="594"/>
      <c r="QGN93" s="594"/>
      <c r="QGO93" s="594"/>
      <c r="QGP93" s="594"/>
      <c r="QGQ93" s="594"/>
      <c r="QGR93" s="594"/>
      <c r="QGS93" s="594"/>
      <c r="QGT93" s="594"/>
      <c r="QGU93" s="594"/>
      <c r="QGV93" s="594"/>
      <c r="QGW93" s="594"/>
      <c r="QGX93" s="594"/>
      <c r="QGY93" s="594"/>
      <c r="QGZ93" s="594"/>
      <c r="QHA93" s="594"/>
      <c r="QHB93" s="594"/>
      <c r="QHC93" s="594"/>
      <c r="QHD93" s="594"/>
      <c r="QHE93" s="594"/>
      <c r="QHF93" s="594"/>
      <c r="QHG93" s="594"/>
      <c r="QHH93" s="594"/>
      <c r="QHI93" s="594"/>
      <c r="QHJ93" s="594"/>
      <c r="QHK93" s="594"/>
      <c r="QHL93" s="594"/>
      <c r="QHM93" s="594"/>
      <c r="QHN93" s="594"/>
      <c r="QHO93" s="594"/>
      <c r="QHP93" s="594"/>
      <c r="QHQ93" s="594"/>
      <c r="QHR93" s="594"/>
      <c r="QHS93" s="594"/>
      <c r="QHT93" s="594"/>
      <c r="QHU93" s="594"/>
      <c r="QHV93" s="594"/>
      <c r="QHW93" s="594"/>
      <c r="QHX93" s="594"/>
      <c r="QHY93" s="594"/>
      <c r="QHZ93" s="594"/>
      <c r="QIA93" s="594"/>
      <c r="QIB93" s="594"/>
      <c r="QIC93" s="594"/>
      <c r="QID93" s="594"/>
      <c r="QIE93" s="594"/>
      <c r="QIF93" s="594"/>
      <c r="QIG93" s="594"/>
      <c r="QIH93" s="594"/>
      <c r="QII93" s="594"/>
      <c r="QIJ93" s="594"/>
      <c r="QIK93" s="594"/>
      <c r="QIL93" s="594"/>
      <c r="QIM93" s="594"/>
      <c r="QIN93" s="594"/>
      <c r="QIO93" s="594"/>
      <c r="QIP93" s="594"/>
      <c r="QIQ93" s="594"/>
      <c r="QIR93" s="594"/>
      <c r="QIS93" s="594"/>
      <c r="QIT93" s="594"/>
      <c r="QIU93" s="594"/>
      <c r="QIV93" s="594"/>
      <c r="QIW93" s="594"/>
      <c r="QIX93" s="594"/>
      <c r="QIY93" s="594"/>
      <c r="QIZ93" s="594"/>
      <c r="QJA93" s="594"/>
      <c r="QJB93" s="594"/>
      <c r="QJC93" s="594"/>
      <c r="QJD93" s="594"/>
      <c r="QJE93" s="594"/>
      <c r="QJF93" s="594"/>
      <c r="QJG93" s="594"/>
      <c r="QJH93" s="594"/>
      <c r="QJI93" s="594"/>
      <c r="QJJ93" s="594"/>
      <c r="QJK93" s="594"/>
      <c r="QJL93" s="594"/>
      <c r="QJM93" s="594"/>
      <c r="QJN93" s="594"/>
      <c r="QJO93" s="594"/>
      <c r="QJP93" s="594"/>
      <c r="QJQ93" s="594"/>
      <c r="QJR93" s="594"/>
      <c r="QJS93" s="594"/>
      <c r="QJT93" s="594"/>
      <c r="QJU93" s="594"/>
      <c r="QJV93" s="594"/>
      <c r="QJW93" s="594"/>
      <c r="QJX93" s="594"/>
      <c r="QJY93" s="594"/>
      <c r="QJZ93" s="594"/>
      <c r="QKA93" s="594"/>
      <c r="QKB93" s="594"/>
      <c r="QKC93" s="594"/>
      <c r="QKD93" s="594"/>
      <c r="QKE93" s="594"/>
      <c r="QKF93" s="594"/>
      <c r="QKG93" s="594"/>
      <c r="QKH93" s="594"/>
      <c r="QKI93" s="594"/>
      <c r="QKJ93" s="594"/>
      <c r="QKK93" s="594"/>
      <c r="QKL93" s="594"/>
      <c r="QKM93" s="594"/>
      <c r="QKN93" s="594"/>
      <c r="QKO93" s="594"/>
      <c r="QKP93" s="594"/>
      <c r="QKQ93" s="594"/>
      <c r="QKR93" s="594"/>
      <c r="QKS93" s="594"/>
      <c r="QKT93" s="594"/>
      <c r="QKU93" s="594"/>
      <c r="QKV93" s="594"/>
      <c r="QKW93" s="594"/>
      <c r="QKX93" s="594"/>
      <c r="QKY93" s="594"/>
      <c r="QKZ93" s="594"/>
      <c r="QLA93" s="594"/>
      <c r="QLB93" s="594"/>
      <c r="QLC93" s="594"/>
      <c r="QLD93" s="594"/>
      <c r="QLE93" s="594"/>
      <c r="QLF93" s="594"/>
      <c r="QLG93" s="594"/>
      <c r="QLH93" s="594"/>
      <c r="QLI93" s="594"/>
      <c r="QLJ93" s="594"/>
      <c r="QLK93" s="594"/>
      <c r="QLL93" s="594"/>
      <c r="QLM93" s="594"/>
      <c r="QLN93" s="594"/>
      <c r="QLO93" s="594"/>
      <c r="QLP93" s="594"/>
      <c r="QLQ93" s="594"/>
      <c r="QLR93" s="594"/>
      <c r="QLS93" s="594"/>
      <c r="QLT93" s="594"/>
      <c r="QLU93" s="594"/>
      <c r="QLV93" s="594"/>
      <c r="QLW93" s="594"/>
      <c r="QLX93" s="594"/>
      <c r="QLY93" s="594"/>
      <c r="QLZ93" s="594"/>
      <c r="QMA93" s="594"/>
      <c r="QMB93" s="594"/>
      <c r="QMC93" s="594"/>
      <c r="QMD93" s="594"/>
      <c r="QME93" s="594"/>
      <c r="QMF93" s="594"/>
      <c r="QMG93" s="594"/>
      <c r="QMH93" s="594"/>
      <c r="QMI93" s="594"/>
      <c r="QMJ93" s="594"/>
      <c r="QMK93" s="594"/>
      <c r="QML93" s="594"/>
      <c r="QMM93" s="594"/>
      <c r="QMN93" s="594"/>
      <c r="QMO93" s="594"/>
      <c r="QMP93" s="594"/>
      <c r="QMQ93" s="594"/>
      <c r="QMR93" s="594"/>
      <c r="QMS93" s="594"/>
      <c r="QMT93" s="594"/>
      <c r="QMU93" s="594"/>
      <c r="QMV93" s="594"/>
      <c r="QMW93" s="594"/>
      <c r="QMX93" s="594"/>
      <c r="QMY93" s="594"/>
      <c r="QMZ93" s="594"/>
      <c r="QNA93" s="594"/>
      <c r="QNB93" s="594"/>
      <c r="QNC93" s="594"/>
      <c r="QND93" s="594"/>
      <c r="QNE93" s="594"/>
      <c r="QNF93" s="594"/>
      <c r="QNG93" s="594"/>
      <c r="QNH93" s="594"/>
      <c r="QNI93" s="594"/>
      <c r="QNJ93" s="594"/>
      <c r="QNK93" s="594"/>
      <c r="QNL93" s="594"/>
      <c r="QNM93" s="594"/>
      <c r="QNN93" s="594"/>
      <c r="QNO93" s="594"/>
      <c r="QNP93" s="594"/>
      <c r="QNQ93" s="594"/>
      <c r="QNR93" s="594"/>
      <c r="QNS93" s="594"/>
      <c r="QNT93" s="594"/>
      <c r="QNU93" s="594"/>
      <c r="QNV93" s="594"/>
      <c r="QNW93" s="594"/>
      <c r="QNX93" s="594"/>
      <c r="QNY93" s="594"/>
      <c r="QNZ93" s="594"/>
      <c r="QOA93" s="594"/>
      <c r="QOB93" s="594"/>
      <c r="QOC93" s="594"/>
      <c r="QOD93" s="594"/>
      <c r="QOE93" s="594"/>
      <c r="QOF93" s="594"/>
      <c r="QOG93" s="594"/>
      <c r="QOH93" s="594"/>
      <c r="QOI93" s="594"/>
      <c r="QOJ93" s="594"/>
      <c r="QOK93" s="594"/>
      <c r="QOL93" s="594"/>
      <c r="QOM93" s="594"/>
      <c r="QON93" s="594"/>
      <c r="QOO93" s="594"/>
      <c r="QOP93" s="594"/>
      <c r="QOQ93" s="594"/>
      <c r="QOR93" s="594"/>
      <c r="QOS93" s="594"/>
      <c r="QOT93" s="594"/>
      <c r="QOU93" s="594"/>
      <c r="QOV93" s="594"/>
      <c r="QOW93" s="594"/>
      <c r="QOX93" s="594"/>
      <c r="QOY93" s="594"/>
      <c r="QOZ93" s="594"/>
      <c r="QPA93" s="594"/>
      <c r="QPB93" s="594"/>
      <c r="QPC93" s="594"/>
      <c r="QPD93" s="594"/>
      <c r="QPE93" s="594"/>
      <c r="QPF93" s="594"/>
      <c r="QPG93" s="594"/>
      <c r="QPH93" s="594"/>
      <c r="QPI93" s="594"/>
      <c r="QPJ93" s="594"/>
      <c r="QPK93" s="594"/>
      <c r="QPL93" s="594"/>
      <c r="QPM93" s="594"/>
      <c r="QPN93" s="594"/>
      <c r="QPO93" s="594"/>
      <c r="QPP93" s="594"/>
      <c r="QPQ93" s="594"/>
      <c r="QPR93" s="594"/>
      <c r="QPS93" s="594"/>
      <c r="QPT93" s="594"/>
      <c r="QPU93" s="594"/>
      <c r="QPV93" s="594"/>
      <c r="QPW93" s="594"/>
      <c r="QPX93" s="594"/>
      <c r="QPY93" s="594"/>
      <c r="QPZ93" s="594"/>
      <c r="QQA93" s="594"/>
      <c r="QQB93" s="594"/>
      <c r="QQC93" s="594"/>
      <c r="QQD93" s="594"/>
      <c r="QQE93" s="594"/>
      <c r="QQF93" s="594"/>
      <c r="QQG93" s="594"/>
      <c r="QQH93" s="594"/>
      <c r="QQI93" s="594"/>
      <c r="QQJ93" s="594"/>
      <c r="QQK93" s="594"/>
      <c r="QQL93" s="594"/>
      <c r="QQM93" s="594"/>
      <c r="QQN93" s="594"/>
      <c r="QQO93" s="594"/>
      <c r="QQP93" s="594"/>
      <c r="QQQ93" s="594"/>
      <c r="QQR93" s="594"/>
      <c r="QQS93" s="594"/>
      <c r="QQT93" s="594"/>
      <c r="QQU93" s="594"/>
      <c r="QQV93" s="594"/>
      <c r="QQW93" s="594"/>
      <c r="QQX93" s="594"/>
      <c r="QQY93" s="594"/>
      <c r="QQZ93" s="594"/>
      <c r="QRA93" s="594"/>
      <c r="QRB93" s="594"/>
      <c r="QRC93" s="594"/>
      <c r="QRD93" s="594"/>
      <c r="QRE93" s="594"/>
      <c r="QRF93" s="594"/>
      <c r="QRG93" s="594"/>
      <c r="QRH93" s="594"/>
      <c r="QRI93" s="594"/>
      <c r="QRJ93" s="594"/>
      <c r="QRK93" s="594"/>
      <c r="QRL93" s="594"/>
      <c r="QRM93" s="594"/>
      <c r="QRN93" s="594"/>
      <c r="QRO93" s="594"/>
      <c r="QRP93" s="594"/>
      <c r="QRQ93" s="594"/>
      <c r="QRR93" s="594"/>
      <c r="QRS93" s="594"/>
      <c r="QRT93" s="594"/>
      <c r="QRU93" s="594"/>
      <c r="QRV93" s="594"/>
      <c r="QRW93" s="594"/>
      <c r="QRX93" s="594"/>
      <c r="QRY93" s="594"/>
      <c r="QRZ93" s="594"/>
      <c r="QSA93" s="594"/>
      <c r="QSB93" s="594"/>
      <c r="QSC93" s="594"/>
      <c r="QSD93" s="594"/>
      <c r="QSE93" s="594"/>
      <c r="QSF93" s="594"/>
      <c r="QSG93" s="594"/>
      <c r="QSH93" s="594"/>
      <c r="QSI93" s="594"/>
      <c r="QSJ93" s="594"/>
      <c r="QSK93" s="594"/>
      <c r="QSL93" s="594"/>
      <c r="QSM93" s="594"/>
      <c r="QSN93" s="594"/>
      <c r="QSO93" s="594"/>
      <c r="QSP93" s="594"/>
      <c r="QSQ93" s="594"/>
      <c r="QSR93" s="594"/>
      <c r="QSS93" s="594"/>
      <c r="QST93" s="594"/>
      <c r="QSU93" s="594"/>
      <c r="QSV93" s="594"/>
      <c r="QSW93" s="594"/>
      <c r="QSX93" s="594"/>
      <c r="QSY93" s="594"/>
      <c r="QSZ93" s="594"/>
      <c r="QTA93" s="594"/>
      <c r="QTB93" s="594"/>
      <c r="QTC93" s="594"/>
      <c r="QTD93" s="594"/>
      <c r="QTE93" s="594"/>
      <c r="QTF93" s="594"/>
      <c r="QTG93" s="594"/>
      <c r="QTH93" s="594"/>
      <c r="QTI93" s="594"/>
      <c r="QTJ93" s="594"/>
      <c r="QTK93" s="594"/>
      <c r="QTL93" s="594"/>
      <c r="QTM93" s="594"/>
      <c r="QTN93" s="594"/>
      <c r="QTO93" s="594"/>
      <c r="QTP93" s="594"/>
      <c r="QTQ93" s="594"/>
      <c r="QTR93" s="594"/>
      <c r="QTS93" s="594"/>
      <c r="QTT93" s="594"/>
      <c r="QTU93" s="594"/>
      <c r="QTV93" s="594"/>
      <c r="QTW93" s="594"/>
      <c r="QTX93" s="594"/>
      <c r="QTY93" s="594"/>
      <c r="QTZ93" s="594"/>
      <c r="QUA93" s="594"/>
      <c r="QUB93" s="594"/>
      <c r="QUC93" s="594"/>
      <c r="QUD93" s="594"/>
      <c r="QUE93" s="594"/>
      <c r="QUF93" s="594"/>
      <c r="QUG93" s="594"/>
      <c r="QUH93" s="594"/>
      <c r="QUI93" s="594"/>
      <c r="QUJ93" s="594"/>
      <c r="QUK93" s="594"/>
      <c r="QUL93" s="594"/>
      <c r="QUM93" s="594"/>
      <c r="QUN93" s="594"/>
      <c r="QUO93" s="594"/>
      <c r="QUP93" s="594"/>
      <c r="QUQ93" s="594"/>
      <c r="QUR93" s="594"/>
      <c r="QUS93" s="594"/>
      <c r="QUT93" s="594"/>
      <c r="QUU93" s="594"/>
      <c r="QUV93" s="594"/>
      <c r="QUW93" s="594"/>
      <c r="QUX93" s="594"/>
      <c r="QUY93" s="594"/>
      <c r="QUZ93" s="594"/>
      <c r="QVA93" s="594"/>
      <c r="QVB93" s="594"/>
      <c r="QVC93" s="594"/>
      <c r="QVD93" s="594"/>
      <c r="QVE93" s="594"/>
      <c r="QVF93" s="594"/>
      <c r="QVG93" s="594"/>
      <c r="QVH93" s="594"/>
      <c r="QVI93" s="594"/>
      <c r="QVJ93" s="594"/>
      <c r="QVK93" s="594"/>
      <c r="QVL93" s="594"/>
      <c r="QVM93" s="594"/>
      <c r="QVN93" s="594"/>
      <c r="QVO93" s="594"/>
      <c r="QVP93" s="594"/>
      <c r="QVQ93" s="594"/>
      <c r="QVR93" s="594"/>
      <c r="QVS93" s="594"/>
      <c r="QVT93" s="594"/>
      <c r="QVU93" s="594"/>
      <c r="QVV93" s="594"/>
      <c r="QVW93" s="594"/>
      <c r="QVX93" s="594"/>
      <c r="QVY93" s="594"/>
      <c r="QVZ93" s="594"/>
      <c r="QWA93" s="594"/>
      <c r="QWB93" s="594"/>
      <c r="QWC93" s="594"/>
      <c r="QWD93" s="594"/>
      <c r="QWE93" s="594"/>
      <c r="QWF93" s="594"/>
      <c r="QWG93" s="594"/>
      <c r="QWH93" s="594"/>
      <c r="QWI93" s="594"/>
      <c r="QWJ93" s="594"/>
      <c r="QWK93" s="594"/>
      <c r="QWL93" s="594"/>
      <c r="QWM93" s="594"/>
      <c r="QWN93" s="594"/>
      <c r="QWO93" s="594"/>
      <c r="QWP93" s="594"/>
      <c r="QWQ93" s="594"/>
      <c r="QWR93" s="594"/>
      <c r="QWS93" s="594"/>
      <c r="QWT93" s="594"/>
      <c r="QWU93" s="594"/>
      <c r="QWV93" s="594"/>
      <c r="QWW93" s="594"/>
      <c r="QWX93" s="594"/>
      <c r="QWY93" s="594"/>
      <c r="QWZ93" s="594"/>
      <c r="QXA93" s="594"/>
      <c r="QXB93" s="594"/>
      <c r="QXC93" s="594"/>
      <c r="QXD93" s="594"/>
      <c r="QXE93" s="594"/>
      <c r="QXF93" s="594"/>
      <c r="QXG93" s="594"/>
      <c r="QXH93" s="594"/>
      <c r="QXI93" s="594"/>
      <c r="QXJ93" s="594"/>
      <c r="QXK93" s="594"/>
      <c r="QXL93" s="594"/>
      <c r="QXM93" s="594"/>
      <c r="QXN93" s="594"/>
      <c r="QXO93" s="594"/>
      <c r="QXP93" s="594"/>
      <c r="QXQ93" s="594"/>
      <c r="QXR93" s="594"/>
      <c r="QXS93" s="594"/>
      <c r="QXT93" s="594"/>
      <c r="QXU93" s="594"/>
      <c r="QXV93" s="594"/>
      <c r="QXW93" s="594"/>
      <c r="QXX93" s="594"/>
      <c r="QXY93" s="594"/>
      <c r="QXZ93" s="594"/>
      <c r="QYA93" s="594"/>
      <c r="QYB93" s="594"/>
      <c r="QYC93" s="594"/>
      <c r="QYD93" s="594"/>
      <c r="QYE93" s="594"/>
      <c r="QYF93" s="594"/>
      <c r="QYG93" s="594"/>
      <c r="QYH93" s="594"/>
      <c r="QYI93" s="594"/>
      <c r="QYJ93" s="594"/>
      <c r="QYK93" s="594"/>
      <c r="QYL93" s="594"/>
      <c r="QYM93" s="594"/>
      <c r="QYN93" s="594"/>
      <c r="QYO93" s="594"/>
      <c r="QYP93" s="594"/>
      <c r="QYQ93" s="594"/>
      <c r="QYR93" s="594"/>
      <c r="QYS93" s="594"/>
      <c r="QYT93" s="594"/>
      <c r="QYU93" s="594"/>
      <c r="QYV93" s="594"/>
      <c r="QYW93" s="594"/>
      <c r="QYX93" s="594"/>
      <c r="QYY93" s="594"/>
      <c r="QYZ93" s="594"/>
      <c r="QZA93" s="594"/>
      <c r="QZB93" s="594"/>
      <c r="QZC93" s="594"/>
      <c r="QZD93" s="594"/>
      <c r="QZE93" s="594"/>
      <c r="QZF93" s="594"/>
      <c r="QZG93" s="594"/>
      <c r="QZH93" s="594"/>
      <c r="QZI93" s="594"/>
      <c r="QZJ93" s="594"/>
      <c r="QZK93" s="594"/>
      <c r="QZL93" s="594"/>
      <c r="QZM93" s="594"/>
      <c r="QZN93" s="594"/>
      <c r="QZO93" s="594"/>
      <c r="QZP93" s="594"/>
      <c r="QZQ93" s="594"/>
      <c r="QZR93" s="594"/>
      <c r="QZS93" s="594"/>
      <c r="QZT93" s="594"/>
      <c r="QZU93" s="594"/>
      <c r="QZV93" s="594"/>
      <c r="QZW93" s="594"/>
      <c r="QZX93" s="594"/>
      <c r="QZY93" s="594"/>
      <c r="QZZ93" s="594"/>
      <c r="RAA93" s="594"/>
      <c r="RAB93" s="594"/>
      <c r="RAC93" s="594"/>
      <c r="RAD93" s="594"/>
      <c r="RAE93" s="594"/>
      <c r="RAF93" s="594"/>
      <c r="RAG93" s="594"/>
      <c r="RAH93" s="594"/>
      <c r="RAI93" s="594"/>
      <c r="RAJ93" s="594"/>
      <c r="RAK93" s="594"/>
      <c r="RAL93" s="594"/>
      <c r="RAM93" s="594"/>
      <c r="RAN93" s="594"/>
      <c r="RAO93" s="594"/>
      <c r="RAP93" s="594"/>
      <c r="RAQ93" s="594"/>
      <c r="RAR93" s="594"/>
      <c r="RAS93" s="594"/>
      <c r="RAT93" s="594"/>
      <c r="RAU93" s="594"/>
      <c r="RAV93" s="594"/>
      <c r="RAW93" s="594"/>
      <c r="RAX93" s="594"/>
      <c r="RAY93" s="594"/>
      <c r="RAZ93" s="594"/>
      <c r="RBA93" s="594"/>
      <c r="RBB93" s="594"/>
      <c r="RBC93" s="594"/>
      <c r="RBD93" s="594"/>
      <c r="RBE93" s="594"/>
      <c r="RBF93" s="594"/>
      <c r="RBG93" s="594"/>
      <c r="RBH93" s="594"/>
      <c r="RBI93" s="594"/>
      <c r="RBJ93" s="594"/>
      <c r="RBK93" s="594"/>
      <c r="RBL93" s="594"/>
      <c r="RBM93" s="594"/>
      <c r="RBN93" s="594"/>
      <c r="RBO93" s="594"/>
      <c r="RBP93" s="594"/>
      <c r="RBQ93" s="594"/>
      <c r="RBR93" s="594"/>
      <c r="RBS93" s="594"/>
      <c r="RBT93" s="594"/>
      <c r="RBU93" s="594"/>
      <c r="RBV93" s="594"/>
      <c r="RBW93" s="594"/>
      <c r="RBX93" s="594"/>
      <c r="RBY93" s="594"/>
      <c r="RBZ93" s="594"/>
      <c r="RCA93" s="594"/>
      <c r="RCB93" s="594"/>
      <c r="RCC93" s="594"/>
      <c r="RCD93" s="594"/>
      <c r="RCE93" s="594"/>
      <c r="RCF93" s="594"/>
      <c r="RCG93" s="594"/>
      <c r="RCH93" s="594"/>
      <c r="RCI93" s="594"/>
      <c r="RCJ93" s="594"/>
      <c r="RCK93" s="594"/>
      <c r="RCL93" s="594"/>
      <c r="RCM93" s="594"/>
      <c r="RCN93" s="594"/>
      <c r="RCO93" s="594"/>
      <c r="RCP93" s="594"/>
      <c r="RCQ93" s="594"/>
      <c r="RCR93" s="594"/>
      <c r="RCS93" s="594"/>
      <c r="RCT93" s="594"/>
      <c r="RCU93" s="594"/>
      <c r="RCV93" s="594"/>
      <c r="RCW93" s="594"/>
      <c r="RCX93" s="594"/>
      <c r="RCY93" s="594"/>
      <c r="RCZ93" s="594"/>
      <c r="RDA93" s="594"/>
      <c r="RDB93" s="594"/>
      <c r="RDC93" s="594"/>
      <c r="RDD93" s="594"/>
      <c r="RDE93" s="594"/>
      <c r="RDF93" s="594"/>
      <c r="RDG93" s="594"/>
      <c r="RDH93" s="594"/>
      <c r="RDI93" s="594"/>
      <c r="RDJ93" s="594"/>
      <c r="RDK93" s="594"/>
      <c r="RDL93" s="594"/>
      <c r="RDM93" s="594"/>
      <c r="RDN93" s="594"/>
      <c r="RDO93" s="594"/>
      <c r="RDP93" s="594"/>
      <c r="RDQ93" s="594"/>
      <c r="RDR93" s="594"/>
      <c r="RDS93" s="594"/>
      <c r="RDT93" s="594"/>
      <c r="RDU93" s="594"/>
      <c r="RDV93" s="594"/>
      <c r="RDW93" s="594"/>
      <c r="RDX93" s="594"/>
      <c r="RDY93" s="594"/>
      <c r="RDZ93" s="594"/>
      <c r="REA93" s="594"/>
      <c r="REB93" s="594"/>
      <c r="REC93" s="594"/>
      <c r="RED93" s="594"/>
      <c r="REE93" s="594"/>
      <c r="REF93" s="594"/>
      <c r="REG93" s="594"/>
      <c r="REH93" s="594"/>
      <c r="REI93" s="594"/>
      <c r="REJ93" s="594"/>
      <c r="REK93" s="594"/>
      <c r="REL93" s="594"/>
      <c r="REM93" s="594"/>
      <c r="REN93" s="594"/>
      <c r="REO93" s="594"/>
      <c r="REP93" s="594"/>
      <c r="REQ93" s="594"/>
      <c r="RER93" s="594"/>
      <c r="RES93" s="594"/>
      <c r="RET93" s="594"/>
      <c r="REU93" s="594"/>
      <c r="REV93" s="594"/>
      <c r="REW93" s="594"/>
      <c r="REX93" s="594"/>
      <c r="REY93" s="594"/>
      <c r="REZ93" s="594"/>
      <c r="RFA93" s="594"/>
      <c r="RFB93" s="594"/>
      <c r="RFC93" s="594"/>
      <c r="RFD93" s="594"/>
      <c r="RFE93" s="594"/>
      <c r="RFF93" s="594"/>
      <c r="RFG93" s="594"/>
      <c r="RFH93" s="594"/>
      <c r="RFI93" s="594"/>
      <c r="RFJ93" s="594"/>
      <c r="RFK93" s="594"/>
      <c r="RFL93" s="594"/>
      <c r="RFM93" s="594"/>
      <c r="RFN93" s="594"/>
      <c r="RFO93" s="594"/>
      <c r="RFP93" s="594"/>
      <c r="RFQ93" s="594"/>
      <c r="RFR93" s="594"/>
      <c r="RFS93" s="594"/>
      <c r="RFT93" s="594"/>
      <c r="RFU93" s="594"/>
      <c r="RFV93" s="594"/>
      <c r="RFW93" s="594"/>
      <c r="RFX93" s="594"/>
      <c r="RFY93" s="594"/>
      <c r="RFZ93" s="594"/>
      <c r="RGA93" s="594"/>
      <c r="RGB93" s="594"/>
      <c r="RGC93" s="594"/>
      <c r="RGD93" s="594"/>
      <c r="RGE93" s="594"/>
      <c r="RGF93" s="594"/>
      <c r="RGG93" s="594"/>
      <c r="RGH93" s="594"/>
      <c r="RGI93" s="594"/>
      <c r="RGJ93" s="594"/>
      <c r="RGK93" s="594"/>
      <c r="RGL93" s="594"/>
      <c r="RGM93" s="594"/>
      <c r="RGN93" s="594"/>
      <c r="RGO93" s="594"/>
      <c r="RGP93" s="594"/>
      <c r="RGQ93" s="594"/>
      <c r="RGR93" s="594"/>
      <c r="RGS93" s="594"/>
      <c r="RGT93" s="594"/>
      <c r="RGU93" s="594"/>
      <c r="RGV93" s="594"/>
      <c r="RGW93" s="594"/>
      <c r="RGX93" s="594"/>
      <c r="RGY93" s="594"/>
      <c r="RGZ93" s="594"/>
      <c r="RHA93" s="594"/>
      <c r="RHB93" s="594"/>
      <c r="RHC93" s="594"/>
      <c r="RHD93" s="594"/>
      <c r="RHE93" s="594"/>
      <c r="RHF93" s="594"/>
      <c r="RHG93" s="594"/>
      <c r="RHH93" s="594"/>
      <c r="RHI93" s="594"/>
      <c r="RHJ93" s="594"/>
      <c r="RHK93" s="594"/>
      <c r="RHL93" s="594"/>
      <c r="RHM93" s="594"/>
      <c r="RHN93" s="594"/>
      <c r="RHO93" s="594"/>
      <c r="RHP93" s="594"/>
      <c r="RHQ93" s="594"/>
      <c r="RHR93" s="594"/>
      <c r="RHS93" s="594"/>
      <c r="RHT93" s="594"/>
      <c r="RHU93" s="594"/>
      <c r="RHV93" s="594"/>
      <c r="RHW93" s="594"/>
      <c r="RHX93" s="594"/>
      <c r="RHY93" s="594"/>
      <c r="RHZ93" s="594"/>
      <c r="RIA93" s="594"/>
      <c r="RIB93" s="594"/>
      <c r="RIC93" s="594"/>
      <c r="RID93" s="594"/>
      <c r="RIE93" s="594"/>
      <c r="RIF93" s="594"/>
      <c r="RIG93" s="594"/>
      <c r="RIH93" s="594"/>
      <c r="RII93" s="594"/>
      <c r="RIJ93" s="594"/>
      <c r="RIK93" s="594"/>
      <c r="RIL93" s="594"/>
      <c r="RIM93" s="594"/>
      <c r="RIN93" s="594"/>
      <c r="RIO93" s="594"/>
      <c r="RIP93" s="594"/>
      <c r="RIQ93" s="594"/>
      <c r="RIR93" s="594"/>
      <c r="RIS93" s="594"/>
      <c r="RIT93" s="594"/>
      <c r="RIU93" s="594"/>
      <c r="RIV93" s="594"/>
      <c r="RIW93" s="594"/>
      <c r="RIX93" s="594"/>
      <c r="RIY93" s="594"/>
      <c r="RIZ93" s="594"/>
      <c r="RJA93" s="594"/>
      <c r="RJB93" s="594"/>
      <c r="RJC93" s="594"/>
      <c r="RJD93" s="594"/>
      <c r="RJE93" s="594"/>
      <c r="RJF93" s="594"/>
      <c r="RJG93" s="594"/>
      <c r="RJH93" s="594"/>
      <c r="RJI93" s="594"/>
      <c r="RJJ93" s="594"/>
      <c r="RJK93" s="594"/>
      <c r="RJL93" s="594"/>
      <c r="RJM93" s="594"/>
      <c r="RJN93" s="594"/>
      <c r="RJO93" s="594"/>
      <c r="RJP93" s="594"/>
      <c r="RJQ93" s="594"/>
      <c r="RJR93" s="594"/>
      <c r="RJS93" s="594"/>
      <c r="RJT93" s="594"/>
      <c r="RJU93" s="594"/>
      <c r="RJV93" s="594"/>
      <c r="RJW93" s="594"/>
      <c r="RJX93" s="594"/>
      <c r="RJY93" s="594"/>
      <c r="RJZ93" s="594"/>
      <c r="RKA93" s="594"/>
      <c r="RKB93" s="594"/>
      <c r="RKC93" s="594"/>
      <c r="RKD93" s="594"/>
      <c r="RKE93" s="594"/>
      <c r="RKF93" s="594"/>
      <c r="RKG93" s="594"/>
      <c r="RKH93" s="594"/>
      <c r="RKI93" s="594"/>
      <c r="RKJ93" s="594"/>
      <c r="RKK93" s="594"/>
      <c r="RKL93" s="594"/>
      <c r="RKM93" s="594"/>
      <c r="RKN93" s="594"/>
      <c r="RKO93" s="594"/>
      <c r="RKP93" s="594"/>
      <c r="RKQ93" s="594"/>
      <c r="RKR93" s="594"/>
      <c r="RKS93" s="594"/>
      <c r="RKT93" s="594"/>
      <c r="RKU93" s="594"/>
      <c r="RKV93" s="594"/>
      <c r="RKW93" s="594"/>
      <c r="RKX93" s="594"/>
      <c r="RKY93" s="594"/>
      <c r="RKZ93" s="594"/>
      <c r="RLA93" s="594"/>
      <c r="RLB93" s="594"/>
      <c r="RLC93" s="594"/>
      <c r="RLD93" s="594"/>
      <c r="RLE93" s="594"/>
      <c r="RLF93" s="594"/>
      <c r="RLG93" s="594"/>
      <c r="RLH93" s="594"/>
      <c r="RLI93" s="594"/>
      <c r="RLJ93" s="594"/>
      <c r="RLK93" s="594"/>
      <c r="RLL93" s="594"/>
      <c r="RLM93" s="594"/>
      <c r="RLN93" s="594"/>
      <c r="RLO93" s="594"/>
      <c r="RLP93" s="594"/>
      <c r="RLQ93" s="594"/>
      <c r="RLR93" s="594"/>
      <c r="RLS93" s="594"/>
      <c r="RLT93" s="594"/>
      <c r="RLU93" s="594"/>
      <c r="RLV93" s="594"/>
      <c r="RLW93" s="594"/>
      <c r="RLX93" s="594"/>
      <c r="RLY93" s="594"/>
      <c r="RLZ93" s="594"/>
      <c r="RMA93" s="594"/>
      <c r="RMB93" s="594"/>
      <c r="RMC93" s="594"/>
      <c r="RMD93" s="594"/>
      <c r="RME93" s="594"/>
      <c r="RMF93" s="594"/>
      <c r="RMG93" s="594"/>
      <c r="RMH93" s="594"/>
      <c r="RMI93" s="594"/>
      <c r="RMJ93" s="594"/>
      <c r="RMK93" s="594"/>
      <c r="RML93" s="594"/>
      <c r="RMM93" s="594"/>
      <c r="RMN93" s="594"/>
      <c r="RMO93" s="594"/>
      <c r="RMP93" s="594"/>
      <c r="RMQ93" s="594"/>
      <c r="RMR93" s="594"/>
      <c r="RMS93" s="594"/>
      <c r="RMT93" s="594"/>
      <c r="RMU93" s="594"/>
      <c r="RMV93" s="594"/>
      <c r="RMW93" s="594"/>
      <c r="RMX93" s="594"/>
      <c r="RMY93" s="594"/>
      <c r="RMZ93" s="594"/>
      <c r="RNA93" s="594"/>
      <c r="RNB93" s="594"/>
      <c r="RNC93" s="594"/>
      <c r="RND93" s="594"/>
      <c r="RNE93" s="594"/>
      <c r="RNF93" s="594"/>
      <c r="RNG93" s="594"/>
      <c r="RNH93" s="594"/>
      <c r="RNI93" s="594"/>
      <c r="RNJ93" s="594"/>
      <c r="RNK93" s="594"/>
      <c r="RNL93" s="594"/>
      <c r="RNM93" s="594"/>
      <c r="RNN93" s="594"/>
      <c r="RNO93" s="594"/>
      <c r="RNP93" s="594"/>
      <c r="RNQ93" s="594"/>
      <c r="RNR93" s="594"/>
      <c r="RNS93" s="594"/>
      <c r="RNT93" s="594"/>
      <c r="RNU93" s="594"/>
      <c r="RNV93" s="594"/>
      <c r="RNW93" s="594"/>
      <c r="RNX93" s="594"/>
      <c r="RNY93" s="594"/>
      <c r="RNZ93" s="594"/>
      <c r="ROA93" s="594"/>
      <c r="ROB93" s="594"/>
      <c r="ROC93" s="594"/>
      <c r="ROD93" s="594"/>
      <c r="ROE93" s="594"/>
      <c r="ROF93" s="594"/>
      <c r="ROG93" s="594"/>
      <c r="ROH93" s="594"/>
      <c r="ROI93" s="594"/>
      <c r="ROJ93" s="594"/>
      <c r="ROK93" s="594"/>
      <c r="ROL93" s="594"/>
      <c r="ROM93" s="594"/>
      <c r="RON93" s="594"/>
      <c r="ROO93" s="594"/>
      <c r="ROP93" s="594"/>
      <c r="ROQ93" s="594"/>
      <c r="ROR93" s="594"/>
      <c r="ROS93" s="594"/>
      <c r="ROT93" s="594"/>
      <c r="ROU93" s="594"/>
      <c r="ROV93" s="594"/>
      <c r="ROW93" s="594"/>
      <c r="ROX93" s="594"/>
      <c r="ROY93" s="594"/>
      <c r="ROZ93" s="594"/>
      <c r="RPA93" s="594"/>
      <c r="RPB93" s="594"/>
      <c r="RPC93" s="594"/>
      <c r="RPD93" s="594"/>
      <c r="RPE93" s="594"/>
      <c r="RPF93" s="594"/>
      <c r="RPG93" s="594"/>
      <c r="RPH93" s="594"/>
      <c r="RPI93" s="594"/>
      <c r="RPJ93" s="594"/>
      <c r="RPK93" s="594"/>
      <c r="RPL93" s="594"/>
      <c r="RPM93" s="594"/>
      <c r="RPN93" s="594"/>
      <c r="RPO93" s="594"/>
      <c r="RPP93" s="594"/>
      <c r="RPQ93" s="594"/>
      <c r="RPR93" s="594"/>
      <c r="RPS93" s="594"/>
      <c r="RPT93" s="594"/>
      <c r="RPU93" s="594"/>
      <c r="RPV93" s="594"/>
      <c r="RPW93" s="594"/>
      <c r="RPX93" s="594"/>
      <c r="RPY93" s="594"/>
      <c r="RPZ93" s="594"/>
      <c r="RQA93" s="594"/>
      <c r="RQB93" s="594"/>
      <c r="RQC93" s="594"/>
      <c r="RQD93" s="594"/>
      <c r="RQE93" s="594"/>
      <c r="RQF93" s="594"/>
      <c r="RQG93" s="594"/>
      <c r="RQH93" s="594"/>
      <c r="RQI93" s="594"/>
      <c r="RQJ93" s="594"/>
      <c r="RQK93" s="594"/>
      <c r="RQL93" s="594"/>
      <c r="RQM93" s="594"/>
      <c r="RQN93" s="594"/>
      <c r="RQO93" s="594"/>
      <c r="RQP93" s="594"/>
      <c r="RQQ93" s="594"/>
      <c r="RQR93" s="594"/>
      <c r="RQS93" s="594"/>
      <c r="RQT93" s="594"/>
      <c r="RQU93" s="594"/>
      <c r="RQV93" s="594"/>
      <c r="RQW93" s="594"/>
      <c r="RQX93" s="594"/>
      <c r="RQY93" s="594"/>
      <c r="RQZ93" s="594"/>
      <c r="RRA93" s="594"/>
      <c r="RRB93" s="594"/>
      <c r="RRC93" s="594"/>
      <c r="RRD93" s="594"/>
      <c r="RRE93" s="594"/>
      <c r="RRF93" s="594"/>
      <c r="RRG93" s="594"/>
      <c r="RRH93" s="594"/>
      <c r="RRI93" s="594"/>
      <c r="RRJ93" s="594"/>
      <c r="RRK93" s="594"/>
      <c r="RRL93" s="594"/>
      <c r="RRM93" s="594"/>
      <c r="RRN93" s="594"/>
      <c r="RRO93" s="594"/>
      <c r="RRP93" s="594"/>
      <c r="RRQ93" s="594"/>
      <c r="RRR93" s="594"/>
      <c r="RRS93" s="594"/>
      <c r="RRT93" s="594"/>
      <c r="RRU93" s="594"/>
      <c r="RRV93" s="594"/>
      <c r="RRW93" s="594"/>
      <c r="RRX93" s="594"/>
      <c r="RRY93" s="594"/>
      <c r="RRZ93" s="594"/>
      <c r="RSA93" s="594"/>
      <c r="RSB93" s="594"/>
      <c r="RSC93" s="594"/>
      <c r="RSD93" s="594"/>
      <c r="RSE93" s="594"/>
      <c r="RSF93" s="594"/>
      <c r="RSG93" s="594"/>
      <c r="RSH93" s="594"/>
      <c r="RSI93" s="594"/>
      <c r="RSJ93" s="594"/>
      <c r="RSK93" s="594"/>
      <c r="RSL93" s="594"/>
      <c r="RSM93" s="594"/>
      <c r="RSN93" s="594"/>
      <c r="RSO93" s="594"/>
      <c r="RSP93" s="594"/>
      <c r="RSQ93" s="594"/>
      <c r="RSR93" s="594"/>
      <c r="RSS93" s="594"/>
      <c r="RST93" s="594"/>
      <c r="RSU93" s="594"/>
      <c r="RSV93" s="594"/>
      <c r="RSW93" s="594"/>
      <c r="RSX93" s="594"/>
      <c r="RSY93" s="594"/>
      <c r="RSZ93" s="594"/>
      <c r="RTA93" s="594"/>
      <c r="RTB93" s="594"/>
      <c r="RTC93" s="594"/>
      <c r="RTD93" s="594"/>
      <c r="RTE93" s="594"/>
      <c r="RTF93" s="594"/>
      <c r="RTG93" s="594"/>
      <c r="RTH93" s="594"/>
      <c r="RTI93" s="594"/>
      <c r="RTJ93" s="594"/>
      <c r="RTK93" s="594"/>
      <c r="RTL93" s="594"/>
      <c r="RTM93" s="594"/>
      <c r="RTN93" s="594"/>
      <c r="RTO93" s="594"/>
      <c r="RTP93" s="594"/>
      <c r="RTQ93" s="594"/>
      <c r="RTR93" s="594"/>
      <c r="RTS93" s="594"/>
      <c r="RTT93" s="594"/>
      <c r="RTU93" s="594"/>
      <c r="RTV93" s="594"/>
      <c r="RTW93" s="594"/>
      <c r="RTX93" s="594"/>
      <c r="RTY93" s="594"/>
      <c r="RTZ93" s="594"/>
      <c r="RUA93" s="594"/>
      <c r="RUB93" s="594"/>
      <c r="RUC93" s="594"/>
      <c r="RUD93" s="594"/>
      <c r="RUE93" s="594"/>
      <c r="RUF93" s="594"/>
      <c r="RUG93" s="594"/>
      <c r="RUH93" s="594"/>
      <c r="RUI93" s="594"/>
      <c r="RUJ93" s="594"/>
      <c r="RUK93" s="594"/>
      <c r="RUL93" s="594"/>
      <c r="RUM93" s="594"/>
      <c r="RUN93" s="594"/>
      <c r="RUO93" s="594"/>
      <c r="RUP93" s="594"/>
      <c r="RUQ93" s="594"/>
      <c r="RUR93" s="594"/>
      <c r="RUS93" s="594"/>
      <c r="RUT93" s="594"/>
      <c r="RUU93" s="594"/>
      <c r="RUV93" s="594"/>
      <c r="RUW93" s="594"/>
      <c r="RUX93" s="594"/>
      <c r="RUY93" s="594"/>
      <c r="RUZ93" s="594"/>
      <c r="RVA93" s="594"/>
      <c r="RVB93" s="594"/>
      <c r="RVC93" s="594"/>
      <c r="RVD93" s="594"/>
      <c r="RVE93" s="594"/>
      <c r="RVF93" s="594"/>
      <c r="RVG93" s="594"/>
      <c r="RVH93" s="594"/>
      <c r="RVI93" s="594"/>
      <c r="RVJ93" s="594"/>
      <c r="RVK93" s="594"/>
      <c r="RVL93" s="594"/>
      <c r="RVM93" s="594"/>
      <c r="RVN93" s="594"/>
      <c r="RVO93" s="594"/>
      <c r="RVP93" s="594"/>
      <c r="RVQ93" s="594"/>
      <c r="RVR93" s="594"/>
      <c r="RVS93" s="594"/>
      <c r="RVT93" s="594"/>
      <c r="RVU93" s="594"/>
      <c r="RVV93" s="594"/>
      <c r="RVW93" s="594"/>
      <c r="RVX93" s="594"/>
      <c r="RVY93" s="594"/>
      <c r="RVZ93" s="594"/>
      <c r="RWA93" s="594"/>
      <c r="RWB93" s="594"/>
      <c r="RWC93" s="594"/>
      <c r="RWD93" s="594"/>
      <c r="RWE93" s="594"/>
      <c r="RWF93" s="594"/>
      <c r="RWG93" s="594"/>
      <c r="RWH93" s="594"/>
      <c r="RWI93" s="594"/>
      <c r="RWJ93" s="594"/>
      <c r="RWK93" s="594"/>
      <c r="RWL93" s="594"/>
      <c r="RWM93" s="594"/>
      <c r="RWN93" s="594"/>
      <c r="RWO93" s="594"/>
      <c r="RWP93" s="594"/>
      <c r="RWQ93" s="594"/>
      <c r="RWR93" s="594"/>
      <c r="RWS93" s="594"/>
      <c r="RWT93" s="594"/>
      <c r="RWU93" s="594"/>
      <c r="RWV93" s="594"/>
      <c r="RWW93" s="594"/>
      <c r="RWX93" s="594"/>
      <c r="RWY93" s="594"/>
      <c r="RWZ93" s="594"/>
      <c r="RXA93" s="594"/>
      <c r="RXB93" s="594"/>
      <c r="RXC93" s="594"/>
      <c r="RXD93" s="594"/>
      <c r="RXE93" s="594"/>
      <c r="RXF93" s="594"/>
      <c r="RXG93" s="594"/>
      <c r="RXH93" s="594"/>
      <c r="RXI93" s="594"/>
      <c r="RXJ93" s="594"/>
      <c r="RXK93" s="594"/>
      <c r="RXL93" s="594"/>
      <c r="RXM93" s="594"/>
      <c r="RXN93" s="594"/>
      <c r="RXO93" s="594"/>
      <c r="RXP93" s="594"/>
      <c r="RXQ93" s="594"/>
      <c r="RXR93" s="594"/>
      <c r="RXS93" s="594"/>
      <c r="RXT93" s="594"/>
      <c r="RXU93" s="594"/>
      <c r="RXV93" s="594"/>
      <c r="RXW93" s="594"/>
      <c r="RXX93" s="594"/>
      <c r="RXY93" s="594"/>
      <c r="RXZ93" s="594"/>
      <c r="RYA93" s="594"/>
      <c r="RYB93" s="594"/>
      <c r="RYC93" s="594"/>
      <c r="RYD93" s="594"/>
      <c r="RYE93" s="594"/>
      <c r="RYF93" s="594"/>
      <c r="RYG93" s="594"/>
      <c r="RYH93" s="594"/>
      <c r="RYI93" s="594"/>
      <c r="RYJ93" s="594"/>
      <c r="RYK93" s="594"/>
      <c r="RYL93" s="594"/>
      <c r="RYM93" s="594"/>
      <c r="RYN93" s="594"/>
      <c r="RYO93" s="594"/>
      <c r="RYP93" s="594"/>
      <c r="RYQ93" s="594"/>
      <c r="RYR93" s="594"/>
      <c r="RYS93" s="594"/>
      <c r="RYT93" s="594"/>
      <c r="RYU93" s="594"/>
      <c r="RYV93" s="594"/>
      <c r="RYW93" s="594"/>
      <c r="RYX93" s="594"/>
      <c r="RYY93" s="594"/>
      <c r="RYZ93" s="594"/>
      <c r="RZA93" s="594"/>
      <c r="RZB93" s="594"/>
      <c r="RZC93" s="594"/>
      <c r="RZD93" s="594"/>
      <c r="RZE93" s="594"/>
      <c r="RZF93" s="594"/>
      <c r="RZG93" s="594"/>
      <c r="RZH93" s="594"/>
      <c r="RZI93" s="594"/>
      <c r="RZJ93" s="594"/>
      <c r="RZK93" s="594"/>
      <c r="RZL93" s="594"/>
      <c r="RZM93" s="594"/>
      <c r="RZN93" s="594"/>
      <c r="RZO93" s="594"/>
      <c r="RZP93" s="594"/>
      <c r="RZQ93" s="594"/>
      <c r="RZR93" s="594"/>
      <c r="RZS93" s="594"/>
      <c r="RZT93" s="594"/>
      <c r="RZU93" s="594"/>
      <c r="RZV93" s="594"/>
      <c r="RZW93" s="594"/>
      <c r="RZX93" s="594"/>
      <c r="RZY93" s="594"/>
      <c r="RZZ93" s="594"/>
      <c r="SAA93" s="594"/>
      <c r="SAB93" s="594"/>
      <c r="SAC93" s="594"/>
      <c r="SAD93" s="594"/>
      <c r="SAE93" s="594"/>
      <c r="SAF93" s="594"/>
      <c r="SAG93" s="594"/>
      <c r="SAH93" s="594"/>
      <c r="SAI93" s="594"/>
      <c r="SAJ93" s="594"/>
      <c r="SAK93" s="594"/>
      <c r="SAL93" s="594"/>
      <c r="SAM93" s="594"/>
      <c r="SAN93" s="594"/>
      <c r="SAO93" s="594"/>
      <c r="SAP93" s="594"/>
      <c r="SAQ93" s="594"/>
      <c r="SAR93" s="594"/>
      <c r="SAS93" s="594"/>
      <c r="SAT93" s="594"/>
      <c r="SAU93" s="594"/>
      <c r="SAV93" s="594"/>
      <c r="SAW93" s="594"/>
      <c r="SAX93" s="594"/>
      <c r="SAY93" s="594"/>
      <c r="SAZ93" s="594"/>
      <c r="SBA93" s="594"/>
      <c r="SBB93" s="594"/>
      <c r="SBC93" s="594"/>
      <c r="SBD93" s="594"/>
      <c r="SBE93" s="594"/>
      <c r="SBF93" s="594"/>
      <c r="SBG93" s="594"/>
      <c r="SBH93" s="594"/>
      <c r="SBI93" s="594"/>
      <c r="SBJ93" s="594"/>
      <c r="SBK93" s="594"/>
      <c r="SBL93" s="594"/>
      <c r="SBM93" s="594"/>
      <c r="SBN93" s="594"/>
      <c r="SBO93" s="594"/>
      <c r="SBP93" s="594"/>
      <c r="SBQ93" s="594"/>
      <c r="SBR93" s="594"/>
      <c r="SBS93" s="594"/>
      <c r="SBT93" s="594"/>
      <c r="SBU93" s="594"/>
      <c r="SBV93" s="594"/>
      <c r="SBW93" s="594"/>
      <c r="SBX93" s="594"/>
      <c r="SBY93" s="594"/>
      <c r="SBZ93" s="594"/>
      <c r="SCA93" s="594"/>
      <c r="SCB93" s="594"/>
      <c r="SCC93" s="594"/>
      <c r="SCD93" s="594"/>
      <c r="SCE93" s="594"/>
      <c r="SCF93" s="594"/>
      <c r="SCG93" s="594"/>
      <c r="SCH93" s="594"/>
      <c r="SCI93" s="594"/>
      <c r="SCJ93" s="594"/>
      <c r="SCK93" s="594"/>
      <c r="SCL93" s="594"/>
      <c r="SCM93" s="594"/>
      <c r="SCN93" s="594"/>
      <c r="SCO93" s="594"/>
      <c r="SCP93" s="594"/>
      <c r="SCQ93" s="594"/>
      <c r="SCR93" s="594"/>
      <c r="SCS93" s="594"/>
      <c r="SCT93" s="594"/>
      <c r="SCU93" s="594"/>
      <c r="SCV93" s="594"/>
      <c r="SCW93" s="594"/>
      <c r="SCX93" s="594"/>
      <c r="SCY93" s="594"/>
      <c r="SCZ93" s="594"/>
      <c r="SDA93" s="594"/>
      <c r="SDB93" s="594"/>
      <c r="SDC93" s="594"/>
      <c r="SDD93" s="594"/>
      <c r="SDE93" s="594"/>
      <c r="SDF93" s="594"/>
      <c r="SDG93" s="594"/>
      <c r="SDH93" s="594"/>
      <c r="SDI93" s="594"/>
      <c r="SDJ93" s="594"/>
      <c r="SDK93" s="594"/>
      <c r="SDL93" s="594"/>
      <c r="SDM93" s="594"/>
      <c r="SDN93" s="594"/>
      <c r="SDO93" s="594"/>
      <c r="SDP93" s="594"/>
      <c r="SDQ93" s="594"/>
      <c r="SDR93" s="594"/>
      <c r="SDS93" s="594"/>
      <c r="SDT93" s="594"/>
      <c r="SDU93" s="594"/>
      <c r="SDV93" s="594"/>
      <c r="SDW93" s="594"/>
      <c r="SDX93" s="594"/>
      <c r="SDY93" s="594"/>
      <c r="SDZ93" s="594"/>
      <c r="SEA93" s="594"/>
      <c r="SEB93" s="594"/>
      <c r="SEC93" s="594"/>
      <c r="SED93" s="594"/>
      <c r="SEE93" s="594"/>
      <c r="SEF93" s="594"/>
      <c r="SEG93" s="594"/>
      <c r="SEH93" s="594"/>
      <c r="SEI93" s="594"/>
      <c r="SEJ93" s="594"/>
      <c r="SEK93" s="594"/>
      <c r="SEL93" s="594"/>
      <c r="SEM93" s="594"/>
      <c r="SEN93" s="594"/>
      <c r="SEO93" s="594"/>
      <c r="SEP93" s="594"/>
      <c r="SEQ93" s="594"/>
      <c r="SER93" s="594"/>
      <c r="SES93" s="594"/>
      <c r="SET93" s="594"/>
      <c r="SEU93" s="594"/>
      <c r="SEV93" s="594"/>
      <c r="SEW93" s="594"/>
      <c r="SEX93" s="594"/>
      <c r="SEY93" s="594"/>
      <c r="SEZ93" s="594"/>
      <c r="SFA93" s="594"/>
      <c r="SFB93" s="594"/>
      <c r="SFC93" s="594"/>
      <c r="SFD93" s="594"/>
      <c r="SFE93" s="594"/>
      <c r="SFF93" s="594"/>
      <c r="SFG93" s="594"/>
      <c r="SFH93" s="594"/>
      <c r="SFI93" s="594"/>
      <c r="SFJ93" s="594"/>
      <c r="SFK93" s="594"/>
      <c r="SFL93" s="594"/>
      <c r="SFM93" s="594"/>
      <c r="SFN93" s="594"/>
      <c r="SFO93" s="594"/>
      <c r="SFP93" s="594"/>
      <c r="SFQ93" s="594"/>
      <c r="SFR93" s="594"/>
      <c r="SFS93" s="594"/>
      <c r="SFT93" s="594"/>
      <c r="SFU93" s="594"/>
      <c r="SFV93" s="594"/>
      <c r="SFW93" s="594"/>
      <c r="SFX93" s="594"/>
      <c r="SFY93" s="594"/>
      <c r="SFZ93" s="594"/>
      <c r="SGA93" s="594"/>
      <c r="SGB93" s="594"/>
      <c r="SGC93" s="594"/>
      <c r="SGD93" s="594"/>
      <c r="SGE93" s="594"/>
      <c r="SGF93" s="594"/>
      <c r="SGG93" s="594"/>
      <c r="SGH93" s="594"/>
      <c r="SGI93" s="594"/>
      <c r="SGJ93" s="594"/>
      <c r="SGK93" s="594"/>
      <c r="SGL93" s="594"/>
      <c r="SGM93" s="594"/>
      <c r="SGN93" s="594"/>
      <c r="SGO93" s="594"/>
      <c r="SGP93" s="594"/>
      <c r="SGQ93" s="594"/>
      <c r="SGR93" s="594"/>
      <c r="SGS93" s="594"/>
      <c r="SGT93" s="594"/>
      <c r="SGU93" s="594"/>
      <c r="SGV93" s="594"/>
      <c r="SGW93" s="594"/>
      <c r="SGX93" s="594"/>
      <c r="SGY93" s="594"/>
      <c r="SGZ93" s="594"/>
      <c r="SHA93" s="594"/>
      <c r="SHB93" s="594"/>
      <c r="SHC93" s="594"/>
      <c r="SHD93" s="594"/>
      <c r="SHE93" s="594"/>
      <c r="SHF93" s="594"/>
      <c r="SHG93" s="594"/>
      <c r="SHH93" s="594"/>
      <c r="SHI93" s="594"/>
      <c r="SHJ93" s="594"/>
      <c r="SHK93" s="594"/>
      <c r="SHL93" s="594"/>
      <c r="SHM93" s="594"/>
      <c r="SHN93" s="594"/>
      <c r="SHO93" s="594"/>
      <c r="SHP93" s="594"/>
      <c r="SHQ93" s="594"/>
      <c r="SHR93" s="594"/>
      <c r="SHS93" s="594"/>
      <c r="SHT93" s="594"/>
      <c r="SHU93" s="594"/>
      <c r="SHV93" s="594"/>
      <c r="SHW93" s="594"/>
      <c r="SHX93" s="594"/>
      <c r="SHY93" s="594"/>
      <c r="SHZ93" s="594"/>
      <c r="SIA93" s="594"/>
      <c r="SIB93" s="594"/>
      <c r="SIC93" s="594"/>
      <c r="SID93" s="594"/>
      <c r="SIE93" s="594"/>
      <c r="SIF93" s="594"/>
      <c r="SIG93" s="594"/>
      <c r="SIH93" s="594"/>
      <c r="SII93" s="594"/>
      <c r="SIJ93" s="594"/>
      <c r="SIK93" s="594"/>
      <c r="SIL93" s="594"/>
      <c r="SIM93" s="594"/>
      <c r="SIN93" s="594"/>
      <c r="SIO93" s="594"/>
      <c r="SIP93" s="594"/>
      <c r="SIQ93" s="594"/>
      <c r="SIR93" s="594"/>
      <c r="SIS93" s="594"/>
      <c r="SIT93" s="594"/>
      <c r="SIU93" s="594"/>
      <c r="SIV93" s="594"/>
      <c r="SIW93" s="594"/>
      <c r="SIX93" s="594"/>
      <c r="SIY93" s="594"/>
      <c r="SIZ93" s="594"/>
      <c r="SJA93" s="594"/>
      <c r="SJB93" s="594"/>
      <c r="SJC93" s="594"/>
      <c r="SJD93" s="594"/>
      <c r="SJE93" s="594"/>
      <c r="SJF93" s="594"/>
      <c r="SJG93" s="594"/>
      <c r="SJH93" s="594"/>
      <c r="SJI93" s="594"/>
      <c r="SJJ93" s="594"/>
      <c r="SJK93" s="594"/>
      <c r="SJL93" s="594"/>
      <c r="SJM93" s="594"/>
      <c r="SJN93" s="594"/>
      <c r="SJO93" s="594"/>
      <c r="SJP93" s="594"/>
      <c r="SJQ93" s="594"/>
      <c r="SJR93" s="594"/>
      <c r="SJS93" s="594"/>
      <c r="SJT93" s="594"/>
      <c r="SJU93" s="594"/>
      <c r="SJV93" s="594"/>
      <c r="SJW93" s="594"/>
      <c r="SJX93" s="594"/>
      <c r="SJY93" s="594"/>
      <c r="SJZ93" s="594"/>
      <c r="SKA93" s="594"/>
      <c r="SKB93" s="594"/>
      <c r="SKC93" s="594"/>
      <c r="SKD93" s="594"/>
      <c r="SKE93" s="594"/>
      <c r="SKF93" s="594"/>
      <c r="SKG93" s="594"/>
      <c r="SKH93" s="594"/>
      <c r="SKI93" s="594"/>
      <c r="SKJ93" s="594"/>
      <c r="SKK93" s="594"/>
      <c r="SKL93" s="594"/>
      <c r="SKM93" s="594"/>
      <c r="SKN93" s="594"/>
      <c r="SKO93" s="594"/>
      <c r="SKP93" s="594"/>
      <c r="SKQ93" s="594"/>
      <c r="SKR93" s="594"/>
      <c r="SKS93" s="594"/>
      <c r="SKT93" s="594"/>
      <c r="SKU93" s="594"/>
      <c r="SKV93" s="594"/>
      <c r="SKW93" s="594"/>
      <c r="SKX93" s="594"/>
      <c r="SKY93" s="594"/>
      <c r="SKZ93" s="594"/>
      <c r="SLA93" s="594"/>
      <c r="SLB93" s="594"/>
      <c r="SLC93" s="594"/>
      <c r="SLD93" s="594"/>
      <c r="SLE93" s="594"/>
      <c r="SLF93" s="594"/>
      <c r="SLG93" s="594"/>
      <c r="SLH93" s="594"/>
      <c r="SLI93" s="594"/>
      <c r="SLJ93" s="594"/>
      <c r="SLK93" s="594"/>
      <c r="SLL93" s="594"/>
      <c r="SLM93" s="594"/>
      <c r="SLN93" s="594"/>
      <c r="SLO93" s="594"/>
      <c r="SLP93" s="594"/>
      <c r="SLQ93" s="594"/>
      <c r="SLR93" s="594"/>
      <c r="SLS93" s="594"/>
      <c r="SLT93" s="594"/>
      <c r="SLU93" s="594"/>
      <c r="SLV93" s="594"/>
      <c r="SLW93" s="594"/>
      <c r="SLX93" s="594"/>
      <c r="SLY93" s="594"/>
      <c r="SLZ93" s="594"/>
      <c r="SMA93" s="594"/>
      <c r="SMB93" s="594"/>
      <c r="SMC93" s="594"/>
      <c r="SMD93" s="594"/>
      <c r="SME93" s="594"/>
      <c r="SMF93" s="594"/>
      <c r="SMG93" s="594"/>
      <c r="SMH93" s="594"/>
      <c r="SMI93" s="594"/>
      <c r="SMJ93" s="594"/>
      <c r="SMK93" s="594"/>
      <c r="SML93" s="594"/>
      <c r="SMM93" s="594"/>
      <c r="SMN93" s="594"/>
      <c r="SMO93" s="594"/>
      <c r="SMP93" s="594"/>
      <c r="SMQ93" s="594"/>
      <c r="SMR93" s="594"/>
      <c r="SMS93" s="594"/>
      <c r="SMT93" s="594"/>
      <c r="SMU93" s="594"/>
      <c r="SMV93" s="594"/>
      <c r="SMW93" s="594"/>
      <c r="SMX93" s="594"/>
      <c r="SMY93" s="594"/>
      <c r="SMZ93" s="594"/>
      <c r="SNA93" s="594"/>
      <c r="SNB93" s="594"/>
      <c r="SNC93" s="594"/>
      <c r="SND93" s="594"/>
      <c r="SNE93" s="594"/>
      <c r="SNF93" s="594"/>
      <c r="SNG93" s="594"/>
      <c r="SNH93" s="594"/>
      <c r="SNI93" s="594"/>
      <c r="SNJ93" s="594"/>
      <c r="SNK93" s="594"/>
      <c r="SNL93" s="594"/>
      <c r="SNM93" s="594"/>
      <c r="SNN93" s="594"/>
      <c r="SNO93" s="594"/>
      <c r="SNP93" s="594"/>
      <c r="SNQ93" s="594"/>
      <c r="SNR93" s="594"/>
      <c r="SNS93" s="594"/>
      <c r="SNT93" s="594"/>
      <c r="SNU93" s="594"/>
      <c r="SNV93" s="594"/>
      <c r="SNW93" s="594"/>
      <c r="SNX93" s="594"/>
      <c r="SNY93" s="594"/>
      <c r="SNZ93" s="594"/>
      <c r="SOA93" s="594"/>
      <c r="SOB93" s="594"/>
      <c r="SOC93" s="594"/>
      <c r="SOD93" s="594"/>
      <c r="SOE93" s="594"/>
      <c r="SOF93" s="594"/>
      <c r="SOG93" s="594"/>
      <c r="SOH93" s="594"/>
      <c r="SOI93" s="594"/>
      <c r="SOJ93" s="594"/>
      <c r="SOK93" s="594"/>
      <c r="SOL93" s="594"/>
      <c r="SOM93" s="594"/>
      <c r="SON93" s="594"/>
      <c r="SOO93" s="594"/>
      <c r="SOP93" s="594"/>
      <c r="SOQ93" s="594"/>
      <c r="SOR93" s="594"/>
      <c r="SOS93" s="594"/>
      <c r="SOT93" s="594"/>
      <c r="SOU93" s="594"/>
      <c r="SOV93" s="594"/>
      <c r="SOW93" s="594"/>
      <c r="SOX93" s="594"/>
      <c r="SOY93" s="594"/>
      <c r="SOZ93" s="594"/>
      <c r="SPA93" s="594"/>
      <c r="SPB93" s="594"/>
      <c r="SPC93" s="594"/>
      <c r="SPD93" s="594"/>
      <c r="SPE93" s="594"/>
      <c r="SPF93" s="594"/>
      <c r="SPG93" s="594"/>
      <c r="SPH93" s="594"/>
      <c r="SPI93" s="594"/>
      <c r="SPJ93" s="594"/>
      <c r="SPK93" s="594"/>
      <c r="SPL93" s="594"/>
      <c r="SPM93" s="594"/>
      <c r="SPN93" s="594"/>
      <c r="SPO93" s="594"/>
      <c r="SPP93" s="594"/>
      <c r="SPQ93" s="594"/>
      <c r="SPR93" s="594"/>
      <c r="SPS93" s="594"/>
      <c r="SPT93" s="594"/>
      <c r="SPU93" s="594"/>
      <c r="SPV93" s="594"/>
      <c r="SPW93" s="594"/>
      <c r="SPX93" s="594"/>
      <c r="SPY93" s="594"/>
      <c r="SPZ93" s="594"/>
      <c r="SQA93" s="594"/>
      <c r="SQB93" s="594"/>
      <c r="SQC93" s="594"/>
      <c r="SQD93" s="594"/>
      <c r="SQE93" s="594"/>
      <c r="SQF93" s="594"/>
      <c r="SQG93" s="594"/>
      <c r="SQH93" s="594"/>
      <c r="SQI93" s="594"/>
      <c r="SQJ93" s="594"/>
      <c r="SQK93" s="594"/>
      <c r="SQL93" s="594"/>
      <c r="SQM93" s="594"/>
      <c r="SQN93" s="594"/>
      <c r="SQO93" s="594"/>
      <c r="SQP93" s="594"/>
      <c r="SQQ93" s="594"/>
      <c r="SQR93" s="594"/>
      <c r="SQS93" s="594"/>
      <c r="SQT93" s="594"/>
      <c r="SQU93" s="594"/>
      <c r="SQV93" s="594"/>
      <c r="SQW93" s="594"/>
      <c r="SQX93" s="594"/>
      <c r="SQY93" s="594"/>
      <c r="SQZ93" s="594"/>
      <c r="SRA93" s="594"/>
      <c r="SRB93" s="594"/>
      <c r="SRC93" s="594"/>
      <c r="SRD93" s="594"/>
      <c r="SRE93" s="594"/>
      <c r="SRF93" s="594"/>
      <c r="SRG93" s="594"/>
      <c r="SRH93" s="594"/>
      <c r="SRI93" s="594"/>
      <c r="SRJ93" s="594"/>
      <c r="SRK93" s="594"/>
      <c r="SRL93" s="594"/>
      <c r="SRM93" s="594"/>
      <c r="SRN93" s="594"/>
      <c r="SRO93" s="594"/>
      <c r="SRP93" s="594"/>
      <c r="SRQ93" s="594"/>
      <c r="SRR93" s="594"/>
      <c r="SRS93" s="594"/>
      <c r="SRT93" s="594"/>
      <c r="SRU93" s="594"/>
      <c r="SRV93" s="594"/>
      <c r="SRW93" s="594"/>
      <c r="SRX93" s="594"/>
      <c r="SRY93" s="594"/>
      <c r="SRZ93" s="594"/>
      <c r="SSA93" s="594"/>
      <c r="SSB93" s="594"/>
      <c r="SSC93" s="594"/>
      <c r="SSD93" s="594"/>
      <c r="SSE93" s="594"/>
      <c r="SSF93" s="594"/>
      <c r="SSG93" s="594"/>
      <c r="SSH93" s="594"/>
      <c r="SSI93" s="594"/>
      <c r="SSJ93" s="594"/>
      <c r="SSK93" s="594"/>
      <c r="SSL93" s="594"/>
      <c r="SSM93" s="594"/>
      <c r="SSN93" s="594"/>
      <c r="SSO93" s="594"/>
      <c r="SSP93" s="594"/>
      <c r="SSQ93" s="594"/>
      <c r="SSR93" s="594"/>
      <c r="SSS93" s="594"/>
      <c r="SST93" s="594"/>
      <c r="SSU93" s="594"/>
      <c r="SSV93" s="594"/>
      <c r="SSW93" s="594"/>
      <c r="SSX93" s="594"/>
      <c r="SSY93" s="594"/>
      <c r="SSZ93" s="594"/>
      <c r="STA93" s="594"/>
      <c r="STB93" s="594"/>
      <c r="STC93" s="594"/>
      <c r="STD93" s="594"/>
      <c r="STE93" s="594"/>
      <c r="STF93" s="594"/>
      <c r="STG93" s="594"/>
      <c r="STH93" s="594"/>
      <c r="STI93" s="594"/>
      <c r="STJ93" s="594"/>
      <c r="STK93" s="594"/>
      <c r="STL93" s="594"/>
      <c r="STM93" s="594"/>
      <c r="STN93" s="594"/>
      <c r="STO93" s="594"/>
      <c r="STP93" s="594"/>
      <c r="STQ93" s="594"/>
      <c r="STR93" s="594"/>
      <c r="STS93" s="594"/>
      <c r="STT93" s="594"/>
      <c r="STU93" s="594"/>
      <c r="STV93" s="594"/>
      <c r="STW93" s="594"/>
      <c r="STX93" s="594"/>
      <c r="STY93" s="594"/>
      <c r="STZ93" s="594"/>
      <c r="SUA93" s="594"/>
      <c r="SUB93" s="594"/>
      <c r="SUC93" s="594"/>
      <c r="SUD93" s="594"/>
      <c r="SUE93" s="594"/>
      <c r="SUF93" s="594"/>
      <c r="SUG93" s="594"/>
      <c r="SUH93" s="594"/>
      <c r="SUI93" s="594"/>
      <c r="SUJ93" s="594"/>
      <c r="SUK93" s="594"/>
      <c r="SUL93" s="594"/>
      <c r="SUM93" s="594"/>
      <c r="SUN93" s="594"/>
      <c r="SUO93" s="594"/>
      <c r="SUP93" s="594"/>
      <c r="SUQ93" s="594"/>
      <c r="SUR93" s="594"/>
      <c r="SUS93" s="594"/>
      <c r="SUT93" s="594"/>
      <c r="SUU93" s="594"/>
      <c r="SUV93" s="594"/>
      <c r="SUW93" s="594"/>
      <c r="SUX93" s="594"/>
      <c r="SUY93" s="594"/>
      <c r="SUZ93" s="594"/>
      <c r="SVA93" s="594"/>
      <c r="SVB93" s="594"/>
      <c r="SVC93" s="594"/>
      <c r="SVD93" s="594"/>
      <c r="SVE93" s="594"/>
      <c r="SVF93" s="594"/>
      <c r="SVG93" s="594"/>
      <c r="SVH93" s="594"/>
      <c r="SVI93" s="594"/>
      <c r="SVJ93" s="594"/>
      <c r="SVK93" s="594"/>
      <c r="SVL93" s="594"/>
      <c r="SVM93" s="594"/>
      <c r="SVN93" s="594"/>
      <c r="SVO93" s="594"/>
      <c r="SVP93" s="594"/>
      <c r="SVQ93" s="594"/>
      <c r="SVR93" s="594"/>
      <c r="SVS93" s="594"/>
      <c r="SVT93" s="594"/>
      <c r="SVU93" s="594"/>
      <c r="SVV93" s="594"/>
      <c r="SVW93" s="594"/>
      <c r="SVX93" s="594"/>
      <c r="SVY93" s="594"/>
      <c r="SVZ93" s="594"/>
      <c r="SWA93" s="594"/>
      <c r="SWB93" s="594"/>
      <c r="SWC93" s="594"/>
      <c r="SWD93" s="594"/>
      <c r="SWE93" s="594"/>
      <c r="SWF93" s="594"/>
      <c r="SWG93" s="594"/>
      <c r="SWH93" s="594"/>
      <c r="SWI93" s="594"/>
      <c r="SWJ93" s="594"/>
      <c r="SWK93" s="594"/>
      <c r="SWL93" s="594"/>
      <c r="SWM93" s="594"/>
      <c r="SWN93" s="594"/>
      <c r="SWO93" s="594"/>
      <c r="SWP93" s="594"/>
      <c r="SWQ93" s="594"/>
      <c r="SWR93" s="594"/>
      <c r="SWS93" s="594"/>
      <c r="SWT93" s="594"/>
      <c r="SWU93" s="594"/>
      <c r="SWV93" s="594"/>
      <c r="SWW93" s="594"/>
      <c r="SWX93" s="594"/>
      <c r="SWY93" s="594"/>
      <c r="SWZ93" s="594"/>
      <c r="SXA93" s="594"/>
      <c r="SXB93" s="594"/>
      <c r="SXC93" s="594"/>
      <c r="SXD93" s="594"/>
      <c r="SXE93" s="594"/>
      <c r="SXF93" s="594"/>
      <c r="SXG93" s="594"/>
      <c r="SXH93" s="594"/>
      <c r="SXI93" s="594"/>
      <c r="SXJ93" s="594"/>
      <c r="SXK93" s="594"/>
      <c r="SXL93" s="594"/>
      <c r="SXM93" s="594"/>
      <c r="SXN93" s="594"/>
      <c r="SXO93" s="594"/>
      <c r="SXP93" s="594"/>
      <c r="SXQ93" s="594"/>
      <c r="SXR93" s="594"/>
      <c r="SXS93" s="594"/>
      <c r="SXT93" s="594"/>
      <c r="SXU93" s="594"/>
      <c r="SXV93" s="594"/>
      <c r="SXW93" s="594"/>
      <c r="SXX93" s="594"/>
      <c r="SXY93" s="594"/>
      <c r="SXZ93" s="594"/>
      <c r="SYA93" s="594"/>
      <c r="SYB93" s="594"/>
      <c r="SYC93" s="594"/>
      <c r="SYD93" s="594"/>
      <c r="SYE93" s="594"/>
      <c r="SYF93" s="594"/>
      <c r="SYG93" s="594"/>
      <c r="SYH93" s="594"/>
      <c r="SYI93" s="594"/>
      <c r="SYJ93" s="594"/>
      <c r="SYK93" s="594"/>
      <c r="SYL93" s="594"/>
      <c r="SYM93" s="594"/>
      <c r="SYN93" s="594"/>
      <c r="SYO93" s="594"/>
      <c r="SYP93" s="594"/>
      <c r="SYQ93" s="594"/>
      <c r="SYR93" s="594"/>
      <c r="SYS93" s="594"/>
      <c r="SYT93" s="594"/>
      <c r="SYU93" s="594"/>
      <c r="SYV93" s="594"/>
      <c r="SYW93" s="594"/>
      <c r="SYX93" s="594"/>
      <c r="SYY93" s="594"/>
      <c r="SYZ93" s="594"/>
      <c r="SZA93" s="594"/>
      <c r="SZB93" s="594"/>
      <c r="SZC93" s="594"/>
      <c r="SZD93" s="594"/>
      <c r="SZE93" s="594"/>
      <c r="SZF93" s="594"/>
      <c r="SZG93" s="594"/>
      <c r="SZH93" s="594"/>
      <c r="SZI93" s="594"/>
      <c r="SZJ93" s="594"/>
      <c r="SZK93" s="594"/>
      <c r="SZL93" s="594"/>
      <c r="SZM93" s="594"/>
      <c r="SZN93" s="594"/>
      <c r="SZO93" s="594"/>
      <c r="SZP93" s="594"/>
      <c r="SZQ93" s="594"/>
      <c r="SZR93" s="594"/>
      <c r="SZS93" s="594"/>
      <c r="SZT93" s="594"/>
      <c r="SZU93" s="594"/>
      <c r="SZV93" s="594"/>
      <c r="SZW93" s="594"/>
      <c r="SZX93" s="594"/>
      <c r="SZY93" s="594"/>
      <c r="SZZ93" s="594"/>
      <c r="TAA93" s="594"/>
      <c r="TAB93" s="594"/>
      <c r="TAC93" s="594"/>
      <c r="TAD93" s="594"/>
      <c r="TAE93" s="594"/>
      <c r="TAF93" s="594"/>
      <c r="TAG93" s="594"/>
      <c r="TAH93" s="594"/>
      <c r="TAI93" s="594"/>
      <c r="TAJ93" s="594"/>
      <c r="TAK93" s="594"/>
      <c r="TAL93" s="594"/>
      <c r="TAM93" s="594"/>
      <c r="TAN93" s="594"/>
      <c r="TAO93" s="594"/>
      <c r="TAP93" s="594"/>
      <c r="TAQ93" s="594"/>
      <c r="TAR93" s="594"/>
      <c r="TAS93" s="594"/>
      <c r="TAT93" s="594"/>
      <c r="TAU93" s="594"/>
      <c r="TAV93" s="594"/>
      <c r="TAW93" s="594"/>
      <c r="TAX93" s="594"/>
      <c r="TAY93" s="594"/>
      <c r="TAZ93" s="594"/>
      <c r="TBA93" s="594"/>
      <c r="TBB93" s="594"/>
      <c r="TBC93" s="594"/>
      <c r="TBD93" s="594"/>
      <c r="TBE93" s="594"/>
      <c r="TBF93" s="594"/>
      <c r="TBG93" s="594"/>
      <c r="TBH93" s="594"/>
      <c r="TBI93" s="594"/>
      <c r="TBJ93" s="594"/>
      <c r="TBK93" s="594"/>
      <c r="TBL93" s="594"/>
      <c r="TBM93" s="594"/>
      <c r="TBN93" s="594"/>
      <c r="TBO93" s="594"/>
      <c r="TBP93" s="594"/>
      <c r="TBQ93" s="594"/>
      <c r="TBR93" s="594"/>
      <c r="TBS93" s="594"/>
      <c r="TBT93" s="594"/>
      <c r="TBU93" s="594"/>
      <c r="TBV93" s="594"/>
      <c r="TBW93" s="594"/>
      <c r="TBX93" s="594"/>
      <c r="TBY93" s="594"/>
      <c r="TBZ93" s="594"/>
      <c r="TCA93" s="594"/>
      <c r="TCB93" s="594"/>
      <c r="TCC93" s="594"/>
      <c r="TCD93" s="594"/>
      <c r="TCE93" s="594"/>
      <c r="TCF93" s="594"/>
      <c r="TCG93" s="594"/>
      <c r="TCH93" s="594"/>
      <c r="TCI93" s="594"/>
      <c r="TCJ93" s="594"/>
      <c r="TCK93" s="594"/>
      <c r="TCL93" s="594"/>
      <c r="TCM93" s="594"/>
      <c r="TCN93" s="594"/>
      <c r="TCO93" s="594"/>
      <c r="TCP93" s="594"/>
      <c r="TCQ93" s="594"/>
      <c r="TCR93" s="594"/>
      <c r="TCS93" s="594"/>
      <c r="TCT93" s="594"/>
      <c r="TCU93" s="594"/>
      <c r="TCV93" s="594"/>
      <c r="TCW93" s="594"/>
      <c r="TCX93" s="594"/>
      <c r="TCY93" s="594"/>
      <c r="TCZ93" s="594"/>
      <c r="TDA93" s="594"/>
      <c r="TDB93" s="594"/>
      <c r="TDC93" s="594"/>
      <c r="TDD93" s="594"/>
      <c r="TDE93" s="594"/>
      <c r="TDF93" s="594"/>
      <c r="TDG93" s="594"/>
      <c r="TDH93" s="594"/>
      <c r="TDI93" s="594"/>
      <c r="TDJ93" s="594"/>
      <c r="TDK93" s="594"/>
      <c r="TDL93" s="594"/>
      <c r="TDM93" s="594"/>
      <c r="TDN93" s="594"/>
      <c r="TDO93" s="594"/>
      <c r="TDP93" s="594"/>
      <c r="TDQ93" s="594"/>
      <c r="TDR93" s="594"/>
      <c r="TDS93" s="594"/>
      <c r="TDT93" s="594"/>
      <c r="TDU93" s="594"/>
      <c r="TDV93" s="594"/>
      <c r="TDW93" s="594"/>
      <c r="TDX93" s="594"/>
      <c r="TDY93" s="594"/>
      <c r="TDZ93" s="594"/>
      <c r="TEA93" s="594"/>
      <c r="TEB93" s="594"/>
      <c r="TEC93" s="594"/>
      <c r="TED93" s="594"/>
      <c r="TEE93" s="594"/>
      <c r="TEF93" s="594"/>
      <c r="TEG93" s="594"/>
      <c r="TEH93" s="594"/>
      <c r="TEI93" s="594"/>
      <c r="TEJ93" s="594"/>
      <c r="TEK93" s="594"/>
      <c r="TEL93" s="594"/>
      <c r="TEM93" s="594"/>
      <c r="TEN93" s="594"/>
      <c r="TEO93" s="594"/>
      <c r="TEP93" s="594"/>
      <c r="TEQ93" s="594"/>
      <c r="TER93" s="594"/>
      <c r="TES93" s="594"/>
      <c r="TET93" s="594"/>
      <c r="TEU93" s="594"/>
      <c r="TEV93" s="594"/>
      <c r="TEW93" s="594"/>
      <c r="TEX93" s="594"/>
      <c r="TEY93" s="594"/>
      <c r="TEZ93" s="594"/>
      <c r="TFA93" s="594"/>
      <c r="TFB93" s="594"/>
      <c r="TFC93" s="594"/>
      <c r="TFD93" s="594"/>
      <c r="TFE93" s="594"/>
      <c r="TFF93" s="594"/>
      <c r="TFG93" s="594"/>
      <c r="TFH93" s="594"/>
      <c r="TFI93" s="594"/>
      <c r="TFJ93" s="594"/>
      <c r="TFK93" s="594"/>
      <c r="TFL93" s="594"/>
      <c r="TFM93" s="594"/>
      <c r="TFN93" s="594"/>
      <c r="TFO93" s="594"/>
      <c r="TFP93" s="594"/>
      <c r="TFQ93" s="594"/>
      <c r="TFR93" s="594"/>
      <c r="TFS93" s="594"/>
      <c r="TFT93" s="594"/>
      <c r="TFU93" s="594"/>
      <c r="TFV93" s="594"/>
      <c r="TFW93" s="594"/>
      <c r="TFX93" s="594"/>
      <c r="TFY93" s="594"/>
      <c r="TFZ93" s="594"/>
      <c r="TGA93" s="594"/>
      <c r="TGB93" s="594"/>
      <c r="TGC93" s="594"/>
      <c r="TGD93" s="594"/>
      <c r="TGE93" s="594"/>
      <c r="TGF93" s="594"/>
      <c r="TGG93" s="594"/>
      <c r="TGH93" s="594"/>
      <c r="TGI93" s="594"/>
      <c r="TGJ93" s="594"/>
      <c r="TGK93" s="594"/>
      <c r="TGL93" s="594"/>
      <c r="TGM93" s="594"/>
      <c r="TGN93" s="594"/>
      <c r="TGO93" s="594"/>
      <c r="TGP93" s="594"/>
      <c r="TGQ93" s="594"/>
      <c r="TGR93" s="594"/>
      <c r="TGS93" s="594"/>
      <c r="TGT93" s="594"/>
      <c r="TGU93" s="594"/>
      <c r="TGV93" s="594"/>
      <c r="TGW93" s="594"/>
      <c r="TGX93" s="594"/>
      <c r="TGY93" s="594"/>
      <c r="TGZ93" s="594"/>
      <c r="THA93" s="594"/>
      <c r="THB93" s="594"/>
      <c r="THC93" s="594"/>
      <c r="THD93" s="594"/>
      <c r="THE93" s="594"/>
      <c r="THF93" s="594"/>
      <c r="THG93" s="594"/>
      <c r="THH93" s="594"/>
      <c r="THI93" s="594"/>
      <c r="THJ93" s="594"/>
      <c r="THK93" s="594"/>
      <c r="THL93" s="594"/>
      <c r="THM93" s="594"/>
      <c r="THN93" s="594"/>
      <c r="THO93" s="594"/>
      <c r="THP93" s="594"/>
      <c r="THQ93" s="594"/>
      <c r="THR93" s="594"/>
      <c r="THS93" s="594"/>
      <c r="THT93" s="594"/>
      <c r="THU93" s="594"/>
      <c r="THV93" s="594"/>
      <c r="THW93" s="594"/>
      <c r="THX93" s="594"/>
      <c r="THY93" s="594"/>
      <c r="THZ93" s="594"/>
      <c r="TIA93" s="594"/>
      <c r="TIB93" s="594"/>
      <c r="TIC93" s="594"/>
      <c r="TID93" s="594"/>
      <c r="TIE93" s="594"/>
      <c r="TIF93" s="594"/>
      <c r="TIG93" s="594"/>
      <c r="TIH93" s="594"/>
      <c r="TII93" s="594"/>
      <c r="TIJ93" s="594"/>
      <c r="TIK93" s="594"/>
      <c r="TIL93" s="594"/>
      <c r="TIM93" s="594"/>
      <c r="TIN93" s="594"/>
      <c r="TIO93" s="594"/>
      <c r="TIP93" s="594"/>
      <c r="TIQ93" s="594"/>
      <c r="TIR93" s="594"/>
      <c r="TIS93" s="594"/>
      <c r="TIT93" s="594"/>
      <c r="TIU93" s="594"/>
      <c r="TIV93" s="594"/>
      <c r="TIW93" s="594"/>
      <c r="TIX93" s="594"/>
      <c r="TIY93" s="594"/>
      <c r="TIZ93" s="594"/>
      <c r="TJA93" s="594"/>
      <c r="TJB93" s="594"/>
      <c r="TJC93" s="594"/>
      <c r="TJD93" s="594"/>
      <c r="TJE93" s="594"/>
      <c r="TJF93" s="594"/>
      <c r="TJG93" s="594"/>
      <c r="TJH93" s="594"/>
      <c r="TJI93" s="594"/>
      <c r="TJJ93" s="594"/>
      <c r="TJK93" s="594"/>
      <c r="TJL93" s="594"/>
      <c r="TJM93" s="594"/>
      <c r="TJN93" s="594"/>
      <c r="TJO93" s="594"/>
      <c r="TJP93" s="594"/>
      <c r="TJQ93" s="594"/>
      <c r="TJR93" s="594"/>
      <c r="TJS93" s="594"/>
      <c r="TJT93" s="594"/>
      <c r="TJU93" s="594"/>
      <c r="TJV93" s="594"/>
      <c r="TJW93" s="594"/>
      <c r="TJX93" s="594"/>
      <c r="TJY93" s="594"/>
      <c r="TJZ93" s="594"/>
      <c r="TKA93" s="594"/>
      <c r="TKB93" s="594"/>
      <c r="TKC93" s="594"/>
      <c r="TKD93" s="594"/>
      <c r="TKE93" s="594"/>
      <c r="TKF93" s="594"/>
      <c r="TKG93" s="594"/>
      <c r="TKH93" s="594"/>
      <c r="TKI93" s="594"/>
      <c r="TKJ93" s="594"/>
      <c r="TKK93" s="594"/>
      <c r="TKL93" s="594"/>
      <c r="TKM93" s="594"/>
      <c r="TKN93" s="594"/>
      <c r="TKO93" s="594"/>
      <c r="TKP93" s="594"/>
      <c r="TKQ93" s="594"/>
      <c r="TKR93" s="594"/>
      <c r="TKS93" s="594"/>
      <c r="TKT93" s="594"/>
      <c r="TKU93" s="594"/>
      <c r="TKV93" s="594"/>
      <c r="TKW93" s="594"/>
      <c r="TKX93" s="594"/>
      <c r="TKY93" s="594"/>
      <c r="TKZ93" s="594"/>
      <c r="TLA93" s="594"/>
      <c r="TLB93" s="594"/>
      <c r="TLC93" s="594"/>
      <c r="TLD93" s="594"/>
      <c r="TLE93" s="594"/>
      <c r="TLF93" s="594"/>
      <c r="TLG93" s="594"/>
      <c r="TLH93" s="594"/>
      <c r="TLI93" s="594"/>
      <c r="TLJ93" s="594"/>
      <c r="TLK93" s="594"/>
      <c r="TLL93" s="594"/>
      <c r="TLM93" s="594"/>
      <c r="TLN93" s="594"/>
      <c r="TLO93" s="594"/>
      <c r="TLP93" s="594"/>
      <c r="TLQ93" s="594"/>
      <c r="TLR93" s="594"/>
      <c r="TLS93" s="594"/>
      <c r="TLT93" s="594"/>
      <c r="TLU93" s="594"/>
      <c r="TLV93" s="594"/>
      <c r="TLW93" s="594"/>
      <c r="TLX93" s="594"/>
      <c r="TLY93" s="594"/>
      <c r="TLZ93" s="594"/>
      <c r="TMA93" s="594"/>
      <c r="TMB93" s="594"/>
      <c r="TMC93" s="594"/>
      <c r="TMD93" s="594"/>
      <c r="TME93" s="594"/>
      <c r="TMF93" s="594"/>
      <c r="TMG93" s="594"/>
      <c r="TMH93" s="594"/>
      <c r="TMI93" s="594"/>
      <c r="TMJ93" s="594"/>
      <c r="TMK93" s="594"/>
      <c r="TML93" s="594"/>
      <c r="TMM93" s="594"/>
      <c r="TMN93" s="594"/>
      <c r="TMO93" s="594"/>
      <c r="TMP93" s="594"/>
      <c r="TMQ93" s="594"/>
      <c r="TMR93" s="594"/>
      <c r="TMS93" s="594"/>
      <c r="TMT93" s="594"/>
      <c r="TMU93" s="594"/>
      <c r="TMV93" s="594"/>
      <c r="TMW93" s="594"/>
      <c r="TMX93" s="594"/>
      <c r="TMY93" s="594"/>
      <c r="TMZ93" s="594"/>
      <c r="TNA93" s="594"/>
      <c r="TNB93" s="594"/>
      <c r="TNC93" s="594"/>
      <c r="TND93" s="594"/>
      <c r="TNE93" s="594"/>
      <c r="TNF93" s="594"/>
      <c r="TNG93" s="594"/>
      <c r="TNH93" s="594"/>
      <c r="TNI93" s="594"/>
      <c r="TNJ93" s="594"/>
      <c r="TNK93" s="594"/>
      <c r="TNL93" s="594"/>
      <c r="TNM93" s="594"/>
      <c r="TNN93" s="594"/>
      <c r="TNO93" s="594"/>
      <c r="TNP93" s="594"/>
      <c r="TNQ93" s="594"/>
      <c r="TNR93" s="594"/>
      <c r="TNS93" s="594"/>
      <c r="TNT93" s="594"/>
      <c r="TNU93" s="594"/>
      <c r="TNV93" s="594"/>
      <c r="TNW93" s="594"/>
      <c r="TNX93" s="594"/>
      <c r="TNY93" s="594"/>
      <c r="TNZ93" s="594"/>
      <c r="TOA93" s="594"/>
      <c r="TOB93" s="594"/>
      <c r="TOC93" s="594"/>
      <c r="TOD93" s="594"/>
      <c r="TOE93" s="594"/>
      <c r="TOF93" s="594"/>
      <c r="TOG93" s="594"/>
      <c r="TOH93" s="594"/>
      <c r="TOI93" s="594"/>
      <c r="TOJ93" s="594"/>
      <c r="TOK93" s="594"/>
      <c r="TOL93" s="594"/>
      <c r="TOM93" s="594"/>
      <c r="TON93" s="594"/>
      <c r="TOO93" s="594"/>
      <c r="TOP93" s="594"/>
      <c r="TOQ93" s="594"/>
      <c r="TOR93" s="594"/>
      <c r="TOS93" s="594"/>
      <c r="TOT93" s="594"/>
      <c r="TOU93" s="594"/>
      <c r="TOV93" s="594"/>
      <c r="TOW93" s="594"/>
      <c r="TOX93" s="594"/>
      <c r="TOY93" s="594"/>
      <c r="TOZ93" s="594"/>
      <c r="TPA93" s="594"/>
      <c r="TPB93" s="594"/>
      <c r="TPC93" s="594"/>
      <c r="TPD93" s="594"/>
      <c r="TPE93" s="594"/>
      <c r="TPF93" s="594"/>
      <c r="TPG93" s="594"/>
      <c r="TPH93" s="594"/>
      <c r="TPI93" s="594"/>
      <c r="TPJ93" s="594"/>
      <c r="TPK93" s="594"/>
      <c r="TPL93" s="594"/>
      <c r="TPM93" s="594"/>
      <c r="TPN93" s="594"/>
      <c r="TPO93" s="594"/>
      <c r="TPP93" s="594"/>
      <c r="TPQ93" s="594"/>
      <c r="TPR93" s="594"/>
      <c r="TPS93" s="594"/>
      <c r="TPT93" s="594"/>
      <c r="TPU93" s="594"/>
      <c r="TPV93" s="594"/>
      <c r="TPW93" s="594"/>
      <c r="TPX93" s="594"/>
      <c r="TPY93" s="594"/>
      <c r="TPZ93" s="594"/>
      <c r="TQA93" s="594"/>
      <c r="TQB93" s="594"/>
      <c r="TQC93" s="594"/>
      <c r="TQD93" s="594"/>
      <c r="TQE93" s="594"/>
      <c r="TQF93" s="594"/>
      <c r="TQG93" s="594"/>
      <c r="TQH93" s="594"/>
      <c r="TQI93" s="594"/>
      <c r="TQJ93" s="594"/>
      <c r="TQK93" s="594"/>
      <c r="TQL93" s="594"/>
      <c r="TQM93" s="594"/>
      <c r="TQN93" s="594"/>
      <c r="TQO93" s="594"/>
      <c r="TQP93" s="594"/>
      <c r="TQQ93" s="594"/>
      <c r="TQR93" s="594"/>
      <c r="TQS93" s="594"/>
      <c r="TQT93" s="594"/>
      <c r="TQU93" s="594"/>
      <c r="TQV93" s="594"/>
      <c r="TQW93" s="594"/>
      <c r="TQX93" s="594"/>
      <c r="TQY93" s="594"/>
      <c r="TQZ93" s="594"/>
      <c r="TRA93" s="594"/>
      <c r="TRB93" s="594"/>
      <c r="TRC93" s="594"/>
      <c r="TRD93" s="594"/>
      <c r="TRE93" s="594"/>
      <c r="TRF93" s="594"/>
      <c r="TRG93" s="594"/>
      <c r="TRH93" s="594"/>
      <c r="TRI93" s="594"/>
      <c r="TRJ93" s="594"/>
      <c r="TRK93" s="594"/>
      <c r="TRL93" s="594"/>
      <c r="TRM93" s="594"/>
      <c r="TRN93" s="594"/>
      <c r="TRO93" s="594"/>
      <c r="TRP93" s="594"/>
      <c r="TRQ93" s="594"/>
      <c r="TRR93" s="594"/>
      <c r="TRS93" s="594"/>
      <c r="TRT93" s="594"/>
      <c r="TRU93" s="594"/>
      <c r="TRV93" s="594"/>
      <c r="TRW93" s="594"/>
      <c r="TRX93" s="594"/>
      <c r="TRY93" s="594"/>
      <c r="TRZ93" s="594"/>
      <c r="TSA93" s="594"/>
      <c r="TSB93" s="594"/>
      <c r="TSC93" s="594"/>
      <c r="TSD93" s="594"/>
      <c r="TSE93" s="594"/>
      <c r="TSF93" s="594"/>
      <c r="TSG93" s="594"/>
      <c r="TSH93" s="594"/>
      <c r="TSI93" s="594"/>
      <c r="TSJ93" s="594"/>
      <c r="TSK93" s="594"/>
      <c r="TSL93" s="594"/>
      <c r="TSM93" s="594"/>
      <c r="TSN93" s="594"/>
      <c r="TSO93" s="594"/>
      <c r="TSP93" s="594"/>
      <c r="TSQ93" s="594"/>
      <c r="TSR93" s="594"/>
      <c r="TSS93" s="594"/>
      <c r="TST93" s="594"/>
      <c r="TSU93" s="594"/>
      <c r="TSV93" s="594"/>
      <c r="TSW93" s="594"/>
      <c r="TSX93" s="594"/>
      <c r="TSY93" s="594"/>
      <c r="TSZ93" s="594"/>
      <c r="TTA93" s="594"/>
      <c r="TTB93" s="594"/>
      <c r="TTC93" s="594"/>
      <c r="TTD93" s="594"/>
      <c r="TTE93" s="594"/>
      <c r="TTF93" s="594"/>
      <c r="TTG93" s="594"/>
      <c r="TTH93" s="594"/>
      <c r="TTI93" s="594"/>
      <c r="TTJ93" s="594"/>
      <c r="TTK93" s="594"/>
      <c r="TTL93" s="594"/>
      <c r="TTM93" s="594"/>
      <c r="TTN93" s="594"/>
      <c r="TTO93" s="594"/>
      <c r="TTP93" s="594"/>
      <c r="TTQ93" s="594"/>
      <c r="TTR93" s="594"/>
      <c r="TTS93" s="594"/>
      <c r="TTT93" s="594"/>
      <c r="TTU93" s="594"/>
      <c r="TTV93" s="594"/>
      <c r="TTW93" s="594"/>
      <c r="TTX93" s="594"/>
      <c r="TTY93" s="594"/>
      <c r="TTZ93" s="594"/>
      <c r="TUA93" s="594"/>
      <c r="TUB93" s="594"/>
      <c r="TUC93" s="594"/>
      <c r="TUD93" s="594"/>
      <c r="TUE93" s="594"/>
      <c r="TUF93" s="594"/>
      <c r="TUG93" s="594"/>
      <c r="TUH93" s="594"/>
      <c r="TUI93" s="594"/>
      <c r="TUJ93" s="594"/>
      <c r="TUK93" s="594"/>
      <c r="TUL93" s="594"/>
      <c r="TUM93" s="594"/>
      <c r="TUN93" s="594"/>
      <c r="TUO93" s="594"/>
      <c r="TUP93" s="594"/>
      <c r="TUQ93" s="594"/>
      <c r="TUR93" s="594"/>
      <c r="TUS93" s="594"/>
      <c r="TUT93" s="594"/>
      <c r="TUU93" s="594"/>
      <c r="TUV93" s="594"/>
      <c r="TUW93" s="594"/>
      <c r="TUX93" s="594"/>
      <c r="TUY93" s="594"/>
      <c r="TUZ93" s="594"/>
      <c r="TVA93" s="594"/>
      <c r="TVB93" s="594"/>
      <c r="TVC93" s="594"/>
      <c r="TVD93" s="594"/>
      <c r="TVE93" s="594"/>
      <c r="TVF93" s="594"/>
      <c r="TVG93" s="594"/>
      <c r="TVH93" s="594"/>
      <c r="TVI93" s="594"/>
      <c r="TVJ93" s="594"/>
      <c r="TVK93" s="594"/>
      <c r="TVL93" s="594"/>
      <c r="TVM93" s="594"/>
      <c r="TVN93" s="594"/>
      <c r="TVO93" s="594"/>
      <c r="TVP93" s="594"/>
      <c r="TVQ93" s="594"/>
      <c r="TVR93" s="594"/>
      <c r="TVS93" s="594"/>
      <c r="TVT93" s="594"/>
      <c r="TVU93" s="594"/>
      <c r="TVV93" s="594"/>
      <c r="TVW93" s="594"/>
      <c r="TVX93" s="594"/>
      <c r="TVY93" s="594"/>
      <c r="TVZ93" s="594"/>
      <c r="TWA93" s="594"/>
      <c r="TWB93" s="594"/>
      <c r="TWC93" s="594"/>
      <c r="TWD93" s="594"/>
      <c r="TWE93" s="594"/>
      <c r="TWF93" s="594"/>
      <c r="TWG93" s="594"/>
      <c r="TWH93" s="594"/>
      <c r="TWI93" s="594"/>
      <c r="TWJ93" s="594"/>
      <c r="TWK93" s="594"/>
      <c r="TWL93" s="594"/>
      <c r="TWM93" s="594"/>
      <c r="TWN93" s="594"/>
      <c r="TWO93" s="594"/>
      <c r="TWP93" s="594"/>
      <c r="TWQ93" s="594"/>
      <c r="TWR93" s="594"/>
      <c r="TWS93" s="594"/>
      <c r="TWT93" s="594"/>
      <c r="TWU93" s="594"/>
      <c r="TWV93" s="594"/>
      <c r="TWW93" s="594"/>
      <c r="TWX93" s="594"/>
      <c r="TWY93" s="594"/>
      <c r="TWZ93" s="594"/>
      <c r="TXA93" s="594"/>
      <c r="TXB93" s="594"/>
      <c r="TXC93" s="594"/>
      <c r="TXD93" s="594"/>
      <c r="TXE93" s="594"/>
      <c r="TXF93" s="594"/>
      <c r="TXG93" s="594"/>
      <c r="TXH93" s="594"/>
      <c r="TXI93" s="594"/>
      <c r="TXJ93" s="594"/>
      <c r="TXK93" s="594"/>
      <c r="TXL93" s="594"/>
      <c r="TXM93" s="594"/>
      <c r="TXN93" s="594"/>
      <c r="TXO93" s="594"/>
      <c r="TXP93" s="594"/>
      <c r="TXQ93" s="594"/>
      <c r="TXR93" s="594"/>
      <c r="TXS93" s="594"/>
      <c r="TXT93" s="594"/>
      <c r="TXU93" s="594"/>
      <c r="TXV93" s="594"/>
      <c r="TXW93" s="594"/>
      <c r="TXX93" s="594"/>
      <c r="TXY93" s="594"/>
      <c r="TXZ93" s="594"/>
      <c r="TYA93" s="594"/>
      <c r="TYB93" s="594"/>
      <c r="TYC93" s="594"/>
      <c r="TYD93" s="594"/>
      <c r="TYE93" s="594"/>
      <c r="TYF93" s="594"/>
      <c r="TYG93" s="594"/>
      <c r="TYH93" s="594"/>
      <c r="TYI93" s="594"/>
      <c r="TYJ93" s="594"/>
      <c r="TYK93" s="594"/>
      <c r="TYL93" s="594"/>
      <c r="TYM93" s="594"/>
      <c r="TYN93" s="594"/>
      <c r="TYO93" s="594"/>
      <c r="TYP93" s="594"/>
      <c r="TYQ93" s="594"/>
      <c r="TYR93" s="594"/>
      <c r="TYS93" s="594"/>
      <c r="TYT93" s="594"/>
      <c r="TYU93" s="594"/>
      <c r="TYV93" s="594"/>
      <c r="TYW93" s="594"/>
      <c r="TYX93" s="594"/>
      <c r="TYY93" s="594"/>
      <c r="TYZ93" s="594"/>
      <c r="TZA93" s="594"/>
      <c r="TZB93" s="594"/>
      <c r="TZC93" s="594"/>
      <c r="TZD93" s="594"/>
      <c r="TZE93" s="594"/>
      <c r="TZF93" s="594"/>
      <c r="TZG93" s="594"/>
      <c r="TZH93" s="594"/>
      <c r="TZI93" s="594"/>
      <c r="TZJ93" s="594"/>
      <c r="TZK93" s="594"/>
      <c r="TZL93" s="594"/>
      <c r="TZM93" s="594"/>
      <c r="TZN93" s="594"/>
      <c r="TZO93" s="594"/>
      <c r="TZP93" s="594"/>
      <c r="TZQ93" s="594"/>
      <c r="TZR93" s="594"/>
      <c r="TZS93" s="594"/>
      <c r="TZT93" s="594"/>
      <c r="TZU93" s="594"/>
      <c r="TZV93" s="594"/>
      <c r="TZW93" s="594"/>
      <c r="TZX93" s="594"/>
      <c r="TZY93" s="594"/>
      <c r="TZZ93" s="594"/>
      <c r="UAA93" s="594"/>
      <c r="UAB93" s="594"/>
      <c r="UAC93" s="594"/>
      <c r="UAD93" s="594"/>
      <c r="UAE93" s="594"/>
      <c r="UAF93" s="594"/>
      <c r="UAG93" s="594"/>
      <c r="UAH93" s="594"/>
      <c r="UAI93" s="594"/>
      <c r="UAJ93" s="594"/>
      <c r="UAK93" s="594"/>
      <c r="UAL93" s="594"/>
      <c r="UAM93" s="594"/>
      <c r="UAN93" s="594"/>
      <c r="UAO93" s="594"/>
      <c r="UAP93" s="594"/>
      <c r="UAQ93" s="594"/>
      <c r="UAR93" s="594"/>
      <c r="UAS93" s="594"/>
      <c r="UAT93" s="594"/>
      <c r="UAU93" s="594"/>
      <c r="UAV93" s="594"/>
      <c r="UAW93" s="594"/>
      <c r="UAX93" s="594"/>
      <c r="UAY93" s="594"/>
      <c r="UAZ93" s="594"/>
      <c r="UBA93" s="594"/>
      <c r="UBB93" s="594"/>
      <c r="UBC93" s="594"/>
      <c r="UBD93" s="594"/>
      <c r="UBE93" s="594"/>
      <c r="UBF93" s="594"/>
      <c r="UBG93" s="594"/>
      <c r="UBH93" s="594"/>
      <c r="UBI93" s="594"/>
      <c r="UBJ93" s="594"/>
      <c r="UBK93" s="594"/>
      <c r="UBL93" s="594"/>
      <c r="UBM93" s="594"/>
      <c r="UBN93" s="594"/>
      <c r="UBO93" s="594"/>
      <c r="UBP93" s="594"/>
      <c r="UBQ93" s="594"/>
      <c r="UBR93" s="594"/>
      <c r="UBS93" s="594"/>
      <c r="UBT93" s="594"/>
      <c r="UBU93" s="594"/>
      <c r="UBV93" s="594"/>
      <c r="UBW93" s="594"/>
      <c r="UBX93" s="594"/>
      <c r="UBY93" s="594"/>
      <c r="UBZ93" s="594"/>
      <c r="UCA93" s="594"/>
      <c r="UCB93" s="594"/>
      <c r="UCC93" s="594"/>
      <c r="UCD93" s="594"/>
      <c r="UCE93" s="594"/>
      <c r="UCF93" s="594"/>
      <c r="UCG93" s="594"/>
      <c r="UCH93" s="594"/>
      <c r="UCI93" s="594"/>
      <c r="UCJ93" s="594"/>
      <c r="UCK93" s="594"/>
      <c r="UCL93" s="594"/>
      <c r="UCM93" s="594"/>
      <c r="UCN93" s="594"/>
      <c r="UCO93" s="594"/>
      <c r="UCP93" s="594"/>
      <c r="UCQ93" s="594"/>
      <c r="UCR93" s="594"/>
      <c r="UCS93" s="594"/>
      <c r="UCT93" s="594"/>
      <c r="UCU93" s="594"/>
      <c r="UCV93" s="594"/>
      <c r="UCW93" s="594"/>
      <c r="UCX93" s="594"/>
      <c r="UCY93" s="594"/>
      <c r="UCZ93" s="594"/>
      <c r="UDA93" s="594"/>
      <c r="UDB93" s="594"/>
      <c r="UDC93" s="594"/>
      <c r="UDD93" s="594"/>
      <c r="UDE93" s="594"/>
      <c r="UDF93" s="594"/>
      <c r="UDG93" s="594"/>
      <c r="UDH93" s="594"/>
      <c r="UDI93" s="594"/>
      <c r="UDJ93" s="594"/>
      <c r="UDK93" s="594"/>
      <c r="UDL93" s="594"/>
      <c r="UDM93" s="594"/>
      <c r="UDN93" s="594"/>
      <c r="UDO93" s="594"/>
      <c r="UDP93" s="594"/>
      <c r="UDQ93" s="594"/>
      <c r="UDR93" s="594"/>
      <c r="UDS93" s="594"/>
      <c r="UDT93" s="594"/>
      <c r="UDU93" s="594"/>
      <c r="UDV93" s="594"/>
      <c r="UDW93" s="594"/>
      <c r="UDX93" s="594"/>
      <c r="UDY93" s="594"/>
      <c r="UDZ93" s="594"/>
      <c r="UEA93" s="594"/>
      <c r="UEB93" s="594"/>
      <c r="UEC93" s="594"/>
      <c r="UED93" s="594"/>
      <c r="UEE93" s="594"/>
      <c r="UEF93" s="594"/>
      <c r="UEG93" s="594"/>
      <c r="UEH93" s="594"/>
      <c r="UEI93" s="594"/>
      <c r="UEJ93" s="594"/>
      <c r="UEK93" s="594"/>
      <c r="UEL93" s="594"/>
      <c r="UEM93" s="594"/>
      <c r="UEN93" s="594"/>
      <c r="UEO93" s="594"/>
      <c r="UEP93" s="594"/>
      <c r="UEQ93" s="594"/>
      <c r="UER93" s="594"/>
      <c r="UES93" s="594"/>
      <c r="UET93" s="594"/>
      <c r="UEU93" s="594"/>
      <c r="UEV93" s="594"/>
      <c r="UEW93" s="594"/>
      <c r="UEX93" s="594"/>
      <c r="UEY93" s="594"/>
      <c r="UEZ93" s="594"/>
      <c r="UFA93" s="594"/>
      <c r="UFB93" s="594"/>
      <c r="UFC93" s="594"/>
      <c r="UFD93" s="594"/>
      <c r="UFE93" s="594"/>
      <c r="UFF93" s="594"/>
      <c r="UFG93" s="594"/>
      <c r="UFH93" s="594"/>
      <c r="UFI93" s="594"/>
      <c r="UFJ93" s="594"/>
      <c r="UFK93" s="594"/>
      <c r="UFL93" s="594"/>
      <c r="UFM93" s="594"/>
      <c r="UFN93" s="594"/>
      <c r="UFO93" s="594"/>
      <c r="UFP93" s="594"/>
      <c r="UFQ93" s="594"/>
      <c r="UFR93" s="594"/>
      <c r="UFS93" s="594"/>
      <c r="UFT93" s="594"/>
      <c r="UFU93" s="594"/>
      <c r="UFV93" s="594"/>
      <c r="UFW93" s="594"/>
      <c r="UFX93" s="594"/>
      <c r="UFY93" s="594"/>
      <c r="UFZ93" s="594"/>
      <c r="UGA93" s="594"/>
      <c r="UGB93" s="594"/>
      <c r="UGC93" s="594"/>
      <c r="UGD93" s="594"/>
      <c r="UGE93" s="594"/>
      <c r="UGF93" s="594"/>
      <c r="UGG93" s="594"/>
      <c r="UGH93" s="594"/>
      <c r="UGI93" s="594"/>
      <c r="UGJ93" s="594"/>
      <c r="UGK93" s="594"/>
      <c r="UGL93" s="594"/>
      <c r="UGM93" s="594"/>
      <c r="UGN93" s="594"/>
      <c r="UGO93" s="594"/>
      <c r="UGP93" s="594"/>
      <c r="UGQ93" s="594"/>
      <c r="UGR93" s="594"/>
      <c r="UGS93" s="594"/>
      <c r="UGT93" s="594"/>
      <c r="UGU93" s="594"/>
      <c r="UGV93" s="594"/>
      <c r="UGW93" s="594"/>
      <c r="UGX93" s="594"/>
      <c r="UGY93" s="594"/>
      <c r="UGZ93" s="594"/>
      <c r="UHA93" s="594"/>
      <c r="UHB93" s="594"/>
      <c r="UHC93" s="594"/>
      <c r="UHD93" s="594"/>
      <c r="UHE93" s="594"/>
      <c r="UHF93" s="594"/>
      <c r="UHG93" s="594"/>
      <c r="UHH93" s="594"/>
      <c r="UHI93" s="594"/>
      <c r="UHJ93" s="594"/>
      <c r="UHK93" s="594"/>
      <c r="UHL93" s="594"/>
      <c r="UHM93" s="594"/>
      <c r="UHN93" s="594"/>
      <c r="UHO93" s="594"/>
      <c r="UHP93" s="594"/>
      <c r="UHQ93" s="594"/>
      <c r="UHR93" s="594"/>
      <c r="UHS93" s="594"/>
      <c r="UHT93" s="594"/>
      <c r="UHU93" s="594"/>
      <c r="UHV93" s="594"/>
      <c r="UHW93" s="594"/>
      <c r="UHX93" s="594"/>
      <c r="UHY93" s="594"/>
      <c r="UHZ93" s="594"/>
      <c r="UIA93" s="594"/>
      <c r="UIB93" s="594"/>
      <c r="UIC93" s="594"/>
      <c r="UID93" s="594"/>
      <c r="UIE93" s="594"/>
      <c r="UIF93" s="594"/>
      <c r="UIG93" s="594"/>
      <c r="UIH93" s="594"/>
      <c r="UII93" s="594"/>
      <c r="UIJ93" s="594"/>
      <c r="UIK93" s="594"/>
      <c r="UIL93" s="594"/>
      <c r="UIM93" s="594"/>
      <c r="UIN93" s="594"/>
      <c r="UIO93" s="594"/>
      <c r="UIP93" s="594"/>
      <c r="UIQ93" s="594"/>
      <c r="UIR93" s="594"/>
      <c r="UIS93" s="594"/>
      <c r="UIT93" s="594"/>
      <c r="UIU93" s="594"/>
      <c r="UIV93" s="594"/>
      <c r="UIW93" s="594"/>
      <c r="UIX93" s="594"/>
      <c r="UIY93" s="594"/>
      <c r="UIZ93" s="594"/>
      <c r="UJA93" s="594"/>
      <c r="UJB93" s="594"/>
      <c r="UJC93" s="594"/>
      <c r="UJD93" s="594"/>
      <c r="UJE93" s="594"/>
      <c r="UJF93" s="594"/>
      <c r="UJG93" s="594"/>
      <c r="UJH93" s="594"/>
      <c r="UJI93" s="594"/>
      <c r="UJJ93" s="594"/>
      <c r="UJK93" s="594"/>
      <c r="UJL93" s="594"/>
      <c r="UJM93" s="594"/>
      <c r="UJN93" s="594"/>
      <c r="UJO93" s="594"/>
      <c r="UJP93" s="594"/>
      <c r="UJQ93" s="594"/>
      <c r="UJR93" s="594"/>
      <c r="UJS93" s="594"/>
      <c r="UJT93" s="594"/>
      <c r="UJU93" s="594"/>
      <c r="UJV93" s="594"/>
      <c r="UJW93" s="594"/>
      <c r="UJX93" s="594"/>
      <c r="UJY93" s="594"/>
      <c r="UJZ93" s="594"/>
      <c r="UKA93" s="594"/>
      <c r="UKB93" s="594"/>
      <c r="UKC93" s="594"/>
      <c r="UKD93" s="594"/>
      <c r="UKE93" s="594"/>
      <c r="UKF93" s="594"/>
      <c r="UKG93" s="594"/>
      <c r="UKH93" s="594"/>
      <c r="UKI93" s="594"/>
      <c r="UKJ93" s="594"/>
      <c r="UKK93" s="594"/>
      <c r="UKL93" s="594"/>
      <c r="UKM93" s="594"/>
      <c r="UKN93" s="594"/>
      <c r="UKO93" s="594"/>
      <c r="UKP93" s="594"/>
      <c r="UKQ93" s="594"/>
      <c r="UKR93" s="594"/>
      <c r="UKS93" s="594"/>
      <c r="UKT93" s="594"/>
      <c r="UKU93" s="594"/>
      <c r="UKV93" s="594"/>
      <c r="UKW93" s="594"/>
      <c r="UKX93" s="594"/>
      <c r="UKY93" s="594"/>
      <c r="UKZ93" s="594"/>
      <c r="ULA93" s="594"/>
      <c r="ULB93" s="594"/>
      <c r="ULC93" s="594"/>
      <c r="ULD93" s="594"/>
      <c r="ULE93" s="594"/>
      <c r="ULF93" s="594"/>
      <c r="ULG93" s="594"/>
      <c r="ULH93" s="594"/>
      <c r="ULI93" s="594"/>
      <c r="ULJ93" s="594"/>
      <c r="ULK93" s="594"/>
      <c r="ULL93" s="594"/>
      <c r="ULM93" s="594"/>
      <c r="ULN93" s="594"/>
      <c r="ULO93" s="594"/>
      <c r="ULP93" s="594"/>
      <c r="ULQ93" s="594"/>
      <c r="ULR93" s="594"/>
      <c r="ULS93" s="594"/>
      <c r="ULT93" s="594"/>
      <c r="ULU93" s="594"/>
      <c r="ULV93" s="594"/>
      <c r="ULW93" s="594"/>
      <c r="ULX93" s="594"/>
      <c r="ULY93" s="594"/>
      <c r="ULZ93" s="594"/>
      <c r="UMA93" s="594"/>
      <c r="UMB93" s="594"/>
      <c r="UMC93" s="594"/>
      <c r="UMD93" s="594"/>
      <c r="UME93" s="594"/>
      <c r="UMF93" s="594"/>
      <c r="UMG93" s="594"/>
      <c r="UMH93" s="594"/>
      <c r="UMI93" s="594"/>
      <c r="UMJ93" s="594"/>
      <c r="UMK93" s="594"/>
      <c r="UML93" s="594"/>
      <c r="UMM93" s="594"/>
      <c r="UMN93" s="594"/>
      <c r="UMO93" s="594"/>
      <c r="UMP93" s="594"/>
      <c r="UMQ93" s="594"/>
      <c r="UMR93" s="594"/>
      <c r="UMS93" s="594"/>
      <c r="UMT93" s="594"/>
      <c r="UMU93" s="594"/>
      <c r="UMV93" s="594"/>
      <c r="UMW93" s="594"/>
      <c r="UMX93" s="594"/>
      <c r="UMY93" s="594"/>
      <c r="UMZ93" s="594"/>
      <c r="UNA93" s="594"/>
      <c r="UNB93" s="594"/>
      <c r="UNC93" s="594"/>
      <c r="UND93" s="594"/>
      <c r="UNE93" s="594"/>
      <c r="UNF93" s="594"/>
      <c r="UNG93" s="594"/>
      <c r="UNH93" s="594"/>
      <c r="UNI93" s="594"/>
      <c r="UNJ93" s="594"/>
      <c r="UNK93" s="594"/>
      <c r="UNL93" s="594"/>
      <c r="UNM93" s="594"/>
      <c r="UNN93" s="594"/>
      <c r="UNO93" s="594"/>
      <c r="UNP93" s="594"/>
      <c r="UNQ93" s="594"/>
      <c r="UNR93" s="594"/>
      <c r="UNS93" s="594"/>
      <c r="UNT93" s="594"/>
      <c r="UNU93" s="594"/>
      <c r="UNV93" s="594"/>
      <c r="UNW93" s="594"/>
      <c r="UNX93" s="594"/>
      <c r="UNY93" s="594"/>
      <c r="UNZ93" s="594"/>
      <c r="UOA93" s="594"/>
      <c r="UOB93" s="594"/>
      <c r="UOC93" s="594"/>
      <c r="UOD93" s="594"/>
      <c r="UOE93" s="594"/>
      <c r="UOF93" s="594"/>
      <c r="UOG93" s="594"/>
      <c r="UOH93" s="594"/>
      <c r="UOI93" s="594"/>
      <c r="UOJ93" s="594"/>
      <c r="UOK93" s="594"/>
      <c r="UOL93" s="594"/>
      <c r="UOM93" s="594"/>
      <c r="UON93" s="594"/>
      <c r="UOO93" s="594"/>
      <c r="UOP93" s="594"/>
      <c r="UOQ93" s="594"/>
      <c r="UOR93" s="594"/>
      <c r="UOS93" s="594"/>
      <c r="UOT93" s="594"/>
      <c r="UOU93" s="594"/>
      <c r="UOV93" s="594"/>
      <c r="UOW93" s="594"/>
      <c r="UOX93" s="594"/>
      <c r="UOY93" s="594"/>
      <c r="UOZ93" s="594"/>
      <c r="UPA93" s="594"/>
      <c r="UPB93" s="594"/>
      <c r="UPC93" s="594"/>
      <c r="UPD93" s="594"/>
      <c r="UPE93" s="594"/>
      <c r="UPF93" s="594"/>
      <c r="UPG93" s="594"/>
      <c r="UPH93" s="594"/>
      <c r="UPI93" s="594"/>
      <c r="UPJ93" s="594"/>
      <c r="UPK93" s="594"/>
      <c r="UPL93" s="594"/>
      <c r="UPM93" s="594"/>
      <c r="UPN93" s="594"/>
      <c r="UPO93" s="594"/>
      <c r="UPP93" s="594"/>
      <c r="UPQ93" s="594"/>
      <c r="UPR93" s="594"/>
      <c r="UPS93" s="594"/>
      <c r="UPT93" s="594"/>
      <c r="UPU93" s="594"/>
      <c r="UPV93" s="594"/>
      <c r="UPW93" s="594"/>
      <c r="UPX93" s="594"/>
      <c r="UPY93" s="594"/>
      <c r="UPZ93" s="594"/>
      <c r="UQA93" s="594"/>
      <c r="UQB93" s="594"/>
      <c r="UQC93" s="594"/>
      <c r="UQD93" s="594"/>
      <c r="UQE93" s="594"/>
      <c r="UQF93" s="594"/>
      <c r="UQG93" s="594"/>
      <c r="UQH93" s="594"/>
      <c r="UQI93" s="594"/>
      <c r="UQJ93" s="594"/>
      <c r="UQK93" s="594"/>
      <c r="UQL93" s="594"/>
      <c r="UQM93" s="594"/>
      <c r="UQN93" s="594"/>
      <c r="UQO93" s="594"/>
      <c r="UQP93" s="594"/>
      <c r="UQQ93" s="594"/>
      <c r="UQR93" s="594"/>
      <c r="UQS93" s="594"/>
      <c r="UQT93" s="594"/>
      <c r="UQU93" s="594"/>
      <c r="UQV93" s="594"/>
      <c r="UQW93" s="594"/>
      <c r="UQX93" s="594"/>
      <c r="UQY93" s="594"/>
      <c r="UQZ93" s="594"/>
      <c r="URA93" s="594"/>
      <c r="URB93" s="594"/>
      <c r="URC93" s="594"/>
      <c r="URD93" s="594"/>
      <c r="URE93" s="594"/>
      <c r="URF93" s="594"/>
      <c r="URG93" s="594"/>
      <c r="URH93" s="594"/>
      <c r="URI93" s="594"/>
      <c r="URJ93" s="594"/>
      <c r="URK93" s="594"/>
      <c r="URL93" s="594"/>
      <c r="URM93" s="594"/>
      <c r="URN93" s="594"/>
      <c r="URO93" s="594"/>
      <c r="URP93" s="594"/>
      <c r="URQ93" s="594"/>
      <c r="URR93" s="594"/>
      <c r="URS93" s="594"/>
      <c r="URT93" s="594"/>
      <c r="URU93" s="594"/>
      <c r="URV93" s="594"/>
      <c r="URW93" s="594"/>
      <c r="URX93" s="594"/>
      <c r="URY93" s="594"/>
      <c r="URZ93" s="594"/>
      <c r="USA93" s="594"/>
      <c r="USB93" s="594"/>
      <c r="USC93" s="594"/>
      <c r="USD93" s="594"/>
      <c r="USE93" s="594"/>
      <c r="USF93" s="594"/>
      <c r="USG93" s="594"/>
      <c r="USH93" s="594"/>
      <c r="USI93" s="594"/>
      <c r="USJ93" s="594"/>
      <c r="USK93" s="594"/>
      <c r="USL93" s="594"/>
      <c r="USM93" s="594"/>
      <c r="USN93" s="594"/>
      <c r="USO93" s="594"/>
      <c r="USP93" s="594"/>
      <c r="USQ93" s="594"/>
      <c r="USR93" s="594"/>
      <c r="USS93" s="594"/>
      <c r="UST93" s="594"/>
      <c r="USU93" s="594"/>
      <c r="USV93" s="594"/>
      <c r="USW93" s="594"/>
      <c r="USX93" s="594"/>
      <c r="USY93" s="594"/>
      <c r="USZ93" s="594"/>
      <c r="UTA93" s="594"/>
      <c r="UTB93" s="594"/>
      <c r="UTC93" s="594"/>
      <c r="UTD93" s="594"/>
      <c r="UTE93" s="594"/>
      <c r="UTF93" s="594"/>
      <c r="UTG93" s="594"/>
      <c r="UTH93" s="594"/>
      <c r="UTI93" s="594"/>
      <c r="UTJ93" s="594"/>
      <c r="UTK93" s="594"/>
      <c r="UTL93" s="594"/>
      <c r="UTM93" s="594"/>
      <c r="UTN93" s="594"/>
      <c r="UTO93" s="594"/>
      <c r="UTP93" s="594"/>
      <c r="UTQ93" s="594"/>
      <c r="UTR93" s="594"/>
      <c r="UTS93" s="594"/>
      <c r="UTT93" s="594"/>
      <c r="UTU93" s="594"/>
      <c r="UTV93" s="594"/>
      <c r="UTW93" s="594"/>
      <c r="UTX93" s="594"/>
      <c r="UTY93" s="594"/>
      <c r="UTZ93" s="594"/>
      <c r="UUA93" s="594"/>
      <c r="UUB93" s="594"/>
      <c r="UUC93" s="594"/>
      <c r="UUD93" s="594"/>
      <c r="UUE93" s="594"/>
      <c r="UUF93" s="594"/>
      <c r="UUG93" s="594"/>
      <c r="UUH93" s="594"/>
      <c r="UUI93" s="594"/>
      <c r="UUJ93" s="594"/>
      <c r="UUK93" s="594"/>
      <c r="UUL93" s="594"/>
      <c r="UUM93" s="594"/>
      <c r="UUN93" s="594"/>
      <c r="UUO93" s="594"/>
      <c r="UUP93" s="594"/>
      <c r="UUQ93" s="594"/>
      <c r="UUR93" s="594"/>
      <c r="UUS93" s="594"/>
      <c r="UUT93" s="594"/>
      <c r="UUU93" s="594"/>
      <c r="UUV93" s="594"/>
      <c r="UUW93" s="594"/>
      <c r="UUX93" s="594"/>
      <c r="UUY93" s="594"/>
      <c r="UUZ93" s="594"/>
      <c r="UVA93" s="594"/>
      <c r="UVB93" s="594"/>
      <c r="UVC93" s="594"/>
      <c r="UVD93" s="594"/>
      <c r="UVE93" s="594"/>
      <c r="UVF93" s="594"/>
      <c r="UVG93" s="594"/>
      <c r="UVH93" s="594"/>
      <c r="UVI93" s="594"/>
      <c r="UVJ93" s="594"/>
      <c r="UVK93" s="594"/>
      <c r="UVL93" s="594"/>
      <c r="UVM93" s="594"/>
      <c r="UVN93" s="594"/>
      <c r="UVO93" s="594"/>
      <c r="UVP93" s="594"/>
      <c r="UVQ93" s="594"/>
      <c r="UVR93" s="594"/>
      <c r="UVS93" s="594"/>
      <c r="UVT93" s="594"/>
      <c r="UVU93" s="594"/>
      <c r="UVV93" s="594"/>
      <c r="UVW93" s="594"/>
      <c r="UVX93" s="594"/>
      <c r="UVY93" s="594"/>
      <c r="UVZ93" s="594"/>
      <c r="UWA93" s="594"/>
      <c r="UWB93" s="594"/>
      <c r="UWC93" s="594"/>
      <c r="UWD93" s="594"/>
      <c r="UWE93" s="594"/>
      <c r="UWF93" s="594"/>
      <c r="UWG93" s="594"/>
      <c r="UWH93" s="594"/>
      <c r="UWI93" s="594"/>
      <c r="UWJ93" s="594"/>
      <c r="UWK93" s="594"/>
      <c r="UWL93" s="594"/>
      <c r="UWM93" s="594"/>
      <c r="UWN93" s="594"/>
      <c r="UWO93" s="594"/>
      <c r="UWP93" s="594"/>
      <c r="UWQ93" s="594"/>
      <c r="UWR93" s="594"/>
      <c r="UWS93" s="594"/>
      <c r="UWT93" s="594"/>
      <c r="UWU93" s="594"/>
      <c r="UWV93" s="594"/>
      <c r="UWW93" s="594"/>
      <c r="UWX93" s="594"/>
      <c r="UWY93" s="594"/>
      <c r="UWZ93" s="594"/>
      <c r="UXA93" s="594"/>
      <c r="UXB93" s="594"/>
      <c r="UXC93" s="594"/>
      <c r="UXD93" s="594"/>
      <c r="UXE93" s="594"/>
      <c r="UXF93" s="594"/>
      <c r="UXG93" s="594"/>
      <c r="UXH93" s="594"/>
      <c r="UXI93" s="594"/>
      <c r="UXJ93" s="594"/>
      <c r="UXK93" s="594"/>
      <c r="UXL93" s="594"/>
      <c r="UXM93" s="594"/>
      <c r="UXN93" s="594"/>
      <c r="UXO93" s="594"/>
      <c r="UXP93" s="594"/>
      <c r="UXQ93" s="594"/>
      <c r="UXR93" s="594"/>
      <c r="UXS93" s="594"/>
      <c r="UXT93" s="594"/>
      <c r="UXU93" s="594"/>
      <c r="UXV93" s="594"/>
      <c r="UXW93" s="594"/>
      <c r="UXX93" s="594"/>
      <c r="UXY93" s="594"/>
      <c r="UXZ93" s="594"/>
      <c r="UYA93" s="594"/>
      <c r="UYB93" s="594"/>
      <c r="UYC93" s="594"/>
      <c r="UYD93" s="594"/>
      <c r="UYE93" s="594"/>
      <c r="UYF93" s="594"/>
      <c r="UYG93" s="594"/>
      <c r="UYH93" s="594"/>
      <c r="UYI93" s="594"/>
      <c r="UYJ93" s="594"/>
      <c r="UYK93" s="594"/>
      <c r="UYL93" s="594"/>
      <c r="UYM93" s="594"/>
      <c r="UYN93" s="594"/>
      <c r="UYO93" s="594"/>
      <c r="UYP93" s="594"/>
      <c r="UYQ93" s="594"/>
      <c r="UYR93" s="594"/>
      <c r="UYS93" s="594"/>
      <c r="UYT93" s="594"/>
      <c r="UYU93" s="594"/>
      <c r="UYV93" s="594"/>
      <c r="UYW93" s="594"/>
      <c r="UYX93" s="594"/>
      <c r="UYY93" s="594"/>
      <c r="UYZ93" s="594"/>
      <c r="UZA93" s="594"/>
      <c r="UZB93" s="594"/>
      <c r="UZC93" s="594"/>
      <c r="UZD93" s="594"/>
      <c r="UZE93" s="594"/>
      <c r="UZF93" s="594"/>
      <c r="UZG93" s="594"/>
      <c r="UZH93" s="594"/>
      <c r="UZI93" s="594"/>
      <c r="UZJ93" s="594"/>
      <c r="UZK93" s="594"/>
      <c r="UZL93" s="594"/>
      <c r="UZM93" s="594"/>
      <c r="UZN93" s="594"/>
      <c r="UZO93" s="594"/>
      <c r="UZP93" s="594"/>
      <c r="UZQ93" s="594"/>
      <c r="UZR93" s="594"/>
      <c r="UZS93" s="594"/>
      <c r="UZT93" s="594"/>
      <c r="UZU93" s="594"/>
      <c r="UZV93" s="594"/>
      <c r="UZW93" s="594"/>
      <c r="UZX93" s="594"/>
      <c r="UZY93" s="594"/>
      <c r="UZZ93" s="594"/>
      <c r="VAA93" s="594"/>
      <c r="VAB93" s="594"/>
      <c r="VAC93" s="594"/>
      <c r="VAD93" s="594"/>
      <c r="VAE93" s="594"/>
      <c r="VAF93" s="594"/>
      <c r="VAG93" s="594"/>
      <c r="VAH93" s="594"/>
      <c r="VAI93" s="594"/>
      <c r="VAJ93" s="594"/>
      <c r="VAK93" s="594"/>
      <c r="VAL93" s="594"/>
      <c r="VAM93" s="594"/>
      <c r="VAN93" s="594"/>
      <c r="VAO93" s="594"/>
      <c r="VAP93" s="594"/>
      <c r="VAQ93" s="594"/>
      <c r="VAR93" s="594"/>
      <c r="VAS93" s="594"/>
      <c r="VAT93" s="594"/>
      <c r="VAU93" s="594"/>
      <c r="VAV93" s="594"/>
      <c r="VAW93" s="594"/>
      <c r="VAX93" s="594"/>
      <c r="VAY93" s="594"/>
      <c r="VAZ93" s="594"/>
      <c r="VBA93" s="594"/>
      <c r="VBB93" s="594"/>
      <c r="VBC93" s="594"/>
      <c r="VBD93" s="594"/>
      <c r="VBE93" s="594"/>
      <c r="VBF93" s="594"/>
      <c r="VBG93" s="594"/>
      <c r="VBH93" s="594"/>
      <c r="VBI93" s="594"/>
      <c r="VBJ93" s="594"/>
      <c r="VBK93" s="594"/>
      <c r="VBL93" s="594"/>
      <c r="VBM93" s="594"/>
      <c r="VBN93" s="594"/>
      <c r="VBO93" s="594"/>
      <c r="VBP93" s="594"/>
      <c r="VBQ93" s="594"/>
      <c r="VBR93" s="594"/>
      <c r="VBS93" s="594"/>
      <c r="VBT93" s="594"/>
      <c r="VBU93" s="594"/>
      <c r="VBV93" s="594"/>
      <c r="VBW93" s="594"/>
      <c r="VBX93" s="594"/>
      <c r="VBY93" s="594"/>
      <c r="VBZ93" s="594"/>
      <c r="VCA93" s="594"/>
      <c r="VCB93" s="594"/>
      <c r="VCC93" s="594"/>
      <c r="VCD93" s="594"/>
      <c r="VCE93" s="594"/>
      <c r="VCF93" s="594"/>
      <c r="VCG93" s="594"/>
      <c r="VCH93" s="594"/>
      <c r="VCI93" s="594"/>
      <c r="VCJ93" s="594"/>
      <c r="VCK93" s="594"/>
      <c r="VCL93" s="594"/>
      <c r="VCM93" s="594"/>
      <c r="VCN93" s="594"/>
      <c r="VCO93" s="594"/>
      <c r="VCP93" s="594"/>
      <c r="VCQ93" s="594"/>
      <c r="VCR93" s="594"/>
      <c r="VCS93" s="594"/>
      <c r="VCT93" s="594"/>
      <c r="VCU93" s="594"/>
      <c r="VCV93" s="594"/>
      <c r="VCW93" s="594"/>
      <c r="VCX93" s="594"/>
      <c r="VCY93" s="594"/>
      <c r="VCZ93" s="594"/>
      <c r="VDA93" s="594"/>
      <c r="VDB93" s="594"/>
      <c r="VDC93" s="594"/>
      <c r="VDD93" s="594"/>
      <c r="VDE93" s="594"/>
      <c r="VDF93" s="594"/>
      <c r="VDG93" s="594"/>
      <c r="VDH93" s="594"/>
      <c r="VDI93" s="594"/>
      <c r="VDJ93" s="594"/>
      <c r="VDK93" s="594"/>
      <c r="VDL93" s="594"/>
      <c r="VDM93" s="594"/>
      <c r="VDN93" s="594"/>
      <c r="VDO93" s="594"/>
      <c r="VDP93" s="594"/>
      <c r="VDQ93" s="594"/>
      <c r="VDR93" s="594"/>
      <c r="VDS93" s="594"/>
      <c r="VDT93" s="594"/>
      <c r="VDU93" s="594"/>
      <c r="VDV93" s="594"/>
      <c r="VDW93" s="594"/>
      <c r="VDX93" s="594"/>
      <c r="VDY93" s="594"/>
      <c r="VDZ93" s="594"/>
      <c r="VEA93" s="594"/>
      <c r="VEB93" s="594"/>
      <c r="VEC93" s="594"/>
      <c r="VED93" s="594"/>
      <c r="VEE93" s="594"/>
      <c r="VEF93" s="594"/>
      <c r="VEG93" s="594"/>
      <c r="VEH93" s="594"/>
      <c r="VEI93" s="594"/>
      <c r="VEJ93" s="594"/>
      <c r="VEK93" s="594"/>
      <c r="VEL93" s="594"/>
      <c r="VEM93" s="594"/>
      <c r="VEN93" s="594"/>
      <c r="VEO93" s="594"/>
      <c r="VEP93" s="594"/>
      <c r="VEQ93" s="594"/>
      <c r="VER93" s="594"/>
      <c r="VES93" s="594"/>
      <c r="VET93" s="594"/>
      <c r="VEU93" s="594"/>
      <c r="VEV93" s="594"/>
      <c r="VEW93" s="594"/>
      <c r="VEX93" s="594"/>
      <c r="VEY93" s="594"/>
      <c r="VEZ93" s="594"/>
      <c r="VFA93" s="594"/>
      <c r="VFB93" s="594"/>
      <c r="VFC93" s="594"/>
      <c r="VFD93" s="594"/>
      <c r="VFE93" s="594"/>
      <c r="VFF93" s="594"/>
      <c r="VFG93" s="594"/>
      <c r="VFH93" s="594"/>
      <c r="VFI93" s="594"/>
      <c r="VFJ93" s="594"/>
      <c r="VFK93" s="594"/>
      <c r="VFL93" s="594"/>
      <c r="VFM93" s="594"/>
      <c r="VFN93" s="594"/>
      <c r="VFO93" s="594"/>
      <c r="VFP93" s="594"/>
      <c r="VFQ93" s="594"/>
      <c r="VFR93" s="594"/>
      <c r="VFS93" s="594"/>
      <c r="VFT93" s="594"/>
      <c r="VFU93" s="594"/>
      <c r="VFV93" s="594"/>
      <c r="VFW93" s="594"/>
      <c r="VFX93" s="594"/>
      <c r="VFY93" s="594"/>
      <c r="VFZ93" s="594"/>
      <c r="VGA93" s="594"/>
      <c r="VGB93" s="594"/>
      <c r="VGC93" s="594"/>
      <c r="VGD93" s="594"/>
      <c r="VGE93" s="594"/>
      <c r="VGF93" s="594"/>
      <c r="VGG93" s="594"/>
      <c r="VGH93" s="594"/>
      <c r="VGI93" s="594"/>
      <c r="VGJ93" s="594"/>
      <c r="VGK93" s="594"/>
      <c r="VGL93" s="594"/>
      <c r="VGM93" s="594"/>
      <c r="VGN93" s="594"/>
      <c r="VGO93" s="594"/>
      <c r="VGP93" s="594"/>
      <c r="VGQ93" s="594"/>
      <c r="VGR93" s="594"/>
      <c r="VGS93" s="594"/>
      <c r="VGT93" s="594"/>
      <c r="VGU93" s="594"/>
      <c r="VGV93" s="594"/>
      <c r="VGW93" s="594"/>
      <c r="VGX93" s="594"/>
      <c r="VGY93" s="594"/>
      <c r="VGZ93" s="594"/>
      <c r="VHA93" s="594"/>
      <c r="VHB93" s="594"/>
      <c r="VHC93" s="594"/>
      <c r="VHD93" s="594"/>
      <c r="VHE93" s="594"/>
      <c r="VHF93" s="594"/>
      <c r="VHG93" s="594"/>
      <c r="VHH93" s="594"/>
      <c r="VHI93" s="594"/>
      <c r="VHJ93" s="594"/>
      <c r="VHK93" s="594"/>
      <c r="VHL93" s="594"/>
      <c r="VHM93" s="594"/>
      <c r="VHN93" s="594"/>
      <c r="VHO93" s="594"/>
      <c r="VHP93" s="594"/>
      <c r="VHQ93" s="594"/>
      <c r="VHR93" s="594"/>
      <c r="VHS93" s="594"/>
      <c r="VHT93" s="594"/>
      <c r="VHU93" s="594"/>
      <c r="VHV93" s="594"/>
      <c r="VHW93" s="594"/>
      <c r="VHX93" s="594"/>
      <c r="VHY93" s="594"/>
      <c r="VHZ93" s="594"/>
      <c r="VIA93" s="594"/>
      <c r="VIB93" s="594"/>
      <c r="VIC93" s="594"/>
      <c r="VID93" s="594"/>
      <c r="VIE93" s="594"/>
      <c r="VIF93" s="594"/>
      <c r="VIG93" s="594"/>
      <c r="VIH93" s="594"/>
      <c r="VII93" s="594"/>
      <c r="VIJ93" s="594"/>
      <c r="VIK93" s="594"/>
      <c r="VIL93" s="594"/>
      <c r="VIM93" s="594"/>
      <c r="VIN93" s="594"/>
      <c r="VIO93" s="594"/>
      <c r="VIP93" s="594"/>
      <c r="VIQ93" s="594"/>
      <c r="VIR93" s="594"/>
      <c r="VIS93" s="594"/>
      <c r="VIT93" s="594"/>
      <c r="VIU93" s="594"/>
      <c r="VIV93" s="594"/>
      <c r="VIW93" s="594"/>
      <c r="VIX93" s="594"/>
      <c r="VIY93" s="594"/>
      <c r="VIZ93" s="594"/>
      <c r="VJA93" s="594"/>
      <c r="VJB93" s="594"/>
      <c r="VJC93" s="594"/>
      <c r="VJD93" s="594"/>
      <c r="VJE93" s="594"/>
      <c r="VJF93" s="594"/>
      <c r="VJG93" s="594"/>
      <c r="VJH93" s="594"/>
      <c r="VJI93" s="594"/>
      <c r="VJJ93" s="594"/>
      <c r="VJK93" s="594"/>
      <c r="VJL93" s="594"/>
      <c r="VJM93" s="594"/>
      <c r="VJN93" s="594"/>
      <c r="VJO93" s="594"/>
      <c r="VJP93" s="594"/>
      <c r="VJQ93" s="594"/>
      <c r="VJR93" s="594"/>
      <c r="VJS93" s="594"/>
      <c r="VJT93" s="594"/>
      <c r="VJU93" s="594"/>
      <c r="VJV93" s="594"/>
      <c r="VJW93" s="594"/>
      <c r="VJX93" s="594"/>
      <c r="VJY93" s="594"/>
      <c r="VJZ93" s="594"/>
      <c r="VKA93" s="594"/>
      <c r="VKB93" s="594"/>
      <c r="VKC93" s="594"/>
      <c r="VKD93" s="594"/>
      <c r="VKE93" s="594"/>
      <c r="VKF93" s="594"/>
      <c r="VKG93" s="594"/>
      <c r="VKH93" s="594"/>
      <c r="VKI93" s="594"/>
      <c r="VKJ93" s="594"/>
      <c r="VKK93" s="594"/>
      <c r="VKL93" s="594"/>
      <c r="VKM93" s="594"/>
      <c r="VKN93" s="594"/>
      <c r="VKO93" s="594"/>
      <c r="VKP93" s="594"/>
      <c r="VKQ93" s="594"/>
      <c r="VKR93" s="594"/>
      <c r="VKS93" s="594"/>
      <c r="VKT93" s="594"/>
      <c r="VKU93" s="594"/>
      <c r="VKV93" s="594"/>
      <c r="VKW93" s="594"/>
      <c r="VKX93" s="594"/>
      <c r="VKY93" s="594"/>
      <c r="VKZ93" s="594"/>
      <c r="VLA93" s="594"/>
      <c r="VLB93" s="594"/>
      <c r="VLC93" s="594"/>
      <c r="VLD93" s="594"/>
      <c r="VLE93" s="594"/>
      <c r="VLF93" s="594"/>
      <c r="VLG93" s="594"/>
      <c r="VLH93" s="594"/>
      <c r="VLI93" s="594"/>
      <c r="VLJ93" s="594"/>
      <c r="VLK93" s="594"/>
      <c r="VLL93" s="594"/>
      <c r="VLM93" s="594"/>
      <c r="VLN93" s="594"/>
      <c r="VLO93" s="594"/>
      <c r="VLP93" s="594"/>
      <c r="VLQ93" s="594"/>
      <c r="VLR93" s="594"/>
      <c r="VLS93" s="594"/>
      <c r="VLT93" s="594"/>
      <c r="VLU93" s="594"/>
      <c r="VLV93" s="594"/>
      <c r="VLW93" s="594"/>
      <c r="VLX93" s="594"/>
      <c r="VLY93" s="594"/>
      <c r="VLZ93" s="594"/>
      <c r="VMA93" s="594"/>
      <c r="VMB93" s="594"/>
      <c r="VMC93" s="594"/>
      <c r="VMD93" s="594"/>
      <c r="VME93" s="594"/>
      <c r="VMF93" s="594"/>
      <c r="VMG93" s="594"/>
      <c r="VMH93" s="594"/>
      <c r="VMI93" s="594"/>
      <c r="VMJ93" s="594"/>
      <c r="VMK93" s="594"/>
      <c r="VML93" s="594"/>
      <c r="VMM93" s="594"/>
      <c r="VMN93" s="594"/>
      <c r="VMO93" s="594"/>
      <c r="VMP93" s="594"/>
      <c r="VMQ93" s="594"/>
      <c r="VMR93" s="594"/>
      <c r="VMS93" s="594"/>
      <c r="VMT93" s="594"/>
      <c r="VMU93" s="594"/>
      <c r="VMV93" s="594"/>
      <c r="VMW93" s="594"/>
      <c r="VMX93" s="594"/>
      <c r="VMY93" s="594"/>
      <c r="VMZ93" s="594"/>
      <c r="VNA93" s="594"/>
      <c r="VNB93" s="594"/>
      <c r="VNC93" s="594"/>
      <c r="VND93" s="594"/>
      <c r="VNE93" s="594"/>
      <c r="VNF93" s="594"/>
      <c r="VNG93" s="594"/>
      <c r="VNH93" s="594"/>
      <c r="VNI93" s="594"/>
      <c r="VNJ93" s="594"/>
      <c r="VNK93" s="594"/>
      <c r="VNL93" s="594"/>
      <c r="VNM93" s="594"/>
      <c r="VNN93" s="594"/>
      <c r="VNO93" s="594"/>
      <c r="VNP93" s="594"/>
      <c r="VNQ93" s="594"/>
      <c r="VNR93" s="594"/>
      <c r="VNS93" s="594"/>
      <c r="VNT93" s="594"/>
      <c r="VNU93" s="594"/>
      <c r="VNV93" s="594"/>
      <c r="VNW93" s="594"/>
      <c r="VNX93" s="594"/>
      <c r="VNY93" s="594"/>
      <c r="VNZ93" s="594"/>
      <c r="VOA93" s="594"/>
      <c r="VOB93" s="594"/>
      <c r="VOC93" s="594"/>
      <c r="VOD93" s="594"/>
      <c r="VOE93" s="594"/>
      <c r="VOF93" s="594"/>
      <c r="VOG93" s="594"/>
      <c r="VOH93" s="594"/>
      <c r="VOI93" s="594"/>
      <c r="VOJ93" s="594"/>
      <c r="VOK93" s="594"/>
      <c r="VOL93" s="594"/>
      <c r="VOM93" s="594"/>
      <c r="VON93" s="594"/>
      <c r="VOO93" s="594"/>
      <c r="VOP93" s="594"/>
      <c r="VOQ93" s="594"/>
      <c r="VOR93" s="594"/>
      <c r="VOS93" s="594"/>
      <c r="VOT93" s="594"/>
      <c r="VOU93" s="594"/>
      <c r="VOV93" s="594"/>
      <c r="VOW93" s="594"/>
      <c r="VOX93" s="594"/>
      <c r="VOY93" s="594"/>
      <c r="VOZ93" s="594"/>
      <c r="VPA93" s="594"/>
      <c r="VPB93" s="594"/>
      <c r="VPC93" s="594"/>
      <c r="VPD93" s="594"/>
      <c r="VPE93" s="594"/>
      <c r="VPF93" s="594"/>
      <c r="VPG93" s="594"/>
      <c r="VPH93" s="594"/>
      <c r="VPI93" s="594"/>
      <c r="VPJ93" s="594"/>
      <c r="VPK93" s="594"/>
      <c r="VPL93" s="594"/>
      <c r="VPM93" s="594"/>
      <c r="VPN93" s="594"/>
      <c r="VPO93" s="594"/>
      <c r="VPP93" s="594"/>
      <c r="VPQ93" s="594"/>
      <c r="VPR93" s="594"/>
      <c r="VPS93" s="594"/>
      <c r="VPT93" s="594"/>
      <c r="VPU93" s="594"/>
      <c r="VPV93" s="594"/>
      <c r="VPW93" s="594"/>
      <c r="VPX93" s="594"/>
      <c r="VPY93" s="594"/>
      <c r="VPZ93" s="594"/>
      <c r="VQA93" s="594"/>
      <c r="VQB93" s="594"/>
      <c r="VQC93" s="594"/>
      <c r="VQD93" s="594"/>
      <c r="VQE93" s="594"/>
      <c r="VQF93" s="594"/>
      <c r="VQG93" s="594"/>
      <c r="VQH93" s="594"/>
      <c r="VQI93" s="594"/>
      <c r="VQJ93" s="594"/>
      <c r="VQK93" s="594"/>
      <c r="VQL93" s="594"/>
      <c r="VQM93" s="594"/>
      <c r="VQN93" s="594"/>
      <c r="VQO93" s="594"/>
      <c r="VQP93" s="594"/>
      <c r="VQQ93" s="594"/>
      <c r="VQR93" s="594"/>
      <c r="VQS93" s="594"/>
      <c r="VQT93" s="594"/>
      <c r="VQU93" s="594"/>
      <c r="VQV93" s="594"/>
      <c r="VQW93" s="594"/>
      <c r="VQX93" s="594"/>
      <c r="VQY93" s="594"/>
      <c r="VQZ93" s="594"/>
      <c r="VRA93" s="594"/>
      <c r="VRB93" s="594"/>
      <c r="VRC93" s="594"/>
      <c r="VRD93" s="594"/>
      <c r="VRE93" s="594"/>
      <c r="VRF93" s="594"/>
      <c r="VRG93" s="594"/>
      <c r="VRH93" s="594"/>
      <c r="VRI93" s="594"/>
      <c r="VRJ93" s="594"/>
      <c r="VRK93" s="594"/>
      <c r="VRL93" s="594"/>
      <c r="VRM93" s="594"/>
      <c r="VRN93" s="594"/>
      <c r="VRO93" s="594"/>
      <c r="VRP93" s="594"/>
      <c r="VRQ93" s="594"/>
      <c r="VRR93" s="594"/>
      <c r="VRS93" s="594"/>
      <c r="VRT93" s="594"/>
      <c r="VRU93" s="594"/>
      <c r="VRV93" s="594"/>
      <c r="VRW93" s="594"/>
      <c r="VRX93" s="594"/>
      <c r="VRY93" s="594"/>
      <c r="VRZ93" s="594"/>
      <c r="VSA93" s="594"/>
      <c r="VSB93" s="594"/>
      <c r="VSC93" s="594"/>
      <c r="VSD93" s="594"/>
      <c r="VSE93" s="594"/>
      <c r="VSF93" s="594"/>
      <c r="VSG93" s="594"/>
      <c r="VSH93" s="594"/>
      <c r="VSI93" s="594"/>
      <c r="VSJ93" s="594"/>
      <c r="VSK93" s="594"/>
      <c r="VSL93" s="594"/>
      <c r="VSM93" s="594"/>
      <c r="VSN93" s="594"/>
      <c r="VSO93" s="594"/>
      <c r="VSP93" s="594"/>
      <c r="VSQ93" s="594"/>
      <c r="VSR93" s="594"/>
      <c r="VSS93" s="594"/>
      <c r="VST93" s="594"/>
      <c r="VSU93" s="594"/>
      <c r="VSV93" s="594"/>
      <c r="VSW93" s="594"/>
      <c r="VSX93" s="594"/>
      <c r="VSY93" s="594"/>
      <c r="VSZ93" s="594"/>
      <c r="VTA93" s="594"/>
      <c r="VTB93" s="594"/>
      <c r="VTC93" s="594"/>
      <c r="VTD93" s="594"/>
      <c r="VTE93" s="594"/>
      <c r="VTF93" s="594"/>
      <c r="VTG93" s="594"/>
      <c r="VTH93" s="594"/>
      <c r="VTI93" s="594"/>
      <c r="VTJ93" s="594"/>
      <c r="VTK93" s="594"/>
      <c r="VTL93" s="594"/>
      <c r="VTM93" s="594"/>
      <c r="VTN93" s="594"/>
      <c r="VTO93" s="594"/>
      <c r="VTP93" s="594"/>
      <c r="VTQ93" s="594"/>
      <c r="VTR93" s="594"/>
      <c r="VTS93" s="594"/>
      <c r="VTT93" s="594"/>
      <c r="VTU93" s="594"/>
      <c r="VTV93" s="594"/>
      <c r="VTW93" s="594"/>
      <c r="VTX93" s="594"/>
      <c r="VTY93" s="594"/>
      <c r="VTZ93" s="594"/>
      <c r="VUA93" s="594"/>
      <c r="VUB93" s="594"/>
      <c r="VUC93" s="594"/>
      <c r="VUD93" s="594"/>
      <c r="VUE93" s="594"/>
      <c r="VUF93" s="594"/>
      <c r="VUG93" s="594"/>
      <c r="VUH93" s="594"/>
      <c r="VUI93" s="594"/>
      <c r="VUJ93" s="594"/>
      <c r="VUK93" s="594"/>
      <c r="VUL93" s="594"/>
      <c r="VUM93" s="594"/>
      <c r="VUN93" s="594"/>
      <c r="VUO93" s="594"/>
      <c r="VUP93" s="594"/>
      <c r="VUQ93" s="594"/>
      <c r="VUR93" s="594"/>
      <c r="VUS93" s="594"/>
      <c r="VUT93" s="594"/>
      <c r="VUU93" s="594"/>
      <c r="VUV93" s="594"/>
      <c r="VUW93" s="594"/>
      <c r="VUX93" s="594"/>
      <c r="VUY93" s="594"/>
      <c r="VUZ93" s="594"/>
      <c r="VVA93" s="594"/>
      <c r="VVB93" s="594"/>
      <c r="VVC93" s="594"/>
      <c r="VVD93" s="594"/>
      <c r="VVE93" s="594"/>
      <c r="VVF93" s="594"/>
      <c r="VVG93" s="594"/>
      <c r="VVH93" s="594"/>
      <c r="VVI93" s="594"/>
      <c r="VVJ93" s="594"/>
      <c r="VVK93" s="594"/>
      <c r="VVL93" s="594"/>
      <c r="VVM93" s="594"/>
      <c r="VVN93" s="594"/>
      <c r="VVO93" s="594"/>
      <c r="VVP93" s="594"/>
      <c r="VVQ93" s="594"/>
      <c r="VVR93" s="594"/>
      <c r="VVS93" s="594"/>
      <c r="VVT93" s="594"/>
      <c r="VVU93" s="594"/>
      <c r="VVV93" s="594"/>
      <c r="VVW93" s="594"/>
      <c r="VVX93" s="594"/>
      <c r="VVY93" s="594"/>
      <c r="VVZ93" s="594"/>
      <c r="VWA93" s="594"/>
      <c r="VWB93" s="594"/>
      <c r="VWC93" s="594"/>
      <c r="VWD93" s="594"/>
      <c r="VWE93" s="594"/>
      <c r="VWF93" s="594"/>
      <c r="VWG93" s="594"/>
      <c r="VWH93" s="594"/>
      <c r="VWI93" s="594"/>
      <c r="VWJ93" s="594"/>
      <c r="VWK93" s="594"/>
      <c r="VWL93" s="594"/>
      <c r="VWM93" s="594"/>
      <c r="VWN93" s="594"/>
      <c r="VWO93" s="594"/>
      <c r="VWP93" s="594"/>
      <c r="VWQ93" s="594"/>
      <c r="VWR93" s="594"/>
      <c r="VWS93" s="594"/>
      <c r="VWT93" s="594"/>
      <c r="VWU93" s="594"/>
      <c r="VWV93" s="594"/>
      <c r="VWW93" s="594"/>
      <c r="VWX93" s="594"/>
      <c r="VWY93" s="594"/>
      <c r="VWZ93" s="594"/>
      <c r="VXA93" s="594"/>
      <c r="VXB93" s="594"/>
      <c r="VXC93" s="594"/>
      <c r="VXD93" s="594"/>
      <c r="VXE93" s="594"/>
      <c r="VXF93" s="594"/>
      <c r="VXG93" s="594"/>
      <c r="VXH93" s="594"/>
      <c r="VXI93" s="594"/>
      <c r="VXJ93" s="594"/>
      <c r="VXK93" s="594"/>
      <c r="VXL93" s="594"/>
      <c r="VXM93" s="594"/>
      <c r="VXN93" s="594"/>
      <c r="VXO93" s="594"/>
      <c r="VXP93" s="594"/>
      <c r="VXQ93" s="594"/>
      <c r="VXR93" s="594"/>
      <c r="VXS93" s="594"/>
      <c r="VXT93" s="594"/>
      <c r="VXU93" s="594"/>
      <c r="VXV93" s="594"/>
      <c r="VXW93" s="594"/>
      <c r="VXX93" s="594"/>
      <c r="VXY93" s="594"/>
      <c r="VXZ93" s="594"/>
      <c r="VYA93" s="594"/>
      <c r="VYB93" s="594"/>
      <c r="VYC93" s="594"/>
      <c r="VYD93" s="594"/>
      <c r="VYE93" s="594"/>
      <c r="VYF93" s="594"/>
      <c r="VYG93" s="594"/>
      <c r="VYH93" s="594"/>
      <c r="VYI93" s="594"/>
      <c r="VYJ93" s="594"/>
      <c r="VYK93" s="594"/>
      <c r="VYL93" s="594"/>
      <c r="VYM93" s="594"/>
      <c r="VYN93" s="594"/>
      <c r="VYO93" s="594"/>
      <c r="VYP93" s="594"/>
      <c r="VYQ93" s="594"/>
      <c r="VYR93" s="594"/>
      <c r="VYS93" s="594"/>
      <c r="VYT93" s="594"/>
      <c r="VYU93" s="594"/>
      <c r="VYV93" s="594"/>
      <c r="VYW93" s="594"/>
      <c r="VYX93" s="594"/>
      <c r="VYY93" s="594"/>
      <c r="VYZ93" s="594"/>
      <c r="VZA93" s="594"/>
      <c r="VZB93" s="594"/>
      <c r="VZC93" s="594"/>
      <c r="VZD93" s="594"/>
      <c r="VZE93" s="594"/>
      <c r="VZF93" s="594"/>
      <c r="VZG93" s="594"/>
      <c r="VZH93" s="594"/>
      <c r="VZI93" s="594"/>
      <c r="VZJ93" s="594"/>
      <c r="VZK93" s="594"/>
      <c r="VZL93" s="594"/>
      <c r="VZM93" s="594"/>
      <c r="VZN93" s="594"/>
      <c r="VZO93" s="594"/>
      <c r="VZP93" s="594"/>
      <c r="VZQ93" s="594"/>
      <c r="VZR93" s="594"/>
      <c r="VZS93" s="594"/>
      <c r="VZT93" s="594"/>
      <c r="VZU93" s="594"/>
      <c r="VZV93" s="594"/>
      <c r="VZW93" s="594"/>
      <c r="VZX93" s="594"/>
      <c r="VZY93" s="594"/>
      <c r="VZZ93" s="594"/>
      <c r="WAA93" s="594"/>
      <c r="WAB93" s="594"/>
      <c r="WAC93" s="594"/>
      <c r="WAD93" s="594"/>
      <c r="WAE93" s="594"/>
      <c r="WAF93" s="594"/>
      <c r="WAG93" s="594"/>
      <c r="WAH93" s="594"/>
      <c r="WAI93" s="594"/>
      <c r="WAJ93" s="594"/>
      <c r="WAK93" s="594"/>
      <c r="WAL93" s="594"/>
      <c r="WAM93" s="594"/>
      <c r="WAN93" s="594"/>
      <c r="WAO93" s="594"/>
      <c r="WAP93" s="594"/>
      <c r="WAQ93" s="594"/>
      <c r="WAR93" s="594"/>
      <c r="WAS93" s="594"/>
      <c r="WAT93" s="594"/>
      <c r="WAU93" s="594"/>
      <c r="WAV93" s="594"/>
      <c r="WAW93" s="594"/>
      <c r="WAX93" s="594"/>
      <c r="WAY93" s="594"/>
      <c r="WAZ93" s="594"/>
      <c r="WBA93" s="594"/>
      <c r="WBB93" s="594"/>
      <c r="WBC93" s="594"/>
      <c r="WBD93" s="594"/>
      <c r="WBE93" s="594"/>
      <c r="WBF93" s="594"/>
      <c r="WBG93" s="594"/>
      <c r="WBH93" s="594"/>
      <c r="WBI93" s="594"/>
      <c r="WBJ93" s="594"/>
      <c r="WBK93" s="594"/>
      <c r="WBL93" s="594"/>
      <c r="WBM93" s="594"/>
      <c r="WBN93" s="594"/>
      <c r="WBO93" s="594"/>
      <c r="WBP93" s="594"/>
      <c r="WBQ93" s="594"/>
      <c r="WBR93" s="594"/>
      <c r="WBS93" s="594"/>
      <c r="WBT93" s="594"/>
      <c r="WBU93" s="594"/>
      <c r="WBV93" s="594"/>
      <c r="WBW93" s="594"/>
      <c r="WBX93" s="594"/>
      <c r="WBY93" s="594"/>
      <c r="WBZ93" s="594"/>
      <c r="WCA93" s="594"/>
      <c r="WCB93" s="594"/>
      <c r="WCC93" s="594"/>
      <c r="WCD93" s="594"/>
      <c r="WCE93" s="594"/>
      <c r="WCF93" s="594"/>
      <c r="WCG93" s="594"/>
      <c r="WCH93" s="594"/>
      <c r="WCI93" s="594"/>
      <c r="WCJ93" s="594"/>
      <c r="WCK93" s="594"/>
      <c r="WCL93" s="594"/>
      <c r="WCM93" s="594"/>
      <c r="WCN93" s="594"/>
      <c r="WCO93" s="594"/>
      <c r="WCP93" s="594"/>
      <c r="WCQ93" s="594"/>
      <c r="WCR93" s="594"/>
      <c r="WCS93" s="594"/>
      <c r="WCT93" s="594"/>
      <c r="WCU93" s="594"/>
      <c r="WCV93" s="594"/>
      <c r="WCW93" s="594"/>
      <c r="WCX93" s="594"/>
      <c r="WCY93" s="594"/>
      <c r="WCZ93" s="594"/>
      <c r="WDA93" s="594"/>
      <c r="WDB93" s="594"/>
      <c r="WDC93" s="594"/>
      <c r="WDD93" s="594"/>
      <c r="WDE93" s="594"/>
      <c r="WDF93" s="594"/>
      <c r="WDG93" s="594"/>
      <c r="WDH93" s="594"/>
      <c r="WDI93" s="594"/>
      <c r="WDJ93" s="594"/>
      <c r="WDK93" s="594"/>
      <c r="WDL93" s="594"/>
      <c r="WDM93" s="594"/>
      <c r="WDN93" s="594"/>
      <c r="WDO93" s="594"/>
      <c r="WDP93" s="594"/>
      <c r="WDQ93" s="594"/>
      <c r="WDR93" s="594"/>
      <c r="WDS93" s="594"/>
      <c r="WDT93" s="594"/>
      <c r="WDU93" s="594"/>
      <c r="WDV93" s="594"/>
      <c r="WDW93" s="594"/>
      <c r="WDX93" s="594"/>
      <c r="WDY93" s="594"/>
      <c r="WDZ93" s="594"/>
      <c r="WEA93" s="594"/>
      <c r="WEB93" s="594"/>
      <c r="WEC93" s="594"/>
      <c r="WED93" s="594"/>
      <c r="WEE93" s="594"/>
      <c r="WEF93" s="594"/>
      <c r="WEG93" s="594"/>
      <c r="WEH93" s="594"/>
      <c r="WEI93" s="594"/>
      <c r="WEJ93" s="594"/>
      <c r="WEK93" s="594"/>
      <c r="WEL93" s="594"/>
      <c r="WEM93" s="594"/>
      <c r="WEN93" s="594"/>
      <c r="WEO93" s="594"/>
      <c r="WEP93" s="594"/>
      <c r="WEQ93" s="594"/>
      <c r="WER93" s="594"/>
      <c r="WES93" s="594"/>
      <c r="WET93" s="594"/>
      <c r="WEU93" s="594"/>
      <c r="WEV93" s="594"/>
      <c r="WEW93" s="594"/>
      <c r="WEX93" s="594"/>
      <c r="WEY93" s="594"/>
      <c r="WEZ93" s="594"/>
      <c r="WFA93" s="594"/>
      <c r="WFB93" s="594"/>
      <c r="WFC93" s="594"/>
      <c r="WFD93" s="594"/>
      <c r="WFE93" s="594"/>
      <c r="WFF93" s="594"/>
      <c r="WFG93" s="594"/>
      <c r="WFH93" s="594"/>
      <c r="WFI93" s="594"/>
      <c r="WFJ93" s="594"/>
      <c r="WFK93" s="594"/>
      <c r="WFL93" s="594"/>
      <c r="WFM93" s="594"/>
      <c r="WFN93" s="594"/>
      <c r="WFO93" s="594"/>
      <c r="WFP93" s="594"/>
      <c r="WFQ93" s="594"/>
      <c r="WFR93" s="594"/>
      <c r="WFS93" s="594"/>
      <c r="WFT93" s="594"/>
      <c r="WFU93" s="594"/>
      <c r="WFV93" s="594"/>
      <c r="WFW93" s="594"/>
      <c r="WFX93" s="594"/>
      <c r="WFY93" s="594"/>
      <c r="WFZ93" s="594"/>
      <c r="WGA93" s="594"/>
      <c r="WGB93" s="594"/>
      <c r="WGC93" s="594"/>
      <c r="WGD93" s="594"/>
      <c r="WGE93" s="594"/>
      <c r="WGF93" s="594"/>
      <c r="WGG93" s="594"/>
      <c r="WGH93" s="594"/>
      <c r="WGI93" s="594"/>
      <c r="WGJ93" s="594"/>
      <c r="WGK93" s="594"/>
      <c r="WGL93" s="594"/>
      <c r="WGM93" s="594"/>
      <c r="WGN93" s="594"/>
      <c r="WGO93" s="594"/>
      <c r="WGP93" s="594"/>
      <c r="WGQ93" s="594"/>
      <c r="WGR93" s="594"/>
      <c r="WGS93" s="594"/>
      <c r="WGT93" s="594"/>
      <c r="WGU93" s="594"/>
      <c r="WGV93" s="594"/>
      <c r="WGW93" s="594"/>
      <c r="WGX93" s="594"/>
      <c r="WGY93" s="594"/>
      <c r="WGZ93" s="594"/>
      <c r="WHA93" s="594"/>
      <c r="WHB93" s="594"/>
      <c r="WHC93" s="594"/>
      <c r="WHD93" s="594"/>
      <c r="WHE93" s="594"/>
      <c r="WHF93" s="594"/>
      <c r="WHG93" s="594"/>
      <c r="WHH93" s="594"/>
      <c r="WHI93" s="594"/>
      <c r="WHJ93" s="594"/>
      <c r="WHK93" s="594"/>
      <c r="WHL93" s="594"/>
      <c r="WHM93" s="594"/>
      <c r="WHN93" s="594"/>
      <c r="WHO93" s="594"/>
      <c r="WHP93" s="594"/>
      <c r="WHQ93" s="594"/>
      <c r="WHR93" s="594"/>
      <c r="WHS93" s="594"/>
      <c r="WHT93" s="594"/>
      <c r="WHU93" s="594"/>
      <c r="WHV93" s="594"/>
      <c r="WHW93" s="594"/>
      <c r="WHX93" s="594"/>
      <c r="WHY93" s="594"/>
      <c r="WHZ93" s="594"/>
      <c r="WIA93" s="594"/>
      <c r="WIB93" s="594"/>
      <c r="WIC93" s="594"/>
      <c r="WID93" s="594"/>
      <c r="WIE93" s="594"/>
      <c r="WIF93" s="594"/>
      <c r="WIG93" s="594"/>
      <c r="WIH93" s="594"/>
      <c r="WII93" s="594"/>
      <c r="WIJ93" s="594"/>
      <c r="WIK93" s="594"/>
      <c r="WIL93" s="594"/>
      <c r="WIM93" s="594"/>
      <c r="WIN93" s="594"/>
      <c r="WIO93" s="594"/>
      <c r="WIP93" s="594"/>
      <c r="WIQ93" s="594"/>
      <c r="WIR93" s="594"/>
      <c r="WIS93" s="594"/>
      <c r="WIT93" s="594"/>
      <c r="WIU93" s="594"/>
      <c r="WIV93" s="594"/>
      <c r="WIW93" s="594"/>
      <c r="WIX93" s="594"/>
      <c r="WIY93" s="594"/>
      <c r="WIZ93" s="594"/>
      <c r="WJA93" s="594"/>
      <c r="WJB93" s="594"/>
      <c r="WJC93" s="594"/>
      <c r="WJD93" s="594"/>
      <c r="WJE93" s="594"/>
      <c r="WJF93" s="594"/>
      <c r="WJG93" s="594"/>
      <c r="WJH93" s="594"/>
      <c r="WJI93" s="594"/>
      <c r="WJJ93" s="594"/>
      <c r="WJK93" s="594"/>
      <c r="WJL93" s="594"/>
      <c r="WJM93" s="594"/>
      <c r="WJN93" s="594"/>
      <c r="WJO93" s="594"/>
      <c r="WJP93" s="594"/>
      <c r="WJQ93" s="594"/>
      <c r="WJR93" s="594"/>
      <c r="WJS93" s="594"/>
      <c r="WJT93" s="594"/>
      <c r="WJU93" s="594"/>
      <c r="WJV93" s="594"/>
      <c r="WJW93" s="594"/>
      <c r="WJX93" s="594"/>
      <c r="WJY93" s="594"/>
      <c r="WJZ93" s="594"/>
      <c r="WKA93" s="594"/>
      <c r="WKB93" s="594"/>
      <c r="WKC93" s="594"/>
      <c r="WKD93" s="594"/>
      <c r="WKE93" s="594"/>
      <c r="WKF93" s="594"/>
      <c r="WKG93" s="594"/>
      <c r="WKH93" s="594"/>
      <c r="WKI93" s="594"/>
      <c r="WKJ93" s="594"/>
      <c r="WKK93" s="594"/>
      <c r="WKL93" s="594"/>
      <c r="WKM93" s="594"/>
      <c r="WKN93" s="594"/>
      <c r="WKO93" s="594"/>
      <c r="WKP93" s="594"/>
      <c r="WKQ93" s="594"/>
      <c r="WKR93" s="594"/>
      <c r="WKS93" s="594"/>
      <c r="WKT93" s="594"/>
      <c r="WKU93" s="594"/>
      <c r="WKV93" s="594"/>
      <c r="WKW93" s="594"/>
      <c r="WKX93" s="594"/>
      <c r="WKY93" s="594"/>
      <c r="WKZ93" s="594"/>
      <c r="WLA93" s="594"/>
      <c r="WLB93" s="594"/>
      <c r="WLC93" s="594"/>
      <c r="WLD93" s="594"/>
      <c r="WLE93" s="594"/>
      <c r="WLF93" s="594"/>
      <c r="WLG93" s="594"/>
      <c r="WLH93" s="594"/>
      <c r="WLI93" s="594"/>
      <c r="WLJ93" s="594"/>
      <c r="WLK93" s="594"/>
      <c r="WLL93" s="594"/>
      <c r="WLM93" s="594"/>
      <c r="WLN93" s="594"/>
      <c r="WLO93" s="594"/>
      <c r="WLP93" s="594"/>
      <c r="WLQ93" s="594"/>
      <c r="WLR93" s="594"/>
      <c r="WLS93" s="594"/>
      <c r="WLT93" s="594"/>
      <c r="WLU93" s="594"/>
      <c r="WLV93" s="594"/>
      <c r="WLW93" s="594"/>
      <c r="WLX93" s="594"/>
      <c r="WLY93" s="594"/>
      <c r="WLZ93" s="594"/>
      <c r="WMA93" s="594"/>
      <c r="WMB93" s="594"/>
      <c r="WMC93" s="594"/>
      <c r="WMD93" s="594"/>
      <c r="WME93" s="594"/>
      <c r="WMF93" s="594"/>
      <c r="WMG93" s="594"/>
      <c r="WMH93" s="594"/>
      <c r="WMI93" s="594"/>
      <c r="WMJ93" s="594"/>
      <c r="WMK93" s="594"/>
      <c r="WML93" s="594"/>
      <c r="WMM93" s="594"/>
      <c r="WMN93" s="594"/>
      <c r="WMO93" s="594"/>
      <c r="WMP93" s="594"/>
      <c r="WMQ93" s="594"/>
      <c r="WMR93" s="594"/>
      <c r="WMS93" s="594"/>
      <c r="WMT93" s="594"/>
      <c r="WMU93" s="594"/>
      <c r="WMV93" s="594"/>
      <c r="WMW93" s="594"/>
      <c r="WMX93" s="594"/>
      <c r="WMY93" s="594"/>
      <c r="WMZ93" s="594"/>
      <c r="WNA93" s="594"/>
      <c r="WNB93" s="594"/>
      <c r="WNC93" s="594"/>
      <c r="WND93" s="594"/>
      <c r="WNE93" s="594"/>
      <c r="WNF93" s="594"/>
      <c r="WNG93" s="594"/>
      <c r="WNH93" s="594"/>
      <c r="WNI93" s="594"/>
      <c r="WNJ93" s="594"/>
      <c r="WNK93" s="594"/>
      <c r="WNL93" s="594"/>
      <c r="WNM93" s="594"/>
      <c r="WNN93" s="594"/>
      <c r="WNO93" s="594"/>
      <c r="WNP93" s="594"/>
      <c r="WNQ93" s="594"/>
      <c r="WNR93" s="594"/>
      <c r="WNS93" s="594"/>
      <c r="WNT93" s="594"/>
      <c r="WNU93" s="594"/>
      <c r="WNV93" s="594"/>
      <c r="WNW93" s="594"/>
      <c r="WNX93" s="594"/>
      <c r="WNY93" s="594"/>
      <c r="WNZ93" s="594"/>
      <c r="WOA93" s="594"/>
      <c r="WOB93" s="594"/>
      <c r="WOC93" s="594"/>
      <c r="WOD93" s="594"/>
      <c r="WOE93" s="594"/>
      <c r="WOF93" s="594"/>
      <c r="WOG93" s="594"/>
      <c r="WOH93" s="594"/>
      <c r="WOI93" s="594"/>
      <c r="WOJ93" s="594"/>
      <c r="WOK93" s="594"/>
      <c r="WOL93" s="594"/>
      <c r="WOM93" s="594"/>
      <c r="WON93" s="594"/>
      <c r="WOO93" s="594"/>
      <c r="WOP93" s="594"/>
      <c r="WOQ93" s="594"/>
      <c r="WOR93" s="594"/>
      <c r="WOS93" s="594"/>
      <c r="WOT93" s="594"/>
      <c r="WOU93" s="594"/>
      <c r="WOV93" s="594"/>
      <c r="WOW93" s="594"/>
      <c r="WOX93" s="594"/>
      <c r="WOY93" s="594"/>
      <c r="WOZ93" s="594"/>
      <c r="WPA93" s="594"/>
      <c r="WPB93" s="594"/>
      <c r="WPC93" s="594"/>
      <c r="WPD93" s="594"/>
      <c r="WPE93" s="594"/>
      <c r="WPF93" s="594"/>
      <c r="WPG93" s="594"/>
      <c r="WPH93" s="594"/>
      <c r="WPI93" s="594"/>
      <c r="WPJ93" s="594"/>
      <c r="WPK93" s="594"/>
      <c r="WPL93" s="594"/>
      <c r="WPM93" s="594"/>
      <c r="WPN93" s="594"/>
      <c r="WPO93" s="594"/>
      <c r="WPP93" s="594"/>
      <c r="WPQ93" s="594"/>
      <c r="WPR93" s="594"/>
      <c r="WPS93" s="594"/>
      <c r="WPT93" s="594"/>
      <c r="WPU93" s="594"/>
      <c r="WPV93" s="594"/>
      <c r="WPW93" s="594"/>
      <c r="WPX93" s="594"/>
      <c r="WPY93" s="594"/>
      <c r="WPZ93" s="594"/>
      <c r="WQA93" s="594"/>
      <c r="WQB93" s="594"/>
      <c r="WQC93" s="594"/>
      <c r="WQD93" s="594"/>
      <c r="WQE93" s="594"/>
      <c r="WQF93" s="594"/>
      <c r="WQG93" s="594"/>
      <c r="WQH93" s="594"/>
      <c r="WQI93" s="594"/>
      <c r="WQJ93" s="594"/>
      <c r="WQK93" s="594"/>
      <c r="WQL93" s="594"/>
      <c r="WQM93" s="594"/>
      <c r="WQN93" s="594"/>
      <c r="WQO93" s="594"/>
      <c r="WQP93" s="594"/>
      <c r="WQQ93" s="594"/>
      <c r="WQR93" s="594"/>
      <c r="WQS93" s="594"/>
      <c r="WQT93" s="594"/>
      <c r="WQU93" s="594"/>
      <c r="WQV93" s="594"/>
      <c r="WQW93" s="594"/>
      <c r="WQX93" s="594"/>
      <c r="WQY93" s="594"/>
      <c r="WQZ93" s="594"/>
      <c r="WRA93" s="594"/>
      <c r="WRB93" s="594"/>
      <c r="WRC93" s="594"/>
      <c r="WRD93" s="594"/>
      <c r="WRE93" s="594"/>
      <c r="WRF93" s="594"/>
      <c r="WRG93" s="594"/>
      <c r="WRH93" s="594"/>
      <c r="WRI93" s="594"/>
      <c r="WRJ93" s="594"/>
      <c r="WRK93" s="594"/>
      <c r="WRL93" s="594"/>
      <c r="WRM93" s="594"/>
      <c r="WRN93" s="594"/>
      <c r="WRO93" s="594"/>
      <c r="WRP93" s="594"/>
      <c r="WRQ93" s="594"/>
      <c r="WRR93" s="594"/>
      <c r="WRS93" s="594"/>
      <c r="WRT93" s="594"/>
      <c r="WRU93" s="594"/>
      <c r="WRV93" s="594"/>
      <c r="WRW93" s="594"/>
      <c r="WRX93" s="594"/>
      <c r="WRY93" s="594"/>
      <c r="WRZ93" s="594"/>
      <c r="WSA93" s="594"/>
      <c r="WSB93" s="594"/>
      <c r="WSC93" s="594"/>
      <c r="WSD93" s="594"/>
      <c r="WSE93" s="594"/>
      <c r="WSF93" s="594"/>
      <c r="WSG93" s="594"/>
      <c r="WSH93" s="594"/>
      <c r="WSI93" s="594"/>
      <c r="WSJ93" s="594"/>
      <c r="WSK93" s="594"/>
      <c r="WSL93" s="594"/>
      <c r="WSM93" s="594"/>
      <c r="WSN93" s="594"/>
      <c r="WSO93" s="594"/>
      <c r="WSP93" s="594"/>
      <c r="WSQ93" s="594"/>
      <c r="WSR93" s="594"/>
      <c r="WSS93" s="594"/>
      <c r="WST93" s="594"/>
      <c r="WSU93" s="594"/>
      <c r="WSV93" s="594"/>
      <c r="WSW93" s="594"/>
      <c r="WSX93" s="594"/>
      <c r="WSY93" s="594"/>
      <c r="WSZ93" s="594"/>
      <c r="WTA93" s="594"/>
      <c r="WTB93" s="594"/>
      <c r="WTC93" s="594"/>
      <c r="WTD93" s="594"/>
      <c r="WTE93" s="594"/>
      <c r="WTF93" s="594"/>
      <c r="WTG93" s="594"/>
      <c r="WTH93" s="594"/>
      <c r="WTI93" s="594"/>
      <c r="WTJ93" s="594"/>
      <c r="WTK93" s="594"/>
      <c r="WTL93" s="594"/>
      <c r="WTM93" s="594"/>
      <c r="WTN93" s="594"/>
      <c r="WTO93" s="594"/>
      <c r="WTP93" s="594"/>
      <c r="WTQ93" s="594"/>
      <c r="WTR93" s="594"/>
      <c r="WTS93" s="594"/>
      <c r="WTT93" s="594"/>
      <c r="WTU93" s="594"/>
      <c r="WTV93" s="594"/>
      <c r="WTW93" s="594"/>
      <c r="WTX93" s="594"/>
      <c r="WTY93" s="594"/>
      <c r="WTZ93" s="594"/>
      <c r="WUA93" s="594"/>
      <c r="WUB93" s="594"/>
      <c r="WUC93" s="594"/>
      <c r="WUD93" s="594"/>
      <c r="WUE93" s="594"/>
      <c r="WUF93" s="594"/>
      <c r="WUG93" s="594"/>
      <c r="WUH93" s="594"/>
      <c r="WUI93" s="594"/>
      <c r="WUJ93" s="594"/>
      <c r="WUK93" s="594"/>
      <c r="WUL93" s="594"/>
      <c r="WUM93" s="594"/>
      <c r="WUN93" s="594"/>
      <c r="WUO93" s="594"/>
      <c r="WUP93" s="594"/>
      <c r="WUQ93" s="594"/>
      <c r="WUR93" s="594"/>
      <c r="WUS93" s="594"/>
      <c r="WUT93" s="594"/>
      <c r="WUU93" s="594"/>
      <c r="WUV93" s="594"/>
      <c r="WUW93" s="594"/>
      <c r="WUX93" s="594"/>
      <c r="WUY93" s="594"/>
      <c r="WUZ93" s="594"/>
      <c r="WVA93" s="594"/>
      <c r="WVB93" s="594"/>
      <c r="WVC93" s="594"/>
      <c r="WVD93" s="594"/>
      <c r="WVE93" s="594"/>
      <c r="WVF93" s="594"/>
      <c r="WVG93" s="594"/>
      <c r="WVH93" s="594"/>
      <c r="WVI93" s="594"/>
      <c r="WVJ93" s="594"/>
      <c r="WVK93" s="594"/>
      <c r="WVL93" s="594"/>
      <c r="WVM93" s="594"/>
      <c r="WVN93" s="594"/>
      <c r="WVO93" s="594"/>
      <c r="WVP93" s="594"/>
      <c r="WVQ93" s="594"/>
      <c r="WVR93" s="594"/>
      <c r="WVS93" s="594"/>
      <c r="WVT93" s="594"/>
      <c r="WVU93" s="594"/>
      <c r="WVV93" s="594"/>
      <c r="WVW93" s="594"/>
      <c r="WVX93" s="594"/>
      <c r="WVY93" s="594"/>
      <c r="WVZ93" s="594"/>
      <c r="WWA93" s="594"/>
      <c r="WWB93" s="594"/>
      <c r="WWC93" s="594"/>
      <c r="WWD93" s="594"/>
      <c r="WWE93" s="594"/>
      <c r="WWF93" s="594"/>
      <c r="WWG93" s="594"/>
      <c r="WWH93" s="594"/>
      <c r="WWI93" s="594"/>
      <c r="WWJ93" s="594"/>
      <c r="WWK93" s="594"/>
      <c r="WWL93" s="594"/>
      <c r="WWM93" s="594"/>
      <c r="WWN93" s="594"/>
      <c r="WWO93" s="594"/>
      <c r="WWP93" s="594"/>
      <c r="WWQ93" s="594"/>
      <c r="WWR93" s="594"/>
      <c r="WWS93" s="594"/>
      <c r="WWT93" s="594"/>
      <c r="WWU93" s="594"/>
      <c r="WWV93" s="594"/>
      <c r="WWW93" s="594"/>
      <c r="WWX93" s="594"/>
      <c r="WWY93" s="594"/>
      <c r="WWZ93" s="594"/>
      <c r="WXA93" s="594"/>
      <c r="WXB93" s="594"/>
      <c r="WXC93" s="594"/>
      <c r="WXD93" s="594"/>
      <c r="WXE93" s="594"/>
      <c r="WXF93" s="594"/>
      <c r="WXG93" s="594"/>
      <c r="WXH93" s="594"/>
      <c r="WXI93" s="594"/>
      <c r="WXJ93" s="594"/>
      <c r="WXK93" s="594"/>
      <c r="WXL93" s="594"/>
      <c r="WXM93" s="594"/>
      <c r="WXN93" s="594"/>
      <c r="WXO93" s="594"/>
      <c r="WXP93" s="594"/>
      <c r="WXQ93" s="594"/>
      <c r="WXR93" s="594"/>
      <c r="WXS93" s="594"/>
      <c r="WXT93" s="594"/>
      <c r="WXU93" s="594"/>
      <c r="WXV93" s="594"/>
      <c r="WXW93" s="594"/>
      <c r="WXX93" s="594"/>
      <c r="WXY93" s="594"/>
      <c r="WXZ93" s="594"/>
      <c r="WYA93" s="594"/>
      <c r="WYB93" s="594"/>
      <c r="WYC93" s="594"/>
      <c r="WYD93" s="594"/>
      <c r="WYE93" s="594"/>
      <c r="WYF93" s="594"/>
      <c r="WYG93" s="594"/>
      <c r="WYH93" s="594"/>
      <c r="WYI93" s="594"/>
      <c r="WYJ93" s="594"/>
      <c r="WYK93" s="594"/>
      <c r="WYL93" s="594"/>
      <c r="WYM93" s="594"/>
      <c r="WYN93" s="594"/>
      <c r="WYO93" s="594"/>
      <c r="WYP93" s="594"/>
      <c r="WYQ93" s="594"/>
      <c r="WYR93" s="594"/>
      <c r="WYS93" s="594"/>
      <c r="WYT93" s="594"/>
      <c r="WYU93" s="594"/>
      <c r="WYV93" s="594"/>
      <c r="WYW93" s="594"/>
      <c r="WYX93" s="594"/>
      <c r="WYY93" s="594"/>
      <c r="WYZ93" s="594"/>
      <c r="WZA93" s="594"/>
      <c r="WZB93" s="594"/>
      <c r="WZC93" s="594"/>
      <c r="WZD93" s="594"/>
      <c r="WZE93" s="594"/>
      <c r="WZF93" s="594"/>
      <c r="WZG93" s="594"/>
      <c r="WZH93" s="594"/>
      <c r="WZI93" s="594"/>
      <c r="WZJ93" s="594"/>
      <c r="WZK93" s="594"/>
      <c r="WZL93" s="594"/>
      <c r="WZM93" s="594"/>
      <c r="WZN93" s="594"/>
      <c r="WZO93" s="594"/>
      <c r="WZP93" s="594"/>
      <c r="WZQ93" s="594"/>
      <c r="WZR93" s="594"/>
      <c r="WZS93" s="594"/>
      <c r="WZT93" s="594"/>
      <c r="WZU93" s="594"/>
      <c r="WZV93" s="594"/>
      <c r="WZW93" s="594"/>
      <c r="WZX93" s="594"/>
      <c r="WZY93" s="594"/>
      <c r="WZZ93" s="594"/>
      <c r="XAA93" s="594"/>
      <c r="XAB93" s="594"/>
      <c r="XAC93" s="594"/>
      <c r="XAD93" s="594"/>
      <c r="XAE93" s="594"/>
      <c r="XAF93" s="594"/>
      <c r="XAG93" s="594"/>
      <c r="XAH93" s="594"/>
      <c r="XAI93" s="594"/>
      <c r="XAJ93" s="594"/>
      <c r="XAK93" s="594"/>
      <c r="XAL93" s="594"/>
      <c r="XAM93" s="594"/>
      <c r="XAN93" s="594"/>
      <c r="XAO93" s="594"/>
      <c r="XAP93" s="594"/>
      <c r="XAQ93" s="594"/>
      <c r="XAR93" s="594"/>
      <c r="XAS93" s="594"/>
      <c r="XAT93" s="594"/>
      <c r="XAU93" s="594"/>
      <c r="XAV93" s="594"/>
      <c r="XAW93" s="594"/>
      <c r="XAX93" s="594"/>
      <c r="XAY93" s="594"/>
      <c r="XAZ93" s="594"/>
      <c r="XBA93" s="594"/>
      <c r="XBB93" s="594"/>
      <c r="XBC93" s="594"/>
      <c r="XBD93" s="594"/>
      <c r="XBE93" s="594"/>
      <c r="XBF93" s="594"/>
      <c r="XBG93" s="594"/>
      <c r="XBH93" s="594"/>
      <c r="XBI93" s="594"/>
      <c r="XBJ93" s="594"/>
      <c r="XBK93" s="594"/>
      <c r="XBL93" s="594"/>
      <c r="XBM93" s="594"/>
      <c r="XBN93" s="594"/>
      <c r="XBO93" s="594"/>
      <c r="XBP93" s="594"/>
      <c r="XBQ93" s="594"/>
      <c r="XBR93" s="594"/>
      <c r="XBS93" s="594"/>
      <c r="XBT93" s="594"/>
      <c r="XBU93" s="594"/>
      <c r="XBV93" s="594"/>
      <c r="XBW93" s="594"/>
      <c r="XBX93" s="594"/>
      <c r="XBY93" s="594"/>
      <c r="XBZ93" s="594"/>
      <c r="XCA93" s="594"/>
      <c r="XCB93" s="594"/>
      <c r="XCC93" s="594"/>
      <c r="XCD93" s="594"/>
      <c r="XCE93" s="594"/>
      <c r="XCF93" s="594"/>
      <c r="XCG93" s="594"/>
      <c r="XCH93" s="594"/>
      <c r="XCI93" s="594"/>
      <c r="XCJ93" s="594"/>
      <c r="XCK93" s="594"/>
      <c r="XCL93" s="594"/>
      <c r="XCM93" s="594"/>
      <c r="XCN93" s="594"/>
      <c r="XCO93" s="594"/>
      <c r="XCP93" s="594"/>
      <c r="XCQ93" s="594"/>
      <c r="XCR93" s="594"/>
      <c r="XCS93" s="594"/>
      <c r="XCT93" s="594"/>
      <c r="XCU93" s="594"/>
      <c r="XCV93" s="594"/>
      <c r="XCW93" s="594"/>
      <c r="XCX93" s="594"/>
      <c r="XCY93" s="594"/>
      <c r="XCZ93" s="594"/>
      <c r="XDA93" s="594"/>
      <c r="XDB93" s="594"/>
      <c r="XDC93" s="594"/>
      <c r="XDD93" s="594"/>
      <c r="XDE93" s="594"/>
      <c r="XDF93" s="594"/>
      <c r="XDG93" s="594"/>
      <c r="XDH93" s="594"/>
      <c r="XDI93" s="594"/>
      <c r="XDJ93" s="594"/>
      <c r="XDK93" s="594"/>
      <c r="XDL93" s="594"/>
      <c r="XDM93" s="594"/>
      <c r="XDN93" s="594"/>
      <c r="XDO93" s="594"/>
      <c r="XDP93" s="594"/>
      <c r="XDQ93" s="594"/>
      <c r="XDR93" s="594"/>
      <c r="XDS93" s="594"/>
      <c r="XDT93" s="594"/>
      <c r="XDU93" s="594"/>
      <c r="XDV93" s="594"/>
      <c r="XDW93" s="594"/>
      <c r="XDX93" s="594"/>
      <c r="XDY93" s="594"/>
      <c r="XDZ93" s="594"/>
      <c r="XEA93" s="594"/>
      <c r="XEB93" s="594"/>
      <c r="XEC93" s="594"/>
      <c r="XED93" s="594"/>
      <c r="XEE93" s="594"/>
      <c r="XEF93" s="594"/>
      <c r="XEG93" s="594"/>
      <c r="XEH93" s="594"/>
      <c r="XEI93" s="594"/>
      <c r="XEJ93" s="594"/>
      <c r="XEK93" s="594"/>
      <c r="XEL93" s="594"/>
      <c r="XEM93" s="594"/>
      <c r="XEN93" s="594"/>
      <c r="XEO93" s="594"/>
      <c r="XEP93" s="594"/>
    </row>
    <row r="94" spans="1:16370" s="136" customFormat="1">
      <c r="A94" s="38"/>
      <c r="B94" s="171"/>
      <c r="C94" s="256"/>
      <c r="D94" s="71"/>
      <c r="E94" s="40"/>
      <c r="F94" s="96"/>
      <c r="G94" s="40"/>
      <c r="H94" s="99"/>
      <c r="I94" s="96"/>
      <c r="J94" s="96"/>
      <c r="K94" s="96"/>
      <c r="L94" s="78"/>
      <c r="M94" s="51"/>
      <c r="N94" s="78"/>
      <c r="O94" s="78"/>
      <c r="P94" s="330"/>
      <c r="Q94" s="264">
        <f>1</f>
        <v>1</v>
      </c>
      <c r="R94" s="130"/>
      <c r="T94" s="138"/>
      <c r="U94" s="137"/>
      <c r="X94" s="263"/>
      <c r="Y94" s="263" t="str">
        <f t="shared" si="12"/>
        <v/>
      </c>
      <c r="Z94" s="130" t="str">
        <f>IF(T94="yes",Y94,"")</f>
        <v/>
      </c>
    </row>
    <row r="95" spans="1:16370" s="136" customFormat="1" ht="204">
      <c r="A95" s="38">
        <f>A93+1</f>
        <v>1</v>
      </c>
      <c r="B95" s="173" t="s">
        <v>383</v>
      </c>
      <c r="C95" s="135" t="s">
        <v>383</v>
      </c>
      <c r="D95" s="182" t="s">
        <v>384</v>
      </c>
      <c r="E95" s="141">
        <f>LEN(D95)</f>
        <v>298</v>
      </c>
      <c r="F95" s="153" t="s">
        <v>385</v>
      </c>
      <c r="G95" s="141">
        <f>LEN(F95)</f>
        <v>325</v>
      </c>
      <c r="H95" s="150" t="s">
        <v>37</v>
      </c>
      <c r="I95" s="141" t="s">
        <v>24</v>
      </c>
      <c r="J95" s="141" t="s">
        <v>24</v>
      </c>
      <c r="K95" s="141" t="s">
        <v>38</v>
      </c>
      <c r="L95" s="163" t="s">
        <v>386</v>
      </c>
      <c r="M95" s="208" t="s">
        <v>24</v>
      </c>
      <c r="N95" s="163" t="s">
        <v>387</v>
      </c>
      <c r="O95" s="51"/>
      <c r="P95" s="2"/>
      <c r="Q95" s="259">
        <f>1</f>
        <v>1</v>
      </c>
      <c r="R95" s="130"/>
      <c r="T95" s="405" t="s">
        <v>33</v>
      </c>
      <c r="U95" s="137"/>
      <c r="X95" s="262">
        <v>15.876502990722656</v>
      </c>
      <c r="Y95" s="262">
        <f t="shared" si="12"/>
        <v>15.876502990722656</v>
      </c>
      <c r="Z95" s="130">
        <f>IF(T95="yes",Y95,"")</f>
        <v>15.876502990722656</v>
      </c>
    </row>
    <row r="96" spans="1:16370" s="136" customFormat="1">
      <c r="A96" s="38"/>
      <c r="B96" s="171"/>
      <c r="C96" s="91"/>
      <c r="D96" s="255"/>
      <c r="E96" s="40"/>
      <c r="F96" s="40"/>
      <c r="G96" s="40"/>
      <c r="H96" s="92"/>
      <c r="I96" s="40"/>
      <c r="J96" s="40"/>
      <c r="K96" s="40"/>
      <c r="L96" s="51"/>
      <c r="M96" s="51"/>
      <c r="N96" s="51"/>
      <c r="O96" s="51"/>
      <c r="P96" s="2"/>
      <c r="Q96" s="264">
        <f>1</f>
        <v>1</v>
      </c>
      <c r="R96" s="130"/>
      <c r="T96" s="138"/>
      <c r="U96" s="137"/>
      <c r="X96" s="263"/>
      <c r="Y96" s="263" t="str">
        <f t="shared" si="12"/>
        <v/>
      </c>
      <c r="Z96" s="130" t="str">
        <f t="shared" si="11"/>
        <v/>
      </c>
    </row>
    <row r="97" spans="1:26" s="136" customFormat="1" ht="409.5" customHeight="1">
      <c r="A97" s="38">
        <f>A99+1</f>
        <v>2</v>
      </c>
      <c r="B97" s="173" t="s">
        <v>388</v>
      </c>
      <c r="C97" s="357" t="s">
        <v>389</v>
      </c>
      <c r="D97" s="426" t="s">
        <v>390</v>
      </c>
      <c r="E97" s="141">
        <f>LEN(D97)</f>
        <v>1440</v>
      </c>
      <c r="F97" s="426" t="s">
        <v>391</v>
      </c>
      <c r="G97" s="141">
        <f>LEN(F97)</f>
        <v>1683</v>
      </c>
      <c r="H97" s="150" t="s">
        <v>244</v>
      </c>
      <c r="I97" s="141" t="s">
        <v>24</v>
      </c>
      <c r="J97" s="141" t="s">
        <v>24</v>
      </c>
      <c r="K97" s="333" t="s">
        <v>392</v>
      </c>
      <c r="L97" s="163" t="s">
        <v>393</v>
      </c>
      <c r="M97" s="208" t="s">
        <v>394</v>
      </c>
      <c r="N97" s="163" t="s">
        <v>395</v>
      </c>
      <c r="O97" s="81"/>
      <c r="P97" s="2"/>
      <c r="Q97" s="259">
        <f>1</f>
        <v>1</v>
      </c>
      <c r="R97" s="130"/>
      <c r="T97" s="405" t="s">
        <v>33</v>
      </c>
      <c r="U97" s="137"/>
      <c r="X97" s="262">
        <v>37.853630065917969</v>
      </c>
      <c r="Y97" s="262">
        <f t="shared" si="12"/>
        <v>37.853630065917969</v>
      </c>
      <c r="Z97" s="130">
        <f t="shared" si="11"/>
        <v>37.853630065917969</v>
      </c>
    </row>
    <row r="98" spans="1:26" s="136" customFormat="1" ht="119.1">
      <c r="A98" s="18">
        <v>28</v>
      </c>
      <c r="B98" s="229" t="s">
        <v>396</v>
      </c>
      <c r="C98" s="233" t="s">
        <v>396</v>
      </c>
      <c r="D98" s="29" t="s">
        <v>397</v>
      </c>
      <c r="E98" s="16">
        <f>LEN(D98)</f>
        <v>331</v>
      </c>
      <c r="F98" s="29" t="s">
        <v>398</v>
      </c>
      <c r="G98" s="16">
        <f>LEN(F98)</f>
        <v>373</v>
      </c>
      <c r="H98" s="28" t="s">
        <v>26</v>
      </c>
      <c r="I98" s="12" t="s">
        <v>24</v>
      </c>
      <c r="J98" s="12" t="s">
        <v>24</v>
      </c>
      <c r="K98" s="12" t="s">
        <v>27</v>
      </c>
      <c r="L98" s="21" t="s">
        <v>399</v>
      </c>
      <c r="M98" s="72" t="s">
        <v>24</v>
      </c>
      <c r="N98" s="21" t="s">
        <v>400</v>
      </c>
      <c r="O98" s="14"/>
      <c r="P98" s="2"/>
      <c r="Q98" s="264">
        <f>1</f>
        <v>1</v>
      </c>
      <c r="R98" s="130"/>
      <c r="T98" s="138" t="s">
        <v>23</v>
      </c>
      <c r="U98" s="137"/>
      <c r="X98" s="263"/>
      <c r="Y98" s="263" t="str">
        <f t="shared" si="12"/>
        <v/>
      </c>
      <c r="Z98" s="130" t="str">
        <f t="shared" si="11"/>
        <v/>
      </c>
    </row>
    <row r="99" spans="1:26" s="136" customFormat="1" ht="372">
      <c r="A99" s="6">
        <f>A93+1</f>
        <v>1</v>
      </c>
      <c r="B99" s="224" t="s">
        <v>401</v>
      </c>
      <c r="C99" s="9" t="s">
        <v>402</v>
      </c>
      <c r="D99" s="14" t="s">
        <v>403</v>
      </c>
      <c r="E99" s="12">
        <f>LEN(D99)</f>
        <v>685</v>
      </c>
      <c r="F99" s="424" t="s">
        <v>404</v>
      </c>
      <c r="G99" s="12">
        <f>LEN(F99)</f>
        <v>825</v>
      </c>
      <c r="H99" s="28" t="s">
        <v>405</v>
      </c>
      <c r="I99" s="12" t="s">
        <v>24</v>
      </c>
      <c r="J99" s="358" t="s">
        <v>406</v>
      </c>
      <c r="K99" s="12" t="s">
        <v>407</v>
      </c>
      <c r="L99" s="359" t="s">
        <v>408</v>
      </c>
      <c r="M99" s="72" t="s">
        <v>409</v>
      </c>
      <c r="N99" s="359" t="s">
        <v>410</v>
      </c>
      <c r="O99" s="115"/>
      <c r="P99" s="42"/>
      <c r="Q99" s="264">
        <f>1</f>
        <v>1</v>
      </c>
      <c r="R99" s="130"/>
      <c r="T99" s="138" t="s">
        <v>23</v>
      </c>
      <c r="U99" s="137"/>
      <c r="X99" s="263">
        <v>24.773489999999999</v>
      </c>
      <c r="Y99" s="263">
        <f t="shared" si="12"/>
        <v>24.773489999999999</v>
      </c>
      <c r="Z99" s="130" t="str">
        <f t="shared" si="11"/>
        <v/>
      </c>
    </row>
    <row r="100" spans="1:26" s="136" customFormat="1" ht="17.100000000000001" thickBot="1">
      <c r="A100" s="38"/>
      <c r="B100" s="171"/>
      <c r="C100" s="91"/>
      <c r="D100" s="71"/>
      <c r="E100" s="40"/>
      <c r="F100" s="71"/>
      <c r="G100" s="40"/>
      <c r="H100" s="92"/>
      <c r="I100" s="40"/>
      <c r="J100" s="40"/>
      <c r="K100" s="40"/>
      <c r="L100" s="51"/>
      <c r="M100" s="51"/>
      <c r="N100" s="51"/>
      <c r="O100" s="82"/>
      <c r="P100" s="42"/>
      <c r="Q100" s="264">
        <f>1</f>
        <v>1</v>
      </c>
      <c r="R100" s="130"/>
      <c r="T100" s="138"/>
      <c r="U100" s="137"/>
      <c r="X100" s="263"/>
      <c r="Y100" s="263" t="str">
        <f t="shared" si="12"/>
        <v/>
      </c>
      <c r="Z100" s="130" t="str">
        <f t="shared" si="11"/>
        <v/>
      </c>
    </row>
    <row r="101" spans="1:26" s="402" customFormat="1" ht="17.100000000000001" thickBot="1">
      <c r="A101" s="567" t="s">
        <v>411</v>
      </c>
      <c r="B101" s="568"/>
      <c r="C101" s="568"/>
      <c r="D101" s="568"/>
      <c r="E101" s="568"/>
      <c r="F101" s="568"/>
      <c r="G101" s="568"/>
      <c r="H101" s="568"/>
      <c r="I101" s="568"/>
      <c r="J101" s="568"/>
      <c r="K101" s="568"/>
      <c r="L101" s="568"/>
      <c r="M101" s="568"/>
      <c r="N101" s="568"/>
      <c r="O101" s="568"/>
      <c r="P101" s="569"/>
      <c r="Q101" s="259"/>
      <c r="R101" s="407"/>
      <c r="T101" s="405"/>
      <c r="U101" s="408"/>
      <c r="X101" s="262"/>
      <c r="Y101" s="262" t="str">
        <f t="shared" si="12"/>
        <v/>
      </c>
      <c r="Z101" s="407" t="str">
        <f t="shared" si="11"/>
        <v/>
      </c>
    </row>
    <row r="102" spans="1:26" s="136" customFormat="1" ht="153">
      <c r="A102" s="90">
        <f>A98+1</f>
        <v>29</v>
      </c>
      <c r="B102" s="181" t="s">
        <v>412</v>
      </c>
      <c r="C102" s="135" t="s">
        <v>412</v>
      </c>
      <c r="D102" s="157" t="s">
        <v>413</v>
      </c>
      <c r="E102" s="133">
        <f>LEN(D102)</f>
        <v>218</v>
      </c>
      <c r="F102" s="157" t="s">
        <v>414</v>
      </c>
      <c r="G102" s="133">
        <f>LEN(F102)</f>
        <v>283</v>
      </c>
      <c r="H102" s="143" t="s">
        <v>37</v>
      </c>
      <c r="I102" s="133" t="s">
        <v>24</v>
      </c>
      <c r="J102" s="133" t="s">
        <v>415</v>
      </c>
      <c r="K102" s="141" t="s">
        <v>38</v>
      </c>
      <c r="L102" s="156" t="s">
        <v>416</v>
      </c>
      <c r="M102" s="208" t="s">
        <v>24</v>
      </c>
      <c r="N102" s="139" t="s">
        <v>417</v>
      </c>
      <c r="O102" s="162"/>
      <c r="P102" s="180"/>
      <c r="Q102" s="264">
        <f>'Additional information'!$D$17</f>
        <v>0.91</v>
      </c>
      <c r="R102" s="130"/>
      <c r="T102" s="405" t="s">
        <v>33</v>
      </c>
      <c r="U102" s="137"/>
      <c r="X102" s="262">
        <v>7.3040728569030762</v>
      </c>
      <c r="Y102" s="262">
        <f t="shared" si="12"/>
        <v>6.6467062997817994</v>
      </c>
      <c r="Z102" s="130">
        <f t="shared" si="11"/>
        <v>6.6467062997817994</v>
      </c>
    </row>
    <row r="103" spans="1:26" s="136" customFormat="1">
      <c r="A103" s="90"/>
      <c r="B103" s="97"/>
      <c r="C103" s="91"/>
      <c r="D103" s="98"/>
      <c r="E103" s="96"/>
      <c r="F103" s="98"/>
      <c r="G103" s="96"/>
      <c r="H103" s="99"/>
      <c r="I103" s="96"/>
      <c r="J103" s="96"/>
      <c r="K103" s="40"/>
      <c r="L103" s="82"/>
      <c r="M103" s="71"/>
      <c r="N103" s="162"/>
      <c r="O103" s="162"/>
      <c r="P103" s="180"/>
      <c r="Q103" s="264">
        <f>'Additional information'!$D$17</f>
        <v>0.91</v>
      </c>
      <c r="R103" s="130"/>
      <c r="T103" s="138"/>
      <c r="U103" s="137"/>
      <c r="X103" s="263"/>
      <c r="Y103" s="263" t="str">
        <f t="shared" si="12"/>
        <v/>
      </c>
      <c r="Z103" s="130" t="str">
        <f t="shared" si="11"/>
        <v/>
      </c>
    </row>
    <row r="104" spans="1:26" s="231" customFormat="1" ht="84.95">
      <c r="A104" s="301"/>
      <c r="B104" s="155" t="s">
        <v>418</v>
      </c>
      <c r="C104" s="141" t="s">
        <v>418</v>
      </c>
      <c r="D104" s="153" t="s">
        <v>419</v>
      </c>
      <c r="E104" s="141">
        <f>LEN(D104)</f>
        <v>237</v>
      </c>
      <c r="F104" s="195" t="s">
        <v>420</v>
      </c>
      <c r="G104" s="141">
        <f>LEN(F104)</f>
        <v>261</v>
      </c>
      <c r="H104" s="142" t="s">
        <v>127</v>
      </c>
      <c r="I104" s="141" t="s">
        <v>24</v>
      </c>
      <c r="J104" s="141" t="s">
        <v>24</v>
      </c>
      <c r="K104" s="141" t="s">
        <v>27</v>
      </c>
      <c r="L104" s="163" t="s">
        <v>421</v>
      </c>
      <c r="M104" s="208" t="s">
        <v>24</v>
      </c>
      <c r="N104" s="139" t="s">
        <v>422</v>
      </c>
      <c r="O104" s="179"/>
      <c r="P104" s="178"/>
      <c r="Q104" s="264">
        <f>'Additional information'!$D$17</f>
        <v>0.91</v>
      </c>
      <c r="R104" s="130"/>
      <c r="T104" s="405" t="s">
        <v>33</v>
      </c>
      <c r="U104" s="137"/>
      <c r="X104" s="262">
        <v>23.939905166625977</v>
      </c>
      <c r="Y104" s="262">
        <f t="shared" ref="Y104:Y111" si="13">IF(X104="","",X104*Q104)</f>
        <v>21.78531370162964</v>
      </c>
      <c r="Z104" s="130">
        <f t="shared" si="11"/>
        <v>21.78531370162964</v>
      </c>
    </row>
    <row r="105" spans="1:26" s="231" customFormat="1" ht="186.95">
      <c r="A105" s="301"/>
      <c r="B105" s="155" t="s">
        <v>423</v>
      </c>
      <c r="C105" s="141" t="s">
        <v>423</v>
      </c>
      <c r="D105" s="153" t="s">
        <v>424</v>
      </c>
      <c r="E105" s="141">
        <f>LEN(D105)</f>
        <v>157</v>
      </c>
      <c r="F105" s="153" t="s">
        <v>425</v>
      </c>
      <c r="G105" s="141">
        <f>LEN(F105)</f>
        <v>189</v>
      </c>
      <c r="H105" s="142" t="s">
        <v>37</v>
      </c>
      <c r="I105" s="141" t="s">
        <v>24</v>
      </c>
      <c r="J105" s="141" t="s">
        <v>24</v>
      </c>
      <c r="K105" s="141" t="s">
        <v>38</v>
      </c>
      <c r="L105" s="163" t="s">
        <v>426</v>
      </c>
      <c r="M105" s="208" t="s">
        <v>24</v>
      </c>
      <c r="N105" s="139" t="s">
        <v>427</v>
      </c>
      <c r="O105" s="162"/>
      <c r="P105" s="176"/>
      <c r="Q105" s="264">
        <f>'Additional information'!$D$17</f>
        <v>0.91</v>
      </c>
      <c r="R105" s="130"/>
      <c r="T105" s="405" t="s">
        <v>33</v>
      </c>
      <c r="U105" s="137"/>
      <c r="X105" s="262">
        <v>2.2494626045227051</v>
      </c>
      <c r="Y105" s="262">
        <f t="shared" si="13"/>
        <v>2.0470109701156618</v>
      </c>
      <c r="Z105" s="130">
        <f t="shared" si="11"/>
        <v>2.0470109701156618</v>
      </c>
    </row>
    <row r="106" spans="1:26" s="231" customFormat="1">
      <c r="A106" s="114"/>
      <c r="B106" s="254"/>
      <c r="C106" s="96"/>
      <c r="D106" s="98"/>
      <c r="E106" s="96"/>
      <c r="F106" s="98"/>
      <c r="G106" s="96"/>
      <c r="H106" s="91"/>
      <c r="I106" s="96"/>
      <c r="J106" s="96"/>
      <c r="K106" s="96"/>
      <c r="L106" s="82"/>
      <c r="M106" s="71"/>
      <c r="N106" s="232"/>
      <c r="O106" s="177"/>
      <c r="P106" s="176"/>
      <c r="Q106" s="264">
        <f>'Additional information'!$D$17</f>
        <v>0.91</v>
      </c>
      <c r="R106" s="130"/>
      <c r="T106" s="138"/>
      <c r="U106" s="137"/>
      <c r="X106" s="263"/>
      <c r="Y106" s="263" t="str">
        <f t="shared" si="13"/>
        <v/>
      </c>
      <c r="Z106" s="130" t="str">
        <f t="shared" si="11"/>
        <v/>
      </c>
    </row>
    <row r="107" spans="1:26" s="136" customFormat="1" ht="119.1">
      <c r="A107" s="90">
        <f>A102+1</f>
        <v>30</v>
      </c>
      <c r="B107" s="223" t="s">
        <v>428</v>
      </c>
      <c r="C107" s="135" t="s">
        <v>428</v>
      </c>
      <c r="D107" s="157" t="s">
        <v>429</v>
      </c>
      <c r="E107" s="133">
        <f>LEN(D107)</f>
        <v>216</v>
      </c>
      <c r="F107" s="195" t="s">
        <v>430</v>
      </c>
      <c r="G107" s="133">
        <f>LEN(F107)</f>
        <v>251</v>
      </c>
      <c r="H107" s="143" t="s">
        <v>37</v>
      </c>
      <c r="I107" s="133" t="s">
        <v>24</v>
      </c>
      <c r="J107" s="133" t="s">
        <v>24</v>
      </c>
      <c r="K107" s="135" t="s">
        <v>431</v>
      </c>
      <c r="L107" s="156" t="s">
        <v>432</v>
      </c>
      <c r="M107" s="369" t="s">
        <v>433</v>
      </c>
      <c r="N107" s="365" t="s">
        <v>434</v>
      </c>
      <c r="O107" s="174"/>
      <c r="P107" s="42"/>
      <c r="Q107" s="264">
        <f>'Additional information'!$D$17</f>
        <v>0.91</v>
      </c>
      <c r="R107" s="130"/>
      <c r="T107" s="405" t="s">
        <v>33</v>
      </c>
      <c r="U107" s="137"/>
      <c r="X107" s="262">
        <v>23.440116882324219</v>
      </c>
      <c r="Y107" s="262">
        <f t="shared" si="13"/>
        <v>21.330506362915038</v>
      </c>
      <c r="Z107" s="130">
        <f t="shared" si="11"/>
        <v>21.330506362915038</v>
      </c>
    </row>
    <row r="108" spans="1:26" s="136" customFormat="1" ht="102">
      <c r="A108" s="90"/>
      <c r="B108" s="223" t="s">
        <v>435</v>
      </c>
      <c r="C108" s="135" t="s">
        <v>435</v>
      </c>
      <c r="D108" s="157" t="s">
        <v>436</v>
      </c>
      <c r="E108" s="133">
        <f>LEN(D108)</f>
        <v>173</v>
      </c>
      <c r="F108" s="157" t="s">
        <v>437</v>
      </c>
      <c r="G108" s="133">
        <f>LEN(F108)</f>
        <v>186</v>
      </c>
      <c r="H108" s="143" t="s">
        <v>37</v>
      </c>
      <c r="I108" s="133" t="s">
        <v>24</v>
      </c>
      <c r="J108" s="133" t="s">
        <v>24</v>
      </c>
      <c r="K108" s="135" t="s">
        <v>38</v>
      </c>
      <c r="L108" s="156" t="s">
        <v>438</v>
      </c>
      <c r="M108" s="208" t="s">
        <v>24</v>
      </c>
      <c r="N108" s="175" t="s">
        <v>439</v>
      </c>
      <c r="O108" s="174"/>
      <c r="P108" s="42"/>
      <c r="Q108" s="264">
        <f>'Additional information'!$D$17</f>
        <v>0.91</v>
      </c>
      <c r="R108" s="130"/>
      <c r="T108" s="405" t="s">
        <v>33</v>
      </c>
      <c r="U108" s="137"/>
      <c r="X108" s="262">
        <v>7.7659573554992676</v>
      </c>
      <c r="Y108" s="262">
        <f t="shared" si="13"/>
        <v>7.0670211935043339</v>
      </c>
      <c r="Z108" s="130">
        <f t="shared" si="11"/>
        <v>7.0670211935043339</v>
      </c>
    </row>
    <row r="109" spans="1:26" s="136" customFormat="1">
      <c r="A109" s="90"/>
      <c r="B109" s="251"/>
      <c r="C109" s="91"/>
      <c r="D109" s="98"/>
      <c r="E109" s="96"/>
      <c r="F109" s="96"/>
      <c r="G109" s="96"/>
      <c r="H109" s="99"/>
      <c r="I109" s="96"/>
      <c r="J109" s="96"/>
      <c r="K109" s="91"/>
      <c r="L109" s="82"/>
      <c r="M109" s="71"/>
      <c r="N109" s="300"/>
      <c r="O109" s="174"/>
      <c r="P109" s="42"/>
      <c r="Q109" s="264">
        <f>'Additional information'!$D$17</f>
        <v>0.91</v>
      </c>
      <c r="R109" s="130"/>
      <c r="T109" s="138"/>
      <c r="U109" s="137"/>
      <c r="X109" s="263"/>
      <c r="Y109" s="263" t="str">
        <f t="shared" si="13"/>
        <v/>
      </c>
      <c r="Z109" s="130" t="str">
        <f t="shared" si="11"/>
        <v/>
      </c>
    </row>
    <row r="110" spans="1:26" s="136" customFormat="1" ht="221.1">
      <c r="A110" s="38">
        <f>A107+1</f>
        <v>31</v>
      </c>
      <c r="B110" s="155" t="s">
        <v>440</v>
      </c>
      <c r="C110" s="141" t="s">
        <v>441</v>
      </c>
      <c r="D110" s="153" t="s">
        <v>442</v>
      </c>
      <c r="E110" s="141">
        <f>LEN(D110)</f>
        <v>331</v>
      </c>
      <c r="F110" s="418" t="s">
        <v>443</v>
      </c>
      <c r="G110" s="141">
        <f>LEN(F110)</f>
        <v>413</v>
      </c>
      <c r="H110" s="142" t="s">
        <v>88</v>
      </c>
      <c r="I110" s="141" t="s">
        <v>24</v>
      </c>
      <c r="J110" s="141" t="s">
        <v>24</v>
      </c>
      <c r="K110" s="141" t="s">
        <v>89</v>
      </c>
      <c r="L110" s="163" t="s">
        <v>444</v>
      </c>
      <c r="M110" s="208" t="s">
        <v>24</v>
      </c>
      <c r="N110" s="175" t="s">
        <v>445</v>
      </c>
      <c r="O110" s="60"/>
      <c r="P110" s="2"/>
      <c r="Q110" s="264">
        <f>'Additional information'!$D$17</f>
        <v>0.91</v>
      </c>
      <c r="R110" s="130"/>
      <c r="T110" s="405" t="s">
        <v>33</v>
      </c>
      <c r="U110" s="137"/>
      <c r="X110" s="262">
        <v>16.481756210327148</v>
      </c>
      <c r="Y110" s="262">
        <f t="shared" si="13"/>
        <v>14.998398151397705</v>
      </c>
      <c r="Z110" s="130">
        <f t="shared" si="11"/>
        <v>14.998398151397705</v>
      </c>
    </row>
    <row r="111" spans="1:26" s="136" customFormat="1" ht="14.25" customHeight="1">
      <c r="A111" s="38"/>
      <c r="B111" s="171"/>
      <c r="C111" s="170"/>
      <c r="D111" s="169"/>
      <c r="E111" s="40"/>
      <c r="F111" s="40"/>
      <c r="G111" s="40"/>
      <c r="H111" s="92"/>
      <c r="I111" s="40"/>
      <c r="J111" s="40"/>
      <c r="K111" s="40"/>
      <c r="L111" s="167"/>
      <c r="M111" s="71"/>
      <c r="N111" s="253"/>
      <c r="O111" s="167"/>
      <c r="P111" s="2"/>
      <c r="Q111" s="264">
        <f>'Additional information'!$D$17</f>
        <v>0.91</v>
      </c>
      <c r="R111" s="130"/>
      <c r="T111" s="138"/>
      <c r="U111" s="137"/>
      <c r="X111" s="263"/>
      <c r="Y111" s="263" t="str">
        <f t="shared" si="13"/>
        <v/>
      </c>
      <c r="Z111" s="130" t="str">
        <f t="shared" si="11"/>
        <v/>
      </c>
    </row>
    <row r="112" spans="1:26" s="136" customFormat="1" ht="204">
      <c r="A112" s="6"/>
      <c r="B112" s="31" t="s">
        <v>446</v>
      </c>
      <c r="C112" s="12" t="s">
        <v>446</v>
      </c>
      <c r="D112" s="30" t="s">
        <v>447</v>
      </c>
      <c r="E112" s="12">
        <f>LEN(D112)</f>
        <v>335</v>
      </c>
      <c r="F112" s="425" t="s">
        <v>448</v>
      </c>
      <c r="G112" s="12">
        <f>LEN(F112)</f>
        <v>401</v>
      </c>
      <c r="H112" s="9" t="s">
        <v>37</v>
      </c>
      <c r="I112" s="8" t="s">
        <v>24</v>
      </c>
      <c r="J112" s="350" t="s">
        <v>449</v>
      </c>
      <c r="K112" s="8" t="s">
        <v>38</v>
      </c>
      <c r="L112" s="359" t="s">
        <v>450</v>
      </c>
      <c r="M112" s="72" t="s">
        <v>24</v>
      </c>
      <c r="N112" s="382" t="s">
        <v>451</v>
      </c>
      <c r="O112" s="54"/>
      <c r="P112" s="2"/>
      <c r="Q112" s="264"/>
      <c r="R112" s="130"/>
      <c r="T112" s="138" t="s">
        <v>23</v>
      </c>
      <c r="U112" s="137"/>
      <c r="X112" s="263"/>
      <c r="Y112" s="263"/>
      <c r="Z112" s="130"/>
    </row>
    <row r="113" spans="1:26" s="136" customFormat="1" ht="170.1">
      <c r="A113" s="6"/>
      <c r="B113" s="31" t="s">
        <v>452</v>
      </c>
      <c r="C113" s="12" t="s">
        <v>452</v>
      </c>
      <c r="D113" s="30" t="s">
        <v>453</v>
      </c>
      <c r="E113" s="12">
        <f>LEN(D113)</f>
        <v>188</v>
      </c>
      <c r="F113" s="425" t="s">
        <v>454</v>
      </c>
      <c r="G113" s="12">
        <f>LEN(F113)</f>
        <v>245</v>
      </c>
      <c r="H113" s="9" t="s">
        <v>37</v>
      </c>
      <c r="I113" s="8" t="s">
        <v>24</v>
      </c>
      <c r="J113" s="8" t="s">
        <v>24</v>
      </c>
      <c r="K113" s="8" t="s">
        <v>38</v>
      </c>
      <c r="L113" s="359" t="s">
        <v>455</v>
      </c>
      <c r="M113" s="72" t="s">
        <v>24</v>
      </c>
      <c r="N113" s="382" t="s">
        <v>456</v>
      </c>
      <c r="O113" s="54"/>
      <c r="P113" s="2"/>
      <c r="Q113" s="264"/>
      <c r="R113" s="130"/>
      <c r="T113" s="138" t="s">
        <v>23</v>
      </c>
      <c r="U113" s="137"/>
      <c r="X113" s="263"/>
      <c r="Y113" s="263"/>
      <c r="Z113" s="130"/>
    </row>
    <row r="114" spans="1:26" s="136" customFormat="1" ht="255">
      <c r="A114" s="6">
        <f>A110+1</f>
        <v>32</v>
      </c>
      <c r="B114" s="31" t="s">
        <v>457</v>
      </c>
      <c r="C114" s="12" t="s">
        <v>458</v>
      </c>
      <c r="D114" s="30" t="s">
        <v>459</v>
      </c>
      <c r="E114" s="12">
        <f>LEN(D114)</f>
        <v>326</v>
      </c>
      <c r="F114" s="424" t="s">
        <v>460</v>
      </c>
      <c r="G114" s="12">
        <f>LEN(F114)</f>
        <v>396</v>
      </c>
      <c r="H114" s="9" t="s">
        <v>461</v>
      </c>
      <c r="I114" s="8" t="s">
        <v>24</v>
      </c>
      <c r="J114" s="8" t="s">
        <v>24</v>
      </c>
      <c r="K114" s="8" t="s">
        <v>462</v>
      </c>
      <c r="L114" s="115" t="s">
        <v>463</v>
      </c>
      <c r="M114" s="72" t="s">
        <v>464</v>
      </c>
      <c r="N114" s="113" t="s">
        <v>465</v>
      </c>
      <c r="O114" s="54"/>
      <c r="P114" s="2"/>
      <c r="Q114" s="264">
        <f>'Additional information'!$D$17</f>
        <v>0.91</v>
      </c>
      <c r="R114" s="130"/>
      <c r="T114" s="138" t="s">
        <v>23</v>
      </c>
      <c r="U114" s="137"/>
      <c r="X114" s="263">
        <v>18.511110305786133</v>
      </c>
      <c r="Y114" s="263">
        <f t="shared" ref="Y114:Y145" si="14">IF(X114="","",X114*Q114)</f>
        <v>16.845110378265382</v>
      </c>
      <c r="Z114" s="130" t="str">
        <f t="shared" si="11"/>
        <v/>
      </c>
    </row>
    <row r="115" spans="1:26" s="136" customFormat="1">
      <c r="A115" s="38"/>
      <c r="B115" s="171"/>
      <c r="C115" s="170"/>
      <c r="D115" s="169"/>
      <c r="E115" s="40"/>
      <c r="F115" s="40"/>
      <c r="G115" s="40"/>
      <c r="H115" s="92"/>
      <c r="I115" s="40"/>
      <c r="J115" s="40"/>
      <c r="K115" s="40"/>
      <c r="L115" s="167"/>
      <c r="M115" s="71"/>
      <c r="N115" s="168"/>
      <c r="O115" s="167"/>
      <c r="P115" s="2"/>
      <c r="Q115" s="264">
        <f>'Additional information'!$D$17</f>
        <v>0.91</v>
      </c>
      <c r="R115" s="130"/>
      <c r="T115" s="138"/>
      <c r="U115" s="137"/>
      <c r="X115" s="263"/>
      <c r="Y115" s="263" t="str">
        <f t="shared" si="14"/>
        <v/>
      </c>
      <c r="Z115" s="130" t="str">
        <f t="shared" si="11"/>
        <v/>
      </c>
    </row>
    <row r="116" spans="1:26" s="136" customFormat="1" ht="204">
      <c r="A116" s="38">
        <f>A114+1</f>
        <v>33</v>
      </c>
      <c r="B116" s="173" t="s">
        <v>466</v>
      </c>
      <c r="C116" s="172" t="s">
        <v>466</v>
      </c>
      <c r="D116" s="153" t="s">
        <v>467</v>
      </c>
      <c r="E116" s="141">
        <f>LEN(D116)</f>
        <v>255</v>
      </c>
      <c r="F116" s="418" t="s">
        <v>468</v>
      </c>
      <c r="G116" s="141">
        <f>LEN(F116)</f>
        <v>289</v>
      </c>
      <c r="H116" s="150" t="s">
        <v>37</v>
      </c>
      <c r="I116" s="141" t="s">
        <v>24</v>
      </c>
      <c r="J116" s="141" t="s">
        <v>24</v>
      </c>
      <c r="K116" s="141" t="s">
        <v>38</v>
      </c>
      <c r="L116" s="163" t="s">
        <v>469</v>
      </c>
      <c r="M116" s="208" t="s">
        <v>24</v>
      </c>
      <c r="N116" s="163" t="s">
        <v>470</v>
      </c>
      <c r="O116" s="51"/>
      <c r="P116" s="2"/>
      <c r="Q116" s="264">
        <f>'Additional information'!$D$17</f>
        <v>0.91</v>
      </c>
      <c r="R116" s="130"/>
      <c r="T116" s="405" t="s">
        <v>33</v>
      </c>
      <c r="U116" s="137"/>
      <c r="X116" s="262">
        <v>20.308681488037109</v>
      </c>
      <c r="Y116" s="262">
        <f t="shared" si="14"/>
        <v>18.480900154113769</v>
      </c>
      <c r="Z116" s="130">
        <f t="shared" si="11"/>
        <v>18.480900154113769</v>
      </c>
    </row>
    <row r="117" spans="1:26" s="136" customFormat="1">
      <c r="A117" s="38"/>
      <c r="B117" s="171"/>
      <c r="C117" s="170"/>
      <c r="D117" s="169"/>
      <c r="E117" s="40"/>
      <c r="F117" s="169"/>
      <c r="G117" s="40"/>
      <c r="H117" s="92"/>
      <c r="I117" s="40"/>
      <c r="J117" s="40"/>
      <c r="K117" s="40"/>
      <c r="L117" s="167"/>
      <c r="M117" s="71"/>
      <c r="N117" s="168"/>
      <c r="O117" s="167"/>
      <c r="P117" s="2"/>
      <c r="Q117" s="264">
        <f>'Additional information'!$D$17</f>
        <v>0.91</v>
      </c>
      <c r="R117" s="130"/>
      <c r="T117" s="138"/>
      <c r="U117" s="137"/>
      <c r="X117" s="263"/>
      <c r="Y117" s="263" t="str">
        <f t="shared" si="14"/>
        <v/>
      </c>
      <c r="Z117" s="130" t="str">
        <f t="shared" si="11"/>
        <v/>
      </c>
    </row>
    <row r="118" spans="1:26" s="136" customFormat="1" ht="204">
      <c r="A118" s="38">
        <f>A116+1</f>
        <v>34</v>
      </c>
      <c r="B118" s="155" t="s">
        <v>471</v>
      </c>
      <c r="C118" s="141" t="s">
        <v>471</v>
      </c>
      <c r="D118" s="153" t="s">
        <v>472</v>
      </c>
      <c r="E118" s="141">
        <f>LEN(D118)</f>
        <v>275</v>
      </c>
      <c r="F118" s="418" t="s">
        <v>473</v>
      </c>
      <c r="G118" s="141">
        <f>LEN(F118)</f>
        <v>285</v>
      </c>
      <c r="H118" s="150" t="s">
        <v>37</v>
      </c>
      <c r="I118" s="141" t="s">
        <v>24</v>
      </c>
      <c r="J118" s="141" t="s">
        <v>24</v>
      </c>
      <c r="K118" s="141" t="s">
        <v>38</v>
      </c>
      <c r="L118" s="140" t="s">
        <v>474</v>
      </c>
      <c r="M118" s="208" t="s">
        <v>24</v>
      </c>
      <c r="N118" s="166" t="s">
        <v>475</v>
      </c>
      <c r="O118" s="165"/>
      <c r="P118" s="116"/>
      <c r="Q118" s="264">
        <f>'Additional information'!$D$17</f>
        <v>0.91</v>
      </c>
      <c r="R118" s="130"/>
      <c r="T118" s="405" t="s">
        <v>33</v>
      </c>
      <c r="U118" s="137"/>
      <c r="X118" s="262">
        <v>15.448612213134766</v>
      </c>
      <c r="Y118" s="262">
        <f t="shared" si="14"/>
        <v>14.058237113952638</v>
      </c>
      <c r="Z118" s="130">
        <f t="shared" si="11"/>
        <v>14.058237113952638</v>
      </c>
    </row>
    <row r="119" spans="1:26" s="136" customFormat="1" ht="84.95">
      <c r="A119" s="6">
        <f>A118+1</f>
        <v>35</v>
      </c>
      <c r="B119" s="44" t="s">
        <v>476</v>
      </c>
      <c r="C119" s="45" t="s">
        <v>476</v>
      </c>
      <c r="D119" s="11" t="s">
        <v>477</v>
      </c>
      <c r="E119" s="12">
        <f>LEN(D119)</f>
        <v>234</v>
      </c>
      <c r="F119" s="11" t="s">
        <v>478</v>
      </c>
      <c r="G119" s="12">
        <f>LEN(F119)</f>
        <v>267</v>
      </c>
      <c r="H119" s="46" t="s">
        <v>127</v>
      </c>
      <c r="I119" s="12" t="s">
        <v>24</v>
      </c>
      <c r="J119" s="12" t="s">
        <v>24</v>
      </c>
      <c r="K119" s="12" t="s">
        <v>27</v>
      </c>
      <c r="L119" s="14" t="s">
        <v>479</v>
      </c>
      <c r="M119" s="72" t="s">
        <v>24</v>
      </c>
      <c r="N119" s="47" t="s">
        <v>480</v>
      </c>
      <c r="O119" s="58"/>
      <c r="P119" s="581" t="s">
        <v>481</v>
      </c>
      <c r="Q119" s="264">
        <f>'Additional information'!$D$17</f>
        <v>0.91</v>
      </c>
      <c r="R119" s="130"/>
      <c r="T119" s="138" t="s">
        <v>23</v>
      </c>
      <c r="U119" s="137"/>
      <c r="X119" s="263">
        <v>30.343915939331055</v>
      </c>
      <c r="Y119" s="263">
        <f t="shared" si="14"/>
        <v>27.61296350479126</v>
      </c>
      <c r="Z119" s="130" t="str">
        <f t="shared" si="11"/>
        <v/>
      </c>
    </row>
    <row r="120" spans="1:26" s="136" customFormat="1" ht="221.1">
      <c r="A120" s="6">
        <f>A119+1</f>
        <v>36</v>
      </c>
      <c r="B120" s="44" t="s">
        <v>482</v>
      </c>
      <c r="C120" s="45" t="s">
        <v>482</v>
      </c>
      <c r="D120" s="50" t="s">
        <v>483</v>
      </c>
      <c r="E120" s="12">
        <f>LEN(D120)</f>
        <v>175</v>
      </c>
      <c r="F120" s="50" t="s">
        <v>484</v>
      </c>
      <c r="G120" s="12">
        <f>LEN(F120)</f>
        <v>195</v>
      </c>
      <c r="H120" s="46" t="s">
        <v>485</v>
      </c>
      <c r="I120" s="12" t="s">
        <v>24</v>
      </c>
      <c r="J120" s="12" t="s">
        <v>24</v>
      </c>
      <c r="K120" s="12" t="s">
        <v>486</v>
      </c>
      <c r="L120" s="14" t="s">
        <v>487</v>
      </c>
      <c r="M120" s="72" t="s">
        <v>24</v>
      </c>
      <c r="N120" s="47" t="s">
        <v>488</v>
      </c>
      <c r="O120" s="58"/>
      <c r="P120" s="582"/>
      <c r="Q120" s="264">
        <f>'Additional information'!$D$17</f>
        <v>0.91</v>
      </c>
      <c r="R120" s="130"/>
      <c r="T120" s="138" t="s">
        <v>23</v>
      </c>
      <c r="U120" s="137"/>
      <c r="X120" s="263">
        <v>5.4708995819091797</v>
      </c>
      <c r="Y120" s="263">
        <f t="shared" si="14"/>
        <v>4.9785186195373541</v>
      </c>
      <c r="Z120" s="130" t="str">
        <f t="shared" si="11"/>
        <v/>
      </c>
    </row>
    <row r="121" spans="1:26" s="136" customFormat="1" ht="68.099999999999994">
      <c r="A121" s="6">
        <f>A120+1</f>
        <v>37</v>
      </c>
      <c r="B121" s="44" t="s">
        <v>489</v>
      </c>
      <c r="C121" s="45" t="s">
        <v>489</v>
      </c>
      <c r="D121" s="50" t="s">
        <v>490</v>
      </c>
      <c r="E121" s="12">
        <f>LEN(D121)</f>
        <v>123</v>
      </c>
      <c r="F121" s="50" t="s">
        <v>491</v>
      </c>
      <c r="G121" s="12">
        <f>LEN(F121)</f>
        <v>130</v>
      </c>
      <c r="H121" s="46" t="s">
        <v>127</v>
      </c>
      <c r="I121" s="12" t="s">
        <v>24</v>
      </c>
      <c r="J121" s="12" t="s">
        <v>24</v>
      </c>
      <c r="K121" s="12" t="s">
        <v>27</v>
      </c>
      <c r="L121" s="14" t="s">
        <v>492</v>
      </c>
      <c r="M121" s="72" t="s">
        <v>24</v>
      </c>
      <c r="N121" s="47" t="s">
        <v>493</v>
      </c>
      <c r="O121" s="58"/>
      <c r="P121" s="582"/>
      <c r="Q121" s="264">
        <f>'Additional information'!$D$17</f>
        <v>0.91</v>
      </c>
      <c r="R121" s="130"/>
      <c r="T121" s="138" t="s">
        <v>23</v>
      </c>
      <c r="U121" s="137"/>
      <c r="X121" s="263">
        <v>7.9054727554321289</v>
      </c>
      <c r="Y121" s="263">
        <f t="shared" si="14"/>
        <v>7.1939802074432375</v>
      </c>
      <c r="Z121" s="130" t="str">
        <f t="shared" si="11"/>
        <v/>
      </c>
    </row>
    <row r="122" spans="1:26" s="136" customFormat="1" ht="84.95">
      <c r="A122" s="6">
        <f>A121+1</f>
        <v>38</v>
      </c>
      <c r="B122" s="44" t="s">
        <v>494</v>
      </c>
      <c r="C122" s="45" t="s">
        <v>494</v>
      </c>
      <c r="D122" s="48" t="s">
        <v>495</v>
      </c>
      <c r="E122" s="12">
        <f>LEN(D122)</f>
        <v>218</v>
      </c>
      <c r="F122" s="48" t="s">
        <v>496</v>
      </c>
      <c r="G122" s="12">
        <f>LEN(F122)</f>
        <v>240</v>
      </c>
      <c r="H122" s="46" t="s">
        <v>127</v>
      </c>
      <c r="I122" s="12" t="s">
        <v>24</v>
      </c>
      <c r="J122" s="12" t="s">
        <v>24</v>
      </c>
      <c r="K122" s="12" t="s">
        <v>27</v>
      </c>
      <c r="L122" s="14" t="s">
        <v>497</v>
      </c>
      <c r="M122" s="72" t="s">
        <v>24</v>
      </c>
      <c r="N122" s="47" t="s">
        <v>498</v>
      </c>
      <c r="O122" s="58"/>
      <c r="P122" s="583"/>
      <c r="Q122" s="264">
        <f>'Additional information'!$D$17</f>
        <v>0.91</v>
      </c>
      <c r="R122" s="130"/>
      <c r="T122" s="138" t="s">
        <v>23</v>
      </c>
      <c r="U122" s="137"/>
      <c r="X122" s="263">
        <v>16.435977935791016</v>
      </c>
      <c r="Y122" s="263">
        <f t="shared" si="14"/>
        <v>14.956739921569826</v>
      </c>
      <c r="Z122" s="130" t="str">
        <f t="shared" si="11"/>
        <v/>
      </c>
    </row>
    <row r="123" spans="1:26" s="136" customFormat="1">
      <c r="A123" s="38"/>
      <c r="B123" s="230"/>
      <c r="C123" s="91"/>
      <c r="D123" s="71"/>
      <c r="E123" s="40"/>
      <c r="F123" s="40"/>
      <c r="G123" s="40"/>
      <c r="H123" s="92"/>
      <c r="I123" s="40"/>
      <c r="J123" s="40"/>
      <c r="K123" s="40"/>
      <c r="L123" s="76"/>
      <c r="M123" s="76"/>
      <c r="N123" s="76"/>
      <c r="O123" s="76"/>
      <c r="P123" s="2"/>
      <c r="Q123" s="264">
        <f>'Additional information'!$D$17</f>
        <v>0.91</v>
      </c>
      <c r="R123" s="130"/>
      <c r="T123" s="138"/>
      <c r="U123" s="137"/>
      <c r="X123" s="263"/>
      <c r="Y123" s="263" t="str">
        <f t="shared" si="14"/>
        <v/>
      </c>
      <c r="Z123" s="130" t="str">
        <f t="shared" si="11"/>
        <v/>
      </c>
    </row>
    <row r="124" spans="1:26" s="136" customFormat="1" ht="153">
      <c r="A124" s="38">
        <f>A122+1</f>
        <v>39</v>
      </c>
      <c r="B124" s="155" t="s">
        <v>499</v>
      </c>
      <c r="C124" s="135" t="s">
        <v>499</v>
      </c>
      <c r="D124" s="154" t="s">
        <v>500</v>
      </c>
      <c r="E124" s="141">
        <f>LEN(D124)</f>
        <v>157</v>
      </c>
      <c r="F124" s="418" t="s">
        <v>501</v>
      </c>
      <c r="G124" s="141">
        <f>LEN(F124)</f>
        <v>180</v>
      </c>
      <c r="H124" s="150" t="s">
        <v>37</v>
      </c>
      <c r="I124" s="141" t="s">
        <v>24</v>
      </c>
      <c r="J124" s="141" t="s">
        <v>24</v>
      </c>
      <c r="K124" s="141" t="s">
        <v>38</v>
      </c>
      <c r="L124" s="140" t="s">
        <v>502</v>
      </c>
      <c r="M124" s="208" t="s">
        <v>24</v>
      </c>
      <c r="N124" s="140" t="s">
        <v>503</v>
      </c>
      <c r="O124" s="52"/>
      <c r="P124" s="2"/>
      <c r="Q124" s="264">
        <f>'Additional information'!$D$17</f>
        <v>0.91</v>
      </c>
      <c r="R124" s="130"/>
      <c r="T124" s="405" t="s">
        <v>33</v>
      </c>
      <c r="U124" s="137"/>
      <c r="X124" s="262">
        <v>11.375329971313477</v>
      </c>
      <c r="Y124" s="262">
        <f t="shared" si="14"/>
        <v>10.351550273895263</v>
      </c>
      <c r="Z124" s="130">
        <f t="shared" si="11"/>
        <v>10.351550273895263</v>
      </c>
    </row>
    <row r="125" spans="1:26" s="136" customFormat="1" ht="409.6">
      <c r="A125" s="103">
        <f>A124+1</f>
        <v>40</v>
      </c>
      <c r="B125" s="225" t="s">
        <v>504</v>
      </c>
      <c r="C125" s="142" t="s">
        <v>505</v>
      </c>
      <c r="D125" s="383" t="s">
        <v>506</v>
      </c>
      <c r="E125" s="124">
        <f>LEN(D125)</f>
        <v>773</v>
      </c>
      <c r="F125" s="418" t="s">
        <v>507</v>
      </c>
      <c r="G125" s="124">
        <f>LEN(F125)</f>
        <v>1034</v>
      </c>
      <c r="H125" s="135" t="s">
        <v>461</v>
      </c>
      <c r="I125" s="124" t="s">
        <v>24</v>
      </c>
      <c r="J125" s="124" t="s">
        <v>24</v>
      </c>
      <c r="K125" s="124" t="s">
        <v>508</v>
      </c>
      <c r="L125" s="379" t="s">
        <v>509</v>
      </c>
      <c r="M125" s="208" t="s">
        <v>510</v>
      </c>
      <c r="N125" s="154" t="s">
        <v>511</v>
      </c>
      <c r="O125" s="52"/>
      <c r="P125" s="2"/>
      <c r="Q125" s="264">
        <f>'Additional information'!$D$17</f>
        <v>0.91</v>
      </c>
      <c r="R125" s="130"/>
      <c r="T125" s="405" t="s">
        <v>33</v>
      </c>
      <c r="U125" s="137"/>
      <c r="X125" s="262">
        <v>25.844999313354492</v>
      </c>
      <c r="Y125" s="262">
        <f t="shared" si="14"/>
        <v>23.518949375152587</v>
      </c>
      <c r="Z125" s="130">
        <f t="shared" si="11"/>
        <v>23.518949375152587</v>
      </c>
    </row>
    <row r="126" spans="1:26" s="136" customFormat="1">
      <c r="A126" s="38"/>
      <c r="B126" s="230"/>
      <c r="C126" s="91"/>
      <c r="D126" s="71"/>
      <c r="E126" s="40"/>
      <c r="F126" s="40"/>
      <c r="G126" s="40"/>
      <c r="H126" s="92"/>
      <c r="I126" s="40"/>
      <c r="J126" s="40"/>
      <c r="K126" s="40"/>
      <c r="L126" s="76"/>
      <c r="M126" s="76"/>
      <c r="N126" s="76"/>
      <c r="O126" s="76"/>
      <c r="P126" s="2"/>
      <c r="Q126" s="264">
        <f>'Additional information'!$D$17</f>
        <v>0.91</v>
      </c>
      <c r="R126" s="130"/>
      <c r="T126" s="138"/>
      <c r="U126" s="137"/>
      <c r="X126" s="263"/>
      <c r="Y126" s="263" t="str">
        <f t="shared" si="14"/>
        <v/>
      </c>
      <c r="Z126" s="130" t="str">
        <f t="shared" si="11"/>
        <v/>
      </c>
    </row>
    <row r="127" spans="1:26" s="136" customFormat="1" ht="221.1">
      <c r="A127" s="100">
        <f>A125+1</f>
        <v>41</v>
      </c>
      <c r="B127" s="224" t="s">
        <v>512</v>
      </c>
      <c r="C127" s="233" t="s">
        <v>512</v>
      </c>
      <c r="D127" s="14" t="s">
        <v>513</v>
      </c>
      <c r="E127" s="12">
        <f>LEN(D127)</f>
        <v>296</v>
      </c>
      <c r="F127" s="14" t="s">
        <v>514</v>
      </c>
      <c r="G127" s="12">
        <f>LEN(F127)</f>
        <v>315</v>
      </c>
      <c r="H127" s="13" t="s">
        <v>37</v>
      </c>
      <c r="I127" s="12" t="s">
        <v>24</v>
      </c>
      <c r="J127" s="380" t="s">
        <v>515</v>
      </c>
      <c r="K127" s="12" t="s">
        <v>38</v>
      </c>
      <c r="L127" s="14" t="s">
        <v>516</v>
      </c>
      <c r="M127" s="72" t="s">
        <v>24</v>
      </c>
      <c r="N127" s="14" t="s">
        <v>517</v>
      </c>
      <c r="O127" s="23"/>
      <c r="P127" s="2"/>
      <c r="Q127" s="264">
        <f>'Additional information'!$D$17</f>
        <v>0.91</v>
      </c>
      <c r="R127" s="130"/>
      <c r="T127" s="138" t="s">
        <v>23</v>
      </c>
      <c r="U127" s="137"/>
      <c r="X127" s="263">
        <v>12.186037063598633</v>
      </c>
      <c r="Y127" s="263">
        <f t="shared" si="14"/>
        <v>11.089293727874756</v>
      </c>
      <c r="Z127" s="130" t="str">
        <f t="shared" si="11"/>
        <v/>
      </c>
    </row>
    <row r="128" spans="1:26" s="136" customFormat="1" ht="135.94999999999999">
      <c r="A128" s="49"/>
      <c r="B128" s="229" t="s">
        <v>518</v>
      </c>
      <c r="C128" s="228" t="s">
        <v>519</v>
      </c>
      <c r="D128" s="7" t="s">
        <v>520</v>
      </c>
      <c r="E128" s="16">
        <f>LEN(D128)</f>
        <v>233</v>
      </c>
      <c r="F128" s="7" t="s">
        <v>521</v>
      </c>
      <c r="G128" s="16">
        <f>LEN(F128)</f>
        <v>233</v>
      </c>
      <c r="H128" s="20" t="s">
        <v>244</v>
      </c>
      <c r="I128" s="16" t="s">
        <v>24</v>
      </c>
      <c r="J128" s="381" t="s">
        <v>24</v>
      </c>
      <c r="K128" s="16" t="s">
        <v>522</v>
      </c>
      <c r="L128" s="21" t="s">
        <v>523</v>
      </c>
      <c r="M128" s="72" t="s">
        <v>24</v>
      </c>
      <c r="N128" s="55" t="s">
        <v>524</v>
      </c>
      <c r="O128" s="55"/>
      <c r="P128" s="116"/>
      <c r="Q128" s="264">
        <f>'Additional information'!$D$17</f>
        <v>0.91</v>
      </c>
      <c r="R128" s="130"/>
      <c r="T128" s="138" t="s">
        <v>23</v>
      </c>
      <c r="U128" s="137"/>
      <c r="X128" s="263">
        <v>18.744722366333008</v>
      </c>
      <c r="Y128" s="263">
        <f t="shared" si="14"/>
        <v>17.057697353363039</v>
      </c>
      <c r="Z128" s="130" t="str">
        <f t="shared" si="11"/>
        <v/>
      </c>
    </row>
    <row r="129" spans="1:26" s="136" customFormat="1" ht="17.100000000000001" thickBot="1">
      <c r="A129" s="103"/>
      <c r="B129" s="252"/>
      <c r="C129" s="104"/>
      <c r="D129" s="80"/>
      <c r="E129" s="94"/>
      <c r="F129" s="94"/>
      <c r="G129" s="94"/>
      <c r="H129" s="104"/>
      <c r="I129" s="94"/>
      <c r="J129" s="94"/>
      <c r="K129" s="94"/>
      <c r="L129" s="86"/>
      <c r="M129" s="76"/>
      <c r="N129" s="80"/>
      <c r="O129" s="86"/>
      <c r="P129" s="63"/>
      <c r="Q129" s="264">
        <f>'Additional information'!$D$17</f>
        <v>0.91</v>
      </c>
      <c r="R129" s="130"/>
      <c r="T129" s="138"/>
      <c r="U129" s="137"/>
      <c r="X129" s="263"/>
      <c r="Y129" s="263" t="str">
        <f t="shared" si="14"/>
        <v/>
      </c>
      <c r="Z129" s="130" t="str">
        <f t="shared" si="11"/>
        <v/>
      </c>
    </row>
    <row r="130" spans="1:26" s="402" customFormat="1" ht="17.100000000000001" thickBot="1">
      <c r="A130" s="567" t="s">
        <v>525</v>
      </c>
      <c r="B130" s="568"/>
      <c r="C130" s="568"/>
      <c r="D130" s="568"/>
      <c r="E130" s="568"/>
      <c r="F130" s="568"/>
      <c r="G130" s="568"/>
      <c r="H130" s="568"/>
      <c r="I130" s="568"/>
      <c r="J130" s="568"/>
      <c r="K130" s="568"/>
      <c r="L130" s="568"/>
      <c r="M130" s="568"/>
      <c r="N130" s="568"/>
      <c r="O130" s="568"/>
      <c r="P130" s="569"/>
      <c r="Q130" s="259"/>
      <c r="R130" s="407"/>
      <c r="T130" s="405"/>
      <c r="U130" s="408"/>
      <c r="X130" s="262"/>
      <c r="Y130" s="262" t="str">
        <f t="shared" si="14"/>
        <v/>
      </c>
      <c r="Z130" s="407" t="str">
        <f t="shared" si="11"/>
        <v/>
      </c>
    </row>
    <row r="131" spans="1:26" s="136" customFormat="1" ht="255">
      <c r="A131" s="38"/>
      <c r="B131" s="173" t="s">
        <v>526</v>
      </c>
      <c r="C131" s="172" t="s">
        <v>526</v>
      </c>
      <c r="D131" s="595" t="s">
        <v>527</v>
      </c>
      <c r="E131" s="133">
        <f>LEN(D131)</f>
        <v>104</v>
      </c>
      <c r="F131" s="427" t="s">
        <v>528</v>
      </c>
      <c r="G131" s="133">
        <f>LEN(F131)</f>
        <v>119</v>
      </c>
      <c r="H131" s="143" t="s">
        <v>37</v>
      </c>
      <c r="I131" s="141" t="s">
        <v>24</v>
      </c>
      <c r="J131" s="135" t="s">
        <v>529</v>
      </c>
      <c r="K131" s="133" t="s">
        <v>38</v>
      </c>
      <c r="L131" s="140" t="s">
        <v>530</v>
      </c>
      <c r="M131" s="369" t="s">
        <v>531</v>
      </c>
      <c r="N131" s="140" t="s">
        <v>532</v>
      </c>
      <c r="O131" s="76"/>
      <c r="P131" s="2"/>
      <c r="Q131" s="264">
        <f>'Additional information'!$D$17</f>
        <v>0.91</v>
      </c>
      <c r="R131" s="130"/>
      <c r="T131" s="405" t="s">
        <v>33</v>
      </c>
      <c r="U131" s="137"/>
      <c r="X131" s="262">
        <v>17.612014770507813</v>
      </c>
      <c r="Y131" s="262">
        <f t="shared" si="14"/>
        <v>16.026933441162111</v>
      </c>
      <c r="Z131" s="130">
        <f t="shared" si="11"/>
        <v>16.026933441162111</v>
      </c>
    </row>
    <row r="132" spans="1:26" s="136" customFormat="1">
      <c r="A132" s="38"/>
      <c r="B132" s="171"/>
      <c r="C132" s="91"/>
      <c r="D132" s="596"/>
      <c r="E132" s="96"/>
      <c r="F132" s="596"/>
      <c r="G132" s="96"/>
      <c r="H132" s="41"/>
      <c r="I132" s="40"/>
      <c r="J132" s="102"/>
      <c r="K132" s="40"/>
      <c r="L132" s="76"/>
      <c r="M132" s="76"/>
      <c r="N132" s="78"/>
      <c r="O132" s="78"/>
      <c r="P132" s="2"/>
      <c r="Q132" s="264">
        <f>'Additional information'!$D$17</f>
        <v>0.91</v>
      </c>
      <c r="R132" s="138"/>
      <c r="S132" s="137"/>
      <c r="V132" s="144"/>
      <c r="W132" s="187"/>
      <c r="X132" s="263"/>
      <c r="Y132" s="263" t="str">
        <f t="shared" si="14"/>
        <v/>
      </c>
      <c r="Z132" s="130" t="str">
        <f t="shared" si="11"/>
        <v/>
      </c>
    </row>
    <row r="133" spans="1:26" s="136" customFormat="1" ht="222" customHeight="1">
      <c r="A133" s="90">
        <f>A125+1</f>
        <v>41</v>
      </c>
      <c r="B133" s="384" t="s">
        <v>533</v>
      </c>
      <c r="C133" s="135" t="s">
        <v>533</v>
      </c>
      <c r="D133" s="134" t="s">
        <v>534</v>
      </c>
      <c r="E133" s="133">
        <f>LEN(D133)</f>
        <v>167</v>
      </c>
      <c r="F133" s="418" t="s">
        <v>535</v>
      </c>
      <c r="G133" s="133">
        <f>LEN(F133)</f>
        <v>200</v>
      </c>
      <c r="H133" s="143" t="s">
        <v>37</v>
      </c>
      <c r="I133" s="133" t="s">
        <v>24</v>
      </c>
      <c r="J133" s="135" t="s">
        <v>24</v>
      </c>
      <c r="K133" s="133" t="s">
        <v>38</v>
      </c>
      <c r="L133" s="132" t="s">
        <v>536</v>
      </c>
      <c r="M133" s="208" t="s">
        <v>24</v>
      </c>
      <c r="N133" s="132" t="s">
        <v>537</v>
      </c>
      <c r="O133" s="78"/>
      <c r="P133" s="42"/>
      <c r="Q133" s="264">
        <f>'Additional information'!$D$17</f>
        <v>0.91</v>
      </c>
      <c r="R133" s="130"/>
      <c r="T133" s="405" t="s">
        <v>33</v>
      </c>
      <c r="U133" s="137"/>
      <c r="X133" s="262">
        <v>10.457156181335449</v>
      </c>
      <c r="Y133" s="262">
        <f t="shared" si="14"/>
        <v>9.5160121250152585</v>
      </c>
      <c r="Z133" s="130">
        <f t="shared" si="11"/>
        <v>9.5160121250152585</v>
      </c>
    </row>
    <row r="134" spans="1:26" s="136" customFormat="1" ht="306">
      <c r="A134" s="38">
        <f>A133+1</f>
        <v>42</v>
      </c>
      <c r="B134" s="173" t="s">
        <v>538</v>
      </c>
      <c r="C134" s="135" t="s">
        <v>539</v>
      </c>
      <c r="D134" s="383" t="s">
        <v>540</v>
      </c>
      <c r="E134" s="133">
        <f>LEN(D134)</f>
        <v>684</v>
      </c>
      <c r="F134" s="418" t="s">
        <v>541</v>
      </c>
      <c r="G134" s="133">
        <f>LEN(F134)</f>
        <v>831</v>
      </c>
      <c r="H134" s="135" t="s">
        <v>461</v>
      </c>
      <c r="I134" s="141" t="s">
        <v>24</v>
      </c>
      <c r="J134" s="164" t="s">
        <v>24</v>
      </c>
      <c r="K134" s="141" t="s">
        <v>542</v>
      </c>
      <c r="L134" s="140" t="s">
        <v>543</v>
      </c>
      <c r="M134" s="208" t="s">
        <v>544</v>
      </c>
      <c r="N134" s="140" t="s">
        <v>545</v>
      </c>
      <c r="O134" s="76"/>
      <c r="P134" s="2"/>
      <c r="Q134" s="264">
        <f>'Additional information'!$D$17</f>
        <v>0.91</v>
      </c>
      <c r="R134" s="130"/>
      <c r="T134" s="405" t="s">
        <v>33</v>
      </c>
      <c r="U134" s="137"/>
      <c r="X134" s="262">
        <v>20.769962310791016</v>
      </c>
      <c r="Y134" s="262">
        <f t="shared" si="14"/>
        <v>18.900665702819825</v>
      </c>
      <c r="Z134" s="130">
        <f t="shared" ref="Z134:Z197" si="15">IF(T134="yes",Y134,"")</f>
        <v>18.900665702819825</v>
      </c>
    </row>
    <row r="135" spans="1:26" s="136" customFormat="1">
      <c r="A135" s="38"/>
      <c r="B135" s="171"/>
      <c r="C135" s="91"/>
      <c r="D135" s="596"/>
      <c r="E135" s="96"/>
      <c r="F135" s="418"/>
      <c r="G135" s="96"/>
      <c r="H135" s="41"/>
      <c r="I135" s="40"/>
      <c r="J135" s="101"/>
      <c r="K135" s="40"/>
      <c r="L135" s="76"/>
      <c r="M135" s="76"/>
      <c r="N135" s="78"/>
      <c r="O135" s="78"/>
      <c r="P135" s="2"/>
      <c r="Q135" s="264">
        <f>'Additional information'!$D$17</f>
        <v>0.91</v>
      </c>
      <c r="R135" s="130"/>
      <c r="T135" s="138"/>
      <c r="U135" s="137"/>
      <c r="X135" s="263"/>
      <c r="Y135" s="263" t="str">
        <f t="shared" si="14"/>
        <v/>
      </c>
      <c r="Z135" s="130" t="str">
        <f>IF(T135="yes",Y135,"")</f>
        <v/>
      </c>
    </row>
    <row r="136" spans="1:26" s="136" customFormat="1" ht="261" customHeight="1">
      <c r="A136" s="38">
        <f>A134+1</f>
        <v>43</v>
      </c>
      <c r="B136" s="173" t="s">
        <v>546</v>
      </c>
      <c r="C136" s="135" t="s">
        <v>546</v>
      </c>
      <c r="D136" s="154" t="s">
        <v>547</v>
      </c>
      <c r="E136" s="141">
        <f>LEN(D136)</f>
        <v>343</v>
      </c>
      <c r="F136" s="418" t="s">
        <v>548</v>
      </c>
      <c r="G136" s="141">
        <f>LEN(F136)</f>
        <v>422</v>
      </c>
      <c r="H136" s="150" t="s">
        <v>37</v>
      </c>
      <c r="I136" s="141" t="s">
        <v>24</v>
      </c>
      <c r="J136" s="141" t="s">
        <v>24</v>
      </c>
      <c r="K136" s="141" t="s">
        <v>38</v>
      </c>
      <c r="L136" s="163" t="s">
        <v>549</v>
      </c>
      <c r="M136" s="208" t="s">
        <v>24</v>
      </c>
      <c r="N136" s="139" t="s">
        <v>550</v>
      </c>
      <c r="O136" s="162"/>
      <c r="P136" s="2"/>
      <c r="Q136" s="264">
        <f>'Additional information'!$D$17</f>
        <v>0.91</v>
      </c>
      <c r="R136" s="130"/>
      <c r="T136" s="405" t="s">
        <v>33</v>
      </c>
      <c r="U136" s="137"/>
      <c r="X136" s="262">
        <v>23.569721221923828</v>
      </c>
      <c r="Y136" s="262">
        <f t="shared" si="14"/>
        <v>21.448446311950683</v>
      </c>
      <c r="Z136" s="130">
        <f t="shared" si="15"/>
        <v>21.448446311950683</v>
      </c>
    </row>
    <row r="137" spans="1:26" s="136" customFormat="1" ht="17.100000000000001" thickBot="1">
      <c r="A137" s="38"/>
      <c r="B137" s="171"/>
      <c r="C137" s="91"/>
      <c r="D137" s="596"/>
      <c r="E137" s="96"/>
      <c r="F137" s="596"/>
      <c r="G137" s="96"/>
      <c r="H137" s="41"/>
      <c r="I137" s="40"/>
      <c r="J137" s="101"/>
      <c r="K137" s="40"/>
      <c r="L137" s="76"/>
      <c r="M137" s="76"/>
      <c r="N137" s="78"/>
      <c r="O137" s="78"/>
      <c r="P137" s="2"/>
      <c r="Q137" s="264">
        <f>'Additional information'!$D$17</f>
        <v>0.91</v>
      </c>
      <c r="R137" s="130"/>
      <c r="T137" s="138"/>
      <c r="U137" s="137"/>
      <c r="X137" s="263"/>
      <c r="Y137" s="263" t="str">
        <f t="shared" si="14"/>
        <v/>
      </c>
      <c r="Z137" s="130" t="str">
        <f>IF(T137="yes",Y137,"")</f>
        <v/>
      </c>
    </row>
    <row r="138" spans="1:26" s="402" customFormat="1" ht="17.100000000000001" thickBot="1">
      <c r="A138" s="567" t="s">
        <v>551</v>
      </c>
      <c r="B138" s="568"/>
      <c r="C138" s="568"/>
      <c r="D138" s="568"/>
      <c r="E138" s="568"/>
      <c r="F138" s="568"/>
      <c r="G138" s="568"/>
      <c r="H138" s="568"/>
      <c r="I138" s="568"/>
      <c r="J138" s="568"/>
      <c r="K138" s="568"/>
      <c r="L138" s="568"/>
      <c r="M138" s="568"/>
      <c r="N138" s="568"/>
      <c r="O138" s="568"/>
      <c r="P138" s="569"/>
      <c r="Q138" s="259"/>
      <c r="R138" s="407"/>
      <c r="T138" s="405"/>
      <c r="U138" s="408"/>
      <c r="X138" s="262"/>
      <c r="Y138" s="262" t="str">
        <f t="shared" si="14"/>
        <v/>
      </c>
      <c r="Z138" s="407" t="str">
        <f t="shared" si="15"/>
        <v/>
      </c>
    </row>
    <row r="139" spans="1:26" s="136" customFormat="1" ht="135.94999999999999">
      <c r="A139" s="90">
        <f>A136+1</f>
        <v>44</v>
      </c>
      <c r="B139" s="386" t="s">
        <v>552</v>
      </c>
      <c r="C139" s="597" t="s">
        <v>552</v>
      </c>
      <c r="D139" s="598" t="s">
        <v>553</v>
      </c>
      <c r="E139" s="133">
        <f>LEN(D139)</f>
        <v>173</v>
      </c>
      <c r="F139" s="428" t="s">
        <v>554</v>
      </c>
      <c r="G139" s="133">
        <f>LEN(F139)</f>
        <v>230</v>
      </c>
      <c r="H139" s="133" t="s">
        <v>37</v>
      </c>
      <c r="I139" s="133" t="s">
        <v>24</v>
      </c>
      <c r="J139" s="133" t="s">
        <v>555</v>
      </c>
      <c r="K139" s="133" t="s">
        <v>38</v>
      </c>
      <c r="L139" s="132" t="s">
        <v>556</v>
      </c>
      <c r="M139" s="208" t="s">
        <v>24</v>
      </c>
      <c r="N139" s="139" t="s">
        <v>557</v>
      </c>
      <c r="O139" s="162"/>
      <c r="P139" s="1"/>
      <c r="Q139" s="259">
        <f>'Additional information'!$D$18</f>
        <v>0.91</v>
      </c>
      <c r="R139" s="130"/>
      <c r="T139" s="405" t="s">
        <v>33</v>
      </c>
      <c r="U139" s="137"/>
      <c r="X139" s="262">
        <v>4.5019583702087402</v>
      </c>
      <c r="Y139" s="262">
        <f t="shared" si="14"/>
        <v>4.0967821168899539</v>
      </c>
      <c r="Z139" s="130">
        <f t="shared" si="15"/>
        <v>4.0967821168899539</v>
      </c>
    </row>
    <row r="140" spans="1:26" s="136" customFormat="1">
      <c r="A140" s="38"/>
      <c r="B140" s="171"/>
      <c r="C140" s="91"/>
      <c r="D140" s="596"/>
      <c r="E140" s="96"/>
      <c r="F140" s="429"/>
      <c r="G140" s="96"/>
      <c r="H140" s="41"/>
      <c r="I140" s="40"/>
      <c r="J140" s="102"/>
      <c r="K140" s="40"/>
      <c r="L140" s="76"/>
      <c r="M140" s="76"/>
      <c r="N140" s="78"/>
      <c r="O140" s="78"/>
      <c r="P140" s="2"/>
      <c r="Q140" s="264">
        <f>'Additional information'!$D$18</f>
        <v>0.91</v>
      </c>
      <c r="R140" s="130"/>
      <c r="T140" s="138"/>
      <c r="U140" s="137"/>
      <c r="X140" s="263"/>
      <c r="Y140" s="263" t="str">
        <f t="shared" si="14"/>
        <v/>
      </c>
      <c r="Z140" s="130" t="str">
        <f t="shared" si="15"/>
        <v/>
      </c>
    </row>
    <row r="141" spans="1:26" s="136" customFormat="1" ht="323.10000000000002">
      <c r="A141" s="90">
        <f>A139+1</f>
        <v>45</v>
      </c>
      <c r="B141" s="223" t="s">
        <v>558</v>
      </c>
      <c r="C141" s="135" t="s">
        <v>558</v>
      </c>
      <c r="D141" s="134" t="s">
        <v>559</v>
      </c>
      <c r="E141" s="133">
        <f>LEN(D141)</f>
        <v>578</v>
      </c>
      <c r="F141" s="185" t="s">
        <v>560</v>
      </c>
      <c r="G141" s="133">
        <f>LEN(F141)</f>
        <v>723</v>
      </c>
      <c r="H141" s="133" t="s">
        <v>37</v>
      </c>
      <c r="I141" s="133" t="s">
        <v>24</v>
      </c>
      <c r="J141" s="133" t="s">
        <v>24</v>
      </c>
      <c r="K141" s="135" t="s">
        <v>561</v>
      </c>
      <c r="L141" s="132" t="s">
        <v>562</v>
      </c>
      <c r="M141" s="208" t="s">
        <v>24</v>
      </c>
      <c r="N141" s="139" t="s">
        <v>563</v>
      </c>
      <c r="O141" s="162"/>
      <c r="P141" s="42"/>
      <c r="Q141" s="259">
        <f>'Additional information'!$D$18</f>
        <v>0.91</v>
      </c>
      <c r="R141" s="130"/>
      <c r="T141" s="405" t="s">
        <v>33</v>
      </c>
      <c r="U141" s="137"/>
      <c r="X141" s="262">
        <v>17.402484893798828</v>
      </c>
      <c r="Y141" s="262">
        <f t="shared" si="14"/>
        <v>15.836261253356934</v>
      </c>
      <c r="Z141" s="130">
        <f t="shared" si="15"/>
        <v>15.836261253356934</v>
      </c>
    </row>
    <row r="142" spans="1:26" s="136" customFormat="1">
      <c r="A142" s="90"/>
      <c r="B142" s="251"/>
      <c r="C142" s="91"/>
      <c r="D142" s="160"/>
      <c r="E142" s="96"/>
      <c r="F142" s="95"/>
      <c r="G142" s="96"/>
      <c r="H142" s="96"/>
      <c r="I142" s="96"/>
      <c r="J142" s="96"/>
      <c r="K142" s="91"/>
      <c r="L142" s="78"/>
      <c r="M142" s="76"/>
      <c r="N142" s="162"/>
      <c r="O142" s="162"/>
      <c r="P142" s="42"/>
      <c r="Q142" s="264">
        <f>'Additional information'!$D$18</f>
        <v>0.91</v>
      </c>
      <c r="R142" s="130"/>
      <c r="T142" s="138"/>
      <c r="U142" s="137"/>
      <c r="X142" s="263"/>
      <c r="Y142" s="263" t="str">
        <f t="shared" si="14"/>
        <v/>
      </c>
      <c r="Z142" s="130" t="str">
        <f t="shared" si="15"/>
        <v/>
      </c>
    </row>
    <row r="143" spans="1:26" s="136" customFormat="1" ht="68.099999999999994">
      <c r="A143" s="38">
        <f>A141+1</f>
        <v>46</v>
      </c>
      <c r="B143" s="173" t="s">
        <v>564</v>
      </c>
      <c r="C143" s="135" t="s">
        <v>564</v>
      </c>
      <c r="D143" s="154" t="s">
        <v>565</v>
      </c>
      <c r="E143" s="141">
        <f>LEN(D143)</f>
        <v>152</v>
      </c>
      <c r="F143" s="185" t="s">
        <v>566</v>
      </c>
      <c r="G143" s="141">
        <f>LEN(F143)</f>
        <v>161</v>
      </c>
      <c r="H143" s="150" t="s">
        <v>127</v>
      </c>
      <c r="I143" s="141" t="s">
        <v>24</v>
      </c>
      <c r="J143" s="141" t="s">
        <v>24</v>
      </c>
      <c r="K143" s="141" t="s">
        <v>27</v>
      </c>
      <c r="L143" s="140" t="s">
        <v>567</v>
      </c>
      <c r="M143" s="208" t="s">
        <v>24</v>
      </c>
      <c r="N143" s="140" t="s">
        <v>568</v>
      </c>
      <c r="O143" s="78"/>
      <c r="P143" s="2"/>
      <c r="Q143" s="259">
        <f>'Additional information'!$D$18</f>
        <v>0.91</v>
      </c>
      <c r="R143" s="130"/>
      <c r="T143" s="405" t="s">
        <v>33</v>
      </c>
      <c r="U143" s="137"/>
      <c r="X143" s="262">
        <v>16.332881927490234</v>
      </c>
      <c r="Y143" s="262">
        <f t="shared" si="14"/>
        <v>14.862922554016114</v>
      </c>
      <c r="Z143" s="130">
        <f t="shared" si="15"/>
        <v>14.862922554016114</v>
      </c>
    </row>
    <row r="144" spans="1:26" s="136" customFormat="1" ht="68.099999999999994">
      <c r="A144" s="38">
        <f>A143+1</f>
        <v>47</v>
      </c>
      <c r="B144" s="173" t="s">
        <v>569</v>
      </c>
      <c r="C144" s="135" t="s">
        <v>569</v>
      </c>
      <c r="D144" s="153" t="s">
        <v>570</v>
      </c>
      <c r="E144" s="141">
        <f>LEN(D144)</f>
        <v>128</v>
      </c>
      <c r="F144" s="185" t="s">
        <v>571</v>
      </c>
      <c r="G144" s="141">
        <f>LEN(F144)</f>
        <v>133</v>
      </c>
      <c r="H144" s="150" t="s">
        <v>127</v>
      </c>
      <c r="I144" s="141" t="s">
        <v>24</v>
      </c>
      <c r="J144" s="141" t="s">
        <v>24</v>
      </c>
      <c r="K144" s="141" t="s">
        <v>27</v>
      </c>
      <c r="L144" s="140" t="s">
        <v>572</v>
      </c>
      <c r="M144" s="208" t="s">
        <v>24</v>
      </c>
      <c r="N144" s="140" t="s">
        <v>573</v>
      </c>
      <c r="O144" s="78"/>
      <c r="P144" s="2"/>
      <c r="Q144" s="259">
        <f>'Additional information'!$D$18</f>
        <v>0.91</v>
      </c>
      <c r="R144" s="130"/>
      <c r="T144" s="405" t="s">
        <v>33</v>
      </c>
      <c r="U144" s="137"/>
      <c r="X144" s="262">
        <v>7.4144525527954102</v>
      </c>
      <c r="Y144" s="262">
        <f t="shared" si="14"/>
        <v>6.7471518230438239</v>
      </c>
      <c r="Z144" s="130">
        <f t="shared" si="15"/>
        <v>6.7471518230438239</v>
      </c>
    </row>
    <row r="145" spans="1:26" s="136" customFormat="1" ht="399.95" customHeight="1">
      <c r="A145" s="38">
        <v>44</v>
      </c>
      <c r="B145" s="173" t="s">
        <v>574</v>
      </c>
      <c r="C145" s="135" t="s">
        <v>575</v>
      </c>
      <c r="D145" s="383" t="s">
        <v>576</v>
      </c>
      <c r="E145" s="141">
        <f>LEN(D145)</f>
        <v>787</v>
      </c>
      <c r="F145" s="418" t="s">
        <v>577</v>
      </c>
      <c r="G145" s="141">
        <f>LEN(F145)</f>
        <v>891</v>
      </c>
      <c r="H145" s="135" t="s">
        <v>461</v>
      </c>
      <c r="I145" s="141" t="s">
        <v>24</v>
      </c>
      <c r="J145" s="141" t="s">
        <v>24</v>
      </c>
      <c r="K145" s="141" t="s">
        <v>578</v>
      </c>
      <c r="L145" s="140" t="s">
        <v>579</v>
      </c>
      <c r="M145" s="208" t="s">
        <v>580</v>
      </c>
      <c r="N145" s="139" t="s">
        <v>581</v>
      </c>
      <c r="O145" s="22"/>
      <c r="P145" s="2"/>
      <c r="Q145" s="259">
        <f>'Additional information'!$D$18</f>
        <v>0.91</v>
      </c>
      <c r="R145" s="130"/>
      <c r="T145" s="405" t="s">
        <v>33</v>
      </c>
      <c r="U145" s="137"/>
      <c r="X145" s="262">
        <v>17.791135787963867</v>
      </c>
      <c r="Y145" s="262">
        <f t="shared" si="14"/>
        <v>16.18993356704712</v>
      </c>
      <c r="Z145" s="130">
        <f t="shared" si="15"/>
        <v>16.18993356704712</v>
      </c>
    </row>
    <row r="146" spans="1:26" s="136" customFormat="1" ht="237.95" customHeight="1">
      <c r="A146" s="6">
        <v>45</v>
      </c>
      <c r="B146" s="224" t="s">
        <v>582</v>
      </c>
      <c r="C146" s="9" t="s">
        <v>583</v>
      </c>
      <c r="D146" s="14" t="s">
        <v>584</v>
      </c>
      <c r="E146" s="12">
        <f>LEN(D146)</f>
        <v>285</v>
      </c>
      <c r="F146" s="430" t="s">
        <v>585</v>
      </c>
      <c r="G146" s="12">
        <f>LEN(F146)</f>
        <v>327</v>
      </c>
      <c r="H146" s="360" t="s">
        <v>461</v>
      </c>
      <c r="I146" s="12" t="s">
        <v>24</v>
      </c>
      <c r="J146" s="12" t="s">
        <v>24</v>
      </c>
      <c r="K146" s="12" t="s">
        <v>586</v>
      </c>
      <c r="L146" s="23" t="s">
        <v>587</v>
      </c>
      <c r="M146" s="72" t="s">
        <v>588</v>
      </c>
      <c r="N146" s="113" t="s">
        <v>589</v>
      </c>
      <c r="O146" s="54"/>
      <c r="P146" s="2"/>
      <c r="Q146" s="264">
        <f>'Additional information'!$D$18</f>
        <v>0.91</v>
      </c>
      <c r="R146" s="130"/>
      <c r="T146" s="138" t="s">
        <v>23</v>
      </c>
      <c r="U146" s="137"/>
      <c r="X146" s="263">
        <v>18.086816787719727</v>
      </c>
      <c r="Y146" s="263">
        <f t="shared" ref="Y146:Y177" si="16">IF(X146="","",X146*Q146)</f>
        <v>16.459003276824951</v>
      </c>
      <c r="Z146" s="130" t="str">
        <f t="shared" si="15"/>
        <v/>
      </c>
    </row>
    <row r="147" spans="1:26" s="136" customFormat="1">
      <c r="A147" s="38"/>
      <c r="B147" s="171"/>
      <c r="C147" s="91"/>
      <c r="D147" s="71"/>
      <c r="E147" s="40"/>
      <c r="G147" s="40"/>
      <c r="H147" s="92"/>
      <c r="I147" s="40"/>
      <c r="J147" s="40"/>
      <c r="K147" s="40"/>
      <c r="L147" s="76"/>
      <c r="M147" s="76"/>
      <c r="N147" s="76"/>
      <c r="O147" s="78"/>
      <c r="P147" s="2"/>
      <c r="Q147" s="264">
        <f>'Additional information'!$D$18</f>
        <v>0.91</v>
      </c>
      <c r="R147" s="130"/>
      <c r="T147" s="138"/>
      <c r="U147" s="137"/>
      <c r="X147" s="263"/>
      <c r="Y147" s="263" t="str">
        <f t="shared" si="16"/>
        <v/>
      </c>
      <c r="Z147" s="130" t="str">
        <f t="shared" si="15"/>
        <v/>
      </c>
    </row>
    <row r="148" spans="1:26" s="136" customFormat="1" ht="153">
      <c r="A148" s="38">
        <f>A146+1</f>
        <v>46</v>
      </c>
      <c r="B148" s="173" t="s">
        <v>590</v>
      </c>
      <c r="C148" s="135" t="s">
        <v>590</v>
      </c>
      <c r="D148" s="154" t="s">
        <v>591</v>
      </c>
      <c r="E148" s="141">
        <f>LEN(D148)</f>
        <v>167</v>
      </c>
      <c r="F148" s="418" t="s">
        <v>592</v>
      </c>
      <c r="G148" s="141">
        <f>LEN(F148)</f>
        <v>171</v>
      </c>
      <c r="H148" s="150" t="s">
        <v>37</v>
      </c>
      <c r="I148" s="141" t="s">
        <v>24</v>
      </c>
      <c r="J148" s="141" t="s">
        <v>24</v>
      </c>
      <c r="K148" s="141" t="s">
        <v>38</v>
      </c>
      <c r="L148" s="140" t="s">
        <v>593</v>
      </c>
      <c r="M148" s="208" t="s">
        <v>24</v>
      </c>
      <c r="N148" s="140" t="s">
        <v>594</v>
      </c>
      <c r="O148" s="36"/>
      <c r="P148" s="2"/>
      <c r="Q148" s="259">
        <f>'Additional information'!$D$18</f>
        <v>0.91</v>
      </c>
      <c r="R148" s="130"/>
      <c r="T148" s="405" t="s">
        <v>33</v>
      </c>
      <c r="U148" s="137"/>
      <c r="X148" s="262">
        <v>10.37455940246582</v>
      </c>
      <c r="Y148" s="262">
        <f t="shared" si="16"/>
        <v>9.4408490562438967</v>
      </c>
      <c r="Z148" s="130">
        <f t="shared" si="15"/>
        <v>9.4408490562438967</v>
      </c>
    </row>
    <row r="149" spans="1:26" s="136" customFormat="1" ht="356.1">
      <c r="A149" s="103">
        <f>A148+1</f>
        <v>47</v>
      </c>
      <c r="B149" s="225" t="s">
        <v>595</v>
      </c>
      <c r="C149" s="126" t="s">
        <v>596</v>
      </c>
      <c r="D149" s="154" t="s">
        <v>597</v>
      </c>
      <c r="E149" s="141">
        <f>LEN(D149)</f>
        <v>662</v>
      </c>
      <c r="F149" s="418" t="s">
        <v>598</v>
      </c>
      <c r="G149" s="141">
        <f>LEN(F149)</f>
        <v>818</v>
      </c>
      <c r="H149" s="135" t="s">
        <v>461</v>
      </c>
      <c r="I149" s="141" t="s">
        <v>24</v>
      </c>
      <c r="J149" s="141" t="s">
        <v>24</v>
      </c>
      <c r="K149" s="141" t="s">
        <v>599</v>
      </c>
      <c r="L149" s="385" t="s">
        <v>600</v>
      </c>
      <c r="M149" s="208" t="s">
        <v>601</v>
      </c>
      <c r="N149" s="154" t="s">
        <v>602</v>
      </c>
      <c r="O149" s="52"/>
      <c r="P149" s="2"/>
      <c r="Q149" s="259">
        <f>'Additional information'!$D$18</f>
        <v>0.91</v>
      </c>
      <c r="R149" s="130"/>
      <c r="T149" s="405" t="s">
        <v>33</v>
      </c>
      <c r="U149" s="137"/>
      <c r="X149" s="262">
        <v>19.616762161254883</v>
      </c>
      <c r="Y149" s="262">
        <f t="shared" si="16"/>
        <v>17.851253566741946</v>
      </c>
      <c r="Z149" s="130">
        <f t="shared" si="15"/>
        <v>17.851253566741946</v>
      </c>
    </row>
    <row r="150" spans="1:26" s="136" customFormat="1" ht="237.95">
      <c r="A150" s="6"/>
      <c r="B150" s="226" t="s">
        <v>603</v>
      </c>
      <c r="C150" s="233" t="s">
        <v>604</v>
      </c>
      <c r="D150" s="7" t="s">
        <v>605</v>
      </c>
      <c r="E150" s="16">
        <f>LEN(D150)</f>
        <v>241</v>
      </c>
      <c r="F150" s="7" t="s">
        <v>606</v>
      </c>
      <c r="G150" s="16">
        <f>LEN(F150)</f>
        <v>256</v>
      </c>
      <c r="H150" s="20" t="s">
        <v>244</v>
      </c>
      <c r="I150" s="16" t="s">
        <v>24</v>
      </c>
      <c r="J150" s="16" t="s">
        <v>607</v>
      </c>
      <c r="K150" s="16" t="s">
        <v>608</v>
      </c>
      <c r="L150" s="21" t="s">
        <v>609</v>
      </c>
      <c r="M150" s="72" t="s">
        <v>610</v>
      </c>
      <c r="N150" s="55" t="s">
        <v>611</v>
      </c>
      <c r="O150" s="55"/>
      <c r="P150" s="116"/>
      <c r="Q150" s="264">
        <f>'Additional information'!$D$18</f>
        <v>0.91</v>
      </c>
      <c r="R150" s="130"/>
      <c r="T150" s="138" t="s">
        <v>23</v>
      </c>
      <c r="U150" s="137"/>
      <c r="X150" s="263">
        <v>7.2497549057006836</v>
      </c>
      <c r="Y150" s="263">
        <f t="shared" si="16"/>
        <v>6.5972769641876221</v>
      </c>
      <c r="Z150" s="130" t="str">
        <f t="shared" si="15"/>
        <v/>
      </c>
    </row>
    <row r="151" spans="1:26" s="136" customFormat="1" ht="17.100000000000001" thickBot="1">
      <c r="A151" s="38"/>
      <c r="B151" s="171"/>
      <c r="C151" s="91"/>
      <c r="D151" s="71"/>
      <c r="E151" s="40"/>
      <c r="F151" s="40"/>
      <c r="G151" s="40"/>
      <c r="H151" s="92"/>
      <c r="I151" s="40"/>
      <c r="J151" s="40"/>
      <c r="K151" s="40"/>
      <c r="L151" s="76"/>
      <c r="M151" s="76"/>
      <c r="N151" s="76"/>
      <c r="O151" s="78"/>
      <c r="P151" s="42"/>
      <c r="Q151" s="264">
        <f>'Additional information'!$D$18</f>
        <v>0.91</v>
      </c>
      <c r="R151" s="130"/>
      <c r="T151" s="138"/>
      <c r="U151" s="137"/>
      <c r="X151" s="263"/>
      <c r="Y151" s="263" t="str">
        <f t="shared" si="16"/>
        <v/>
      </c>
      <c r="Z151" s="130" t="str">
        <f t="shared" si="15"/>
        <v/>
      </c>
    </row>
    <row r="152" spans="1:26" s="402" customFormat="1" ht="17.100000000000001" thickBot="1">
      <c r="A152" s="567" t="s">
        <v>612</v>
      </c>
      <c r="B152" s="568"/>
      <c r="C152" s="568"/>
      <c r="D152" s="568"/>
      <c r="E152" s="568"/>
      <c r="F152" s="568"/>
      <c r="G152" s="568"/>
      <c r="H152" s="568"/>
      <c r="I152" s="568"/>
      <c r="J152" s="568"/>
      <c r="K152" s="568"/>
      <c r="L152" s="568"/>
      <c r="M152" s="568"/>
      <c r="N152" s="568"/>
      <c r="O152" s="568"/>
      <c r="P152" s="569"/>
      <c r="Q152" s="259"/>
      <c r="R152" s="407"/>
      <c r="T152" s="405"/>
      <c r="U152" s="408"/>
      <c r="X152" s="262"/>
      <c r="Y152" s="262" t="str">
        <f t="shared" si="16"/>
        <v/>
      </c>
      <c r="Z152" s="407" t="str">
        <f t="shared" si="15"/>
        <v/>
      </c>
    </row>
    <row r="153" spans="1:26" s="136" customFormat="1" ht="306">
      <c r="A153" s="90">
        <f>A149+1</f>
        <v>48</v>
      </c>
      <c r="B153" s="223" t="s">
        <v>613</v>
      </c>
      <c r="C153" s="135" t="s">
        <v>613</v>
      </c>
      <c r="D153" s="157" t="s">
        <v>614</v>
      </c>
      <c r="E153" s="133">
        <f>LEN(D153)</f>
        <v>503</v>
      </c>
      <c r="F153" s="418" t="s">
        <v>615</v>
      </c>
      <c r="G153" s="133">
        <f>LEN(F153)</f>
        <v>600</v>
      </c>
      <c r="H153" s="143" t="s">
        <v>37</v>
      </c>
      <c r="I153" s="133" t="s">
        <v>24</v>
      </c>
      <c r="J153" s="133" t="s">
        <v>616</v>
      </c>
      <c r="K153" s="135" t="s">
        <v>617</v>
      </c>
      <c r="L153" s="132" t="s">
        <v>618</v>
      </c>
      <c r="M153" s="208" t="s">
        <v>24</v>
      </c>
      <c r="N153" s="132" t="s">
        <v>619</v>
      </c>
      <c r="O153" s="78"/>
      <c r="P153" s="1"/>
      <c r="Q153" s="259">
        <f>'Additional information'!$D$18</f>
        <v>0.91</v>
      </c>
      <c r="R153" s="130"/>
      <c r="T153" s="405" t="s">
        <v>33</v>
      </c>
      <c r="U153" s="137"/>
      <c r="X153" s="262">
        <v>12.992362976074219</v>
      </c>
      <c r="Y153" s="262">
        <f t="shared" si="16"/>
        <v>11.82305030822754</v>
      </c>
      <c r="Z153" s="130">
        <f t="shared" si="15"/>
        <v>11.82305030822754</v>
      </c>
    </row>
    <row r="154" spans="1:26" s="136" customFormat="1">
      <c r="A154" s="90"/>
      <c r="B154" s="251"/>
      <c r="C154" s="91"/>
      <c r="D154" s="98"/>
      <c r="E154" s="96"/>
      <c r="F154" s="96"/>
      <c r="G154" s="96"/>
      <c r="H154" s="99"/>
      <c r="I154" s="96"/>
      <c r="J154" s="96"/>
      <c r="K154" s="91"/>
      <c r="L154" s="78"/>
      <c r="M154" s="76"/>
      <c r="N154" s="78"/>
      <c r="O154" s="78"/>
      <c r="P154" s="42"/>
      <c r="Q154" s="264">
        <f>'Additional information'!$D$18</f>
        <v>0.91</v>
      </c>
      <c r="R154" s="130"/>
      <c r="T154" s="138"/>
      <c r="U154" s="137"/>
      <c r="X154" s="263"/>
      <c r="Y154" s="263" t="str">
        <f t="shared" si="16"/>
        <v/>
      </c>
      <c r="Z154" s="130" t="str">
        <f t="shared" si="15"/>
        <v/>
      </c>
    </row>
    <row r="155" spans="1:26" s="136" customFormat="1" ht="153">
      <c r="A155" s="38">
        <f>A153+1</f>
        <v>49</v>
      </c>
      <c r="B155" s="155" t="s">
        <v>620</v>
      </c>
      <c r="C155" s="135" t="s">
        <v>620</v>
      </c>
      <c r="D155" s="154" t="s">
        <v>621</v>
      </c>
      <c r="E155" s="141">
        <f>LEN(D155)</f>
        <v>166</v>
      </c>
      <c r="F155" s="418" t="s">
        <v>622</v>
      </c>
      <c r="G155" s="141">
        <f>LEN(F155)</f>
        <v>190</v>
      </c>
      <c r="H155" s="150" t="s">
        <v>37</v>
      </c>
      <c r="I155" s="141" t="s">
        <v>24</v>
      </c>
      <c r="J155" s="141" t="s">
        <v>24</v>
      </c>
      <c r="K155" s="141" t="s">
        <v>38</v>
      </c>
      <c r="L155" s="140" t="s">
        <v>623</v>
      </c>
      <c r="M155" s="208" t="s">
        <v>24</v>
      </c>
      <c r="N155" s="140" t="s">
        <v>624</v>
      </c>
      <c r="O155" s="76"/>
      <c r="P155" s="2"/>
      <c r="Q155" s="259">
        <f>'Additional information'!$D$18</f>
        <v>0.91</v>
      </c>
      <c r="R155" s="130"/>
      <c r="T155" s="405" t="s">
        <v>33</v>
      </c>
      <c r="U155" s="137"/>
      <c r="X155" s="262">
        <v>8.6295709609985352</v>
      </c>
      <c r="Y155" s="262">
        <f t="shared" si="16"/>
        <v>7.8529095745086677</v>
      </c>
      <c r="Z155" s="130">
        <f t="shared" si="15"/>
        <v>7.8529095745086677</v>
      </c>
    </row>
    <row r="156" spans="1:26" s="136" customFormat="1" ht="306">
      <c r="A156" s="38">
        <f>A155+1</f>
        <v>50</v>
      </c>
      <c r="B156" s="173" t="s">
        <v>625</v>
      </c>
      <c r="C156" s="135" t="s">
        <v>626</v>
      </c>
      <c r="D156" s="383" t="s">
        <v>627</v>
      </c>
      <c r="E156" s="141">
        <f>LEN(D156)</f>
        <v>751</v>
      </c>
      <c r="F156" s="418" t="s">
        <v>628</v>
      </c>
      <c r="G156" s="141">
        <f>LEN(F156)</f>
        <v>875</v>
      </c>
      <c r="H156" s="135" t="s">
        <v>461</v>
      </c>
      <c r="I156" s="141" t="s">
        <v>24</v>
      </c>
      <c r="J156" s="141" t="s">
        <v>24</v>
      </c>
      <c r="K156" s="141" t="s">
        <v>629</v>
      </c>
      <c r="L156" s="140" t="s">
        <v>630</v>
      </c>
      <c r="M156" s="208" t="s">
        <v>631</v>
      </c>
      <c r="N156" s="140" t="s">
        <v>632</v>
      </c>
      <c r="O156" s="76"/>
      <c r="P156" s="2"/>
      <c r="Q156" s="259">
        <f>'Additional information'!$D$18</f>
        <v>0.91</v>
      </c>
      <c r="R156" s="130"/>
      <c r="T156" s="405" t="s">
        <v>33</v>
      </c>
      <c r="U156" s="137"/>
      <c r="X156" s="262">
        <v>18.256172180175781</v>
      </c>
      <c r="Y156" s="262">
        <f t="shared" si="16"/>
        <v>16.613116683959962</v>
      </c>
      <c r="Z156" s="130">
        <f t="shared" si="15"/>
        <v>16.613116683959962</v>
      </c>
    </row>
    <row r="157" spans="1:26" s="136" customFormat="1">
      <c r="A157" s="38"/>
      <c r="B157" s="171"/>
      <c r="C157" s="91"/>
      <c r="D157" s="118"/>
      <c r="E157" s="40"/>
      <c r="F157" s="40"/>
      <c r="G157" s="40"/>
      <c r="H157" s="41"/>
      <c r="I157" s="40"/>
      <c r="J157" s="40"/>
      <c r="K157" s="40"/>
      <c r="L157" s="76"/>
      <c r="M157" s="76"/>
      <c r="N157" s="76"/>
      <c r="O157" s="76"/>
      <c r="P157" s="2"/>
      <c r="Q157" s="264">
        <f>'Additional information'!$D$18</f>
        <v>0.91</v>
      </c>
      <c r="R157" s="130"/>
      <c r="T157" s="138"/>
      <c r="U157" s="137"/>
      <c r="X157" s="263"/>
      <c r="Y157" s="263" t="str">
        <f t="shared" si="16"/>
        <v/>
      </c>
      <c r="Z157" s="130" t="str">
        <f t="shared" si="15"/>
        <v/>
      </c>
    </row>
    <row r="158" spans="1:26" s="136" customFormat="1" ht="221.1">
      <c r="A158" s="38">
        <f>A156+1</f>
        <v>51</v>
      </c>
      <c r="B158" s="173" t="s">
        <v>633</v>
      </c>
      <c r="C158" s="135" t="s">
        <v>633</v>
      </c>
      <c r="D158" s="154" t="s">
        <v>634</v>
      </c>
      <c r="E158" s="141">
        <f>LEN(D158)</f>
        <v>341</v>
      </c>
      <c r="F158" s="418" t="s">
        <v>635</v>
      </c>
      <c r="G158" s="141">
        <f>LEN(F158)</f>
        <v>337</v>
      </c>
      <c r="H158" s="150" t="s">
        <v>37</v>
      </c>
      <c r="I158" s="141" t="s">
        <v>24</v>
      </c>
      <c r="J158" s="141" t="s">
        <v>24</v>
      </c>
      <c r="K158" s="141" t="s">
        <v>38</v>
      </c>
      <c r="L158" s="163" t="s">
        <v>636</v>
      </c>
      <c r="M158" s="208" t="s">
        <v>24</v>
      </c>
      <c r="N158" s="163" t="s">
        <v>637</v>
      </c>
      <c r="O158" s="51"/>
      <c r="P158" s="2"/>
      <c r="Q158" s="259">
        <f>'Additional information'!$D$18</f>
        <v>0.91</v>
      </c>
      <c r="R158" s="130"/>
      <c r="T158" s="405" t="s">
        <v>33</v>
      </c>
      <c r="U158" s="137"/>
      <c r="X158" s="262">
        <v>15.456279754638672</v>
      </c>
      <c r="Y158" s="262">
        <f t="shared" si="16"/>
        <v>14.065214576721193</v>
      </c>
      <c r="Z158" s="130">
        <f t="shared" si="15"/>
        <v>14.065214576721193</v>
      </c>
    </row>
    <row r="159" spans="1:26" s="136" customFormat="1" ht="17.100000000000001" thickBot="1">
      <c r="A159" s="38"/>
      <c r="B159" s="171"/>
      <c r="C159" s="91"/>
      <c r="D159" s="71"/>
      <c r="E159" s="40"/>
      <c r="F159" s="40"/>
      <c r="G159" s="40"/>
      <c r="H159" s="92"/>
      <c r="I159" s="40"/>
      <c r="J159" s="40"/>
      <c r="K159" s="40"/>
      <c r="L159" s="51"/>
      <c r="M159" s="76"/>
      <c r="N159" s="51"/>
      <c r="O159" s="51"/>
      <c r="P159" s="2"/>
      <c r="Q159" s="264">
        <f>'Additional information'!$D$18</f>
        <v>0.91</v>
      </c>
      <c r="R159" s="130"/>
      <c r="T159" s="138"/>
      <c r="U159" s="137"/>
      <c r="X159" s="263"/>
      <c r="Y159" s="263" t="str">
        <f t="shared" si="16"/>
        <v/>
      </c>
      <c r="Z159" s="130" t="str">
        <f t="shared" si="15"/>
        <v/>
      </c>
    </row>
    <row r="160" spans="1:26" s="402" customFormat="1" ht="17.100000000000001" thickBot="1">
      <c r="A160" s="567" t="s">
        <v>638</v>
      </c>
      <c r="B160" s="568"/>
      <c r="C160" s="568"/>
      <c r="D160" s="568"/>
      <c r="E160" s="568"/>
      <c r="F160" s="568"/>
      <c r="G160" s="568"/>
      <c r="H160" s="568"/>
      <c r="I160" s="568"/>
      <c r="J160" s="568"/>
      <c r="K160" s="568"/>
      <c r="L160" s="568"/>
      <c r="M160" s="568"/>
      <c r="N160" s="568"/>
      <c r="O160" s="568"/>
      <c r="P160" s="569"/>
      <c r="Q160" s="259"/>
      <c r="R160" s="407"/>
      <c r="T160" s="405"/>
      <c r="U160" s="408"/>
      <c r="X160" s="262"/>
      <c r="Y160" s="262" t="str">
        <f t="shared" si="16"/>
        <v/>
      </c>
      <c r="Z160" s="407" t="str">
        <f t="shared" si="15"/>
        <v/>
      </c>
    </row>
    <row r="161" spans="1:26" s="136" customFormat="1" ht="120" customHeight="1">
      <c r="A161" s="90">
        <f>A158+1</f>
        <v>52</v>
      </c>
      <c r="B161" s="223" t="s">
        <v>639</v>
      </c>
      <c r="C161" s="135" t="s">
        <v>639</v>
      </c>
      <c r="D161" s="387" t="s">
        <v>640</v>
      </c>
      <c r="E161" s="133">
        <f>LEN(D161)</f>
        <v>218</v>
      </c>
      <c r="F161" s="134" t="s">
        <v>641</v>
      </c>
      <c r="G161" s="133">
        <f>LEN(F161)</f>
        <v>260</v>
      </c>
      <c r="H161" s="133" t="s">
        <v>37</v>
      </c>
      <c r="I161" s="133" t="s">
        <v>24</v>
      </c>
      <c r="J161" s="133" t="s">
        <v>642</v>
      </c>
      <c r="K161" s="141" t="s">
        <v>38</v>
      </c>
      <c r="L161" s="132" t="s">
        <v>643</v>
      </c>
      <c r="M161" s="208" t="s">
        <v>24</v>
      </c>
      <c r="N161" s="139" t="s">
        <v>644</v>
      </c>
      <c r="O161" s="561"/>
      <c r="P161" s="1"/>
      <c r="Q161" s="259">
        <f>'Additional information'!$D$19</f>
        <v>0.05</v>
      </c>
      <c r="R161" s="130"/>
      <c r="T161" s="405" t="s">
        <v>33</v>
      </c>
      <c r="U161" s="137"/>
      <c r="X161" s="262">
        <v>2.4801323413848877</v>
      </c>
      <c r="Y161" s="262">
        <f t="shared" si="16"/>
        <v>0.12400661706924439</v>
      </c>
      <c r="Z161" s="130">
        <f t="shared" si="15"/>
        <v>0.12400661706924439</v>
      </c>
    </row>
    <row r="162" spans="1:26" s="136" customFormat="1">
      <c r="A162" s="38"/>
      <c r="B162" s="171"/>
      <c r="C162" s="91"/>
      <c r="D162" s="71"/>
      <c r="E162" s="40"/>
      <c r="F162" s="71"/>
      <c r="G162" s="40"/>
      <c r="H162" s="92"/>
      <c r="I162" s="40"/>
      <c r="J162" s="40"/>
      <c r="K162" s="40"/>
      <c r="L162" s="51"/>
      <c r="M162" s="83"/>
      <c r="N162" s="51"/>
      <c r="O162" s="51"/>
      <c r="P162" s="2"/>
      <c r="Q162" s="264">
        <f>'Additional information'!$D$19</f>
        <v>0.05</v>
      </c>
      <c r="R162" s="130"/>
      <c r="T162" s="138"/>
      <c r="U162" s="137"/>
      <c r="X162" s="263"/>
      <c r="Y162" s="263" t="str">
        <f t="shared" si="16"/>
        <v/>
      </c>
      <c r="Z162" s="130" t="str">
        <f t="shared" si="15"/>
        <v/>
      </c>
    </row>
    <row r="163" spans="1:26" s="136" customFormat="1" ht="170.1">
      <c r="A163" s="90">
        <f>A161+1</f>
        <v>53</v>
      </c>
      <c r="B163" s="223" t="s">
        <v>645</v>
      </c>
      <c r="C163" s="388" t="s">
        <v>646</v>
      </c>
      <c r="D163" s="383" t="s">
        <v>647</v>
      </c>
      <c r="E163" s="133">
        <f>LEN(D163)</f>
        <v>282</v>
      </c>
      <c r="F163" s="195" t="s">
        <v>648</v>
      </c>
      <c r="G163" s="133">
        <f>LEN(F163)</f>
        <v>302</v>
      </c>
      <c r="H163" s="135" t="s">
        <v>244</v>
      </c>
      <c r="I163" s="133" t="s">
        <v>24</v>
      </c>
      <c r="J163" s="133" t="s">
        <v>24</v>
      </c>
      <c r="K163" s="133" t="s">
        <v>649</v>
      </c>
      <c r="L163" s="132" t="s">
        <v>650</v>
      </c>
      <c r="M163" s="208" t="s">
        <v>651</v>
      </c>
      <c r="N163" s="132" t="s">
        <v>652</v>
      </c>
      <c r="O163" s="78"/>
      <c r="P163" s="42"/>
      <c r="Q163" s="259">
        <f>'Additional information'!$D$19</f>
        <v>0.05</v>
      </c>
      <c r="R163" s="130"/>
      <c r="T163" s="405" t="s">
        <v>33</v>
      </c>
      <c r="U163" s="137"/>
      <c r="X163" s="262">
        <v>12.71689510345459</v>
      </c>
      <c r="Y163" s="262">
        <f t="shared" si="16"/>
        <v>0.63584475517272954</v>
      </c>
      <c r="Z163" s="130">
        <f t="shared" si="15"/>
        <v>0.63584475517272954</v>
      </c>
    </row>
    <row r="164" spans="1:26" s="136" customFormat="1">
      <c r="A164" s="90"/>
      <c r="B164" s="251"/>
      <c r="C164" s="91"/>
      <c r="D164" s="599"/>
      <c r="E164" s="96"/>
      <c r="F164" s="599"/>
      <c r="G164" s="96"/>
      <c r="H164" s="91"/>
      <c r="I164" s="96"/>
      <c r="J164" s="96"/>
      <c r="K164" s="96"/>
      <c r="L164" s="78"/>
      <c r="M164" s="83"/>
      <c r="N164" s="78"/>
      <c r="O164" s="78"/>
      <c r="P164" s="42"/>
      <c r="Q164" s="264">
        <f>'Additional information'!$D$19</f>
        <v>0.05</v>
      </c>
      <c r="R164" s="130"/>
      <c r="T164" s="138"/>
      <c r="U164" s="137"/>
      <c r="X164" s="263"/>
      <c r="Y164" s="263" t="str">
        <f t="shared" si="16"/>
        <v/>
      </c>
      <c r="Z164" s="130" t="str">
        <f t="shared" si="15"/>
        <v/>
      </c>
    </row>
    <row r="165" spans="1:26" ht="204">
      <c r="A165" s="90">
        <f>A163+1</f>
        <v>54</v>
      </c>
      <c r="B165" s="389" t="s">
        <v>653</v>
      </c>
      <c r="C165" s="390" t="s">
        <v>653</v>
      </c>
      <c r="D165" s="383" t="s">
        <v>654</v>
      </c>
      <c r="E165" s="133">
        <f>LEN(D165)</f>
        <v>290</v>
      </c>
      <c r="F165" s="548" t="s">
        <v>655</v>
      </c>
      <c r="G165" s="133">
        <f>LEN(F165)</f>
        <v>332</v>
      </c>
      <c r="H165" s="390" t="s">
        <v>37</v>
      </c>
      <c r="I165" s="390" t="s">
        <v>24</v>
      </c>
      <c r="J165" s="390" t="s">
        <v>24</v>
      </c>
      <c r="K165" s="390" t="s">
        <v>38</v>
      </c>
      <c r="L165" s="391" t="s">
        <v>656</v>
      </c>
      <c r="M165" s="208" t="s">
        <v>24</v>
      </c>
      <c r="N165" s="391" t="s">
        <v>657</v>
      </c>
      <c r="O165" s="83"/>
      <c r="P165" s="2"/>
      <c r="Q165" s="259">
        <f>'Additional information'!$D$19</f>
        <v>0.05</v>
      </c>
      <c r="R165" s="130"/>
      <c r="T165" s="405" t="s">
        <v>33</v>
      </c>
      <c r="X165" s="262">
        <v>10.51750373840332</v>
      </c>
      <c r="Y165" s="262">
        <f t="shared" si="16"/>
        <v>0.52587518692016599</v>
      </c>
      <c r="Z165" s="130">
        <f t="shared" si="15"/>
        <v>0.52587518692016599</v>
      </c>
    </row>
    <row r="166" spans="1:26">
      <c r="A166" s="90"/>
      <c r="B166" s="161"/>
      <c r="C166" s="159"/>
      <c r="D166" s="160"/>
      <c r="E166" s="96"/>
      <c r="F166" s="160"/>
      <c r="G166" s="96"/>
      <c r="H166" s="159"/>
      <c r="I166" s="159"/>
      <c r="J166" s="159"/>
      <c r="K166" s="159"/>
      <c r="L166" s="83"/>
      <c r="M166" s="83"/>
      <c r="N166" s="158"/>
      <c r="O166" s="83"/>
      <c r="P166" s="2"/>
      <c r="Q166" s="264">
        <f>'Additional information'!$D$19</f>
        <v>0.05</v>
      </c>
      <c r="R166" s="130"/>
      <c r="T166" s="138"/>
      <c r="X166" s="263"/>
      <c r="Y166" s="263" t="str">
        <f t="shared" si="16"/>
        <v/>
      </c>
      <c r="Z166" s="130" t="str">
        <f t="shared" si="15"/>
        <v/>
      </c>
    </row>
    <row r="167" spans="1:26" s="136" customFormat="1" ht="153">
      <c r="A167" s="90">
        <f>A165+1</f>
        <v>55</v>
      </c>
      <c r="B167" s="223" t="s">
        <v>658</v>
      </c>
      <c r="C167" s="135" t="s">
        <v>658</v>
      </c>
      <c r="D167" s="383" t="s">
        <v>659</v>
      </c>
      <c r="E167" s="133">
        <f>LEN(D167)</f>
        <v>174</v>
      </c>
      <c r="F167" s="195" t="s">
        <v>660</v>
      </c>
      <c r="G167" s="133">
        <f>LEN(F167)</f>
        <v>196</v>
      </c>
      <c r="H167" s="143" t="s">
        <v>37</v>
      </c>
      <c r="I167" s="133" t="s">
        <v>24</v>
      </c>
      <c r="J167" s="133" t="s">
        <v>24</v>
      </c>
      <c r="K167" s="133" t="s">
        <v>38</v>
      </c>
      <c r="L167" s="132" t="s">
        <v>661</v>
      </c>
      <c r="M167" s="208" t="s">
        <v>24</v>
      </c>
      <c r="N167" s="140" t="s">
        <v>662</v>
      </c>
      <c r="O167" s="36"/>
      <c r="P167" s="2"/>
      <c r="Q167" s="259">
        <f>'Additional information'!$D$19</f>
        <v>0.05</v>
      </c>
      <c r="R167" s="130"/>
      <c r="T167" s="405" t="s">
        <v>33</v>
      </c>
      <c r="U167" s="137"/>
      <c r="X167" s="262">
        <v>6.4824962615966797</v>
      </c>
      <c r="Y167" s="262">
        <f t="shared" si="16"/>
        <v>0.32412481307983398</v>
      </c>
      <c r="Z167" s="130">
        <f t="shared" si="15"/>
        <v>0.32412481307983398</v>
      </c>
    </row>
    <row r="168" spans="1:26" s="136" customFormat="1" ht="372">
      <c r="A168" s="38">
        <f>A167+1</f>
        <v>56</v>
      </c>
      <c r="B168" s="223" t="s">
        <v>663</v>
      </c>
      <c r="C168" s="135" t="s">
        <v>664</v>
      </c>
      <c r="D168" s="383" t="s">
        <v>665</v>
      </c>
      <c r="E168" s="141">
        <f>LEN(D168)</f>
        <v>767</v>
      </c>
      <c r="F168" s="418" t="s">
        <v>666</v>
      </c>
      <c r="G168" s="141">
        <f>LEN(F168)</f>
        <v>922</v>
      </c>
      <c r="H168" s="135" t="s">
        <v>461</v>
      </c>
      <c r="I168" s="141" t="s">
        <v>24</v>
      </c>
      <c r="J168" s="141" t="s">
        <v>24</v>
      </c>
      <c r="K168" s="141" t="s">
        <v>629</v>
      </c>
      <c r="L168" s="392" t="s">
        <v>667</v>
      </c>
      <c r="M168" s="208" t="s">
        <v>668</v>
      </c>
      <c r="N168" s="140" t="s">
        <v>669</v>
      </c>
      <c r="O168" s="52"/>
      <c r="P168" s="2"/>
      <c r="Q168" s="259">
        <f>'Additional information'!$D$19</f>
        <v>0.05</v>
      </c>
      <c r="R168" s="130"/>
      <c r="T168" s="405" t="s">
        <v>33</v>
      </c>
      <c r="U168" s="137"/>
      <c r="X168" s="262">
        <v>23.642156600952148</v>
      </c>
      <c r="Y168" s="262">
        <f t="shared" si="16"/>
        <v>1.1821078300476076</v>
      </c>
      <c r="Z168" s="130">
        <f t="shared" si="15"/>
        <v>1.1821078300476076</v>
      </c>
    </row>
    <row r="169" spans="1:26" s="136" customFormat="1" ht="255">
      <c r="A169" s="6">
        <f>A168+1</f>
        <v>57</v>
      </c>
      <c r="B169" s="224" t="s">
        <v>670</v>
      </c>
      <c r="C169" s="13" t="s">
        <v>671</v>
      </c>
      <c r="D169" s="361" t="s">
        <v>672</v>
      </c>
      <c r="E169" s="12">
        <f>LEN(D169)</f>
        <v>334</v>
      </c>
      <c r="F169" s="424" t="s">
        <v>673</v>
      </c>
      <c r="G169" s="12">
        <f>LEN(F169)</f>
        <v>402</v>
      </c>
      <c r="H169" s="13" t="s">
        <v>405</v>
      </c>
      <c r="I169" s="12" t="s">
        <v>24</v>
      </c>
      <c r="J169" s="12" t="s">
        <v>674</v>
      </c>
      <c r="K169" s="12" t="s">
        <v>675</v>
      </c>
      <c r="L169" s="23" t="s">
        <v>676</v>
      </c>
      <c r="M169" s="72" t="s">
        <v>677</v>
      </c>
      <c r="N169" s="23" t="s">
        <v>678</v>
      </c>
      <c r="O169" s="23"/>
      <c r="P169" s="368"/>
      <c r="Q169" s="264">
        <f>'Additional information'!$D$19</f>
        <v>0.05</v>
      </c>
      <c r="R169" s="130"/>
      <c r="T169" s="138" t="s">
        <v>23</v>
      </c>
      <c r="U169" s="137"/>
      <c r="X169" s="263">
        <v>19.200000762939453</v>
      </c>
      <c r="Y169" s="263">
        <f t="shared" si="16"/>
        <v>0.96000003814697266</v>
      </c>
      <c r="Z169" s="130" t="str">
        <f t="shared" si="15"/>
        <v/>
      </c>
    </row>
    <row r="170" spans="1:26" s="136" customFormat="1" ht="17.100000000000001" thickBot="1">
      <c r="A170" s="90"/>
      <c r="B170" s="251"/>
      <c r="C170" s="91"/>
      <c r="D170" s="160"/>
      <c r="E170" s="96"/>
      <c r="F170" s="96"/>
      <c r="G170" s="96"/>
      <c r="H170" s="99"/>
      <c r="I170" s="96"/>
      <c r="J170" s="96"/>
      <c r="K170" s="96"/>
      <c r="L170" s="78"/>
      <c r="M170" s="83"/>
      <c r="N170" s="78"/>
      <c r="O170" s="78"/>
      <c r="P170" s="42"/>
      <c r="Q170" s="264">
        <f>'Additional information'!$D$19</f>
        <v>0.05</v>
      </c>
      <c r="R170" s="130"/>
      <c r="T170" s="138"/>
      <c r="U170" s="137"/>
      <c r="X170" s="263"/>
      <c r="Y170" s="263" t="str">
        <f t="shared" si="16"/>
        <v/>
      </c>
      <c r="Z170" s="130" t="str">
        <f t="shared" si="15"/>
        <v/>
      </c>
    </row>
    <row r="171" spans="1:26" s="402" customFormat="1" ht="17.100000000000001" thickBot="1">
      <c r="A171" s="567" t="s">
        <v>679</v>
      </c>
      <c r="B171" s="568"/>
      <c r="C171" s="568"/>
      <c r="D171" s="568"/>
      <c r="E171" s="568"/>
      <c r="F171" s="568"/>
      <c r="G171" s="568"/>
      <c r="H171" s="568"/>
      <c r="I171" s="568"/>
      <c r="J171" s="568"/>
      <c r="K171" s="568"/>
      <c r="L171" s="568"/>
      <c r="M171" s="568"/>
      <c r="N171" s="568"/>
      <c r="O171" s="568"/>
      <c r="P171" s="569"/>
      <c r="Q171" s="259"/>
      <c r="R171" s="407"/>
      <c r="T171" s="405"/>
      <c r="U171" s="408"/>
      <c r="X171" s="262"/>
      <c r="Y171" s="262" t="str">
        <f t="shared" si="16"/>
        <v/>
      </c>
      <c r="Z171" s="407" t="str">
        <f t="shared" si="15"/>
        <v/>
      </c>
    </row>
    <row r="172" spans="1:26" s="136" customFormat="1" ht="204">
      <c r="A172" s="90">
        <f>A169+1</f>
        <v>58</v>
      </c>
      <c r="B172" s="223" t="s">
        <v>680</v>
      </c>
      <c r="C172" s="135" t="s">
        <v>680</v>
      </c>
      <c r="D172" s="393" t="s">
        <v>681</v>
      </c>
      <c r="E172" s="133">
        <f>LEN(D172)</f>
        <v>307</v>
      </c>
      <c r="F172" s="418" t="s">
        <v>682</v>
      </c>
      <c r="G172" s="133">
        <f>LEN(F172)</f>
        <v>345</v>
      </c>
      <c r="H172" s="143" t="s">
        <v>88</v>
      </c>
      <c r="I172" s="133" t="s">
        <v>24</v>
      </c>
      <c r="J172" s="549" t="s">
        <v>683</v>
      </c>
      <c r="K172" s="133" t="s">
        <v>486</v>
      </c>
      <c r="L172" s="156" t="s">
        <v>684</v>
      </c>
      <c r="M172" s="208" t="s">
        <v>24</v>
      </c>
      <c r="N172" s="394" t="s">
        <v>685</v>
      </c>
      <c r="O172" s="84"/>
      <c r="P172" s="1"/>
      <c r="Q172" s="259">
        <f>'Additional information'!$D$19</f>
        <v>0.05</v>
      </c>
      <c r="R172" s="130"/>
      <c r="T172" s="405" t="s">
        <v>33</v>
      </c>
      <c r="U172" s="137"/>
      <c r="X172" s="262">
        <v>9.2754945755004883</v>
      </c>
      <c r="Y172" s="262">
        <f t="shared" si="16"/>
        <v>0.46377472877502446</v>
      </c>
      <c r="Z172" s="130">
        <f t="shared" si="15"/>
        <v>0.46377472877502446</v>
      </c>
    </row>
    <row r="173" spans="1:26" s="136" customFormat="1">
      <c r="A173" s="90"/>
      <c r="B173" s="251"/>
      <c r="C173" s="91"/>
      <c r="D173" s="98"/>
      <c r="E173" s="96"/>
      <c r="F173" s="98"/>
      <c r="G173" s="96"/>
      <c r="H173" s="99"/>
      <c r="I173" s="96"/>
      <c r="J173" s="96"/>
      <c r="K173" s="96"/>
      <c r="L173" s="82"/>
      <c r="M173" s="71"/>
      <c r="N173" s="79"/>
      <c r="O173" s="79"/>
      <c r="P173" s="42"/>
      <c r="Q173" s="264">
        <f>'Additional information'!$D$19</f>
        <v>0.05</v>
      </c>
      <c r="R173" s="130"/>
      <c r="T173" s="138"/>
      <c r="U173" s="137"/>
      <c r="X173" s="263"/>
      <c r="Y173" s="263" t="str">
        <f t="shared" si="16"/>
        <v/>
      </c>
      <c r="Z173" s="130" t="str">
        <f t="shared" si="15"/>
        <v/>
      </c>
    </row>
    <row r="174" spans="1:26" s="136" customFormat="1" ht="153">
      <c r="A174" s="38">
        <f>A172+1</f>
        <v>59</v>
      </c>
      <c r="B174" s="155" t="s">
        <v>686</v>
      </c>
      <c r="C174" s="141" t="s">
        <v>686</v>
      </c>
      <c r="D174" s="383" t="s">
        <v>687</v>
      </c>
      <c r="E174" s="141">
        <f>LEN(D174)</f>
        <v>179</v>
      </c>
      <c r="F174" s="418" t="s">
        <v>688</v>
      </c>
      <c r="G174" s="141">
        <f>LEN(F174)</f>
        <v>199</v>
      </c>
      <c r="H174" s="150" t="s">
        <v>37</v>
      </c>
      <c r="I174" s="141" t="s">
        <v>24</v>
      </c>
      <c r="J174" s="141" t="s">
        <v>24</v>
      </c>
      <c r="K174" s="141" t="s">
        <v>38</v>
      </c>
      <c r="L174" s="140" t="s">
        <v>689</v>
      </c>
      <c r="M174" s="208" t="s">
        <v>24</v>
      </c>
      <c r="N174" s="395" t="s">
        <v>690</v>
      </c>
      <c r="O174" s="85"/>
      <c r="P174" s="2"/>
      <c r="Q174" s="259">
        <f>'Additional information'!$D$19</f>
        <v>0.05</v>
      </c>
      <c r="R174" s="130"/>
      <c r="T174" s="405" t="s">
        <v>33</v>
      </c>
      <c r="U174" s="137"/>
      <c r="X174" s="262">
        <v>6.4158415794372559</v>
      </c>
      <c r="Y174" s="262">
        <f t="shared" si="16"/>
        <v>0.32079207897186279</v>
      </c>
      <c r="Z174" s="130">
        <f t="shared" si="15"/>
        <v>0.32079207897186279</v>
      </c>
    </row>
    <row r="175" spans="1:26" s="136" customFormat="1" ht="306">
      <c r="A175" s="38">
        <f>A174+1</f>
        <v>60</v>
      </c>
      <c r="B175" s="173" t="s">
        <v>691</v>
      </c>
      <c r="C175" s="135" t="s">
        <v>692</v>
      </c>
      <c r="D175" s="383" t="s">
        <v>693</v>
      </c>
      <c r="E175" s="141">
        <f>LEN(D175)</f>
        <v>666</v>
      </c>
      <c r="F175" s="418" t="s">
        <v>694</v>
      </c>
      <c r="G175" s="141">
        <f>LEN(F175)</f>
        <v>792</v>
      </c>
      <c r="H175" s="135" t="s">
        <v>461</v>
      </c>
      <c r="I175" s="141" t="s">
        <v>24</v>
      </c>
      <c r="J175" s="141" t="s">
        <v>24</v>
      </c>
      <c r="K175" s="141" t="s">
        <v>542</v>
      </c>
      <c r="L175" s="140" t="s">
        <v>695</v>
      </c>
      <c r="M175" s="208" t="s">
        <v>696</v>
      </c>
      <c r="N175" s="379" t="s">
        <v>697</v>
      </c>
      <c r="O175" s="86"/>
      <c r="P175" s="2"/>
      <c r="Q175" s="259">
        <f>'Additional information'!$D$19</f>
        <v>0.05</v>
      </c>
      <c r="R175" s="130"/>
      <c r="T175" s="405" t="s">
        <v>33</v>
      </c>
      <c r="U175" s="137"/>
      <c r="X175" s="262">
        <v>20.534351348876953</v>
      </c>
      <c r="Y175" s="262">
        <f t="shared" si="16"/>
        <v>1.0267175674438478</v>
      </c>
      <c r="Z175" s="130">
        <f t="shared" si="15"/>
        <v>1.0267175674438478</v>
      </c>
    </row>
    <row r="176" spans="1:26" s="136" customFormat="1">
      <c r="A176" s="103"/>
      <c r="B176" s="252"/>
      <c r="C176" s="41"/>
      <c r="D176" s="600"/>
      <c r="E176" s="94"/>
      <c r="F176" s="94"/>
      <c r="G176" s="94"/>
      <c r="H176" s="104"/>
      <c r="I176" s="94"/>
      <c r="J176" s="94"/>
      <c r="K176" s="94"/>
      <c r="L176" s="86"/>
      <c r="M176" s="71"/>
      <c r="N176" s="86"/>
      <c r="O176" s="86"/>
      <c r="P176" s="17"/>
      <c r="Q176" s="264">
        <f>'Additional information'!$D$19</f>
        <v>0.05</v>
      </c>
      <c r="R176" s="130"/>
      <c r="T176" s="138"/>
      <c r="U176" s="137"/>
      <c r="X176" s="263"/>
      <c r="Y176" s="263" t="str">
        <f t="shared" si="16"/>
        <v/>
      </c>
      <c r="Z176" s="130" t="str">
        <f t="shared" si="15"/>
        <v/>
      </c>
    </row>
    <row r="177" spans="1:26" s="136" customFormat="1" ht="204">
      <c r="A177" s="103">
        <f>A175+1</f>
        <v>61</v>
      </c>
      <c r="B177" s="225" t="s">
        <v>698</v>
      </c>
      <c r="C177" s="142" t="s">
        <v>698</v>
      </c>
      <c r="D177" s="396" t="s">
        <v>699</v>
      </c>
      <c r="E177" s="124">
        <f>LEN(D177)</f>
        <v>357</v>
      </c>
      <c r="F177" s="420" t="s">
        <v>700</v>
      </c>
      <c r="G177" s="124">
        <f>LEN(F177)</f>
        <v>370</v>
      </c>
      <c r="H177" s="378" t="s">
        <v>37</v>
      </c>
      <c r="I177" s="124" t="s">
        <v>24</v>
      </c>
      <c r="J177" s="124" t="s">
        <v>24</v>
      </c>
      <c r="K177" s="124" t="s">
        <v>38</v>
      </c>
      <c r="L177" s="379" t="s">
        <v>701</v>
      </c>
      <c r="M177" s="208" t="s">
        <v>24</v>
      </c>
      <c r="N177" s="379" t="s">
        <v>702</v>
      </c>
      <c r="O177" s="86"/>
      <c r="P177" s="2"/>
      <c r="Q177" s="259">
        <f>'Additional information'!$D$19</f>
        <v>0.05</v>
      </c>
      <c r="R177" s="130"/>
      <c r="T177" s="405" t="s">
        <v>33</v>
      </c>
      <c r="U177" s="137"/>
      <c r="X177" s="262">
        <v>8.3069305419921875</v>
      </c>
      <c r="Y177" s="262">
        <f t="shared" si="16"/>
        <v>0.4153465270996094</v>
      </c>
      <c r="Z177" s="130">
        <f t="shared" si="15"/>
        <v>0.4153465270996094</v>
      </c>
    </row>
    <row r="178" spans="1:26" s="136" customFormat="1" ht="17.100000000000001" thickBot="1">
      <c r="A178" s="103"/>
      <c r="B178" s="252"/>
      <c r="C178" s="105"/>
      <c r="D178" s="600"/>
      <c r="E178" s="94"/>
      <c r="F178" s="94"/>
      <c r="G178" s="94"/>
      <c r="H178" s="104"/>
      <c r="I178" s="94"/>
      <c r="J178" s="94"/>
      <c r="K178" s="94"/>
      <c r="L178" s="86"/>
      <c r="M178" s="86"/>
      <c r="N178" s="86"/>
      <c r="O178" s="86"/>
      <c r="P178" s="63"/>
      <c r="Q178" s="264">
        <f>'Additional information'!$D$19</f>
        <v>0.05</v>
      </c>
      <c r="R178" s="130"/>
      <c r="T178" s="138"/>
      <c r="U178" s="137"/>
      <c r="X178" s="263"/>
      <c r="Y178" s="263" t="str">
        <f t="shared" ref="Y178:Y209" si="17">IF(X178="","",X178*Q178)</f>
        <v/>
      </c>
      <c r="Z178" s="130" t="str">
        <f t="shared" si="15"/>
        <v/>
      </c>
    </row>
    <row r="179" spans="1:26" s="402" customFormat="1" ht="17.100000000000001" thickBot="1">
      <c r="A179" s="567" t="s">
        <v>703</v>
      </c>
      <c r="B179" s="568"/>
      <c r="C179" s="568"/>
      <c r="D179" s="568"/>
      <c r="E179" s="568"/>
      <c r="F179" s="568"/>
      <c r="G179" s="568"/>
      <c r="H179" s="568"/>
      <c r="I179" s="568"/>
      <c r="J179" s="568"/>
      <c r="K179" s="568"/>
      <c r="L179" s="568"/>
      <c r="M179" s="568"/>
      <c r="N179" s="568"/>
      <c r="O179" s="568"/>
      <c r="P179" s="569"/>
      <c r="Q179" s="259"/>
      <c r="R179" s="407"/>
      <c r="T179" s="405"/>
      <c r="U179" s="408"/>
      <c r="X179" s="262"/>
      <c r="Y179" s="262" t="str">
        <f t="shared" si="17"/>
        <v/>
      </c>
      <c r="Z179" s="407" t="str">
        <f t="shared" si="15"/>
        <v/>
      </c>
    </row>
    <row r="180" spans="1:26" s="136" customFormat="1" ht="170.1">
      <c r="A180" s="90">
        <f>A177+1</f>
        <v>62</v>
      </c>
      <c r="B180" s="223" t="s">
        <v>704</v>
      </c>
      <c r="C180" s="234" t="s">
        <v>704</v>
      </c>
      <c r="D180" s="134" t="s">
        <v>705</v>
      </c>
      <c r="E180" s="133">
        <f t="shared" ref="E180:E211" si="18">LEN(D180)</f>
        <v>335</v>
      </c>
      <c r="F180" s="134" t="s">
        <v>706</v>
      </c>
      <c r="G180" s="133">
        <f t="shared" ref="G180:G211" si="19">LEN(F180)</f>
        <v>451</v>
      </c>
      <c r="H180" s="143" t="s">
        <v>37</v>
      </c>
      <c r="I180" s="133" t="s">
        <v>24</v>
      </c>
      <c r="J180" s="133" t="s">
        <v>24</v>
      </c>
      <c r="K180" s="133" t="s">
        <v>38</v>
      </c>
      <c r="L180" s="132" t="s">
        <v>707</v>
      </c>
      <c r="M180" s="208" t="s">
        <v>24</v>
      </c>
      <c r="N180" s="132" t="s">
        <v>708</v>
      </c>
      <c r="O180" s="78"/>
      <c r="P180" s="362" t="s">
        <v>709</v>
      </c>
      <c r="Q180" s="259">
        <v>1</v>
      </c>
      <c r="R180" s="130"/>
      <c r="T180" s="405" t="s">
        <v>33</v>
      </c>
      <c r="U180" s="137"/>
      <c r="X180" s="262">
        <v>8.0881662368774414</v>
      </c>
      <c r="Y180" s="262">
        <f t="shared" si="17"/>
        <v>8.0881662368774414</v>
      </c>
      <c r="Z180" s="130">
        <f t="shared" si="15"/>
        <v>8.0881662368774414</v>
      </c>
    </row>
    <row r="181" spans="1:26" s="136" customFormat="1" ht="170.1">
      <c r="A181" s="38">
        <f t="shared" ref="A181:A222" si="20">A180+1</f>
        <v>63</v>
      </c>
      <c r="B181" s="173" t="s">
        <v>710</v>
      </c>
      <c r="C181" s="135" t="s">
        <v>710</v>
      </c>
      <c r="D181" s="153" t="s">
        <v>711</v>
      </c>
      <c r="E181" s="141">
        <f t="shared" si="18"/>
        <v>236</v>
      </c>
      <c r="F181" s="420" t="s">
        <v>712</v>
      </c>
      <c r="G181" s="141">
        <f t="shared" si="19"/>
        <v>267</v>
      </c>
      <c r="H181" s="150" t="s">
        <v>37</v>
      </c>
      <c r="I181" s="141" t="s">
        <v>24</v>
      </c>
      <c r="J181" s="141" t="s">
        <v>24</v>
      </c>
      <c r="K181" s="141" t="s">
        <v>38</v>
      </c>
      <c r="L181" s="140" t="s">
        <v>713</v>
      </c>
      <c r="M181" s="208" t="s">
        <v>24</v>
      </c>
      <c r="N181" s="152" t="s">
        <v>714</v>
      </c>
      <c r="O181" s="87"/>
      <c r="P181" s="2"/>
      <c r="Q181" s="259">
        <v>1</v>
      </c>
      <c r="R181" s="130"/>
      <c r="T181" s="405" t="s">
        <v>33</v>
      </c>
      <c r="U181" s="137"/>
      <c r="X181" s="262">
        <v>20.224567413330078</v>
      </c>
      <c r="Y181" s="262">
        <f t="shared" si="17"/>
        <v>20.224567413330078</v>
      </c>
      <c r="Z181" s="130">
        <f t="shared" si="15"/>
        <v>20.224567413330078</v>
      </c>
    </row>
    <row r="182" spans="1:26" s="136" customFormat="1" ht="170.1">
      <c r="A182" s="38">
        <f t="shared" si="20"/>
        <v>64</v>
      </c>
      <c r="B182" s="173" t="s">
        <v>715</v>
      </c>
      <c r="C182" s="135" t="s">
        <v>715</v>
      </c>
      <c r="D182" s="153" t="s">
        <v>716</v>
      </c>
      <c r="E182" s="141">
        <f t="shared" si="18"/>
        <v>234</v>
      </c>
      <c r="F182" s="420" t="s">
        <v>717</v>
      </c>
      <c r="G182" s="141">
        <f t="shared" si="19"/>
        <v>248</v>
      </c>
      <c r="H182" s="150" t="s">
        <v>37</v>
      </c>
      <c r="I182" s="141" t="s">
        <v>24</v>
      </c>
      <c r="J182" s="141" t="s">
        <v>24</v>
      </c>
      <c r="K182" s="141" t="s">
        <v>38</v>
      </c>
      <c r="L182" s="140" t="s">
        <v>718</v>
      </c>
      <c r="M182" s="208" t="s">
        <v>24</v>
      </c>
      <c r="N182" s="152" t="s">
        <v>719</v>
      </c>
      <c r="O182" s="87"/>
      <c r="P182" s="2"/>
      <c r="Q182" s="259">
        <v>1</v>
      </c>
      <c r="R182" s="130"/>
      <c r="T182" s="405" t="s">
        <v>33</v>
      </c>
      <c r="U182" s="137"/>
      <c r="X182" s="262">
        <v>14.026061058044434</v>
      </c>
      <c r="Y182" s="262">
        <f t="shared" si="17"/>
        <v>14.026061058044434</v>
      </c>
      <c r="Z182" s="130">
        <f t="shared" si="15"/>
        <v>14.026061058044434</v>
      </c>
    </row>
    <row r="183" spans="1:26" s="136" customFormat="1" ht="170.1">
      <c r="A183" s="38">
        <f t="shared" si="20"/>
        <v>65</v>
      </c>
      <c r="B183" s="173" t="s">
        <v>720</v>
      </c>
      <c r="C183" s="135" t="s">
        <v>720</v>
      </c>
      <c r="D183" s="153" t="s">
        <v>721</v>
      </c>
      <c r="E183" s="141">
        <f t="shared" si="18"/>
        <v>217</v>
      </c>
      <c r="F183" s="420" t="s">
        <v>722</v>
      </c>
      <c r="G183" s="141">
        <f t="shared" si="19"/>
        <v>234</v>
      </c>
      <c r="H183" s="150" t="s">
        <v>37</v>
      </c>
      <c r="I183" s="141" t="s">
        <v>24</v>
      </c>
      <c r="J183" s="141" t="s">
        <v>24</v>
      </c>
      <c r="K183" s="141" t="s">
        <v>38</v>
      </c>
      <c r="L183" s="140" t="s">
        <v>723</v>
      </c>
      <c r="M183" s="208" t="s">
        <v>24</v>
      </c>
      <c r="N183" s="152" t="s">
        <v>724</v>
      </c>
      <c r="O183" s="87"/>
      <c r="P183" s="2"/>
      <c r="Q183" s="259">
        <v>1</v>
      </c>
      <c r="R183" s="130"/>
      <c r="T183" s="405" t="s">
        <v>33</v>
      </c>
      <c r="U183" s="137"/>
      <c r="X183" s="262">
        <v>11.558505058288574</v>
      </c>
      <c r="Y183" s="262">
        <f t="shared" si="17"/>
        <v>11.558505058288574</v>
      </c>
      <c r="Z183" s="130">
        <f t="shared" si="15"/>
        <v>11.558505058288574</v>
      </c>
    </row>
    <row r="184" spans="1:26" s="136" customFormat="1" ht="170.1">
      <c r="A184" s="38">
        <f t="shared" si="20"/>
        <v>66</v>
      </c>
      <c r="B184" s="173" t="s">
        <v>725</v>
      </c>
      <c r="C184" s="135" t="s">
        <v>725</v>
      </c>
      <c r="D184" s="153" t="s">
        <v>726</v>
      </c>
      <c r="E184" s="141">
        <f t="shared" si="18"/>
        <v>218</v>
      </c>
      <c r="F184" s="420" t="s">
        <v>727</v>
      </c>
      <c r="G184" s="141">
        <f t="shared" si="19"/>
        <v>246</v>
      </c>
      <c r="H184" s="150" t="s">
        <v>37</v>
      </c>
      <c r="I184" s="141" t="s">
        <v>24</v>
      </c>
      <c r="J184" s="141" t="s">
        <v>24</v>
      </c>
      <c r="K184" s="141" t="s">
        <v>38</v>
      </c>
      <c r="L184" s="140" t="s">
        <v>728</v>
      </c>
      <c r="M184" s="208" t="s">
        <v>24</v>
      </c>
      <c r="N184" s="140" t="s">
        <v>729</v>
      </c>
      <c r="O184" s="76"/>
      <c r="P184" s="2"/>
      <c r="Q184" s="259">
        <v>1</v>
      </c>
      <c r="R184" s="130"/>
      <c r="T184" s="405" t="s">
        <v>33</v>
      </c>
      <c r="U184" s="137"/>
      <c r="X184" s="262">
        <v>11.379257202148438</v>
      </c>
      <c r="Y184" s="262">
        <f t="shared" si="17"/>
        <v>11.379257202148438</v>
      </c>
      <c r="Z184" s="130">
        <f t="shared" si="15"/>
        <v>11.379257202148438</v>
      </c>
    </row>
    <row r="185" spans="1:26" s="136" customFormat="1" ht="170.1">
      <c r="A185" s="38">
        <f t="shared" si="20"/>
        <v>67</v>
      </c>
      <c r="B185" s="173" t="s">
        <v>730</v>
      </c>
      <c r="C185" s="135" t="s">
        <v>730</v>
      </c>
      <c r="D185" s="153" t="s">
        <v>731</v>
      </c>
      <c r="E185" s="141">
        <f t="shared" si="18"/>
        <v>224</v>
      </c>
      <c r="F185" s="420" t="s">
        <v>732</v>
      </c>
      <c r="G185" s="141">
        <f t="shared" si="19"/>
        <v>229</v>
      </c>
      <c r="H185" s="150" t="s">
        <v>37</v>
      </c>
      <c r="I185" s="141" t="s">
        <v>24</v>
      </c>
      <c r="J185" s="141" t="s">
        <v>24</v>
      </c>
      <c r="K185" s="141" t="s">
        <v>38</v>
      </c>
      <c r="L185" s="140" t="s">
        <v>733</v>
      </c>
      <c r="M185" s="208" t="s">
        <v>24</v>
      </c>
      <c r="N185" s="140" t="s">
        <v>734</v>
      </c>
      <c r="O185" s="76"/>
      <c r="P185" s="2"/>
      <c r="Q185" s="259">
        <v>1</v>
      </c>
      <c r="R185" s="130"/>
      <c r="T185" s="405" t="s">
        <v>33</v>
      </c>
      <c r="U185" s="137"/>
      <c r="X185" s="262">
        <v>10.443217277526855</v>
      </c>
      <c r="Y185" s="262">
        <f t="shared" si="17"/>
        <v>10.443217277526855</v>
      </c>
      <c r="Z185" s="130">
        <f t="shared" si="15"/>
        <v>10.443217277526855</v>
      </c>
    </row>
    <row r="186" spans="1:26" s="136" customFormat="1" ht="153">
      <c r="A186" s="38">
        <f t="shared" si="20"/>
        <v>68</v>
      </c>
      <c r="B186" s="173" t="s">
        <v>735</v>
      </c>
      <c r="C186" s="172" t="s">
        <v>735</v>
      </c>
      <c r="D186" s="393" t="s">
        <v>736</v>
      </c>
      <c r="E186" s="141">
        <f t="shared" si="18"/>
        <v>182</v>
      </c>
      <c r="F186" s="393" t="s">
        <v>737</v>
      </c>
      <c r="G186" s="141">
        <f t="shared" si="19"/>
        <v>177</v>
      </c>
      <c r="H186" s="150" t="s">
        <v>37</v>
      </c>
      <c r="I186" s="141" t="s">
        <v>24</v>
      </c>
      <c r="J186" s="141" t="s">
        <v>24</v>
      </c>
      <c r="K186" s="141" t="s">
        <v>38</v>
      </c>
      <c r="L186" s="140" t="s">
        <v>738</v>
      </c>
      <c r="M186" s="208" t="s">
        <v>24</v>
      </c>
      <c r="N186" s="152" t="s">
        <v>739</v>
      </c>
      <c r="O186" s="87"/>
      <c r="P186" s="2"/>
      <c r="Q186" s="259">
        <v>1</v>
      </c>
      <c r="R186" s="130"/>
      <c r="T186" s="405" t="s">
        <v>33</v>
      </c>
      <c r="U186" s="137"/>
      <c r="X186" s="262">
        <v>10.732010841369629</v>
      </c>
      <c r="Y186" s="262">
        <f t="shared" si="17"/>
        <v>10.732010841369629</v>
      </c>
      <c r="Z186" s="130">
        <f t="shared" si="15"/>
        <v>10.732010841369629</v>
      </c>
    </row>
    <row r="187" spans="1:26" s="316" customFormat="1" ht="153">
      <c r="A187" s="38">
        <f t="shared" si="20"/>
        <v>69</v>
      </c>
      <c r="B187" s="173" t="s">
        <v>740</v>
      </c>
      <c r="C187" s="172" t="s">
        <v>740</v>
      </c>
      <c r="D187" s="543" t="s">
        <v>741</v>
      </c>
      <c r="E187" s="141">
        <f t="shared" si="18"/>
        <v>214</v>
      </c>
      <c r="F187" s="418" t="s">
        <v>742</v>
      </c>
      <c r="G187" s="141">
        <f t="shared" si="19"/>
        <v>237</v>
      </c>
      <c r="H187" s="150" t="s">
        <v>37</v>
      </c>
      <c r="I187" s="141" t="s">
        <v>24</v>
      </c>
      <c r="J187" s="141" t="s">
        <v>24</v>
      </c>
      <c r="K187" s="141" t="s">
        <v>38</v>
      </c>
      <c r="L187" s="140" t="s">
        <v>743</v>
      </c>
      <c r="M187" s="208" t="s">
        <v>24</v>
      </c>
      <c r="N187" s="140" t="s">
        <v>744</v>
      </c>
      <c r="O187" s="76"/>
      <c r="P187" s="2"/>
      <c r="Q187" s="259">
        <v>1</v>
      </c>
      <c r="R187" s="130"/>
      <c r="T187" s="405" t="s">
        <v>33</v>
      </c>
      <c r="U187" s="137"/>
      <c r="X187" s="262">
        <v>11.586139678955078</v>
      </c>
      <c r="Y187" s="262">
        <f t="shared" si="17"/>
        <v>11.586139678955078</v>
      </c>
      <c r="Z187" s="130">
        <f t="shared" si="15"/>
        <v>11.586139678955078</v>
      </c>
    </row>
    <row r="188" spans="1:26" s="136" customFormat="1" ht="153">
      <c r="A188" s="38">
        <f t="shared" si="20"/>
        <v>70</v>
      </c>
      <c r="B188" s="173" t="s">
        <v>745</v>
      </c>
      <c r="C188" s="135" t="s">
        <v>745</v>
      </c>
      <c r="D188" s="393" t="s">
        <v>746</v>
      </c>
      <c r="E188" s="141">
        <f t="shared" si="18"/>
        <v>184</v>
      </c>
      <c r="F188" s="393" t="s">
        <v>747</v>
      </c>
      <c r="G188" s="141">
        <f t="shared" si="19"/>
        <v>217</v>
      </c>
      <c r="H188" s="150" t="s">
        <v>37</v>
      </c>
      <c r="I188" s="141" t="s">
        <v>24</v>
      </c>
      <c r="J188" s="141" t="s">
        <v>24</v>
      </c>
      <c r="K188" s="141" t="s">
        <v>38</v>
      </c>
      <c r="L188" s="140" t="s">
        <v>748</v>
      </c>
      <c r="M188" s="208" t="s">
        <v>24</v>
      </c>
      <c r="N188" s="152" t="s">
        <v>749</v>
      </c>
      <c r="O188" s="87"/>
      <c r="P188" s="2"/>
      <c r="Q188" s="259">
        <v>1</v>
      </c>
      <c r="R188" s="130"/>
      <c r="T188" s="405" t="s">
        <v>33</v>
      </c>
      <c r="U188" s="137"/>
      <c r="X188" s="262">
        <v>9.7552013397216797</v>
      </c>
      <c r="Y188" s="262">
        <f t="shared" si="17"/>
        <v>9.7552013397216797</v>
      </c>
      <c r="Z188" s="130">
        <f t="shared" si="15"/>
        <v>9.7552013397216797</v>
      </c>
    </row>
    <row r="189" spans="1:26" s="136" customFormat="1" ht="153">
      <c r="A189" s="38">
        <f t="shared" si="20"/>
        <v>71</v>
      </c>
      <c r="B189" s="173" t="s">
        <v>750</v>
      </c>
      <c r="C189" s="172" t="s">
        <v>750</v>
      </c>
      <c r="D189" s="543" t="s">
        <v>741</v>
      </c>
      <c r="E189" s="141">
        <f t="shared" si="18"/>
        <v>214</v>
      </c>
      <c r="F189" s="418" t="s">
        <v>742</v>
      </c>
      <c r="G189" s="141">
        <f t="shared" si="19"/>
        <v>237</v>
      </c>
      <c r="H189" s="150" t="s">
        <v>37</v>
      </c>
      <c r="I189" s="141" t="s">
        <v>24</v>
      </c>
      <c r="J189" s="141" t="s">
        <v>24</v>
      </c>
      <c r="K189" s="141" t="s">
        <v>38</v>
      </c>
      <c r="L189" s="140" t="s">
        <v>751</v>
      </c>
      <c r="M189" s="208" t="s">
        <v>24</v>
      </c>
      <c r="N189" s="140" t="s">
        <v>752</v>
      </c>
      <c r="O189" s="76"/>
      <c r="P189" s="2"/>
      <c r="Q189" s="259">
        <v>1</v>
      </c>
      <c r="R189" s="130"/>
      <c r="T189" s="405" t="s">
        <v>33</v>
      </c>
      <c r="U189" s="137"/>
      <c r="X189" s="262">
        <v>7.9447951316833496</v>
      </c>
      <c r="Y189" s="262">
        <f t="shared" si="17"/>
        <v>7.9447951316833496</v>
      </c>
      <c r="Z189" s="130">
        <f t="shared" si="15"/>
        <v>7.9447951316833496</v>
      </c>
    </row>
    <row r="190" spans="1:26" s="136" customFormat="1" ht="170.1">
      <c r="A190" s="38">
        <f t="shared" si="20"/>
        <v>72</v>
      </c>
      <c r="B190" s="173" t="s">
        <v>753</v>
      </c>
      <c r="C190" s="135" t="s">
        <v>753</v>
      </c>
      <c r="D190" s="393" t="s">
        <v>754</v>
      </c>
      <c r="E190" s="141">
        <f t="shared" si="18"/>
        <v>212</v>
      </c>
      <c r="F190" s="393" t="s">
        <v>755</v>
      </c>
      <c r="G190" s="141">
        <f t="shared" si="19"/>
        <v>238</v>
      </c>
      <c r="H190" s="150" t="s">
        <v>37</v>
      </c>
      <c r="I190" s="141" t="s">
        <v>24</v>
      </c>
      <c r="J190" s="141" t="s">
        <v>24</v>
      </c>
      <c r="K190" s="141" t="s">
        <v>38</v>
      </c>
      <c r="L190" s="140" t="s">
        <v>756</v>
      </c>
      <c r="M190" s="208" t="s">
        <v>24</v>
      </c>
      <c r="N190" s="152" t="s">
        <v>757</v>
      </c>
      <c r="O190" s="35"/>
      <c r="P190" s="2"/>
      <c r="Q190" s="259">
        <v>1</v>
      </c>
      <c r="R190" s="130"/>
      <c r="T190" s="405" t="s">
        <v>33</v>
      </c>
      <c r="U190" s="137"/>
      <c r="X190" s="262">
        <v>7.9312248229980469</v>
      </c>
      <c r="Y190" s="262">
        <f t="shared" si="17"/>
        <v>7.9312248229980469</v>
      </c>
      <c r="Z190" s="130">
        <f t="shared" si="15"/>
        <v>7.9312248229980469</v>
      </c>
    </row>
    <row r="191" spans="1:26" s="136" customFormat="1" ht="153">
      <c r="A191" s="38">
        <f t="shared" si="20"/>
        <v>73</v>
      </c>
      <c r="B191" s="173" t="s">
        <v>758</v>
      </c>
      <c r="C191" s="172" t="s">
        <v>758</v>
      </c>
      <c r="D191" s="543" t="s">
        <v>741</v>
      </c>
      <c r="E191" s="141">
        <f t="shared" si="18"/>
        <v>214</v>
      </c>
      <c r="F191" s="418" t="s">
        <v>742</v>
      </c>
      <c r="G191" s="141">
        <f t="shared" si="19"/>
        <v>237</v>
      </c>
      <c r="H191" s="150" t="s">
        <v>37</v>
      </c>
      <c r="I191" s="141" t="s">
        <v>24</v>
      </c>
      <c r="J191" s="141" t="s">
        <v>24</v>
      </c>
      <c r="K191" s="141" t="s">
        <v>38</v>
      </c>
      <c r="L191" s="140" t="s">
        <v>759</v>
      </c>
      <c r="M191" s="208" t="s">
        <v>24</v>
      </c>
      <c r="N191" s="152" t="s">
        <v>760</v>
      </c>
      <c r="O191" s="35"/>
      <c r="P191" s="2"/>
      <c r="Q191" s="259">
        <v>1</v>
      </c>
      <c r="R191" s="130"/>
      <c r="T191" s="405" t="s">
        <v>33</v>
      </c>
      <c r="U191" s="137"/>
      <c r="X191" s="262">
        <v>5.3390059471130371</v>
      </c>
      <c r="Y191" s="262">
        <f t="shared" si="17"/>
        <v>5.3390059471130371</v>
      </c>
      <c r="Z191" s="130">
        <f t="shared" si="15"/>
        <v>5.3390059471130371</v>
      </c>
    </row>
    <row r="192" spans="1:26" s="136" customFormat="1" ht="153">
      <c r="A192" s="6">
        <f t="shared" si="20"/>
        <v>74</v>
      </c>
      <c r="B192" s="224" t="s">
        <v>761</v>
      </c>
      <c r="C192" s="9" t="s">
        <v>761</v>
      </c>
      <c r="D192" s="30" t="s">
        <v>762</v>
      </c>
      <c r="E192" s="12">
        <f t="shared" si="18"/>
        <v>142</v>
      </c>
      <c r="F192" s="424" t="s">
        <v>763</v>
      </c>
      <c r="G192" s="12">
        <f t="shared" si="19"/>
        <v>222</v>
      </c>
      <c r="H192" s="28" t="s">
        <v>37</v>
      </c>
      <c r="I192" s="12" t="s">
        <v>24</v>
      </c>
      <c r="J192" s="12" t="s">
        <v>24</v>
      </c>
      <c r="K192" s="12" t="s">
        <v>38</v>
      </c>
      <c r="L192" s="23" t="s">
        <v>764</v>
      </c>
      <c r="M192" s="72" t="s">
        <v>24</v>
      </c>
      <c r="N192" s="323"/>
      <c r="O192" s="324"/>
      <c r="P192" s="112" t="s">
        <v>765</v>
      </c>
      <c r="Q192" s="264">
        <v>1</v>
      </c>
      <c r="R192" s="130"/>
      <c r="T192" s="138" t="s">
        <v>23</v>
      </c>
      <c r="U192" s="137"/>
      <c r="X192" s="263">
        <v>3.8165555000305176</v>
      </c>
      <c r="Y192" s="263">
        <f t="shared" si="17"/>
        <v>3.8165555000305176</v>
      </c>
      <c r="Z192" s="130" t="str">
        <f t="shared" si="15"/>
        <v/>
      </c>
    </row>
    <row r="193" spans="1:26" s="136" customFormat="1" ht="221.1">
      <c r="A193" s="6">
        <f t="shared" si="20"/>
        <v>75</v>
      </c>
      <c r="B193" s="325" t="s">
        <v>766</v>
      </c>
      <c r="C193" s="9" t="s">
        <v>767</v>
      </c>
      <c r="D193" s="14" t="s">
        <v>768</v>
      </c>
      <c r="E193" s="12">
        <f t="shared" si="18"/>
        <v>406</v>
      </c>
      <c r="F193" s="14" t="s">
        <v>769</v>
      </c>
      <c r="G193" s="12">
        <f t="shared" si="19"/>
        <v>398</v>
      </c>
      <c r="H193" s="28" t="s">
        <v>37</v>
      </c>
      <c r="I193" s="12" t="s">
        <v>24</v>
      </c>
      <c r="J193" s="12" t="s">
        <v>24</v>
      </c>
      <c r="K193" s="12" t="s">
        <v>38</v>
      </c>
      <c r="L193" s="23" t="s">
        <v>770</v>
      </c>
      <c r="M193" s="72" t="s">
        <v>24</v>
      </c>
      <c r="N193" s="34"/>
      <c r="O193" s="34"/>
      <c r="P193" s="2"/>
      <c r="Q193" s="264">
        <v>1</v>
      </c>
      <c r="R193" s="130"/>
      <c r="T193" s="138" t="s">
        <v>23</v>
      </c>
      <c r="U193" s="137"/>
      <c r="X193" s="263">
        <v>16.827030181884766</v>
      </c>
      <c r="Y193" s="263">
        <f t="shared" si="17"/>
        <v>16.827030181884766</v>
      </c>
      <c r="Z193" s="130" t="str">
        <f t="shared" si="15"/>
        <v/>
      </c>
    </row>
    <row r="194" spans="1:26" s="136" customFormat="1" ht="204">
      <c r="A194" s="6">
        <f t="shared" si="20"/>
        <v>76</v>
      </c>
      <c r="B194" s="325" t="s">
        <v>771</v>
      </c>
      <c r="C194" s="9" t="s">
        <v>772</v>
      </c>
      <c r="D194" s="14" t="s">
        <v>773</v>
      </c>
      <c r="E194" s="12">
        <f t="shared" si="18"/>
        <v>344</v>
      </c>
      <c r="F194" s="14" t="s">
        <v>774</v>
      </c>
      <c r="G194" s="12">
        <f t="shared" si="19"/>
        <v>344</v>
      </c>
      <c r="H194" s="28" t="s">
        <v>37</v>
      </c>
      <c r="I194" s="12" t="s">
        <v>24</v>
      </c>
      <c r="J194" s="12" t="s">
        <v>24</v>
      </c>
      <c r="K194" s="12" t="s">
        <v>38</v>
      </c>
      <c r="L194" s="23" t="s">
        <v>770</v>
      </c>
      <c r="M194" s="72" t="s">
        <v>24</v>
      </c>
      <c r="N194" s="34"/>
      <c r="O194" s="34"/>
      <c r="P194" s="2"/>
      <c r="Q194" s="264">
        <v>1</v>
      </c>
      <c r="R194" s="130"/>
      <c r="T194" s="138" t="s">
        <v>23</v>
      </c>
      <c r="U194" s="137"/>
      <c r="X194" s="263">
        <v>12.211404800415039</v>
      </c>
      <c r="Y194" s="263">
        <f t="shared" si="17"/>
        <v>12.211404800415039</v>
      </c>
      <c r="Z194" s="130" t="str">
        <f t="shared" si="15"/>
        <v/>
      </c>
    </row>
    <row r="195" spans="1:26" s="136" customFormat="1" ht="204">
      <c r="A195" s="6">
        <f t="shared" si="20"/>
        <v>77</v>
      </c>
      <c r="B195" s="325" t="s">
        <v>775</v>
      </c>
      <c r="C195" s="9" t="s">
        <v>775</v>
      </c>
      <c r="D195" s="14" t="s">
        <v>776</v>
      </c>
      <c r="E195" s="12">
        <f t="shared" si="18"/>
        <v>378</v>
      </c>
      <c r="F195" s="14" t="s">
        <v>777</v>
      </c>
      <c r="G195" s="12">
        <f t="shared" si="19"/>
        <v>383</v>
      </c>
      <c r="H195" s="28" t="s">
        <v>37</v>
      </c>
      <c r="I195" s="12" t="s">
        <v>24</v>
      </c>
      <c r="J195" s="12" t="s">
        <v>24</v>
      </c>
      <c r="K195" s="12" t="s">
        <v>38</v>
      </c>
      <c r="L195" s="23" t="s">
        <v>770</v>
      </c>
      <c r="M195" s="72" t="s">
        <v>24</v>
      </c>
      <c r="N195" s="34"/>
      <c r="O195" s="34"/>
      <c r="P195" s="2"/>
      <c r="Q195" s="264">
        <v>1</v>
      </c>
      <c r="R195" s="130"/>
      <c r="T195" s="138" t="s">
        <v>23</v>
      </c>
      <c r="U195" s="137"/>
      <c r="X195" s="263">
        <v>10.392949104309082</v>
      </c>
      <c r="Y195" s="263">
        <f t="shared" si="17"/>
        <v>10.392949104309082</v>
      </c>
      <c r="Z195" s="130" t="str">
        <f t="shared" si="15"/>
        <v/>
      </c>
    </row>
    <row r="196" spans="1:26" s="136" customFormat="1" ht="204">
      <c r="A196" s="6">
        <f t="shared" si="20"/>
        <v>78</v>
      </c>
      <c r="B196" s="325" t="s">
        <v>778</v>
      </c>
      <c r="C196" s="9" t="s">
        <v>778</v>
      </c>
      <c r="D196" s="14" t="s">
        <v>779</v>
      </c>
      <c r="E196" s="12">
        <f t="shared" si="18"/>
        <v>370</v>
      </c>
      <c r="F196" s="14" t="s">
        <v>780</v>
      </c>
      <c r="G196" s="12">
        <f t="shared" si="19"/>
        <v>380</v>
      </c>
      <c r="H196" s="28" t="s">
        <v>37</v>
      </c>
      <c r="I196" s="12" t="s">
        <v>24</v>
      </c>
      <c r="J196" s="12" t="s">
        <v>24</v>
      </c>
      <c r="K196" s="12" t="s">
        <v>38</v>
      </c>
      <c r="L196" s="23" t="s">
        <v>770</v>
      </c>
      <c r="M196" s="72" t="s">
        <v>24</v>
      </c>
      <c r="N196" s="34"/>
      <c r="O196" s="34"/>
      <c r="P196" s="2"/>
      <c r="Q196" s="264">
        <v>1</v>
      </c>
      <c r="R196" s="130"/>
      <c r="T196" s="138" t="s">
        <v>23</v>
      </c>
      <c r="U196" s="137"/>
      <c r="X196" s="263">
        <v>11.913414001464844</v>
      </c>
      <c r="Y196" s="263">
        <f t="shared" si="17"/>
        <v>11.913414001464844</v>
      </c>
      <c r="Z196" s="130" t="str">
        <f t="shared" si="15"/>
        <v/>
      </c>
    </row>
    <row r="197" spans="1:26" s="136" customFormat="1" ht="221.1">
      <c r="A197" s="6">
        <f t="shared" si="20"/>
        <v>79</v>
      </c>
      <c r="B197" s="325" t="s">
        <v>781</v>
      </c>
      <c r="C197" s="9" t="s">
        <v>781</v>
      </c>
      <c r="D197" s="14" t="s">
        <v>782</v>
      </c>
      <c r="E197" s="12">
        <f t="shared" si="18"/>
        <v>384</v>
      </c>
      <c r="F197" s="14" t="s">
        <v>783</v>
      </c>
      <c r="G197" s="12">
        <f t="shared" si="19"/>
        <v>395</v>
      </c>
      <c r="H197" s="28" t="s">
        <v>37</v>
      </c>
      <c r="I197" s="12" t="s">
        <v>24</v>
      </c>
      <c r="J197" s="12" t="s">
        <v>24</v>
      </c>
      <c r="K197" s="12" t="s">
        <v>38</v>
      </c>
      <c r="L197" s="23" t="s">
        <v>770</v>
      </c>
      <c r="M197" s="72" t="s">
        <v>24</v>
      </c>
      <c r="N197" s="34"/>
      <c r="O197" s="34"/>
      <c r="P197" s="2"/>
      <c r="Q197" s="264">
        <v>1</v>
      </c>
      <c r="R197" s="130"/>
      <c r="T197" s="138" t="s">
        <v>23</v>
      </c>
      <c r="U197" s="137"/>
      <c r="X197" s="263">
        <v>11.458892822265625</v>
      </c>
      <c r="Y197" s="263">
        <f t="shared" si="17"/>
        <v>11.458892822265625</v>
      </c>
      <c r="Z197" s="130" t="str">
        <f t="shared" si="15"/>
        <v/>
      </c>
    </row>
    <row r="198" spans="1:26" s="136" customFormat="1" ht="204">
      <c r="A198" s="6">
        <f t="shared" si="20"/>
        <v>80</v>
      </c>
      <c r="B198" s="325" t="s">
        <v>784</v>
      </c>
      <c r="C198" s="9" t="s">
        <v>784</v>
      </c>
      <c r="D198" s="14" t="s">
        <v>785</v>
      </c>
      <c r="E198" s="12">
        <f t="shared" si="18"/>
        <v>371</v>
      </c>
      <c r="F198" s="14" t="s">
        <v>786</v>
      </c>
      <c r="G198" s="12">
        <f t="shared" si="19"/>
        <v>377</v>
      </c>
      <c r="H198" s="28" t="s">
        <v>37</v>
      </c>
      <c r="I198" s="12" t="s">
        <v>24</v>
      </c>
      <c r="J198" s="12" t="s">
        <v>24</v>
      </c>
      <c r="K198" s="12" t="s">
        <v>38</v>
      </c>
      <c r="L198" s="23" t="s">
        <v>770</v>
      </c>
      <c r="M198" s="72" t="s">
        <v>24</v>
      </c>
      <c r="N198" s="34"/>
      <c r="O198" s="34"/>
      <c r="P198" s="2"/>
      <c r="Q198" s="264">
        <v>1</v>
      </c>
      <c r="R198" s="130"/>
      <c r="T198" s="138" t="s">
        <v>23</v>
      </c>
      <c r="U198" s="137"/>
      <c r="X198" s="263">
        <v>10.843878746032715</v>
      </c>
      <c r="Y198" s="263">
        <f t="shared" si="17"/>
        <v>10.843878746032715</v>
      </c>
      <c r="Z198" s="130" t="str">
        <f t="shared" ref="Z198:Z245" si="21">IF(T198="yes",Y198,"")</f>
        <v/>
      </c>
    </row>
    <row r="199" spans="1:26" s="136" customFormat="1" ht="204">
      <c r="A199" s="6">
        <f t="shared" si="20"/>
        <v>81</v>
      </c>
      <c r="B199" s="325" t="s">
        <v>787</v>
      </c>
      <c r="C199" s="9" t="s">
        <v>787</v>
      </c>
      <c r="D199" s="14" t="s">
        <v>788</v>
      </c>
      <c r="E199" s="12">
        <f t="shared" si="18"/>
        <v>343</v>
      </c>
      <c r="F199" s="14" t="s">
        <v>789</v>
      </c>
      <c r="G199" s="12">
        <f t="shared" si="19"/>
        <v>352</v>
      </c>
      <c r="H199" s="28" t="s">
        <v>37</v>
      </c>
      <c r="I199" s="12" t="s">
        <v>24</v>
      </c>
      <c r="J199" s="12" t="s">
        <v>24</v>
      </c>
      <c r="K199" s="12" t="s">
        <v>38</v>
      </c>
      <c r="L199" s="23" t="s">
        <v>770</v>
      </c>
      <c r="M199" s="72" t="s">
        <v>24</v>
      </c>
      <c r="N199" s="34"/>
      <c r="O199" s="34"/>
      <c r="P199" s="2"/>
      <c r="Q199" s="264">
        <v>1</v>
      </c>
      <c r="R199" s="130"/>
      <c r="T199" s="138" t="s">
        <v>23</v>
      </c>
      <c r="U199" s="137"/>
      <c r="X199" s="263">
        <v>8.2318143844604492</v>
      </c>
      <c r="Y199" s="263">
        <f t="shared" si="17"/>
        <v>8.2318143844604492</v>
      </c>
      <c r="Z199" s="130" t="str">
        <f t="shared" si="21"/>
        <v/>
      </c>
    </row>
    <row r="200" spans="1:26" s="136" customFormat="1" ht="204">
      <c r="A200" s="6">
        <f t="shared" si="20"/>
        <v>82</v>
      </c>
      <c r="B200" s="325" t="s">
        <v>790</v>
      </c>
      <c r="C200" s="9" t="s">
        <v>790</v>
      </c>
      <c r="D200" s="14" t="s">
        <v>791</v>
      </c>
      <c r="E200" s="12">
        <f t="shared" si="18"/>
        <v>370</v>
      </c>
      <c r="F200" s="14" t="s">
        <v>792</v>
      </c>
      <c r="G200" s="12">
        <f t="shared" si="19"/>
        <v>378</v>
      </c>
      <c r="H200" s="28" t="s">
        <v>37</v>
      </c>
      <c r="I200" s="12" t="s">
        <v>24</v>
      </c>
      <c r="J200" s="12" t="s">
        <v>24</v>
      </c>
      <c r="K200" s="12" t="s">
        <v>38</v>
      </c>
      <c r="L200" s="23" t="s">
        <v>770</v>
      </c>
      <c r="M200" s="72" t="s">
        <v>24</v>
      </c>
      <c r="N200" s="34"/>
      <c r="O200" s="34"/>
      <c r="P200" s="2"/>
      <c r="Q200" s="264">
        <v>1</v>
      </c>
      <c r="R200" s="130"/>
      <c r="T200" s="138" t="s">
        <v>23</v>
      </c>
      <c r="U200" s="137"/>
      <c r="X200" s="263">
        <v>12.454976081848145</v>
      </c>
      <c r="Y200" s="263">
        <f t="shared" si="17"/>
        <v>12.454976081848145</v>
      </c>
      <c r="Z200" s="130" t="str">
        <f t="shared" si="21"/>
        <v/>
      </c>
    </row>
    <row r="201" spans="1:26" s="136" customFormat="1" ht="221.1">
      <c r="A201" s="6">
        <f t="shared" si="20"/>
        <v>83</v>
      </c>
      <c r="B201" s="325" t="s">
        <v>793</v>
      </c>
      <c r="C201" s="9" t="s">
        <v>793</v>
      </c>
      <c r="D201" s="14" t="s">
        <v>794</v>
      </c>
      <c r="E201" s="12">
        <f t="shared" si="18"/>
        <v>425</v>
      </c>
      <c r="F201" s="14" t="s">
        <v>795</v>
      </c>
      <c r="G201" s="12">
        <f t="shared" si="19"/>
        <v>433</v>
      </c>
      <c r="H201" s="28" t="s">
        <v>37</v>
      </c>
      <c r="I201" s="12" t="s">
        <v>24</v>
      </c>
      <c r="J201" s="12" t="s">
        <v>24</v>
      </c>
      <c r="K201" s="12" t="s">
        <v>38</v>
      </c>
      <c r="L201" s="23" t="s">
        <v>770</v>
      </c>
      <c r="M201" s="72" t="s">
        <v>24</v>
      </c>
      <c r="N201" s="34"/>
      <c r="O201" s="34"/>
      <c r="P201" s="2"/>
      <c r="Q201" s="264">
        <v>1</v>
      </c>
      <c r="R201" s="130"/>
      <c r="T201" s="138" t="s">
        <v>23</v>
      </c>
      <c r="U201" s="137"/>
      <c r="X201" s="263">
        <v>11.934056282043457</v>
      </c>
      <c r="Y201" s="263">
        <f t="shared" si="17"/>
        <v>11.934056282043457</v>
      </c>
      <c r="Z201" s="130" t="str">
        <f t="shared" si="21"/>
        <v/>
      </c>
    </row>
    <row r="202" spans="1:26" s="136" customFormat="1" ht="204">
      <c r="A202" s="6">
        <f t="shared" si="20"/>
        <v>84</v>
      </c>
      <c r="B202" s="325" t="s">
        <v>796</v>
      </c>
      <c r="C202" s="9" t="s">
        <v>796</v>
      </c>
      <c r="D202" s="14" t="s">
        <v>797</v>
      </c>
      <c r="E202" s="12">
        <f t="shared" si="18"/>
        <v>360</v>
      </c>
      <c r="F202" s="14" t="s">
        <v>798</v>
      </c>
      <c r="G202" s="12">
        <f t="shared" si="19"/>
        <v>355</v>
      </c>
      <c r="H202" s="28" t="s">
        <v>37</v>
      </c>
      <c r="I202" s="12" t="s">
        <v>24</v>
      </c>
      <c r="J202" s="12" t="s">
        <v>24</v>
      </c>
      <c r="K202" s="12" t="s">
        <v>38</v>
      </c>
      <c r="L202" s="23" t="s">
        <v>770</v>
      </c>
      <c r="M202" s="72" t="s">
        <v>24</v>
      </c>
      <c r="N202" s="14"/>
      <c r="O202" s="23"/>
      <c r="P202" s="2"/>
      <c r="Q202" s="264">
        <v>1</v>
      </c>
      <c r="R202" s="130"/>
      <c r="T202" s="138" t="s">
        <v>23</v>
      </c>
      <c r="U202" s="137"/>
      <c r="X202" s="263">
        <v>11.360984802246094</v>
      </c>
      <c r="Y202" s="263">
        <f t="shared" si="17"/>
        <v>11.360984802246094</v>
      </c>
      <c r="Z202" s="130" t="str">
        <f t="shared" si="21"/>
        <v/>
      </c>
    </row>
    <row r="203" spans="1:26" s="136" customFormat="1" ht="204">
      <c r="A203" s="6">
        <f t="shared" si="20"/>
        <v>85</v>
      </c>
      <c r="B203" s="325" t="s">
        <v>799</v>
      </c>
      <c r="C203" s="9" t="s">
        <v>799</v>
      </c>
      <c r="D203" s="14" t="s">
        <v>800</v>
      </c>
      <c r="E203" s="12">
        <f t="shared" si="18"/>
        <v>374</v>
      </c>
      <c r="F203" s="14" t="s">
        <v>801</v>
      </c>
      <c r="G203" s="12">
        <f t="shared" si="19"/>
        <v>381</v>
      </c>
      <c r="H203" s="28" t="s">
        <v>37</v>
      </c>
      <c r="I203" s="12" t="s">
        <v>24</v>
      </c>
      <c r="J203" s="12" t="s">
        <v>24</v>
      </c>
      <c r="K203" s="12" t="s">
        <v>38</v>
      </c>
      <c r="L203" s="23" t="s">
        <v>770</v>
      </c>
      <c r="M203" s="72" t="s">
        <v>24</v>
      </c>
      <c r="N203" s="326"/>
      <c r="O203" s="327"/>
      <c r="P203" s="2"/>
      <c r="Q203" s="264">
        <v>1</v>
      </c>
      <c r="R203" s="130"/>
      <c r="T203" s="138" t="s">
        <v>23</v>
      </c>
      <c r="U203" s="137"/>
      <c r="X203" s="263">
        <v>12.756719589233398</v>
      </c>
      <c r="Y203" s="263">
        <f t="shared" si="17"/>
        <v>12.756719589233398</v>
      </c>
      <c r="Z203" s="130" t="str">
        <f t="shared" si="21"/>
        <v/>
      </c>
    </row>
    <row r="204" spans="1:26" s="136" customFormat="1" ht="204">
      <c r="A204" s="6">
        <f t="shared" si="20"/>
        <v>86</v>
      </c>
      <c r="B204" s="325" t="s">
        <v>802</v>
      </c>
      <c r="C204" s="9" t="s">
        <v>802</v>
      </c>
      <c r="D204" s="14" t="s">
        <v>803</v>
      </c>
      <c r="E204" s="12">
        <f t="shared" si="18"/>
        <v>379</v>
      </c>
      <c r="F204" s="14" t="s">
        <v>804</v>
      </c>
      <c r="G204" s="12">
        <f t="shared" si="19"/>
        <v>361</v>
      </c>
      <c r="H204" s="28" t="s">
        <v>37</v>
      </c>
      <c r="I204" s="12" t="s">
        <v>24</v>
      </c>
      <c r="J204" s="12" t="s">
        <v>24</v>
      </c>
      <c r="K204" s="12" t="s">
        <v>38</v>
      </c>
      <c r="L204" s="23" t="s">
        <v>770</v>
      </c>
      <c r="M204" s="72" t="s">
        <v>24</v>
      </c>
      <c r="N204" s="328"/>
      <c r="O204" s="329"/>
      <c r="P204" s="2"/>
      <c r="Q204" s="264">
        <v>1</v>
      </c>
      <c r="R204" s="130"/>
      <c r="T204" s="138" t="s">
        <v>23</v>
      </c>
      <c r="U204" s="137"/>
      <c r="X204" s="263">
        <v>7.8922214508056641</v>
      </c>
      <c r="Y204" s="263">
        <f t="shared" si="17"/>
        <v>7.8922214508056641</v>
      </c>
      <c r="Z204" s="130" t="str">
        <f t="shared" si="21"/>
        <v/>
      </c>
    </row>
    <row r="205" spans="1:26" s="136" customFormat="1" ht="221.1">
      <c r="A205" s="6">
        <f t="shared" si="20"/>
        <v>87</v>
      </c>
      <c r="B205" s="325" t="s">
        <v>805</v>
      </c>
      <c r="C205" s="9" t="s">
        <v>805</v>
      </c>
      <c r="D205" s="14" t="s">
        <v>806</v>
      </c>
      <c r="E205" s="12">
        <f t="shared" si="18"/>
        <v>398</v>
      </c>
      <c r="F205" s="14" t="s">
        <v>807</v>
      </c>
      <c r="G205" s="12">
        <f t="shared" si="19"/>
        <v>414</v>
      </c>
      <c r="H205" s="28" t="s">
        <v>37</v>
      </c>
      <c r="I205" s="12" t="s">
        <v>24</v>
      </c>
      <c r="J205" s="12" t="s">
        <v>24</v>
      </c>
      <c r="K205" s="12" t="s">
        <v>38</v>
      </c>
      <c r="L205" s="23" t="s">
        <v>770</v>
      </c>
      <c r="M205" s="72" t="s">
        <v>24</v>
      </c>
      <c r="N205" s="328"/>
      <c r="O205" s="329"/>
      <c r="P205" s="2"/>
      <c r="Q205" s="264">
        <v>1</v>
      </c>
      <c r="R205" s="130"/>
      <c r="T205" s="138" t="s">
        <v>23</v>
      </c>
      <c r="U205" s="137"/>
      <c r="X205" s="263">
        <v>9.5187292098999023</v>
      </c>
      <c r="Y205" s="263">
        <f t="shared" si="17"/>
        <v>9.5187292098999023</v>
      </c>
      <c r="Z205" s="130" t="str">
        <f t="shared" si="21"/>
        <v/>
      </c>
    </row>
    <row r="206" spans="1:26" s="136" customFormat="1" ht="221.1">
      <c r="A206" s="6">
        <f t="shared" si="20"/>
        <v>88</v>
      </c>
      <c r="B206" s="325" t="s">
        <v>808</v>
      </c>
      <c r="C206" s="9" t="s">
        <v>808</v>
      </c>
      <c r="D206" s="14" t="s">
        <v>809</v>
      </c>
      <c r="E206" s="12">
        <f t="shared" si="18"/>
        <v>421</v>
      </c>
      <c r="F206" s="14" t="s">
        <v>810</v>
      </c>
      <c r="G206" s="12">
        <f t="shared" si="19"/>
        <v>431</v>
      </c>
      <c r="H206" s="28" t="s">
        <v>37</v>
      </c>
      <c r="I206" s="12" t="s">
        <v>24</v>
      </c>
      <c r="J206" s="12" t="s">
        <v>24</v>
      </c>
      <c r="K206" s="12" t="s">
        <v>38</v>
      </c>
      <c r="L206" s="23" t="s">
        <v>770</v>
      </c>
      <c r="M206" s="72" t="s">
        <v>24</v>
      </c>
      <c r="N206" s="328"/>
      <c r="O206" s="329"/>
      <c r="P206" s="2"/>
      <c r="Q206" s="264">
        <v>1</v>
      </c>
      <c r="R206" s="130"/>
      <c r="T206" s="138" t="s">
        <v>23</v>
      </c>
      <c r="U206" s="137"/>
      <c r="X206" s="263">
        <v>9.0232686996459961</v>
      </c>
      <c r="Y206" s="263">
        <f t="shared" si="17"/>
        <v>9.0232686996459961</v>
      </c>
      <c r="Z206" s="130" t="str">
        <f t="shared" si="21"/>
        <v/>
      </c>
    </row>
    <row r="207" spans="1:26" s="136" customFormat="1" ht="204">
      <c r="A207" s="6">
        <f t="shared" si="20"/>
        <v>89</v>
      </c>
      <c r="B207" s="325" t="s">
        <v>811</v>
      </c>
      <c r="C207" s="9" t="s">
        <v>811</v>
      </c>
      <c r="D207" s="14" t="s">
        <v>812</v>
      </c>
      <c r="E207" s="12">
        <f t="shared" si="18"/>
        <v>351</v>
      </c>
      <c r="F207" s="14" t="s">
        <v>813</v>
      </c>
      <c r="G207" s="12">
        <f t="shared" si="19"/>
        <v>353</v>
      </c>
      <c r="H207" s="28" t="s">
        <v>37</v>
      </c>
      <c r="I207" s="12" t="s">
        <v>24</v>
      </c>
      <c r="J207" s="12" t="s">
        <v>24</v>
      </c>
      <c r="K207" s="12" t="s">
        <v>38</v>
      </c>
      <c r="L207" s="23" t="s">
        <v>770</v>
      </c>
      <c r="M207" s="72" t="s">
        <v>24</v>
      </c>
      <c r="N207" s="328"/>
      <c r="O207" s="329"/>
      <c r="P207" s="2"/>
      <c r="Q207" s="264">
        <v>1</v>
      </c>
      <c r="R207" s="130"/>
      <c r="T207" s="138" t="s">
        <v>23</v>
      </c>
      <c r="U207" s="137"/>
      <c r="X207" s="263">
        <v>9.0632390975952148</v>
      </c>
      <c r="Y207" s="263">
        <f t="shared" si="17"/>
        <v>9.0632390975952148</v>
      </c>
      <c r="Z207" s="130" t="str">
        <f t="shared" si="21"/>
        <v/>
      </c>
    </row>
    <row r="208" spans="1:26" s="136" customFormat="1" ht="204">
      <c r="A208" s="6">
        <f t="shared" si="20"/>
        <v>90</v>
      </c>
      <c r="B208" s="325" t="s">
        <v>814</v>
      </c>
      <c r="C208" s="9" t="s">
        <v>814</v>
      </c>
      <c r="D208" s="14" t="s">
        <v>815</v>
      </c>
      <c r="E208" s="12">
        <f t="shared" si="18"/>
        <v>334</v>
      </c>
      <c r="F208" s="14" t="s">
        <v>816</v>
      </c>
      <c r="G208" s="12">
        <f t="shared" si="19"/>
        <v>348</v>
      </c>
      <c r="H208" s="28" t="s">
        <v>37</v>
      </c>
      <c r="I208" s="12" t="s">
        <v>24</v>
      </c>
      <c r="J208" s="12" t="s">
        <v>24</v>
      </c>
      <c r="K208" s="12" t="s">
        <v>38</v>
      </c>
      <c r="L208" s="23" t="s">
        <v>770</v>
      </c>
      <c r="M208" s="72" t="s">
        <v>24</v>
      </c>
      <c r="N208" s="328"/>
      <c r="O208" s="329"/>
      <c r="P208" s="2"/>
      <c r="Q208" s="264">
        <v>1</v>
      </c>
      <c r="R208" s="130"/>
      <c r="T208" s="138" t="s">
        <v>23</v>
      </c>
      <c r="U208" s="137"/>
      <c r="X208" s="263">
        <v>9.1058073043823242</v>
      </c>
      <c r="Y208" s="263">
        <f t="shared" si="17"/>
        <v>9.1058073043823242</v>
      </c>
      <c r="Z208" s="130" t="str">
        <f t="shared" si="21"/>
        <v/>
      </c>
    </row>
    <row r="209" spans="1:26" s="136" customFormat="1" ht="221.1">
      <c r="A209" s="6">
        <f t="shared" si="20"/>
        <v>91</v>
      </c>
      <c r="B209" s="325" t="s">
        <v>817</v>
      </c>
      <c r="C209" s="9" t="s">
        <v>817</v>
      </c>
      <c r="D209" s="14" t="s">
        <v>818</v>
      </c>
      <c r="E209" s="12">
        <f t="shared" si="18"/>
        <v>401</v>
      </c>
      <c r="F209" s="14" t="s">
        <v>819</v>
      </c>
      <c r="G209" s="12">
        <f t="shared" si="19"/>
        <v>413</v>
      </c>
      <c r="H209" s="28" t="s">
        <v>37</v>
      </c>
      <c r="I209" s="12" t="s">
        <v>24</v>
      </c>
      <c r="J209" s="12" t="s">
        <v>24</v>
      </c>
      <c r="K209" s="12" t="s">
        <v>38</v>
      </c>
      <c r="L209" s="23" t="s">
        <v>770</v>
      </c>
      <c r="M209" s="72" t="s">
        <v>24</v>
      </c>
      <c r="N209" s="328"/>
      <c r="O209" s="329"/>
      <c r="P209" s="2"/>
      <c r="Q209" s="264">
        <v>1</v>
      </c>
      <c r="R209" s="130"/>
      <c r="T209" s="138" t="s">
        <v>23</v>
      </c>
      <c r="U209" s="137"/>
      <c r="X209" s="263">
        <v>11.21794319152832</v>
      </c>
      <c r="Y209" s="263">
        <f t="shared" si="17"/>
        <v>11.21794319152832</v>
      </c>
      <c r="Z209" s="130" t="str">
        <f t="shared" si="21"/>
        <v/>
      </c>
    </row>
    <row r="210" spans="1:26" s="136" customFormat="1" ht="219.95" customHeight="1">
      <c r="A210" s="6">
        <f t="shared" si="20"/>
        <v>92</v>
      </c>
      <c r="B210" s="325" t="s">
        <v>820</v>
      </c>
      <c r="C210" s="9" t="s">
        <v>820</v>
      </c>
      <c r="D210" s="14" t="s">
        <v>821</v>
      </c>
      <c r="E210" s="12">
        <f t="shared" si="18"/>
        <v>360</v>
      </c>
      <c r="F210" s="14" t="s">
        <v>822</v>
      </c>
      <c r="G210" s="12">
        <f t="shared" si="19"/>
        <v>340</v>
      </c>
      <c r="H210" s="28" t="s">
        <v>37</v>
      </c>
      <c r="I210" s="12" t="s">
        <v>24</v>
      </c>
      <c r="J210" s="12" t="s">
        <v>24</v>
      </c>
      <c r="K210" s="12" t="s">
        <v>38</v>
      </c>
      <c r="L210" s="23" t="s">
        <v>770</v>
      </c>
      <c r="M210" s="72" t="s">
        <v>24</v>
      </c>
      <c r="N210" s="328"/>
      <c r="O210" s="329"/>
      <c r="P210" s="2"/>
      <c r="Q210" s="264">
        <v>1</v>
      </c>
      <c r="R210" s="130"/>
      <c r="T210" s="138" t="s">
        <v>23</v>
      </c>
      <c r="U210" s="137"/>
      <c r="W210" s="151"/>
      <c r="X210" s="263">
        <v>6.2936897277832031</v>
      </c>
      <c r="Y210" s="263">
        <f t="shared" ref="Y210:Y240" si="22">IF(X210="","",X210*Q210)</f>
        <v>6.2936897277832031</v>
      </c>
      <c r="Z210" s="130" t="str">
        <f t="shared" si="21"/>
        <v/>
      </c>
    </row>
    <row r="211" spans="1:26" s="136" customFormat="1" ht="204">
      <c r="A211" s="6">
        <f t="shared" si="20"/>
        <v>93</v>
      </c>
      <c r="B211" s="325" t="s">
        <v>823</v>
      </c>
      <c r="C211" s="9" t="s">
        <v>823</v>
      </c>
      <c r="D211" s="14" t="s">
        <v>824</v>
      </c>
      <c r="E211" s="12">
        <f t="shared" si="18"/>
        <v>335</v>
      </c>
      <c r="F211" s="14" t="s">
        <v>825</v>
      </c>
      <c r="G211" s="12">
        <f t="shared" si="19"/>
        <v>348</v>
      </c>
      <c r="H211" s="28" t="s">
        <v>37</v>
      </c>
      <c r="I211" s="12" t="s">
        <v>24</v>
      </c>
      <c r="J211" s="12" t="s">
        <v>24</v>
      </c>
      <c r="K211" s="12" t="s">
        <v>38</v>
      </c>
      <c r="L211" s="23" t="s">
        <v>770</v>
      </c>
      <c r="M211" s="72" t="s">
        <v>24</v>
      </c>
      <c r="N211" s="328"/>
      <c r="O211" s="329"/>
      <c r="P211" s="2"/>
      <c r="Q211" s="264">
        <v>1</v>
      </c>
      <c r="R211" s="130"/>
      <c r="T211" s="138" t="s">
        <v>23</v>
      </c>
      <c r="U211" s="137"/>
      <c r="X211" s="263">
        <v>9.0649547576904297</v>
      </c>
      <c r="Y211" s="263">
        <f t="shared" si="22"/>
        <v>9.0649547576904297</v>
      </c>
      <c r="Z211" s="130" t="str">
        <f t="shared" si="21"/>
        <v/>
      </c>
    </row>
    <row r="212" spans="1:26" s="136" customFormat="1" ht="409.6">
      <c r="A212" s="38">
        <f t="shared" si="20"/>
        <v>94</v>
      </c>
      <c r="B212" s="173" t="s">
        <v>826</v>
      </c>
      <c r="C212" s="135" t="s">
        <v>827</v>
      </c>
      <c r="D212" s="601" t="s">
        <v>828</v>
      </c>
      <c r="E212" s="141">
        <f t="shared" ref="E212:E229" si="23">LEN(D212)</f>
        <v>1361</v>
      </c>
      <c r="F212" s="418" t="s">
        <v>829</v>
      </c>
      <c r="G212" s="141">
        <f t="shared" ref="G212:G229" si="24">LEN(F212)</f>
        <v>1510</v>
      </c>
      <c r="H212" s="150" t="s">
        <v>244</v>
      </c>
      <c r="I212" s="141" t="s">
        <v>24</v>
      </c>
      <c r="J212" s="141" t="s">
        <v>24</v>
      </c>
      <c r="K212" s="141" t="s">
        <v>830</v>
      </c>
      <c r="L212" s="140" t="s">
        <v>831</v>
      </c>
      <c r="M212" s="208" t="s">
        <v>832</v>
      </c>
      <c r="N212" s="140" t="s">
        <v>833</v>
      </c>
      <c r="O212" s="76"/>
      <c r="P212" s="149"/>
      <c r="Q212" s="259">
        <v>1</v>
      </c>
      <c r="R212" s="130"/>
      <c r="T212" s="405" t="s">
        <v>33</v>
      </c>
      <c r="U212" s="137"/>
      <c r="X212" s="262">
        <v>52.174358367919922</v>
      </c>
      <c r="Y212" s="262">
        <f t="shared" si="22"/>
        <v>52.174358367919922</v>
      </c>
      <c r="Z212" s="130">
        <f t="shared" si="21"/>
        <v>52.174358367919922</v>
      </c>
    </row>
    <row r="213" spans="1:26" s="136" customFormat="1" ht="170.1">
      <c r="A213" s="315">
        <f t="shared" si="20"/>
        <v>95</v>
      </c>
      <c r="B213" s="225" t="s">
        <v>834</v>
      </c>
      <c r="C213" s="172" t="s">
        <v>834</v>
      </c>
      <c r="D213" s="148" t="s">
        <v>835</v>
      </c>
      <c r="E213" s="124">
        <f t="shared" si="23"/>
        <v>327</v>
      </c>
      <c r="F213" s="195" t="s">
        <v>836</v>
      </c>
      <c r="G213" s="124">
        <f t="shared" si="24"/>
        <v>413</v>
      </c>
      <c r="H213" s="147" t="s">
        <v>37</v>
      </c>
      <c r="I213" s="125" t="s">
        <v>24</v>
      </c>
      <c r="J213" s="125" t="s">
        <v>24</v>
      </c>
      <c r="K213" s="125" t="s">
        <v>38</v>
      </c>
      <c r="L213" s="146" t="s">
        <v>837</v>
      </c>
      <c r="M213" s="208" t="s">
        <v>24</v>
      </c>
      <c r="N213" s="146" t="s">
        <v>838</v>
      </c>
      <c r="O213" s="37"/>
      <c r="P213" s="145"/>
      <c r="Q213" s="259">
        <v>1</v>
      </c>
      <c r="R213" s="130"/>
      <c r="T213" s="405" t="s">
        <v>33</v>
      </c>
      <c r="U213" s="137"/>
      <c r="X213" s="262">
        <v>1.2871023416519165</v>
      </c>
      <c r="Y213" s="262">
        <f t="shared" si="22"/>
        <v>1.2871023416519165</v>
      </c>
      <c r="Z213" s="130">
        <f t="shared" si="21"/>
        <v>1.2871023416519165</v>
      </c>
    </row>
    <row r="214" spans="1:26" s="136" customFormat="1" ht="84.95">
      <c r="A214" s="6">
        <f t="shared" si="20"/>
        <v>96</v>
      </c>
      <c r="B214" s="224" t="s">
        <v>839</v>
      </c>
      <c r="C214" s="233" t="s">
        <v>839</v>
      </c>
      <c r="D214" s="602" t="s">
        <v>840</v>
      </c>
      <c r="E214" s="12">
        <f t="shared" si="23"/>
        <v>179</v>
      </c>
      <c r="F214" s="602" t="s">
        <v>841</v>
      </c>
      <c r="G214" s="12">
        <f t="shared" si="24"/>
        <v>202</v>
      </c>
      <c r="H214" s="28" t="s">
        <v>37</v>
      </c>
      <c r="I214" s="12" t="s">
        <v>24</v>
      </c>
      <c r="J214" s="12" t="s">
        <v>24</v>
      </c>
      <c r="K214" s="12" t="s">
        <v>38</v>
      </c>
      <c r="L214" s="23" t="s">
        <v>842</v>
      </c>
      <c r="M214" s="72" t="s">
        <v>24</v>
      </c>
      <c r="N214" s="23" t="s">
        <v>843</v>
      </c>
      <c r="O214" s="23"/>
      <c r="P214" s="117"/>
      <c r="Q214" s="264">
        <v>1</v>
      </c>
      <c r="R214" s="130"/>
      <c r="T214" s="138" t="s">
        <v>23</v>
      </c>
      <c r="U214" s="137"/>
      <c r="X214" s="263">
        <v>5.6449732780456543</v>
      </c>
      <c r="Y214" s="263">
        <f t="shared" si="22"/>
        <v>5.6449732780456543</v>
      </c>
      <c r="Z214" s="130" t="str">
        <f t="shared" si="21"/>
        <v/>
      </c>
    </row>
    <row r="215" spans="1:26" s="136" customFormat="1" ht="102">
      <c r="A215" s="6">
        <f t="shared" si="20"/>
        <v>97</v>
      </c>
      <c r="B215" s="224" t="s">
        <v>844</v>
      </c>
      <c r="C215" s="233" t="s">
        <v>844</v>
      </c>
      <c r="D215" s="602" t="s">
        <v>845</v>
      </c>
      <c r="E215" s="12">
        <f t="shared" si="23"/>
        <v>292</v>
      </c>
      <c r="F215" s="602" t="s">
        <v>846</v>
      </c>
      <c r="G215" s="12">
        <f t="shared" si="24"/>
        <v>334</v>
      </c>
      <c r="H215" s="28" t="s">
        <v>127</v>
      </c>
      <c r="I215" s="12" t="s">
        <v>24</v>
      </c>
      <c r="J215" s="12" t="s">
        <v>24</v>
      </c>
      <c r="K215" s="12" t="s">
        <v>27</v>
      </c>
      <c r="L215" s="23" t="s">
        <v>847</v>
      </c>
      <c r="M215" s="72" t="s">
        <v>24</v>
      </c>
      <c r="N215" s="23" t="s">
        <v>848</v>
      </c>
      <c r="O215" s="23"/>
      <c r="P215" s="116"/>
      <c r="Q215" s="264">
        <v>1</v>
      </c>
      <c r="R215" s="130"/>
      <c r="T215" s="138" t="s">
        <v>23</v>
      </c>
      <c r="U215" s="137"/>
      <c r="X215" s="263">
        <v>26.998960494995117</v>
      </c>
      <c r="Y215" s="263">
        <f t="shared" si="22"/>
        <v>26.998960494995117</v>
      </c>
      <c r="Z215" s="130" t="str">
        <f t="shared" si="21"/>
        <v/>
      </c>
    </row>
    <row r="216" spans="1:26" s="136" customFormat="1" ht="102">
      <c r="A216" s="6">
        <f t="shared" si="20"/>
        <v>98</v>
      </c>
      <c r="B216" s="224" t="s">
        <v>849</v>
      </c>
      <c r="C216" s="233" t="s">
        <v>849</v>
      </c>
      <c r="D216" s="602" t="s">
        <v>850</v>
      </c>
      <c r="E216" s="12">
        <f t="shared" si="23"/>
        <v>267</v>
      </c>
      <c r="F216" s="602" t="s">
        <v>851</v>
      </c>
      <c r="G216" s="12">
        <f t="shared" si="24"/>
        <v>312</v>
      </c>
      <c r="H216" s="28" t="s">
        <v>127</v>
      </c>
      <c r="I216" s="12" t="s">
        <v>24</v>
      </c>
      <c r="J216" s="12" t="s">
        <v>24</v>
      </c>
      <c r="K216" s="12" t="s">
        <v>27</v>
      </c>
      <c r="L216" s="23" t="s">
        <v>852</v>
      </c>
      <c r="M216" s="72" t="s">
        <v>24</v>
      </c>
      <c r="N216" s="23" t="s">
        <v>853</v>
      </c>
      <c r="O216" s="23"/>
      <c r="P216" s="116"/>
      <c r="Q216" s="264">
        <v>1</v>
      </c>
      <c r="R216" s="130"/>
      <c r="T216" s="138" t="s">
        <v>23</v>
      </c>
      <c r="U216" s="137"/>
      <c r="X216" s="263">
        <v>18.273832321166992</v>
      </c>
      <c r="Y216" s="263">
        <f t="shared" si="22"/>
        <v>18.273832321166992</v>
      </c>
      <c r="Z216" s="130" t="str">
        <f t="shared" si="21"/>
        <v/>
      </c>
    </row>
    <row r="217" spans="1:26" s="136" customFormat="1" ht="84.95">
      <c r="A217" s="6">
        <f t="shared" si="20"/>
        <v>99</v>
      </c>
      <c r="B217" s="224" t="s">
        <v>854</v>
      </c>
      <c r="C217" s="233" t="s">
        <v>854</v>
      </c>
      <c r="D217" s="602" t="s">
        <v>855</v>
      </c>
      <c r="E217" s="12">
        <f t="shared" si="23"/>
        <v>251</v>
      </c>
      <c r="F217" s="602" t="s">
        <v>856</v>
      </c>
      <c r="G217" s="12">
        <f t="shared" si="24"/>
        <v>276</v>
      </c>
      <c r="H217" s="28" t="s">
        <v>127</v>
      </c>
      <c r="I217" s="12" t="s">
        <v>24</v>
      </c>
      <c r="J217" s="12" t="s">
        <v>24</v>
      </c>
      <c r="K217" s="12" t="s">
        <v>27</v>
      </c>
      <c r="L217" s="23" t="s">
        <v>857</v>
      </c>
      <c r="M217" s="72" t="s">
        <v>24</v>
      </c>
      <c r="N217" s="23" t="s">
        <v>858</v>
      </c>
      <c r="O217" s="23"/>
      <c r="P217" s="116"/>
      <c r="Q217" s="264">
        <v>1</v>
      </c>
      <c r="R217" s="130"/>
      <c r="T217" s="138" t="s">
        <v>23</v>
      </c>
      <c r="U217" s="137"/>
      <c r="X217" s="263">
        <v>16.352115631103516</v>
      </c>
      <c r="Y217" s="263">
        <f t="shared" si="22"/>
        <v>16.352115631103516</v>
      </c>
      <c r="Z217" s="130" t="str">
        <f t="shared" si="21"/>
        <v/>
      </c>
    </row>
    <row r="218" spans="1:26" s="136" customFormat="1" ht="84.95">
      <c r="A218" s="6">
        <f t="shared" si="20"/>
        <v>100</v>
      </c>
      <c r="B218" s="224" t="s">
        <v>859</v>
      </c>
      <c r="C218" s="233" t="s">
        <v>859</v>
      </c>
      <c r="D218" s="602" t="s">
        <v>860</v>
      </c>
      <c r="E218" s="12">
        <f t="shared" si="23"/>
        <v>220</v>
      </c>
      <c r="F218" s="602" t="s">
        <v>861</v>
      </c>
      <c r="G218" s="12">
        <f t="shared" si="24"/>
        <v>251</v>
      </c>
      <c r="H218" s="28" t="s">
        <v>127</v>
      </c>
      <c r="I218" s="12" t="s">
        <v>24</v>
      </c>
      <c r="J218" s="12" t="s">
        <v>24</v>
      </c>
      <c r="K218" s="12" t="s">
        <v>27</v>
      </c>
      <c r="L218" s="23" t="s">
        <v>862</v>
      </c>
      <c r="M218" s="72" t="s">
        <v>24</v>
      </c>
      <c r="N218" s="23" t="s">
        <v>863</v>
      </c>
      <c r="O218" s="23"/>
      <c r="P218" s="116"/>
      <c r="Q218" s="264">
        <v>1</v>
      </c>
      <c r="R218" s="130"/>
      <c r="T218" s="138" t="s">
        <v>23</v>
      </c>
      <c r="U218" s="137"/>
      <c r="X218" s="263">
        <v>14.01507568359375</v>
      </c>
      <c r="Y218" s="263">
        <f t="shared" si="22"/>
        <v>14.01507568359375</v>
      </c>
      <c r="Z218" s="130" t="str">
        <f t="shared" si="21"/>
        <v/>
      </c>
    </row>
    <row r="219" spans="1:26" s="136" customFormat="1" ht="102">
      <c r="A219" s="6">
        <f t="shared" si="20"/>
        <v>101</v>
      </c>
      <c r="B219" s="224" t="s">
        <v>864</v>
      </c>
      <c r="C219" s="233" t="s">
        <v>864</v>
      </c>
      <c r="D219" s="602" t="s">
        <v>865</v>
      </c>
      <c r="E219" s="12">
        <f t="shared" si="23"/>
        <v>273</v>
      </c>
      <c r="F219" s="602" t="s">
        <v>866</v>
      </c>
      <c r="G219" s="12">
        <f t="shared" si="24"/>
        <v>307</v>
      </c>
      <c r="H219" s="28" t="s">
        <v>127</v>
      </c>
      <c r="I219" s="12" t="s">
        <v>24</v>
      </c>
      <c r="J219" s="12" t="s">
        <v>24</v>
      </c>
      <c r="K219" s="12" t="s">
        <v>27</v>
      </c>
      <c r="L219" s="23" t="s">
        <v>867</v>
      </c>
      <c r="M219" s="72" t="s">
        <v>24</v>
      </c>
      <c r="N219" s="23" t="s">
        <v>868</v>
      </c>
      <c r="O219" s="23"/>
      <c r="P219" s="116"/>
      <c r="Q219" s="264">
        <v>1</v>
      </c>
      <c r="R219" s="130"/>
      <c r="T219" s="138" t="s">
        <v>23</v>
      </c>
      <c r="U219" s="137"/>
      <c r="X219" s="263">
        <v>17.227466583251953</v>
      </c>
      <c r="Y219" s="263">
        <f t="shared" si="22"/>
        <v>17.227466583251953</v>
      </c>
      <c r="Z219" s="130" t="str">
        <f t="shared" si="21"/>
        <v/>
      </c>
    </row>
    <row r="220" spans="1:26" s="136" customFormat="1" ht="102">
      <c r="A220" s="6">
        <f t="shared" si="20"/>
        <v>102</v>
      </c>
      <c r="B220" s="224" t="s">
        <v>869</v>
      </c>
      <c r="C220" s="233" t="s">
        <v>869</v>
      </c>
      <c r="D220" s="602" t="s">
        <v>870</v>
      </c>
      <c r="E220" s="12">
        <f t="shared" si="23"/>
        <v>307</v>
      </c>
      <c r="F220" s="602" t="s">
        <v>871</v>
      </c>
      <c r="G220" s="12">
        <f t="shared" si="24"/>
        <v>341</v>
      </c>
      <c r="H220" s="28" t="s">
        <v>127</v>
      </c>
      <c r="I220" s="12" t="s">
        <v>24</v>
      </c>
      <c r="J220" s="12" t="s">
        <v>24</v>
      </c>
      <c r="K220" s="12" t="s">
        <v>27</v>
      </c>
      <c r="L220" s="23" t="s">
        <v>872</v>
      </c>
      <c r="M220" s="72" t="s">
        <v>24</v>
      </c>
      <c r="N220" s="23" t="s">
        <v>873</v>
      </c>
      <c r="O220" s="23"/>
      <c r="P220" s="116"/>
      <c r="Q220" s="264">
        <v>1</v>
      </c>
      <c r="R220" s="130"/>
      <c r="T220" s="138" t="s">
        <v>23</v>
      </c>
      <c r="U220" s="137"/>
      <c r="X220" s="263">
        <v>19.492774716706517</v>
      </c>
      <c r="Y220" s="263">
        <f t="shared" si="22"/>
        <v>19.492774716706517</v>
      </c>
      <c r="Z220" s="130" t="str">
        <f t="shared" si="21"/>
        <v/>
      </c>
    </row>
    <row r="221" spans="1:26" s="136" customFormat="1" ht="102">
      <c r="A221" s="6">
        <f t="shared" si="20"/>
        <v>103</v>
      </c>
      <c r="B221" s="224" t="s">
        <v>874</v>
      </c>
      <c r="C221" s="233" t="s">
        <v>874</v>
      </c>
      <c r="D221" s="602" t="s">
        <v>875</v>
      </c>
      <c r="E221" s="12">
        <f t="shared" si="23"/>
        <v>292</v>
      </c>
      <c r="F221" s="602" t="s">
        <v>876</v>
      </c>
      <c r="G221" s="12">
        <f t="shared" si="24"/>
        <v>303</v>
      </c>
      <c r="H221" s="28" t="s">
        <v>127</v>
      </c>
      <c r="I221" s="12" t="s">
        <v>24</v>
      </c>
      <c r="J221" s="12" t="s">
        <v>24</v>
      </c>
      <c r="K221" s="12" t="s">
        <v>27</v>
      </c>
      <c r="L221" s="23" t="s">
        <v>877</v>
      </c>
      <c r="M221" s="72" t="s">
        <v>24</v>
      </c>
      <c r="N221" s="23" t="s">
        <v>878</v>
      </c>
      <c r="O221" s="23"/>
      <c r="P221" s="116"/>
      <c r="Q221" s="264">
        <v>1</v>
      </c>
      <c r="R221" s="130"/>
      <c r="T221" s="138" t="s">
        <v>23</v>
      </c>
      <c r="U221" s="137"/>
      <c r="X221" s="263">
        <v>14.174134254455566</v>
      </c>
      <c r="Y221" s="263">
        <f t="shared" si="22"/>
        <v>14.174134254455566</v>
      </c>
      <c r="Z221" s="130" t="str">
        <f t="shared" si="21"/>
        <v/>
      </c>
    </row>
    <row r="222" spans="1:26" s="136" customFormat="1" ht="102">
      <c r="A222" s="6">
        <f t="shared" si="20"/>
        <v>104</v>
      </c>
      <c r="B222" s="224" t="s">
        <v>879</v>
      </c>
      <c r="C222" s="233" t="s">
        <v>879</v>
      </c>
      <c r="D222" s="602" t="s">
        <v>880</v>
      </c>
      <c r="E222" s="12">
        <f t="shared" si="23"/>
        <v>262</v>
      </c>
      <c r="F222" s="602" t="s">
        <v>881</v>
      </c>
      <c r="G222" s="12">
        <f t="shared" si="24"/>
        <v>307</v>
      </c>
      <c r="H222" s="28" t="s">
        <v>127</v>
      </c>
      <c r="I222" s="12" t="s">
        <v>24</v>
      </c>
      <c r="J222" s="12" t="s">
        <v>24</v>
      </c>
      <c r="K222" s="12" t="s">
        <v>27</v>
      </c>
      <c r="L222" s="23" t="s">
        <v>882</v>
      </c>
      <c r="M222" s="72" t="s">
        <v>24</v>
      </c>
      <c r="N222" s="23" t="s">
        <v>883</v>
      </c>
      <c r="O222" s="23"/>
      <c r="P222" s="116"/>
      <c r="Q222" s="264">
        <v>1</v>
      </c>
      <c r="R222" s="130"/>
      <c r="T222" s="138" t="s">
        <v>23</v>
      </c>
      <c r="U222" s="137"/>
      <c r="X222" s="263">
        <v>13.378625869750977</v>
      </c>
      <c r="Y222" s="263">
        <f t="shared" si="22"/>
        <v>13.378625869750977</v>
      </c>
      <c r="Z222" s="130" t="str">
        <f t="shared" si="21"/>
        <v/>
      </c>
    </row>
    <row r="223" spans="1:26" s="136" customFormat="1" ht="119.1">
      <c r="A223" s="6"/>
      <c r="B223" s="224" t="s">
        <v>884</v>
      </c>
      <c r="C223" s="233" t="s">
        <v>884</v>
      </c>
      <c r="D223" s="602" t="s">
        <v>885</v>
      </c>
      <c r="E223" s="12">
        <f t="shared" si="23"/>
        <v>257</v>
      </c>
      <c r="F223" s="30" t="s">
        <v>886</v>
      </c>
      <c r="G223" s="12">
        <f t="shared" si="24"/>
        <v>352</v>
      </c>
      <c r="H223" s="28" t="s">
        <v>127</v>
      </c>
      <c r="I223" s="12" t="s">
        <v>24</v>
      </c>
      <c r="J223" s="12" t="s">
        <v>24</v>
      </c>
      <c r="K223" s="12" t="s">
        <v>27</v>
      </c>
      <c r="L223" s="23" t="s">
        <v>887</v>
      </c>
      <c r="M223" s="72" t="s">
        <v>24</v>
      </c>
      <c r="N223" s="23" t="s">
        <v>888</v>
      </c>
      <c r="O223" s="23"/>
      <c r="P223" s="116"/>
      <c r="Q223" s="264">
        <v>1</v>
      </c>
      <c r="R223" s="130"/>
      <c r="T223" s="138" t="s">
        <v>23</v>
      </c>
      <c r="U223" s="137"/>
      <c r="X223" s="263">
        <v>12.756523132324219</v>
      </c>
      <c r="Y223" s="263">
        <f t="shared" si="22"/>
        <v>12.756523132324219</v>
      </c>
      <c r="Z223" s="130" t="str">
        <f t="shared" si="21"/>
        <v/>
      </c>
    </row>
    <row r="224" spans="1:26" s="136" customFormat="1" ht="84.95">
      <c r="A224" s="6">
        <f>A222+1</f>
        <v>105</v>
      </c>
      <c r="B224" s="224" t="s">
        <v>889</v>
      </c>
      <c r="C224" s="233" t="s">
        <v>889</v>
      </c>
      <c r="D224" s="602" t="s">
        <v>890</v>
      </c>
      <c r="E224" s="12">
        <f t="shared" si="23"/>
        <v>204</v>
      </c>
      <c r="F224" s="602" t="s">
        <v>891</v>
      </c>
      <c r="G224" s="12">
        <f t="shared" si="24"/>
        <v>225</v>
      </c>
      <c r="H224" s="28" t="s">
        <v>37</v>
      </c>
      <c r="I224" s="12" t="s">
        <v>24</v>
      </c>
      <c r="J224" s="12" t="s">
        <v>24</v>
      </c>
      <c r="K224" s="12" t="s">
        <v>38</v>
      </c>
      <c r="L224" s="23" t="s">
        <v>892</v>
      </c>
      <c r="M224" s="72" t="s">
        <v>24</v>
      </c>
      <c r="N224" s="23" t="s">
        <v>893</v>
      </c>
      <c r="O224" s="23"/>
      <c r="P224" s="116"/>
      <c r="Q224" s="264">
        <v>1</v>
      </c>
      <c r="R224" s="130"/>
      <c r="T224" s="138" t="s">
        <v>23</v>
      </c>
      <c r="U224" s="137"/>
      <c r="X224" s="263">
        <v>5.8349170684814453</v>
      </c>
      <c r="Y224" s="263">
        <f t="shared" si="22"/>
        <v>5.8349170684814453</v>
      </c>
      <c r="Z224" s="130" t="str">
        <f t="shared" si="21"/>
        <v/>
      </c>
    </row>
    <row r="225" spans="1:26" s="136" customFormat="1" ht="68.099999999999994">
      <c r="A225" s="6">
        <f>A224+1</f>
        <v>106</v>
      </c>
      <c r="B225" s="224" t="s">
        <v>894</v>
      </c>
      <c r="C225" s="233" t="s">
        <v>894</v>
      </c>
      <c r="D225" s="602" t="s">
        <v>895</v>
      </c>
      <c r="E225" s="12">
        <f t="shared" si="23"/>
        <v>169</v>
      </c>
      <c r="F225" s="602" t="s">
        <v>896</v>
      </c>
      <c r="G225" s="12">
        <f t="shared" si="24"/>
        <v>193</v>
      </c>
      <c r="H225" s="106" t="s">
        <v>127</v>
      </c>
      <c r="I225" s="12" t="s">
        <v>24</v>
      </c>
      <c r="J225" s="12" t="s">
        <v>24</v>
      </c>
      <c r="K225" s="12" t="s">
        <v>27</v>
      </c>
      <c r="L225" s="23" t="s">
        <v>897</v>
      </c>
      <c r="M225" s="72" t="s">
        <v>24</v>
      </c>
      <c r="N225" s="23" t="s">
        <v>898</v>
      </c>
      <c r="O225" s="23"/>
      <c r="P225" s="116"/>
      <c r="Q225" s="264">
        <v>1</v>
      </c>
      <c r="R225" s="130"/>
      <c r="T225" s="138" t="s">
        <v>23</v>
      </c>
      <c r="U225" s="137"/>
      <c r="X225" s="263">
        <v>28.608445494708722</v>
      </c>
      <c r="Y225" s="263">
        <f t="shared" si="22"/>
        <v>28.608445494708722</v>
      </c>
      <c r="Z225" s="130" t="str">
        <f t="shared" si="21"/>
        <v/>
      </c>
    </row>
    <row r="226" spans="1:26" s="136" customFormat="1" ht="84.95">
      <c r="A226" s="6">
        <f>A225+1</f>
        <v>107</v>
      </c>
      <c r="B226" s="224" t="s">
        <v>899</v>
      </c>
      <c r="C226" s="233" t="s">
        <v>899</v>
      </c>
      <c r="D226" s="602" t="s">
        <v>900</v>
      </c>
      <c r="E226" s="12">
        <f t="shared" si="23"/>
        <v>192</v>
      </c>
      <c r="F226" s="602" t="s">
        <v>901</v>
      </c>
      <c r="G226" s="12">
        <f t="shared" si="24"/>
        <v>232</v>
      </c>
      <c r="H226" s="106" t="s">
        <v>127</v>
      </c>
      <c r="I226" s="12" t="s">
        <v>24</v>
      </c>
      <c r="J226" s="12" t="s">
        <v>24</v>
      </c>
      <c r="K226" s="12" t="s">
        <v>27</v>
      </c>
      <c r="L226" s="23" t="s">
        <v>902</v>
      </c>
      <c r="M226" s="72" t="s">
        <v>24</v>
      </c>
      <c r="N226" s="23" t="s">
        <v>903</v>
      </c>
      <c r="O226" s="23"/>
      <c r="P226" s="116"/>
      <c r="Q226" s="264">
        <v>1</v>
      </c>
      <c r="R226" s="130"/>
      <c r="T226" s="138" t="s">
        <v>23</v>
      </c>
      <c r="U226" s="137"/>
      <c r="X226" s="263">
        <v>14.618206024169922</v>
      </c>
      <c r="Y226" s="263">
        <f t="shared" si="22"/>
        <v>14.618206024169922</v>
      </c>
      <c r="Z226" s="130" t="str">
        <f t="shared" si="21"/>
        <v/>
      </c>
    </row>
    <row r="227" spans="1:26" s="136" customFormat="1" ht="84.95">
      <c r="A227" s="6">
        <f>A226+1</f>
        <v>108</v>
      </c>
      <c r="B227" s="226" t="s">
        <v>904</v>
      </c>
      <c r="C227" s="227" t="s">
        <v>904</v>
      </c>
      <c r="D227" s="602" t="s">
        <v>905</v>
      </c>
      <c r="E227" s="12">
        <f t="shared" si="23"/>
        <v>178</v>
      </c>
      <c r="F227" s="602" t="s">
        <v>906</v>
      </c>
      <c r="G227" s="12">
        <f t="shared" si="24"/>
        <v>211</v>
      </c>
      <c r="H227" s="106" t="s">
        <v>127</v>
      </c>
      <c r="I227" s="12" t="s">
        <v>24</v>
      </c>
      <c r="J227" s="12" t="s">
        <v>24</v>
      </c>
      <c r="K227" s="12" t="s">
        <v>27</v>
      </c>
      <c r="L227" s="23" t="s">
        <v>907</v>
      </c>
      <c r="M227" s="72" t="s">
        <v>24</v>
      </c>
      <c r="N227" s="23" t="s">
        <v>908</v>
      </c>
      <c r="O227" s="23"/>
      <c r="P227" s="116"/>
      <c r="Q227" s="264">
        <v>1</v>
      </c>
      <c r="R227" s="130"/>
      <c r="T227" s="138" t="s">
        <v>23</v>
      </c>
      <c r="U227" s="137"/>
      <c r="X227" s="263">
        <v>13.777663230895996</v>
      </c>
      <c r="Y227" s="263">
        <f t="shared" si="22"/>
        <v>13.777663230895996</v>
      </c>
      <c r="Z227" s="130" t="str">
        <f t="shared" si="21"/>
        <v/>
      </c>
    </row>
    <row r="228" spans="1:26" s="136" customFormat="1" ht="84.95">
      <c r="A228" s="6">
        <f>A227+1</f>
        <v>109</v>
      </c>
      <c r="B228" s="224" t="s">
        <v>909</v>
      </c>
      <c r="C228" s="233" t="s">
        <v>909</v>
      </c>
      <c r="D228" s="602" t="s">
        <v>910</v>
      </c>
      <c r="E228" s="12">
        <f t="shared" si="23"/>
        <v>169</v>
      </c>
      <c r="F228" s="602" t="s">
        <v>911</v>
      </c>
      <c r="G228" s="12">
        <f t="shared" si="24"/>
        <v>217</v>
      </c>
      <c r="H228" s="106" t="s">
        <v>127</v>
      </c>
      <c r="I228" s="12" t="s">
        <v>24</v>
      </c>
      <c r="J228" s="12" t="s">
        <v>24</v>
      </c>
      <c r="K228" s="12" t="s">
        <v>27</v>
      </c>
      <c r="L228" s="23" t="s">
        <v>912</v>
      </c>
      <c r="M228" s="72" t="s">
        <v>24</v>
      </c>
      <c r="N228" s="23" t="s">
        <v>913</v>
      </c>
      <c r="O228" s="23"/>
      <c r="P228" s="117"/>
      <c r="Q228" s="264">
        <v>1</v>
      </c>
      <c r="R228" s="130"/>
      <c r="T228" s="138" t="s">
        <v>23</v>
      </c>
      <c r="U228" s="137"/>
      <c r="X228" s="263">
        <v>12.399773597717285</v>
      </c>
      <c r="Y228" s="263">
        <f t="shared" si="22"/>
        <v>12.399773597717285</v>
      </c>
      <c r="Z228" s="130" t="str">
        <f t="shared" si="21"/>
        <v/>
      </c>
    </row>
    <row r="229" spans="1:26" s="136" customFormat="1" ht="86.1" thickBot="1">
      <c r="A229" s="6">
        <f>A228+1</f>
        <v>110</v>
      </c>
      <c r="B229" s="224" t="s">
        <v>914</v>
      </c>
      <c r="C229" s="233" t="s">
        <v>914</v>
      </c>
      <c r="D229" s="33" t="s">
        <v>915</v>
      </c>
      <c r="E229" s="12">
        <f t="shared" si="23"/>
        <v>190</v>
      </c>
      <c r="F229" s="33" t="s">
        <v>916</v>
      </c>
      <c r="G229" s="12">
        <f t="shared" si="24"/>
        <v>230</v>
      </c>
      <c r="H229" s="106" t="s">
        <v>127</v>
      </c>
      <c r="I229" s="16" t="s">
        <v>24</v>
      </c>
      <c r="J229" s="16" t="s">
        <v>24</v>
      </c>
      <c r="K229" s="12" t="s">
        <v>27</v>
      </c>
      <c r="L229" s="21" t="s">
        <v>917</v>
      </c>
      <c r="M229" s="72" t="s">
        <v>24</v>
      </c>
      <c r="N229" s="21" t="s">
        <v>918</v>
      </c>
      <c r="O229" s="21"/>
      <c r="P229" s="117"/>
      <c r="Q229" s="264">
        <v>1</v>
      </c>
      <c r="R229" s="130"/>
      <c r="T229" s="138" t="s">
        <v>23</v>
      </c>
      <c r="U229" s="137"/>
      <c r="X229" s="263">
        <v>13.343881607055664</v>
      </c>
      <c r="Y229" s="263">
        <f t="shared" si="22"/>
        <v>13.343881607055664</v>
      </c>
      <c r="Z229" s="130" t="str">
        <f t="shared" si="21"/>
        <v/>
      </c>
    </row>
    <row r="230" spans="1:26" s="402" customFormat="1" ht="17.100000000000001" thickBot="1">
      <c r="A230" s="567" t="s">
        <v>919</v>
      </c>
      <c r="B230" s="568"/>
      <c r="C230" s="568"/>
      <c r="D230" s="568"/>
      <c r="E230" s="568"/>
      <c r="F230" s="568"/>
      <c r="G230" s="568"/>
      <c r="H230" s="568"/>
      <c r="I230" s="568"/>
      <c r="J230" s="568"/>
      <c r="K230" s="568"/>
      <c r="L230" s="568"/>
      <c r="M230" s="568"/>
      <c r="N230" s="568"/>
      <c r="O230" s="568"/>
      <c r="P230" s="569"/>
      <c r="Q230" s="259"/>
      <c r="R230" s="407"/>
      <c r="T230" s="405"/>
      <c r="U230" s="408"/>
      <c r="X230" s="262"/>
      <c r="Y230" s="262" t="str">
        <f t="shared" si="22"/>
        <v/>
      </c>
      <c r="Z230" s="407" t="str">
        <f t="shared" si="21"/>
        <v/>
      </c>
    </row>
    <row r="231" spans="1:26" s="221" customFormat="1" ht="291.75">
      <c r="A231" s="314">
        <f>A229+1</f>
        <v>111</v>
      </c>
      <c r="B231" s="223" t="s">
        <v>920</v>
      </c>
      <c r="C231" s="135" t="s">
        <v>920</v>
      </c>
      <c r="D231" s="134" t="s">
        <v>921</v>
      </c>
      <c r="E231" s="133">
        <f>LEN(D231)</f>
        <v>222</v>
      </c>
      <c r="F231" s="195" t="s">
        <v>922</v>
      </c>
      <c r="G231" s="133">
        <f>LEN(F231)</f>
        <v>235</v>
      </c>
      <c r="H231" s="143" t="s">
        <v>37</v>
      </c>
      <c r="I231" s="133" t="s">
        <v>24</v>
      </c>
      <c r="J231" s="586" t="s">
        <v>923</v>
      </c>
      <c r="K231" s="141" t="s">
        <v>38</v>
      </c>
      <c r="L231" s="132" t="s">
        <v>924</v>
      </c>
      <c r="M231" s="208" t="s">
        <v>24</v>
      </c>
      <c r="N231" s="132" t="s">
        <v>925</v>
      </c>
      <c r="O231" s="78"/>
      <c r="P231" s="1"/>
      <c r="Q231" s="259">
        <v>1</v>
      </c>
      <c r="R231" s="131"/>
      <c r="T231" s="409" t="s">
        <v>33</v>
      </c>
      <c r="U231" s="215"/>
      <c r="X231" s="266">
        <v>14.472773551940918</v>
      </c>
      <c r="Y231" s="262">
        <f t="shared" si="22"/>
        <v>14.472773551940918</v>
      </c>
      <c r="Z231" s="130">
        <f t="shared" si="21"/>
        <v>14.472773551940918</v>
      </c>
    </row>
    <row r="232" spans="1:26" s="136" customFormat="1" ht="409.6">
      <c r="A232" s="38">
        <f>A231+1</f>
        <v>112</v>
      </c>
      <c r="B232" s="223" t="s">
        <v>926</v>
      </c>
      <c r="C232" s="397" t="s">
        <v>927</v>
      </c>
      <c r="D232" s="383" t="s">
        <v>928</v>
      </c>
      <c r="E232" s="141">
        <f>LEN(D232)</f>
        <v>1207</v>
      </c>
      <c r="F232" s="418" t="s">
        <v>929</v>
      </c>
      <c r="G232" s="141">
        <f>LEN(F232)</f>
        <v>1417</v>
      </c>
      <c r="H232" s="142" t="s">
        <v>405</v>
      </c>
      <c r="I232" s="141" t="s">
        <v>24</v>
      </c>
      <c r="J232" s="141" t="s">
        <v>24</v>
      </c>
      <c r="K232" s="141" t="s">
        <v>930</v>
      </c>
      <c r="L232" s="140" t="s">
        <v>931</v>
      </c>
      <c r="M232" s="208" t="s">
        <v>932</v>
      </c>
      <c r="N232" s="139" t="s">
        <v>933</v>
      </c>
      <c r="O232" s="162"/>
      <c r="P232" s="2"/>
      <c r="Q232" s="259">
        <v>1</v>
      </c>
      <c r="R232" s="130"/>
      <c r="T232" s="405" t="s">
        <v>33</v>
      </c>
      <c r="U232" s="137"/>
      <c r="X232" s="262">
        <v>33.740764617919922</v>
      </c>
      <c r="Y232" s="262">
        <f t="shared" si="22"/>
        <v>33.740764617919922</v>
      </c>
      <c r="Z232" s="130">
        <f t="shared" si="21"/>
        <v>33.740764617919922</v>
      </c>
    </row>
    <row r="233" spans="1:26" s="136" customFormat="1">
      <c r="A233" s="103"/>
      <c r="B233" s="251"/>
      <c r="C233" s="91"/>
      <c r="D233" s="80"/>
      <c r="E233" s="94"/>
      <c r="F233" s="94"/>
      <c r="G233" s="94"/>
      <c r="H233" s="104"/>
      <c r="I233" s="94"/>
      <c r="J233" s="94"/>
      <c r="K233" s="94"/>
      <c r="L233" s="86"/>
      <c r="M233" s="71"/>
      <c r="N233" s="250"/>
      <c r="O233" s="250"/>
      <c r="P233" s="2"/>
      <c r="Q233" s="264">
        <v>1</v>
      </c>
      <c r="R233" s="130"/>
      <c r="T233" s="138"/>
      <c r="U233" s="137"/>
      <c r="X233" s="263"/>
      <c r="Y233" s="263" t="str">
        <f t="shared" si="22"/>
        <v/>
      </c>
      <c r="Z233" s="130" t="str">
        <f t="shared" si="21"/>
        <v/>
      </c>
    </row>
    <row r="234" spans="1:26" s="136" customFormat="1" ht="323.10000000000002">
      <c r="A234" s="332">
        <f>A232+1</f>
        <v>113</v>
      </c>
      <c r="B234" s="173" t="s">
        <v>934</v>
      </c>
      <c r="C234" s="142" t="s">
        <v>935</v>
      </c>
      <c r="D234" s="383" t="s">
        <v>936</v>
      </c>
      <c r="E234" s="124">
        <f>LEN(D234)</f>
        <v>497</v>
      </c>
      <c r="F234" s="513" t="s">
        <v>937</v>
      </c>
      <c r="G234" s="124">
        <f>LEN(F234)</f>
        <v>640</v>
      </c>
      <c r="H234" s="398" t="s">
        <v>405</v>
      </c>
      <c r="I234" s="124" t="s">
        <v>24</v>
      </c>
      <c r="J234" s="124" t="s">
        <v>24</v>
      </c>
      <c r="K234" s="124" t="s">
        <v>938</v>
      </c>
      <c r="L234" s="379" t="s">
        <v>939</v>
      </c>
      <c r="M234" s="208" t="s">
        <v>940</v>
      </c>
      <c r="N234" s="379" t="s">
        <v>941</v>
      </c>
      <c r="O234" s="86"/>
      <c r="P234" s="2"/>
      <c r="Q234" s="264">
        <v>1</v>
      </c>
      <c r="R234" s="130"/>
      <c r="T234" s="405" t="s">
        <v>33</v>
      </c>
      <c r="U234" s="137"/>
      <c r="X234" s="262">
        <v>14.550599098205566</v>
      </c>
      <c r="Y234" s="262">
        <f t="shared" si="22"/>
        <v>14.550599098205566</v>
      </c>
      <c r="Z234" s="130">
        <f t="shared" si="21"/>
        <v>14.550599098205566</v>
      </c>
    </row>
    <row r="235" spans="1:26" s="136" customFormat="1" ht="255">
      <c r="A235" s="332">
        <f>A234+1</f>
        <v>114</v>
      </c>
      <c r="B235" s="399" t="s">
        <v>942</v>
      </c>
      <c r="C235" s="400" t="s">
        <v>942</v>
      </c>
      <c r="D235" s="383" t="s">
        <v>943</v>
      </c>
      <c r="E235" s="124">
        <f>LEN(D235)</f>
        <v>460</v>
      </c>
      <c r="F235" s="420" t="s">
        <v>944</v>
      </c>
      <c r="G235" s="124">
        <f>LEN(F235)</f>
        <v>515</v>
      </c>
      <c r="H235" s="398" t="s">
        <v>37</v>
      </c>
      <c r="I235" s="124" t="s">
        <v>24</v>
      </c>
      <c r="J235" s="401" t="s">
        <v>24</v>
      </c>
      <c r="K235" s="124" t="s">
        <v>38</v>
      </c>
      <c r="L235" s="395" t="s">
        <v>945</v>
      </c>
      <c r="M235" s="208" t="s">
        <v>24</v>
      </c>
      <c r="N235" s="140" t="s">
        <v>946</v>
      </c>
      <c r="O235" s="71"/>
      <c r="P235" s="2"/>
      <c r="Q235" s="264">
        <v>1</v>
      </c>
      <c r="R235" s="130"/>
      <c r="T235" s="405" t="s">
        <v>33</v>
      </c>
      <c r="U235" s="137"/>
      <c r="X235" s="262">
        <v>10.812456130981445</v>
      </c>
      <c r="Y235" s="262">
        <f t="shared" si="22"/>
        <v>10.812456130981445</v>
      </c>
      <c r="Z235" s="130">
        <f t="shared" si="21"/>
        <v>10.812456130981445</v>
      </c>
    </row>
    <row r="236" spans="1:26" s="136" customFormat="1">
      <c r="A236" s="103"/>
      <c r="B236" s="251"/>
      <c r="C236" s="91"/>
      <c r="D236" s="80"/>
      <c r="E236" s="94"/>
      <c r="F236" s="94"/>
      <c r="G236" s="94"/>
      <c r="H236" s="104"/>
      <c r="I236" s="94"/>
      <c r="J236" s="94"/>
      <c r="K236" s="94"/>
      <c r="L236" s="86"/>
      <c r="M236" s="71"/>
      <c r="N236" s="250"/>
      <c r="O236" s="334"/>
      <c r="P236" s="42"/>
      <c r="Q236" s="264">
        <v>1</v>
      </c>
      <c r="R236" s="130"/>
      <c r="T236" s="138"/>
      <c r="U236" s="137"/>
      <c r="X236" s="263"/>
      <c r="Y236" s="263" t="str">
        <f t="shared" si="22"/>
        <v/>
      </c>
      <c r="Z236" s="130" t="str">
        <f t="shared" si="21"/>
        <v/>
      </c>
    </row>
    <row r="237" spans="1:26" s="136" customFormat="1" ht="186.95">
      <c r="A237" s="32"/>
      <c r="B237" s="44" t="s">
        <v>947</v>
      </c>
      <c r="C237" s="403" t="s">
        <v>948</v>
      </c>
      <c r="D237" s="361" t="s">
        <v>949</v>
      </c>
      <c r="E237" s="15">
        <f>LEN(D237)</f>
        <v>188</v>
      </c>
      <c r="F237" s="431" t="s">
        <v>950</v>
      </c>
      <c r="G237" s="15">
        <f>LEN(F237)</f>
        <v>227</v>
      </c>
      <c r="H237" s="364" t="s">
        <v>244</v>
      </c>
      <c r="I237" s="15" t="s">
        <v>24</v>
      </c>
      <c r="J237" s="404" t="s">
        <v>24</v>
      </c>
      <c r="K237" s="15" t="s">
        <v>951</v>
      </c>
      <c r="L237" s="34" t="s">
        <v>952</v>
      </c>
      <c r="M237" s="72" t="s">
        <v>953</v>
      </c>
      <c r="N237" s="23" t="s">
        <v>954</v>
      </c>
      <c r="O237" s="335"/>
      <c r="P237" s="63"/>
      <c r="Q237" s="264">
        <v>1</v>
      </c>
      <c r="R237" s="130"/>
      <c r="T237" s="138" t="s">
        <v>23</v>
      </c>
      <c r="U237" s="137"/>
      <c r="X237" s="263">
        <v>10.812456130981445</v>
      </c>
      <c r="Y237" s="263">
        <f t="shared" si="22"/>
        <v>10.812456130981445</v>
      </c>
      <c r="Z237" s="130" t="str">
        <f t="shared" si="21"/>
        <v/>
      </c>
    </row>
    <row r="238" spans="1:26" s="136" customFormat="1" ht="17.100000000000001" thickBot="1">
      <c r="A238" s="103"/>
      <c r="B238" s="251"/>
      <c r="C238" s="91"/>
      <c r="D238" s="80"/>
      <c r="E238" s="94"/>
      <c r="F238" s="94"/>
      <c r="G238" s="94"/>
      <c r="H238" s="104"/>
      <c r="I238" s="94"/>
      <c r="J238" s="94"/>
      <c r="K238" s="94"/>
      <c r="L238" s="86"/>
      <c r="M238" s="71"/>
      <c r="N238" s="250"/>
      <c r="O238" s="250"/>
      <c r="P238" s="2"/>
      <c r="Q238" s="264">
        <v>1</v>
      </c>
      <c r="R238" s="130"/>
      <c r="T238" s="138"/>
      <c r="U238" s="137"/>
      <c r="X238" s="263"/>
      <c r="Y238" s="263" t="str">
        <f t="shared" si="22"/>
        <v/>
      </c>
      <c r="Z238" s="130" t="str">
        <f t="shared" si="21"/>
        <v/>
      </c>
    </row>
    <row r="239" spans="1:26" s="402" customFormat="1" ht="17.100000000000001" thickBot="1">
      <c r="A239" s="567" t="s">
        <v>955</v>
      </c>
      <c r="B239" s="568"/>
      <c r="C239" s="568"/>
      <c r="D239" s="568"/>
      <c r="E239" s="568"/>
      <c r="F239" s="568"/>
      <c r="G239" s="568"/>
      <c r="H239" s="568"/>
      <c r="I239" s="568"/>
      <c r="J239" s="568"/>
      <c r="K239" s="568"/>
      <c r="L239" s="568"/>
      <c r="M239" s="568"/>
      <c r="N239" s="568"/>
      <c r="O239" s="568"/>
      <c r="P239" s="569"/>
      <c r="Q239" s="259"/>
      <c r="R239" s="407"/>
      <c r="T239" s="405"/>
      <c r="U239" s="408"/>
      <c r="X239" s="262"/>
      <c r="Y239" s="262" t="str">
        <f t="shared" si="22"/>
        <v/>
      </c>
      <c r="Z239" s="407" t="str">
        <f t="shared" si="21"/>
        <v/>
      </c>
    </row>
    <row r="240" spans="1:26" s="136" customFormat="1" ht="119.1">
      <c r="A240" s="90" t="s">
        <v>24</v>
      </c>
      <c r="B240" s="223" t="s">
        <v>956</v>
      </c>
      <c r="C240" s="135" t="s">
        <v>956</v>
      </c>
      <c r="D240" s="134" t="s">
        <v>957</v>
      </c>
      <c r="E240" s="133">
        <f t="shared" ref="E240:E242" si="25">LEN(D240)</f>
        <v>162</v>
      </c>
      <c r="F240" s="432" t="s">
        <v>958</v>
      </c>
      <c r="G240" s="133">
        <f t="shared" ref="G240:G242" si="26">LEN(F240)</f>
        <v>173</v>
      </c>
      <c r="H240" s="133" t="s">
        <v>37</v>
      </c>
      <c r="I240" s="133" t="s">
        <v>24</v>
      </c>
      <c r="J240" s="133" t="s">
        <v>24</v>
      </c>
      <c r="K240" s="133" t="s">
        <v>38</v>
      </c>
      <c r="L240" s="132" t="s">
        <v>959</v>
      </c>
      <c r="M240" s="208" t="s">
        <v>24</v>
      </c>
      <c r="N240" s="132" t="s">
        <v>960</v>
      </c>
      <c r="O240" s="78"/>
      <c r="P240" s="1"/>
      <c r="Q240" s="259">
        <v>1</v>
      </c>
      <c r="R240" s="130"/>
      <c r="T240" s="405" t="s">
        <v>33</v>
      </c>
      <c r="U240" s="137"/>
      <c r="X240" s="262">
        <v>14.946464538574219</v>
      </c>
      <c r="Y240" s="262">
        <f t="shared" si="22"/>
        <v>14.946464538574219</v>
      </c>
      <c r="Z240" s="130">
        <f t="shared" si="21"/>
        <v>14.946464538574219</v>
      </c>
    </row>
    <row r="241" spans="1:26" s="276" customFormat="1" ht="204">
      <c r="A241" s="313"/>
      <c r="B241" s="277" t="s">
        <v>961</v>
      </c>
      <c r="C241" s="278" t="s">
        <v>962</v>
      </c>
      <c r="D241" s="363" t="s">
        <v>963</v>
      </c>
      <c r="E241" s="279">
        <f t="shared" si="25"/>
        <v>166</v>
      </c>
      <c r="F241" s="433" t="s">
        <v>964</v>
      </c>
      <c r="G241" s="279">
        <f t="shared" si="26"/>
        <v>224</v>
      </c>
      <c r="H241" s="279" t="s">
        <v>244</v>
      </c>
      <c r="I241" s="279" t="s">
        <v>24</v>
      </c>
      <c r="J241" s="279" t="s">
        <v>24</v>
      </c>
      <c r="K241" s="279" t="s">
        <v>830</v>
      </c>
      <c r="L241" s="280" t="s">
        <v>965</v>
      </c>
      <c r="M241" s="208" t="s">
        <v>24</v>
      </c>
      <c r="N241" s="281" t="s">
        <v>966</v>
      </c>
      <c r="O241" s="270"/>
      <c r="P241" s="282"/>
      <c r="Q241" s="271">
        <v>1</v>
      </c>
      <c r="R241" s="274"/>
      <c r="T241" s="406" t="s">
        <v>140</v>
      </c>
      <c r="X241" s="416">
        <v>19.354913711547852</v>
      </c>
      <c r="Y241" s="262">
        <f t="shared" ref="Y241:Y245" si="27">IF(X241="","",X241*Q241)</f>
        <v>19.354913711547852</v>
      </c>
      <c r="Z241" s="130" t="str">
        <f t="shared" si="21"/>
        <v/>
      </c>
    </row>
    <row r="242" spans="1:26" s="276" customFormat="1" ht="120" customHeight="1">
      <c r="A242" s="313"/>
      <c r="B242" s="277" t="s">
        <v>967</v>
      </c>
      <c r="C242" s="278" t="s">
        <v>968</v>
      </c>
      <c r="D242" s="433" t="s">
        <v>969</v>
      </c>
      <c r="E242" s="279">
        <f t="shared" si="25"/>
        <v>130</v>
      </c>
      <c r="F242" s="433" t="s">
        <v>970</v>
      </c>
      <c r="G242" s="279">
        <f t="shared" si="26"/>
        <v>130</v>
      </c>
      <c r="H242" s="279" t="s">
        <v>244</v>
      </c>
      <c r="I242" s="279" t="s">
        <v>24</v>
      </c>
      <c r="J242" s="279" t="s">
        <v>24</v>
      </c>
      <c r="K242" s="279" t="s">
        <v>830</v>
      </c>
      <c r="L242" s="280" t="s">
        <v>971</v>
      </c>
      <c r="M242" s="208" t="s">
        <v>24</v>
      </c>
      <c r="N242" s="281" t="s">
        <v>972</v>
      </c>
      <c r="O242" s="270"/>
      <c r="P242" s="282"/>
      <c r="Q242" s="271">
        <v>1</v>
      </c>
      <c r="R242" s="274"/>
      <c r="T242" s="406" t="s">
        <v>140</v>
      </c>
      <c r="X242" s="416">
        <v>15.889399528503418</v>
      </c>
      <c r="Y242" s="262">
        <f t="shared" si="27"/>
        <v>15.889399528503418</v>
      </c>
      <c r="Z242" s="130" t="str">
        <f t="shared" si="21"/>
        <v/>
      </c>
    </row>
    <row r="243" spans="1:26" s="128" customFormat="1">
      <c r="A243" s="249"/>
      <c r="B243" s="248"/>
      <c r="C243" s="247"/>
      <c r="D243" s="246"/>
      <c r="E243" s="245"/>
      <c r="G243" s="245"/>
      <c r="H243" s="245"/>
      <c r="I243" s="244"/>
      <c r="J243" s="244"/>
      <c r="K243" s="244"/>
      <c r="L243" s="243"/>
      <c r="M243" s="76"/>
      <c r="N243" s="243"/>
      <c r="O243" s="242"/>
      <c r="P243" s="241"/>
      <c r="Q243" s="264">
        <v>1</v>
      </c>
      <c r="R243" s="130"/>
      <c r="T243" s="129"/>
      <c r="X243" s="267"/>
      <c r="Y243" s="263" t="str">
        <f t="shared" si="27"/>
        <v/>
      </c>
      <c r="Z243" s="130" t="str">
        <f t="shared" si="21"/>
        <v/>
      </c>
    </row>
    <row r="244" spans="1:26" s="221" customFormat="1" ht="102.95" thickBot="1">
      <c r="A244" s="312" t="s">
        <v>24</v>
      </c>
      <c r="B244" s="222" t="s">
        <v>973</v>
      </c>
      <c r="C244" s="126" t="s">
        <v>973</v>
      </c>
      <c r="D244" s="603" t="s">
        <v>974</v>
      </c>
      <c r="E244" s="125">
        <f>LEN(D244)</f>
        <v>158</v>
      </c>
      <c r="F244" s="587" t="s">
        <v>975</v>
      </c>
      <c r="G244" s="125">
        <f>LEN(F244)</f>
        <v>157</v>
      </c>
      <c r="H244" s="125" t="s">
        <v>37</v>
      </c>
      <c r="I244" s="125" t="s">
        <v>24</v>
      </c>
      <c r="J244" s="125" t="s">
        <v>24</v>
      </c>
      <c r="K244" s="125" t="s">
        <v>38</v>
      </c>
      <c r="L244" s="146" t="s">
        <v>976</v>
      </c>
      <c r="M244" s="208" t="s">
        <v>24</v>
      </c>
      <c r="N244" s="240" t="s">
        <v>24</v>
      </c>
      <c r="O244" s="111"/>
      <c r="P244" s="239"/>
      <c r="Q244" s="259">
        <v>1</v>
      </c>
      <c r="R244" s="130"/>
      <c r="T244" s="405" t="s">
        <v>33</v>
      </c>
      <c r="U244" s="137"/>
      <c r="X244" s="262">
        <v>17.309154088391789</v>
      </c>
      <c r="Y244" s="262">
        <f t="shared" si="27"/>
        <v>17.309154088391789</v>
      </c>
      <c r="Z244" s="130">
        <f t="shared" si="21"/>
        <v>17.309154088391789</v>
      </c>
    </row>
    <row r="245" spans="1:26" s="136" customFormat="1" ht="35.1" thickBot="1">
      <c r="A245" s="311" t="s">
        <v>24</v>
      </c>
      <c r="B245" s="220" t="s">
        <v>977</v>
      </c>
      <c r="C245" s="123" t="s">
        <v>977</v>
      </c>
      <c r="D245" s="122" t="s">
        <v>978</v>
      </c>
      <c r="E245" s="121">
        <f>LEN(D245)</f>
        <v>141</v>
      </c>
      <c r="F245" s="122" t="s">
        <v>979</v>
      </c>
      <c r="G245" s="121">
        <f>LEN(F245)</f>
        <v>141</v>
      </c>
      <c r="H245" s="121" t="s">
        <v>24</v>
      </c>
      <c r="I245" s="121" t="s">
        <v>24</v>
      </c>
      <c r="J245" s="121" t="s">
        <v>24</v>
      </c>
      <c r="K245" s="121" t="s">
        <v>24</v>
      </c>
      <c r="L245" s="120" t="s">
        <v>24</v>
      </c>
      <c r="M245" s="120"/>
      <c r="N245" s="119" t="s">
        <v>24</v>
      </c>
      <c r="O245" s="88"/>
      <c r="P245" s="89"/>
      <c r="Q245" s="259">
        <v>1</v>
      </c>
      <c r="R245" s="137"/>
      <c r="T245" s="138" t="s">
        <v>23</v>
      </c>
      <c r="U245" s="137"/>
      <c r="X245" s="268"/>
      <c r="Y245" s="262" t="str">
        <f t="shared" si="27"/>
        <v/>
      </c>
      <c r="Z245" s="130" t="str">
        <f t="shared" si="21"/>
        <v/>
      </c>
    </row>
    <row r="246" spans="1:26">
      <c r="X246" s="310"/>
    </row>
    <row r="247" spans="1:26" ht="17.100000000000001" thickBot="1"/>
    <row r="248" spans="1:26" ht="18" customHeight="1" thickBot="1">
      <c r="D248" s="219" t="s">
        <v>980</v>
      </c>
      <c r="E248" s="218"/>
      <c r="F248" s="219"/>
      <c r="G248" s="218"/>
      <c r="H248" s="218"/>
      <c r="I248" s="218"/>
      <c r="J248" s="218"/>
      <c r="K248" s="218"/>
      <c r="L248" s="218"/>
      <c r="M248" s="218"/>
      <c r="N248" s="218"/>
      <c r="O248" s="218"/>
      <c r="P248" s="218"/>
      <c r="Q248" s="304"/>
      <c r="X248" s="305"/>
      <c r="Y248" s="413">
        <f>(SUM(Y5:Y246))/60</f>
        <v>33.746441443012543</v>
      </c>
      <c r="Z248" s="412">
        <f>SUM(Z2:Z245)/60</f>
        <v>17.196160773249527</v>
      </c>
    </row>
    <row r="249" spans="1:26" ht="18" hidden="1" thickBot="1">
      <c r="D249" s="309" t="s">
        <v>981</v>
      </c>
      <c r="E249" s="308"/>
      <c r="F249" s="309"/>
      <c r="G249" s="308"/>
      <c r="H249" s="308"/>
      <c r="I249" s="308"/>
      <c r="J249" s="308"/>
      <c r="K249" s="308"/>
      <c r="L249" s="308"/>
      <c r="M249" s="308"/>
      <c r="N249" s="308"/>
      <c r="O249" s="308"/>
      <c r="P249" s="308"/>
      <c r="Q249" s="306"/>
      <c r="X249" s="307"/>
      <c r="Y249" s="414">
        <f>(SUM(Y6:Y159)+SUM(Y180:Y246))/60</f>
        <v>33.646798273967093</v>
      </c>
    </row>
    <row r="250" spans="1:26" ht="18" thickBot="1">
      <c r="D250" s="219" t="s">
        <v>982</v>
      </c>
      <c r="E250" s="218"/>
      <c r="F250" s="219"/>
      <c r="G250" s="218"/>
      <c r="H250" s="218"/>
      <c r="I250" s="218"/>
      <c r="J250" s="218"/>
      <c r="K250" s="218"/>
      <c r="L250" s="218"/>
      <c r="M250" s="218"/>
      <c r="N250" s="218"/>
      <c r="O250" s="218"/>
      <c r="P250" s="218"/>
      <c r="Q250" s="304"/>
      <c r="X250" s="305"/>
      <c r="Y250" s="415">
        <f>(SUM(Y6:Y26)+SUM(Y35:Y159)+SUM(Y179:Y240)+SUM(Y243:Y246))/60</f>
        <v>31.326843238916378</v>
      </c>
    </row>
  </sheetData>
  <sheetProtection algorithmName="SHA-512" hashValue="lVju/cCFZCBBZVYLTIeAkes3e8t2jK+EcLEDIrAoZ+nvCNO8sqILAYvG21EUMTwGhgRebGcyLmxrycUtwg+VBA==" saltValue="zYqSRrFrvFzVzk0+NuyAdQ==" spinCount="100000" sheet="1" formatCells="0" formatRows="0" insertRows="0" deleteRows="0"/>
  <mergeCells count="22">
    <mergeCell ref="A230:P230"/>
    <mergeCell ref="A239:P239"/>
    <mergeCell ref="A101:P101"/>
    <mergeCell ref="A130:P130"/>
    <mergeCell ref="A138:P138"/>
    <mergeCell ref="A152:P152"/>
    <mergeCell ref="A160:P160"/>
    <mergeCell ref="A179:P179"/>
    <mergeCell ref="P119:P122"/>
    <mergeCell ref="A59:P59"/>
    <mergeCell ref="P66:P67"/>
    <mergeCell ref="P78:P79"/>
    <mergeCell ref="P90:P91"/>
    <mergeCell ref="A171:P171"/>
    <mergeCell ref="N36:N37"/>
    <mergeCell ref="A42:P42"/>
    <mergeCell ref="P49:P51"/>
    <mergeCell ref="A1:P1"/>
    <mergeCell ref="A2:O2"/>
    <mergeCell ref="P2:P3"/>
    <mergeCell ref="A4:P4"/>
    <mergeCell ref="A21:P21"/>
  </mergeCells>
  <conditionalFormatting sqref="B14 B16:B19">
    <cfRule type="duplicateValues" dxfId="184" priority="718"/>
  </conditionalFormatting>
  <conditionalFormatting sqref="B15">
    <cfRule type="duplicateValues" dxfId="183" priority="60"/>
    <cfRule type="duplicateValues" dxfId="182" priority="61"/>
  </conditionalFormatting>
  <conditionalFormatting sqref="B20">
    <cfRule type="duplicateValues" dxfId="181" priority="717"/>
  </conditionalFormatting>
  <conditionalFormatting sqref="B28">
    <cfRule type="duplicateValues" dxfId="180" priority="575"/>
  </conditionalFormatting>
  <conditionalFormatting sqref="B34:B35">
    <cfRule type="duplicateValues" dxfId="179" priority="568"/>
  </conditionalFormatting>
  <conditionalFormatting sqref="B36:B37">
    <cfRule type="duplicateValues" dxfId="178" priority="338"/>
  </conditionalFormatting>
  <conditionalFormatting sqref="B38">
    <cfRule type="duplicateValues" dxfId="177" priority="327"/>
  </conditionalFormatting>
  <conditionalFormatting sqref="B40:B41">
    <cfRule type="duplicateValues" dxfId="176" priority="1"/>
  </conditionalFormatting>
  <conditionalFormatting sqref="B49">
    <cfRule type="duplicateValues" dxfId="175" priority="729"/>
  </conditionalFormatting>
  <conditionalFormatting sqref="B50">
    <cfRule type="duplicateValues" dxfId="174" priority="731"/>
  </conditionalFormatting>
  <conditionalFormatting sqref="B51:B52">
    <cfRule type="duplicateValues" dxfId="173" priority="689"/>
  </conditionalFormatting>
  <conditionalFormatting sqref="B55:B56">
    <cfRule type="duplicateValues" dxfId="172" priority="687"/>
  </conditionalFormatting>
  <conditionalFormatting sqref="B62:B64">
    <cfRule type="duplicateValues" dxfId="171" priority="337"/>
  </conditionalFormatting>
  <conditionalFormatting sqref="B67 B70">
    <cfRule type="duplicateValues" dxfId="170" priority="715"/>
  </conditionalFormatting>
  <conditionalFormatting sqref="B68">
    <cfRule type="duplicateValues" dxfId="169" priority="353"/>
  </conditionalFormatting>
  <conditionalFormatting sqref="B69">
    <cfRule type="duplicateValues" dxfId="168" priority="355"/>
  </conditionalFormatting>
  <conditionalFormatting sqref="B74:B76">
    <cfRule type="duplicateValues" dxfId="167" priority="333"/>
  </conditionalFormatting>
  <conditionalFormatting sqref="B77">
    <cfRule type="duplicateValues" dxfId="166" priority="850"/>
  </conditionalFormatting>
  <conditionalFormatting sqref="B78">
    <cfRule type="duplicateValues" dxfId="165" priority="682"/>
  </conditionalFormatting>
  <conditionalFormatting sqref="B79 B82">
    <cfRule type="duplicateValues" dxfId="164" priority="713"/>
  </conditionalFormatting>
  <conditionalFormatting sqref="B80">
    <cfRule type="duplicateValues" dxfId="163" priority="346"/>
  </conditionalFormatting>
  <conditionalFormatting sqref="B81">
    <cfRule type="duplicateValues" dxfId="162" priority="347"/>
  </conditionalFormatting>
  <conditionalFormatting sqref="B86:B88">
    <cfRule type="duplicateValues" dxfId="161" priority="329"/>
  </conditionalFormatting>
  <conditionalFormatting sqref="B89">
    <cfRule type="duplicateValues" dxfId="160" priority="888"/>
  </conditionalFormatting>
  <conditionalFormatting sqref="B91">
    <cfRule type="duplicateValues" dxfId="159" priority="711"/>
  </conditionalFormatting>
  <conditionalFormatting sqref="B92">
    <cfRule type="duplicateValues" dxfId="158" priority="344"/>
  </conditionalFormatting>
  <conditionalFormatting sqref="B93">
    <cfRule type="duplicateValues" dxfId="157" priority="345"/>
  </conditionalFormatting>
  <conditionalFormatting sqref="B94">
    <cfRule type="duplicateValues" dxfId="156" priority="342"/>
  </conditionalFormatting>
  <conditionalFormatting sqref="B95">
    <cfRule type="duplicateValues" dxfId="155" priority="343"/>
  </conditionalFormatting>
  <conditionalFormatting sqref="B96">
    <cfRule type="duplicateValues" dxfId="154" priority="535"/>
  </conditionalFormatting>
  <conditionalFormatting sqref="B100">
    <cfRule type="duplicateValues" dxfId="153" priority="675"/>
  </conditionalFormatting>
  <conditionalFormatting sqref="B111">
    <cfRule type="duplicateValues" dxfId="152" priority="339"/>
  </conditionalFormatting>
  <conditionalFormatting sqref="B115">
    <cfRule type="duplicateValues" dxfId="151" priority="528"/>
  </conditionalFormatting>
  <conditionalFormatting sqref="B116:B118">
    <cfRule type="duplicateValues" dxfId="150" priority="708"/>
  </conditionalFormatting>
  <conditionalFormatting sqref="B123">
    <cfRule type="duplicateValues" dxfId="149" priority="534"/>
  </conditionalFormatting>
  <conditionalFormatting sqref="B125">
    <cfRule type="duplicateValues" dxfId="148" priority="721"/>
  </conditionalFormatting>
  <conditionalFormatting sqref="B126">
    <cfRule type="duplicateValues" dxfId="147" priority="524"/>
  </conditionalFormatting>
  <conditionalFormatting sqref="B127">
    <cfRule type="duplicateValues" dxfId="146" priority="679"/>
  </conditionalFormatting>
  <conditionalFormatting sqref="B128">
    <cfRule type="duplicateValues" dxfId="145" priority="726"/>
  </conditionalFormatting>
  <conditionalFormatting sqref="B129">
    <cfRule type="duplicateValues" dxfId="144" priority="533"/>
  </conditionalFormatting>
  <conditionalFormatting sqref="B131:B132">
    <cfRule type="duplicateValues" dxfId="143" priority="768"/>
  </conditionalFormatting>
  <conditionalFormatting sqref="B135">
    <cfRule type="duplicateValues" dxfId="142" priority="572"/>
  </conditionalFormatting>
  <conditionalFormatting sqref="B137">
    <cfRule type="duplicateValues" dxfId="141" priority="326"/>
  </conditionalFormatting>
  <conditionalFormatting sqref="B140">
    <cfRule type="duplicateValues" dxfId="140" priority="571"/>
  </conditionalFormatting>
  <conditionalFormatting sqref="B146">
    <cfRule type="duplicateValues" dxfId="139" priority="722"/>
  </conditionalFormatting>
  <conditionalFormatting sqref="B147">
    <cfRule type="duplicateValues" dxfId="138" priority="532"/>
  </conditionalFormatting>
  <conditionalFormatting sqref="B149">
    <cfRule type="duplicateValues" dxfId="137" priority="720"/>
    <cfRule type="duplicateValues" dxfId="136" priority="719"/>
  </conditionalFormatting>
  <conditionalFormatting sqref="B150">
    <cfRule type="duplicateValues" dxfId="135" priority="725"/>
  </conditionalFormatting>
  <conditionalFormatting sqref="B151">
    <cfRule type="duplicateValues" dxfId="134" priority="531"/>
  </conditionalFormatting>
  <conditionalFormatting sqref="B156:B157">
    <cfRule type="duplicateValues" dxfId="133" priority="706"/>
  </conditionalFormatting>
  <conditionalFormatting sqref="B159">
    <cfRule type="duplicateValues" dxfId="132" priority="676"/>
  </conditionalFormatting>
  <conditionalFormatting sqref="B161">
    <cfRule type="duplicateValues" dxfId="131" priority="677"/>
  </conditionalFormatting>
  <conditionalFormatting sqref="B162">
    <cfRule type="duplicateValues" dxfId="130" priority="570"/>
  </conditionalFormatting>
  <conditionalFormatting sqref="B163:B164">
    <cfRule type="duplicateValues" dxfId="129" priority="705"/>
  </conditionalFormatting>
  <conditionalFormatting sqref="B170">
    <cfRule type="duplicateValues" dxfId="128" priority="530"/>
  </conditionalFormatting>
  <conditionalFormatting sqref="B174:B177">
    <cfRule type="duplicateValues" dxfId="127" priority="704"/>
  </conditionalFormatting>
  <conditionalFormatting sqref="B178">
    <cfRule type="duplicateValues" dxfId="126" priority="569"/>
  </conditionalFormatting>
  <conditionalFormatting sqref="B186">
    <cfRule type="duplicateValues" dxfId="125" priority="702"/>
  </conditionalFormatting>
  <conditionalFormatting sqref="B187">
    <cfRule type="duplicateValues" dxfId="124" priority="700"/>
  </conditionalFormatting>
  <conditionalFormatting sqref="B189">
    <cfRule type="duplicateValues" dxfId="123" priority="698"/>
  </conditionalFormatting>
  <conditionalFormatting sqref="B191">
    <cfRule type="duplicateValues" dxfId="122" priority="696"/>
  </conditionalFormatting>
  <conditionalFormatting sqref="B213">
    <cfRule type="duplicateValues" dxfId="121" priority="694"/>
  </conditionalFormatting>
  <conditionalFormatting sqref="B214:B222 B224:B226">
    <cfRule type="duplicateValues" dxfId="120" priority="727"/>
  </conditionalFormatting>
  <conditionalFormatting sqref="B223">
    <cfRule type="duplicateValues" dxfId="119" priority="582"/>
  </conditionalFormatting>
  <conditionalFormatting sqref="B227">
    <cfRule type="duplicateValues" dxfId="118" priority="580"/>
  </conditionalFormatting>
  <conditionalFormatting sqref="B228 C214:C222 C224:C226">
    <cfRule type="duplicateValues" dxfId="117" priority="1013"/>
  </conditionalFormatting>
  <conditionalFormatting sqref="B229">
    <cfRule type="duplicateValues" dxfId="116" priority="581"/>
  </conditionalFormatting>
  <conditionalFormatting sqref="B236">
    <cfRule type="duplicateValues" dxfId="115" priority="491"/>
  </conditionalFormatting>
  <conditionalFormatting sqref="B238">
    <cfRule type="duplicateValues" dxfId="114" priority="529"/>
  </conditionalFormatting>
  <conditionalFormatting sqref="B244:B249 B240 B231:B234 B188 B172:B173 B133:B134 B136 B2:B3 B153:B155 B71:B73 B83:B85 B124 B141:B145 B148:B149 B158 B165:B169 B180:B185 B190 B192 B45 B53:B54 B5 B24:B27 B212 B57:B58 B90 B97:B99 B107:B109 B7:B14 B29:B33 B47:B48 B39 B251:B1048576 B61 B65:B66 B16:B20">
    <cfRule type="duplicateValues" dxfId="113" priority="724"/>
  </conditionalFormatting>
  <conditionalFormatting sqref="B250">
    <cfRule type="duplicateValues" dxfId="112" priority="492"/>
  </conditionalFormatting>
  <conditionalFormatting sqref="C27">
    <cfRule type="duplicateValues" dxfId="111" priority="1022"/>
  </conditionalFormatting>
  <conditionalFormatting sqref="C28">
    <cfRule type="duplicateValues" dxfId="110" priority="1023"/>
  </conditionalFormatting>
  <conditionalFormatting sqref="C29:C30 C32:C33">
    <cfRule type="duplicateValues" dxfId="109" priority="1024"/>
  </conditionalFormatting>
  <conditionalFormatting sqref="C31">
    <cfRule type="duplicateValues" dxfId="108" priority="1029"/>
  </conditionalFormatting>
  <conditionalFormatting sqref="C34:C35">
    <cfRule type="duplicateValues" dxfId="107" priority="1028"/>
  </conditionalFormatting>
  <conditionalFormatting sqref="C39">
    <cfRule type="duplicateValues" dxfId="106" priority="994"/>
  </conditionalFormatting>
  <conditionalFormatting sqref="C49">
    <cfRule type="duplicateValues" dxfId="105" priority="1026"/>
  </conditionalFormatting>
  <conditionalFormatting sqref="C50">
    <cfRule type="duplicateValues" dxfId="104" priority="1027"/>
  </conditionalFormatting>
  <conditionalFormatting sqref="C51:C52">
    <cfRule type="duplicateValues" dxfId="103" priority="1010"/>
  </conditionalFormatting>
  <conditionalFormatting sqref="C55:C56">
    <cfRule type="duplicateValues" dxfId="102" priority="1011"/>
  </conditionalFormatting>
  <conditionalFormatting sqref="C57">
    <cfRule type="duplicateValues" dxfId="101" priority="1008"/>
  </conditionalFormatting>
  <conditionalFormatting sqref="C58">
    <cfRule type="duplicateValues" dxfId="100" priority="1009"/>
  </conditionalFormatting>
  <conditionalFormatting sqref="C62">
    <cfRule type="duplicateValues" dxfId="99" priority="335"/>
  </conditionalFormatting>
  <conditionalFormatting sqref="C63">
    <cfRule type="duplicateValues" dxfId="98" priority="334"/>
  </conditionalFormatting>
  <conditionalFormatting sqref="C64">
    <cfRule type="duplicateValues" dxfId="97" priority="336"/>
  </conditionalFormatting>
  <conditionalFormatting sqref="C65">
    <cfRule type="duplicateValues" dxfId="96" priority="1034"/>
  </conditionalFormatting>
  <conditionalFormatting sqref="C67 C70">
    <cfRule type="duplicateValues" dxfId="95" priority="995"/>
  </conditionalFormatting>
  <conditionalFormatting sqref="C68">
    <cfRule type="duplicateValues" dxfId="94" priority="1042"/>
  </conditionalFormatting>
  <conditionalFormatting sqref="C69">
    <cfRule type="duplicateValues" dxfId="93" priority="1041"/>
  </conditionalFormatting>
  <conditionalFormatting sqref="C74">
    <cfRule type="duplicateValues" dxfId="92" priority="331"/>
  </conditionalFormatting>
  <conditionalFormatting sqref="C75">
    <cfRule type="duplicateValues" dxfId="91" priority="330"/>
  </conditionalFormatting>
  <conditionalFormatting sqref="C76">
    <cfRule type="duplicateValues" dxfId="90" priority="332"/>
  </conditionalFormatting>
  <conditionalFormatting sqref="C77">
    <cfRule type="duplicateValues" dxfId="89" priority="1036"/>
  </conditionalFormatting>
  <conditionalFormatting sqref="C79 C82">
    <cfRule type="duplicateValues" dxfId="88" priority="997"/>
  </conditionalFormatting>
  <conditionalFormatting sqref="C80">
    <cfRule type="duplicateValues" dxfId="87" priority="1044"/>
  </conditionalFormatting>
  <conditionalFormatting sqref="C81">
    <cfRule type="duplicateValues" dxfId="86" priority="1043"/>
  </conditionalFormatting>
  <conditionalFormatting sqref="C86:C88">
    <cfRule type="duplicateValues" dxfId="85" priority="328"/>
  </conditionalFormatting>
  <conditionalFormatting sqref="C89">
    <cfRule type="duplicateValues" dxfId="84" priority="1038"/>
  </conditionalFormatting>
  <conditionalFormatting sqref="C91">
    <cfRule type="duplicateValues" dxfId="83" priority="999"/>
  </conditionalFormatting>
  <conditionalFormatting sqref="C92">
    <cfRule type="duplicateValues" dxfId="82" priority="1040"/>
  </conditionalFormatting>
  <conditionalFormatting sqref="C93">
    <cfRule type="duplicateValues" dxfId="81" priority="1039"/>
  </conditionalFormatting>
  <conditionalFormatting sqref="C94">
    <cfRule type="duplicateValues" dxfId="80" priority="1045"/>
  </conditionalFormatting>
  <conditionalFormatting sqref="C98">
    <cfRule type="duplicateValues" dxfId="79" priority="1000"/>
  </conditionalFormatting>
  <conditionalFormatting sqref="C111">
    <cfRule type="duplicateValues" dxfId="78" priority="1031"/>
  </conditionalFormatting>
  <conditionalFormatting sqref="C115">
    <cfRule type="duplicateValues" dxfId="77" priority="1030"/>
  </conditionalFormatting>
  <conditionalFormatting sqref="C116:C118">
    <cfRule type="duplicateValues" dxfId="76" priority="1001"/>
  </conditionalFormatting>
  <conditionalFormatting sqref="C127">
    <cfRule type="duplicateValues" dxfId="75" priority="1012"/>
  </conditionalFormatting>
  <conditionalFormatting sqref="C128">
    <cfRule type="duplicateValues" dxfId="74" priority="1017"/>
  </conditionalFormatting>
  <conditionalFormatting sqref="C131">
    <cfRule type="duplicateValues" dxfId="73" priority="1032"/>
  </conditionalFormatting>
  <conditionalFormatting sqref="C150">
    <cfRule type="duplicateValues" dxfId="72" priority="1016"/>
  </conditionalFormatting>
  <conditionalFormatting sqref="C174">
    <cfRule type="duplicateValues" dxfId="71" priority="1002"/>
  </conditionalFormatting>
  <conditionalFormatting sqref="C180">
    <cfRule type="duplicateValues" dxfId="70" priority="120"/>
  </conditionalFormatting>
  <conditionalFormatting sqref="C186">
    <cfRule type="duplicateValues" dxfId="69" priority="1003"/>
  </conditionalFormatting>
  <conditionalFormatting sqref="C187">
    <cfRule type="duplicateValues" dxfId="68" priority="1004"/>
  </conditionalFormatting>
  <conditionalFormatting sqref="C189">
    <cfRule type="duplicateValues" dxfId="67" priority="1005"/>
  </conditionalFormatting>
  <conditionalFormatting sqref="C191">
    <cfRule type="duplicateValues" dxfId="66" priority="1006"/>
  </conditionalFormatting>
  <conditionalFormatting sqref="C213">
    <cfRule type="duplicateValues" dxfId="65" priority="1007"/>
  </conditionalFormatting>
  <conditionalFormatting sqref="C223">
    <cfRule type="duplicateValues" dxfId="64" priority="1018"/>
  </conditionalFormatting>
  <conditionalFormatting sqref="C227">
    <cfRule type="duplicateValues" dxfId="63" priority="1021"/>
  </conditionalFormatting>
  <conditionalFormatting sqref="C228">
    <cfRule type="duplicateValues" dxfId="62" priority="1019"/>
  </conditionalFormatting>
  <conditionalFormatting sqref="C229">
    <cfRule type="duplicateValues" dxfId="61" priority="1020"/>
  </conditionalFormatting>
  <conditionalFormatting sqref="D27:D35">
    <cfRule type="expression" dxfId="60" priority="16" stopIfTrue="1">
      <formula>OR($A27="username", $A27="phonenumber", $A27="start", $A27="end", $A27="deviceid", $A27="subscriberid", $A27="simserial")</formula>
    </cfRule>
    <cfRule type="expression" dxfId="59" priority="17" stopIfTrue="1">
      <formula>OR(AND(LEFT($A27, 16)="select_multiple ", LEN($A27)&gt;16, NOT(ISNUMBER(SEARCH(" ", $A27, 17)))), AND(LEFT($A27, 11)="select_one ", LEN($A27)&gt;11, NOT(ISNUMBER(SEARCH(" ", $A27, 12)))))</formula>
    </cfRule>
    <cfRule type="expression" dxfId="58" priority="15" stopIfTrue="1">
      <formula>OR($A27="audio audit", $A27="text audit")</formula>
    </cfRule>
    <cfRule type="expression" dxfId="57" priority="14" stopIfTrue="1">
      <formula>$A27="geopoint"</formula>
    </cfRule>
    <cfRule type="expression" dxfId="56" priority="13" stopIfTrue="1">
      <formula>$A27="geopoint"</formula>
    </cfRule>
    <cfRule type="expression" dxfId="55" priority="12" stopIfTrue="1">
      <formula>$A27="barcode"</formula>
    </cfRule>
    <cfRule type="expression" dxfId="54" priority="11" stopIfTrue="1">
      <formula>$A27="barcode"</formula>
    </cfRule>
    <cfRule type="expression" dxfId="53" priority="10" stopIfTrue="1">
      <formula>$A27="note"</formula>
    </cfRule>
    <cfRule type="expression" dxfId="52" priority="18" stopIfTrue="1">
      <formula>OR(AND(LEFT($A27, 16)="select_multiple ", LEN($A27)&gt;16, NOT(ISNUMBER(SEARCH(" ", $A27, 17)))), AND(LEFT($A27, 11)="select_one ", LEN($A27)&gt;11, NOT(ISNUMBER(SEARCH(" ", $A27, 12)))))</formula>
    </cfRule>
    <cfRule type="expression" dxfId="51" priority="9" stopIfTrue="1">
      <formula>$A27="note"</formula>
    </cfRule>
    <cfRule type="expression" dxfId="50" priority="8" stopIfTrue="1">
      <formula>OR($A27="calculate", $A27="calculate_here")</formula>
    </cfRule>
    <cfRule type="expression" dxfId="49" priority="30" stopIfTrue="1">
      <formula>$A27="begin group"</formula>
    </cfRule>
    <cfRule type="expression" dxfId="48" priority="29" stopIfTrue="1">
      <formula>$A27="begin group"</formula>
    </cfRule>
    <cfRule type="expression" dxfId="47" priority="28" stopIfTrue="1">
      <formula>$A27="end group"</formula>
    </cfRule>
    <cfRule type="expression" dxfId="46" priority="27" stopIfTrue="1">
      <formula>$A27="begin repeat"</formula>
    </cfRule>
    <cfRule type="expression" dxfId="45" priority="26" stopIfTrue="1">
      <formula>$A27="begin repeat"</formula>
    </cfRule>
    <cfRule type="expression" dxfId="44" priority="25" stopIfTrue="1">
      <formula>$A27="end repeat"</formula>
    </cfRule>
    <cfRule type="expression" dxfId="43" priority="24" stopIfTrue="1">
      <formula>$A27="text"</formula>
    </cfRule>
    <cfRule type="expression" dxfId="42" priority="23" stopIfTrue="1">
      <formula>$A27="text"</formula>
    </cfRule>
    <cfRule type="expression" dxfId="41" priority="7" stopIfTrue="1">
      <formula>OR($A27="date", $A27="datetime")</formula>
    </cfRule>
    <cfRule type="expression" dxfId="40" priority="19" stopIfTrue="1">
      <formula>$A27="decimal"</formula>
    </cfRule>
    <cfRule type="expression" dxfId="39" priority="6" stopIfTrue="1">
      <formula>OR($A27="date", $A27="datetime")</formula>
    </cfRule>
    <cfRule type="expression" dxfId="38" priority="20" stopIfTrue="1">
      <formula>$A27="decimal"</formula>
    </cfRule>
    <cfRule type="expression" dxfId="37" priority="5" stopIfTrue="1">
      <formula>$A27="image"</formula>
    </cfRule>
    <cfRule type="expression" dxfId="36" priority="4" stopIfTrue="1">
      <formula>$A27="image"</formula>
    </cfRule>
    <cfRule type="expression" dxfId="35" priority="3" stopIfTrue="1">
      <formula>OR($A27="audio", $A27="video")</formula>
    </cfRule>
    <cfRule type="expression" dxfId="34" priority="2" stopIfTrue="1">
      <formula>OR($A27="audio", $A27="video")</formula>
    </cfRule>
    <cfRule type="expression" dxfId="33" priority="22" stopIfTrue="1">
      <formula>$A27="integer"</formula>
    </cfRule>
    <cfRule type="expression" dxfId="32" priority="21" stopIfTrue="1">
      <formula>$A27="integer"</formula>
    </cfRule>
  </conditionalFormatting>
  <conditionalFormatting sqref="D45">
    <cfRule type="cellIs" dxfId="31" priority="688" operator="notEqual">
      <formula>$D$45</formula>
    </cfRule>
  </conditionalFormatting>
  <conditionalFormatting sqref="D241:D243">
    <cfRule type="expression" dxfId="30" priority="671" stopIfTrue="1">
      <formula>$A241="begin group"</formula>
    </cfRule>
    <cfRule type="expression" dxfId="29" priority="644" stopIfTrue="1">
      <formula>OR($A241="audio", $A241="video")</formula>
    </cfRule>
    <cfRule type="expression" dxfId="28" priority="645" stopIfTrue="1">
      <formula>OR($A241="audio", $A241="video")</formula>
    </cfRule>
    <cfRule type="expression" dxfId="27" priority="646" stopIfTrue="1">
      <formula>$A241="image"</formula>
    </cfRule>
    <cfRule type="expression" dxfId="26" priority="647" stopIfTrue="1">
      <formula>$A241="image"</formula>
    </cfRule>
    <cfRule type="expression" dxfId="25" priority="648" stopIfTrue="1">
      <formula>OR($A241="date", $A241="datetime")</formula>
    </cfRule>
    <cfRule type="expression" dxfId="24" priority="649" stopIfTrue="1">
      <formula>OR($A241="date", $A241="datetime")</formula>
    </cfRule>
    <cfRule type="expression" dxfId="23" priority="650" stopIfTrue="1">
      <formula>OR($A241="calculate", $A241="calculate_here")</formula>
    </cfRule>
    <cfRule type="expression" dxfId="22" priority="651" stopIfTrue="1">
      <formula>$A241="note"</formula>
    </cfRule>
    <cfRule type="expression" dxfId="21" priority="652" stopIfTrue="1">
      <formula>$A241="note"</formula>
    </cfRule>
    <cfRule type="expression" dxfId="20" priority="653" stopIfTrue="1">
      <formula>$A241="barcode"</formula>
    </cfRule>
    <cfRule type="expression" dxfId="19" priority="654" stopIfTrue="1">
      <formula>$A241="barcode"</formula>
    </cfRule>
    <cfRule type="expression" dxfId="18" priority="655" stopIfTrue="1">
      <formula>$A241="geopoint"</formula>
    </cfRule>
    <cfRule type="expression" dxfId="17" priority="656" stopIfTrue="1">
      <formula>$A241="geopoint"</formula>
    </cfRule>
    <cfRule type="expression" dxfId="16" priority="657" stopIfTrue="1">
      <formula>OR($A241="audio audit", $A241="text audit")</formula>
    </cfRule>
    <cfRule type="expression" dxfId="15" priority="658" stopIfTrue="1">
      <formula>OR($A241="username", $A241="phonenumber", $A241="start", $A241="end", $A241="deviceid", $A241="subscriberid", $A241="simserial")</formula>
    </cfRule>
    <cfRule type="expression" dxfId="14" priority="659" stopIfTrue="1">
      <formula>OR(AND(LEFT($A241, 16)="select_multiple ", LEN($A241)&gt;16, NOT(ISNUMBER(SEARCH(" ", $A241, 17)))), AND(LEFT($A241, 11)="select_one ", LEN($A241)&gt;11, NOT(ISNUMBER(SEARCH(" ", $A241, 12)))))</formula>
    </cfRule>
    <cfRule type="expression" dxfId="13" priority="672" stopIfTrue="1">
      <formula>$A241="begin group"</formula>
    </cfRule>
    <cfRule type="expression" dxfId="12" priority="661" stopIfTrue="1">
      <formula>$A241="decimal"</formula>
    </cfRule>
    <cfRule type="expression" dxfId="11" priority="662" stopIfTrue="1">
      <formula>$A241="decimal"</formula>
    </cfRule>
    <cfRule type="expression" dxfId="10" priority="663" stopIfTrue="1">
      <formula>$A241="integer"</formula>
    </cfRule>
    <cfRule type="expression" dxfId="9" priority="664" stopIfTrue="1">
      <formula>$A241="integer"</formula>
    </cfRule>
    <cfRule type="expression" dxfId="8" priority="665" stopIfTrue="1">
      <formula>$A241="text"</formula>
    </cfRule>
    <cfRule type="expression" dxfId="7" priority="666" stopIfTrue="1">
      <formula>$A241="text"</formula>
    </cfRule>
    <cfRule type="expression" dxfId="6" priority="667" stopIfTrue="1">
      <formula>$A241="end repeat"</formula>
    </cfRule>
    <cfRule type="expression" dxfId="5" priority="668" stopIfTrue="1">
      <formula>$A241="begin repeat"</formula>
    </cfRule>
    <cfRule type="expression" dxfId="4" priority="669" stopIfTrue="1">
      <formula>$A241="begin repeat"</formula>
    </cfRule>
    <cfRule type="expression" dxfId="3" priority="670" stopIfTrue="1">
      <formula>$A241="end group"</formula>
    </cfRule>
    <cfRule type="expression" dxfId="2" priority="660" stopIfTrue="1">
      <formula>OR(AND(LEFT($A241, 16)="select_multiple ", LEN($A241)&gt;16, NOT(ISNUMBER(SEARCH(" ", $A241, 17)))), AND(LEFT($A241, 11)="select_one ", LEN($A241)&gt;11, NOT(ISNUMBER(SEARCH(" ", $A241, 12)))))</formula>
    </cfRule>
  </conditionalFormatting>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pane="bottomLeft" activeCell="C4" sqref="C4"/>
      <selection activeCell="D69" sqref="D69"/>
    </sheetView>
  </sheetViews>
  <sheetFormatPr defaultColWidth="10.85546875" defaultRowHeight="15"/>
  <cols>
    <col min="1" max="2" width="10.85546875" style="521"/>
    <col min="3" max="3" width="15.140625" style="538" customWidth="1"/>
    <col min="4" max="4" width="10.85546875" style="539" hidden="1" customWidth="1"/>
    <col min="5" max="5" width="10.85546875" style="539"/>
    <col min="6" max="6" width="41.7109375" style="521" customWidth="1"/>
    <col min="7" max="7" width="46.7109375" style="540" customWidth="1"/>
    <col min="8" max="16384" width="10.85546875" style="521"/>
  </cols>
  <sheetData>
    <row r="2" spans="2:7">
      <c r="C2" s="522"/>
      <c r="D2" s="523"/>
      <c r="E2" s="523"/>
      <c r="F2" s="524"/>
      <c r="G2" s="525"/>
    </row>
    <row r="3" spans="2:7" ht="32.1">
      <c r="B3" s="526"/>
      <c r="C3" s="527" t="s">
        <v>983</v>
      </c>
      <c r="D3" s="528" t="s">
        <v>984</v>
      </c>
      <c r="E3" s="528" t="s">
        <v>985</v>
      </c>
      <c r="F3" s="528" t="s">
        <v>986</v>
      </c>
      <c r="G3" s="527" t="s">
        <v>987</v>
      </c>
    </row>
    <row r="4" spans="2:7" ht="15.95">
      <c r="B4" s="526"/>
      <c r="C4" s="514"/>
      <c r="D4" s="529" cm="1">
        <f t="array" ref="D4:D93">_xlfn.SEQUENCE(90,1,1,1)</f>
        <v>1</v>
      </c>
      <c r="E4" s="530" t="s">
        <v>988</v>
      </c>
      <c r="F4" s="529" t="s">
        <v>989</v>
      </c>
      <c r="G4" s="531" t="s">
        <v>990</v>
      </c>
    </row>
    <row r="5" spans="2:7" ht="15.95">
      <c r="B5" s="526"/>
      <c r="C5" s="514"/>
      <c r="D5" s="529">
        <v>2</v>
      </c>
      <c r="E5" s="530" t="s">
        <v>991</v>
      </c>
      <c r="F5" s="529" t="s">
        <v>992</v>
      </c>
      <c r="G5" s="531" t="s">
        <v>993</v>
      </c>
    </row>
    <row r="6" spans="2:7" ht="15.95">
      <c r="B6" s="526"/>
      <c r="C6" s="514"/>
      <c r="D6" s="529">
        <v>3</v>
      </c>
      <c r="E6" s="530" t="s">
        <v>994</v>
      </c>
      <c r="F6" s="529" t="s">
        <v>995</v>
      </c>
      <c r="G6" s="544" t="s">
        <v>996</v>
      </c>
    </row>
    <row r="7" spans="2:7" ht="15.95">
      <c r="B7" s="526"/>
      <c r="C7" s="514"/>
      <c r="D7" s="529">
        <v>4</v>
      </c>
      <c r="E7" s="530" t="s">
        <v>997</v>
      </c>
      <c r="F7" s="529" t="s">
        <v>998</v>
      </c>
      <c r="G7" s="544" t="s">
        <v>999</v>
      </c>
    </row>
    <row r="8" spans="2:7" ht="15.95">
      <c r="B8" s="526"/>
      <c r="C8" s="514"/>
      <c r="D8" s="529">
        <v>5</v>
      </c>
      <c r="E8" s="530" t="s">
        <v>1000</v>
      </c>
      <c r="F8" s="529" t="s">
        <v>1001</v>
      </c>
      <c r="G8" s="531" t="s">
        <v>1002</v>
      </c>
    </row>
    <row r="9" spans="2:7" ht="15.95">
      <c r="B9" s="526"/>
      <c r="C9" s="514"/>
      <c r="D9" s="529">
        <v>6</v>
      </c>
      <c r="E9" s="530" t="s">
        <v>1003</v>
      </c>
      <c r="F9" s="529" t="s">
        <v>1004</v>
      </c>
      <c r="G9" s="531" t="s">
        <v>1005</v>
      </c>
    </row>
    <row r="10" spans="2:7" ht="15.95">
      <c r="B10" s="526"/>
      <c r="C10" s="331"/>
      <c r="D10" s="529">
        <v>7</v>
      </c>
      <c r="E10" s="530" t="s">
        <v>1006</v>
      </c>
      <c r="F10" s="532" t="s">
        <v>1007</v>
      </c>
      <c r="G10" s="533" t="s">
        <v>1008</v>
      </c>
    </row>
    <row r="11" spans="2:7" ht="15.95">
      <c r="B11" s="526"/>
      <c r="C11" s="514"/>
      <c r="D11" s="529">
        <v>8</v>
      </c>
      <c r="E11" s="530" t="s">
        <v>1009</v>
      </c>
      <c r="F11" s="529" t="s">
        <v>1010</v>
      </c>
      <c r="G11" s="531" t="s">
        <v>1011</v>
      </c>
    </row>
    <row r="12" spans="2:7" ht="15.95">
      <c r="B12" s="526"/>
      <c r="C12" s="514"/>
      <c r="D12" s="529">
        <v>9</v>
      </c>
      <c r="E12" s="530" t="s">
        <v>1012</v>
      </c>
      <c r="F12" s="529" t="s">
        <v>1013</v>
      </c>
      <c r="G12" s="531" t="s">
        <v>1014</v>
      </c>
    </row>
    <row r="13" spans="2:7" ht="15.95">
      <c r="B13" s="526"/>
      <c r="C13" s="514"/>
      <c r="D13" s="529">
        <v>10</v>
      </c>
      <c r="E13" s="530" t="s">
        <v>1015</v>
      </c>
      <c r="F13" s="529" t="s">
        <v>1016</v>
      </c>
      <c r="G13" s="531" t="s">
        <v>1017</v>
      </c>
    </row>
    <row r="14" spans="2:7" ht="15.95">
      <c r="B14" s="526"/>
      <c r="C14" s="514"/>
      <c r="D14" s="529">
        <v>11</v>
      </c>
      <c r="E14" s="530" t="s">
        <v>1018</v>
      </c>
      <c r="F14" s="529" t="s">
        <v>1019</v>
      </c>
      <c r="G14" s="531" t="s">
        <v>1020</v>
      </c>
    </row>
    <row r="15" spans="2:7" ht="15.95">
      <c r="B15" s="526"/>
      <c r="C15" s="514"/>
      <c r="D15" s="529">
        <v>12</v>
      </c>
      <c r="E15" s="530" t="s">
        <v>1021</v>
      </c>
      <c r="F15" s="529" t="s">
        <v>1022</v>
      </c>
      <c r="G15" s="531" t="s">
        <v>1023</v>
      </c>
    </row>
    <row r="16" spans="2:7" ht="15.95">
      <c r="B16" s="526"/>
      <c r="C16" s="514"/>
      <c r="D16" s="529">
        <v>13</v>
      </c>
      <c r="E16" s="530" t="s">
        <v>1024</v>
      </c>
      <c r="F16" s="529" t="s">
        <v>1025</v>
      </c>
      <c r="G16" s="544" t="s">
        <v>1025</v>
      </c>
    </row>
    <row r="17" spans="2:7" ht="15.95">
      <c r="B17" s="526"/>
      <c r="C17" s="331"/>
      <c r="D17" s="529">
        <v>14</v>
      </c>
      <c r="E17" s="530" t="s">
        <v>1026</v>
      </c>
      <c r="F17" s="532" t="s">
        <v>1027</v>
      </c>
      <c r="G17" s="533" t="s">
        <v>1028</v>
      </c>
    </row>
    <row r="18" spans="2:7" ht="15.95">
      <c r="B18" s="526"/>
      <c r="C18" s="514"/>
      <c r="D18" s="529">
        <v>15</v>
      </c>
      <c r="E18" s="530" t="s">
        <v>1029</v>
      </c>
      <c r="F18" s="529" t="s">
        <v>1030</v>
      </c>
      <c r="G18" s="531" t="s">
        <v>1031</v>
      </c>
    </row>
    <row r="19" spans="2:7" ht="15.95">
      <c r="B19" s="526"/>
      <c r="C19" s="514"/>
      <c r="D19" s="529">
        <v>16</v>
      </c>
      <c r="E19" s="530" t="s">
        <v>1032</v>
      </c>
      <c r="F19" s="529" t="s">
        <v>1033</v>
      </c>
      <c r="G19" s="531" t="s">
        <v>1034</v>
      </c>
    </row>
    <row r="20" spans="2:7" ht="15.95">
      <c r="B20" s="526"/>
      <c r="C20" s="514"/>
      <c r="D20" s="529">
        <v>17</v>
      </c>
      <c r="E20" s="530" t="s">
        <v>1035</v>
      </c>
      <c r="F20" s="529" t="s">
        <v>1036</v>
      </c>
      <c r="G20" s="531" t="s">
        <v>1037</v>
      </c>
    </row>
    <row r="21" spans="2:7" ht="15.95">
      <c r="B21" s="526"/>
      <c r="C21" s="514"/>
      <c r="D21" s="529">
        <v>18</v>
      </c>
      <c r="E21" s="530" t="s">
        <v>1038</v>
      </c>
      <c r="F21" s="529" t="s">
        <v>1039</v>
      </c>
      <c r="G21" s="531" t="s">
        <v>1040</v>
      </c>
    </row>
    <row r="22" spans="2:7" ht="15.95">
      <c r="B22" s="526"/>
      <c r="C22" s="514"/>
      <c r="D22" s="529">
        <v>19</v>
      </c>
      <c r="E22" s="530" t="s">
        <v>1041</v>
      </c>
      <c r="F22" s="529" t="s">
        <v>1042</v>
      </c>
      <c r="G22" s="531" t="s">
        <v>1043</v>
      </c>
    </row>
    <row r="23" spans="2:7" ht="15.95">
      <c r="B23" s="526"/>
      <c r="C23" s="514"/>
      <c r="D23" s="529">
        <v>20</v>
      </c>
      <c r="E23" s="530" t="s">
        <v>1044</v>
      </c>
      <c r="F23" s="529" t="s">
        <v>1045</v>
      </c>
      <c r="G23" s="531" t="s">
        <v>1046</v>
      </c>
    </row>
    <row r="24" spans="2:7" ht="15.95">
      <c r="B24" s="526"/>
      <c r="C24" s="514"/>
      <c r="D24" s="529">
        <v>21</v>
      </c>
      <c r="E24" s="530" t="s">
        <v>1047</v>
      </c>
      <c r="F24" s="529" t="s">
        <v>1048</v>
      </c>
      <c r="G24" s="531" t="s">
        <v>1049</v>
      </c>
    </row>
    <row r="25" spans="2:7" ht="15.95">
      <c r="B25" s="526"/>
      <c r="C25" s="331"/>
      <c r="D25" s="529">
        <v>22</v>
      </c>
      <c r="E25" s="530" t="s">
        <v>1050</v>
      </c>
      <c r="F25" s="532" t="s">
        <v>1051</v>
      </c>
      <c r="G25" s="533" t="s">
        <v>1052</v>
      </c>
    </row>
    <row r="26" spans="2:7" ht="15.95">
      <c r="B26" s="526"/>
      <c r="C26" s="514"/>
      <c r="D26" s="529">
        <v>23</v>
      </c>
      <c r="E26" s="530" t="s">
        <v>1053</v>
      </c>
      <c r="F26" s="529" t="s">
        <v>1054</v>
      </c>
      <c r="G26" s="531" t="s">
        <v>1055</v>
      </c>
    </row>
    <row r="27" spans="2:7" ht="15.95">
      <c r="B27" s="526"/>
      <c r="C27" s="514"/>
      <c r="D27" s="529">
        <v>24</v>
      </c>
      <c r="E27" s="530" t="s">
        <v>1056</v>
      </c>
      <c r="F27" s="529" t="s">
        <v>1057</v>
      </c>
      <c r="G27" s="531" t="s">
        <v>1058</v>
      </c>
    </row>
    <row r="28" spans="2:7" ht="15.95">
      <c r="B28" s="526"/>
      <c r="C28" s="514"/>
      <c r="D28" s="529">
        <v>25</v>
      </c>
      <c r="E28" s="530" t="s">
        <v>1059</v>
      </c>
      <c r="F28" s="529" t="s">
        <v>1060</v>
      </c>
      <c r="G28" s="531" t="s">
        <v>1061</v>
      </c>
    </row>
    <row r="29" spans="2:7" ht="15.95">
      <c r="B29" s="526"/>
      <c r="C29" s="514"/>
      <c r="D29" s="529">
        <v>26</v>
      </c>
      <c r="E29" s="530" t="s">
        <v>1062</v>
      </c>
      <c r="F29" s="529" t="s">
        <v>1063</v>
      </c>
      <c r="G29" s="531" t="s">
        <v>1064</v>
      </c>
    </row>
    <row r="30" spans="2:7" ht="15.95">
      <c r="B30" s="526"/>
      <c r="C30" s="514"/>
      <c r="D30" s="529">
        <v>27</v>
      </c>
      <c r="E30" s="530" t="s">
        <v>1065</v>
      </c>
      <c r="F30" s="529" t="s">
        <v>1066</v>
      </c>
      <c r="G30" s="531" t="s">
        <v>1067</v>
      </c>
    </row>
    <row r="31" spans="2:7" ht="15.95">
      <c r="B31" s="526"/>
      <c r="C31" s="514"/>
      <c r="D31" s="529">
        <v>28</v>
      </c>
      <c r="E31" s="530" t="s">
        <v>1068</v>
      </c>
      <c r="F31" s="529" t="s">
        <v>1069</v>
      </c>
      <c r="G31" s="544" t="s">
        <v>1069</v>
      </c>
    </row>
    <row r="32" spans="2:7" ht="15.95">
      <c r="B32" s="526"/>
      <c r="C32" s="514"/>
      <c r="D32" s="529">
        <v>29</v>
      </c>
      <c r="E32" s="530" t="s">
        <v>1070</v>
      </c>
      <c r="F32" s="529" t="s">
        <v>1071</v>
      </c>
      <c r="G32" s="544" t="s">
        <v>1072</v>
      </c>
    </row>
    <row r="33" spans="2:7" ht="15.95">
      <c r="B33" s="526"/>
      <c r="C33" s="514"/>
      <c r="D33" s="529">
        <v>30</v>
      </c>
      <c r="E33" s="530" t="s">
        <v>1073</v>
      </c>
      <c r="F33" s="529" t="s">
        <v>1074</v>
      </c>
      <c r="G33" s="531" t="s">
        <v>1075</v>
      </c>
    </row>
    <row r="34" spans="2:7" ht="15.95">
      <c r="B34" s="526"/>
      <c r="C34" s="514"/>
      <c r="D34" s="529">
        <v>31</v>
      </c>
      <c r="E34" s="530" t="s">
        <v>1076</v>
      </c>
      <c r="F34" s="529" t="s">
        <v>1077</v>
      </c>
      <c r="G34" s="531" t="s">
        <v>1078</v>
      </c>
    </row>
    <row r="35" spans="2:7" ht="15.95">
      <c r="B35" s="526"/>
      <c r="C35" s="331"/>
      <c r="D35" s="529">
        <v>32</v>
      </c>
      <c r="E35" s="530" t="s">
        <v>1079</v>
      </c>
      <c r="F35" s="532" t="s">
        <v>1080</v>
      </c>
      <c r="G35" s="533" t="s">
        <v>1081</v>
      </c>
    </row>
    <row r="36" spans="2:7" ht="15.95">
      <c r="B36" s="526"/>
      <c r="C36" s="514"/>
      <c r="D36" s="529">
        <v>33</v>
      </c>
      <c r="E36" s="530" t="s">
        <v>1082</v>
      </c>
      <c r="F36" s="529" t="s">
        <v>1083</v>
      </c>
      <c r="G36" s="531" t="s">
        <v>1084</v>
      </c>
    </row>
    <row r="37" spans="2:7" ht="15.95">
      <c r="B37" s="526"/>
      <c r="C37" s="514"/>
      <c r="D37" s="529">
        <v>34</v>
      </c>
      <c r="E37" s="530" t="s">
        <v>1085</v>
      </c>
      <c r="F37" s="529" t="s">
        <v>1086</v>
      </c>
      <c r="G37" s="531" t="s">
        <v>1087</v>
      </c>
    </row>
    <row r="38" spans="2:7" ht="15.95">
      <c r="B38" s="526"/>
      <c r="C38" s="514"/>
      <c r="D38" s="529">
        <v>35</v>
      </c>
      <c r="E38" s="530" t="s">
        <v>1088</v>
      </c>
      <c r="F38" s="529" t="s">
        <v>1089</v>
      </c>
      <c r="G38" s="531" t="s">
        <v>1090</v>
      </c>
    </row>
    <row r="39" spans="2:7" ht="15.95">
      <c r="B39" s="526"/>
      <c r="C39" s="514"/>
      <c r="D39" s="529">
        <v>36</v>
      </c>
      <c r="E39" s="530" t="s">
        <v>1091</v>
      </c>
      <c r="F39" s="529" t="s">
        <v>1092</v>
      </c>
      <c r="G39" s="531" t="s">
        <v>1093</v>
      </c>
    </row>
    <row r="40" spans="2:7" ht="15.95">
      <c r="B40" s="526"/>
      <c r="C40" s="514"/>
      <c r="D40" s="529">
        <v>37</v>
      </c>
      <c r="E40" s="530" t="s">
        <v>1094</v>
      </c>
      <c r="F40" s="529" t="s">
        <v>1095</v>
      </c>
      <c r="G40" s="531" t="s">
        <v>1096</v>
      </c>
    </row>
    <row r="41" spans="2:7" ht="15.95">
      <c r="B41" s="526"/>
      <c r="C41" s="514"/>
      <c r="D41" s="529">
        <v>38</v>
      </c>
      <c r="E41" s="530" t="s">
        <v>1097</v>
      </c>
      <c r="F41" s="529" t="s">
        <v>1098</v>
      </c>
      <c r="G41" s="531" t="s">
        <v>1099</v>
      </c>
    </row>
    <row r="42" spans="2:7" ht="15.95">
      <c r="B42" s="526"/>
      <c r="C42" s="514"/>
      <c r="D42" s="529">
        <v>39</v>
      </c>
      <c r="E42" s="530" t="s">
        <v>1100</v>
      </c>
      <c r="F42" s="529" t="s">
        <v>1101</v>
      </c>
      <c r="G42" s="544" t="s">
        <v>1102</v>
      </c>
    </row>
    <row r="43" spans="2:7" ht="15.95">
      <c r="B43" s="526"/>
      <c r="C43" s="514"/>
      <c r="D43" s="529">
        <v>40</v>
      </c>
      <c r="E43" s="530" t="s">
        <v>1103</v>
      </c>
      <c r="F43" s="529" t="s">
        <v>1104</v>
      </c>
      <c r="G43" s="531" t="s">
        <v>1105</v>
      </c>
    </row>
    <row r="44" spans="2:7" ht="15.95">
      <c r="B44" s="526"/>
      <c r="C44" s="514"/>
      <c r="D44" s="529">
        <v>41</v>
      </c>
      <c r="E44" s="530" t="s">
        <v>1106</v>
      </c>
      <c r="F44" s="529" t="s">
        <v>1107</v>
      </c>
      <c r="G44" s="544" t="s">
        <v>1108</v>
      </c>
    </row>
    <row r="45" spans="2:7" ht="15.95">
      <c r="B45" s="526"/>
      <c r="C45" s="514"/>
      <c r="D45" s="529">
        <v>42</v>
      </c>
      <c r="E45" s="530" t="s">
        <v>1109</v>
      </c>
      <c r="F45" s="529" t="s">
        <v>1110</v>
      </c>
      <c r="G45" s="531" t="s">
        <v>1111</v>
      </c>
    </row>
    <row r="46" spans="2:7" ht="15.95">
      <c r="B46" s="526"/>
      <c r="C46" s="514"/>
      <c r="D46" s="529">
        <v>43</v>
      </c>
      <c r="E46" s="530" t="s">
        <v>1112</v>
      </c>
      <c r="F46" s="529" t="s">
        <v>1113</v>
      </c>
      <c r="G46" s="531" t="s">
        <v>1114</v>
      </c>
    </row>
    <row r="47" spans="2:7" ht="15.95">
      <c r="B47" s="526"/>
      <c r="C47" s="331"/>
      <c r="D47" s="529">
        <v>44</v>
      </c>
      <c r="E47" s="530" t="s">
        <v>1115</v>
      </c>
      <c r="F47" s="532" t="s">
        <v>1116</v>
      </c>
      <c r="G47" s="533" t="s">
        <v>1117</v>
      </c>
    </row>
    <row r="48" spans="2:7" ht="15.95">
      <c r="B48" s="526"/>
      <c r="C48" s="514"/>
      <c r="D48" s="529">
        <v>45</v>
      </c>
      <c r="E48" s="530" t="s">
        <v>1118</v>
      </c>
      <c r="F48" s="529" t="s">
        <v>1119</v>
      </c>
      <c r="G48" s="531" t="s">
        <v>1120</v>
      </c>
    </row>
    <row r="49" spans="2:7" ht="15.95">
      <c r="B49" s="526"/>
      <c r="C49" s="514"/>
      <c r="D49" s="529">
        <v>46</v>
      </c>
      <c r="E49" s="530" t="s">
        <v>1121</v>
      </c>
      <c r="F49" s="529" t="s">
        <v>1122</v>
      </c>
      <c r="G49" s="531" t="s">
        <v>1123</v>
      </c>
    </row>
    <row r="50" spans="2:7" ht="15.95">
      <c r="B50" s="526"/>
      <c r="C50" s="514"/>
      <c r="D50" s="529">
        <v>47</v>
      </c>
      <c r="E50" s="530" t="s">
        <v>1124</v>
      </c>
      <c r="F50" s="529" t="s">
        <v>1125</v>
      </c>
      <c r="G50" s="544" t="s">
        <v>1126</v>
      </c>
    </row>
    <row r="51" spans="2:7" ht="15.95">
      <c r="B51" s="526"/>
      <c r="C51" s="514"/>
      <c r="D51" s="529">
        <v>48</v>
      </c>
      <c r="E51" s="530" t="s">
        <v>1127</v>
      </c>
      <c r="F51" s="529" t="s">
        <v>1128</v>
      </c>
      <c r="G51" s="544" t="s">
        <v>1129</v>
      </c>
    </row>
    <row r="52" spans="2:7" ht="15.95">
      <c r="B52" s="526"/>
      <c r="C52" s="331"/>
      <c r="D52" s="529">
        <v>49</v>
      </c>
      <c r="E52" s="530" t="s">
        <v>1130</v>
      </c>
      <c r="F52" s="532" t="s">
        <v>1131</v>
      </c>
      <c r="G52" s="533" t="s">
        <v>1132</v>
      </c>
    </row>
    <row r="53" spans="2:7" ht="15.95">
      <c r="B53" s="526"/>
      <c r="C53" s="514"/>
      <c r="D53" s="529">
        <v>50</v>
      </c>
      <c r="E53" s="530" t="s">
        <v>1133</v>
      </c>
      <c r="F53" s="529" t="s">
        <v>1134</v>
      </c>
      <c r="G53" s="544" t="s">
        <v>1135</v>
      </c>
    </row>
    <row r="54" spans="2:7" ht="15.95">
      <c r="B54" s="526"/>
      <c r="C54" s="514"/>
      <c r="D54" s="529">
        <v>51</v>
      </c>
      <c r="E54" s="530" t="s">
        <v>1136</v>
      </c>
      <c r="F54" s="529" t="s">
        <v>1137</v>
      </c>
      <c r="G54" s="544" t="s">
        <v>1138</v>
      </c>
    </row>
    <row r="55" spans="2:7" ht="15.95">
      <c r="B55" s="526"/>
      <c r="C55" s="514"/>
      <c r="D55" s="529">
        <v>52</v>
      </c>
      <c r="E55" s="530" t="s">
        <v>1139</v>
      </c>
      <c r="F55" s="529" t="s">
        <v>1140</v>
      </c>
      <c r="G55" s="531" t="s">
        <v>1141</v>
      </c>
    </row>
    <row r="56" spans="2:7" ht="15.95">
      <c r="B56" s="526"/>
      <c r="C56" s="514"/>
      <c r="D56" s="529">
        <v>53</v>
      </c>
      <c r="E56" s="530" t="s">
        <v>1142</v>
      </c>
      <c r="F56" s="529" t="s">
        <v>1143</v>
      </c>
      <c r="G56" s="531" t="s">
        <v>1144</v>
      </c>
    </row>
    <row r="57" spans="2:7" ht="15.95">
      <c r="B57" s="526"/>
      <c r="C57" s="514"/>
      <c r="D57" s="529">
        <v>54</v>
      </c>
      <c r="E57" s="530" t="s">
        <v>1145</v>
      </c>
      <c r="F57" s="529" t="s">
        <v>1146</v>
      </c>
      <c r="G57" s="531" t="s">
        <v>1147</v>
      </c>
    </row>
    <row r="58" spans="2:7" ht="15.95">
      <c r="B58" s="526"/>
      <c r="C58" s="514"/>
      <c r="D58" s="529">
        <v>55</v>
      </c>
      <c r="E58" s="530" t="s">
        <v>1148</v>
      </c>
      <c r="F58" s="529" t="s">
        <v>1149</v>
      </c>
      <c r="G58" s="531" t="s">
        <v>1150</v>
      </c>
    </row>
    <row r="59" spans="2:7" ht="15.95">
      <c r="B59" s="526"/>
      <c r="C59" s="514"/>
      <c r="D59" s="529">
        <v>56</v>
      </c>
      <c r="E59" s="530" t="s">
        <v>1151</v>
      </c>
      <c r="F59" s="529" t="s">
        <v>1152</v>
      </c>
      <c r="G59" s="531" t="s">
        <v>1153</v>
      </c>
    </row>
    <row r="60" spans="2:7" ht="15.95">
      <c r="B60" s="526"/>
      <c r="C60" s="514"/>
      <c r="D60" s="529">
        <v>57</v>
      </c>
      <c r="E60" s="530" t="s">
        <v>1154</v>
      </c>
      <c r="F60" s="529" t="s">
        <v>1155</v>
      </c>
      <c r="G60" s="531" t="s">
        <v>1156</v>
      </c>
    </row>
    <row r="61" spans="2:7" ht="15.95">
      <c r="B61" s="526"/>
      <c r="C61" s="514"/>
      <c r="D61" s="529">
        <v>58</v>
      </c>
      <c r="E61" s="530" t="s">
        <v>1157</v>
      </c>
      <c r="F61" s="529" t="s">
        <v>1158</v>
      </c>
      <c r="G61" s="531" t="s">
        <v>1159</v>
      </c>
    </row>
    <row r="62" spans="2:7" ht="15.95">
      <c r="B62" s="526"/>
      <c r="C62" s="514"/>
      <c r="D62" s="529">
        <v>59</v>
      </c>
      <c r="E62" s="530" t="s">
        <v>1160</v>
      </c>
      <c r="F62" s="529" t="s">
        <v>1161</v>
      </c>
      <c r="G62" s="531" t="s">
        <v>1162</v>
      </c>
    </row>
    <row r="63" spans="2:7" ht="15.95">
      <c r="B63" s="526"/>
      <c r="C63" s="514"/>
      <c r="D63" s="529">
        <v>60</v>
      </c>
      <c r="E63" s="530" t="s">
        <v>1163</v>
      </c>
      <c r="F63" s="529" t="s">
        <v>1164</v>
      </c>
      <c r="G63" s="531" t="s">
        <v>1165</v>
      </c>
    </row>
    <row r="64" spans="2:7" ht="15.95">
      <c r="B64" s="526"/>
      <c r="C64" s="514"/>
      <c r="D64" s="529">
        <v>61</v>
      </c>
      <c r="E64" s="530" t="s">
        <v>1166</v>
      </c>
      <c r="F64" s="529" t="s">
        <v>1167</v>
      </c>
      <c r="G64" s="531" t="s">
        <v>1168</v>
      </c>
    </row>
    <row r="65" spans="2:7" ht="15.95">
      <c r="B65" s="526"/>
      <c r="C65" s="514"/>
      <c r="D65" s="529">
        <v>62</v>
      </c>
      <c r="E65" s="530" t="s">
        <v>1169</v>
      </c>
      <c r="F65" s="529" t="s">
        <v>1170</v>
      </c>
      <c r="G65" s="531" t="s">
        <v>1171</v>
      </c>
    </row>
    <row r="66" spans="2:7" ht="15.95">
      <c r="B66" s="526"/>
      <c r="C66" s="514"/>
      <c r="D66" s="529">
        <v>63</v>
      </c>
      <c r="E66" s="530" t="s">
        <v>1172</v>
      </c>
      <c r="F66" s="529" t="s">
        <v>1173</v>
      </c>
      <c r="G66" s="531" t="s">
        <v>1174</v>
      </c>
    </row>
    <row r="67" spans="2:7" ht="15.95">
      <c r="B67" s="526"/>
      <c r="C67" s="514"/>
      <c r="D67" s="529">
        <v>64</v>
      </c>
      <c r="E67" s="530" t="s">
        <v>1175</v>
      </c>
      <c r="F67" s="529" t="s">
        <v>1176</v>
      </c>
      <c r="G67" s="531" t="s">
        <v>1177</v>
      </c>
    </row>
    <row r="68" spans="2:7" ht="15.95">
      <c r="B68" s="526"/>
      <c r="C68" s="514"/>
      <c r="D68" s="529">
        <v>65</v>
      </c>
      <c r="E68" s="530" t="s">
        <v>1178</v>
      </c>
      <c r="F68" s="529" t="s">
        <v>1179</v>
      </c>
      <c r="G68" s="531" t="s">
        <v>1180</v>
      </c>
    </row>
    <row r="69" spans="2:7" ht="15.95">
      <c r="B69" s="526"/>
      <c r="C69" s="514"/>
      <c r="D69" s="529">
        <v>66</v>
      </c>
      <c r="E69" s="530" t="s">
        <v>1181</v>
      </c>
      <c r="F69" s="529" t="s">
        <v>1182</v>
      </c>
      <c r="G69" s="531" t="s">
        <v>1183</v>
      </c>
    </row>
    <row r="70" spans="2:7" ht="15.95">
      <c r="B70" s="526"/>
      <c r="C70" s="514"/>
      <c r="D70" s="529">
        <v>67</v>
      </c>
      <c r="E70" s="530" t="s">
        <v>1184</v>
      </c>
      <c r="F70" s="529" t="s">
        <v>1185</v>
      </c>
      <c r="G70" s="531" t="s">
        <v>1186</v>
      </c>
    </row>
    <row r="71" spans="2:7" ht="15.95">
      <c r="B71" s="526"/>
      <c r="C71" s="331"/>
      <c r="D71" s="529">
        <v>68</v>
      </c>
      <c r="E71" s="530" t="s">
        <v>1187</v>
      </c>
      <c r="F71" s="532" t="s">
        <v>1188</v>
      </c>
      <c r="G71" s="533" t="s">
        <v>1189</v>
      </c>
    </row>
    <row r="72" spans="2:7" ht="15.95">
      <c r="B72" s="526"/>
      <c r="C72" s="514"/>
      <c r="D72" s="529">
        <v>69</v>
      </c>
      <c r="E72" s="530" t="s">
        <v>1190</v>
      </c>
      <c r="F72" s="529" t="s">
        <v>1191</v>
      </c>
      <c r="G72" s="531" t="s">
        <v>1192</v>
      </c>
    </row>
    <row r="73" spans="2:7" ht="15.95">
      <c r="B73" s="526"/>
      <c r="C73" s="514"/>
      <c r="D73" s="529">
        <v>70</v>
      </c>
      <c r="E73" s="530" t="s">
        <v>1193</v>
      </c>
      <c r="F73" s="529" t="s">
        <v>1194</v>
      </c>
      <c r="G73" s="531" t="s">
        <v>1195</v>
      </c>
    </row>
    <row r="74" spans="2:7" ht="15.95">
      <c r="B74" s="526"/>
      <c r="C74" s="514"/>
      <c r="D74" s="529">
        <v>71</v>
      </c>
      <c r="E74" s="530" t="s">
        <v>1196</v>
      </c>
      <c r="F74" s="529" t="s">
        <v>1197</v>
      </c>
      <c r="G74" s="531" t="s">
        <v>1198</v>
      </c>
    </row>
    <row r="75" spans="2:7" ht="15.95">
      <c r="B75" s="526"/>
      <c r="C75" s="514"/>
      <c r="D75" s="529">
        <v>72</v>
      </c>
      <c r="E75" s="530" t="s">
        <v>1199</v>
      </c>
      <c r="F75" s="529" t="s">
        <v>1200</v>
      </c>
      <c r="G75" s="531" t="s">
        <v>1201</v>
      </c>
    </row>
    <row r="76" spans="2:7" ht="15.95">
      <c r="B76" s="526"/>
      <c r="C76" s="514"/>
      <c r="D76" s="529">
        <v>73</v>
      </c>
      <c r="E76" s="530" t="s">
        <v>1202</v>
      </c>
      <c r="F76" s="529" t="s">
        <v>1203</v>
      </c>
      <c r="G76" s="531" t="s">
        <v>1204</v>
      </c>
    </row>
    <row r="77" spans="2:7" ht="15.95">
      <c r="B77" s="526"/>
      <c r="C77" s="514"/>
      <c r="D77" s="529">
        <v>74</v>
      </c>
      <c r="E77" s="530" t="s">
        <v>1205</v>
      </c>
      <c r="F77" s="529" t="s">
        <v>1206</v>
      </c>
      <c r="G77" s="544" t="s">
        <v>1206</v>
      </c>
    </row>
    <row r="78" spans="2:7" ht="15.95">
      <c r="B78" s="526"/>
      <c r="C78" s="514"/>
      <c r="D78" s="529">
        <v>75</v>
      </c>
      <c r="E78" s="530" t="s">
        <v>1207</v>
      </c>
      <c r="F78" s="529" t="s">
        <v>1208</v>
      </c>
      <c r="G78" s="531" t="s">
        <v>1209</v>
      </c>
    </row>
    <row r="79" spans="2:7" ht="15.95">
      <c r="B79" s="526"/>
      <c r="C79" s="514"/>
      <c r="D79" s="529">
        <v>76</v>
      </c>
      <c r="E79" s="530" t="s">
        <v>1210</v>
      </c>
      <c r="F79" s="529" t="s">
        <v>1211</v>
      </c>
      <c r="G79" s="531" t="s">
        <v>1212</v>
      </c>
    </row>
    <row r="80" spans="2:7" ht="15.95">
      <c r="B80" s="526"/>
      <c r="C80" s="331"/>
      <c r="D80" s="529">
        <v>77</v>
      </c>
      <c r="E80" s="530" t="s">
        <v>1213</v>
      </c>
      <c r="F80" s="532" t="s">
        <v>1214</v>
      </c>
      <c r="G80" s="533" t="s">
        <v>1215</v>
      </c>
    </row>
    <row r="81" spans="2:7" ht="15.95">
      <c r="B81" s="526"/>
      <c r="C81" s="514"/>
      <c r="D81" s="529">
        <v>78</v>
      </c>
      <c r="E81" s="530" t="s">
        <v>1216</v>
      </c>
      <c r="F81" s="529" t="s">
        <v>1217</v>
      </c>
      <c r="G81" s="531" t="s">
        <v>1218</v>
      </c>
    </row>
    <row r="82" spans="2:7" ht="15.95">
      <c r="B82" s="526"/>
      <c r="C82" s="514"/>
      <c r="D82" s="529">
        <v>79</v>
      </c>
      <c r="E82" s="530" t="s">
        <v>1219</v>
      </c>
      <c r="F82" s="529" t="s">
        <v>1220</v>
      </c>
      <c r="G82" s="531" t="s">
        <v>1221</v>
      </c>
    </row>
    <row r="83" spans="2:7" ht="15.95">
      <c r="B83" s="526"/>
      <c r="C83" s="514"/>
      <c r="D83" s="529">
        <v>80</v>
      </c>
      <c r="E83" s="530" t="s">
        <v>1222</v>
      </c>
      <c r="F83" s="529" t="s">
        <v>1223</v>
      </c>
      <c r="G83" s="531" t="s">
        <v>1224</v>
      </c>
    </row>
    <row r="84" spans="2:7" ht="15.95">
      <c r="B84" s="526"/>
      <c r="C84" s="514"/>
      <c r="D84" s="529">
        <v>81</v>
      </c>
      <c r="E84" s="530" t="s">
        <v>1225</v>
      </c>
      <c r="F84" s="529" t="s">
        <v>1226</v>
      </c>
      <c r="G84" s="531" t="s">
        <v>1227</v>
      </c>
    </row>
    <row r="85" spans="2:7" ht="15.95">
      <c r="B85" s="526"/>
      <c r="C85" s="514"/>
      <c r="D85" s="529">
        <v>82</v>
      </c>
      <c r="E85" s="530" t="s">
        <v>1228</v>
      </c>
      <c r="F85" s="529" t="s">
        <v>1229</v>
      </c>
      <c r="G85" s="531" t="s">
        <v>1230</v>
      </c>
    </row>
    <row r="86" spans="2:7" ht="15.95">
      <c r="B86" s="526"/>
      <c r="C86" s="331"/>
      <c r="D86" s="529">
        <v>83</v>
      </c>
      <c r="E86" s="530" t="s">
        <v>1231</v>
      </c>
      <c r="F86" s="532" t="s">
        <v>1232</v>
      </c>
      <c r="G86" s="533" t="s">
        <v>1233</v>
      </c>
    </row>
    <row r="87" spans="2:7" ht="15.95">
      <c r="B87" s="526"/>
      <c r="C87" s="514"/>
      <c r="D87" s="529">
        <v>84</v>
      </c>
      <c r="E87" s="530" t="s">
        <v>1234</v>
      </c>
      <c r="F87" s="529" t="s">
        <v>1235</v>
      </c>
      <c r="G87" s="531" t="s">
        <v>1236</v>
      </c>
    </row>
    <row r="88" spans="2:7" ht="15.95">
      <c r="B88" s="526"/>
      <c r="C88" s="514"/>
      <c r="D88" s="529">
        <v>85</v>
      </c>
      <c r="E88" s="530" t="s">
        <v>1237</v>
      </c>
      <c r="F88" s="529" t="s">
        <v>1238</v>
      </c>
      <c r="G88" s="531" t="s">
        <v>1239</v>
      </c>
    </row>
    <row r="89" spans="2:7" ht="15.95">
      <c r="B89" s="526"/>
      <c r="C89" s="514"/>
      <c r="D89" s="529">
        <v>86</v>
      </c>
      <c r="E89" s="530" t="s">
        <v>1240</v>
      </c>
      <c r="F89" s="529" t="s">
        <v>1241</v>
      </c>
      <c r="G89" s="531" t="s">
        <v>1242</v>
      </c>
    </row>
    <row r="90" spans="2:7" ht="15.95">
      <c r="B90" s="526"/>
      <c r="C90" s="514"/>
      <c r="D90" s="529">
        <v>87</v>
      </c>
      <c r="E90" s="530" t="s">
        <v>1243</v>
      </c>
      <c r="F90" s="529" t="s">
        <v>1244</v>
      </c>
      <c r="G90" s="531" t="s">
        <v>1245</v>
      </c>
    </row>
    <row r="91" spans="2:7" ht="15.95">
      <c r="B91" s="526"/>
      <c r="C91" s="514"/>
      <c r="D91" s="529">
        <v>88</v>
      </c>
      <c r="E91" s="530" t="s">
        <v>1246</v>
      </c>
      <c r="F91" s="529" t="s">
        <v>1247</v>
      </c>
      <c r="G91" s="531" t="s">
        <v>1248</v>
      </c>
    </row>
    <row r="92" spans="2:7" ht="15.95">
      <c r="B92" s="526"/>
      <c r="C92" s="514"/>
      <c r="D92" s="529">
        <v>89</v>
      </c>
      <c r="E92" s="530" t="s">
        <v>1249</v>
      </c>
      <c r="F92" s="529" t="s">
        <v>1250</v>
      </c>
      <c r="G92" s="544" t="s">
        <v>1250</v>
      </c>
    </row>
    <row r="93" spans="2:7" ht="32.1">
      <c r="B93" s="526"/>
      <c r="C93" s="331"/>
      <c r="D93" s="529">
        <v>90</v>
      </c>
      <c r="E93" s="530" t="s">
        <v>1251</v>
      </c>
      <c r="F93" s="532" t="s">
        <v>1252</v>
      </c>
      <c r="G93" s="533" t="s">
        <v>1253</v>
      </c>
    </row>
    <row r="94" spans="2:7">
      <c r="C94" s="534"/>
      <c r="D94" s="535"/>
      <c r="E94" s="535"/>
      <c r="F94" s="536"/>
      <c r="G94" s="537"/>
    </row>
  </sheetData>
  <sheetProtection algorithmName="SHA-512" hashValue="A2FqzbVAR6iTw1bcO5ZoF9iVaae4CQ516VuCPYMpDTqfimLW2YjoRJ/kLz7tauOjuC4DME50lbvben8sFPFy0w==" saltValue="wJcnSbdJv4KKqTc38hPTUw=="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09" zoomScaleNormal="90" workbookViewId="0">
      <selection activeCell="D3" sqref="D3"/>
    </sheetView>
  </sheetViews>
  <sheetFormatPr defaultColWidth="10.85546875" defaultRowHeight="15.95"/>
  <cols>
    <col min="1" max="1" width="10.85546875" style="442"/>
    <col min="2" max="2" width="8.85546875" style="442" customWidth="1"/>
    <col min="3" max="3" width="27.7109375" style="442" customWidth="1"/>
    <col min="4" max="5" width="28" style="442" customWidth="1"/>
    <col min="6" max="7" width="51.140625" style="512" customWidth="1"/>
    <col min="8" max="9" width="22.85546875" style="442" customWidth="1"/>
    <col min="10" max="11" width="10.85546875" style="442"/>
    <col min="12" max="12" width="44" style="442" customWidth="1"/>
    <col min="13" max="16384" width="10.85546875" style="442"/>
  </cols>
  <sheetData>
    <row r="1" spans="1:13" ht="39.950000000000003" customHeight="1" thickBot="1">
      <c r="C1" s="443"/>
      <c r="D1" s="443"/>
      <c r="E1" s="443"/>
      <c r="F1" s="444"/>
      <c r="G1" s="444"/>
      <c r="H1" s="443"/>
      <c r="I1" s="443"/>
    </row>
    <row r="2" spans="1:13" ht="17.100000000000001" thickBot="1">
      <c r="A2" s="445"/>
      <c r="B2" s="446"/>
      <c r="C2" s="447" t="s">
        <v>1254</v>
      </c>
      <c r="D2" s="448" t="s">
        <v>1255</v>
      </c>
      <c r="E2" s="449" t="s">
        <v>1256</v>
      </c>
      <c r="F2" s="450" t="s">
        <v>1257</v>
      </c>
      <c r="G2" s="451" t="s">
        <v>1258</v>
      </c>
      <c r="H2" s="448" t="s">
        <v>1259</v>
      </c>
      <c r="I2" s="452" t="s">
        <v>1260</v>
      </c>
      <c r="J2" s="453"/>
    </row>
    <row r="3" spans="1:13" ht="32.25" customHeight="1">
      <c r="A3" s="445"/>
      <c r="B3" s="604" t="s">
        <v>1261</v>
      </c>
      <c r="C3" s="454" t="s">
        <v>1262</v>
      </c>
      <c r="D3" s="605"/>
      <c r="E3" s="606"/>
      <c r="F3" s="455" t="s">
        <v>1263</v>
      </c>
      <c r="G3" s="456" t="s">
        <v>1264</v>
      </c>
      <c r="H3" s="457" t="s">
        <v>1265</v>
      </c>
      <c r="I3" s="458" t="s">
        <v>1266</v>
      </c>
      <c r="J3" s="453"/>
    </row>
    <row r="4" spans="1:13" ht="32.1">
      <c r="A4" s="445"/>
      <c r="B4" s="607"/>
      <c r="C4" s="459" t="s">
        <v>1267</v>
      </c>
      <c r="D4" s="608"/>
      <c r="E4" s="609"/>
      <c r="F4" s="460" t="s">
        <v>1268</v>
      </c>
      <c r="G4" s="456" t="s">
        <v>1269</v>
      </c>
      <c r="H4" s="461" t="s">
        <v>1270</v>
      </c>
      <c r="I4" s="462" t="s">
        <v>1271</v>
      </c>
      <c r="J4" s="453"/>
    </row>
    <row r="5" spans="1:13" ht="80.099999999999994">
      <c r="A5" s="445"/>
      <c r="B5" s="607"/>
      <c r="C5" s="459" t="s">
        <v>1272</v>
      </c>
      <c r="D5" s="610" t="str">
        <f>IF(E5="el año pasado","last year",IF(E5="un año normal","a normal year",""))</f>
        <v/>
      </c>
      <c r="E5" s="438"/>
      <c r="F5" s="460" t="s">
        <v>1273</v>
      </c>
      <c r="G5" s="456" t="s">
        <v>1274</v>
      </c>
      <c r="H5" s="461" t="s">
        <v>1275</v>
      </c>
      <c r="I5" s="462" t="s">
        <v>1276</v>
      </c>
      <c r="J5" s="453"/>
    </row>
    <row r="6" spans="1:13" ht="75.95" customHeight="1">
      <c r="A6" s="445"/>
      <c r="B6" s="607"/>
      <c r="C6" s="459" t="s">
        <v>1277</v>
      </c>
      <c r="D6" s="611"/>
      <c r="E6" s="609"/>
      <c r="F6" s="464" t="s">
        <v>1278</v>
      </c>
      <c r="G6" s="465" t="s">
        <v>1279</v>
      </c>
      <c r="H6" s="466" t="s">
        <v>1280</v>
      </c>
      <c r="I6" s="467" t="s">
        <v>1281</v>
      </c>
      <c r="J6" s="453"/>
      <c r="K6" s="612"/>
    </row>
    <row r="7" spans="1:13" ht="84.6" customHeight="1">
      <c r="A7" s="445"/>
      <c r="B7" s="607"/>
      <c r="C7" s="459" t="s">
        <v>1282</v>
      </c>
      <c r="D7" s="463" t="str">
        <f>IF(E7="todavía no está en temporada","Not yet in season",IF(E7="preparación de tierra","land preparation",IF(E7="plantación","Planting",IF(E7="crecimiento temprano","Early growing",IF(E7="crecimiento","Growing",IF(E7="maduración","Maturing",IF(E7="cosecha","Harvesting",IF(E7="terminado recientemente","Recently Finished",""))))))))</f>
        <v/>
      </c>
      <c r="E7" s="613"/>
      <c r="F7" s="464" t="s">
        <v>1283</v>
      </c>
      <c r="G7" s="465" t="s">
        <v>1284</v>
      </c>
      <c r="H7" s="466" t="s">
        <v>1285</v>
      </c>
      <c r="I7" s="467" t="s">
        <v>1286</v>
      </c>
      <c r="J7" s="453"/>
    </row>
    <row r="8" spans="1:13" ht="75.95" customHeight="1">
      <c r="A8" s="445"/>
      <c r="B8" s="607"/>
      <c r="C8" s="468" t="s">
        <v>1287</v>
      </c>
      <c r="D8" s="439"/>
      <c r="E8" s="440"/>
      <c r="F8" s="469" t="s">
        <v>1288</v>
      </c>
      <c r="G8" s="470" t="s">
        <v>1289</v>
      </c>
      <c r="H8" s="466" t="s">
        <v>1290</v>
      </c>
      <c r="I8" s="467" t="s">
        <v>1290</v>
      </c>
      <c r="J8" s="453"/>
    </row>
    <row r="9" spans="1:13" ht="50.25" customHeight="1" thickBot="1">
      <c r="A9" s="445"/>
      <c r="B9" s="614"/>
      <c r="C9" s="471" t="s">
        <v>1291</v>
      </c>
      <c r="D9" s="472" t="str">
        <f>IF(E9&lt;&gt;"",E9,"")</f>
        <v/>
      </c>
      <c r="E9" s="441"/>
      <c r="F9" s="473" t="s">
        <v>1292</v>
      </c>
      <c r="G9" s="474" t="s">
        <v>1293</v>
      </c>
      <c r="H9" s="475">
        <v>0.2</v>
      </c>
      <c r="I9" s="476">
        <v>0.2</v>
      </c>
      <c r="J9" s="453"/>
    </row>
    <row r="10" spans="1:13" ht="32.25" customHeight="1">
      <c r="A10" s="445"/>
      <c r="B10" s="604" t="s">
        <v>1294</v>
      </c>
      <c r="C10" s="477" t="s">
        <v>1295</v>
      </c>
      <c r="D10" s="520" t="str">
        <f>IF(E10&lt;&gt;"",E10,"")</f>
        <v/>
      </c>
      <c r="E10" s="615"/>
      <c r="F10" s="478" t="s">
        <v>1296</v>
      </c>
      <c r="G10" s="479" t="s">
        <v>1297</v>
      </c>
      <c r="H10" s="480" t="s">
        <v>1298</v>
      </c>
      <c r="I10" s="481" t="s">
        <v>1298</v>
      </c>
      <c r="J10" s="453"/>
    </row>
    <row r="11" spans="1:13" ht="101.25" customHeight="1">
      <c r="A11" s="445"/>
      <c r="B11" s="607"/>
      <c r="C11" s="482" t="s">
        <v>1299</v>
      </c>
      <c r="D11" s="515" t="str">
        <f>IF(E11&lt;&gt;"",E11,"")</f>
        <v/>
      </c>
      <c r="E11" s="516"/>
      <c r="F11" s="483" t="s">
        <v>1300</v>
      </c>
      <c r="G11" s="484" t="s">
        <v>1301</v>
      </c>
      <c r="H11" s="517">
        <v>5</v>
      </c>
      <c r="I11" s="518">
        <v>5</v>
      </c>
      <c r="J11" s="453"/>
      <c r="L11" s="443"/>
    </row>
    <row r="12" spans="1:13" ht="164.25" customHeight="1">
      <c r="A12" s="445"/>
      <c r="B12" s="607"/>
      <c r="C12" s="459" t="s">
        <v>1302</v>
      </c>
      <c r="D12" s="515" t="str">
        <f>IF(E12&lt;&gt;"",E12,"")</f>
        <v/>
      </c>
      <c r="E12" s="616"/>
      <c r="F12" s="464" t="s">
        <v>1303</v>
      </c>
      <c r="G12" s="485" t="s">
        <v>1304</v>
      </c>
      <c r="H12" s="519">
        <v>5000000</v>
      </c>
      <c r="I12" s="518">
        <v>5000000</v>
      </c>
      <c r="J12" s="453"/>
      <c r="K12" s="445"/>
      <c r="L12" s="486"/>
      <c r="M12" s="453"/>
    </row>
    <row r="13" spans="1:13" ht="116.25" customHeight="1">
      <c r="A13" s="445"/>
      <c r="B13" s="607"/>
      <c r="C13" s="482" t="s">
        <v>1305</v>
      </c>
      <c r="D13" s="515" t="str">
        <f>IF(E13&lt;&gt;"",E13,"")</f>
        <v/>
      </c>
      <c r="E13" s="516"/>
      <c r="F13" s="469" t="s">
        <v>1306</v>
      </c>
      <c r="G13" s="484" t="s">
        <v>1307</v>
      </c>
      <c r="H13" s="519">
        <v>1200000</v>
      </c>
      <c r="I13" s="518">
        <v>1200000</v>
      </c>
      <c r="J13" s="453"/>
      <c r="L13" s="487"/>
    </row>
    <row r="14" spans="1:13" ht="50.25" customHeight="1">
      <c r="A14" s="445"/>
      <c r="B14" s="607"/>
      <c r="C14" s="468" t="s">
        <v>1308</v>
      </c>
      <c r="D14" s="611"/>
      <c r="E14" s="609"/>
      <c r="F14" s="464" t="s">
        <v>1309</v>
      </c>
      <c r="G14" s="470" t="s">
        <v>1310</v>
      </c>
      <c r="H14" s="466" t="s">
        <v>1311</v>
      </c>
      <c r="I14" s="467" t="s">
        <v>1312</v>
      </c>
      <c r="J14" s="453"/>
    </row>
    <row r="15" spans="1:13" ht="50.25" customHeight="1" thickBot="1">
      <c r="A15" s="445"/>
      <c r="B15" s="614"/>
      <c r="C15" s="488" t="s">
        <v>1313</v>
      </c>
      <c r="D15" s="617"/>
      <c r="E15" s="618"/>
      <c r="F15" s="489" t="s">
        <v>1314</v>
      </c>
      <c r="G15" s="490" t="s">
        <v>1315</v>
      </c>
      <c r="H15" s="491" t="s">
        <v>1316</v>
      </c>
      <c r="I15" s="492" t="s">
        <v>1317</v>
      </c>
      <c r="J15" s="453"/>
    </row>
    <row r="16" spans="1:13" ht="5.45" customHeight="1" thickBot="1">
      <c r="A16" s="445"/>
      <c r="B16" s="493"/>
      <c r="C16" s="494"/>
      <c r="D16" s="619"/>
      <c r="E16" s="620"/>
      <c r="F16" s="495"/>
      <c r="G16" s="496"/>
      <c r="H16" s="497"/>
      <c r="I16" s="498"/>
      <c r="J16" s="453"/>
    </row>
    <row r="17" spans="1:10" ht="144.6" customHeight="1">
      <c r="A17" s="445"/>
      <c r="B17" s="621" t="s">
        <v>1318</v>
      </c>
      <c r="C17" s="499" t="s">
        <v>1319</v>
      </c>
      <c r="D17" s="500">
        <f>IF(E17="","",E17)</f>
        <v>0.91</v>
      </c>
      <c r="E17" s="622">
        <v>0.91</v>
      </c>
      <c r="F17" s="501" t="s">
        <v>1320</v>
      </c>
      <c r="G17" s="502" t="s">
        <v>1321</v>
      </c>
      <c r="H17" s="434">
        <v>0.91</v>
      </c>
      <c r="I17" s="437">
        <v>0.91</v>
      </c>
      <c r="J17" s="453"/>
    </row>
    <row r="18" spans="1:10" ht="140.44999999999999" customHeight="1">
      <c r="A18" s="445"/>
      <c r="B18" s="584"/>
      <c r="C18" s="503" t="s">
        <v>1322</v>
      </c>
      <c r="D18" s="504">
        <f>IF(E18="","",E18)</f>
        <v>0.91</v>
      </c>
      <c r="E18" s="623">
        <v>0.91</v>
      </c>
      <c r="F18" s="505" t="s">
        <v>1323</v>
      </c>
      <c r="G18" s="506" t="s">
        <v>1324</v>
      </c>
      <c r="H18" s="435">
        <v>0.91</v>
      </c>
      <c r="I18" s="108">
        <v>0.91</v>
      </c>
      <c r="J18" s="453"/>
    </row>
    <row r="19" spans="1:10" ht="144.94999999999999" thickBot="1">
      <c r="A19" s="445"/>
      <c r="B19" s="585"/>
      <c r="C19" s="507" t="s">
        <v>1325</v>
      </c>
      <c r="D19" s="508">
        <f>IF(E19="","",E19)</f>
        <v>0.05</v>
      </c>
      <c r="E19" s="624">
        <v>0.05</v>
      </c>
      <c r="F19" s="509" t="s">
        <v>1326</v>
      </c>
      <c r="G19" s="510" t="s">
        <v>1327</v>
      </c>
      <c r="H19" s="436">
        <v>0.05</v>
      </c>
      <c r="I19" s="109">
        <v>0.05</v>
      </c>
      <c r="J19" s="453"/>
    </row>
    <row r="20" spans="1:10">
      <c r="B20" s="487"/>
      <c r="C20" s="487"/>
      <c r="D20" s="487"/>
      <c r="E20" s="487"/>
      <c r="F20" s="511"/>
      <c r="G20" s="511"/>
      <c r="H20" s="487"/>
      <c r="I20" s="487"/>
    </row>
  </sheetData>
  <sheetProtection algorithmName="SHA-512" hashValue="JV2c7IMPrLUnN/D84J132dj2rR9RCDGzoBzOkhlvkQBKNrRPmMFiJ45F742xkhyOnVVNU0lOAJOb4t5eSZA/ew==" saltValue="iJtXPa3bnSBw/Db/JFtHhQ==" spinCount="100000" sheet="1" formatCells="0"/>
  <dataConsolidate link="1"/>
  <mergeCells count="3">
    <mergeCell ref="B17:B19"/>
    <mergeCell ref="B3:B9"/>
    <mergeCell ref="B10:B15"/>
  </mergeCells>
  <dataValidations count="2">
    <dataValidation type="list" allowBlank="1" showInputMessage="1" showErrorMessage="1" sqref="E5" xr:uid="{F7B2ADF0-EC4F-324F-B4BD-D43A91B13333}">
      <formula1>"el año pasado, un año normal"</formula1>
    </dataValidation>
    <dataValidation type="list" allowBlank="1" showInputMessage="1" showErrorMessage="1" sqref="E7" xr:uid="{7AE983FF-BDC5-8345-9932-AC2CADE0A644}">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89E0E9-3F6C-4457-BD7D-786E54CF282B}"/>
</file>

<file path=customXml/itemProps2.xml><?xml version="1.0" encoding="utf-8"?>
<ds:datastoreItem xmlns:ds="http://schemas.openxmlformats.org/officeDocument/2006/customXml" ds:itemID="{6436B137-5CF2-43EE-A8CA-ED4DE3DC60C8}"/>
</file>

<file path=customXml/itemProps3.xml><?xml version="1.0" encoding="utf-8"?>
<ds:datastoreItem xmlns:ds="http://schemas.openxmlformats.org/officeDocument/2006/customXml" ds:itemID="{AD04D949-5D8B-4EDB-8DDB-A043F5C2BE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Stepanyan, Seda (OER)</cp:lastModifiedBy>
  <cp:revision/>
  <dcterms:created xsi:type="dcterms:W3CDTF">2020-12-10T15:46:11Z</dcterms:created>
  <dcterms:modified xsi:type="dcterms:W3CDTF">2023-10-31T14:48:36Z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