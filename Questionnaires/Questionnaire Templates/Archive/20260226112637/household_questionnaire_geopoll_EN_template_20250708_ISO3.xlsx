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166925"/>
  <mc:AlternateContent xmlns:mc="http://schemas.openxmlformats.org/markup-compatibility/2006">
    <mc:Choice Requires="x15">
      <x15ac:absPath xmlns:x15ac="http://schemas.microsoft.com/office/spreadsheetml/2010/11/ac" url="https://unfao.sharepoint.com/sites/OER/Evidence for programming/Needs Assessments/01. DIEM Monitoring/03. Toolbox/02. Questionnaires/"/>
    </mc:Choice>
  </mc:AlternateContent>
  <xr:revisionPtr revIDLastSave="269" documentId="8_{4C539D64-6DB6-4715-8009-F09B097454A5}" xr6:coauthVersionLast="47" xr6:coauthVersionMax="47" xr10:uidLastSave="{BED8B16D-BE8A-0340-9AA9-4A7649FC0195}"/>
  <bookViews>
    <workbookView xWindow="0" yWindow="760" windowWidth="28800" windowHeight="15860" activeTab="2" xr2:uid="{00000000-000D-0000-FFFF-FFFF00000000}"/>
  </bookViews>
  <sheets>
    <sheet name="survey" sheetId="21" r:id="rId1"/>
    <sheet name="New Durations" sheetId="12" state="hidden" r:id="rId2"/>
    <sheet name="Crop list" sheetId="10" r:id="rId3"/>
    <sheet name="Additional information" sheetId="8" r:id="rId4"/>
  </sheets>
  <definedNames>
    <definedName name="_xlnm._FilterDatabase" localSheetId="2" hidden="1">'Crop list'!$C$3:$F$93</definedName>
    <definedName name="_xlnm._FilterDatabase" localSheetId="0" hidden="1">survey!$A$3:$XEN$3</definedName>
  </definedNames>
  <calcPr calcId="191028" iterateCount="1"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30" i="21" l="1"/>
  <c r="W231" i="21"/>
  <c r="X231" i="21"/>
  <c r="E231" i="21"/>
  <c r="A231" i="21"/>
  <c r="E229" i="21"/>
  <c r="E8" i="21"/>
  <c r="X7" i="21"/>
  <c r="W7" i="21"/>
  <c r="E7" i="21"/>
  <c r="X6" i="21"/>
  <c r="W6" i="21"/>
  <c r="E6" i="21"/>
  <c r="X5" i="21"/>
  <c r="W5" i="21"/>
  <c r="E5" i="21"/>
  <c r="X74" i="21"/>
  <c r="W74" i="21"/>
  <c r="O74" i="21"/>
  <c r="E82" i="21"/>
  <c r="E70" i="21"/>
  <c r="E12" i="21"/>
  <c r="W41" i="21"/>
  <c r="X134" i="21"/>
  <c r="W134" i="21"/>
  <c r="O134" i="21"/>
  <c r="D4" i="10" a="1"/>
  <c r="D4" i="10"/>
  <c r="E35" i="21"/>
  <c r="O85" i="21"/>
  <c r="E85" i="21"/>
  <c r="O84" i="21"/>
  <c r="E84" i="21"/>
  <c r="O83" i="21"/>
  <c r="W83" i="21"/>
  <c r="E83" i="21"/>
  <c r="O73" i="21"/>
  <c r="W73" i="21"/>
  <c r="E73" i="21"/>
  <c r="O72" i="21"/>
  <c r="E72" i="21"/>
  <c r="O71" i="21"/>
  <c r="W71" i="21"/>
  <c r="E71" i="21"/>
  <c r="X73" i="21"/>
  <c r="X83" i="21"/>
  <c r="X71" i="21"/>
  <c r="W84" i="21"/>
  <c r="W85" i="21"/>
  <c r="W72" i="21"/>
  <c r="X85" i="21"/>
  <c r="X84" i="21"/>
  <c r="X72" i="21"/>
  <c r="O61" i="21"/>
  <c r="W61" i="21"/>
  <c r="E61" i="21"/>
  <c r="O60" i="21"/>
  <c r="W60" i="21"/>
  <c r="E60" i="21"/>
  <c r="X61" i="21"/>
  <c r="X60" i="21"/>
  <c r="E110" i="21"/>
  <c r="E109" i="21"/>
  <c r="X235" i="21"/>
  <c r="X236" i="21"/>
  <c r="W236" i="21"/>
  <c r="O92" i="21"/>
  <c r="E92" i="21"/>
  <c r="A92" i="21"/>
  <c r="X91" i="21"/>
  <c r="W91" i="21"/>
  <c r="O91" i="21"/>
  <c r="W92" i="21"/>
  <c r="X92" i="21"/>
  <c r="X66" i="21"/>
  <c r="O66" i="21"/>
  <c r="W66" i="21"/>
  <c r="E66" i="21"/>
  <c r="O65" i="21"/>
  <c r="W65" i="21"/>
  <c r="E65" i="21"/>
  <c r="X78" i="21"/>
  <c r="O78" i="21"/>
  <c r="W78" i="21"/>
  <c r="E78" i="21"/>
  <c r="O77" i="21"/>
  <c r="W77" i="21"/>
  <c r="E77" i="21"/>
  <c r="X90" i="21"/>
  <c r="O90" i="21"/>
  <c r="W90" i="21"/>
  <c r="E90" i="21"/>
  <c r="O89" i="21"/>
  <c r="E89" i="21"/>
  <c r="E59" i="21"/>
  <c r="O59" i="21"/>
  <c r="X65" i="21"/>
  <c r="X77" i="21"/>
  <c r="W89" i="21"/>
  <c r="W59" i="21"/>
  <c r="X41" i="21"/>
  <c r="X43" i="21"/>
  <c r="X45" i="21"/>
  <c r="X49" i="21"/>
  <c r="X50" i="21"/>
  <c r="X51" i="21"/>
  <c r="X52" i="21"/>
  <c r="X53" i="21"/>
  <c r="X54" i="21"/>
  <c r="X55" i="21"/>
  <c r="X56" i="21"/>
  <c r="X57" i="21"/>
  <c r="X62" i="21"/>
  <c r="X63" i="21"/>
  <c r="X64" i="21"/>
  <c r="X67" i="21"/>
  <c r="X69" i="21"/>
  <c r="X75" i="21"/>
  <c r="X76" i="21"/>
  <c r="X79" i="21"/>
  <c r="X81" i="21"/>
  <c r="X86" i="21"/>
  <c r="X87" i="21"/>
  <c r="X88" i="21"/>
  <c r="X93" i="21"/>
  <c r="X95" i="21"/>
  <c r="X96" i="21"/>
  <c r="X97" i="21"/>
  <c r="X98" i="21"/>
  <c r="X100" i="21"/>
  <c r="X103" i="21"/>
  <c r="X106" i="21"/>
  <c r="X108" i="21"/>
  <c r="X111" i="21"/>
  <c r="X112" i="21"/>
  <c r="X114" i="21"/>
  <c r="X116" i="21"/>
  <c r="X117" i="21"/>
  <c r="X118" i="21"/>
  <c r="X119" i="21"/>
  <c r="X120" i="21"/>
  <c r="X123" i="21"/>
  <c r="X124" i="21"/>
  <c r="X125" i="21"/>
  <c r="X126" i="21"/>
  <c r="X127" i="21"/>
  <c r="X129" i="21"/>
  <c r="X132" i="21"/>
  <c r="X135" i="21"/>
  <c r="X137" i="21"/>
  <c r="X139" i="21"/>
  <c r="X143" i="21"/>
  <c r="X144" i="21"/>
  <c r="X147" i="21"/>
  <c r="X148" i="21"/>
  <c r="X149" i="21"/>
  <c r="X151" i="21"/>
  <c r="X154" i="21"/>
  <c r="X156" i="21"/>
  <c r="X157" i="21"/>
  <c r="X159" i="21"/>
  <c r="X161" i="21"/>
  <c r="X163" i="21"/>
  <c r="X166" i="21"/>
  <c r="X167" i="21"/>
  <c r="X168" i="21"/>
  <c r="X170" i="21"/>
  <c r="X173" i="21"/>
  <c r="X175" i="21"/>
  <c r="X176" i="21"/>
  <c r="X189" i="21"/>
  <c r="X190" i="21"/>
  <c r="X191" i="21"/>
  <c r="X192" i="21"/>
  <c r="X193" i="21"/>
  <c r="X194" i="21"/>
  <c r="X195" i="21"/>
  <c r="X196" i="21"/>
  <c r="X197" i="21"/>
  <c r="X198" i="21"/>
  <c r="X199" i="21"/>
  <c r="X200" i="21"/>
  <c r="X201" i="21"/>
  <c r="X202" i="21"/>
  <c r="X203" i="21"/>
  <c r="X204" i="21"/>
  <c r="X205" i="21"/>
  <c r="X206" i="21"/>
  <c r="X207" i="21"/>
  <c r="X208" i="21"/>
  <c r="X211" i="21"/>
  <c r="X212" i="21"/>
  <c r="X213" i="21"/>
  <c r="X214" i="21"/>
  <c r="X215" i="21"/>
  <c r="X216" i="21"/>
  <c r="X217" i="21"/>
  <c r="X218" i="21"/>
  <c r="X219" i="21"/>
  <c r="X220" i="21"/>
  <c r="X221" i="21"/>
  <c r="X222" i="21"/>
  <c r="X223" i="21"/>
  <c r="X224" i="21"/>
  <c r="X225" i="21"/>
  <c r="X226" i="21"/>
  <c r="X227" i="21"/>
  <c r="X232" i="21"/>
  <c r="X237" i="21"/>
  <c r="X238" i="21"/>
  <c r="X240" i="21"/>
  <c r="X241" i="21"/>
  <c r="X242" i="21"/>
  <c r="X244" i="21"/>
  <c r="X9" i="21"/>
  <c r="X10" i="21"/>
  <c r="X13" i="21"/>
  <c r="X14" i="21"/>
  <c r="X15" i="21"/>
  <c r="X16" i="21"/>
  <c r="X17" i="21"/>
  <c r="X18" i="21"/>
  <c r="X23" i="21"/>
  <c r="X24" i="21"/>
  <c r="X25" i="21"/>
  <c r="X26" i="21"/>
  <c r="X27" i="21"/>
  <c r="X28" i="21"/>
  <c r="X29" i="21"/>
  <c r="X30" i="21"/>
  <c r="X31" i="21"/>
  <c r="X32" i="21"/>
  <c r="X38" i="21"/>
  <c r="X39" i="21"/>
  <c r="X40" i="21"/>
  <c r="X89" i="21"/>
  <c r="X59" i="21"/>
  <c r="X4" i="21"/>
  <c r="W235" i="21"/>
  <c r="E236" i="21"/>
  <c r="E41" i="21"/>
  <c r="W9" i="21"/>
  <c r="W10" i="21"/>
  <c r="W11" i="21"/>
  <c r="X11" i="21"/>
  <c r="W13" i="21"/>
  <c r="W14" i="21"/>
  <c r="W15" i="21"/>
  <c r="W16" i="21"/>
  <c r="W17" i="21"/>
  <c r="W18" i="21"/>
  <c r="W23" i="21"/>
  <c r="W32" i="21"/>
  <c r="W38" i="21"/>
  <c r="W39" i="21"/>
  <c r="W40" i="21"/>
  <c r="W43" i="21"/>
  <c r="W45" i="21"/>
  <c r="W49" i="21"/>
  <c r="W56" i="21"/>
  <c r="W57" i="21"/>
  <c r="W62" i="21"/>
  <c r="W67" i="21"/>
  <c r="W69" i="21"/>
  <c r="W79" i="21"/>
  <c r="W81" i="21"/>
  <c r="W86" i="21"/>
  <c r="W93" i="21"/>
  <c r="W95" i="21"/>
  <c r="W97" i="21"/>
  <c r="W98" i="21"/>
  <c r="W100" i="21"/>
  <c r="W103" i="21"/>
  <c r="W106" i="21"/>
  <c r="W108" i="21"/>
  <c r="W112" i="21"/>
  <c r="W114" i="21"/>
  <c r="W120" i="21"/>
  <c r="W123" i="21"/>
  <c r="W126" i="21"/>
  <c r="W127" i="21"/>
  <c r="W129" i="21"/>
  <c r="W132" i="21"/>
  <c r="W135" i="21"/>
  <c r="W137" i="21"/>
  <c r="W139" i="21"/>
  <c r="W144" i="21"/>
  <c r="W148" i="21"/>
  <c r="W149" i="21"/>
  <c r="W151" i="21"/>
  <c r="W154" i="21"/>
  <c r="W156" i="21"/>
  <c r="W157" i="21"/>
  <c r="W159" i="21"/>
  <c r="W161" i="21"/>
  <c r="W163" i="21"/>
  <c r="W167" i="21"/>
  <c r="W168" i="21"/>
  <c r="W170" i="21"/>
  <c r="W173" i="21"/>
  <c r="W175" i="21"/>
  <c r="W176" i="21"/>
  <c r="W177" i="21"/>
  <c r="W178" i="21"/>
  <c r="W179" i="21"/>
  <c r="W180" i="21"/>
  <c r="W181" i="21"/>
  <c r="W182" i="21"/>
  <c r="W183" i="21"/>
  <c r="W184" i="21"/>
  <c r="W185" i="21"/>
  <c r="W186" i="21"/>
  <c r="W187" i="21"/>
  <c r="W188" i="21"/>
  <c r="W189" i="21"/>
  <c r="W190" i="21"/>
  <c r="W191" i="21"/>
  <c r="W192" i="21"/>
  <c r="W193" i="21"/>
  <c r="W194" i="21"/>
  <c r="W195" i="21"/>
  <c r="W196" i="21"/>
  <c r="W197" i="21"/>
  <c r="W198" i="21"/>
  <c r="W199" i="21"/>
  <c r="W200" i="21"/>
  <c r="W201" i="21"/>
  <c r="W202" i="21"/>
  <c r="W203" i="21"/>
  <c r="W204" i="21"/>
  <c r="W205" i="21"/>
  <c r="W206" i="21"/>
  <c r="W207" i="21"/>
  <c r="W208" i="21"/>
  <c r="W209" i="21"/>
  <c r="W210" i="21"/>
  <c r="W211" i="21"/>
  <c r="W212" i="21"/>
  <c r="W213" i="21"/>
  <c r="W214" i="21"/>
  <c r="W215" i="21"/>
  <c r="W216" i="21"/>
  <c r="W217" i="21"/>
  <c r="W218" i="21"/>
  <c r="W219" i="21"/>
  <c r="W220" i="21"/>
  <c r="W221" i="21"/>
  <c r="W222" i="21"/>
  <c r="W223" i="21"/>
  <c r="W224" i="21"/>
  <c r="W225" i="21"/>
  <c r="W226" i="21"/>
  <c r="W227" i="21"/>
  <c r="W228" i="21"/>
  <c r="W232" i="21"/>
  <c r="W233" i="21"/>
  <c r="W234" i="21"/>
  <c r="W237" i="21"/>
  <c r="W238" i="21"/>
  <c r="W239" i="21"/>
  <c r="W240" i="21"/>
  <c r="W241" i="21"/>
  <c r="W242" i="21"/>
  <c r="W243" i="21"/>
  <c r="W244" i="21"/>
  <c r="W4" i="21"/>
  <c r="X186" i="21"/>
  <c r="X209" i="21"/>
  <c r="X185" i="21"/>
  <c r="X177" i="21"/>
  <c r="X239" i="21"/>
  <c r="X187" i="21"/>
  <c r="X178" i="21"/>
  <c r="X234" i="21"/>
  <c r="X184" i="21"/>
  <c r="X233" i="21"/>
  <c r="X183" i="21"/>
  <c r="X179" i="21"/>
  <c r="X182" i="21"/>
  <c r="X181" i="21"/>
  <c r="X243" i="21"/>
  <c r="X210" i="21"/>
  <c r="X228" i="21"/>
  <c r="X188" i="21"/>
  <c r="X180" i="21"/>
  <c r="E116" i="21"/>
  <c r="O116" i="21"/>
  <c r="E117" i="21"/>
  <c r="O117" i="21"/>
  <c r="E118" i="21"/>
  <c r="O118" i="21"/>
  <c r="E119" i="21"/>
  <c r="O119" i="21"/>
  <c r="O175" i="21"/>
  <c r="O174" i="21"/>
  <c r="W174" i="21"/>
  <c r="O173" i="21"/>
  <c r="O172" i="21"/>
  <c r="O171" i="21"/>
  <c r="O170" i="21"/>
  <c r="O169" i="21"/>
  <c r="O167" i="21"/>
  <c r="O166" i="21"/>
  <c r="O165" i="21"/>
  <c r="O164" i="21"/>
  <c r="O163" i="21"/>
  <c r="O162" i="21"/>
  <c r="O161" i="21"/>
  <c r="O160" i="21"/>
  <c r="O159" i="21"/>
  <c r="O158" i="21"/>
  <c r="O133" i="21"/>
  <c r="O131" i="21"/>
  <c r="O130" i="21"/>
  <c r="O129" i="21"/>
  <c r="O128" i="21"/>
  <c r="O126" i="21"/>
  <c r="O125" i="21"/>
  <c r="W125" i="21"/>
  <c r="O124" i="21"/>
  <c r="O123" i="21"/>
  <c r="O122" i="21"/>
  <c r="O121" i="21"/>
  <c r="O120" i="21"/>
  <c r="O115" i="21"/>
  <c r="O114" i="21"/>
  <c r="O113" i="21"/>
  <c r="O112" i="21"/>
  <c r="O111" i="21"/>
  <c r="O108" i="21"/>
  <c r="O107" i="21"/>
  <c r="W107" i="21"/>
  <c r="O106" i="21"/>
  <c r="O105" i="21"/>
  <c r="O104" i="21"/>
  <c r="W104" i="21"/>
  <c r="O103" i="21"/>
  <c r="O102" i="21"/>
  <c r="O101" i="21"/>
  <c r="O100" i="21"/>
  <c r="O99" i="21"/>
  <c r="O132" i="21"/>
  <c r="O136" i="21"/>
  <c r="W136" i="21"/>
  <c r="O155" i="21"/>
  <c r="O154" i="21"/>
  <c r="O153" i="21"/>
  <c r="O152" i="21"/>
  <c r="O151" i="21"/>
  <c r="O150" i="21"/>
  <c r="O148" i="21"/>
  <c r="O147" i="21"/>
  <c r="O146" i="21"/>
  <c r="W146" i="21"/>
  <c r="O145" i="21"/>
  <c r="O144" i="21"/>
  <c r="O143" i="21"/>
  <c r="O142" i="21"/>
  <c r="O141" i="21"/>
  <c r="O140" i="21"/>
  <c r="O139" i="21"/>
  <c r="O138" i="21"/>
  <c r="O137" i="21"/>
  <c r="O156" i="21"/>
  <c r="E9" i="21"/>
  <c r="E10" i="21"/>
  <c r="E11" i="21"/>
  <c r="E13" i="21"/>
  <c r="E14" i="21"/>
  <c r="E15" i="21"/>
  <c r="E16" i="21"/>
  <c r="E17" i="21"/>
  <c r="E19" i="21"/>
  <c r="O19" i="21"/>
  <c r="W19" i="21"/>
  <c r="E20" i="21"/>
  <c r="O20" i="21"/>
  <c r="W20" i="21"/>
  <c r="E21" i="21"/>
  <c r="O21" i="21"/>
  <c r="W21" i="21"/>
  <c r="A22" i="21"/>
  <c r="E22" i="21"/>
  <c r="O22" i="21"/>
  <c r="O23" i="21"/>
  <c r="E24" i="21"/>
  <c r="O24" i="21"/>
  <c r="E25" i="21"/>
  <c r="O25" i="21"/>
  <c r="W25" i="21"/>
  <c r="E26" i="21"/>
  <c r="O26" i="21"/>
  <c r="E27" i="21"/>
  <c r="O27" i="21"/>
  <c r="W27" i="21"/>
  <c r="E28" i="21"/>
  <c r="O28" i="21"/>
  <c r="E29" i="21"/>
  <c r="O29" i="21"/>
  <c r="E30" i="21"/>
  <c r="O30" i="21"/>
  <c r="W30" i="21"/>
  <c r="E31" i="21"/>
  <c r="O31" i="21"/>
  <c r="O32" i="21"/>
  <c r="E33" i="21"/>
  <c r="O33" i="21"/>
  <c r="A34" i="21"/>
  <c r="E34" i="21"/>
  <c r="O34" i="21"/>
  <c r="W34" i="21"/>
  <c r="A36" i="21"/>
  <c r="E36" i="21"/>
  <c r="O36" i="21"/>
  <c r="O38" i="21"/>
  <c r="O40" i="21"/>
  <c r="E42" i="21"/>
  <c r="O42" i="21"/>
  <c r="W42" i="21"/>
  <c r="O43" i="21"/>
  <c r="E44" i="21"/>
  <c r="O44" i="21"/>
  <c r="O45" i="21"/>
  <c r="E46" i="21"/>
  <c r="O46" i="21"/>
  <c r="E47" i="21"/>
  <c r="O47" i="21"/>
  <c r="E48" i="21"/>
  <c r="O48" i="21"/>
  <c r="O49" i="21"/>
  <c r="A50" i="21"/>
  <c r="A51" i="21"/>
  <c r="A52" i="21"/>
  <c r="A53" i="21"/>
  <c r="A54" i="21"/>
  <c r="A55" i="21"/>
  <c r="A58" i="21"/>
  <c r="E50" i="21"/>
  <c r="O50" i="21"/>
  <c r="W50" i="21"/>
  <c r="E51" i="21"/>
  <c r="O51" i="21"/>
  <c r="E52" i="21"/>
  <c r="O52" i="21"/>
  <c r="E53" i="21"/>
  <c r="O53" i="21"/>
  <c r="E54" i="21"/>
  <c r="O54" i="21"/>
  <c r="E55" i="21"/>
  <c r="O55" i="21"/>
  <c r="O57" i="21"/>
  <c r="E58" i="21"/>
  <c r="O58" i="21"/>
  <c r="O62" i="21"/>
  <c r="E63" i="21"/>
  <c r="O63" i="21"/>
  <c r="W63" i="21"/>
  <c r="E64" i="21"/>
  <c r="O64" i="21"/>
  <c r="W64" i="21"/>
  <c r="O67" i="21"/>
  <c r="A68" i="21"/>
  <c r="A70" i="21"/>
  <c r="E68" i="21"/>
  <c r="O68" i="21"/>
  <c r="O69" i="21"/>
  <c r="O70" i="21"/>
  <c r="W70" i="21"/>
  <c r="E75" i="21"/>
  <c r="O75" i="21"/>
  <c r="A76" i="21"/>
  <c r="E76" i="21"/>
  <c r="O76" i="21"/>
  <c r="W76" i="21"/>
  <c r="O79" i="21"/>
  <c r="A80" i="21"/>
  <c r="A82" i="21"/>
  <c r="A87" i="21"/>
  <c r="A88" i="21"/>
  <c r="A96" i="21"/>
  <c r="A94" i="21"/>
  <c r="E80" i="21"/>
  <c r="O80" i="21"/>
  <c r="W80" i="21"/>
  <c r="O81" i="21"/>
  <c r="O82" i="21"/>
  <c r="O86" i="21"/>
  <c r="E87" i="21"/>
  <c r="O87" i="21"/>
  <c r="W87" i="21"/>
  <c r="E88" i="21"/>
  <c r="O88" i="21"/>
  <c r="O93" i="21"/>
  <c r="E94" i="21"/>
  <c r="O94" i="21"/>
  <c r="W94" i="21"/>
  <c r="E95" i="21"/>
  <c r="O95" i="21"/>
  <c r="E96" i="21"/>
  <c r="O96" i="21"/>
  <c r="O97" i="21"/>
  <c r="A99" i="21"/>
  <c r="A104" i="21"/>
  <c r="A107" i="21"/>
  <c r="A111" i="21"/>
  <c r="A113" i="21"/>
  <c r="A115" i="21"/>
  <c r="A116" i="21"/>
  <c r="A117" i="21"/>
  <c r="A118" i="21"/>
  <c r="A119" i="21"/>
  <c r="A121" i="21"/>
  <c r="A122" i="21"/>
  <c r="E99" i="21"/>
  <c r="E101" i="21"/>
  <c r="E102" i="21"/>
  <c r="E104" i="21"/>
  <c r="E105" i="21"/>
  <c r="E107" i="21"/>
  <c r="E111" i="21"/>
  <c r="E113" i="21"/>
  <c r="E115" i="21"/>
  <c r="E121" i="21"/>
  <c r="E122" i="21"/>
  <c r="E124" i="21"/>
  <c r="E125" i="21"/>
  <c r="E128" i="21"/>
  <c r="E130" i="21"/>
  <c r="E131" i="21"/>
  <c r="E133" i="21"/>
  <c r="E136" i="21"/>
  <c r="E138" i="21"/>
  <c r="E140" i="21"/>
  <c r="E141" i="21"/>
  <c r="E142" i="21"/>
  <c r="E143" i="21"/>
  <c r="A145" i="21"/>
  <c r="A146" i="21"/>
  <c r="A150" i="21"/>
  <c r="A152" i="21"/>
  <c r="A153" i="21"/>
  <c r="A155" i="21"/>
  <c r="A158" i="21"/>
  <c r="A160" i="21"/>
  <c r="A162" i="21"/>
  <c r="A164" i="21"/>
  <c r="A165" i="21"/>
  <c r="A166" i="21"/>
  <c r="A169" i="21"/>
  <c r="A171" i="21"/>
  <c r="A172" i="21"/>
  <c r="A174" i="21"/>
  <c r="A177" i="21"/>
  <c r="A178" i="21"/>
  <c r="A179" i="21"/>
  <c r="A180" i="21"/>
  <c r="A181" i="21"/>
  <c r="A182" i="21"/>
  <c r="A183" i="21"/>
  <c r="A184" i="21"/>
  <c r="A185" i="21"/>
  <c r="A186" i="21"/>
  <c r="A187" i="21"/>
  <c r="A188" i="21"/>
  <c r="A189" i="21"/>
  <c r="A190" i="21"/>
  <c r="A191" i="21"/>
  <c r="A192" i="21"/>
  <c r="A193" i="21"/>
  <c r="A194" i="21"/>
  <c r="A195" i="21"/>
  <c r="A196" i="21"/>
  <c r="A197" i="21"/>
  <c r="A198" i="21"/>
  <c r="A199" i="21"/>
  <c r="A200" i="21"/>
  <c r="A201" i="21"/>
  <c r="A202" i="21"/>
  <c r="A203" i="21"/>
  <c r="A204" i="21"/>
  <c r="A205" i="21"/>
  <c r="A206" i="21"/>
  <c r="A207" i="21"/>
  <c r="A208" i="21"/>
  <c r="A209" i="21"/>
  <c r="A210" i="21"/>
  <c r="A211" i="21"/>
  <c r="A212" i="21"/>
  <c r="A213" i="21"/>
  <c r="A214" i="21"/>
  <c r="A215" i="21"/>
  <c r="A216" i="21"/>
  <c r="A217" i="21"/>
  <c r="A218" i="21"/>
  <c r="A219" i="21"/>
  <c r="A221" i="21"/>
  <c r="A222" i="21"/>
  <c r="A223" i="21"/>
  <c r="A224" i="21"/>
  <c r="A225" i="21"/>
  <c r="A226" i="21"/>
  <c r="A228" i="21"/>
  <c r="A233" i="21"/>
  <c r="A234" i="21"/>
  <c r="E145" i="21"/>
  <c r="E146" i="21"/>
  <c r="E147" i="21"/>
  <c r="E150" i="21"/>
  <c r="E152" i="21"/>
  <c r="E153" i="21"/>
  <c r="E155" i="21"/>
  <c r="E158" i="21"/>
  <c r="E160" i="21"/>
  <c r="E162" i="21"/>
  <c r="E164" i="21"/>
  <c r="E165" i="21"/>
  <c r="E166" i="21"/>
  <c r="E169" i="21"/>
  <c r="E171" i="21"/>
  <c r="E172" i="21"/>
  <c r="E174" i="21"/>
  <c r="E177" i="21"/>
  <c r="E178" i="21"/>
  <c r="E179" i="21"/>
  <c r="E180" i="21"/>
  <c r="E181" i="21"/>
  <c r="E182" i="21"/>
  <c r="E183" i="21"/>
  <c r="E184" i="21"/>
  <c r="E185" i="21"/>
  <c r="E186" i="21"/>
  <c r="E187" i="21"/>
  <c r="E188" i="21"/>
  <c r="E189" i="21"/>
  <c r="E190" i="21"/>
  <c r="E191" i="21"/>
  <c r="E192" i="21"/>
  <c r="E193" i="21"/>
  <c r="E194" i="21"/>
  <c r="E195" i="21"/>
  <c r="E196" i="21"/>
  <c r="E197" i="21"/>
  <c r="E198" i="21"/>
  <c r="E199" i="21"/>
  <c r="E200" i="21"/>
  <c r="E201" i="21"/>
  <c r="E202" i="21"/>
  <c r="E203" i="21"/>
  <c r="E204" i="21"/>
  <c r="E205" i="21"/>
  <c r="E206" i="21"/>
  <c r="E207" i="21"/>
  <c r="E208" i="21"/>
  <c r="E209" i="21"/>
  <c r="E210" i="21"/>
  <c r="E211" i="21"/>
  <c r="E212" i="21"/>
  <c r="E213" i="21"/>
  <c r="E214" i="21"/>
  <c r="E215" i="21"/>
  <c r="E216" i="21"/>
  <c r="E217" i="21"/>
  <c r="E218" i="21"/>
  <c r="E219" i="21"/>
  <c r="E220" i="21"/>
  <c r="E221" i="21"/>
  <c r="E222" i="21"/>
  <c r="E223" i="21"/>
  <c r="E224" i="21"/>
  <c r="E225" i="21"/>
  <c r="E226" i="21"/>
  <c r="E228" i="21"/>
  <c r="E233" i="21"/>
  <c r="E234" i="21"/>
  <c r="E239" i="21"/>
  <c r="E240" i="21"/>
  <c r="E241" i="21"/>
  <c r="E243" i="21"/>
  <c r="E244" i="21"/>
  <c r="X20" i="21"/>
  <c r="X107" i="21"/>
  <c r="X70" i="21"/>
  <c r="X94" i="21"/>
  <c r="X19" i="21"/>
  <c r="X174" i="21"/>
  <c r="X21" i="21"/>
  <c r="X136" i="21"/>
  <c r="X80" i="21"/>
  <c r="X34" i="21"/>
  <c r="X42" i="21"/>
  <c r="X146" i="21"/>
  <c r="X104" i="21"/>
  <c r="A41" i="21"/>
  <c r="A42" i="21"/>
  <c r="A44" i="21"/>
  <c r="W96" i="21"/>
  <c r="W53" i="21"/>
  <c r="W46" i="21"/>
  <c r="W138" i="21"/>
  <c r="W155" i="21"/>
  <c r="W119" i="21"/>
  <c r="W58" i="21"/>
  <c r="W31" i="21"/>
  <c r="W147" i="21"/>
  <c r="W105" i="21"/>
  <c r="W115" i="21"/>
  <c r="W128" i="21"/>
  <c r="W160" i="21"/>
  <c r="W169" i="21"/>
  <c r="W140" i="21"/>
  <c r="W44" i="21"/>
  <c r="W36" i="21"/>
  <c r="W26" i="21"/>
  <c r="W22" i="21"/>
  <c r="W141" i="21"/>
  <c r="W150" i="21"/>
  <c r="W99" i="21"/>
  <c r="W121" i="21"/>
  <c r="W130" i="21"/>
  <c r="W162" i="21"/>
  <c r="W171" i="21"/>
  <c r="W82" i="21"/>
  <c r="W55" i="21"/>
  <c r="W51" i="21"/>
  <c r="W48" i="21"/>
  <c r="W142" i="21"/>
  <c r="W122" i="21"/>
  <c r="W131" i="21"/>
  <c r="W172" i="21"/>
  <c r="W117" i="21"/>
  <c r="W52" i="21"/>
  <c r="W118" i="21"/>
  <c r="W29" i="21"/>
  <c r="W143" i="21"/>
  <c r="W152" i="21"/>
  <c r="W101" i="21"/>
  <c r="W111" i="21"/>
  <c r="W164" i="21"/>
  <c r="W88" i="21"/>
  <c r="W75" i="21"/>
  <c r="W68" i="21"/>
  <c r="W54" i="21"/>
  <c r="W47" i="21"/>
  <c r="W33" i="21"/>
  <c r="W153" i="21"/>
  <c r="W102" i="21"/>
  <c r="W124" i="21"/>
  <c r="W133" i="21"/>
  <c r="W165" i="21"/>
  <c r="W116" i="21"/>
  <c r="W28" i="21"/>
  <c r="W24" i="21"/>
  <c r="W145" i="21"/>
  <c r="W113" i="21"/>
  <c r="W158" i="21"/>
  <c r="W166" i="21"/>
  <c r="A130" i="21"/>
  <c r="A131" i="21"/>
  <c r="A133" i="21"/>
  <c r="A136" i="21"/>
  <c r="A138" i="21"/>
  <c r="A140" i="21"/>
  <c r="A141" i="21"/>
  <c r="A124" i="21"/>
  <c r="X171" i="21"/>
  <c r="X133" i="21"/>
  <c r="X160" i="21"/>
  <c r="X141" i="21"/>
  <c r="X158" i="21"/>
  <c r="X128" i="21"/>
  <c r="X150" i="21"/>
  <c r="X155" i="21"/>
  <c r="X138" i="21"/>
  <c r="X113" i="21"/>
  <c r="X102" i="21"/>
  <c r="X164" i="21"/>
  <c r="X82" i="21"/>
  <c r="X22" i="21"/>
  <c r="X115" i="21"/>
  <c r="X46" i="21"/>
  <c r="X145" i="21"/>
  <c r="X153" i="21"/>
  <c r="X172" i="21"/>
  <c r="X105" i="21"/>
  <c r="X33" i="21"/>
  <c r="X101" i="21"/>
  <c r="X131" i="21"/>
  <c r="X162" i="21"/>
  <c r="X36" i="21"/>
  <c r="X47" i="21"/>
  <c r="X152" i="21"/>
  <c r="X122" i="21"/>
  <c r="X130" i="21"/>
  <c r="X44" i="21"/>
  <c r="X142" i="21"/>
  <c r="X121" i="21"/>
  <c r="X140" i="21"/>
  <c r="X58" i="21"/>
  <c r="X165" i="21"/>
  <c r="X68" i="21"/>
  <c r="X48" i="21"/>
  <c r="X99" i="21"/>
  <c r="X169" i="21"/>
  <c r="W247" i="21"/>
  <c r="W249" i="21"/>
  <c r="W248" i="21"/>
  <c r="X247" i="2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<sst xmlns="http://schemas.openxmlformats.org/spreadsheetml/2006/main" count="2452" uniqueCount="1157">
  <si>
    <t>GeoPoll Submission Form</t>
  </si>
  <si>
    <t>FAO - Household Questionnaire</t>
  </si>
  <si>
    <t>Additional notes</t>
  </si>
  <si>
    <t>Q #</t>
  </si>
  <si>
    <t>Q Name</t>
  </si>
  <si>
    <t>Suggested Qname</t>
  </si>
  <si>
    <t>English</t>
  </si>
  <si>
    <t>Length</t>
  </si>
  <si>
    <t>Q Type</t>
  </si>
  <si>
    <t>Randomize</t>
  </si>
  <si>
    <t>Conditional</t>
  </si>
  <si>
    <t>Programming Instructions</t>
  </si>
  <si>
    <t>Skip Pattern</t>
  </si>
  <si>
    <t>Codes</t>
  </si>
  <si>
    <t xml:space="preserve">Default skip patterns &amp; conditional </t>
  </si>
  <si>
    <t>Specify skip pattern variable (from blue text)</t>
  </si>
  <si>
    <t>Estimated percentage of repondents</t>
  </si>
  <si>
    <t>Mandatory</t>
  </si>
  <si>
    <t>Duration (sec)</t>
  </si>
  <si>
    <t>Weighted duration</t>
  </si>
  <si>
    <t>Core questions only</t>
  </si>
  <si>
    <t>A. PRESENTATION OF THE SURVEY AND ELIGIBILITY CRITERIA SELECTION</t>
  </si>
  <si>
    <t>no</t>
  </si>
  <si>
    <t>NA</t>
  </si>
  <si>
    <t>Optin</t>
  </si>
  <si>
    <t>Open Ended</t>
  </si>
  <si>
    <t>Form Type - TextBox</t>
  </si>
  <si>
    <t>Any Response = calldispo</t>
  </si>
  <si>
    <t>calldispo</t>
  </si>
  <si>
    <t>Phone number: #CATI_MOBILENUMBER#
1)Someone answers
2)No answer
3)Refusal
4)Call back
5)Non-Working Number</t>
  </si>
  <si>
    <t>Single Choice</t>
  </si>
  <si>
    <t>Form Type - Buttons</t>
  </si>
  <si>
    <t>1 = resp_language
2 = NoAnswer
3 = Refusal
4 = WhenCallBack
5 = NonWorkingNumber</t>
  </si>
  <si>
    <t>NoAnswer</t>
  </si>
  <si>
    <t>calldispo_noanswer</t>
  </si>
  <si>
    <t xml:space="preserve">Phone rang and no one answered. Inclusive of voicemail, answering machine and temporary issues with network connection. </t>
  </si>
  <si>
    <t>End Poll NoAnswer</t>
  </si>
  <si>
    <t>NonWorkingNumber</t>
  </si>
  <si>
    <t>calldispo_NonWorkingNumber</t>
  </si>
  <si>
    <t>Phone number is not in service, not working, or not valid.</t>
  </si>
  <si>
    <t>End Poll NonWorkingNumber</t>
  </si>
  <si>
    <t>resp_language</t>
  </si>
  <si>
    <r>
      <t xml:space="preserve">Which language do you wish to proceed with?
[OPERATOR: READ ANSWER CHOICES. SINGLE RESPONSE.]
</t>
    </r>
    <r>
      <rPr>
        <sz val="12"/>
        <color theme="4"/>
        <rFont val="Calibri (Body)"/>
      </rPr>
      <t>1)English</t>
    </r>
    <r>
      <rPr>
        <b/>
        <sz val="12"/>
        <color theme="4"/>
        <rFont val="Calibri (Body)"/>
      </rPr>
      <t xml:space="preserve">
</t>
    </r>
    <r>
      <rPr>
        <sz val="12"/>
        <color theme="4"/>
        <rFont val="Calibri (Body)"/>
      </rPr>
      <t>2)</t>
    </r>
    <r>
      <rPr>
        <b/>
        <sz val="12"/>
        <color theme="4"/>
        <rFont val="Calibri (Body)"/>
      </rPr>
      <t>other options [add as many as necessary]</t>
    </r>
  </si>
  <si>
    <r>
      <rPr>
        <sz val="12"/>
        <color theme="4"/>
        <rFont val="Calibri (Body)"/>
      </rPr>
      <t>1 = introduction [English]
2 = introduction [</t>
    </r>
    <r>
      <rPr>
        <b/>
        <sz val="12"/>
        <color theme="4"/>
        <rFont val="Calibri (Body)"/>
      </rPr>
      <t>languages &amp; add more if needed</t>
    </r>
    <r>
      <rPr>
        <sz val="12"/>
        <color theme="4"/>
        <rFont val="Calibri (Body)"/>
      </rPr>
      <t>]</t>
    </r>
  </si>
  <si>
    <r>
      <rPr>
        <sz val="12"/>
        <rFont val="Calibri"/>
        <family val="2"/>
        <scheme val="minor"/>
      </rPr>
      <t>For any response, go to</t>
    </r>
    <r>
      <rPr>
        <i/>
        <sz val="12"/>
        <rFont val="Calibri"/>
        <family val="2"/>
        <scheme val="minor"/>
      </rPr>
      <t xml:space="preserve"> introduction</t>
    </r>
  </si>
  <si>
    <t>Insert most common national languages here [max 4 for translation with GeoPoll].</t>
  </si>
  <si>
    <t>introduction</t>
  </si>
  <si>
    <r>
      <t xml:space="preserve">Hello sir/ma'am, my name is #OPERATOR#, and I am calling from GeoPoll Polling Agency on behalf of the Food and Agriculture Organization of the United Nations [FAO]. We are conducting a survey on household </t>
    </r>
    <r>
      <rPr>
        <sz val="12"/>
        <rFont val="Calibri (Body)"/>
      </rPr>
      <t xml:space="preserve">livelihoods and the </t>
    </r>
    <r>
      <rPr>
        <sz val="12"/>
        <rFont val="Calibri"/>
        <family val="2"/>
        <scheme val="minor"/>
      </rPr>
      <t xml:space="preserve">ability to access food in your area. I would like to ask you some questions about your household.
The survey usually takes </t>
    </r>
    <r>
      <rPr>
        <b/>
        <sz val="12"/>
        <color rgb="FF0070C0"/>
        <rFont val="Calibri"/>
        <family val="2"/>
        <scheme val="minor"/>
      </rPr>
      <t>15/20 minutes</t>
    </r>
    <r>
      <rPr>
        <sz val="12"/>
        <rFont val="Calibri"/>
        <family val="2"/>
        <scheme val="minor"/>
      </rPr>
      <t xml:space="preserve">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t>
    </r>
    <r>
      <rPr>
        <b/>
        <sz val="12"/>
        <color rgb="FF0070C0"/>
        <rFont val="Calibri"/>
        <family val="2"/>
        <scheme val="minor"/>
      </rPr>
      <t>You will receive #TOPUP#! of communication credit as an incentive for the participation of the survey.</t>
    </r>
    <r>
      <rPr>
        <sz val="12"/>
        <color rgb="FF0070C0"/>
        <rFont val="Calibri"/>
        <family val="2"/>
        <scheme val="minor"/>
      </rPr>
      <t xml:space="preserve">
</t>
    </r>
    <r>
      <rPr>
        <sz val="12"/>
        <color theme="4"/>
        <rFont val="Calibri"/>
        <family val="2"/>
        <scheme val="minor"/>
      </rPr>
      <t xml:space="preserve">
</t>
    </r>
    <r>
      <rPr>
        <b/>
        <sz val="12"/>
        <color rgb="FF0070C0"/>
        <rFont val="Calibri"/>
        <family val="2"/>
        <scheme val="minor"/>
      </rPr>
      <t xml:space="preserve">Please note that this call may be recorded for quality purposes.
</t>
    </r>
    <r>
      <rPr>
        <sz val="12"/>
        <rFont val="Calibri"/>
        <family val="2"/>
        <scheme val="minor"/>
      </rPr>
      <t xml:space="preserve">
Do you have any questions?
[OPERATOR: ADDRESS QUESTIONS FROM RESPONDENT, IF ANY.]
1)CONTINUE</t>
    </r>
  </si>
  <si>
    <t>1 = Agree</t>
  </si>
  <si>
    <r>
      <rPr>
        <sz val="12"/>
        <rFont val="Calibri"/>
        <family val="2"/>
        <scheme val="minor"/>
      </rPr>
      <t xml:space="preserve">For any response, go to </t>
    </r>
    <r>
      <rPr>
        <i/>
        <sz val="12"/>
        <rFont val="Calibri"/>
        <family val="2"/>
        <scheme val="minor"/>
      </rPr>
      <t>Agree</t>
    </r>
  </si>
  <si>
    <t>Set the amount of incentive here, if any.</t>
  </si>
  <si>
    <t>Agree</t>
  </si>
  <si>
    <t>resp_agree</t>
  </si>
  <si>
    <t xml:space="preserve">Are you interested in participating in this survey?
[OPERATOR: SINGLE RESPONSE]
1)Yes 
2)Not now but another time in the week 
3)No </t>
  </si>
  <si>
    <t>StartRecording</t>
  </si>
  <si>
    <r>
      <t>1 =</t>
    </r>
    <r>
      <rPr>
        <b/>
        <sz val="12"/>
        <color theme="4"/>
        <rFont val="Calibri (Body)"/>
      </rPr>
      <t xml:space="preserve"> [id_panel OR resp_firstname]</t>
    </r>
    <r>
      <rPr>
        <sz val="12"/>
        <rFont val="Calibri"/>
        <family val="2"/>
        <scheme val="minor"/>
      </rPr>
      <t xml:space="preserve">
2 = WhenCallBack
3 = resp_refusalwhy</t>
    </r>
  </si>
  <si>
    <r>
      <t>if Agree = 1, go to</t>
    </r>
    <r>
      <rPr>
        <b/>
        <i/>
        <sz val="12"/>
        <color theme="4"/>
        <rFont val="Calibri (Body)"/>
      </rPr>
      <t xml:space="preserve"> id_panel OR resp_firstname</t>
    </r>
    <r>
      <rPr>
        <i/>
        <sz val="12"/>
        <rFont val="Calibri"/>
        <family val="2"/>
        <scheme val="minor"/>
      </rPr>
      <t xml:space="preserve">
</t>
    </r>
    <r>
      <rPr>
        <sz val="12"/>
        <rFont val="Calibri"/>
        <family val="2"/>
        <scheme val="minor"/>
      </rPr>
      <t>if</t>
    </r>
    <r>
      <rPr>
        <i/>
        <sz val="12"/>
        <rFont val="Calibri"/>
        <family val="2"/>
        <scheme val="minor"/>
      </rPr>
      <t xml:space="preserve"> Agree</t>
    </r>
    <r>
      <rPr>
        <sz val="12"/>
        <rFont val="Calibri"/>
        <family val="2"/>
        <scheme val="minor"/>
      </rPr>
      <t xml:space="preserve"> = 2, go to </t>
    </r>
    <r>
      <rPr>
        <i/>
        <sz val="12"/>
        <rFont val="Calibri"/>
        <family val="2"/>
        <scheme val="minor"/>
      </rPr>
      <t>WhenCallBack</t>
    </r>
    <r>
      <rPr>
        <sz val="12"/>
        <rFont val="Calibri"/>
        <family val="2"/>
        <scheme val="minor"/>
      </rPr>
      <t xml:space="preserve">
if </t>
    </r>
    <r>
      <rPr>
        <i/>
        <sz val="12"/>
        <rFont val="Calibri"/>
        <family val="2"/>
        <scheme val="minor"/>
      </rPr>
      <t>Agree</t>
    </r>
    <r>
      <rPr>
        <sz val="12"/>
        <rFont val="Calibri"/>
        <family val="2"/>
        <scheme val="minor"/>
      </rPr>
      <t xml:space="preserve"> = 3, go to </t>
    </r>
    <r>
      <rPr>
        <i/>
        <sz val="12"/>
        <rFont val="Calibri"/>
        <family val="2"/>
        <scheme val="minor"/>
      </rPr>
      <t>resp_refusalwhy</t>
    </r>
  </si>
  <si>
    <t>yes</t>
  </si>
  <si>
    <t>id_panel</t>
  </si>
  <si>
    <t>Have you or any member of your household received a call on behalf of FAO regarding this topic in the past two years?
[OPERATOR: SINGLE RESPONSE.]
1)YES
2)NO
3)DON'T KNOW</t>
  </si>
  <si>
    <t>1-3 = resp_firstname</t>
  </si>
  <si>
    <r>
      <t xml:space="preserve">For any response, go to </t>
    </r>
    <r>
      <rPr>
        <i/>
        <sz val="12"/>
        <rFont val="Calibri"/>
        <family val="2"/>
        <scheme val="minor"/>
      </rPr>
      <t>resp_firstname</t>
    </r>
  </si>
  <si>
    <t xml:space="preserve">It is highly recommended to include the question id_panel if a panelist approach is used. </t>
  </si>
  <si>
    <t>resp_refusalwhy</t>
  </si>
  <si>
    <t>Please let us know why you have REFUSED to take the survey.
[OPERATOR: SINGLE RESPONSE]
1)Not interested
2)Do not want to be recorded
3)Other [specify]</t>
  </si>
  <si>
    <t>Open Ended - Single Choice</t>
  </si>
  <si>
    <t>Form Type - RadioList</t>
  </si>
  <si>
    <t>Any Response = Refusal</t>
  </si>
  <si>
    <r>
      <t xml:space="preserve">For any response, go to </t>
    </r>
    <r>
      <rPr>
        <i/>
        <sz val="12"/>
        <rFont val="Calibri"/>
        <family val="2"/>
        <scheme val="minor"/>
      </rPr>
      <t>Refusal</t>
    </r>
  </si>
  <si>
    <t>WhenCallBack</t>
  </si>
  <si>
    <t>resp_whencallback</t>
  </si>
  <si>
    <t>When would it be a good time to call you back?
[RECORD HH/MM/DD/MM OF CALLBACK]</t>
  </si>
  <si>
    <r>
      <t xml:space="preserve">Form Type - TextBox
</t>
    </r>
    <r>
      <rPr>
        <sz val="12"/>
        <rFont val="Calibri (Body)"/>
      </rPr>
      <t>IsCallBackDemographic</t>
    </r>
  </si>
  <si>
    <t>Any Response = CallbackMessageEN</t>
  </si>
  <si>
    <r>
      <t xml:space="preserve">For any response, go to </t>
    </r>
    <r>
      <rPr>
        <i/>
        <sz val="12"/>
        <rFont val="Calibri"/>
        <family val="2"/>
        <scheme val="minor"/>
      </rPr>
      <t>CallbackMessageEN</t>
    </r>
  </si>
  <si>
    <t>CallbackMessageEN</t>
  </si>
  <si>
    <t>callbackmessage_en</t>
  </si>
  <si>
    <t>Thank you, we will call you back at {WhenCallBack} you requested. Thank you again and have a great day!
[OPERATOR: ENTER CALL NOTES BELOW, WHO YOU SPOKE TO AND WHAT THEY SAID]</t>
  </si>
  <si>
    <t>Any Response = End poll callback</t>
  </si>
  <si>
    <t>Ineligible</t>
  </si>
  <si>
    <t>You are ineligible for this survey. Thank you for your time and please look out for future surveys!</t>
  </si>
  <si>
    <t>End Poll Ineligible</t>
  </si>
  <si>
    <t>Refusal</t>
  </si>
  <si>
    <t>NA </t>
  </si>
  <si>
    <t>Thank you for your time, you will be removed from today's survey.</t>
  </si>
  <si>
    <t>End poll declined</t>
  </si>
  <si>
    <t>B. GENERAL INFORMATION &amp; ELIGIBILITY CRITERIA</t>
  </si>
  <si>
    <t>resp_firstname</t>
  </si>
  <si>
    <t>What is your first name?
[OPERATOR: RECORD THE RESPONDENT'S FIRST NAME. ENTER 999 FOR REFUSED.]</t>
  </si>
  <si>
    <t>Any Response = resp_lastname</t>
  </si>
  <si>
    <r>
      <t xml:space="preserve">For any response, go to </t>
    </r>
    <r>
      <rPr>
        <i/>
        <sz val="12"/>
        <rFont val="Calibri"/>
        <family val="2"/>
        <scheme val="minor"/>
      </rPr>
      <t>resp_lastname</t>
    </r>
  </si>
  <si>
    <t>resp_lastname</t>
  </si>
  <si>
    <t>What is your last name? 
[OPERATOR: RECORD THE RESPONDENT'S LAST NAME. ENTER 999 FOR REFUSED.]</t>
  </si>
  <si>
    <t>Any Response = resp_age</t>
  </si>
  <si>
    <r>
      <t xml:space="preserve">For any response, go to </t>
    </r>
    <r>
      <rPr>
        <i/>
        <sz val="12"/>
        <rFont val="Calibri"/>
        <family val="2"/>
        <scheme val="minor"/>
      </rPr>
      <t>resp_age</t>
    </r>
  </si>
  <si>
    <t>resp_age</t>
  </si>
  <si>
    <t>How old are you? 
[OPERATOR: RECORD AGE IN NUMBER OF YEARS. ROUND UP TO NEAREST WHOLE NUMBER. IF THE RESPONDENT GIVES BIRTH YEAR, REPEAT THE QUESTION. ENTER 00 FOR DON'T KNOW.]</t>
  </si>
  <si>
    <t>Range</t>
  </si>
  <si>
    <r>
      <t>0-</t>
    </r>
    <r>
      <rPr>
        <b/>
        <sz val="12"/>
        <color rgb="FF0070C0"/>
        <rFont val="Calibri"/>
        <family val="2"/>
        <scheme val="minor"/>
      </rPr>
      <t>17</t>
    </r>
    <r>
      <rPr>
        <sz val="12"/>
        <rFont val="Calibri"/>
        <family val="2"/>
        <scheme val="minor"/>
      </rPr>
      <t xml:space="preserve"> = Ineligible
</t>
    </r>
    <r>
      <rPr>
        <b/>
        <sz val="12"/>
        <color rgb="FF0070C0"/>
        <rFont val="Calibri"/>
        <family val="2"/>
        <scheme val="minor"/>
      </rPr>
      <t>18</t>
    </r>
    <r>
      <rPr>
        <sz val="12"/>
        <rFont val="Calibri"/>
        <family val="2"/>
        <scheme val="minor"/>
      </rPr>
      <t>-100 = resp_gender
00 = Ineligible</t>
    </r>
  </si>
  <si>
    <t>Only respondents from 18-100 will be eligible for the survey.</t>
  </si>
  <si>
    <t>resp_gender</t>
  </si>
  <si>
    <r>
      <t>What is the gender of the respondent?
[OPERATOR: DO NOT ASK THIS QUESTION</t>
    </r>
    <r>
      <rPr>
        <sz val="12"/>
        <rFont val="Calibri (Body)"/>
      </rPr>
      <t xml:space="preserve"> OUT LOUD</t>
    </r>
    <r>
      <rPr>
        <sz val="12"/>
        <rFont val="Calibri"/>
        <family val="2"/>
        <scheme val="minor"/>
      </rPr>
      <t xml:space="preserve">. LISTEN TO THE VOICE AND </t>
    </r>
    <r>
      <rPr>
        <sz val="12"/>
        <rFont val="Calibri (Body)"/>
      </rPr>
      <t>SELECT THE GENDER</t>
    </r>
    <r>
      <rPr>
        <sz val="12"/>
        <rFont val="Calibri"/>
        <family val="2"/>
        <scheme val="minor"/>
      </rPr>
      <t>.]
1)Male
2)Female
3)DON'T KNOW
4)REFUSED</t>
    </r>
  </si>
  <si>
    <t>1-4 = phone_number_conf</t>
  </si>
  <si>
    <r>
      <t xml:space="preserve">For any response, go to </t>
    </r>
    <r>
      <rPr>
        <i/>
        <sz val="12"/>
        <rFont val="Calibri"/>
        <family val="2"/>
        <scheme val="minor"/>
      </rPr>
      <t>phone_number_conf</t>
    </r>
  </si>
  <si>
    <t>phone_number_conf</t>
  </si>
  <si>
    <r>
      <t xml:space="preserve">Is the </t>
    </r>
    <r>
      <rPr>
        <b/>
        <sz val="12"/>
        <color theme="9" tint="-0.499984740745262"/>
        <rFont val="Calibri (Body)"/>
      </rPr>
      <t>phone number</t>
    </r>
    <r>
      <rPr>
        <sz val="12"/>
        <color theme="9" tint="-0.499984740745262"/>
        <rFont val="Calibri (Body)"/>
      </rPr>
      <t xml:space="preserve"> I am calling you on yours or a household members?
[OPERATOR: SINGLE RESPONSE.]
1)YES
2)NO
3)DON'T KNOW
4)REFUSED</t>
    </r>
  </si>
  <si>
    <t>1 = contact_2
2 = phone_number_personal
3-4 = contact_2</t>
  </si>
  <si>
    <r>
      <t>if</t>
    </r>
    <r>
      <rPr>
        <i/>
        <sz val="12"/>
        <color theme="9" tint="-0.499984740745262"/>
        <rFont val="Calibri (Body)"/>
      </rPr>
      <t xml:space="preserve"> phone_number_conf </t>
    </r>
    <r>
      <rPr>
        <sz val="12"/>
        <color theme="9" tint="-0.499984740745262"/>
        <rFont val="Calibri (Body)"/>
      </rPr>
      <t xml:space="preserve">= 1, go to </t>
    </r>
    <r>
      <rPr>
        <i/>
        <sz val="12"/>
        <color theme="9" tint="-0.499984740745262"/>
        <rFont val="Calibri (Body)"/>
      </rPr>
      <t>contact_2</t>
    </r>
    <r>
      <rPr>
        <sz val="12"/>
        <color theme="9" tint="-0.499984740745262"/>
        <rFont val="Calibri (Body)"/>
      </rPr>
      <t xml:space="preserve">
if </t>
    </r>
    <r>
      <rPr>
        <i/>
        <sz val="12"/>
        <color theme="9" tint="-0.499984740745262"/>
        <rFont val="Calibri (Body)"/>
      </rPr>
      <t xml:space="preserve">phone_number_conf </t>
    </r>
    <r>
      <rPr>
        <sz val="12"/>
        <color theme="9" tint="-0.499984740745262"/>
        <rFont val="Calibri (Body)"/>
      </rPr>
      <t xml:space="preserve">= 2, go to </t>
    </r>
    <r>
      <rPr>
        <i/>
        <sz val="12"/>
        <color theme="9" tint="-0.499984740745262"/>
        <rFont val="Calibri (Body)"/>
      </rPr>
      <t>phone_number_personal</t>
    </r>
    <r>
      <rPr>
        <sz val="12"/>
        <color theme="9" tint="-0.499984740745262"/>
        <rFont val="Calibri (Body)"/>
      </rPr>
      <t xml:space="preserve">
if </t>
    </r>
    <r>
      <rPr>
        <i/>
        <sz val="12"/>
        <color theme="9" tint="-0.499984740745262"/>
        <rFont val="Calibri (Body)"/>
      </rPr>
      <t xml:space="preserve">phone_number_conf </t>
    </r>
    <r>
      <rPr>
        <sz val="12"/>
        <color theme="9" tint="-0.499984740745262"/>
        <rFont val="Calibri (Body)"/>
      </rPr>
      <t xml:space="preserve">= 3-4, go to </t>
    </r>
    <r>
      <rPr>
        <i/>
        <sz val="12"/>
        <color theme="9" tint="-0.499984740745262"/>
        <rFont val="Calibri (Body)"/>
      </rPr>
      <t>contact_2</t>
    </r>
  </si>
  <si>
    <t>yes - panel</t>
  </si>
  <si>
    <t>phone_number_personal</t>
  </si>
  <si>
    <t>phone_number_pers</t>
  </si>
  <si>
    <r>
      <t xml:space="preserve">What is your </t>
    </r>
    <r>
      <rPr>
        <b/>
        <sz val="12"/>
        <color theme="9" tint="-0.499984740745262"/>
        <rFont val="Calibri"/>
        <family val="2"/>
        <scheme val="minor"/>
      </rPr>
      <t>phone number</t>
    </r>
    <r>
      <rPr>
        <sz val="12"/>
        <color theme="9" tint="-0.499984740745262"/>
        <rFont val="Calibri"/>
        <family val="2"/>
        <scheme val="minor"/>
      </rPr>
      <t>?
[OPERATOR: RECORD THE NUMBER GIVEN]</t>
    </r>
  </si>
  <si>
    <t>Any Response = contact_2</t>
  </si>
  <si>
    <t>For any response, go to contact_2</t>
  </si>
  <si>
    <t>contact_2</t>
  </si>
  <si>
    <r>
      <rPr>
        <sz val="12"/>
        <color rgb="FF375623"/>
        <rFont val="Calibri"/>
        <family val="2"/>
      </rPr>
      <t xml:space="preserve">Can you give me an additional </t>
    </r>
    <r>
      <rPr>
        <b/>
        <sz val="12"/>
        <color rgb="FF375623"/>
        <rFont val="Calibri"/>
        <family val="2"/>
      </rPr>
      <t xml:space="preserve">phone number </t>
    </r>
    <r>
      <rPr>
        <sz val="12"/>
        <color rgb="FF375623"/>
        <rFont val="Calibri"/>
        <family val="2"/>
      </rPr>
      <t>belonging to you, another household member or a close relation living outside of the household at which you can be reached?
[OPERATOR: SINGLE RESPONSE.]
1)YES - mine 
2)YES - other household member
3)YES - friend or relative [non-household member]
4)NO
5)DON'T KNOW
6)REFUSED</t>
    </r>
  </si>
  <si>
    <t>1-3 = phone_number_2
4-6 = hh_admin1</t>
  </si>
  <si>
    <t>if contact_2 = 1-3, go to phone_number_2
if contact_2 = 4-6, go to contact_3</t>
  </si>
  <si>
    <t>phone_number_2</t>
  </si>
  <si>
    <r>
      <t xml:space="preserve">What is the additional </t>
    </r>
    <r>
      <rPr>
        <b/>
        <sz val="12"/>
        <color theme="9" tint="-0.499984740745262"/>
        <rFont val="Calibri"/>
        <family val="2"/>
        <scheme val="minor"/>
      </rPr>
      <t>phone number</t>
    </r>
    <r>
      <rPr>
        <sz val="12"/>
        <color theme="9" tint="-0.499984740745262"/>
        <rFont val="Calibri"/>
        <family val="2"/>
        <scheme val="minor"/>
      </rPr>
      <t>?
[OPERATOR: RECORD THE NUMBER GIVEN]</t>
    </r>
  </si>
  <si>
    <t>Any Response = contact_2_name</t>
  </si>
  <si>
    <t>For any response, go to contact_2_name</t>
  </si>
  <si>
    <t>contact_2_name</t>
  </si>
  <si>
    <t>What is the name of the contact?
[OPERATOR: RECORD THE NAME OF THE CONTACT FOR THE PHONE NUMBER.]</t>
  </si>
  <si>
    <t>Send if "contact_2" "Equals" "YES - other household member" Or "contact_2" "Equals" "YES - friend or relative [non-household member]" if not satisfied go to "contact_3"</t>
  </si>
  <si>
    <t>Any Response = contact_3</t>
  </si>
  <si>
    <t>Asked if response to contact_2 was "YES - other household member" or "YES - friend or relative [non-household member]". Otherwise, it skips to "contact_3".
For any response, go to contact_3</t>
  </si>
  <si>
    <t>contact_3</t>
  </si>
  <si>
    <t>1-3= phone_number_3
4-6 = hh_admin1</t>
  </si>
  <si>
    <t>if contact_3 = 1-3, go to phone_number_3
if contact_3 = 4-6, go to hh_admin1</t>
  </si>
  <si>
    <t>phone_number_3</t>
  </si>
  <si>
    <t>Any Response = contact_3_name</t>
  </si>
  <si>
    <t>For any response, go to contact_3_name</t>
  </si>
  <si>
    <t>contact_3_name</t>
  </si>
  <si>
    <t>phone_number_3_name</t>
  </si>
  <si>
    <t>Send if "contact_3" "Equals" "YES - other household member" Or "contact_3" "Equals" "YES - friend or relative [non-household member]" if not satisfied go to "hh_admin1"</t>
  </si>
  <si>
    <t>Any Response = hh_admin1</t>
  </si>
  <si>
    <t>Asked if response to contact_3 was "YES - other household member" or "YES - friend or relative [non-household member]". Otherwise, it skips to "hh_admin1".
For any response, go to hh_admin1</t>
  </si>
  <si>
    <t>hh_admin1</t>
  </si>
  <si>
    <r>
      <t xml:space="preserve">Currently, in which </t>
    </r>
    <r>
      <rPr>
        <b/>
        <sz val="12"/>
        <color rgb="FF7030A0"/>
        <rFont val="Calibri"/>
        <family val="2"/>
        <scheme val="minor"/>
      </rPr>
      <t>$ADMIN1$</t>
    </r>
    <r>
      <rPr>
        <sz val="12"/>
        <rFont val="Calibri"/>
        <family val="2"/>
        <scheme val="minor"/>
      </rPr>
      <t xml:space="preserve"> does your household reside?
[OPERATOR: SINGLE SELECTION.]
[HINT: HOUSEHOLD CONSISTS OF ALL MEMBERS LIVING TOGETHER, SHARING RESOURCES &amp; EATING FROM THE SAME POT.]
</t>
    </r>
    <r>
      <rPr>
        <b/>
        <sz val="12"/>
        <color theme="4"/>
        <rFont val="Calibri (Body)"/>
      </rPr>
      <t>1)ADMIN1</t>
    </r>
    <r>
      <rPr>
        <b/>
        <sz val="12"/>
        <color theme="4"/>
        <rFont val="Calibri"/>
        <family val="2"/>
        <scheme val="minor"/>
      </rPr>
      <t xml:space="preserve">
</t>
    </r>
    <r>
      <rPr>
        <sz val="12"/>
        <rFont val="Calibri (Body)"/>
      </rPr>
      <t>2</t>
    </r>
    <r>
      <rPr>
        <sz val="12"/>
        <rFont val="Calibri"/>
        <family val="2"/>
        <scheme val="minor"/>
      </rPr>
      <t xml:space="preserve">)DON'T KNOW
</t>
    </r>
    <r>
      <rPr>
        <sz val="12"/>
        <rFont val="Calibri (Body)"/>
      </rPr>
      <t>3</t>
    </r>
    <r>
      <rPr>
        <sz val="12"/>
        <rFont val="Calibri"/>
        <family val="2"/>
        <scheme val="minor"/>
      </rPr>
      <t xml:space="preserve">)REFUSED </t>
    </r>
  </si>
  <si>
    <r>
      <t xml:space="preserve">Form Type - Buttons
</t>
    </r>
    <r>
      <rPr>
        <sz val="12"/>
        <rFont val="Calibri (Body)"/>
      </rPr>
      <t xml:space="preserve">IsDemographic </t>
    </r>
    <r>
      <rPr>
        <sz val="12"/>
        <rFont val="Calibri"/>
        <family val="2"/>
        <scheme val="minor"/>
      </rPr>
      <t>- ADM1</t>
    </r>
  </si>
  <si>
    <t>1 = hh_admin2_1
2-3 = Ineligible</t>
  </si>
  <si>
    <t xml:space="preserve">The administrative information will be updated by GeoPoll based on the sample design document and the administrative boundaries provided by the dashboard team after the questionnaire validation. </t>
  </si>
  <si>
    <t>hh_admin2_1</t>
  </si>
  <si>
    <r>
      <t xml:space="preserve">Currently, in which </t>
    </r>
    <r>
      <rPr>
        <b/>
        <sz val="12"/>
        <color rgb="FF7030A0"/>
        <rFont val="Calibri"/>
        <family val="2"/>
        <scheme val="minor"/>
      </rPr>
      <t>$ADMIN2$</t>
    </r>
    <r>
      <rPr>
        <sz val="12"/>
        <rFont val="Calibri"/>
        <family val="2"/>
        <scheme val="minor"/>
      </rPr>
      <t xml:space="preserve"> does your household reside?
[OPERATOR: SINGLE RESPONSE.]
</t>
    </r>
    <r>
      <rPr>
        <sz val="12"/>
        <color theme="4"/>
        <rFont val="Calibri"/>
        <family val="2"/>
        <scheme val="minor"/>
      </rPr>
      <t xml:space="preserve">
</t>
    </r>
    <r>
      <rPr>
        <b/>
        <sz val="12"/>
        <color theme="4"/>
        <rFont val="Calibri (Body)"/>
      </rPr>
      <t>1)ADMIN2</t>
    </r>
    <r>
      <rPr>
        <b/>
        <sz val="12"/>
        <color theme="4"/>
        <rFont val="Calibri"/>
        <family val="2"/>
        <scheme val="minor"/>
      </rPr>
      <t xml:space="preserve">
</t>
    </r>
    <r>
      <rPr>
        <sz val="12"/>
        <rFont val="Calibri (Body)"/>
      </rPr>
      <t>2</t>
    </r>
    <r>
      <rPr>
        <sz val="12"/>
        <rFont val="Calibri"/>
        <family val="2"/>
        <scheme val="minor"/>
      </rPr>
      <t xml:space="preserve">)DON'T KNOW
</t>
    </r>
    <r>
      <rPr>
        <sz val="12"/>
        <rFont val="Calibri (Body)"/>
      </rPr>
      <t>3</t>
    </r>
    <r>
      <rPr>
        <sz val="12"/>
        <rFont val="Calibri"/>
        <family val="2"/>
        <scheme val="minor"/>
      </rPr>
      <t xml:space="preserve">)REFUSED </t>
    </r>
  </si>
  <si>
    <r>
      <t xml:space="preserve">Form Type - Buttons
</t>
    </r>
    <r>
      <rPr>
        <sz val="12"/>
        <rFont val="Calibri (Body)"/>
      </rPr>
      <t>IsDemographic</t>
    </r>
    <r>
      <rPr>
        <sz val="12"/>
        <rFont val="Calibri"/>
        <family val="2"/>
        <scheme val="minor"/>
      </rPr>
      <t xml:space="preserve"> - ADM2</t>
    </r>
  </si>
  <si>
    <r>
      <rPr>
        <b/>
        <sz val="12"/>
        <color theme="4"/>
        <rFont val="Calibri (Body)"/>
      </rPr>
      <t>1</t>
    </r>
    <r>
      <rPr>
        <b/>
        <sz val="12"/>
        <color theme="4"/>
        <rFont val="Calibri"/>
        <family val="2"/>
        <scheme val="minor"/>
      </rPr>
      <t xml:space="preserve"> = </t>
    </r>
    <r>
      <rPr>
        <b/>
        <sz val="12"/>
        <color theme="4"/>
        <rFont val="Calibri (Body)"/>
      </rPr>
      <t xml:space="preserve"> hh_agricactivity</t>
    </r>
    <r>
      <rPr>
        <b/>
        <sz val="12"/>
        <color theme="4"/>
        <rFont val="Calibri"/>
        <family val="2"/>
        <scheme val="minor"/>
      </rPr>
      <t xml:space="preserve">
</t>
    </r>
    <r>
      <rPr>
        <b/>
        <sz val="12"/>
        <color theme="4"/>
        <rFont val="Calibri (Body)"/>
      </rPr>
      <t>2-3</t>
    </r>
    <r>
      <rPr>
        <b/>
        <sz val="12"/>
        <color theme="4"/>
        <rFont val="Calibri"/>
        <family val="2"/>
        <scheme val="minor"/>
      </rPr>
      <t xml:space="preserve"> = Ineligible</t>
    </r>
  </si>
  <si>
    <t>quotareached</t>
  </si>
  <si>
    <t>[OPERATOR: DO NOT READ. ANSWER QUESTION BELOW.]
THIS RESPONDENT REPORTED THEY LIVE IN:
{ADM1}
{ADM2}
1)THE GOAL FOR THIS LOCATION HAS BEEN ACHIEVED - END SURVEY
2)THE GOAL FOR THIS LOCATION IS OPEN - CONTINUE SURVEY</t>
  </si>
  <si>
    <t>1 = End Poll Quota Reached
2 = hh_agricactivity</t>
  </si>
  <si>
    <t>hh_agricactivity</t>
  </si>
  <si>
    <t xml:space="preserve">Has anybody in your household produced crops or livestock for household consumption or for sale in the past 12 months, including household members currently away for transhumance?
[OPERATOR: SINGLE RESPONSE.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
1)Yes - crop production 
2)Yes - livestock production
3)Yes - both crop and livestock production 
4)No
5)DON'T KNOW
6)REFUSED </t>
  </si>
  <si>
    <r>
      <t xml:space="preserve">1-4 = </t>
    </r>
    <r>
      <rPr>
        <b/>
        <sz val="12"/>
        <color theme="4"/>
        <rFont val="Calibri (Body)"/>
      </rPr>
      <t>resp_id or hh_fish</t>
    </r>
    <r>
      <rPr>
        <sz val="12"/>
        <rFont val="Calibri"/>
        <family val="2"/>
        <scheme val="minor"/>
      </rPr>
      <t xml:space="preserve">
5-6 = Ineligible</t>
    </r>
  </si>
  <si>
    <r>
      <t xml:space="preserve">if </t>
    </r>
    <r>
      <rPr>
        <i/>
        <sz val="12"/>
        <rFont val="Calibri"/>
        <family val="2"/>
        <scheme val="minor"/>
      </rPr>
      <t xml:space="preserve">hh_agricactivity </t>
    </r>
    <r>
      <rPr>
        <sz val="12"/>
        <rFont val="Calibri"/>
        <family val="2"/>
        <scheme val="minor"/>
      </rPr>
      <t>= 1-4, go to</t>
    </r>
    <r>
      <rPr>
        <i/>
        <sz val="12"/>
        <rFont val="Calibri"/>
        <family val="2"/>
        <scheme val="minor"/>
      </rPr>
      <t xml:space="preserve"> </t>
    </r>
    <r>
      <rPr>
        <b/>
        <i/>
        <sz val="12"/>
        <color theme="4"/>
        <rFont val="Calibri (Body)"/>
      </rPr>
      <t>resp_id or hh_fish</t>
    </r>
    <r>
      <rPr>
        <sz val="12"/>
        <rFont val="Calibri"/>
        <family val="2"/>
        <scheme val="minor"/>
      </rPr>
      <t xml:space="preserve">. Otherwise, the respondent is </t>
    </r>
    <r>
      <rPr>
        <i/>
        <sz val="12"/>
        <rFont val="Calibri"/>
        <family val="2"/>
        <scheme val="minor"/>
      </rPr>
      <t>ineligible</t>
    </r>
    <r>
      <rPr>
        <sz val="12"/>
        <rFont val="Calibri"/>
        <family val="2"/>
        <scheme val="minor"/>
      </rPr>
      <t xml:space="preserve">. </t>
    </r>
  </si>
  <si>
    <t>hh_fish</t>
  </si>
  <si>
    <t>Has anybody in your household been engaged in aquatic production [fish catch or aquaculture farming] for household consumption or for sales in the past 12 months? 
[OPERATOR: SINGLE RESPONSE.]
[HINT FOR PROBING: It should not include sports fishing. It should be about production of aquatic products [fish catch or aquaculture farming] for household consumption or sales.]
1)YES
2)NO
3)DON'T KNOW
4)REFUSED</t>
  </si>
  <si>
    <t>1-2 = resp_id
3-4 = Ineligible</t>
  </si>
  <si>
    <r>
      <t xml:space="preserve">if </t>
    </r>
    <r>
      <rPr>
        <i/>
        <sz val="12"/>
        <rFont val="Calibri (Body)"/>
      </rPr>
      <t>hh_fish</t>
    </r>
    <r>
      <rPr>
        <sz val="12"/>
        <rFont val="Calibri (Body)"/>
      </rPr>
      <t xml:space="preserve"> = 1-2, go to resp_id. Otherwise, the respondent is ineligible. </t>
    </r>
  </si>
  <si>
    <t xml:space="preserve">Use this question if the survey seeks to gather important information on fisheries and/or aquaculture in the country. </t>
  </si>
  <si>
    <t>B. GENERAL HOUSEHOLD INFORMATION</t>
  </si>
  <si>
    <t>resp_id</t>
  </si>
  <si>
    <t xml:space="preserve">Are you the head of household? 
[OPERATOR: SINGLE RESPONSE.]
1)Yes
2)No
3)DON'T KNOW
4)REFUSED
</t>
  </si>
  <si>
    <t>1 = hh_education 
2-4 = hh_gender</t>
  </si>
  <si>
    <r>
      <t xml:space="preserve">if </t>
    </r>
    <r>
      <rPr>
        <i/>
        <sz val="12"/>
        <rFont val="Calibri (Body)"/>
      </rPr>
      <t>resp_id</t>
    </r>
    <r>
      <rPr>
        <sz val="12"/>
        <rFont val="Calibri (Body)"/>
      </rPr>
      <t xml:space="preserve"> = 1, go to </t>
    </r>
    <r>
      <rPr>
        <i/>
        <sz val="12"/>
        <rFont val="Calibri (Body)"/>
      </rPr>
      <t>hh_education</t>
    </r>
    <r>
      <rPr>
        <sz val="12"/>
        <rFont val="Calibri (Body)"/>
      </rPr>
      <t>. 
Otherwise, go to hh_gender.</t>
    </r>
  </si>
  <si>
    <t>hh_gender</t>
  </si>
  <si>
    <t>Is the head of your household male or female?
[OPERATOR: SINGLE RESPONSE.]
1)Male 
2)Female
3)DON'T KNOW
4)REFUSED</t>
  </si>
  <si>
    <t>1-4 = hh_education</t>
  </si>
  <si>
    <r>
      <t>if</t>
    </r>
    <r>
      <rPr>
        <i/>
        <sz val="12"/>
        <rFont val="Calibri"/>
        <family val="2"/>
        <scheme val="minor"/>
      </rPr>
      <t xml:space="preserve"> hh_gender</t>
    </r>
    <r>
      <rPr>
        <sz val="12"/>
        <rFont val="Calibri"/>
        <family val="2"/>
        <scheme val="minor"/>
      </rPr>
      <t xml:space="preserve"> = 1-4, go to </t>
    </r>
    <r>
      <rPr>
        <i/>
        <sz val="12"/>
        <rFont val="Calibri"/>
        <family val="2"/>
        <scheme val="minor"/>
      </rPr>
      <t>hh_education</t>
    </r>
    <r>
      <rPr>
        <sz val="12"/>
        <rFont val="Calibri"/>
        <family val="2"/>
        <scheme val="minor"/>
      </rPr>
      <t>.</t>
    </r>
  </si>
  <si>
    <t>hh_education</t>
  </si>
  <si>
    <t>What is the educational level attained by the head of household?
[OPERATOR: SINGLE RESPONSE.]
1)None or did not complete primary school
2)Completed primary school
3)Completed secondary school
4)Completed higher education [University / College] degree
5)Religious or informal education only
6)DON'T KNOW
7)REFUSED</t>
  </si>
  <si>
    <t>1-7 = hh_wealth</t>
  </si>
  <si>
    <r>
      <t xml:space="preserve">if </t>
    </r>
    <r>
      <rPr>
        <i/>
        <sz val="12"/>
        <rFont val="Calibri"/>
        <family val="2"/>
        <scheme val="minor"/>
      </rPr>
      <t>hh_education</t>
    </r>
    <r>
      <rPr>
        <sz val="12"/>
        <rFont val="Calibri"/>
        <family val="2"/>
        <scheme val="minor"/>
      </rPr>
      <t xml:space="preserve"> = 1-7, go to </t>
    </r>
    <r>
      <rPr>
        <i/>
        <sz val="12"/>
        <rFont val="Calibri"/>
        <family val="2"/>
        <scheme val="minor"/>
      </rPr>
      <t>hh_wealth</t>
    </r>
    <r>
      <rPr>
        <sz val="12"/>
        <rFont val="Calibri"/>
        <family val="2"/>
        <scheme val="minor"/>
      </rPr>
      <t>.</t>
    </r>
  </si>
  <si>
    <t>hh_wealth_water</t>
  </si>
  <si>
    <t>Where does the water that you drink at home come from?
[OPERATOR: SINGLE CHOICE.]
1)Private tap from piped water
2)Public tap
3)Protected well
4)Bottled water
5)Other safe source
6)River
7)Unprotected well
8)Spring water
9)Surface water [e.g. canals, ponds, dams]
10)Other unsafe source
11)DON'T KNOW
12)REFUSED</t>
  </si>
  <si>
    <r>
      <t xml:space="preserve">
</t>
    </r>
    <r>
      <rPr>
        <sz val="12"/>
        <rFont val="Calibri"/>
        <family val="2"/>
        <scheme val="minor"/>
      </rPr>
      <t>1-12 =</t>
    </r>
    <r>
      <rPr>
        <b/>
        <sz val="12"/>
        <color theme="4"/>
        <rFont val="Calibri"/>
        <family val="2"/>
        <scheme val="minor"/>
      </rPr>
      <t xml:space="preserve"> [income_main OR other optional question]</t>
    </r>
  </si>
  <si>
    <r>
      <t>For any response, go to</t>
    </r>
    <r>
      <rPr>
        <sz val="12"/>
        <color theme="4"/>
        <rFont val="Calibri"/>
        <family val="2"/>
        <scheme val="minor"/>
      </rPr>
      <t xml:space="preserve"> [income_main OR other optional question]</t>
    </r>
  </si>
  <si>
    <r>
      <rPr>
        <b/>
        <i/>
        <sz val="12"/>
        <rFont val="Calibri (Body)"/>
      </rPr>
      <t>Select</t>
    </r>
    <r>
      <rPr>
        <b/>
        <i/>
        <sz val="12"/>
        <rFont val="Calibri"/>
        <family val="2"/>
        <scheme val="minor"/>
      </rPr>
      <t xml:space="preserve"> wealth indicators </t>
    </r>
    <r>
      <rPr>
        <b/>
        <i/>
        <sz val="12"/>
        <rFont val="Calibri (Body)"/>
      </rPr>
      <t>based on baseline information available; you can</t>
    </r>
    <r>
      <rPr>
        <b/>
        <i/>
        <sz val="12"/>
        <rFont val="Calibri"/>
        <family val="2"/>
        <scheme val="minor"/>
      </rPr>
      <t xml:space="preserve"> delete those that you do not want to use. 
If none of these indicators work in the context of your country, other wealth proxies are proposed in the optional questions below. 
Remember that baseline data will be necessary, and the variable should be defined properly in the "weight_input_table".</t>
    </r>
  </si>
  <si>
    <t>hh_wealth_toilet</t>
  </si>
  <si>
    <t>Where do household members typically go to use a toilet?
[OPERATOR: SINGLE CHOICE.]
1)Flush latrine [toilet with water]
2)Traditional pit latrine [no water]
3)Open pit [hole in the ground for excrement without water, roof or wall]
4)Communal latrine [with or without water]
5)None – bush
6)DON'T KNOW
7)REFUSED</t>
  </si>
  <si>
    <r>
      <t xml:space="preserve">
</t>
    </r>
    <r>
      <rPr>
        <sz val="12"/>
        <rFont val="Calibri"/>
        <family val="2"/>
        <scheme val="minor"/>
      </rPr>
      <t>1-7 =</t>
    </r>
    <r>
      <rPr>
        <b/>
        <sz val="12"/>
        <color theme="4"/>
        <rFont val="Calibri"/>
        <family val="2"/>
        <scheme val="minor"/>
      </rPr>
      <t xml:space="preserve"> [income_main OR other optional question]</t>
    </r>
  </si>
  <si>
    <t>hh_wealth_light</t>
  </si>
  <si>
    <r>
      <t xml:space="preserve">What is the main source of light in your dwelling?
[OPERATOR: SINGLE RESPONSE.]
1)Electricity [from generator or electrical grid]
2)Candle
3)Petrol lamp
4)Lamp with batteries
</t>
    </r>
    <r>
      <rPr>
        <sz val="12"/>
        <rFont val="Calibri (Body)"/>
      </rPr>
      <t>5)Solar panel</t>
    </r>
    <r>
      <rPr>
        <sz val="12"/>
        <rFont val="Calibri"/>
        <family val="2"/>
        <scheme val="minor"/>
      </rPr>
      <t xml:space="preserve">
</t>
    </r>
    <r>
      <rPr>
        <sz val="12"/>
        <rFont val="Calibri (Body)"/>
      </rPr>
      <t>6</t>
    </r>
    <r>
      <rPr>
        <sz val="12"/>
        <rFont val="Calibri"/>
        <family val="2"/>
        <scheme val="minor"/>
      </rPr>
      <t xml:space="preserve">)Other [no electric supply to the house]
</t>
    </r>
    <r>
      <rPr>
        <sz val="12"/>
        <rFont val="Calibri (Body)"/>
      </rPr>
      <t>7</t>
    </r>
    <r>
      <rPr>
        <sz val="12"/>
        <rFont val="Calibri"/>
        <family val="2"/>
        <scheme val="minor"/>
      </rPr>
      <t xml:space="preserve">)DON'T KNOW
</t>
    </r>
    <r>
      <rPr>
        <sz val="12"/>
        <rFont val="Calibri (Body)"/>
      </rPr>
      <t>8</t>
    </r>
    <r>
      <rPr>
        <sz val="12"/>
        <rFont val="Calibri"/>
        <family val="2"/>
        <scheme val="minor"/>
      </rPr>
      <t>)REFUSED</t>
    </r>
  </si>
  <si>
    <r>
      <t xml:space="preserve">
</t>
    </r>
    <r>
      <rPr>
        <sz val="12"/>
        <rFont val="Calibri"/>
        <family val="2"/>
        <scheme val="minor"/>
      </rPr>
      <t>1-</t>
    </r>
    <r>
      <rPr>
        <sz val="12"/>
        <rFont val="Calibri (Body)"/>
      </rPr>
      <t>8</t>
    </r>
    <r>
      <rPr>
        <sz val="12"/>
        <rFont val="Calibri"/>
        <family val="2"/>
        <scheme val="minor"/>
      </rPr>
      <t xml:space="preserve"> =</t>
    </r>
    <r>
      <rPr>
        <b/>
        <sz val="12"/>
        <rFont val="Calibri"/>
        <family val="2"/>
        <scheme val="minor"/>
      </rPr>
      <t xml:space="preserve"> </t>
    </r>
    <r>
      <rPr>
        <b/>
        <sz val="12"/>
        <color theme="4"/>
        <rFont val="Calibri"/>
        <family val="2"/>
        <scheme val="minor"/>
      </rPr>
      <t>[income_main OR other optional question]</t>
    </r>
  </si>
  <si>
    <t>hh_residencetype</t>
  </si>
  <si>
    <t>Which in the following types of residence best describes your residence?
[OPERATOR: READ OUT THE OPTIONS. SINGLE RESPONSE.]
[HINT: IF RESPONDENT IS ONLY AWAY FROM THE HOUSEHOLD FOR SHORT SEASONAL WORK (&lt;6 MONTHS) OR TRANSHUMANCE, MAKE SURE TO REFER TO THEIR HOUSEHOLD BACK WHERE THEY TYPICALLY ARE LOCATED.]
1)Permanent Resident - you have been living in your village / town for longer than two years and this is what you consider your habitual residence
2)Recent migrant not forcefully displaced - you have been living in your current place of residence for less than two years and you moved there voluntarily for work / family or other reasons that are not related to conflict or natural disaster
3)Returnee - you have only come back to this residence in the last two years after having been forced to move to another location having fled conflict or natural disaster [if return was over 2 years ago the respondent is considered a permanent resident]
4)Internally displaced person [IDP] - you were forced to flee your village or town because of conflict or natural disaster and you are now an internally displaced person in your current place of residence 
5)Refugee - you were forced to flee your country because of conflict or natural disaster and you are now a refugee in your current place of residence
6)DON'T KNOW
7)REFUSED</t>
  </si>
  <si>
    <r>
      <t xml:space="preserve">1-7 = </t>
    </r>
    <r>
      <rPr>
        <b/>
        <sz val="12"/>
        <color theme="4"/>
        <rFont val="Calibri"/>
        <family val="2"/>
        <scheme val="minor"/>
      </rPr>
      <t>hh_size</t>
    </r>
  </si>
  <si>
    <r>
      <t>For any response, go to</t>
    </r>
    <r>
      <rPr>
        <sz val="12"/>
        <color theme="4"/>
        <rFont val="Calibri"/>
        <family val="2"/>
        <scheme val="minor"/>
      </rPr>
      <t xml:space="preserve"> [next question]</t>
    </r>
  </si>
  <si>
    <t>hh_size</t>
  </si>
  <si>
    <r>
      <t xml:space="preserve">How many people are part of the household?
[OPERATOR: RECORD NUMBER OF MEMBERS IN HOUSEHOLD. ENTER 88 FOR DON'T KNOW &amp; 99 FOR REFUSED.]
</t>
    </r>
    <r>
      <rPr>
        <sz val="12"/>
        <rFont val="Calibri (Body)"/>
      </rPr>
      <t>[HINT: TO BE A PART OF THE SAME HOUSEHOLD, MEMBERS MUST LIVE UNDER THE SAME ROOF, SHARE THE SAME RESOURCES &amp; EAT FROM THE SAME POT.]</t>
    </r>
  </si>
  <si>
    <r>
      <t xml:space="preserve">1-50 = </t>
    </r>
    <r>
      <rPr>
        <b/>
        <sz val="12"/>
        <color theme="4"/>
        <rFont val="Calibri"/>
        <family val="2"/>
        <scheme val="minor"/>
      </rPr>
      <t xml:space="preserve">hh_asset_prod
</t>
    </r>
    <r>
      <rPr>
        <sz val="12"/>
        <rFont val="Calibri"/>
        <family val="2"/>
        <scheme val="minor"/>
      </rPr>
      <t>88-88</t>
    </r>
    <r>
      <rPr>
        <b/>
        <sz val="12"/>
        <rFont val="Calibri"/>
        <family val="2"/>
        <scheme val="minor"/>
      </rPr>
      <t xml:space="preserve"> =</t>
    </r>
    <r>
      <rPr>
        <b/>
        <sz val="12"/>
        <color theme="4"/>
        <rFont val="Calibri"/>
        <family val="2"/>
        <scheme val="minor"/>
      </rPr>
      <t xml:space="preserve"> hh_asset_prod
</t>
    </r>
    <r>
      <rPr>
        <sz val="12"/>
        <rFont val="Calibri"/>
        <family val="2"/>
        <scheme val="minor"/>
      </rPr>
      <t xml:space="preserve">99-99 </t>
    </r>
    <r>
      <rPr>
        <b/>
        <sz val="12"/>
        <rFont val="Calibri"/>
        <family val="2"/>
        <scheme val="minor"/>
      </rPr>
      <t>=</t>
    </r>
    <r>
      <rPr>
        <b/>
        <sz val="12"/>
        <color theme="4"/>
        <rFont val="Calibri"/>
        <family val="2"/>
        <scheme val="minor"/>
      </rPr>
      <t xml:space="preserve"> hh_asset_prod</t>
    </r>
  </si>
  <si>
    <t>hh_asset_prod</t>
  </si>
  <si>
    <r>
      <t xml:space="preserve">hh_asset_prod_
</t>
    </r>
    <r>
      <rPr>
        <sz val="12"/>
        <rFont val="Calibri (Body)"/>
      </rPr>
      <t>1)hh_asset_prod_process</t>
    </r>
    <r>
      <rPr>
        <sz val="12"/>
        <rFont val="Calibri"/>
        <family val="2"/>
        <scheme val="minor"/>
      </rPr>
      <t xml:space="preserve">
2)hh_asset_prod_farmmach
3)hh_asset_prod_sewing
4)hh_asset_prod_taxi
5)hh_asset_prod_truck
6)hh_asset_prod_other
7) hh_asset_prod_none
8) hh_asset_prod_dk
9) hh_asset_prod_ref</t>
    </r>
  </si>
  <si>
    <r>
      <t>Does your household own any of the following producti</t>
    </r>
    <r>
      <rPr>
        <sz val="12"/>
        <rFont val="Calibri (Body)"/>
      </rPr>
      <t>ve</t>
    </r>
    <r>
      <rPr>
        <sz val="12"/>
        <rFont val="Calibri"/>
        <family val="2"/>
        <scheme val="minor"/>
      </rPr>
      <t xml:space="preserve"> assets? 
[OPERATOR: MULTIPLE RESPONSES </t>
    </r>
    <r>
      <rPr>
        <sz val="12"/>
        <rFont val="Calibri (Body)"/>
      </rPr>
      <t>POSSIBLE</t>
    </r>
    <r>
      <rPr>
        <sz val="12"/>
        <rFont val="Calibri"/>
        <family val="2"/>
        <scheme val="minor"/>
      </rPr>
      <t xml:space="preserve">. READ ANSWER OPTIONS OUT LOUD.]
</t>
    </r>
    <r>
      <rPr>
        <sz val="12"/>
        <rFont val="Calibri (Body)"/>
      </rPr>
      <t>1)Processing assets [e.g. grinding/crushing machine, mill, oil press, fish tanks]</t>
    </r>
    <r>
      <rPr>
        <sz val="12"/>
        <rFont val="Calibri"/>
        <family val="2"/>
        <scheme val="minor"/>
      </rPr>
      <t xml:space="preserve">
</t>
    </r>
    <r>
      <rPr>
        <sz val="12"/>
        <rFont val="Calibri (Body)"/>
      </rPr>
      <t>2</t>
    </r>
    <r>
      <rPr>
        <sz val="12"/>
        <rFont val="Calibri"/>
        <family val="2"/>
        <scheme val="minor"/>
      </rPr>
      <t xml:space="preserve">)Farm </t>
    </r>
    <r>
      <rPr>
        <sz val="12"/>
        <rFont val="Calibri (Body)"/>
      </rPr>
      <t xml:space="preserve">or fishing </t>
    </r>
    <r>
      <rPr>
        <sz val="12"/>
        <rFont val="Calibri"/>
        <family val="2"/>
        <scheme val="minor"/>
      </rPr>
      <t xml:space="preserve">machinery [e.g. tractor, plough, sickle, </t>
    </r>
    <r>
      <rPr>
        <sz val="12"/>
        <rFont val="Calibri (Body)"/>
      </rPr>
      <t>boats, engines</t>
    </r>
    <r>
      <rPr>
        <sz val="12"/>
        <rFont val="Calibri"/>
        <family val="2"/>
        <scheme val="minor"/>
      </rPr>
      <t xml:space="preserve">]
</t>
    </r>
    <r>
      <rPr>
        <sz val="12"/>
        <rFont val="Calibri (Body)"/>
      </rPr>
      <t>3</t>
    </r>
    <r>
      <rPr>
        <sz val="12"/>
        <rFont val="Calibri"/>
        <family val="2"/>
        <scheme val="minor"/>
      </rPr>
      <t xml:space="preserve">)Sewing machine </t>
    </r>
    <r>
      <rPr>
        <sz val="12"/>
        <rFont val="Calibri (Body)"/>
      </rPr>
      <t xml:space="preserve">or weaving tool </t>
    </r>
    <r>
      <rPr>
        <sz val="12"/>
        <rFont val="Calibri"/>
        <family val="2"/>
        <scheme val="minor"/>
      </rPr>
      <t xml:space="preserve">
</t>
    </r>
    <r>
      <rPr>
        <sz val="12"/>
        <rFont val="Calibri (Body)"/>
      </rPr>
      <t>4</t>
    </r>
    <r>
      <rPr>
        <sz val="12"/>
        <rFont val="Calibri"/>
        <family val="2"/>
        <scheme val="minor"/>
      </rPr>
      <t xml:space="preserve">)Taxi
</t>
    </r>
    <r>
      <rPr>
        <sz val="12"/>
        <rFont val="Calibri (Body)"/>
      </rPr>
      <t>5</t>
    </r>
    <r>
      <rPr>
        <sz val="12"/>
        <rFont val="Calibri"/>
        <family val="2"/>
        <scheme val="minor"/>
      </rPr>
      <t xml:space="preserve">)Truck
</t>
    </r>
    <r>
      <rPr>
        <sz val="12"/>
        <rFont val="Calibri (Body)"/>
      </rPr>
      <t>6</t>
    </r>
    <r>
      <rPr>
        <sz val="12"/>
        <rFont val="Calibri"/>
        <family val="2"/>
        <scheme val="minor"/>
      </rPr>
      <t>)Other productive machines</t>
    </r>
    <r>
      <rPr>
        <sz val="12"/>
        <rFont val="Calibri (Body)"/>
      </rPr>
      <t xml:space="preserve"> or assets</t>
    </r>
    <r>
      <rPr>
        <sz val="12"/>
        <rFont val="Calibri"/>
        <family val="2"/>
        <scheme val="minor"/>
      </rPr>
      <t xml:space="preserve">
</t>
    </r>
    <r>
      <rPr>
        <sz val="12"/>
        <rFont val="Calibri (Body)"/>
      </rPr>
      <t>7</t>
    </r>
    <r>
      <rPr>
        <sz val="12"/>
        <rFont val="Calibri"/>
        <family val="2"/>
        <scheme val="minor"/>
      </rPr>
      <t>)No productive machines</t>
    </r>
    <r>
      <rPr>
        <sz val="12"/>
        <rFont val="Calibri (Body)"/>
      </rPr>
      <t xml:space="preserve"> or assets</t>
    </r>
    <r>
      <rPr>
        <sz val="12"/>
        <rFont val="Calibri"/>
        <family val="2"/>
        <scheme val="minor"/>
      </rPr>
      <t xml:space="preserve">
</t>
    </r>
    <r>
      <rPr>
        <sz val="12"/>
        <rFont val="Calibri (Body)"/>
      </rPr>
      <t>8</t>
    </r>
    <r>
      <rPr>
        <sz val="12"/>
        <rFont val="Calibri"/>
        <family val="2"/>
        <scheme val="minor"/>
      </rPr>
      <t xml:space="preserve">)DON'T KNOW
</t>
    </r>
    <r>
      <rPr>
        <sz val="12"/>
        <rFont val="Calibri (Body)"/>
      </rPr>
      <t>9</t>
    </r>
    <r>
      <rPr>
        <sz val="12"/>
        <rFont val="Calibri"/>
        <family val="2"/>
        <scheme val="minor"/>
      </rPr>
      <t>)REFUSED</t>
    </r>
  </si>
  <si>
    <t>Select All That Apply</t>
  </si>
  <si>
    <t>Form Type - Checklist
7,8,9 = IsNone</t>
  </si>
  <si>
    <r>
      <t>1-</t>
    </r>
    <r>
      <rPr>
        <sz val="12"/>
        <rFont val="Calibri (Body)"/>
      </rPr>
      <t>9</t>
    </r>
    <r>
      <rPr>
        <sz val="12"/>
        <rFont val="Calibri"/>
        <family val="2"/>
        <scheme val="minor"/>
      </rPr>
      <t xml:space="preserve"> = </t>
    </r>
    <r>
      <rPr>
        <b/>
        <sz val="12"/>
        <color theme="4"/>
        <rFont val="Calibri"/>
        <family val="2"/>
        <scheme val="minor"/>
      </rPr>
      <t>hh_asset_transp</t>
    </r>
  </si>
  <si>
    <t>1)hh_asset_prod_process
2)hh_asset_prod_farmmach
3)hh_asset_prod_sewing
4)hh_asset_prod_taxi
5)hh_asset_prod_truck
6)hh_asset_prod_other
7)hh_asset_prod_none
8)hh_asset_prod_dk
9)hh_asset_prod_ref</t>
  </si>
  <si>
    <t xml:space="preserve">This wealth indicator may be useful to Identify poor households in middle income countries. It could be interesting for F2F surveys, to be used as baseline reference for follow-up surveys. </t>
  </si>
  <si>
    <t>hh_asset_transp</t>
  </si>
  <si>
    <r>
      <t>hh_asset_transp_
1) hh_asset_transp_bici
2) hh_asset_transp_cart
3) hh_asset_transp_boat</t>
    </r>
    <r>
      <rPr>
        <sz val="12"/>
        <rFont val="Calibri (Body)"/>
      </rPr>
      <t>motor
4) hh_asset_transp_boatnomotor</t>
    </r>
    <r>
      <rPr>
        <sz val="12"/>
        <rFont val="Calibri"/>
        <family val="2"/>
        <scheme val="minor"/>
      </rPr>
      <t xml:space="preserve">
</t>
    </r>
    <r>
      <rPr>
        <sz val="12"/>
        <rFont val="Calibri (Body)"/>
      </rPr>
      <t>5</t>
    </r>
    <r>
      <rPr>
        <sz val="12"/>
        <rFont val="Calibri"/>
        <family val="2"/>
        <scheme val="minor"/>
      </rPr>
      <t xml:space="preserve">) hh_asset_transp_motorbike
</t>
    </r>
    <r>
      <rPr>
        <sz val="12"/>
        <rFont val="Calibri (Body)"/>
      </rPr>
      <t>6</t>
    </r>
    <r>
      <rPr>
        <sz val="12"/>
        <rFont val="Calibri"/>
        <family val="2"/>
        <scheme val="minor"/>
      </rPr>
      <t xml:space="preserve">) hh_asset_transp_car
</t>
    </r>
    <r>
      <rPr>
        <sz val="12"/>
        <rFont val="Calibri (Body)"/>
      </rPr>
      <t>7</t>
    </r>
    <r>
      <rPr>
        <sz val="12"/>
        <rFont val="Calibri"/>
        <family val="2"/>
        <scheme val="minor"/>
      </rPr>
      <t xml:space="preserve">) hh_asset_transp_van
</t>
    </r>
    <r>
      <rPr>
        <sz val="12"/>
        <rFont val="Calibri (Body)"/>
      </rPr>
      <t>8</t>
    </r>
    <r>
      <rPr>
        <sz val="12"/>
        <rFont val="Calibri"/>
        <family val="2"/>
        <scheme val="minor"/>
      </rPr>
      <t xml:space="preserve">) hh_asset_transp_other
</t>
    </r>
    <r>
      <rPr>
        <sz val="12"/>
        <rFont val="Calibri (Body)"/>
      </rPr>
      <t>9</t>
    </r>
    <r>
      <rPr>
        <sz val="12"/>
        <rFont val="Calibri"/>
        <family val="2"/>
        <scheme val="minor"/>
      </rPr>
      <t xml:space="preserve">) hh_asset_transp_none
</t>
    </r>
    <r>
      <rPr>
        <sz val="12"/>
        <rFont val="Calibri (Body)"/>
      </rPr>
      <t>10</t>
    </r>
    <r>
      <rPr>
        <sz val="12"/>
        <rFont val="Calibri"/>
        <family val="2"/>
        <scheme val="minor"/>
      </rPr>
      <t xml:space="preserve">) hh_asset_transp_dk
</t>
    </r>
    <r>
      <rPr>
        <sz val="12"/>
        <rFont val="Calibri (Body)"/>
      </rPr>
      <t>11</t>
    </r>
    <r>
      <rPr>
        <sz val="12"/>
        <rFont val="Calibri"/>
        <family val="2"/>
        <scheme val="minor"/>
      </rPr>
      <t>) hh_asset_transp_ref</t>
    </r>
  </si>
  <si>
    <r>
      <t xml:space="preserve">Do you or any member of your household own any of the following transportation assets? 
[OPERATOR: MULTIPLE RESPONSES POSSIBLE. READ ANSWER OPTIONS OUT LOUD.]
1)Bicycle
</t>
    </r>
    <r>
      <rPr>
        <sz val="12"/>
        <rFont val="Calibri (Body)"/>
      </rPr>
      <t>2)Cart [animal drawn]
3)Boat with an engine [inboard or outboard]
4)Unmotorized boat [e.g. canoe]</t>
    </r>
    <r>
      <rPr>
        <sz val="12"/>
        <rFont val="Calibri"/>
        <family val="2"/>
        <scheme val="minor"/>
      </rPr>
      <t xml:space="preserve">
</t>
    </r>
    <r>
      <rPr>
        <sz val="12"/>
        <rFont val="Calibri (Body)"/>
      </rPr>
      <t>5</t>
    </r>
    <r>
      <rPr>
        <sz val="12"/>
        <rFont val="Calibri"/>
        <family val="2"/>
        <scheme val="minor"/>
      </rPr>
      <t xml:space="preserve">)Motorbike </t>
    </r>
    <r>
      <rPr>
        <sz val="12"/>
        <rFont val="Calibri (Body)"/>
      </rPr>
      <t xml:space="preserve">/ scooter / </t>
    </r>
    <r>
      <rPr>
        <sz val="12"/>
        <rFont val="Calibri"/>
        <family val="2"/>
        <scheme val="minor"/>
      </rPr>
      <t xml:space="preserve">auto rickshaw
</t>
    </r>
    <r>
      <rPr>
        <sz val="12"/>
        <rFont val="Calibri (Body)"/>
      </rPr>
      <t>6</t>
    </r>
    <r>
      <rPr>
        <sz val="12"/>
        <rFont val="Calibri"/>
        <family val="2"/>
        <scheme val="minor"/>
      </rPr>
      <t xml:space="preserve">)Car
</t>
    </r>
    <r>
      <rPr>
        <sz val="12"/>
        <rFont val="Calibri (Body)"/>
      </rPr>
      <t>7</t>
    </r>
    <r>
      <rPr>
        <sz val="12"/>
        <rFont val="Calibri"/>
        <family val="2"/>
        <scheme val="minor"/>
      </rPr>
      <t xml:space="preserve">)Van or small truck
</t>
    </r>
    <r>
      <rPr>
        <sz val="12"/>
        <rFont val="Calibri (Body)"/>
      </rPr>
      <t>8</t>
    </r>
    <r>
      <rPr>
        <sz val="12"/>
        <rFont val="Calibri"/>
        <family val="2"/>
        <scheme val="minor"/>
      </rPr>
      <t xml:space="preserve">)Other motor vehicle
</t>
    </r>
    <r>
      <rPr>
        <sz val="12"/>
        <rFont val="Calibri (Body)"/>
      </rPr>
      <t>9</t>
    </r>
    <r>
      <rPr>
        <sz val="12"/>
        <rFont val="Calibri"/>
        <family val="2"/>
        <scheme val="minor"/>
      </rPr>
      <t xml:space="preserve">)None of the above
</t>
    </r>
    <r>
      <rPr>
        <sz val="12"/>
        <rFont val="Calibri (Body)"/>
      </rPr>
      <t>10</t>
    </r>
    <r>
      <rPr>
        <sz val="12"/>
        <rFont val="Calibri"/>
        <family val="2"/>
        <scheme val="minor"/>
      </rPr>
      <t xml:space="preserve">)DON'T KNOW
</t>
    </r>
    <r>
      <rPr>
        <sz val="12"/>
        <rFont val="Calibri (Body)"/>
      </rPr>
      <t>11</t>
    </r>
    <r>
      <rPr>
        <sz val="12"/>
        <rFont val="Calibri"/>
        <family val="2"/>
        <scheme val="minor"/>
      </rPr>
      <t>)REFUSED</t>
    </r>
  </si>
  <si>
    <r>
      <t>Form Type - Checklist
9,10</t>
    </r>
    <r>
      <rPr>
        <sz val="12"/>
        <rFont val="Calibri (Body)"/>
      </rPr>
      <t>,11</t>
    </r>
    <r>
      <rPr>
        <sz val="12"/>
        <rFont val="Calibri"/>
        <family val="2"/>
        <scheme val="minor"/>
      </rPr>
      <t xml:space="preserve"> = IsNone</t>
    </r>
  </si>
  <si>
    <r>
      <t>1-</t>
    </r>
    <r>
      <rPr>
        <sz val="12"/>
        <rFont val="Calibri (Body)"/>
      </rPr>
      <t>11</t>
    </r>
    <r>
      <rPr>
        <sz val="12"/>
        <rFont val="Calibri"/>
        <family val="2"/>
        <scheme val="minor"/>
      </rPr>
      <t xml:space="preserve"> = </t>
    </r>
    <r>
      <rPr>
        <b/>
        <sz val="12"/>
        <color theme="4"/>
        <rFont val="Calibri"/>
        <family val="2"/>
        <scheme val="minor"/>
      </rPr>
      <t>hh_maritalstat</t>
    </r>
  </si>
  <si>
    <r>
      <t>1)hh_asset_transp_bici
2)hh_asset_transp_cart
3)hh_asset_transp_boat</t>
    </r>
    <r>
      <rPr>
        <sz val="12"/>
        <rFont val="Calibri (Body)"/>
      </rPr>
      <t>motor
4)hh_asset_transp_boatnomotor</t>
    </r>
    <r>
      <rPr>
        <sz val="12"/>
        <rFont val="Calibri"/>
        <family val="2"/>
        <scheme val="minor"/>
      </rPr>
      <t xml:space="preserve">
</t>
    </r>
    <r>
      <rPr>
        <sz val="12"/>
        <rFont val="Calibri (Body)"/>
      </rPr>
      <t>5</t>
    </r>
    <r>
      <rPr>
        <sz val="12"/>
        <rFont val="Calibri"/>
        <family val="2"/>
        <scheme val="minor"/>
      </rPr>
      <t xml:space="preserve">)hh_asset_transp_motorbike
</t>
    </r>
    <r>
      <rPr>
        <sz val="12"/>
        <rFont val="Calibri (Body)"/>
      </rPr>
      <t>6</t>
    </r>
    <r>
      <rPr>
        <sz val="12"/>
        <rFont val="Calibri"/>
        <family val="2"/>
        <scheme val="minor"/>
      </rPr>
      <t xml:space="preserve">)hh_asset_transp_car
</t>
    </r>
    <r>
      <rPr>
        <sz val="12"/>
        <rFont val="Calibri (Body)"/>
      </rPr>
      <t>7</t>
    </r>
    <r>
      <rPr>
        <sz val="12"/>
        <rFont val="Calibri"/>
        <family val="2"/>
        <scheme val="minor"/>
      </rPr>
      <t xml:space="preserve">)hh_asset_transp_van
</t>
    </r>
    <r>
      <rPr>
        <sz val="12"/>
        <rFont val="Calibri (Body)"/>
      </rPr>
      <t>8</t>
    </r>
    <r>
      <rPr>
        <sz val="12"/>
        <rFont val="Calibri"/>
        <family val="2"/>
        <scheme val="minor"/>
      </rPr>
      <t xml:space="preserve">)hh_asset_transp_other
</t>
    </r>
    <r>
      <rPr>
        <sz val="12"/>
        <rFont val="Calibri (Body)"/>
      </rPr>
      <t>9</t>
    </r>
    <r>
      <rPr>
        <sz val="12"/>
        <rFont val="Calibri"/>
        <family val="2"/>
        <scheme val="minor"/>
      </rPr>
      <t xml:space="preserve">)hh_asset_transp_none
</t>
    </r>
    <r>
      <rPr>
        <sz val="12"/>
        <rFont val="Calibri (Body)"/>
      </rPr>
      <t>10</t>
    </r>
    <r>
      <rPr>
        <sz val="12"/>
        <rFont val="Calibri"/>
        <family val="2"/>
        <scheme val="minor"/>
      </rPr>
      <t xml:space="preserve">)hh_asset_transp_dk
</t>
    </r>
    <r>
      <rPr>
        <sz val="12"/>
        <rFont val="Calibri (Body)"/>
      </rPr>
      <t>11</t>
    </r>
    <r>
      <rPr>
        <sz val="12"/>
        <rFont val="Calibri"/>
        <family val="2"/>
        <scheme val="minor"/>
      </rPr>
      <t>)hh_asset_transp_ref</t>
    </r>
  </si>
  <si>
    <t>hh_maritalstat</t>
  </si>
  <si>
    <t xml:space="preserve">What is the head of household’s current marital status? 
[OPERATOR: SINGLE RESPONSE.]
1)Single / never married 
2)Married
3)Separated
4)Divorced
5)Widowed
6)DON’T KNOW
7)REFUSED </t>
  </si>
  <si>
    <r>
      <t>1-7 =</t>
    </r>
    <r>
      <rPr>
        <b/>
        <sz val="12"/>
        <color theme="4"/>
        <rFont val="Calibri"/>
        <family val="2"/>
        <scheme val="minor"/>
      </rPr>
      <t xml:space="preserve"> hh_age</t>
    </r>
  </si>
  <si>
    <t>hh_age</t>
  </si>
  <si>
    <t>How old is the head of household? 
[OPERATOR: SINGLE RESPONSE.]
1)Under 18
2)18 to 40 
3)41 to 65 
4)Over 65
5)DON'T KNOW
6)REFUSED</t>
  </si>
  <si>
    <r>
      <t xml:space="preserve">1-6 = </t>
    </r>
    <r>
      <rPr>
        <b/>
        <sz val="12"/>
        <color theme="4"/>
        <rFont val="Calibri"/>
        <family val="2"/>
        <scheme val="minor"/>
      </rPr>
      <t>income_main</t>
    </r>
  </si>
  <si>
    <t>C. INCOME SOURCES, LIVELIHOOD AND SHOCKS</t>
  </si>
  <si>
    <t>income_main</t>
  </si>
  <si>
    <r>
      <t xml:space="preserve">What was your household's main source of income in the past 3 months?
[OPERATOR: SINGLE RESPONSE. REFUSED OPTION SHOULD BE AVOIDED AS MUCH AS POSSIBLE.]
1)Production and sale of staple crops
2)Production and sale of vegetables or fruit 
3)Production and sale of cashcrops
4)Production and sale of livestock </t>
    </r>
    <r>
      <rPr>
        <sz val="12"/>
        <rFont val="Calibri (Body)"/>
      </rPr>
      <t>or</t>
    </r>
    <r>
      <rPr>
        <sz val="12"/>
        <rFont val="Calibri"/>
        <family val="2"/>
        <scheme val="minor"/>
      </rPr>
      <t xml:space="preserve"> livestock products 
</t>
    </r>
    <r>
      <rPr>
        <sz val="12"/>
        <rFont val="Calibri (Body)"/>
      </rPr>
      <t>5)Production and sale of honey or bee products</t>
    </r>
    <r>
      <rPr>
        <sz val="12"/>
        <rFont val="Calibri"/>
        <family val="2"/>
        <scheme val="minor"/>
      </rPr>
      <t xml:space="preserve">
</t>
    </r>
    <r>
      <rPr>
        <sz val="12"/>
        <rFont val="Calibri (Body)"/>
      </rPr>
      <t>6</t>
    </r>
    <r>
      <rPr>
        <sz val="12"/>
        <rFont val="Calibri"/>
        <family val="2"/>
        <scheme val="minor"/>
      </rPr>
      <t xml:space="preserve">)Production and sale of </t>
    </r>
    <r>
      <rPr>
        <sz val="12"/>
        <rFont val="Calibri (Body)"/>
      </rPr>
      <t>fish or aquatic products</t>
    </r>
    <r>
      <rPr>
        <sz val="12"/>
        <rFont val="Calibri"/>
        <family val="2"/>
        <scheme val="minor"/>
      </rPr>
      <t xml:space="preserve">
</t>
    </r>
    <r>
      <rPr>
        <sz val="12"/>
        <rFont val="Calibri (Body)"/>
      </rPr>
      <t>7</t>
    </r>
    <r>
      <rPr>
        <sz val="12"/>
        <rFont val="Calibri"/>
        <family val="2"/>
        <scheme val="minor"/>
      </rPr>
      <t xml:space="preserve">)Collection and sale of forestry or bush products 
</t>
    </r>
    <r>
      <rPr>
        <sz val="12"/>
        <rFont val="Calibri (Body)"/>
      </rPr>
      <t>8</t>
    </r>
    <r>
      <rPr>
        <sz val="12"/>
        <rFont val="Calibri"/>
        <family val="2"/>
        <scheme val="minor"/>
      </rPr>
      <t>)</t>
    </r>
    <r>
      <rPr>
        <sz val="12"/>
        <rFont val="Calibri (Body)"/>
      </rPr>
      <t>A</t>
    </r>
    <r>
      <rPr>
        <sz val="12"/>
        <rFont val="Calibri"/>
        <family val="2"/>
        <scheme val="minor"/>
      </rPr>
      <t xml:space="preserve">gricultural trade EXCLUDING producers </t>
    </r>
    <r>
      <rPr>
        <sz val="12"/>
        <rFont val="Calibri (Body)"/>
      </rPr>
      <t>[formal or informal]</t>
    </r>
    <r>
      <rPr>
        <sz val="12"/>
        <rFont val="Calibri"/>
        <family val="2"/>
        <scheme val="minor"/>
      </rPr>
      <t xml:space="preserve">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income source in the last 3 months and used exclusively savings </t>
    </r>
    <r>
      <rPr>
        <sz val="12"/>
        <rFont val="Calibri (Body)"/>
      </rPr>
      <t>/ debt</t>
    </r>
    <r>
      <rPr>
        <sz val="12"/>
        <rFont val="Calibri"/>
        <family val="2"/>
        <scheme val="minor"/>
      </rPr>
      <t xml:space="preserve">
</t>
    </r>
    <r>
      <rPr>
        <sz val="12"/>
        <rFont val="Calibri (Body)"/>
      </rPr>
      <t>20</t>
    </r>
    <r>
      <rPr>
        <sz val="12"/>
        <rFont val="Calibri"/>
        <family val="2"/>
        <scheme val="minor"/>
      </rPr>
      <t>)REFUSED</t>
    </r>
  </si>
  <si>
    <t>Form Type - Buttons
IsDemographic</t>
  </si>
  <si>
    <r>
      <rPr>
        <sz val="12"/>
        <rFont val="Calibri (Body)"/>
      </rPr>
      <t xml:space="preserve">1-3 = income_main_crop_check
4 = income_main_ls_check
5 = </t>
    </r>
    <r>
      <rPr>
        <sz val="12"/>
        <color theme="4"/>
        <rFont val="Calibri (Body)"/>
      </rPr>
      <t>income_main_comp OR optional question</t>
    </r>
    <r>
      <rPr>
        <sz val="12"/>
        <rFont val="Calibri (Body)"/>
      </rPr>
      <t xml:space="preserve">
6 = income_main_fish_check
7</t>
    </r>
    <r>
      <rPr>
        <sz val="12"/>
        <rFont val="Calibri"/>
        <family val="2"/>
        <scheme val="minor"/>
      </rPr>
      <t xml:space="preserve">-18 = </t>
    </r>
    <r>
      <rPr>
        <sz val="12"/>
        <color theme="4"/>
        <rFont val="Calibri"/>
        <family val="2"/>
        <scheme val="minor"/>
      </rPr>
      <t>income_main_comp OR optional question</t>
    </r>
    <r>
      <rPr>
        <sz val="12"/>
        <rFont val="Calibri"/>
        <family val="2"/>
        <scheme val="minor"/>
      </rPr>
      <t xml:space="preserve">
19-20 = shock</t>
    </r>
  </si>
  <si>
    <r>
      <rPr>
        <sz val="12"/>
        <rFont val="Calibri (Body)"/>
      </rPr>
      <t xml:space="preserve">if options #1-3 selected, go to income_main_crop_check
if options #4 selected, go to income_main_ls_check
if options #6 selected, go to income_main_fish_check </t>
    </r>
    <r>
      <rPr>
        <sz val="12"/>
        <color rgb="FFFF0000"/>
        <rFont val="Calibri (Body)"/>
      </rPr>
      <t xml:space="preserve">
</t>
    </r>
    <r>
      <rPr>
        <sz val="12"/>
        <rFont val="Calibri"/>
        <family val="2"/>
        <scheme val="minor"/>
      </rPr>
      <t xml:space="preserve">
if options #5, 7-18 selected, go to </t>
    </r>
    <r>
      <rPr>
        <sz val="12"/>
        <color theme="4"/>
        <rFont val="Calibri"/>
        <family val="2"/>
        <scheme val="minor"/>
      </rPr>
      <t xml:space="preserve">[income_main_comp OR </t>
    </r>
    <r>
      <rPr>
        <sz val="12"/>
        <color theme="4"/>
        <rFont val="Calibri (Body)"/>
      </rPr>
      <t>optional question</t>
    </r>
    <r>
      <rPr>
        <sz val="12"/>
        <color theme="4"/>
        <rFont val="Calibri"/>
        <family val="2"/>
        <scheme val="minor"/>
      </rPr>
      <t>]</t>
    </r>
    <r>
      <rPr>
        <sz val="12"/>
        <rFont val="Calibri"/>
        <family val="2"/>
        <scheme val="minor"/>
      </rPr>
      <t xml:space="preserve">
if options #19-20 selected, go to shock</t>
    </r>
  </si>
  <si>
    <r>
      <t>income_main_crop</t>
    </r>
    <r>
      <rPr>
        <b/>
        <sz val="12"/>
        <rFont val="Calibri (Body)"/>
      </rPr>
      <t>_</t>
    </r>
    <r>
      <rPr>
        <b/>
        <sz val="12"/>
        <rFont val="Calibri"/>
        <family val="2"/>
        <scheme val="minor"/>
      </rPr>
      <t>check</t>
    </r>
  </si>
  <si>
    <r>
      <t>income_main_crop</t>
    </r>
    <r>
      <rPr>
        <sz val="12"/>
        <rFont val="Calibri (Body)"/>
      </rPr>
      <t>_</t>
    </r>
    <r>
      <rPr>
        <sz val="12"/>
        <rFont val="Calibri"/>
        <family val="2"/>
        <scheme val="minor"/>
      </rPr>
      <t>check</t>
    </r>
  </si>
  <si>
    <r>
      <t xml:space="preserve">Are the crops </t>
    </r>
    <r>
      <rPr>
        <sz val="12"/>
        <rFont val="Calibri (Body)"/>
      </rPr>
      <t>sold</t>
    </r>
    <r>
      <rPr>
        <sz val="12"/>
        <rFont val="Calibri"/>
        <family val="2"/>
        <scheme val="minor"/>
      </rPr>
      <t xml:space="preserve"> also produced by you or anyone in your household?
[OPERATOR: SINGLE RESPONSE.]
1)YES
2)NO
3)DON'T KNOW
4)REFUSED </t>
    </r>
  </si>
  <si>
    <r>
      <t xml:space="preserve">1-4 = </t>
    </r>
    <r>
      <rPr>
        <sz val="12"/>
        <color theme="4"/>
        <rFont val="Calibri"/>
        <family val="2"/>
        <scheme val="minor"/>
      </rPr>
      <t>income_main_comp OR optional question</t>
    </r>
  </si>
  <si>
    <r>
      <rPr>
        <sz val="12"/>
        <rFont val="Calibri (Body)"/>
      </rPr>
      <t>if income_main_crop_check = 1-4, go to</t>
    </r>
    <r>
      <rPr>
        <sz val="12"/>
        <rFont val="Calibri"/>
        <family val="2"/>
        <scheme val="minor"/>
      </rPr>
      <t xml:space="preserve"> </t>
    </r>
    <r>
      <rPr>
        <sz val="12"/>
        <color theme="4"/>
        <rFont val="Calibri"/>
        <family val="2"/>
        <scheme val="minor"/>
      </rPr>
      <t xml:space="preserve">[income_main_comp OR </t>
    </r>
    <r>
      <rPr>
        <sz val="12"/>
        <color theme="4"/>
        <rFont val="Calibri (Body)"/>
      </rPr>
      <t>optional question</t>
    </r>
    <r>
      <rPr>
        <sz val="12"/>
        <color theme="4"/>
        <rFont val="Calibri"/>
        <family val="2"/>
        <scheme val="minor"/>
      </rPr>
      <t>]</t>
    </r>
  </si>
  <si>
    <r>
      <t>income_main_ls</t>
    </r>
    <r>
      <rPr>
        <b/>
        <sz val="12"/>
        <rFont val="Calibri (Body)"/>
      </rPr>
      <t>_</t>
    </r>
    <r>
      <rPr>
        <b/>
        <sz val="12"/>
        <rFont val="Calibri"/>
        <family val="2"/>
        <scheme val="minor"/>
      </rPr>
      <t>check</t>
    </r>
  </si>
  <si>
    <r>
      <t>income_main_ls</t>
    </r>
    <r>
      <rPr>
        <sz val="12"/>
        <rFont val="Calibri (Body)"/>
      </rPr>
      <t>_</t>
    </r>
    <r>
      <rPr>
        <sz val="12"/>
        <rFont val="Calibri"/>
        <family val="2"/>
        <scheme val="minor"/>
      </rPr>
      <t>check</t>
    </r>
  </si>
  <si>
    <r>
      <rPr>
        <sz val="12"/>
        <rFont val="Calibri (Body)"/>
      </rPr>
      <t>Are the livestock or livestock products sold also produced by you or anyone in your household?
[OPERATOR: SINGLE RESPONSE.]</t>
    </r>
    <r>
      <rPr>
        <sz val="12"/>
        <rFont val="Calibri"/>
        <family val="2"/>
        <scheme val="minor"/>
      </rPr>
      <t xml:space="preserve">
</t>
    </r>
    <r>
      <rPr>
        <sz val="12"/>
        <rFont val="Calibri (Body)"/>
      </rPr>
      <t xml:space="preserve">
1)YES
2)NO
3)DON'T KNOW
4)REFUSED </t>
    </r>
  </si>
  <si>
    <r>
      <rPr>
        <sz val="12"/>
        <rFont val="Calibri (Body)"/>
      </rPr>
      <t>if income_main_ls_check = 1-4, go to</t>
    </r>
    <r>
      <rPr>
        <sz val="12"/>
        <rFont val="Calibri"/>
        <family val="2"/>
        <scheme val="minor"/>
      </rPr>
      <t xml:space="preserve"> </t>
    </r>
    <r>
      <rPr>
        <sz val="12"/>
        <color theme="4"/>
        <rFont val="Calibri"/>
        <family val="2"/>
        <scheme val="minor"/>
      </rPr>
      <t xml:space="preserve">[income_main_comp OR </t>
    </r>
    <r>
      <rPr>
        <sz val="12"/>
        <color theme="4"/>
        <rFont val="Calibri (Body)"/>
      </rPr>
      <t>optional question</t>
    </r>
    <r>
      <rPr>
        <sz val="12"/>
        <color theme="4"/>
        <rFont val="Calibri"/>
        <family val="2"/>
        <scheme val="minor"/>
      </rPr>
      <t>]</t>
    </r>
  </si>
  <si>
    <r>
      <t>income_main_fish</t>
    </r>
    <r>
      <rPr>
        <b/>
        <sz val="12"/>
        <rFont val="Calibri (Body)"/>
      </rPr>
      <t>_</t>
    </r>
    <r>
      <rPr>
        <b/>
        <sz val="12"/>
        <rFont val="Calibri"/>
        <family val="2"/>
        <scheme val="minor"/>
      </rPr>
      <t>check</t>
    </r>
  </si>
  <si>
    <r>
      <t>income_main_fish</t>
    </r>
    <r>
      <rPr>
        <sz val="12"/>
        <rFont val="Calibri (Body)"/>
      </rPr>
      <t>_</t>
    </r>
    <r>
      <rPr>
        <sz val="12"/>
        <rFont val="Calibri"/>
        <family val="2"/>
        <scheme val="minor"/>
      </rPr>
      <t>check</t>
    </r>
  </si>
  <si>
    <r>
      <rPr>
        <sz val="12"/>
        <rFont val="Calibri (Body)"/>
      </rPr>
      <t>Are the fish or aquatic products sold also captured/harvested by you or anyone in your household?
[OPERATOR: SINGLE RESPONSE</t>
    </r>
    <r>
      <rPr>
        <sz val="12"/>
        <rFont val="Calibri"/>
        <family val="2"/>
        <scheme val="minor"/>
      </rPr>
      <t xml:space="preserve">.]
</t>
    </r>
    <r>
      <rPr>
        <sz val="12"/>
        <rFont val="Calibri (Body)"/>
      </rPr>
      <t xml:space="preserve">
1)YES
2)NO
3)DON'T KNOW
4)REFUSED </t>
    </r>
  </si>
  <si>
    <r>
      <rPr>
        <sz val="12"/>
        <rFont val="Calibri (Body)"/>
      </rPr>
      <t>if income_main_fish_check = 1-4, go to</t>
    </r>
    <r>
      <rPr>
        <sz val="12"/>
        <rFont val="Calibri"/>
        <family val="2"/>
        <scheme val="minor"/>
      </rPr>
      <t xml:space="preserve"> </t>
    </r>
    <r>
      <rPr>
        <sz val="12"/>
        <color theme="4"/>
        <rFont val="Calibri"/>
        <family val="2"/>
        <scheme val="minor"/>
      </rPr>
      <t xml:space="preserve">[income_main_comp OR </t>
    </r>
    <r>
      <rPr>
        <sz val="12"/>
        <color theme="4"/>
        <rFont val="Calibri (Body)"/>
      </rPr>
      <t>optional question</t>
    </r>
    <r>
      <rPr>
        <sz val="12"/>
        <color theme="4"/>
        <rFont val="Calibri"/>
        <family val="2"/>
        <scheme val="minor"/>
      </rPr>
      <t>]</t>
    </r>
  </si>
  <si>
    <t>income_main_amount</t>
  </si>
  <si>
    <r>
      <t xml:space="preserve">How much was earned [in </t>
    </r>
    <r>
      <rPr>
        <b/>
        <sz val="12"/>
        <color rgb="FF7030A0"/>
        <rFont val="Calibri"/>
        <family val="2"/>
        <scheme val="minor"/>
      </rPr>
      <t>$currency$</t>
    </r>
    <r>
      <rPr>
        <sz val="12"/>
        <rFont val="Calibri"/>
        <family val="2"/>
        <scheme val="minor"/>
      </rPr>
      <t>] from your main income source, {income_main},</t>
    </r>
    <r>
      <rPr>
        <sz val="12"/>
        <color rgb="FFF504E7"/>
        <rFont val="Calibri"/>
        <family val="2"/>
        <scheme val="minor"/>
      </rPr>
      <t xml:space="preserve"> </t>
    </r>
    <r>
      <rPr>
        <sz val="12"/>
        <rFont val="Calibri"/>
        <family val="2"/>
        <scheme val="minor"/>
      </rPr>
      <t xml:space="preserve">in the past 3 months ?
[OPERATOR: MAKE SURE THE INFORMATION IS RECORDED IN THE CORRECT CURRENCY. ENTER </t>
    </r>
    <r>
      <rPr>
        <sz val="12"/>
        <color theme="4"/>
        <rFont val="Calibri"/>
        <family val="2"/>
        <scheme val="minor"/>
      </rPr>
      <t>8888888</t>
    </r>
    <r>
      <rPr>
        <sz val="12"/>
        <rFont val="Calibri"/>
        <family val="2"/>
        <scheme val="minor"/>
      </rPr>
      <t xml:space="preserve"> FOR DON'T KNOW AND </t>
    </r>
    <r>
      <rPr>
        <sz val="12"/>
        <color theme="4"/>
        <rFont val="Calibri"/>
        <family val="2"/>
        <scheme val="minor"/>
      </rPr>
      <t>9999999</t>
    </r>
    <r>
      <rPr>
        <sz val="12"/>
        <rFont val="Calibri"/>
        <family val="2"/>
        <scheme val="minor"/>
      </rPr>
      <t xml:space="preserve"> FOR REFUSED.]</t>
    </r>
  </si>
  <si>
    <r>
      <rPr>
        <b/>
        <sz val="12"/>
        <color rgb="FF7030A0"/>
        <rFont val="Calibri"/>
        <family val="2"/>
        <scheme val="minor"/>
      </rPr>
      <t>$MIN AMOUNT$</t>
    </r>
    <r>
      <rPr>
        <sz val="12"/>
        <color rgb="FF7030A0"/>
        <rFont val="Calibri"/>
        <family val="2"/>
        <scheme val="minor"/>
      </rPr>
      <t xml:space="preserve"> </t>
    </r>
    <r>
      <rPr>
        <sz val="12"/>
        <rFont val="Calibri"/>
        <family val="2"/>
        <scheme val="minor"/>
      </rPr>
      <t>-</t>
    </r>
    <r>
      <rPr>
        <sz val="12"/>
        <color rgb="FF7030A0"/>
        <rFont val="Calibri"/>
        <family val="2"/>
        <scheme val="minor"/>
      </rPr>
      <t xml:space="preserve"> </t>
    </r>
    <r>
      <rPr>
        <b/>
        <sz val="12"/>
        <color rgb="FF7030A0"/>
        <rFont val="Calibri"/>
        <family val="2"/>
        <scheme val="minor"/>
      </rPr>
      <t>$THRESHOLD$</t>
    </r>
    <r>
      <rPr>
        <b/>
        <sz val="12"/>
        <rFont val="Calibri"/>
        <family val="2"/>
        <scheme val="minor"/>
      </rPr>
      <t xml:space="preserve"> </t>
    </r>
    <r>
      <rPr>
        <sz val="12"/>
        <rFont val="Calibri"/>
        <family val="2"/>
        <scheme val="minor"/>
      </rPr>
      <t xml:space="preserve">= </t>
    </r>
    <r>
      <rPr>
        <sz val="12"/>
        <color theme="4"/>
        <rFont val="Calibri (Body)"/>
      </rPr>
      <t>income_main_comp OR optional question</t>
    </r>
    <r>
      <rPr>
        <sz val="12"/>
        <color rgb="FF7030A0"/>
        <rFont val="Calibri"/>
        <family val="2"/>
        <scheme val="minor"/>
      </rPr>
      <t xml:space="preserve">
</t>
    </r>
    <r>
      <rPr>
        <b/>
        <sz val="12"/>
        <color rgb="FF7030A0"/>
        <rFont val="Calibri"/>
        <family val="2"/>
        <scheme val="minor"/>
      </rPr>
      <t>$THRESHOLD$</t>
    </r>
    <r>
      <rPr>
        <sz val="12"/>
        <color rgb="FF7030A0"/>
        <rFont val="Calibri"/>
        <family val="2"/>
        <scheme val="minor"/>
      </rPr>
      <t xml:space="preserve"> </t>
    </r>
    <r>
      <rPr>
        <sz val="12"/>
        <rFont val="Calibri"/>
        <family val="2"/>
        <scheme val="minor"/>
      </rPr>
      <t>-</t>
    </r>
    <r>
      <rPr>
        <sz val="12"/>
        <color rgb="FF7030A0"/>
        <rFont val="Calibri"/>
        <family val="2"/>
        <scheme val="minor"/>
      </rPr>
      <t xml:space="preserve"> </t>
    </r>
    <r>
      <rPr>
        <b/>
        <sz val="12"/>
        <color rgb="FF7030A0"/>
        <rFont val="Calibri"/>
        <family val="2"/>
        <scheme val="minor"/>
      </rPr>
      <t xml:space="preserve">$MAX AMOUNT$ </t>
    </r>
    <r>
      <rPr>
        <sz val="12"/>
        <rFont val="Calibri"/>
        <family val="2"/>
        <scheme val="minor"/>
      </rPr>
      <t>=</t>
    </r>
    <r>
      <rPr>
        <sz val="12"/>
        <color rgb="FF7030A0"/>
        <rFont val="Calibri"/>
        <family val="2"/>
        <scheme val="minor"/>
      </rPr>
      <t xml:space="preserve"> </t>
    </r>
    <r>
      <rPr>
        <sz val="12"/>
        <rFont val="Calibri"/>
        <family val="2"/>
        <scheme val="minor"/>
      </rPr>
      <t xml:space="preserve">income_main_amount_conf
</t>
    </r>
    <r>
      <rPr>
        <sz val="12"/>
        <color theme="4"/>
        <rFont val="Calibri"/>
        <family val="2"/>
        <scheme val="minor"/>
      </rPr>
      <t>8888888-8888888</t>
    </r>
    <r>
      <rPr>
        <sz val="12"/>
        <rFont val="Calibri"/>
        <family val="2"/>
        <scheme val="minor"/>
      </rPr>
      <t xml:space="preserve"> = </t>
    </r>
    <r>
      <rPr>
        <sz val="12"/>
        <color theme="4"/>
        <rFont val="Calibri (Body)"/>
      </rPr>
      <t>income_main_comp OR optional question</t>
    </r>
    <r>
      <rPr>
        <sz val="12"/>
        <rFont val="Calibri"/>
        <family val="2"/>
        <scheme val="minor"/>
      </rPr>
      <t xml:space="preserve">
</t>
    </r>
    <r>
      <rPr>
        <sz val="12"/>
        <color theme="4"/>
        <rFont val="Calibri"/>
        <family val="2"/>
        <scheme val="minor"/>
      </rPr>
      <t>9999999-9999999</t>
    </r>
    <r>
      <rPr>
        <sz val="12"/>
        <rFont val="Calibri"/>
        <family val="2"/>
        <scheme val="minor"/>
      </rPr>
      <t xml:space="preserve"> = </t>
    </r>
    <r>
      <rPr>
        <sz val="12"/>
        <color theme="4"/>
        <rFont val="Calibri (Body)"/>
      </rPr>
      <t>income_main_comp OR optional question</t>
    </r>
  </si>
  <si>
    <r>
      <t>If the income amount is over the threshold set in "Additional information", the respondent will be asked to confirm with income_main_amount_conf. Otherwise, go to</t>
    </r>
    <r>
      <rPr>
        <i/>
        <sz val="12"/>
        <color theme="4"/>
        <rFont val="Calibri (Body)"/>
      </rPr>
      <t xml:space="preserve"> income_main_comp or optional question.</t>
    </r>
  </si>
  <si>
    <t>We recommend using this pair of questions together.</t>
  </si>
  <si>
    <t>income_main_amount_conf</t>
  </si>
  <si>
    <r>
      <t xml:space="preserve">Can you confirm the amount of income you just stated is correct?
[OPERATOR: IF THE AMOUNT EARNED FROM THIS INCOME SOURCE OVER THE PAST 3 MONTH IS INDEED OVER </t>
    </r>
    <r>
      <rPr>
        <b/>
        <sz val="12"/>
        <color rgb="FF7030A0"/>
        <rFont val="Calibri"/>
        <family val="2"/>
        <scheme val="minor"/>
      </rPr>
      <t>$THRESHOLD$</t>
    </r>
    <r>
      <rPr>
        <sz val="12"/>
        <rFont val="Calibri"/>
        <family val="2"/>
        <scheme val="minor"/>
      </rPr>
      <t>, CLICK ON CONTINUE. OTHERWISE, GO BACK AND CHANGE THE AMOUNT ENTERED.]
1)CONTINUE</t>
    </r>
  </si>
  <si>
    <r>
      <t xml:space="preserve">1 = </t>
    </r>
    <r>
      <rPr>
        <sz val="12"/>
        <color theme="4"/>
        <rFont val="Calibri"/>
        <family val="2"/>
        <scheme val="minor"/>
      </rPr>
      <t>income_main_comp</t>
    </r>
    <r>
      <rPr>
        <sz val="12"/>
        <rFont val="Calibri"/>
        <family val="2"/>
        <scheme val="minor"/>
      </rPr>
      <t xml:space="preserve"> </t>
    </r>
    <r>
      <rPr>
        <sz val="12"/>
        <color theme="4"/>
        <rFont val="Calibri (Body)"/>
      </rPr>
      <t>OR optional question</t>
    </r>
  </si>
  <si>
    <r>
      <t xml:space="preserve">if </t>
    </r>
    <r>
      <rPr>
        <i/>
        <sz val="12"/>
        <rFont val="Calibri"/>
        <family val="2"/>
        <scheme val="minor"/>
      </rPr>
      <t>income_main_amount_conf</t>
    </r>
    <r>
      <rPr>
        <sz val="12"/>
        <rFont val="Calibri"/>
        <family val="2"/>
        <scheme val="minor"/>
      </rPr>
      <t xml:space="preserve"> = 1, go to </t>
    </r>
    <r>
      <rPr>
        <i/>
        <sz val="12"/>
        <color theme="4"/>
        <rFont val="Calibri (Body)"/>
      </rPr>
      <t>income_main_comp</t>
    </r>
    <r>
      <rPr>
        <sz val="12"/>
        <color theme="4"/>
        <rFont val="Calibri (Body)"/>
      </rPr>
      <t xml:space="preserve"> or optional question</t>
    </r>
  </si>
  <si>
    <t>income_main_gender</t>
  </si>
  <si>
    <t>What is the gender of the household member[s] generating income from this source? 
[OPERATOR: SINGLE RESPONSE.]
1)Male
2)Female
3)Joint [both male &amp; female]
4)DON'T KNOW
5)REFUSED</t>
  </si>
  <si>
    <r>
      <t>1-</t>
    </r>
    <r>
      <rPr>
        <sz val="12"/>
        <rFont val="Calibri (Body)"/>
      </rPr>
      <t>5</t>
    </r>
    <r>
      <rPr>
        <sz val="12"/>
        <rFont val="Calibri"/>
        <family val="2"/>
        <scheme val="minor"/>
      </rPr>
      <t xml:space="preserve"> =</t>
    </r>
    <r>
      <rPr>
        <sz val="12"/>
        <color theme="4"/>
        <rFont val="Calibri (Body)"/>
      </rPr>
      <t xml:space="preserve"> [income_main_comp OR optional question]</t>
    </r>
  </si>
  <si>
    <r>
      <t xml:space="preserve">if </t>
    </r>
    <r>
      <rPr>
        <i/>
        <sz val="12"/>
        <rFont val="Calibri"/>
        <family val="2"/>
        <scheme val="minor"/>
      </rPr>
      <t>income_main_gender</t>
    </r>
    <r>
      <rPr>
        <sz val="12"/>
        <rFont val="Calibri"/>
        <family val="2"/>
        <scheme val="minor"/>
      </rPr>
      <t xml:space="preserve"> = 1-</t>
    </r>
    <r>
      <rPr>
        <sz val="12"/>
        <rFont val="Calibri (Body)"/>
      </rPr>
      <t>5</t>
    </r>
    <r>
      <rPr>
        <sz val="12"/>
        <rFont val="Calibri"/>
        <family val="2"/>
        <scheme val="minor"/>
      </rPr>
      <t xml:space="preserve">, go to </t>
    </r>
    <r>
      <rPr>
        <sz val="12"/>
        <color theme="4"/>
        <rFont val="Calibri (Body)"/>
      </rPr>
      <t>income_main_comp or optional question</t>
    </r>
  </si>
  <si>
    <t>income_main_control</t>
  </si>
  <si>
    <t>Who controls the revenue that is earned from this source? 
[OPERATOR: SINGLE RESPONSE.]
1)Male household member[s]
2)Female household member[s]
3)Joint household members [both female &amp; male]
4)DON'T KNOW
5)REFUSED</t>
  </si>
  <si>
    <r>
      <t>1-</t>
    </r>
    <r>
      <rPr>
        <sz val="12"/>
        <rFont val="Calibri (Body)"/>
      </rPr>
      <t>5</t>
    </r>
    <r>
      <rPr>
        <sz val="12"/>
        <rFont val="Calibri"/>
        <family val="2"/>
        <scheme val="minor"/>
      </rPr>
      <t xml:space="preserve"> =</t>
    </r>
    <r>
      <rPr>
        <sz val="12"/>
        <color theme="4"/>
        <rFont val="Calibri (Body)"/>
      </rPr>
      <t xml:space="preserve"> income_main_comp</t>
    </r>
  </si>
  <si>
    <r>
      <t xml:space="preserve">if </t>
    </r>
    <r>
      <rPr>
        <i/>
        <sz val="12"/>
        <rFont val="Calibri"/>
        <family val="2"/>
        <scheme val="minor"/>
      </rPr>
      <t xml:space="preserve">income_main_control </t>
    </r>
    <r>
      <rPr>
        <sz val="12"/>
        <rFont val="Calibri"/>
        <family val="2"/>
        <scheme val="minor"/>
      </rPr>
      <t xml:space="preserve">= 1-5, go to </t>
    </r>
    <r>
      <rPr>
        <i/>
        <sz val="12"/>
        <color theme="4"/>
        <rFont val="Calibri (Body)"/>
      </rPr>
      <t xml:space="preserve">income_main_comp </t>
    </r>
    <r>
      <rPr>
        <sz val="12"/>
        <color theme="4"/>
        <rFont val="Calibri (Body)"/>
      </rPr>
      <t>or optional question</t>
    </r>
  </si>
  <si>
    <t>income_main_comp</t>
  </si>
  <si>
    <r>
      <t xml:space="preserve">Has your household's income from {income_main} changed in the last 3 months compared </t>
    </r>
    <r>
      <rPr>
        <sz val="12"/>
        <rFont val="Calibri (Body)"/>
      </rPr>
      <t>to the same period of</t>
    </r>
    <r>
      <rPr>
        <sz val="12"/>
        <rFont val="Calibri"/>
        <family val="2"/>
        <scheme val="minor"/>
      </rPr>
      <t xml:space="preserve"> </t>
    </r>
    <r>
      <rPr>
        <b/>
        <sz val="12"/>
        <color rgb="FF7030A0"/>
        <rFont val="Calibri (Body)"/>
      </rPr>
      <t>$reference year$</t>
    </r>
    <r>
      <rPr>
        <sz val="12"/>
        <rFont val="Calibri"/>
        <family val="2"/>
        <scheme val="minor"/>
      </rPr>
      <t>?
[OPERATOR: SINGLE RESPONSE.]
1)A lot more [increased by more than 50%]
2)Slightly more
3)Same
4)Slightly less
5)A lot less [less than half as much]
6)DON'T KNOW
7)REFUSED</t>
    </r>
  </si>
  <si>
    <t>1-7= income_sec</t>
  </si>
  <si>
    <r>
      <t xml:space="preserve">if </t>
    </r>
    <r>
      <rPr>
        <sz val="12"/>
        <rFont val="Calibri (Body)"/>
      </rPr>
      <t xml:space="preserve">income_main_comp = </t>
    </r>
    <r>
      <rPr>
        <sz val="12"/>
        <rFont val="Calibri"/>
        <family val="2"/>
        <scheme val="minor"/>
      </rPr>
      <t xml:space="preserve">1-7, go to </t>
    </r>
    <r>
      <rPr>
        <i/>
        <sz val="12"/>
        <rFont val="Calibri"/>
        <family val="2"/>
        <scheme val="minor"/>
      </rPr>
      <t>income_sec</t>
    </r>
  </si>
  <si>
    <t>income_sec</t>
  </si>
  <si>
    <r>
      <t xml:space="preserve">What was your household's second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t>
    </r>
    <r>
      <rPr>
        <sz val="12"/>
        <rFont val="Calibri (Body)"/>
      </rPr>
      <t>or</t>
    </r>
    <r>
      <rPr>
        <sz val="12"/>
        <rFont val="Calibri"/>
        <family val="2"/>
        <scheme val="minor"/>
      </rPr>
      <t xml:space="preserve"> livestock products 
</t>
    </r>
    <r>
      <rPr>
        <sz val="12"/>
        <rFont val="Calibri (Body)"/>
      </rPr>
      <t>5)Production and sale of honey or bee products</t>
    </r>
    <r>
      <rPr>
        <sz val="12"/>
        <rFont val="Calibri"/>
        <family val="2"/>
        <scheme val="minor"/>
      </rPr>
      <t xml:space="preserve">
</t>
    </r>
    <r>
      <rPr>
        <sz val="12"/>
        <rFont val="Calibri (Body)"/>
      </rPr>
      <t>6</t>
    </r>
    <r>
      <rPr>
        <sz val="12"/>
        <rFont val="Calibri"/>
        <family val="2"/>
        <scheme val="minor"/>
      </rPr>
      <t xml:space="preserve">)Production and sale of </t>
    </r>
    <r>
      <rPr>
        <sz val="12"/>
        <rFont val="Calibri (Body)"/>
      </rPr>
      <t>fish or aquatic products</t>
    </r>
    <r>
      <rPr>
        <sz val="12"/>
        <rFont val="Calibri"/>
        <family val="2"/>
        <scheme val="minor"/>
      </rPr>
      <t xml:space="preserve">
</t>
    </r>
    <r>
      <rPr>
        <sz val="12"/>
        <rFont val="Calibri (Body)"/>
      </rPr>
      <t>7</t>
    </r>
    <r>
      <rPr>
        <sz val="12"/>
        <rFont val="Calibri"/>
        <family val="2"/>
        <scheme val="minor"/>
      </rPr>
      <t xml:space="preserve">)Collection and sale of forestry or bush products 
</t>
    </r>
    <r>
      <rPr>
        <sz val="12"/>
        <rFont val="Calibri (Body)"/>
      </rPr>
      <t>8</t>
    </r>
    <r>
      <rPr>
        <sz val="12"/>
        <rFont val="Calibri"/>
        <family val="2"/>
        <scheme val="minor"/>
      </rPr>
      <t>)Agricultural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second most important source of income
20)DON'T KNOW
21)REFUSED</t>
    </r>
  </si>
  <si>
    <r>
      <t xml:space="preserve">Form Type - Buttons
exclude selected "income_main"
</t>
    </r>
    <r>
      <rPr>
        <sz val="12"/>
        <rFont val="Calibri (Body)"/>
      </rPr>
      <t>IsDemographic</t>
    </r>
  </si>
  <si>
    <r>
      <rPr>
        <sz val="12"/>
        <rFont val="Calibri (Body)"/>
      </rPr>
      <t xml:space="preserve">1-3 = income_sec_crop_check
4 = income_sec_ls_check
5 = </t>
    </r>
    <r>
      <rPr>
        <sz val="12"/>
        <color theme="4"/>
        <rFont val="Calibri (Body)"/>
      </rPr>
      <t>income_sec_comp OR optional question</t>
    </r>
    <r>
      <rPr>
        <sz val="12"/>
        <rFont val="Calibri (Body)"/>
      </rPr>
      <t xml:space="preserve">
6 = income_sec_fish_check
7</t>
    </r>
    <r>
      <rPr>
        <sz val="12"/>
        <rFont val="Calibri"/>
        <family val="2"/>
        <scheme val="minor"/>
      </rPr>
      <t xml:space="preserve">-18 = </t>
    </r>
    <r>
      <rPr>
        <sz val="12"/>
        <color theme="4"/>
        <rFont val="Calibri"/>
        <family val="2"/>
        <scheme val="minor"/>
      </rPr>
      <t>income_sec_comp OR optional question</t>
    </r>
    <r>
      <rPr>
        <sz val="12"/>
        <rFont val="Calibri"/>
        <family val="2"/>
        <scheme val="minor"/>
      </rPr>
      <t xml:space="preserve">
19-21 = shock</t>
    </r>
  </si>
  <si>
    <r>
      <rPr>
        <sz val="12"/>
        <rFont val="Calibri (Body)"/>
      </rPr>
      <t xml:space="preserve">if options #1-3 selected, go to income_sec_crop_check
if options #4 selected, go to income_sec_ls_check
if options #6 selected, go to income_sec_fish_check 
</t>
    </r>
    <r>
      <rPr>
        <sz val="12"/>
        <rFont val="Calibri"/>
        <family val="2"/>
        <scheme val="minor"/>
      </rPr>
      <t xml:space="preserve">
if options #5, 7-18 selected, go to </t>
    </r>
    <r>
      <rPr>
        <sz val="12"/>
        <color theme="4"/>
        <rFont val="Calibri"/>
        <family val="2"/>
        <scheme val="minor"/>
      </rPr>
      <t xml:space="preserve">[income_sec_comp OR </t>
    </r>
    <r>
      <rPr>
        <sz val="12"/>
        <color theme="4"/>
        <rFont val="Calibri (Body)"/>
      </rPr>
      <t>optional question</t>
    </r>
    <r>
      <rPr>
        <sz val="12"/>
        <color theme="4"/>
        <rFont val="Calibri"/>
        <family val="2"/>
        <scheme val="minor"/>
      </rPr>
      <t>]</t>
    </r>
    <r>
      <rPr>
        <sz val="12"/>
        <rFont val="Calibri"/>
        <family val="2"/>
        <scheme val="minor"/>
      </rPr>
      <t xml:space="preserve">
if options #19-21 selected, go to shock</t>
    </r>
  </si>
  <si>
    <r>
      <t>income_sec_crop</t>
    </r>
    <r>
      <rPr>
        <b/>
        <sz val="12"/>
        <rFont val="Calibri (Body)"/>
      </rPr>
      <t>_</t>
    </r>
    <r>
      <rPr>
        <b/>
        <sz val="12"/>
        <rFont val="Calibri"/>
        <family val="2"/>
        <scheme val="minor"/>
      </rPr>
      <t>check</t>
    </r>
  </si>
  <si>
    <r>
      <t>income_sec_crop</t>
    </r>
    <r>
      <rPr>
        <sz val="12"/>
        <rFont val="Calibri (Body)"/>
      </rPr>
      <t>_</t>
    </r>
    <r>
      <rPr>
        <sz val="12"/>
        <rFont val="Calibri"/>
        <family val="2"/>
        <scheme val="minor"/>
      </rPr>
      <t>check</t>
    </r>
  </si>
  <si>
    <r>
      <t xml:space="preserve">1-4 = </t>
    </r>
    <r>
      <rPr>
        <sz val="12"/>
        <color theme="4"/>
        <rFont val="Calibri"/>
        <family val="2"/>
        <scheme val="minor"/>
      </rPr>
      <t>income_sec_comp OR optional question</t>
    </r>
  </si>
  <si>
    <r>
      <rPr>
        <sz val="12"/>
        <rFont val="Calibri (Body)"/>
      </rPr>
      <t>if income_sec_crop_check = 1-4, go to</t>
    </r>
    <r>
      <rPr>
        <sz val="12"/>
        <color theme="4"/>
        <rFont val="Calibri"/>
        <family val="2"/>
        <scheme val="minor"/>
      </rPr>
      <t xml:space="preserve"> [income_sec_comp OR </t>
    </r>
    <r>
      <rPr>
        <sz val="12"/>
        <color theme="4"/>
        <rFont val="Calibri (Body)"/>
      </rPr>
      <t>optional question</t>
    </r>
    <r>
      <rPr>
        <sz val="12"/>
        <color theme="4"/>
        <rFont val="Calibri"/>
        <family val="2"/>
        <scheme val="minor"/>
      </rPr>
      <t>]</t>
    </r>
  </si>
  <si>
    <r>
      <t>income_sec_ls</t>
    </r>
    <r>
      <rPr>
        <b/>
        <sz val="12"/>
        <rFont val="Calibri (Body)"/>
      </rPr>
      <t>_</t>
    </r>
    <r>
      <rPr>
        <b/>
        <sz val="12"/>
        <rFont val="Calibri"/>
        <family val="2"/>
        <scheme val="minor"/>
      </rPr>
      <t>check</t>
    </r>
  </si>
  <si>
    <r>
      <t>income_sec_ls</t>
    </r>
    <r>
      <rPr>
        <sz val="12"/>
        <rFont val="Calibri (Body)"/>
      </rPr>
      <t>_</t>
    </r>
    <r>
      <rPr>
        <sz val="12"/>
        <rFont val="Calibri"/>
        <family val="2"/>
        <scheme val="minor"/>
      </rPr>
      <t>check</t>
    </r>
  </si>
  <si>
    <r>
      <rPr>
        <sz val="12"/>
        <rFont val="Calibri (Body)"/>
      </rPr>
      <t>if income_sec_ls_check = 1-4, go to</t>
    </r>
    <r>
      <rPr>
        <sz val="12"/>
        <rFont val="Calibri"/>
        <family val="2"/>
        <scheme val="minor"/>
      </rPr>
      <t xml:space="preserve"> </t>
    </r>
    <r>
      <rPr>
        <sz val="12"/>
        <color theme="4"/>
        <rFont val="Calibri"/>
        <family val="2"/>
        <scheme val="minor"/>
      </rPr>
      <t xml:space="preserve">[income_sec_comp OR </t>
    </r>
    <r>
      <rPr>
        <sz val="12"/>
        <color theme="4"/>
        <rFont val="Calibri (Body)"/>
      </rPr>
      <t>optional question</t>
    </r>
    <r>
      <rPr>
        <sz val="12"/>
        <color theme="4"/>
        <rFont val="Calibri"/>
        <family val="2"/>
        <scheme val="minor"/>
      </rPr>
      <t>]</t>
    </r>
  </si>
  <si>
    <r>
      <t>income_sec_fish</t>
    </r>
    <r>
      <rPr>
        <b/>
        <sz val="12"/>
        <rFont val="Calibri (Body)"/>
      </rPr>
      <t>_</t>
    </r>
    <r>
      <rPr>
        <b/>
        <sz val="12"/>
        <rFont val="Calibri"/>
        <family val="2"/>
        <scheme val="minor"/>
      </rPr>
      <t>check</t>
    </r>
  </si>
  <si>
    <r>
      <t>income_sec_fish</t>
    </r>
    <r>
      <rPr>
        <sz val="12"/>
        <rFont val="Calibri (Body)"/>
      </rPr>
      <t>_</t>
    </r>
    <r>
      <rPr>
        <sz val="12"/>
        <rFont val="Calibri"/>
        <family val="2"/>
        <scheme val="minor"/>
      </rPr>
      <t>check</t>
    </r>
  </si>
  <si>
    <r>
      <rPr>
        <sz val="12"/>
        <rFont val="Calibri (Body)"/>
      </rPr>
      <t>if income_sec_fish_check = 1-4, go to</t>
    </r>
    <r>
      <rPr>
        <sz val="12"/>
        <rFont val="Calibri"/>
        <family val="2"/>
        <scheme val="minor"/>
      </rPr>
      <t xml:space="preserve"> </t>
    </r>
    <r>
      <rPr>
        <sz val="12"/>
        <color theme="4"/>
        <rFont val="Calibri"/>
        <family val="2"/>
        <scheme val="minor"/>
      </rPr>
      <t xml:space="preserve">[income_sec_comp OR </t>
    </r>
    <r>
      <rPr>
        <sz val="12"/>
        <color theme="4"/>
        <rFont val="Calibri (Body)"/>
      </rPr>
      <t>optional question</t>
    </r>
    <r>
      <rPr>
        <sz val="12"/>
        <color theme="4"/>
        <rFont val="Calibri"/>
        <family val="2"/>
        <scheme val="minor"/>
      </rPr>
      <t>]</t>
    </r>
  </si>
  <si>
    <t>income_sec_amount</t>
  </si>
  <si>
    <r>
      <t xml:space="preserve">How much was earned [in </t>
    </r>
    <r>
      <rPr>
        <b/>
        <sz val="12"/>
        <color rgb="FF7030A0"/>
        <rFont val="Calibri"/>
        <family val="2"/>
        <scheme val="minor"/>
      </rPr>
      <t>$currency$</t>
    </r>
    <r>
      <rPr>
        <sz val="12"/>
        <rFont val="Calibri"/>
        <family val="2"/>
        <scheme val="minor"/>
      </rPr>
      <t>] from your second main income source, {income_sec},</t>
    </r>
    <r>
      <rPr>
        <sz val="12"/>
        <color rgb="FFF504E7"/>
        <rFont val="Calibri"/>
        <family val="2"/>
        <scheme val="minor"/>
      </rPr>
      <t xml:space="preserve"> </t>
    </r>
    <r>
      <rPr>
        <sz val="12"/>
        <rFont val="Calibri"/>
        <family val="2"/>
        <scheme val="minor"/>
      </rPr>
      <t xml:space="preserve">in the past 3 months ?
[OPERATOR: MAKE SURE THE INFORMATION IS RECORDED IN THE CORRECT CURRENCY. ENTER </t>
    </r>
    <r>
      <rPr>
        <sz val="12"/>
        <color theme="4"/>
        <rFont val="Calibri"/>
        <family val="2"/>
        <scheme val="minor"/>
      </rPr>
      <t>8888888</t>
    </r>
    <r>
      <rPr>
        <sz val="12"/>
        <rFont val="Calibri"/>
        <family val="2"/>
        <scheme val="minor"/>
      </rPr>
      <t xml:space="preserve"> FOR DON'T KNOW AND </t>
    </r>
    <r>
      <rPr>
        <sz val="12"/>
        <color theme="4"/>
        <rFont val="Calibri"/>
        <family val="2"/>
        <scheme val="minor"/>
      </rPr>
      <t>9999999</t>
    </r>
    <r>
      <rPr>
        <sz val="12"/>
        <rFont val="Calibri"/>
        <family val="2"/>
        <scheme val="minor"/>
      </rPr>
      <t xml:space="preserve"> FOR REFUSED.]</t>
    </r>
  </si>
  <si>
    <r>
      <rPr>
        <b/>
        <sz val="12"/>
        <color rgb="FF7030A0"/>
        <rFont val="Calibri"/>
        <family val="2"/>
        <scheme val="minor"/>
      </rPr>
      <t>$MIN AMOUNT$</t>
    </r>
    <r>
      <rPr>
        <sz val="12"/>
        <color rgb="FF7030A0"/>
        <rFont val="Calibri"/>
        <family val="2"/>
        <scheme val="minor"/>
      </rPr>
      <t xml:space="preserve"> </t>
    </r>
    <r>
      <rPr>
        <sz val="12"/>
        <rFont val="Calibri"/>
        <family val="2"/>
        <scheme val="minor"/>
      </rPr>
      <t>-</t>
    </r>
    <r>
      <rPr>
        <sz val="12"/>
        <color rgb="FF7030A0"/>
        <rFont val="Calibri"/>
        <family val="2"/>
        <scheme val="minor"/>
      </rPr>
      <t xml:space="preserve"> </t>
    </r>
    <r>
      <rPr>
        <b/>
        <sz val="12"/>
        <color rgb="FF7030A0"/>
        <rFont val="Calibri"/>
        <family val="2"/>
        <scheme val="minor"/>
      </rPr>
      <t>$THRESHOLD$</t>
    </r>
    <r>
      <rPr>
        <b/>
        <sz val="12"/>
        <rFont val="Calibri"/>
        <family val="2"/>
        <scheme val="minor"/>
      </rPr>
      <t xml:space="preserve"> </t>
    </r>
    <r>
      <rPr>
        <sz val="12"/>
        <rFont val="Calibri"/>
        <family val="2"/>
        <scheme val="minor"/>
      </rPr>
      <t xml:space="preserve">= </t>
    </r>
    <r>
      <rPr>
        <sz val="12"/>
        <color theme="4"/>
        <rFont val="Calibri (Body)"/>
      </rPr>
      <t>income_sec_comp or optional question</t>
    </r>
    <r>
      <rPr>
        <sz val="12"/>
        <color rgb="FF7030A0"/>
        <rFont val="Calibri"/>
        <family val="2"/>
        <scheme val="minor"/>
      </rPr>
      <t xml:space="preserve">
</t>
    </r>
    <r>
      <rPr>
        <b/>
        <sz val="12"/>
        <color rgb="FF7030A0"/>
        <rFont val="Calibri"/>
        <family val="2"/>
        <scheme val="minor"/>
      </rPr>
      <t>$THRESHOLD$</t>
    </r>
    <r>
      <rPr>
        <sz val="12"/>
        <color rgb="FF7030A0"/>
        <rFont val="Calibri"/>
        <family val="2"/>
        <scheme val="minor"/>
      </rPr>
      <t xml:space="preserve"> </t>
    </r>
    <r>
      <rPr>
        <sz val="12"/>
        <rFont val="Calibri"/>
        <family val="2"/>
        <scheme val="minor"/>
      </rPr>
      <t>-</t>
    </r>
    <r>
      <rPr>
        <sz val="12"/>
        <color rgb="FF7030A0"/>
        <rFont val="Calibri"/>
        <family val="2"/>
        <scheme val="minor"/>
      </rPr>
      <t xml:space="preserve"> </t>
    </r>
    <r>
      <rPr>
        <b/>
        <sz val="12"/>
        <color rgb="FF7030A0"/>
        <rFont val="Calibri"/>
        <family val="2"/>
        <scheme val="minor"/>
      </rPr>
      <t xml:space="preserve">$MAX AMOUNT$ </t>
    </r>
    <r>
      <rPr>
        <sz val="12"/>
        <rFont val="Calibri"/>
        <family val="2"/>
        <scheme val="minor"/>
      </rPr>
      <t>=</t>
    </r>
    <r>
      <rPr>
        <sz val="12"/>
        <color rgb="FF7030A0"/>
        <rFont val="Calibri"/>
        <family val="2"/>
        <scheme val="minor"/>
      </rPr>
      <t xml:space="preserve"> </t>
    </r>
    <r>
      <rPr>
        <sz val="12"/>
        <rFont val="Calibri"/>
        <family val="2"/>
        <scheme val="minor"/>
      </rPr>
      <t xml:space="preserve">income_sec_amount_conf
</t>
    </r>
    <r>
      <rPr>
        <sz val="12"/>
        <color theme="4"/>
        <rFont val="Calibri"/>
        <family val="2"/>
        <scheme val="minor"/>
      </rPr>
      <t xml:space="preserve">8888888-8888888 </t>
    </r>
    <r>
      <rPr>
        <sz val="12"/>
        <rFont val="Calibri"/>
        <family val="2"/>
        <scheme val="minor"/>
      </rPr>
      <t xml:space="preserve">= </t>
    </r>
    <r>
      <rPr>
        <sz val="12"/>
        <color theme="4"/>
        <rFont val="Calibri (Body)"/>
      </rPr>
      <t>income_sec_comp or optional question</t>
    </r>
    <r>
      <rPr>
        <sz val="12"/>
        <rFont val="Calibri"/>
        <family val="2"/>
        <scheme val="minor"/>
      </rPr>
      <t xml:space="preserve">
</t>
    </r>
    <r>
      <rPr>
        <sz val="12"/>
        <color theme="4"/>
        <rFont val="Calibri"/>
        <family val="2"/>
        <scheme val="minor"/>
      </rPr>
      <t>9999999-9999999</t>
    </r>
    <r>
      <rPr>
        <sz val="12"/>
        <rFont val="Calibri"/>
        <family val="2"/>
        <scheme val="minor"/>
      </rPr>
      <t xml:space="preserve"> = </t>
    </r>
    <r>
      <rPr>
        <sz val="12"/>
        <color theme="4"/>
        <rFont val="Calibri (Body)"/>
      </rPr>
      <t>income_sec_comp or optional question</t>
    </r>
  </si>
  <si>
    <r>
      <t xml:space="preserve">If the income amount is over the threshold set in "Additional information", the respondent will be asked to confirm with income_sec_amount_conf. Otherwise, go to </t>
    </r>
    <r>
      <rPr>
        <i/>
        <sz val="12"/>
        <color theme="4"/>
        <rFont val="Calibri (Body)"/>
      </rPr>
      <t>income_sec_comp</t>
    </r>
    <r>
      <rPr>
        <i/>
        <sz val="12"/>
        <rFont val="Calibri"/>
        <family val="2"/>
        <scheme val="minor"/>
      </rPr>
      <t>.</t>
    </r>
  </si>
  <si>
    <t>income_sec_amount_conf</t>
  </si>
  <si>
    <r>
      <t xml:space="preserve">1 = </t>
    </r>
    <r>
      <rPr>
        <sz val="12"/>
        <color theme="4"/>
        <rFont val="Calibri"/>
        <family val="2"/>
        <scheme val="minor"/>
      </rPr>
      <t>income_s</t>
    </r>
    <r>
      <rPr>
        <sz val="12"/>
        <color theme="4"/>
        <rFont val="Calibri (Body)"/>
      </rPr>
      <t>ec_comp or optional question</t>
    </r>
  </si>
  <si>
    <r>
      <t xml:space="preserve">if </t>
    </r>
    <r>
      <rPr>
        <i/>
        <sz val="12"/>
        <rFont val="Calibri"/>
        <family val="2"/>
        <scheme val="minor"/>
      </rPr>
      <t>income_sec_amount_conf</t>
    </r>
    <r>
      <rPr>
        <sz val="12"/>
        <rFont val="Calibri"/>
        <family val="2"/>
        <scheme val="minor"/>
      </rPr>
      <t xml:space="preserve"> = 1, go to </t>
    </r>
    <r>
      <rPr>
        <i/>
        <sz val="12"/>
        <color theme="4"/>
        <rFont val="Calibri (Body)"/>
      </rPr>
      <t>income_sec_comp</t>
    </r>
  </si>
  <si>
    <t>income_sec_gender</t>
  </si>
  <si>
    <r>
      <t>1-</t>
    </r>
    <r>
      <rPr>
        <sz val="12"/>
        <rFont val="Calibri (Body)"/>
      </rPr>
      <t>5</t>
    </r>
    <r>
      <rPr>
        <sz val="12"/>
        <rFont val="Calibri"/>
        <family val="2"/>
        <scheme val="minor"/>
      </rPr>
      <t xml:space="preserve"> =</t>
    </r>
    <r>
      <rPr>
        <sz val="12"/>
        <color rgb="FFFF0000"/>
        <rFont val="Calibri"/>
        <family val="2"/>
        <scheme val="minor"/>
      </rPr>
      <t xml:space="preserve"> </t>
    </r>
    <r>
      <rPr>
        <sz val="12"/>
        <color theme="4"/>
        <rFont val="Calibri"/>
        <family val="2"/>
        <scheme val="minor"/>
      </rPr>
      <t>[income_sec_comp OR optional question]</t>
    </r>
  </si>
  <si>
    <r>
      <t>if income_sec_gender = 1-</t>
    </r>
    <r>
      <rPr>
        <sz val="12"/>
        <rFont val="Calibri (Body)"/>
      </rPr>
      <t>5</t>
    </r>
    <r>
      <rPr>
        <sz val="12"/>
        <rFont val="Calibri"/>
        <family val="2"/>
        <scheme val="minor"/>
      </rPr>
      <t>, go to</t>
    </r>
    <r>
      <rPr>
        <sz val="12"/>
        <color rgb="FFFF0000"/>
        <rFont val="Calibri"/>
        <family val="2"/>
        <scheme val="minor"/>
      </rPr>
      <t xml:space="preserve"> </t>
    </r>
    <r>
      <rPr>
        <sz val="12"/>
        <color theme="4"/>
        <rFont val="Calibri"/>
        <family val="2"/>
        <scheme val="minor"/>
      </rPr>
      <t>income_sec_comp or optional question</t>
    </r>
  </si>
  <si>
    <t>income_sec_control</t>
  </si>
  <si>
    <r>
      <rPr>
        <sz val="12"/>
        <rFont val="Calibri (Body)"/>
      </rPr>
      <t xml:space="preserve">1-5 = </t>
    </r>
    <r>
      <rPr>
        <sz val="12"/>
        <color theme="4"/>
        <rFont val="Calibri (Body)"/>
      </rPr>
      <t>income_sec_comp</t>
    </r>
  </si>
  <si>
    <r>
      <rPr>
        <sz val="12"/>
        <rFont val="Calibri (Body)"/>
      </rPr>
      <t>if income_sec_control =  1-5, go to</t>
    </r>
    <r>
      <rPr>
        <sz val="12"/>
        <color rgb="FFFF0000"/>
        <rFont val="Calibri"/>
        <family val="2"/>
        <scheme val="minor"/>
      </rPr>
      <t xml:space="preserve"> </t>
    </r>
    <r>
      <rPr>
        <i/>
        <sz val="12"/>
        <color theme="4"/>
        <rFont val="Calibri (Body)"/>
      </rPr>
      <t xml:space="preserve">income_sec_comp </t>
    </r>
    <r>
      <rPr>
        <sz val="12"/>
        <color theme="4"/>
        <rFont val="Calibri (Body)"/>
      </rPr>
      <t>or optional question</t>
    </r>
  </si>
  <si>
    <t>income_sec_comp</t>
  </si>
  <si>
    <r>
      <t xml:space="preserve">Has your household's income from {income_sec} changed in the last 3 months compared to the same period </t>
    </r>
    <r>
      <rPr>
        <sz val="12"/>
        <rFont val="Calibri (Body)"/>
      </rPr>
      <t>of</t>
    </r>
    <r>
      <rPr>
        <sz val="12"/>
        <rFont val="Calibri"/>
        <family val="2"/>
        <scheme val="minor"/>
      </rPr>
      <t xml:space="preserve"> </t>
    </r>
    <r>
      <rPr>
        <b/>
        <sz val="12"/>
        <color rgb="FF7030A0"/>
        <rFont val="Calibri (Body)"/>
      </rPr>
      <t>$reference year$</t>
    </r>
    <r>
      <rPr>
        <sz val="12"/>
        <rFont val="Calibri"/>
        <family val="2"/>
        <scheme val="minor"/>
      </rPr>
      <t>? 
[OPERATOR: SINGLE RESPONSE.]
1)A lot more [increased by more than 50%]
2)Slightly more
3)Same
4)Slightly less
5)A lot less [less than half as much]
6)DON'T KNOW
7)REFUSED</t>
    </r>
  </si>
  <si>
    <t>1-7= income_third</t>
  </si>
  <si>
    <r>
      <t xml:space="preserve">if </t>
    </r>
    <r>
      <rPr>
        <i/>
        <sz val="12"/>
        <rFont val="Calibri"/>
        <family val="2"/>
        <scheme val="minor"/>
      </rPr>
      <t>income_sec_comp</t>
    </r>
    <r>
      <rPr>
        <sz val="12"/>
        <rFont val="Calibri"/>
        <family val="2"/>
        <scheme val="minor"/>
      </rPr>
      <t xml:space="preserve"> = 1-7, go to </t>
    </r>
    <r>
      <rPr>
        <i/>
        <sz val="12"/>
        <rFont val="Calibri"/>
        <family val="2"/>
        <scheme val="minor"/>
      </rPr>
      <t>income_third</t>
    </r>
  </si>
  <si>
    <t>income_third</t>
  </si>
  <si>
    <r>
      <t xml:space="preserve">What was your household's third most important source of income in the past 3 months?
[OPERATOR: SINGLE RESPONSE. DON'T KNOW AND REFUSED OPTIONS SHOULD RARELY/NOT AVOIDED AS MUCH AS POSSIBLE.]
1)Production and sale of staple crops
2)Production and sale of vegetables or fruit 
3)Production and sale of cashcrops
4)Production and sale of livestock </t>
    </r>
    <r>
      <rPr>
        <sz val="12"/>
        <rFont val="Calibri (Body)"/>
      </rPr>
      <t>or</t>
    </r>
    <r>
      <rPr>
        <sz val="12"/>
        <rFont val="Calibri"/>
        <family val="2"/>
        <scheme val="minor"/>
      </rPr>
      <t xml:space="preserve"> livestock products 
</t>
    </r>
    <r>
      <rPr>
        <sz val="12"/>
        <rFont val="Calibri (Body)"/>
      </rPr>
      <t>5)Production and sale of honey or bee products</t>
    </r>
    <r>
      <rPr>
        <sz val="12"/>
        <rFont val="Calibri"/>
        <family val="2"/>
        <scheme val="minor"/>
      </rPr>
      <t xml:space="preserve">
</t>
    </r>
    <r>
      <rPr>
        <sz val="12"/>
        <rFont val="Calibri (Body)"/>
      </rPr>
      <t>6</t>
    </r>
    <r>
      <rPr>
        <sz val="12"/>
        <rFont val="Calibri"/>
        <family val="2"/>
        <scheme val="minor"/>
      </rPr>
      <t xml:space="preserve">)Production and sale of </t>
    </r>
    <r>
      <rPr>
        <sz val="12"/>
        <rFont val="Calibri (Body)"/>
      </rPr>
      <t>fish or aquatic products</t>
    </r>
    <r>
      <rPr>
        <sz val="12"/>
        <rFont val="Calibri"/>
        <family val="2"/>
        <scheme val="minor"/>
      </rPr>
      <t xml:space="preserve">
</t>
    </r>
    <r>
      <rPr>
        <sz val="12"/>
        <rFont val="Calibri (Body)"/>
      </rPr>
      <t>7</t>
    </r>
    <r>
      <rPr>
        <sz val="12"/>
        <rFont val="Calibri"/>
        <family val="2"/>
        <scheme val="minor"/>
      </rPr>
      <t xml:space="preserve">)Collection and sale of forestry or bush products 
</t>
    </r>
    <r>
      <rPr>
        <sz val="12"/>
        <rFont val="Calibri (Body)"/>
      </rPr>
      <t>8</t>
    </r>
    <r>
      <rPr>
        <sz val="12"/>
        <rFont val="Calibri"/>
        <family val="2"/>
        <scheme val="minor"/>
      </rPr>
      <t>)</t>
    </r>
    <r>
      <rPr>
        <sz val="12"/>
        <rFont val="Calibri (Body)"/>
      </rPr>
      <t>A</t>
    </r>
    <r>
      <rPr>
        <sz val="12"/>
        <rFont val="Calibri"/>
        <family val="2"/>
        <scheme val="minor"/>
      </rPr>
      <t xml:space="preserve">gricultural trade EXCLUDING producers </t>
    </r>
    <r>
      <rPr>
        <sz val="12"/>
        <rFont val="Calibri (Body)"/>
      </rPr>
      <t>[formal and informal]</t>
    </r>
    <r>
      <rPr>
        <sz val="12"/>
        <rFont val="Calibri"/>
        <family val="2"/>
        <scheme val="minor"/>
      </rPr>
      <t xml:space="preserve">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third most important source of income
20)DON'T KNOW
21)REFUSED</t>
    </r>
  </si>
  <si>
    <t>Form Type - Buttons
exclude selected "income_main"
exclude selected "income_sec"
IsDemographic</t>
  </si>
  <si>
    <r>
      <rPr>
        <sz val="12"/>
        <rFont val="Calibri (Body)"/>
      </rPr>
      <t xml:space="preserve">1-3 = income_third_crop_check
4 = income_third_ls_check
5 = </t>
    </r>
    <r>
      <rPr>
        <sz val="12"/>
        <color theme="4"/>
        <rFont val="Calibri (Body)"/>
      </rPr>
      <t>income_third_comp OR optional question</t>
    </r>
    <r>
      <rPr>
        <sz val="12"/>
        <rFont val="Calibri (Body)"/>
      </rPr>
      <t xml:space="preserve">
6 = income_third_fish_check
7</t>
    </r>
    <r>
      <rPr>
        <sz val="12"/>
        <rFont val="Calibri"/>
        <family val="2"/>
        <scheme val="minor"/>
      </rPr>
      <t xml:space="preserve">-18 = </t>
    </r>
    <r>
      <rPr>
        <sz val="12"/>
        <color theme="4"/>
        <rFont val="Calibri"/>
        <family val="2"/>
        <scheme val="minor"/>
      </rPr>
      <t>income_third_comp OR optional question</t>
    </r>
    <r>
      <rPr>
        <sz val="12"/>
        <rFont val="Calibri"/>
        <family val="2"/>
        <scheme val="minor"/>
      </rPr>
      <t xml:space="preserve">
19-21 = shock</t>
    </r>
  </si>
  <si>
    <r>
      <rPr>
        <sz val="12"/>
        <rFont val="Calibri (Body)"/>
      </rPr>
      <t xml:space="preserve">if options #1-3 selected, go to income_third_crop_check
if options #4 selected, go to income_third_ls_check
if option #6 selected, go to income_third_fish_check </t>
    </r>
    <r>
      <rPr>
        <sz val="12"/>
        <color rgb="FFFF0000"/>
        <rFont val="Calibri (Body)"/>
      </rPr>
      <t xml:space="preserve">
</t>
    </r>
    <r>
      <rPr>
        <sz val="12"/>
        <rFont val="Calibri"/>
        <family val="2"/>
        <scheme val="minor"/>
      </rPr>
      <t xml:space="preserve">
if options</t>
    </r>
    <r>
      <rPr>
        <sz val="12"/>
        <color rgb="FFFF0000"/>
        <rFont val="Calibri (Body)"/>
      </rPr>
      <t xml:space="preserve"> </t>
    </r>
    <r>
      <rPr>
        <sz val="12"/>
        <rFont val="Calibri"/>
        <family val="2"/>
        <scheme val="minor"/>
      </rPr>
      <t xml:space="preserve">#5, 7-18 selected, go to </t>
    </r>
    <r>
      <rPr>
        <sz val="12"/>
        <color theme="4"/>
        <rFont val="Calibri"/>
        <family val="2"/>
        <scheme val="minor"/>
      </rPr>
      <t xml:space="preserve">[income_third_comp OR </t>
    </r>
    <r>
      <rPr>
        <sz val="12"/>
        <color theme="4"/>
        <rFont val="Calibri (Body)"/>
      </rPr>
      <t>optional question</t>
    </r>
    <r>
      <rPr>
        <sz val="12"/>
        <color theme="4"/>
        <rFont val="Calibri"/>
        <family val="2"/>
        <scheme val="minor"/>
      </rPr>
      <t xml:space="preserve">] </t>
    </r>
    <r>
      <rPr>
        <sz val="12"/>
        <rFont val="Calibri"/>
        <family val="2"/>
        <scheme val="minor"/>
      </rPr>
      <t xml:space="preserve">
if options #19-21 selected, go to shock</t>
    </r>
  </si>
  <si>
    <r>
      <t>income_third_crop</t>
    </r>
    <r>
      <rPr>
        <b/>
        <sz val="12"/>
        <rFont val="Calibri (Body)"/>
      </rPr>
      <t>_</t>
    </r>
    <r>
      <rPr>
        <b/>
        <sz val="12"/>
        <rFont val="Calibri"/>
        <family val="2"/>
        <scheme val="minor"/>
      </rPr>
      <t>check</t>
    </r>
  </si>
  <si>
    <r>
      <t>income_third_crop</t>
    </r>
    <r>
      <rPr>
        <sz val="12"/>
        <rFont val="Calibri (Body)"/>
      </rPr>
      <t>_</t>
    </r>
    <r>
      <rPr>
        <sz val="12"/>
        <rFont val="Calibri"/>
        <family val="2"/>
        <scheme val="minor"/>
      </rPr>
      <t>check</t>
    </r>
  </si>
  <si>
    <r>
      <t xml:space="preserve">1-4 = </t>
    </r>
    <r>
      <rPr>
        <sz val="12"/>
        <color theme="4"/>
        <rFont val="Calibri"/>
        <family val="2"/>
        <scheme val="minor"/>
      </rPr>
      <t>income_third_comp OR optional question</t>
    </r>
  </si>
  <si>
    <r>
      <rPr>
        <sz val="12"/>
        <rFont val="Calibri (Body)"/>
      </rPr>
      <t>if income_third_crop_check = 1-4, go to</t>
    </r>
    <r>
      <rPr>
        <sz val="12"/>
        <rFont val="Calibri"/>
        <family val="2"/>
        <scheme val="minor"/>
      </rPr>
      <t xml:space="preserve"> </t>
    </r>
    <r>
      <rPr>
        <sz val="12"/>
        <color theme="4"/>
        <rFont val="Calibri"/>
        <family val="2"/>
        <scheme val="minor"/>
      </rPr>
      <t xml:space="preserve">[income_third_comp OR </t>
    </r>
    <r>
      <rPr>
        <sz val="12"/>
        <color theme="4"/>
        <rFont val="Calibri (Body)"/>
      </rPr>
      <t>optional question</t>
    </r>
    <r>
      <rPr>
        <sz val="12"/>
        <color theme="4"/>
        <rFont val="Calibri"/>
        <family val="2"/>
        <scheme val="minor"/>
      </rPr>
      <t>]</t>
    </r>
  </si>
  <si>
    <r>
      <t>income_third_ls</t>
    </r>
    <r>
      <rPr>
        <b/>
        <sz val="12"/>
        <rFont val="Calibri (Body)"/>
      </rPr>
      <t>_</t>
    </r>
    <r>
      <rPr>
        <b/>
        <sz val="12"/>
        <rFont val="Calibri"/>
        <family val="2"/>
        <scheme val="minor"/>
      </rPr>
      <t>check</t>
    </r>
  </si>
  <si>
    <r>
      <t>income_third_ls</t>
    </r>
    <r>
      <rPr>
        <sz val="12"/>
        <rFont val="Calibri (Body)"/>
      </rPr>
      <t>_</t>
    </r>
    <r>
      <rPr>
        <sz val="12"/>
        <rFont val="Calibri"/>
        <family val="2"/>
        <scheme val="minor"/>
      </rPr>
      <t>check</t>
    </r>
  </si>
  <si>
    <r>
      <rPr>
        <sz val="12"/>
        <rFont val="Calibri (Body)"/>
      </rPr>
      <t>if income_third_ls_check = 1-4, go to</t>
    </r>
    <r>
      <rPr>
        <sz val="12"/>
        <rFont val="Calibri"/>
        <family val="2"/>
        <scheme val="minor"/>
      </rPr>
      <t xml:space="preserve"> </t>
    </r>
    <r>
      <rPr>
        <sz val="12"/>
        <color theme="4"/>
        <rFont val="Calibri"/>
        <family val="2"/>
        <scheme val="minor"/>
      </rPr>
      <t xml:space="preserve">[income_third_comp OR </t>
    </r>
    <r>
      <rPr>
        <sz val="12"/>
        <color theme="4"/>
        <rFont val="Calibri (Body)"/>
      </rPr>
      <t>optional question</t>
    </r>
    <r>
      <rPr>
        <sz val="12"/>
        <color theme="4"/>
        <rFont val="Calibri"/>
        <family val="2"/>
        <scheme val="minor"/>
      </rPr>
      <t>]</t>
    </r>
  </si>
  <si>
    <r>
      <t>income_third_fish</t>
    </r>
    <r>
      <rPr>
        <b/>
        <sz val="12"/>
        <rFont val="Calibri (Body)"/>
      </rPr>
      <t>_</t>
    </r>
    <r>
      <rPr>
        <b/>
        <sz val="12"/>
        <rFont val="Calibri"/>
        <family val="2"/>
        <scheme val="minor"/>
      </rPr>
      <t>check</t>
    </r>
  </si>
  <si>
    <r>
      <t>income_third_fish</t>
    </r>
    <r>
      <rPr>
        <sz val="12"/>
        <rFont val="Calibri (Body)"/>
      </rPr>
      <t>_</t>
    </r>
    <r>
      <rPr>
        <sz val="12"/>
        <rFont val="Calibri"/>
        <family val="2"/>
        <scheme val="minor"/>
      </rPr>
      <t>check</t>
    </r>
  </si>
  <si>
    <r>
      <rPr>
        <sz val="12"/>
        <rFont val="Calibri (Body)"/>
      </rPr>
      <t>if income_third_fish_check = 1-4, go to</t>
    </r>
    <r>
      <rPr>
        <sz val="12"/>
        <rFont val="Calibri"/>
        <family val="2"/>
        <scheme val="minor"/>
      </rPr>
      <t xml:space="preserve"> </t>
    </r>
    <r>
      <rPr>
        <sz val="12"/>
        <color theme="4"/>
        <rFont val="Calibri"/>
        <family val="2"/>
        <scheme val="minor"/>
      </rPr>
      <t xml:space="preserve">[income_third_comp OR </t>
    </r>
    <r>
      <rPr>
        <sz val="12"/>
        <color theme="4"/>
        <rFont val="Calibri (Body)"/>
      </rPr>
      <t>optional question</t>
    </r>
    <r>
      <rPr>
        <sz val="12"/>
        <color theme="4"/>
        <rFont val="Calibri"/>
        <family val="2"/>
        <scheme val="minor"/>
      </rPr>
      <t>]</t>
    </r>
  </si>
  <si>
    <t>income_third_amount</t>
  </si>
  <si>
    <r>
      <t xml:space="preserve">How much was earned [in </t>
    </r>
    <r>
      <rPr>
        <b/>
        <sz val="12"/>
        <color rgb="FF7030A0"/>
        <rFont val="Calibri"/>
        <family val="2"/>
        <scheme val="minor"/>
      </rPr>
      <t>$currency$</t>
    </r>
    <r>
      <rPr>
        <sz val="12"/>
        <rFont val="Calibri"/>
        <family val="2"/>
        <scheme val="minor"/>
      </rPr>
      <t xml:space="preserve">] from your third main source of income, {income_third}, in the past 3 months ?
[OPERATOR: MAKE SURE THE INFORMATION IS RECORDED IN THE CORRECT CURRENCY. ENTER </t>
    </r>
    <r>
      <rPr>
        <sz val="12"/>
        <color theme="4"/>
        <rFont val="Calibri"/>
        <family val="2"/>
        <scheme val="minor"/>
      </rPr>
      <t>8888888</t>
    </r>
    <r>
      <rPr>
        <sz val="12"/>
        <rFont val="Calibri"/>
        <family val="2"/>
        <scheme val="minor"/>
      </rPr>
      <t xml:space="preserve"> FOR DON'T KNOW AND </t>
    </r>
    <r>
      <rPr>
        <sz val="12"/>
        <color theme="4"/>
        <rFont val="Calibri"/>
        <family val="2"/>
        <scheme val="minor"/>
      </rPr>
      <t>9999999</t>
    </r>
    <r>
      <rPr>
        <sz val="12"/>
        <rFont val="Calibri"/>
        <family val="2"/>
        <scheme val="minor"/>
      </rPr>
      <t xml:space="preserve"> FOR REFUSED.]</t>
    </r>
  </si>
  <si>
    <r>
      <rPr>
        <b/>
        <sz val="12"/>
        <color rgb="FF7030A0"/>
        <rFont val="Calibri"/>
        <family val="2"/>
        <scheme val="minor"/>
      </rPr>
      <t>$MIN AMOUNT$</t>
    </r>
    <r>
      <rPr>
        <sz val="12"/>
        <color rgb="FF7030A0"/>
        <rFont val="Calibri"/>
        <family val="2"/>
        <scheme val="minor"/>
      </rPr>
      <t xml:space="preserve"> - </t>
    </r>
    <r>
      <rPr>
        <b/>
        <sz val="12"/>
        <color rgb="FF7030A0"/>
        <rFont val="Calibri"/>
        <family val="2"/>
        <scheme val="minor"/>
      </rPr>
      <t>$THRESHOLD$</t>
    </r>
    <r>
      <rPr>
        <sz val="12"/>
        <color rgb="FF7030A0"/>
        <rFont val="Calibri"/>
        <family val="2"/>
        <scheme val="minor"/>
      </rPr>
      <t xml:space="preserve"> =</t>
    </r>
    <r>
      <rPr>
        <sz val="12"/>
        <rFont val="Calibri"/>
        <family val="2"/>
        <scheme val="minor"/>
      </rPr>
      <t xml:space="preserve"> </t>
    </r>
    <r>
      <rPr>
        <sz val="12"/>
        <color theme="4"/>
        <rFont val="Calibri (Body)"/>
      </rPr>
      <t>income_third_comp or optional question</t>
    </r>
    <r>
      <rPr>
        <sz val="12"/>
        <color rgb="FF7030A0"/>
        <rFont val="Calibri"/>
        <family val="2"/>
        <scheme val="minor"/>
      </rPr>
      <t xml:space="preserve">
</t>
    </r>
    <r>
      <rPr>
        <b/>
        <sz val="12"/>
        <color rgb="FF7030A0"/>
        <rFont val="Calibri"/>
        <family val="2"/>
        <scheme val="minor"/>
      </rPr>
      <t>$THRESHOLD$</t>
    </r>
    <r>
      <rPr>
        <sz val="12"/>
        <color rgb="FF7030A0"/>
        <rFont val="Calibri"/>
        <family val="2"/>
        <scheme val="minor"/>
      </rPr>
      <t xml:space="preserve"> -</t>
    </r>
    <r>
      <rPr>
        <b/>
        <sz val="12"/>
        <color rgb="FF7030A0"/>
        <rFont val="Calibri"/>
        <family val="2"/>
        <scheme val="minor"/>
      </rPr>
      <t xml:space="preserve"> $MAX AMOUNT$</t>
    </r>
    <r>
      <rPr>
        <sz val="12"/>
        <color rgb="FF7030A0"/>
        <rFont val="Calibri"/>
        <family val="2"/>
        <scheme val="minor"/>
      </rPr>
      <t xml:space="preserve"> = </t>
    </r>
    <r>
      <rPr>
        <sz val="12"/>
        <rFont val="Calibri"/>
        <family val="2"/>
        <scheme val="minor"/>
      </rPr>
      <t xml:space="preserve">income_third_amount_conf
</t>
    </r>
    <r>
      <rPr>
        <sz val="12"/>
        <color theme="4"/>
        <rFont val="Calibri"/>
        <family val="2"/>
        <scheme val="minor"/>
      </rPr>
      <t>8888888-8888888</t>
    </r>
    <r>
      <rPr>
        <sz val="12"/>
        <rFont val="Calibri"/>
        <family val="2"/>
        <scheme val="minor"/>
      </rPr>
      <t xml:space="preserve"> = </t>
    </r>
    <r>
      <rPr>
        <sz val="12"/>
        <color theme="4"/>
        <rFont val="Calibri (Body)"/>
      </rPr>
      <t>income_third_comp or optional question</t>
    </r>
    <r>
      <rPr>
        <sz val="12"/>
        <rFont val="Calibri"/>
        <family val="2"/>
        <scheme val="minor"/>
      </rPr>
      <t xml:space="preserve">
</t>
    </r>
    <r>
      <rPr>
        <sz val="12"/>
        <color theme="4"/>
        <rFont val="Calibri"/>
        <family val="2"/>
        <scheme val="minor"/>
      </rPr>
      <t>9999999-9999999</t>
    </r>
    <r>
      <rPr>
        <sz val="12"/>
        <rFont val="Calibri"/>
        <family val="2"/>
        <scheme val="minor"/>
      </rPr>
      <t xml:space="preserve"> = </t>
    </r>
    <r>
      <rPr>
        <sz val="12"/>
        <color theme="4"/>
        <rFont val="Calibri (Body)"/>
      </rPr>
      <t>income_third_comp or optional question</t>
    </r>
  </si>
  <si>
    <r>
      <t xml:space="preserve">If the income amount is over the threshold set in "Additional information", the respondent will be asked to confirm with income_third_amount_conf. Otherwise, go to </t>
    </r>
    <r>
      <rPr>
        <i/>
        <sz val="12"/>
        <color theme="4"/>
        <rFont val="Calibri (Body)"/>
      </rPr>
      <t>income_third_comp or optional question</t>
    </r>
    <r>
      <rPr>
        <i/>
        <sz val="12"/>
        <rFont val="Calibri (Body)"/>
      </rPr>
      <t>.</t>
    </r>
  </si>
  <si>
    <t>income_third_amount_conf</t>
  </si>
  <si>
    <r>
      <t xml:space="preserve">1 = </t>
    </r>
    <r>
      <rPr>
        <sz val="12"/>
        <color theme="4"/>
        <rFont val="Calibri (Body)"/>
      </rPr>
      <t>income_third_comp or optional question</t>
    </r>
  </si>
  <si>
    <r>
      <t xml:space="preserve">if </t>
    </r>
    <r>
      <rPr>
        <i/>
        <sz val="12"/>
        <rFont val="Calibri"/>
        <family val="2"/>
        <scheme val="minor"/>
      </rPr>
      <t>income_third_amount_conf</t>
    </r>
    <r>
      <rPr>
        <sz val="12"/>
        <rFont val="Calibri"/>
        <family val="2"/>
        <scheme val="minor"/>
      </rPr>
      <t xml:space="preserve"> = 1, go to </t>
    </r>
    <r>
      <rPr>
        <i/>
        <sz val="12"/>
        <color theme="4"/>
        <rFont val="Calibri (Body)"/>
      </rPr>
      <t>income_third_comp or optional question</t>
    </r>
  </si>
  <si>
    <t>income_third_gender</t>
  </si>
  <si>
    <r>
      <t>1-</t>
    </r>
    <r>
      <rPr>
        <sz val="12"/>
        <rFont val="Calibri (Body)"/>
      </rPr>
      <t>5</t>
    </r>
    <r>
      <rPr>
        <sz val="12"/>
        <rFont val="Calibri"/>
        <family val="2"/>
        <scheme val="minor"/>
      </rPr>
      <t xml:space="preserve"> =</t>
    </r>
    <r>
      <rPr>
        <sz val="12"/>
        <color theme="4"/>
        <rFont val="Calibri"/>
        <family val="2"/>
        <scheme val="minor"/>
      </rPr>
      <t xml:space="preserve"> income_third_comp or optional question</t>
    </r>
  </si>
  <si>
    <r>
      <t>if income_third_gender = 1-</t>
    </r>
    <r>
      <rPr>
        <sz val="12"/>
        <rFont val="Calibri (Body)"/>
      </rPr>
      <t>5</t>
    </r>
    <r>
      <rPr>
        <sz val="12"/>
        <rFont val="Calibri"/>
        <family val="2"/>
        <scheme val="minor"/>
      </rPr>
      <t xml:space="preserve">, go to </t>
    </r>
    <r>
      <rPr>
        <sz val="12"/>
        <color theme="4"/>
        <rFont val="Calibri"/>
        <family val="2"/>
        <scheme val="minor"/>
      </rPr>
      <t>[income_third_comp or optional question]</t>
    </r>
  </si>
  <si>
    <t>income_third_control</t>
  </si>
  <si>
    <r>
      <rPr>
        <sz val="12"/>
        <rFont val="Calibri (Body)"/>
      </rPr>
      <t>1-5 =</t>
    </r>
    <r>
      <rPr>
        <sz val="12"/>
        <rFont val="Calibri"/>
        <family val="2"/>
        <scheme val="minor"/>
      </rPr>
      <t xml:space="preserve"> </t>
    </r>
    <r>
      <rPr>
        <sz val="12"/>
        <color theme="4"/>
        <rFont val="Calibri (Body)"/>
      </rPr>
      <t>income_third_comp</t>
    </r>
  </si>
  <si>
    <r>
      <rPr>
        <sz val="12"/>
        <rFont val="Calibri (Body)"/>
      </rPr>
      <t>if income_third_control = 1-5, go to</t>
    </r>
    <r>
      <rPr>
        <sz val="12"/>
        <color rgb="FFFF0000"/>
        <rFont val="Calibri"/>
        <family val="2"/>
        <scheme val="minor"/>
      </rPr>
      <t xml:space="preserve"> </t>
    </r>
    <r>
      <rPr>
        <i/>
        <sz val="12"/>
        <color theme="4"/>
        <rFont val="Calibri (Body)"/>
      </rPr>
      <t xml:space="preserve">income_third_comp </t>
    </r>
    <r>
      <rPr>
        <sz val="12"/>
        <color theme="4"/>
        <rFont val="Calibri (Body)"/>
      </rPr>
      <t>or optional question</t>
    </r>
  </si>
  <si>
    <t>income_third_comp</t>
  </si>
  <si>
    <r>
      <t xml:space="preserve">Has your household's income from {income_third} changed in the last 3 months compared to the same period of </t>
    </r>
    <r>
      <rPr>
        <b/>
        <sz val="12"/>
        <color rgb="FF7030A0"/>
        <rFont val="Calibri (Body)"/>
      </rPr>
      <t>$reference year$</t>
    </r>
    <r>
      <rPr>
        <sz val="12"/>
        <rFont val="Calibri"/>
        <family val="2"/>
        <scheme val="minor"/>
      </rPr>
      <t>?
[OPERATOR: SINGLE RESPONSE.]
1)A lot more [increased by more than 50%]
2)Slightly more
3)Same
4)Slightly less
5)A lot less [less than half as much]
6)DON'T KNOW
7)REFUSED</t>
    </r>
  </si>
  <si>
    <r>
      <t xml:space="preserve">1-7= </t>
    </r>
    <r>
      <rPr>
        <sz val="12"/>
        <color theme="4"/>
        <rFont val="Calibri"/>
        <family val="2"/>
        <scheme val="minor"/>
      </rPr>
      <t>shock</t>
    </r>
  </si>
  <si>
    <r>
      <t xml:space="preserve">if </t>
    </r>
    <r>
      <rPr>
        <i/>
        <sz val="12"/>
        <rFont val="Calibri"/>
        <family val="2"/>
        <scheme val="minor"/>
      </rPr>
      <t>income_third_comp</t>
    </r>
    <r>
      <rPr>
        <sz val="12"/>
        <rFont val="Calibri"/>
        <family val="2"/>
        <scheme val="minor"/>
      </rPr>
      <t xml:space="preserve"> = 1-7, go to </t>
    </r>
    <r>
      <rPr>
        <i/>
        <sz val="12"/>
        <rFont val="Calibri"/>
        <family val="2"/>
        <scheme val="minor"/>
      </rPr>
      <t>shock</t>
    </r>
  </si>
  <si>
    <t>shock</t>
  </si>
  <si>
    <r>
      <t>shock_
1) shock_noshock
2) shock_sicknessordeathof</t>
    </r>
    <r>
      <rPr>
        <sz val="10"/>
        <rFont val="Calibri (Body)"/>
      </rPr>
      <t>hh</t>
    </r>
    <r>
      <rPr>
        <sz val="10"/>
        <rFont val="Calibri"/>
        <family val="2"/>
        <scheme val="minor"/>
      </rPr>
      <t xml:space="preserve">
3) shock_lostemplorwork
4) shock_otherintrahhshock
5) shock_higherfoodprices
6) shock_higherfuelprices
7) shock_</t>
    </r>
    <r>
      <rPr>
        <sz val="10"/>
        <rFont val="Calibri (Body)"/>
      </rPr>
      <t>mvtrestrict</t>
    </r>
    <r>
      <rPr>
        <sz val="10"/>
        <rFont val="Calibri"/>
        <family val="2"/>
        <scheme val="minor"/>
      </rPr>
      <t xml:space="preserve">
8) shock_othereconomicshock
9) shock_pestoutbreak
10) shock_plantdisease
11) shock_animaldisease
12) shock_napasture
13) shock_othercropandlivests
14) shock_coldtemporhail
15) shock_flood
16) shock_hurricane
17) shock_drought
18) shock_earthquake
19) shock_landslides
20) shock_firenatural
21) shock_othernathazard
22) shock_violenceinsecconf
23) shock_theftofprodassets
24) shock_fire</t>
    </r>
    <r>
      <rPr>
        <sz val="10"/>
        <rFont val="Calibri (Body)"/>
      </rPr>
      <t>manmade</t>
    </r>
    <r>
      <rPr>
        <sz val="10"/>
        <rFont val="Calibri"/>
        <family val="2"/>
        <scheme val="minor"/>
      </rPr>
      <t xml:space="preserve">
25) shock_othermanmadehazard
26) shock_dk
27) shock_ref</t>
    </r>
  </si>
  <si>
    <r>
      <t>Has your household or community faced any particular disaster or crisis affecting your household's ability to raise an income and/or to produce food for self consumption in the last 3 months</t>
    </r>
    <r>
      <rPr>
        <sz val="11"/>
        <rFont val="Calibri (Body)"/>
      </rPr>
      <t>, and if so, which one[s]</t>
    </r>
    <r>
      <rPr>
        <sz val="11"/>
        <rFont val="Calibri"/>
        <family val="2"/>
        <scheme val="minor"/>
      </rPr>
      <t>? 
[OPERATOR: SELECT RELEVANT SHOCKS EXPERIENCED BY THE HOUSEHOLD. MULTIPLE RESPONSES POSSIBLE. REFER TO ECONOMIC SHOCKS, CROP AND LIVESTOCK SHOCKS, INTRA-HOUSEHOLD SHOCK, NATURAL HAZARDS AND HUMAN-INDUCED HAZARDS.]
1)No shock
2)Sickness or accident or death of household member[s] [sickness of breadwinner / unusually high medical expenditure / funeral expenses / death of breadwinner]
3)Lost employment or working opportunities</t>
    </r>
    <r>
      <rPr>
        <sz val="11"/>
        <rFont val="Calibri (Body)"/>
      </rPr>
      <t xml:space="preserve"> [not due to illness/accident]</t>
    </r>
    <r>
      <rPr>
        <sz val="11"/>
        <rFont val="Calibri"/>
        <family val="2"/>
        <scheme val="minor"/>
      </rPr>
      <t xml:space="preserve">
4)Other intra</t>
    </r>
    <r>
      <rPr>
        <sz val="11"/>
        <rFont val="Calibri (Body)"/>
      </rPr>
      <t>-</t>
    </r>
    <r>
      <rPr>
        <sz val="11"/>
        <rFont val="Calibri"/>
        <family val="2"/>
        <scheme val="minor"/>
      </rPr>
      <t>household</t>
    </r>
    <r>
      <rPr>
        <sz val="11"/>
        <rFont val="Calibri (Body)"/>
      </rPr>
      <t xml:space="preserve"> </t>
    </r>
    <r>
      <rPr>
        <sz val="11"/>
        <rFont val="Calibri"/>
        <family val="2"/>
        <scheme val="minor"/>
      </rPr>
      <t>shock
5)</t>
    </r>
    <r>
      <rPr>
        <sz val="11"/>
        <rFont val="Calibri (Body)"/>
      </rPr>
      <t>Unusually</t>
    </r>
    <r>
      <rPr>
        <sz val="11"/>
        <rFont val="Calibri"/>
        <family val="2"/>
        <scheme val="minor"/>
      </rPr>
      <t xml:space="preserve"> </t>
    </r>
    <r>
      <rPr>
        <sz val="11"/>
        <rFont val="Calibri (Body)"/>
      </rPr>
      <t>high</t>
    </r>
    <r>
      <rPr>
        <sz val="11"/>
        <rFont val="Calibri"/>
        <family val="2"/>
        <scheme val="minor"/>
      </rPr>
      <t xml:space="preserve"> food prices
6)</t>
    </r>
    <r>
      <rPr>
        <sz val="11"/>
        <rFont val="Calibri (Body)"/>
      </rPr>
      <t>Unusually</t>
    </r>
    <r>
      <rPr>
        <sz val="11"/>
        <rFont val="Calibri"/>
        <family val="2"/>
        <scheme val="minor"/>
      </rPr>
      <t xml:space="preserve"> </t>
    </r>
    <r>
      <rPr>
        <sz val="11"/>
        <rFont val="Calibri (Body)"/>
      </rPr>
      <t xml:space="preserve">high </t>
    </r>
    <r>
      <rPr>
        <sz val="11"/>
        <rFont val="Calibri"/>
        <family val="2"/>
        <scheme val="minor"/>
      </rPr>
      <t>fuel prices or transport prices 
7)</t>
    </r>
    <r>
      <rPr>
        <sz val="11"/>
        <rFont val="Calibri (Body)"/>
      </rPr>
      <t>Population movement restrictions [e.g. due to epidemic or infrastructure damage]</t>
    </r>
    <r>
      <rPr>
        <sz val="11"/>
        <rFont val="Calibri"/>
        <family val="2"/>
        <scheme val="minor"/>
      </rPr>
      <t xml:space="preserve">
8)Other economic shock 
9)</t>
    </r>
    <r>
      <rPr>
        <sz val="11"/>
        <rFont val="Calibri (Body)"/>
      </rPr>
      <t>P</t>
    </r>
    <r>
      <rPr>
        <sz val="11"/>
        <rFont val="Calibri"/>
        <family val="2"/>
        <scheme val="minor"/>
      </rPr>
      <t>est outbreak
10)</t>
    </r>
    <r>
      <rPr>
        <sz val="11"/>
        <rFont val="Calibri (Body)"/>
      </rPr>
      <t>P</t>
    </r>
    <r>
      <rPr>
        <sz val="11"/>
        <rFont val="Calibri"/>
        <family val="2"/>
        <scheme val="minor"/>
      </rPr>
      <t>lant disease
11)</t>
    </r>
    <r>
      <rPr>
        <sz val="11"/>
        <rFont val="Calibri (Body)"/>
      </rPr>
      <t>A</t>
    </r>
    <r>
      <rPr>
        <sz val="11"/>
        <rFont val="Calibri"/>
        <family val="2"/>
        <scheme val="minor"/>
      </rPr>
      <t xml:space="preserve">nimal disease </t>
    </r>
    <r>
      <rPr>
        <sz val="11"/>
        <rFont val="Calibri (Body)"/>
      </rPr>
      <t>[affecting many animals]</t>
    </r>
    <r>
      <rPr>
        <sz val="11"/>
        <rFont val="Calibri"/>
        <family val="2"/>
        <scheme val="minor"/>
      </rPr>
      <t xml:space="preserve"> or death
12)Lack of physical access to pasture 
13)Other crop and livestock shock
</t>
    </r>
    <r>
      <rPr>
        <sz val="11"/>
        <rFont val="Calibri (Body)"/>
      </rPr>
      <t>14)Cold temperatures or hail
15)Flood / riverbank erosion
16)Hurricane / cyclone / tornado
17)Drought / heat stress
18)Earthquake
19)Landslides
20)Fire from natural disaster
21)Other natural hazard
22)Violence and insecurity / conflict
23)Theft of production assets [land / livestock / tools / etc]
24)Fire from human-induced disaster
25)Other human-induced hazard
26)DON'T KNOW
27)REFUSED</t>
    </r>
  </si>
  <si>
    <t>Form Type - Checklist 
1,26,27 = IsNone</t>
  </si>
  <si>
    <r>
      <t xml:space="preserve">1-27 = </t>
    </r>
    <r>
      <rPr>
        <sz val="12"/>
        <color theme="4"/>
        <rFont val="Calibri (Body)"/>
      </rPr>
      <t xml:space="preserve">[crp_intro </t>
    </r>
    <r>
      <rPr>
        <sz val="12"/>
        <color theme="4"/>
        <rFont val="Calibri"/>
        <family val="2"/>
        <scheme val="minor"/>
      </rPr>
      <t xml:space="preserve">or </t>
    </r>
    <r>
      <rPr>
        <sz val="12"/>
        <color theme="4"/>
        <rFont val="Calibri (Body)"/>
      </rPr>
      <t>optional question]</t>
    </r>
  </si>
  <si>
    <t>1)shock_noshock
2)shock_sicknessordeathofhh
3)shock_lostemplorwork
4)shock_otherintrahhshock
5)shock_higherfoodprices
6)shock_higherfuelprices
7)shock_mvtrestrict
8)shock_othereconomicshock
9)shock_pestoutbreak
10)shock_plantdisease
11)shock_animaldisease
12)shock_napasture
13)shock_othercropandlivests
14)shock_coldtemporhail
15)shock_flood
16)shock_hurricane
17)shock_drought
18)shock_earthquake
19)shock_landslides
20)shock_firenatural
21)shock_othernathazard
22)shock_violenceinsecconf
23)shock_theftofprodassets
24)shock_firemanmade
25)shock_othermanmadehazard
26)shock_dk
27)shock_ref</t>
  </si>
  <si>
    <r>
      <t>if shock = 1-27, go to [</t>
    </r>
    <r>
      <rPr>
        <i/>
        <sz val="12"/>
        <color theme="4"/>
        <rFont val="Calibri"/>
        <family val="2"/>
        <scheme val="minor"/>
      </rPr>
      <t xml:space="preserve">crp_intro </t>
    </r>
    <r>
      <rPr>
        <sz val="12"/>
        <rFont val="Calibri (Body)"/>
      </rPr>
      <t>or</t>
    </r>
    <r>
      <rPr>
        <i/>
        <sz val="12"/>
        <color theme="4"/>
        <rFont val="Calibri"/>
        <family val="2"/>
        <scheme val="minor"/>
      </rPr>
      <t xml:space="preserve"> optional question</t>
    </r>
    <r>
      <rPr>
        <sz val="12"/>
        <rFont val="Calibri"/>
        <family val="2"/>
        <scheme val="minor"/>
      </rPr>
      <t>]</t>
    </r>
  </si>
  <si>
    <t>hh_explanation</t>
  </si>
  <si>
    <t>If the household was affected by a major recent shock as indicated in this assessment [for example, an earthquake], what are the [already observed or expected] consequences for your household, in your own words?
[OPERATOR: RECORD IN FEW WORDS THE MAIN CONSEQUENCE OF THE RECENT SHOCKS. ENTER 88 FOR DON'T KNOW AND 99 FOR REFUSED.]</t>
  </si>
  <si>
    <r>
      <t xml:space="preserve">Any Response = </t>
    </r>
    <r>
      <rPr>
        <sz val="12"/>
        <color theme="4"/>
        <rFont val="Calibri (Body)"/>
      </rPr>
      <t>covid</t>
    </r>
  </si>
  <si>
    <r>
      <t xml:space="preserve">For any response to </t>
    </r>
    <r>
      <rPr>
        <i/>
        <sz val="12"/>
        <rFont val="Calibri"/>
        <family val="2"/>
        <scheme val="minor"/>
      </rPr>
      <t>hh_explanation</t>
    </r>
    <r>
      <rPr>
        <sz val="12"/>
        <rFont val="Calibri"/>
        <family val="2"/>
        <scheme val="minor"/>
      </rPr>
      <t xml:space="preserve">, go to </t>
    </r>
    <r>
      <rPr>
        <i/>
        <sz val="12"/>
        <color theme="4"/>
        <rFont val="Calibri"/>
        <family val="2"/>
        <scheme val="minor"/>
      </rPr>
      <t>covid.</t>
    </r>
  </si>
  <si>
    <t>covid</t>
  </si>
  <si>
    <r>
      <t xml:space="preserve">covid_
1) covid_goodstransp
2) covid_marketclosed
3) covid_borderclosed
4) covid_stayhome
5) covid_gatherings
6) covid_processclosed
</t>
    </r>
    <r>
      <rPr>
        <sz val="12"/>
        <rFont val="Calibri (Body)"/>
      </rPr>
      <t>7) covid_curfew
8) covid_schoo</t>
    </r>
    <r>
      <rPr>
        <sz val="12"/>
        <rFont val="Calibri"/>
        <family val="2"/>
        <scheme val="minor"/>
      </rPr>
      <t>l
9) covid_other
10) covid_none
11) covid_dk
12) covid_ref</t>
    </r>
  </si>
  <si>
    <r>
      <t xml:space="preserve">Have you or anyone in your household been affected by movement restrictions or social distancing measures aimed at containing COVID-19 in the last 3 months?
[OPERATOR: MULTIPLE RESPONSES POSSIBLE.]
1)Movement restrictions [sometimes producing product scarcity or price hikes]
2)Closure of food markets or other businesses
3)Closure of international borders [affecting the purchase of imported inputs or the sale of goods for export or transhumance]
4)Stay at home order
5)Ban on gatherings
6)Closure of food processors [slaughterhouse / dairy cooperatives / etc] or restaurants
</t>
    </r>
    <r>
      <rPr>
        <sz val="12"/>
        <rFont val="Calibri (Body)"/>
      </rPr>
      <t>7)Curfews
8)Closure of schools
9</t>
    </r>
    <r>
      <rPr>
        <sz val="12"/>
        <rFont val="Calibri"/>
        <family val="2"/>
        <scheme val="minor"/>
      </rPr>
      <t xml:space="preserve">)Other [specify]
</t>
    </r>
    <r>
      <rPr>
        <sz val="12"/>
        <rFont val="Calibri (Body)"/>
      </rPr>
      <t>10</t>
    </r>
    <r>
      <rPr>
        <sz val="12"/>
        <rFont val="Calibri"/>
        <family val="2"/>
        <scheme val="minor"/>
      </rPr>
      <t xml:space="preserve">)Not affected by restrictions
</t>
    </r>
    <r>
      <rPr>
        <sz val="12"/>
        <rFont val="Calibri (Body)"/>
      </rPr>
      <t>11</t>
    </r>
    <r>
      <rPr>
        <sz val="12"/>
        <rFont val="Calibri"/>
        <family val="2"/>
        <scheme val="minor"/>
      </rPr>
      <t xml:space="preserve">)DON'T KNOW
</t>
    </r>
    <r>
      <rPr>
        <sz val="12"/>
        <rFont val="Calibri (Body)"/>
      </rPr>
      <t>12</t>
    </r>
    <r>
      <rPr>
        <sz val="12"/>
        <rFont val="Calibri"/>
        <family val="2"/>
        <scheme val="minor"/>
      </rPr>
      <t>)REFUSED</t>
    </r>
  </si>
  <si>
    <t xml:space="preserve">Open Ended - Select All That Apply </t>
  </si>
  <si>
    <r>
      <t xml:space="preserve">Send if "shock" "Contains" "Population movement restrictions [e.g. due to epidemic or infrastructure damage]" if not satisfied go to </t>
    </r>
    <r>
      <rPr>
        <b/>
        <sz val="12"/>
        <color theme="4"/>
        <rFont val="Calibri (Body)"/>
      </rPr>
      <t>"crp_intro"</t>
    </r>
  </si>
  <si>
    <r>
      <t xml:space="preserve">Form Type - Checklist
</t>
    </r>
    <r>
      <rPr>
        <sz val="12"/>
        <rFont val="Calibri (Body)"/>
      </rPr>
      <t>10,11,12</t>
    </r>
    <r>
      <rPr>
        <sz val="12"/>
        <rFont val="Calibri"/>
        <family val="2"/>
        <scheme val="minor"/>
      </rPr>
      <t>= IsNone</t>
    </r>
  </si>
  <si>
    <r>
      <t>1-</t>
    </r>
    <r>
      <rPr>
        <sz val="12"/>
        <rFont val="Calibri (Body)"/>
      </rPr>
      <t>12</t>
    </r>
    <r>
      <rPr>
        <sz val="12"/>
        <rFont val="Calibri"/>
        <family val="2"/>
        <scheme val="minor"/>
      </rPr>
      <t xml:space="preserve"> = </t>
    </r>
    <r>
      <rPr>
        <b/>
        <sz val="12"/>
        <color theme="4"/>
        <rFont val="Calibri"/>
        <family val="2"/>
        <scheme val="minor"/>
      </rPr>
      <t>crp_intro</t>
    </r>
  </si>
  <si>
    <t>1)covid_goodstransp
2)covid_marketclosed
3)covid_borderclosed
4)covid_stayhome
5)covid_gatherings
6)covid_processclosed
7)covid_curfew
8)covid_school
9)covid_other
10)covid_none
11)covid_dk
12)covid_ref</t>
  </si>
  <si>
    <r>
      <rPr>
        <i/>
        <sz val="12"/>
        <rFont val="Calibri (Body)"/>
      </rPr>
      <t>Asked only if respondents report "Population movement restrictions [e.g. due to epidemic or infrastructure damage]" in question on shocks.</t>
    </r>
    <r>
      <rPr>
        <i/>
        <sz val="12"/>
        <color theme="4"/>
        <rFont val="Calibri (Body)"/>
      </rPr>
      <t xml:space="preserve"> </t>
    </r>
    <r>
      <rPr>
        <i/>
        <sz val="12"/>
        <rFont val="Calibri (Body)"/>
      </rPr>
      <t>Otherwise skip to</t>
    </r>
    <r>
      <rPr>
        <i/>
        <sz val="12"/>
        <color theme="4"/>
        <rFont val="Calibri (Body)"/>
      </rPr>
      <t xml:space="preserve"> crp_intro.</t>
    </r>
    <r>
      <rPr>
        <i/>
        <sz val="12"/>
        <rFont val="Calibri"/>
        <family val="2"/>
        <scheme val="minor"/>
      </rPr>
      <t xml:space="preserve">
</t>
    </r>
    <r>
      <rPr>
        <sz val="12"/>
        <rFont val="Calibri"/>
        <family val="2"/>
        <scheme val="minor"/>
      </rPr>
      <t>If covid = 1-</t>
    </r>
    <r>
      <rPr>
        <sz val="12"/>
        <rFont val="Calibri (Body)"/>
      </rPr>
      <t>12</t>
    </r>
    <r>
      <rPr>
        <sz val="12"/>
        <rFont val="Calibri"/>
        <family val="2"/>
        <scheme val="minor"/>
      </rPr>
      <t xml:space="preserve">, go to </t>
    </r>
    <r>
      <rPr>
        <b/>
        <sz val="12"/>
        <color theme="4"/>
        <rFont val="Calibri (Body)"/>
      </rPr>
      <t>crp_intro</t>
    </r>
  </si>
  <si>
    <t>D. CROP PRODUCTION</t>
  </si>
  <si>
    <t>crp_intro</t>
  </si>
  <si>
    <r>
      <t xml:space="preserve">We will now ask you some questions about crop production which apply to you and anyone in your household that is involved in crop production or sales. All questions refer to the crops grown during </t>
    </r>
    <r>
      <rPr>
        <b/>
        <sz val="12"/>
        <color rgb="FF7030A0"/>
        <rFont val="Calibri"/>
        <family val="2"/>
        <scheme val="minor"/>
      </rPr>
      <t>$season$</t>
    </r>
    <r>
      <rPr>
        <sz val="12"/>
        <rFont val="Calibri"/>
        <family val="2"/>
        <scheme val="minor"/>
      </rPr>
      <t>.
1)CONTINUE</t>
    </r>
  </si>
  <si>
    <t>Send if "hh_agricactivity" "Equals" "Yes - crop production" Or "hh_agricactivity" "Equals" "Yes - both crop and livestock production" Or "income_main_crop_check" "Equals" "YES" Or "income_sec_crop_check" "Equals" "YES" Or "income_third_crop_check" "Equals" "YES" if not satisfied go to "crp_salesmain"</t>
  </si>
  <si>
    <t>1 = crp_landsize_num</t>
  </si>
  <si>
    <r>
      <t xml:space="preserve">If </t>
    </r>
    <r>
      <rPr>
        <i/>
        <sz val="12"/>
        <rFont val="Calibri"/>
        <family val="2"/>
        <scheme val="minor"/>
      </rPr>
      <t>hh_agricactivity</t>
    </r>
    <r>
      <rPr>
        <sz val="12"/>
        <rFont val="Calibri"/>
        <family val="2"/>
        <scheme val="minor"/>
      </rPr>
      <t xml:space="preserve"> = "Yes - crop production" </t>
    </r>
    <r>
      <rPr>
        <u/>
        <sz val="12"/>
        <rFont val="Calibri"/>
        <family val="2"/>
        <scheme val="minor"/>
      </rPr>
      <t>or</t>
    </r>
    <r>
      <rPr>
        <sz val="12"/>
        <rFont val="Calibri"/>
        <family val="2"/>
        <scheme val="minor"/>
      </rPr>
      <t xml:space="preserve"> "Yes - both crop and livestock production" </t>
    </r>
    <r>
      <rPr>
        <u/>
        <sz val="12"/>
        <rFont val="Calibri"/>
        <family val="2"/>
        <scheme val="minor"/>
      </rPr>
      <t>or</t>
    </r>
    <r>
      <rPr>
        <sz val="12"/>
        <rFont val="Calibri"/>
        <family val="2"/>
        <scheme val="minor"/>
      </rPr>
      <t xml:space="preserve"> if they reported production and sales of crops in one of the three main income sources and confirmed that they are involved in production, then this section will be asked to respondents.
Otherwise, skip to </t>
    </r>
    <r>
      <rPr>
        <i/>
        <sz val="12"/>
        <rFont val="Calibri"/>
        <family val="2"/>
        <scheme val="minor"/>
      </rPr>
      <t>crp_salesmain</t>
    </r>
    <r>
      <rPr>
        <sz val="12"/>
        <rFont val="Calibri"/>
        <family val="2"/>
        <scheme val="minor"/>
      </rPr>
      <t xml:space="preserve">.
Next question is </t>
    </r>
    <r>
      <rPr>
        <i/>
        <sz val="12"/>
        <rFont val="Calibri (Body)"/>
      </rPr>
      <t>crp</t>
    </r>
    <r>
      <rPr>
        <i/>
        <sz val="12"/>
        <rFont val="Calibri"/>
        <family val="2"/>
        <scheme val="minor"/>
      </rPr>
      <t>_landsize_num</t>
    </r>
  </si>
  <si>
    <t>crp_landsize_num</t>
  </si>
  <si>
    <t>What is the total size of the land you can cultivate?
[OPERATOR: RECORD THE TOTAL LAND SIZE PROVIDED BY THE RESPONDENT. WRITE 8888888 FOR DON'T KNOW AND 9999999 FOR REFUSED. MEASUREMENT UNIT WILL BE SPECIFIED IN THE FOLLOWING QUESTION.]</t>
  </si>
  <si>
    <r>
      <t>0-1000000 =</t>
    </r>
    <r>
      <rPr>
        <i/>
        <sz val="12"/>
        <rFont val="Calibri"/>
        <family val="2"/>
        <scheme val="minor"/>
      </rPr>
      <t xml:space="preserve"> crp_landsize_unit
</t>
    </r>
    <r>
      <rPr>
        <sz val="12"/>
        <rFont val="Calibri"/>
        <family val="2"/>
        <scheme val="minor"/>
      </rPr>
      <t xml:space="preserve">8888888-8888888 = </t>
    </r>
    <r>
      <rPr>
        <i/>
        <sz val="12"/>
        <rFont val="Calibri"/>
        <family val="2"/>
        <scheme val="minor"/>
      </rPr>
      <t>crp_main</t>
    </r>
    <r>
      <rPr>
        <sz val="12"/>
        <rFont val="Calibri"/>
        <family val="2"/>
        <scheme val="minor"/>
      </rPr>
      <t xml:space="preserve">
9999999-9999999 = </t>
    </r>
    <r>
      <rPr>
        <i/>
        <sz val="12"/>
        <rFont val="Calibri"/>
        <family val="2"/>
        <scheme val="minor"/>
      </rPr>
      <t>crp_main</t>
    </r>
  </si>
  <si>
    <t>For any response, go to crp_landsize_unit. Range is between 0 and 1000000. For "Don't know" and "Refused", go to crp_main.</t>
  </si>
  <si>
    <t>crp_landsize_unit</t>
  </si>
  <si>
    <r>
      <t>Unit of measurement for land size: 
[OPERATOR: DO NOT READ. SINGLE RESPONSE.]
1)Acres
2)Hectares
3)Square meters
4)Square feet
5)</t>
    </r>
    <r>
      <rPr>
        <b/>
        <sz val="12"/>
        <color rgb="FF7030A0"/>
        <rFont val="Calibri"/>
        <family val="2"/>
        <scheme val="minor"/>
      </rPr>
      <t>$local measurement unit$</t>
    </r>
    <r>
      <rPr>
        <sz val="12"/>
        <rFont val="Calibri"/>
        <family val="2"/>
        <scheme val="minor"/>
      </rPr>
      <t xml:space="preserve">
</t>
    </r>
  </si>
  <si>
    <t>1-5 = crp_main</t>
  </si>
  <si>
    <t>if crp_landsize_unit = 1-5, go to crp_main</t>
  </si>
  <si>
    <t>crp_main</t>
  </si>
  <si>
    <r>
      <t xml:space="preserve">What is the main crop that your household grows for food </t>
    </r>
    <r>
      <rPr>
        <sz val="12"/>
        <rFont val="Calibri (Body)"/>
      </rPr>
      <t>or</t>
    </r>
    <r>
      <rPr>
        <sz val="12"/>
        <rFont val="Calibri"/>
        <family val="2"/>
        <scheme val="minor"/>
      </rPr>
      <t xml:space="preserve"> income generation in </t>
    </r>
    <r>
      <rPr>
        <b/>
        <sz val="12"/>
        <rFont val="Calibri"/>
        <family val="2"/>
        <scheme val="minor"/>
      </rPr>
      <t>$season$</t>
    </r>
    <r>
      <rPr>
        <sz val="12"/>
        <rFont val="Calibri"/>
        <family val="2"/>
        <scheme val="minor"/>
      </rPr>
      <t xml:space="preserve">, if any?
[OPERATOR: SINGLE RESPONSE. "NO CROP PRODUCTION" APPEARS AT THE END OF THE LIST OF OPTIONS.]
</t>
    </r>
    <r>
      <rPr>
        <b/>
        <sz val="12"/>
        <rFont val="Calibri"/>
        <family val="2"/>
        <scheme val="minor"/>
      </rPr>
      <t>$TEN MOST COMMON CROP$</t>
    </r>
  </si>
  <si>
    <t>Form Type - Dropdown
IsDemographic</t>
  </si>
  <si>
    <r>
      <rPr>
        <sz val="12"/>
        <color theme="4"/>
        <rFont val="Calibri"/>
        <family val="2"/>
        <scheme val="minor"/>
      </rPr>
      <t>1-90</t>
    </r>
    <r>
      <rPr>
        <sz val="12"/>
        <rFont val="Calibri"/>
        <family val="2"/>
        <scheme val="minor"/>
      </rPr>
      <t xml:space="preserve"> =</t>
    </r>
    <r>
      <rPr>
        <sz val="12"/>
        <color theme="4"/>
        <rFont val="Calibri"/>
        <family val="2"/>
        <scheme val="minor"/>
      </rPr>
      <t xml:space="preserve"> </t>
    </r>
    <r>
      <rPr>
        <sz val="12"/>
        <rFont val="Calibri"/>
        <family val="2"/>
        <scheme val="minor"/>
      </rPr>
      <t>crp_irrig</t>
    </r>
    <r>
      <rPr>
        <sz val="12"/>
        <rFont val="Calibri (Body)"/>
      </rPr>
      <t>_source</t>
    </r>
    <r>
      <rPr>
        <sz val="12"/>
        <color theme="4"/>
        <rFont val="Calibri"/>
        <family val="2"/>
        <scheme val="minor"/>
      </rPr>
      <t xml:space="preserve">
91 </t>
    </r>
    <r>
      <rPr>
        <sz val="12"/>
        <rFont val="Calibri"/>
        <family val="2"/>
        <scheme val="minor"/>
      </rPr>
      <t>= crp_main_check</t>
    </r>
    <r>
      <rPr>
        <sz val="12"/>
        <color theme="4"/>
        <rFont val="Calibri"/>
        <family val="2"/>
        <scheme val="minor"/>
      </rPr>
      <t xml:space="preserve">
92-93 </t>
    </r>
    <r>
      <rPr>
        <sz val="12"/>
        <rFont val="Calibri"/>
        <family val="2"/>
        <scheme val="minor"/>
      </rPr>
      <t>= crp_salesmain</t>
    </r>
  </si>
  <si>
    <t>$CROP CODES$</t>
  </si>
  <si>
    <r>
      <t>if crp_main = any type of crop, go to crp_irrig</t>
    </r>
    <r>
      <rPr>
        <sz val="11"/>
        <rFont val="Calibri (Body)"/>
      </rPr>
      <t>_source</t>
    </r>
    <r>
      <rPr>
        <sz val="11"/>
        <rFont val="Calibri"/>
        <family val="2"/>
        <scheme val="minor"/>
      </rPr>
      <t>;
if crp_main = "No crop production", go to crp_main_check
if crp_main = "Don't know" or "Refused", go to crp_salesmain</t>
    </r>
  </si>
  <si>
    <t>crp_main_check</t>
  </si>
  <si>
    <r>
      <t xml:space="preserve">Why did you not produce any crops in </t>
    </r>
    <r>
      <rPr>
        <b/>
        <sz val="12"/>
        <color rgb="FF7030A0"/>
        <rFont val="Calibri"/>
        <family val="2"/>
        <scheme val="minor"/>
      </rPr>
      <t>$season$</t>
    </r>
    <r>
      <rPr>
        <sz val="12"/>
        <rFont val="Calibri"/>
        <family val="2"/>
        <scheme val="minor"/>
      </rPr>
      <t>?
[OPERATOR: SINGLE RESPONSE.]
1)Don’t usually produce during this season 
2)Wasn't able to produce [e.g. due to difficulties]</t>
    </r>
  </si>
  <si>
    <t>1 = crp_salesmain
2 = crp_proddif</t>
  </si>
  <si>
    <t>if crp_main_check = 1, go to crp_salesmain
if crp_main_check = 2, go to crp_proddif</t>
  </si>
  <si>
    <r>
      <t>crp_irrig</t>
    </r>
    <r>
      <rPr>
        <b/>
        <sz val="12"/>
        <rFont val="Calibri (Body)"/>
      </rPr>
      <t>_source</t>
    </r>
  </si>
  <si>
    <r>
      <t>crp_irrig</t>
    </r>
    <r>
      <rPr>
        <sz val="12"/>
        <rFont val="Calibri (Body)"/>
      </rPr>
      <t>_source</t>
    </r>
  </si>
  <si>
    <r>
      <rPr>
        <sz val="12"/>
        <rFont val="Calibri (Body)"/>
      </rPr>
      <t>Where do you normally and mainly obtain water for the production of</t>
    </r>
    <r>
      <rPr>
        <sz val="12"/>
        <rFont val="Calibri"/>
        <family val="2"/>
        <scheme val="minor"/>
      </rPr>
      <t xml:space="preserve"> {crp_main}? 
[OPERATOR: SINGLE RESPONSE.]
1)Rainfed
</t>
    </r>
    <r>
      <rPr>
        <sz val="12"/>
        <rFont val="Calibri (Body)"/>
      </rPr>
      <t>2)Groundwater
3)Natural surface water [river / lake / stream / pond / etc.]
4)Constructed water point [canal / dam / etc.]
5)Public water supply system [e.g. tap water]</t>
    </r>
    <r>
      <rPr>
        <sz val="12"/>
        <rFont val="Calibri"/>
        <family val="2"/>
        <scheme val="minor"/>
      </rPr>
      <t xml:space="preserve">
</t>
    </r>
    <r>
      <rPr>
        <sz val="12"/>
        <rFont val="Calibri (Body)"/>
      </rPr>
      <t>6</t>
    </r>
    <r>
      <rPr>
        <sz val="12"/>
        <rFont val="Calibri"/>
        <family val="2"/>
        <scheme val="minor"/>
      </rPr>
      <t xml:space="preserve">)Other [specify]
</t>
    </r>
    <r>
      <rPr>
        <sz val="12"/>
        <rFont val="Calibri (Body)"/>
      </rPr>
      <t>7</t>
    </r>
    <r>
      <rPr>
        <sz val="12"/>
        <rFont val="Calibri"/>
        <family val="2"/>
        <scheme val="minor"/>
      </rPr>
      <t xml:space="preserve">)DON'T KNOW
</t>
    </r>
    <r>
      <rPr>
        <sz val="12"/>
        <rFont val="Calibri (Body)"/>
      </rPr>
      <t>8</t>
    </r>
    <r>
      <rPr>
        <sz val="12"/>
        <rFont val="Calibri"/>
        <family val="2"/>
        <scheme val="minor"/>
      </rPr>
      <t>)REFUSED</t>
    </r>
  </si>
  <si>
    <r>
      <t>1-</t>
    </r>
    <r>
      <rPr>
        <sz val="12"/>
        <rFont val="Calibri (Body)"/>
      </rPr>
      <t>8</t>
    </r>
    <r>
      <rPr>
        <sz val="12"/>
        <rFont val="Calibri"/>
        <family val="2"/>
        <scheme val="minor"/>
      </rPr>
      <t xml:space="preserve"> = </t>
    </r>
    <r>
      <rPr>
        <sz val="12"/>
        <color theme="4"/>
        <rFont val="Calibri"/>
        <family val="2"/>
        <scheme val="minor"/>
      </rPr>
      <t>crp_area_change OR optional question</t>
    </r>
  </si>
  <si>
    <r>
      <rPr>
        <sz val="11"/>
        <rFont val="Calibri"/>
        <family val="2"/>
        <scheme val="minor"/>
      </rPr>
      <t xml:space="preserve">if </t>
    </r>
    <r>
      <rPr>
        <sz val="11"/>
        <rFont val="Calibri (Body)"/>
      </rPr>
      <t>crp_irrig_source = 1-8</t>
    </r>
    <r>
      <rPr>
        <sz val="11"/>
        <rFont val="Calibri"/>
        <family val="2"/>
        <scheme val="minor"/>
      </rPr>
      <t xml:space="preserve">, </t>
    </r>
    <r>
      <rPr>
        <sz val="11"/>
        <color theme="1"/>
        <rFont val="Calibri"/>
        <family val="2"/>
        <scheme val="minor"/>
      </rPr>
      <t>go to</t>
    </r>
    <r>
      <rPr>
        <sz val="11"/>
        <color theme="4"/>
        <rFont val="Calibri"/>
        <family val="2"/>
        <scheme val="minor"/>
      </rPr>
      <t xml:space="preserve"> [crp_area_change or optional question]</t>
    </r>
  </si>
  <si>
    <t>crp_irrig_system</t>
  </si>
  <si>
    <t>Do you [your community] use a pump for your own [the communal] irrigation system?
[OPERATOR: SINGLE RESPONSE.]
1)No, everything works on gravity
2)Yes, there is a communal diesel/gas pump
3)Yes, there is a communal manual pump
4)Yes, there is a manual pump in my field
5)Yes, there is a diesel pump in my field
6)DON'T KNOW
7)REFUSED</t>
  </si>
  <si>
    <r>
      <rPr>
        <sz val="12"/>
        <rFont val="Calibri (Body)"/>
      </rPr>
      <t xml:space="preserve">Send if "crp_irrig_source" "Equals" "Groundwater" Or "crp_irrig_source" "Equals" "Natural surface water [river / lake / stream / pond / etc.]" Or "crp_irrig_source" "Equals" "Constructed water point [canal / dam / etc.]" Or "crp_irrig_source" "Equals" "Public water supply system [e.g. tap water]" Or "crp_irrig_source" "Equals" "Other [specify]" if not satisfied go to </t>
    </r>
    <r>
      <rPr>
        <sz val="12"/>
        <color theme="4"/>
        <rFont val="Calibri (Body)"/>
      </rPr>
      <t>"crp_area_change"</t>
    </r>
  </si>
  <si>
    <r>
      <t>1-</t>
    </r>
    <r>
      <rPr>
        <sz val="12"/>
        <rFont val="Calibri (Body)"/>
      </rPr>
      <t>7</t>
    </r>
    <r>
      <rPr>
        <sz val="12"/>
        <rFont val="Calibri"/>
        <family val="2"/>
        <scheme val="minor"/>
      </rPr>
      <t xml:space="preserve"> =</t>
    </r>
    <r>
      <rPr>
        <sz val="12"/>
        <color rgb="FFFF0000"/>
        <rFont val="Calibri"/>
        <family val="2"/>
        <scheme val="minor"/>
      </rPr>
      <t xml:space="preserve"> </t>
    </r>
    <r>
      <rPr>
        <sz val="12"/>
        <color theme="4"/>
        <rFont val="Calibri"/>
        <family val="2"/>
        <scheme val="minor"/>
      </rPr>
      <t>crp_area_change OR optional question</t>
    </r>
  </si>
  <si>
    <r>
      <rPr>
        <sz val="11"/>
        <rFont val="Calibri"/>
        <family val="2"/>
        <scheme val="minor"/>
      </rPr>
      <t xml:space="preserve">if </t>
    </r>
    <r>
      <rPr>
        <sz val="11"/>
        <rFont val="Calibri (Body)"/>
      </rPr>
      <t>crp_irrig_system = 1-7</t>
    </r>
    <r>
      <rPr>
        <sz val="11"/>
        <rFont val="Calibri"/>
        <family val="2"/>
        <scheme val="minor"/>
      </rPr>
      <t xml:space="preserve">, go to </t>
    </r>
    <r>
      <rPr>
        <sz val="11"/>
        <color theme="4"/>
        <rFont val="Calibri"/>
        <family val="2"/>
        <scheme val="minor"/>
      </rPr>
      <t>[crp_area_change or optional question]</t>
    </r>
  </si>
  <si>
    <t>crp_irrig_pay</t>
  </si>
  <si>
    <t>Do you have to pay for water rights [e.g. water rights, communal infrastructure maintenance, gas for communal pump, etc.]? 
[OPERATOR: SINGLE RESPONSE.]
1)YES
2)NO
3)DON'T KNOW
4)REFUSED</t>
  </si>
  <si>
    <r>
      <rPr>
        <sz val="12"/>
        <rFont val="Calibri (Body)"/>
      </rPr>
      <t xml:space="preserve">1-4 = </t>
    </r>
    <r>
      <rPr>
        <sz val="12"/>
        <color theme="4"/>
        <rFont val="Calibri"/>
        <family val="2"/>
        <scheme val="minor"/>
      </rPr>
      <t>crp_area_change OR optional question</t>
    </r>
  </si>
  <si>
    <r>
      <rPr>
        <sz val="11"/>
        <rFont val="Calibri"/>
        <family val="2"/>
        <scheme val="minor"/>
      </rPr>
      <t xml:space="preserve">if </t>
    </r>
    <r>
      <rPr>
        <sz val="11"/>
        <rFont val="Calibri (Body)"/>
      </rPr>
      <t>crp_irrig_pay = 1-4</t>
    </r>
    <r>
      <rPr>
        <sz val="11"/>
        <rFont val="Calibri"/>
        <family val="2"/>
        <scheme val="minor"/>
      </rPr>
      <t>, go to</t>
    </r>
    <r>
      <rPr>
        <sz val="11"/>
        <color rgb="FFFF0000"/>
        <rFont val="Calibri"/>
        <family val="2"/>
        <scheme val="minor"/>
      </rPr>
      <t xml:space="preserve"> </t>
    </r>
    <r>
      <rPr>
        <sz val="11"/>
        <color theme="4"/>
        <rFont val="Calibri"/>
        <family val="2"/>
        <scheme val="minor"/>
      </rPr>
      <t>[crp_area_change or optional question]</t>
    </r>
  </si>
  <si>
    <t>crp_seed_supply</t>
  </si>
  <si>
    <r>
      <t>crp_seed_supply
1) crp_seed_ownprod
2) crp_seed_market
3) crp_seed_company
4) crp_seed_</t>
    </r>
    <r>
      <rPr>
        <sz val="12"/>
        <rFont val="Calibri (Body)"/>
      </rPr>
      <t>ngo</t>
    </r>
    <r>
      <rPr>
        <sz val="12"/>
        <rFont val="Calibri"/>
        <family val="2"/>
        <scheme val="minor"/>
      </rPr>
      <t xml:space="preserve">
5) crp_seed_organized_</t>
    </r>
    <r>
      <rPr>
        <sz val="12"/>
        <rFont val="Calibri (Body)"/>
      </rPr>
      <t>community</t>
    </r>
    <r>
      <rPr>
        <sz val="12"/>
        <rFont val="Calibri"/>
        <family val="2"/>
        <scheme val="minor"/>
      </rPr>
      <t xml:space="preserve">
6) crp_seed_gov
</t>
    </r>
    <r>
      <rPr>
        <sz val="12"/>
        <rFont val="Calibri (Body)"/>
      </rPr>
      <t xml:space="preserve">7) crp_seed_relatives_friends
8) </t>
    </r>
    <r>
      <rPr>
        <sz val="12"/>
        <rFont val="Calibri"/>
        <family val="2"/>
        <scheme val="minor"/>
      </rPr>
      <t xml:space="preserve">crp_seed_other
</t>
    </r>
    <r>
      <rPr>
        <sz val="12"/>
        <rFont val="Calibri (Body)"/>
      </rPr>
      <t>9)</t>
    </r>
    <r>
      <rPr>
        <sz val="12"/>
        <rFont val="Calibri"/>
        <family val="2"/>
        <scheme val="minor"/>
      </rPr>
      <t xml:space="preserve"> crp_seed_dk
</t>
    </r>
    <r>
      <rPr>
        <sz val="12"/>
        <rFont val="Calibri (Body)"/>
      </rPr>
      <t>10)</t>
    </r>
    <r>
      <rPr>
        <sz val="12"/>
        <rFont val="Calibri"/>
        <family val="2"/>
        <scheme val="minor"/>
      </rPr>
      <t xml:space="preserve"> crp_seed_ref</t>
    </r>
  </si>
  <si>
    <r>
      <rPr>
        <sz val="12"/>
        <color rgb="FF000000"/>
        <rFont val="Calibri"/>
        <family val="2"/>
        <scheme val="minor"/>
      </rPr>
      <t>Who</t>
    </r>
    <r>
      <rPr>
        <sz val="12"/>
        <color rgb="FF000000"/>
        <rFont val="Calibri"/>
        <family val="2"/>
        <scheme val="minor"/>
      </rPr>
      <t xml:space="preserve"> do you normally procure your seeds </t>
    </r>
    <r>
      <rPr>
        <sz val="12"/>
        <color rgb="FF000000"/>
        <rFont val="Calibri"/>
        <family val="2"/>
      </rPr>
      <t>from</t>
    </r>
    <r>
      <rPr>
        <sz val="12"/>
        <color rgb="FF000000"/>
        <rFont val="Calibri"/>
        <family val="2"/>
        <scheme val="minor"/>
      </rPr>
      <t>? 
[OPERATOR: MULTIPLE RESPONSES POSSIBLE.]
1)Own production
2)</t>
    </r>
    <r>
      <rPr>
        <sz val="12"/>
        <color rgb="FF000000"/>
        <rFont val="Calibri"/>
        <family val="2"/>
      </rPr>
      <t xml:space="preserve">Local </t>
    </r>
    <r>
      <rPr>
        <sz val="12"/>
        <color rgb="FF000000"/>
        <rFont val="Calibri"/>
        <family val="2"/>
        <scheme val="minor"/>
      </rPr>
      <t>market or agro-input shop/dealer
3)</t>
    </r>
    <r>
      <rPr>
        <sz val="12"/>
        <color rgb="FF000000"/>
        <rFont val="Calibri"/>
        <family val="2"/>
      </rPr>
      <t xml:space="preserve">Private </t>
    </r>
    <r>
      <rPr>
        <sz val="12"/>
        <color rgb="FF000000"/>
        <rFont val="Calibri"/>
        <family val="2"/>
        <scheme val="minor"/>
      </rPr>
      <t>seed company
4)</t>
    </r>
    <r>
      <rPr>
        <sz val="12"/>
        <color rgb="FF000000"/>
        <rFont val="Calibri"/>
        <family val="2"/>
      </rPr>
      <t xml:space="preserve">NGOs
</t>
    </r>
    <r>
      <rPr>
        <sz val="12"/>
        <color rgb="FF000000"/>
        <rFont val="Calibri"/>
        <family val="2"/>
        <scheme val="minor"/>
      </rPr>
      <t xml:space="preserve">5)Community seed banks / farmer networks / </t>
    </r>
    <r>
      <rPr>
        <sz val="12"/>
        <color rgb="FF000000"/>
        <rFont val="Calibri"/>
        <family val="2"/>
      </rPr>
      <t xml:space="preserve">farmers' association / </t>
    </r>
    <r>
      <rPr>
        <sz val="12"/>
        <color rgb="FF000000"/>
        <rFont val="Calibri"/>
        <family val="2"/>
        <scheme val="minor"/>
      </rPr>
      <t xml:space="preserve">etc.
6)Government [e.g. MoA]
</t>
    </r>
    <r>
      <rPr>
        <sz val="12"/>
        <color rgb="FF000000"/>
        <rFont val="Calibri"/>
        <family val="2"/>
        <scheme val="minor"/>
      </rPr>
      <t>7)Relatives or friends
8</t>
    </r>
    <r>
      <rPr>
        <sz val="12"/>
        <color rgb="FF000000"/>
        <rFont val="Calibri"/>
        <family val="2"/>
        <scheme val="minor"/>
      </rPr>
      <t xml:space="preserve">)Other
</t>
    </r>
    <r>
      <rPr>
        <sz val="12"/>
        <color rgb="FF000000"/>
        <rFont val="Calibri"/>
        <family val="2"/>
        <scheme val="minor"/>
      </rPr>
      <t>9</t>
    </r>
    <r>
      <rPr>
        <sz val="12"/>
        <color rgb="FF000000"/>
        <rFont val="Calibri"/>
        <family val="2"/>
        <scheme val="minor"/>
      </rPr>
      <t xml:space="preserve">)DON'T KNOW
</t>
    </r>
    <r>
      <rPr>
        <sz val="12"/>
        <color rgb="FF000000"/>
        <rFont val="Calibri"/>
        <family val="2"/>
        <scheme val="minor"/>
      </rPr>
      <t>10</t>
    </r>
    <r>
      <rPr>
        <sz val="12"/>
        <color rgb="FF000000"/>
        <rFont val="Calibri"/>
        <family val="2"/>
        <scheme val="minor"/>
      </rPr>
      <t>)REFUSED</t>
    </r>
  </si>
  <si>
    <t xml:space="preserve">Select All That Apply </t>
  </si>
  <si>
    <r>
      <t>Form Type - Checklist
9</t>
    </r>
    <r>
      <rPr>
        <sz val="12"/>
        <rFont val="Calibri (Body)"/>
      </rPr>
      <t>,10</t>
    </r>
    <r>
      <rPr>
        <sz val="12"/>
        <rFont val="Calibri"/>
        <family val="2"/>
        <scheme val="minor"/>
      </rPr>
      <t xml:space="preserve"> = IsNone</t>
    </r>
  </si>
  <si>
    <r>
      <t>1-</t>
    </r>
    <r>
      <rPr>
        <sz val="12"/>
        <rFont val="Calibri (Body)"/>
      </rPr>
      <t>10</t>
    </r>
    <r>
      <rPr>
        <sz val="12"/>
        <rFont val="Calibri"/>
        <family val="2"/>
        <scheme val="minor"/>
      </rPr>
      <t xml:space="preserve"> = </t>
    </r>
    <r>
      <rPr>
        <sz val="12"/>
        <color theme="4"/>
        <rFont val="Calibri"/>
        <family val="2"/>
        <scheme val="minor"/>
      </rPr>
      <t>crp_area_change</t>
    </r>
  </si>
  <si>
    <t>1)crp_seed_ownprod
2)crp_seed_market
3)crp_seed_company
4)crp_seed_ngo
5)crp_seed_organized_community
6)crp_seed_gov
7)crp_seed_relatives_friends
8)crp_seed_other
9)crp_seed_dk
10)crp_seed_ref</t>
  </si>
  <si>
    <r>
      <t>if crp_seed_supply = 1-</t>
    </r>
    <r>
      <rPr>
        <i/>
        <sz val="12"/>
        <rFont val="Calibri (Body)"/>
      </rPr>
      <t>10</t>
    </r>
    <r>
      <rPr>
        <i/>
        <sz val="12"/>
        <rFont val="Calibri"/>
        <family val="2"/>
        <scheme val="minor"/>
      </rPr>
      <t xml:space="preserve">, go to </t>
    </r>
    <r>
      <rPr>
        <i/>
        <sz val="12"/>
        <color theme="4"/>
        <rFont val="Calibri (Body)"/>
      </rPr>
      <t>crp_area_change</t>
    </r>
  </si>
  <si>
    <t>crp_area_change</t>
  </si>
  <si>
    <r>
      <t xml:space="preserve">How did the </t>
    </r>
    <r>
      <rPr>
        <b/>
        <sz val="12"/>
        <rFont val="Calibri"/>
        <family val="2"/>
        <scheme val="minor"/>
      </rPr>
      <t>area planted</t>
    </r>
    <r>
      <rPr>
        <sz val="12"/>
        <rFont val="Calibri"/>
        <family val="2"/>
        <scheme val="minor"/>
      </rPr>
      <t xml:space="preserve"> for {crp_main} from </t>
    </r>
    <r>
      <rPr>
        <b/>
        <sz val="12"/>
        <color rgb="FF7030A0"/>
        <rFont val="Calibri"/>
        <family val="2"/>
        <scheme val="minor"/>
      </rPr>
      <t>$season$</t>
    </r>
    <r>
      <rPr>
        <sz val="12"/>
        <rFont val="Calibri"/>
        <family val="2"/>
        <scheme val="minor"/>
      </rPr>
      <t xml:space="preserve"> compare to </t>
    </r>
    <r>
      <rPr>
        <b/>
        <sz val="12"/>
        <color rgb="FF7030A0"/>
        <rFont val="Calibri (Body)"/>
      </rPr>
      <t>$reference year$</t>
    </r>
    <r>
      <rPr>
        <sz val="12"/>
        <rFont val="Calibri"/>
        <family val="2"/>
        <scheme val="minor"/>
      </rPr>
      <t>?
[OPERATOR: SINGLE RESPONSE.]
1)A lot more [increased by more than 50%]
2)Slightly more
3)Same
4)Slightly less
5)A lot less [less than half as much]
6)DON'T KNOW
7)REFUSED</t>
    </r>
  </si>
  <si>
    <t>1-7 = crp_harv_change</t>
  </si>
  <si>
    <r>
      <t xml:space="preserve">if </t>
    </r>
    <r>
      <rPr>
        <i/>
        <sz val="12"/>
        <rFont val="Calibri"/>
        <family val="2"/>
        <scheme val="minor"/>
      </rPr>
      <t xml:space="preserve">crp_area_change </t>
    </r>
    <r>
      <rPr>
        <sz val="12"/>
        <rFont val="Calibri"/>
        <family val="2"/>
        <scheme val="minor"/>
      </rPr>
      <t xml:space="preserve">= 1-7, go to </t>
    </r>
    <r>
      <rPr>
        <i/>
        <sz val="12"/>
        <rFont val="Calibri"/>
        <family val="2"/>
        <scheme val="minor"/>
      </rPr>
      <t>crp_harv_change</t>
    </r>
  </si>
  <si>
    <t>crp_harv_change</t>
  </si>
  <si>
    <r>
      <t xml:space="preserve">How does the </t>
    </r>
    <r>
      <rPr>
        <b/>
        <sz val="12"/>
        <color rgb="FF7030A0"/>
        <rFont val="Calibri"/>
        <family val="2"/>
        <scheme val="minor"/>
      </rPr>
      <t>$expected or nothing$</t>
    </r>
    <r>
      <rPr>
        <b/>
        <sz val="12"/>
        <rFont val="Calibri"/>
        <family val="2"/>
        <scheme val="minor"/>
      </rPr>
      <t xml:space="preserve"> harvest</t>
    </r>
    <r>
      <rPr>
        <sz val="12"/>
        <rFont val="Calibri"/>
        <family val="2"/>
        <scheme val="minor"/>
      </rPr>
      <t xml:space="preserve"> of {crp_main} in the</t>
    </r>
    <r>
      <rPr>
        <b/>
        <sz val="12"/>
        <color rgb="FF7030A0"/>
        <rFont val="Calibri"/>
        <family val="2"/>
        <scheme val="minor"/>
      </rPr>
      <t xml:space="preserve"> $season$</t>
    </r>
    <r>
      <rPr>
        <sz val="12"/>
        <rFont val="Calibri"/>
        <family val="2"/>
        <scheme val="minor"/>
      </rPr>
      <t xml:space="preserve"> compare to </t>
    </r>
    <r>
      <rPr>
        <b/>
        <sz val="12"/>
        <color rgb="FF7030A0"/>
        <rFont val="Calibri (Body)"/>
      </rPr>
      <t>$reference year$</t>
    </r>
    <r>
      <rPr>
        <sz val="12"/>
        <rFont val="Calibri"/>
        <family val="2"/>
        <scheme val="minor"/>
      </rPr>
      <t>? 
[OPERATOR: SINGLE RESPONSE.]
1)A lot more [increased by more than 50%]
2)Slightly more
3)Same
4)Slightly less
5)A lot less [less than half as much]
6)DON'T KNOW
7)REFUSED</t>
    </r>
  </si>
  <si>
    <r>
      <t xml:space="preserve">1-7 = </t>
    </r>
    <r>
      <rPr>
        <sz val="12"/>
        <color theme="4"/>
        <rFont val="Calibri"/>
        <family val="2"/>
        <scheme val="minor"/>
      </rPr>
      <t>crp_proddif OR crp_harv_vol</t>
    </r>
  </si>
  <si>
    <r>
      <t>if crp_harv_change = 1-7, go to</t>
    </r>
    <r>
      <rPr>
        <sz val="12"/>
        <color theme="4"/>
        <rFont val="Calibri"/>
        <family val="2"/>
        <scheme val="minor"/>
      </rPr>
      <t xml:space="preserve"> [crp_proddif or crp_harv_vol]</t>
    </r>
  </si>
  <si>
    <t>crp_harv_vol</t>
  </si>
  <si>
    <r>
      <t xml:space="preserve">How much [threshed] {crp_main} </t>
    </r>
    <r>
      <rPr>
        <sz val="12"/>
        <color theme="1"/>
        <rFont val="Calibri"/>
        <family val="2"/>
        <scheme val="minor"/>
      </rPr>
      <t xml:space="preserve">did you </t>
    </r>
    <r>
      <rPr>
        <sz val="12"/>
        <rFont val="Calibri"/>
        <family val="2"/>
        <scheme val="minor"/>
      </rPr>
      <t>harvest this</t>
    </r>
    <r>
      <rPr>
        <b/>
        <sz val="12"/>
        <color rgb="FF7030A0"/>
        <rFont val="Calibri"/>
        <family val="2"/>
        <scheme val="minor"/>
      </rPr>
      <t xml:space="preserve"> $season$</t>
    </r>
    <r>
      <rPr>
        <sz val="12"/>
        <rFont val="Calibri"/>
        <family val="2"/>
        <scheme val="minor"/>
      </rPr>
      <t>?</t>
    </r>
    <r>
      <rPr>
        <b/>
        <sz val="12"/>
        <rFont val="Calibri"/>
        <family val="2"/>
        <scheme val="minor"/>
      </rPr>
      <t xml:space="preserve">
</t>
    </r>
    <r>
      <rPr>
        <sz val="12"/>
        <rFont val="Calibri"/>
        <family val="2"/>
        <scheme val="minor"/>
      </rPr>
      <t xml:space="preserve">
[OPERATOR: RECORD THE RESPONSE GIVEN. UNIT OF MEASUREMENT TO BE SPECIFIED IN NEXT QUESTION. ENTER </t>
    </r>
    <r>
      <rPr>
        <b/>
        <sz val="12"/>
        <rFont val="Calibri"/>
        <family val="2"/>
        <scheme val="minor"/>
      </rPr>
      <t>8888888</t>
    </r>
    <r>
      <rPr>
        <sz val="12"/>
        <rFont val="Calibri"/>
        <family val="2"/>
        <scheme val="minor"/>
      </rPr>
      <t xml:space="preserve"> FOR DON'T KNOW &amp; </t>
    </r>
    <r>
      <rPr>
        <b/>
        <sz val="12"/>
        <rFont val="Calibri"/>
        <family val="2"/>
        <scheme val="minor"/>
      </rPr>
      <t>9999999</t>
    </r>
    <r>
      <rPr>
        <sz val="12"/>
        <rFont val="Calibri"/>
        <family val="2"/>
        <scheme val="minor"/>
      </rPr>
      <t xml:space="preserve"> FOR REFUSED, TO BE USED RARELY - PROBE!]</t>
    </r>
  </si>
  <si>
    <t>1-1000000 = crp_harv_unit
8888888-8888888 =  crp_proddif
9999999-9999999 =  crp_proddif</t>
  </si>
  <si>
    <r>
      <t xml:space="preserve">For any response, go to crp_harv_unit. For "Don't know" or "Refused", go to </t>
    </r>
    <r>
      <rPr>
        <sz val="12"/>
        <color theme="4"/>
        <rFont val="Calibri"/>
        <family val="2"/>
        <scheme val="minor"/>
      </rPr>
      <t>crp_proddif</t>
    </r>
  </si>
  <si>
    <t xml:space="preserve">Keep this block of questions together, if used.
</t>
  </si>
  <si>
    <t>crp_harv_unit</t>
  </si>
  <si>
    <t>Unit of measurement for harvested {crp_main} :
[OPERATOR: SINGLE SELECTION]
1)Kilograms [kgs]
2)Tonnes
3)Ounces
4)Pounds
5)Bags
6)Boxes
7)Bundles
8)Packets
9)Other [specify]</t>
  </si>
  <si>
    <r>
      <rPr>
        <sz val="12"/>
        <rFont val="Calibri (Body)"/>
      </rPr>
      <t xml:space="preserve">Open Ended - </t>
    </r>
    <r>
      <rPr>
        <sz val="12"/>
        <rFont val="Calibri"/>
        <family val="2"/>
        <scheme val="minor"/>
      </rPr>
      <t>Single Choice</t>
    </r>
  </si>
  <si>
    <t>Form Type - RadioList
IsDemographic</t>
  </si>
  <si>
    <t>1-4 = crp_harv_lastyr
5-9 = crp_harv_unit_kg</t>
  </si>
  <si>
    <t>If crp_harv_unit = 1-4, go to crp_harv_lastyr
If crp_harv_unit = 5-9, go to crp_harv_unit_kg</t>
  </si>
  <si>
    <t>crp_harv_unit_kg</t>
  </si>
  <si>
    <r>
      <t xml:space="preserve">How many kilograms [kgs] in each unit?
[OPERATOR: RECORD THE AMOUNT GIVEN. ENTER </t>
    </r>
    <r>
      <rPr>
        <b/>
        <sz val="12"/>
        <rFont val="Calibri"/>
        <family val="2"/>
        <scheme val="minor"/>
      </rPr>
      <t>88888</t>
    </r>
    <r>
      <rPr>
        <sz val="12"/>
        <rFont val="Calibri"/>
        <family val="2"/>
        <scheme val="minor"/>
      </rPr>
      <t xml:space="preserve"> FOR DON'T KNOW &amp; </t>
    </r>
    <r>
      <rPr>
        <b/>
        <sz val="12"/>
        <rFont val="Calibri"/>
        <family val="2"/>
        <scheme val="minor"/>
      </rPr>
      <t>99999</t>
    </r>
    <r>
      <rPr>
        <sz val="12"/>
        <rFont val="Calibri"/>
        <family val="2"/>
        <scheme val="minor"/>
      </rPr>
      <t xml:space="preserve"> FOR REFUSED]</t>
    </r>
  </si>
  <si>
    <r>
      <t xml:space="preserve">1-10000 = </t>
    </r>
    <r>
      <rPr>
        <sz val="12"/>
        <color theme="4"/>
        <rFont val="Calibri (Body)"/>
      </rPr>
      <t>crp_harv_lastyr</t>
    </r>
    <r>
      <rPr>
        <sz val="12"/>
        <rFont val="Calibri"/>
        <family val="2"/>
        <scheme val="minor"/>
      </rPr>
      <t xml:space="preserve">
88888-88888 =  </t>
    </r>
    <r>
      <rPr>
        <sz val="12"/>
        <color theme="4"/>
        <rFont val="Calibri (Body)"/>
      </rPr>
      <t>crp_harv_lastyr</t>
    </r>
    <r>
      <rPr>
        <sz val="12"/>
        <rFont val="Calibri"/>
        <family val="2"/>
        <scheme val="minor"/>
      </rPr>
      <t xml:space="preserve">
99999-99999 =  </t>
    </r>
    <r>
      <rPr>
        <sz val="12"/>
        <color theme="4"/>
        <rFont val="Calibri (Body)"/>
      </rPr>
      <t>crp_harv_lastyr</t>
    </r>
  </si>
  <si>
    <r>
      <t xml:space="preserve">For any response, go to </t>
    </r>
    <r>
      <rPr>
        <sz val="12"/>
        <color theme="4"/>
        <rFont val="Calibri (Body)"/>
      </rPr>
      <t>crp_harv_lastyr</t>
    </r>
  </si>
  <si>
    <t>crp_harv_lastyr</t>
  </si>
  <si>
    <t>How many {crp_harv_unit} of [threshed] {crp_main} did you harvest last year during the same season?
[OPERATOR: RECORD THE RESPONSE GIVEN. ENTER 8888888 FOR DON'T KNOW &amp; 9999999 FOR REFUSED, TO BE USED RARELY - PROBE!]</t>
  </si>
  <si>
    <r>
      <t>1-1000000 =</t>
    </r>
    <r>
      <rPr>
        <sz val="12"/>
        <color theme="4"/>
        <rFont val="Calibri"/>
        <family val="2"/>
        <scheme val="minor"/>
      </rPr>
      <t xml:space="preserve"> crp_proddif</t>
    </r>
    <r>
      <rPr>
        <sz val="12"/>
        <rFont val="Calibri"/>
        <family val="2"/>
        <scheme val="minor"/>
      </rPr>
      <t xml:space="preserve">
8888888-8888888 = </t>
    </r>
    <r>
      <rPr>
        <sz val="12"/>
        <color theme="4"/>
        <rFont val="Calibri"/>
        <family val="2"/>
        <scheme val="minor"/>
      </rPr>
      <t>crp_proddif</t>
    </r>
    <r>
      <rPr>
        <sz val="12"/>
        <rFont val="Calibri"/>
        <family val="2"/>
        <scheme val="minor"/>
      </rPr>
      <t xml:space="preserve">
9999999-9999999 = </t>
    </r>
    <r>
      <rPr>
        <sz val="12"/>
        <color theme="4"/>
        <rFont val="Calibri"/>
        <family val="2"/>
        <scheme val="minor"/>
      </rPr>
      <t>crp_proddif</t>
    </r>
  </si>
  <si>
    <r>
      <t xml:space="preserve">For any response, go to </t>
    </r>
    <r>
      <rPr>
        <sz val="12"/>
        <color theme="4"/>
        <rFont val="Calibri"/>
        <family val="2"/>
        <scheme val="minor"/>
      </rPr>
      <t>crp_proddif</t>
    </r>
  </si>
  <si>
    <t>crp_proddif</t>
  </si>
  <si>
    <r>
      <t xml:space="preserve">Has your household faced any </t>
    </r>
    <r>
      <rPr>
        <sz val="12"/>
        <rFont val="Calibri (Body)"/>
      </rPr>
      <t>significant</t>
    </r>
    <r>
      <rPr>
        <sz val="12"/>
        <rFont val="Calibri"/>
        <family val="2"/>
        <scheme val="minor"/>
      </rPr>
      <t xml:space="preserve"> difficulty </t>
    </r>
    <r>
      <rPr>
        <b/>
        <sz val="12"/>
        <rFont val="Calibri"/>
        <family val="2"/>
        <scheme val="minor"/>
      </rPr>
      <t xml:space="preserve">in terms of crop production </t>
    </r>
    <r>
      <rPr>
        <sz val="12"/>
        <rFont val="Calibri"/>
        <family val="2"/>
        <scheme val="minor"/>
      </rPr>
      <t xml:space="preserve">in </t>
    </r>
    <r>
      <rPr>
        <b/>
        <sz val="12"/>
        <color rgb="FF7030A0"/>
        <rFont val="Calibri"/>
        <family val="2"/>
        <scheme val="minor"/>
      </rPr>
      <t>$season$</t>
    </r>
    <r>
      <rPr>
        <sz val="12"/>
        <rFont val="Calibri"/>
        <family val="2"/>
        <scheme val="minor"/>
      </rPr>
      <t>?
[OPERATOR: SINGLE RESPONSE.]
1)YES
2)NO
3)DON'T KNOW
4)REFUSED</t>
    </r>
  </si>
  <si>
    <r>
      <t>1 = crp_proddif_2
2-4 = [</t>
    </r>
    <r>
      <rPr>
        <sz val="12"/>
        <color theme="4"/>
        <rFont val="Calibri"/>
        <family val="2"/>
        <scheme val="minor"/>
      </rPr>
      <t>crp_salesm</t>
    </r>
    <r>
      <rPr>
        <sz val="12"/>
        <color theme="4"/>
        <rFont val="Calibri (Body)"/>
      </rPr>
      <t xml:space="preserve">ain or </t>
    </r>
    <r>
      <rPr>
        <sz val="12"/>
        <color theme="4"/>
        <rFont val="Calibri"/>
        <family val="2"/>
        <scheme val="minor"/>
      </rPr>
      <t>optional question</t>
    </r>
    <r>
      <rPr>
        <sz val="12"/>
        <rFont val="Calibri"/>
        <family val="2"/>
        <scheme val="minor"/>
      </rPr>
      <t>]</t>
    </r>
  </si>
  <si>
    <r>
      <t>if crp_proddif = 1, go to crp_proddif_2 ; 
if crp_proddif = 2-4, go to [</t>
    </r>
    <r>
      <rPr>
        <sz val="12"/>
        <color theme="4"/>
        <rFont val="Calibri"/>
        <family val="2"/>
        <scheme val="minor"/>
      </rPr>
      <t>crp_salesmain or optional question]</t>
    </r>
  </si>
  <si>
    <t>crp_proddif_2</t>
  </si>
  <si>
    <r>
      <t xml:space="preserve">crp_proddif_
1) crp_proddif_plant_disease
</t>
    </r>
    <r>
      <rPr>
        <sz val="12"/>
        <rFont val="Calibri (Body)"/>
      </rPr>
      <t xml:space="preserve">2) crp_proddif_pest_outbreak
</t>
    </r>
    <r>
      <rPr>
        <sz val="12"/>
        <rFont val="Calibri"/>
        <family val="2"/>
        <scheme val="minor"/>
      </rPr>
      <t>3) crp_proddif_animal_grazing
4) crp_proddif_access_plot
5) crp_proddif_access_fertilize
6) crp_proddif_seed_quality
7) crp_proddif_seed_quantity
8) crp_proddif_access_</t>
    </r>
    <r>
      <rPr>
        <sz val="12"/>
        <rFont val="Calibri (Body)"/>
      </rPr>
      <t>pesticide</t>
    </r>
    <r>
      <rPr>
        <sz val="12"/>
        <rFont val="Calibri"/>
        <family val="2"/>
        <scheme val="minor"/>
      </rPr>
      <t xml:space="preserve">
9) crp_proddif_access_labour
10) crp_proddif_access_machinery
11) crp_proddif_access_fuel
12) crp_proddif_soil_erosion
13) crp_proddif_lack_irrigation
14) crp_proddif_excess_water
15) crp_proddif_access_credit
16) crp_proddif_other
17) crp_proddif_dk
18) crp_proddif_ref</t>
    </r>
  </si>
  <si>
    <r>
      <rPr>
        <sz val="12"/>
        <rFont val="Calibri (Body)"/>
      </rPr>
      <t>Which difficulty</t>
    </r>
    <r>
      <rPr>
        <sz val="12"/>
        <rFont val="Calibri"/>
        <family val="2"/>
        <scheme val="minor"/>
      </rPr>
      <t xml:space="preserve"> </t>
    </r>
    <r>
      <rPr>
        <sz val="12"/>
        <rFont val="Calibri (Body)"/>
      </rPr>
      <t>has</t>
    </r>
    <r>
      <rPr>
        <sz val="12"/>
        <rFont val="Calibri"/>
        <family val="2"/>
        <scheme val="minor"/>
      </rPr>
      <t xml:space="preserve"> your household faced with crop production </t>
    </r>
    <r>
      <rPr>
        <sz val="12"/>
        <rFont val="Calibri (Body)"/>
      </rPr>
      <t>in</t>
    </r>
    <r>
      <rPr>
        <b/>
        <sz val="12"/>
        <rFont val="Calibri (Body)"/>
      </rPr>
      <t xml:space="preserve"> </t>
    </r>
    <r>
      <rPr>
        <b/>
        <sz val="12"/>
        <color rgb="FF7030A0"/>
        <rFont val="Calibri (Body)"/>
      </rPr>
      <t>$season$</t>
    </r>
    <r>
      <rPr>
        <sz val="12"/>
        <rFont val="Calibri"/>
        <family val="2"/>
        <scheme val="minor"/>
      </rPr>
      <t>?
[OPERATOR: MULTIPLE RESPONSE</t>
    </r>
    <r>
      <rPr>
        <sz val="12"/>
        <rFont val="Calibri (Body)"/>
      </rPr>
      <t>S POSSIBLE. SELECT</t>
    </r>
    <r>
      <rPr>
        <sz val="12"/>
        <rFont val="Calibri"/>
        <family val="2"/>
        <scheme val="minor"/>
      </rPr>
      <t xml:space="preserve"> OPTION(S) THAT BEST FIT THE INFORMATION PROVIDED BY THE RESPONDENTS.]
1)Plant disease 
2)Pest outbreak [including birds]
3)Uncontrolled animal grazing
4)Access to plot
5)Access to fertilizer [not available on markets or prices too high]
6)Access to quality seeds
7)Access to enough seeds [not available on markets or prices too high]
8)Access to pesticides
9)Access to manpower labour
10)Access to machinery, tools or animals for ploughing
11)Access to fuel or electricity to power agricultural equipment
12)Soil erosion
13)Not enough irrigation / rainfall water
14)Too much irrigation / water 
15)Access to credit
16)Other
17)DON'T KNOW
18)REFUSED</t>
    </r>
  </si>
  <si>
    <t>Form Type - Checklist
17,18 = IsNone</t>
  </si>
  <si>
    <r>
      <t xml:space="preserve">1-18 = </t>
    </r>
    <r>
      <rPr>
        <sz val="12"/>
        <color theme="4"/>
        <rFont val="Calibri (Body)"/>
      </rPr>
      <t>crp_salesmain</t>
    </r>
  </si>
  <si>
    <t>1)crp_proddif_plant_disease
2)crp_proddif_pest_outbreak
3)crp_proddif_animal_grazing
4)crp_proddif_access_plot
5)crp_proddif_access_fertilize
6)crp_proddif_seed_quality
7)crp_proddif_seed_quantity
8)crp_proddif_access_pesticide
9)crp_proddif_access_labour
10)crp_proddif_access_machinery
11)crp_proddif_access_fuel
12)crp_proddif_soil_erosion
13)crp_proddif_lack_irrigation
14)crp_proddif_excess_water
15)crp_proddif_access_credit
16)crp_proddif_other
17)crp_proddif_dk
18)crp_proddif_ref</t>
  </si>
  <si>
    <r>
      <t>if crp_proddif_2 = 1-18, go to</t>
    </r>
    <r>
      <rPr>
        <sz val="12"/>
        <color theme="4"/>
        <rFont val="Calibri"/>
        <family val="2"/>
        <scheme val="minor"/>
      </rPr>
      <t xml:space="preserve"> [crp_salesmain OR optional question]</t>
    </r>
  </si>
  <si>
    <t>crp_storage</t>
  </si>
  <si>
    <r>
      <t xml:space="preserve">Last year, what proportion of your {crp_main} stock did you lose [to pests, rotting, mould, etc.] </t>
    </r>
    <r>
      <rPr>
        <sz val="12"/>
        <rFont val="Calibri (Body)"/>
      </rPr>
      <t>after the harvest</t>
    </r>
    <r>
      <rPr>
        <sz val="12"/>
        <rFont val="Calibri"/>
        <family val="2"/>
        <scheme val="minor"/>
      </rPr>
      <t>?
[OPERATOR: SINGLE RESPONSE.]
1)None
2)A little
3)An important part of it, but less than half
4)Most of it [half or more]
5)Almost everything 
6)Everything
7)DON'T KNOW
8)REFUSED</t>
    </r>
  </si>
  <si>
    <r>
      <rPr>
        <sz val="10"/>
        <rFont val="Calibri (Body)"/>
      </rPr>
      <t xml:space="preserve">Send if "crp_main" "Equals" "Rice" Or "crp_main" "Equals" "Wheat" Or "crp_main" "Equals" "Millet" Or "crp_main" "Equals" "Sorghum" Or "crp_main" "Equals" "Maize" Or "crp_main" "Equals" "Barley" Or "crp_main" "Equals" "Other Cereal" Or "crp_main" "Equals" "Cassava" Or "crp_main" "Equals" "Potatoe" Or "crp_main" "Equals" "Sweet Potatoes" Or "crp_main" "Equals" "Yams" Or "crp_main" "Equals" "Carrots" Or "crp_main" "Equals" "Cocoyam" Or "crp_main" "Equals" "Other tubers" Or "crp_main" "Equals" "Beans" Or "crp_main" "Equals" "Lentils" Or "crp_main" "Equals" "Peas" Or "crp_main" "Equals" "Soybeans" Or "crp_main" "Equals" "Chickpeas" Or "crp_main" "Equals" "Fava beans" Or "crp_main" "Equals" "Broad beans" Or "crp_main" "Equals" "Other pulses" Or "crp_main" "Equals" "Cabbage" Or "crp_main" "Equals" "Lettuce" Or "crp_main" "Equals" "Spinach-Amaranth" Or "crp_main" "Equals" "Cassava leaves" Or "crp_main" "Equals" "Potatoe leaves" Or "crp_main" "Equals" "Moringa" Or "crp_main" "Equals" "Sorrel Hibiscus / Rosselle" Or "crp_main" "Equals" "Green salad herbs [thyme / parsley / mint / rocca / other]" Or "crp_main" "Equals" "Cauliflower" Or "crp_main" "Equals" "Other leafy vegetables" Or "crp_main" "Equals" "Tomatoes" Or "crp_main" "Equals" "Cucumber" Or "crp_main" "Equals" "Pumpkin" Or "crp_main" "Equals" "Eggplant/aubergine" Or "crp_main" "Equals" "Zucchini" Or "crp_main" "Equals" "Okra" Or "crp_main" "Equals" "Bell pepper" Or "crp_main" "Equals" "Onions" Or "crp_main" "Equals" "Haricot" Or "crp_main" "Equals" "Green peas" Or "crp_main" "Equals" "Fava beans green" Or "crp_main" "Equals" "Other non leafy vegs" Or "crp_main" "Equals" "Orange" Or "crp_main" "Equals" "Lemon" Or "crp_main" "Equals" "Grapefruit" Or "crp_main" "Equals" "Mandarins/clementines" Or "crp_main" "Equals" "Other citrus fruit" Or "crp_main" "Equals" "Sweet Banana" Or "crp_main" "Equals" "Plantains" Or "crp_main" "Equals" "Papaya" Or "crp_main" "Equals" "Mango" Or "crp_main" "Equals" "Guava" Or "crp_main" "Equals" "Pineapple" Or "crp_main" "Equals" "Avocado" Or "crp_main" "Equals" "Water Melon" Or "crp_main" "Equals" "Dates" Or "crp_main" "Equals" "Figs" Or "crp_main" "Equals" "Grapes" Or "crp_main" "Equals" "Olives" Or "crp_main" "Equals" "Apple" Or "crp_main" "Equals" "Apricot" Or "crp_main" "Equals" "Cherries" Or "crp_main" "Equals" "Peach/nectarine" Or "crp_main" "Equals" "Strawberries" Or "crp_main" "Equals" "Melon [Cantaloupe]" Or "crp_main" "Equals" "Other fruit" Or "crp_main" "Equals" "Coconuts" Or "crp_main" "Equals" "Groundnut/peanut" Or "crp_main" "Equals" "Cashew Nut" Or "crp_main" "Equals" "Kola Nut" Or "crp_main" "Equals" "Sesame" Or "crp_main" "Equals" "Bambara nut" Or "crp_main" "Equals" "Almond" Or "crp_main" "Equals" "Walnut" Or "crp_main" "Equals" "Other nuts" Or "crp_main" "Equals" "Cocoa" Or "crp_main" "Equals" "Coffee" Or "crp_main" "Equals" "Tea" Or "crp_main" "Equals" "Sugarcane" Or "crp_main" "Equals" "Sunflower" Or "crp_main" "Equals" "Other food cash crop" Or "crp_main" "Equals" "Cotton" Or "crp_main" "Equals" "Rubber" Or "crp_main" "Equals" "Jute" Or "crp_main" "Equals" "Fodder" Or "crp_main" "Equals" "Tobacco" Or "crp_main" "Equals" "Qat" Or "crp_main" "Equals" "Other non-food cash crop" if not satisfied go to </t>
    </r>
    <r>
      <rPr>
        <sz val="10"/>
        <color theme="4"/>
        <rFont val="Calibri"/>
        <family val="2"/>
        <scheme val="minor"/>
      </rPr>
      <t>"crp_salesmain"</t>
    </r>
  </si>
  <si>
    <r>
      <t xml:space="preserve">1-8 = </t>
    </r>
    <r>
      <rPr>
        <sz val="12"/>
        <color theme="4"/>
        <rFont val="Calibri"/>
        <family val="2"/>
        <scheme val="minor"/>
      </rPr>
      <t>crp_sales</t>
    </r>
    <r>
      <rPr>
        <sz val="12"/>
        <color theme="4"/>
        <rFont val="Calibri (Body)"/>
      </rPr>
      <t>main</t>
    </r>
  </si>
  <si>
    <r>
      <rPr>
        <i/>
        <sz val="12"/>
        <rFont val="Calibri"/>
        <family val="2"/>
        <scheme val="minor"/>
      </rPr>
      <t xml:space="preserve">if the respondent has listed any crop as a main crop, they will be administered this question. If not, they will be sent to the crop marketing module, since the rest of the questions reference the main crop specifically in the question text. 
</t>
    </r>
    <r>
      <rPr>
        <sz val="12"/>
        <rFont val="Calibri"/>
        <family val="2"/>
        <scheme val="minor"/>
      </rPr>
      <t xml:space="preserve">
if crp_storage =  1-8, go to </t>
    </r>
    <r>
      <rPr>
        <sz val="12"/>
        <color theme="4"/>
        <rFont val="Calibri"/>
        <family val="2"/>
        <scheme val="minor"/>
      </rPr>
      <t xml:space="preserve">crp_salesmain </t>
    </r>
    <r>
      <rPr>
        <sz val="12"/>
        <color theme="4"/>
        <rFont val="Calibri (Body)"/>
      </rPr>
      <t>or</t>
    </r>
    <r>
      <rPr>
        <sz val="12"/>
        <color theme="4"/>
        <rFont val="Calibri"/>
        <family val="2"/>
        <scheme val="minor"/>
      </rPr>
      <t xml:space="preserve"> optional question</t>
    </r>
  </si>
  <si>
    <t>crp_all</t>
  </si>
  <si>
    <r>
      <t>crp_all_</t>
    </r>
    <r>
      <rPr>
        <sz val="12"/>
        <color theme="4"/>
        <rFont val="Calibri"/>
        <family val="2"/>
        <scheme val="minor"/>
      </rPr>
      <t>[name of crop as per crop list]</t>
    </r>
  </si>
  <si>
    <t>Do you cultivate any other crops aside from {crp_main}, and if so which ones?
[OPERATOR: "No other crop" APPEARS AT THE END OF THE LIST OF OPTIONS. SELECT ALL CROPS LISTED BY THE RESPONDENT.]
1)No other crops
2)DON'T KNOW
3)REFUSED</t>
  </si>
  <si>
    <t>Form Type - Checklist
Included unselected "crp_main"
1,2,3= IsNone</t>
  </si>
  <si>
    <r>
      <t xml:space="preserve">Dynamics = </t>
    </r>
    <r>
      <rPr>
        <b/>
        <sz val="12"/>
        <color theme="4"/>
        <rFont val="Calibri"/>
        <family val="2"/>
        <scheme val="minor"/>
      </rPr>
      <t xml:space="preserve">crp_salesmain
</t>
    </r>
    <r>
      <rPr>
        <sz val="12"/>
        <rFont val="Calibri"/>
        <family val="2"/>
        <scheme val="minor"/>
      </rPr>
      <t>1-3 =</t>
    </r>
    <r>
      <rPr>
        <b/>
        <sz val="12"/>
        <color theme="4"/>
        <rFont val="Calibri"/>
        <family val="2"/>
        <scheme val="minor"/>
      </rPr>
      <t xml:space="preserve"> crp_salesmain</t>
    </r>
  </si>
  <si>
    <r>
      <rPr>
        <sz val="12"/>
        <rFont val="Calibri"/>
        <family val="2"/>
        <scheme val="minor"/>
      </rPr>
      <t xml:space="preserve">For any response to crp_all, go to </t>
    </r>
    <r>
      <rPr>
        <b/>
        <i/>
        <sz val="12"/>
        <color theme="4"/>
        <rFont val="Calibri"/>
        <family val="2"/>
        <scheme val="minor"/>
      </rPr>
      <t>crp_salesmain</t>
    </r>
  </si>
  <si>
    <t>D. CROP MARKETING</t>
  </si>
  <si>
    <t>crp_salesmain</t>
  </si>
  <si>
    <r>
      <t xml:space="preserve">What was the main crop that you sold over the </t>
    </r>
    <r>
      <rPr>
        <b/>
        <sz val="12"/>
        <color theme="1"/>
        <rFont val="Calibri"/>
        <family val="2"/>
        <scheme val="minor"/>
      </rPr>
      <t>last 3 months</t>
    </r>
    <r>
      <rPr>
        <sz val="12"/>
        <color theme="1"/>
        <rFont val="Calibri"/>
        <family val="2"/>
        <scheme val="minor"/>
      </rPr>
      <t xml:space="preserve">?
[OPERATOR: SINGLE RESPONSE.]
</t>
    </r>
    <r>
      <rPr>
        <b/>
        <sz val="12"/>
        <color rgb="FF7030A0"/>
        <rFont val="Calibri (Body)"/>
      </rPr>
      <t xml:space="preserve">
$CROPS SOLD$</t>
    </r>
  </si>
  <si>
    <t>Send if "income_main" "Equals" "Production and sale of staple crops" Or "income_main" "Equals" "Production and sale of vegetable or fruit" Or "income_main" "Equals" "Production and sale of cashcrops" Or "income_sec" "Equals" "Production and sale of staple crops" Or "income_sec" "Equals" "Production and sale of vegetable or fruit" Or "income_sec" "Equals" "Production and sale of cashcrops"  Or "income_third" "Equals" "Production and sale of staple crops" Or "income_third" "Equals" "Production and sale of vegetable or fruit" Or "income_third" "Equals" "Production and sale of cashcrops" if not satisfied go to "ls_intro"</t>
  </si>
  <si>
    <r>
      <rPr>
        <sz val="12"/>
        <color theme="4"/>
        <rFont val="Calibri (Body)"/>
      </rPr>
      <t xml:space="preserve">1-90 </t>
    </r>
    <r>
      <rPr>
        <sz val="12"/>
        <rFont val="Calibri"/>
        <family val="2"/>
        <scheme val="minor"/>
      </rPr>
      <t xml:space="preserve">= crp_salesdif
</t>
    </r>
    <r>
      <rPr>
        <sz val="12"/>
        <color theme="4"/>
        <rFont val="Calibri (Body)"/>
      </rPr>
      <t>91-92</t>
    </r>
    <r>
      <rPr>
        <sz val="12"/>
        <rFont val="Calibri"/>
        <family val="2"/>
        <scheme val="minor"/>
      </rPr>
      <t xml:space="preserve"> = ls_intro</t>
    </r>
  </si>
  <si>
    <t>$CROP SOLD CODES$</t>
  </si>
  <si>
    <r>
      <t xml:space="preserve">If either income_main or income_sec or income_third = "Production and sale of staple crops" or "Production and sale of vegetable/ fruit" or "Production and sale of cashcrops (cocoa, tobacco, etc)", then this section will be asked to respondents.
Otherwise, skip to ls_intro.
For any crop selected, go to </t>
    </r>
    <r>
      <rPr>
        <i/>
        <sz val="12"/>
        <rFont val="Calibri"/>
        <family val="2"/>
        <scheme val="minor"/>
      </rPr>
      <t xml:space="preserve">crp_salesdif
</t>
    </r>
    <r>
      <rPr>
        <sz val="12"/>
        <rFont val="Calibri"/>
        <family val="2"/>
        <scheme val="minor"/>
      </rPr>
      <t xml:space="preserve">If "Don't know" or "Refused", go to </t>
    </r>
    <r>
      <rPr>
        <i/>
        <sz val="12"/>
        <rFont val="Calibri"/>
        <family val="2"/>
        <scheme val="minor"/>
      </rPr>
      <t>ls_intro</t>
    </r>
  </si>
  <si>
    <t>crp_salesdif</t>
  </si>
  <si>
    <r>
      <t xml:space="preserve">Has your household faced any </t>
    </r>
    <r>
      <rPr>
        <sz val="12"/>
        <rFont val="Calibri (Body)"/>
      </rPr>
      <t xml:space="preserve">significant </t>
    </r>
    <r>
      <rPr>
        <sz val="12"/>
        <rFont val="Calibri"/>
        <family val="2"/>
        <scheme val="minor"/>
      </rPr>
      <t>difficulty in the last 3 months</t>
    </r>
    <r>
      <rPr>
        <b/>
        <sz val="12"/>
        <rFont val="Calibri"/>
        <family val="2"/>
        <scheme val="minor"/>
      </rPr>
      <t xml:space="preserve"> selling </t>
    </r>
    <r>
      <rPr>
        <sz val="12"/>
        <rFont val="Calibri"/>
        <family val="2"/>
        <scheme val="minor"/>
      </rPr>
      <t>your {crp_salesmain}?
[OPERATOR: SINGLE RESPONSE.]
1)YES
2)NO
3)DON'T KNOW
4)REFUSED</t>
    </r>
  </si>
  <si>
    <t>1 = crp_salesdif_2
2-4 = crp_salesprice</t>
  </si>
  <si>
    <r>
      <t xml:space="preserve">if </t>
    </r>
    <r>
      <rPr>
        <i/>
        <sz val="12"/>
        <rFont val="Calibri"/>
        <family val="2"/>
        <scheme val="minor"/>
      </rPr>
      <t>crp_salesdif</t>
    </r>
    <r>
      <rPr>
        <sz val="12"/>
        <rFont val="Calibri"/>
        <family val="2"/>
        <scheme val="minor"/>
      </rPr>
      <t xml:space="preserve"> = 1, go to </t>
    </r>
    <r>
      <rPr>
        <i/>
        <sz val="12"/>
        <rFont val="Calibri"/>
        <family val="2"/>
        <scheme val="minor"/>
      </rPr>
      <t>crp_salesdif_2</t>
    </r>
    <r>
      <rPr>
        <sz val="12"/>
        <rFont val="Calibri"/>
        <family val="2"/>
        <scheme val="minor"/>
      </rPr>
      <t xml:space="preserve"> ; 
if </t>
    </r>
    <r>
      <rPr>
        <i/>
        <sz val="12"/>
        <rFont val="Calibri"/>
        <family val="2"/>
        <scheme val="minor"/>
      </rPr>
      <t>crp_salesdif</t>
    </r>
    <r>
      <rPr>
        <sz val="12"/>
        <rFont val="Calibri"/>
        <family val="2"/>
        <scheme val="minor"/>
      </rPr>
      <t xml:space="preserve"> = 2-4, go to </t>
    </r>
    <r>
      <rPr>
        <i/>
        <sz val="12"/>
        <rFont val="Calibri"/>
        <family val="2"/>
        <scheme val="minor"/>
      </rPr>
      <t>crp_salesprice</t>
    </r>
  </si>
  <si>
    <t>crp_salesdif_2</t>
  </si>
  <si>
    <r>
      <t>crp_saledif_
1) crp_saledif_marketing_cost
2) crp_saledif_damage</t>
    </r>
    <r>
      <rPr>
        <sz val="12"/>
        <rFont val="Calibri (Body)"/>
      </rPr>
      <t>_</t>
    </r>
    <r>
      <rPr>
        <sz val="12"/>
        <rFont val="Calibri"/>
        <family val="2"/>
        <scheme val="minor"/>
      </rPr>
      <t>losses
3) crp_saledif_low</t>
    </r>
    <r>
      <rPr>
        <sz val="12"/>
        <rFont val="Calibri (Body)"/>
      </rPr>
      <t>_</t>
    </r>
    <r>
      <rPr>
        <sz val="12"/>
        <rFont val="Calibri"/>
        <family val="2"/>
        <scheme val="minor"/>
      </rPr>
      <t xml:space="preserve">demand
</t>
    </r>
    <r>
      <rPr>
        <sz val="12"/>
        <rFont val="Calibri (Body)"/>
      </rPr>
      <t>4) crp_saledif_pay_delay</t>
    </r>
    <r>
      <rPr>
        <sz val="12"/>
        <rFont val="Calibri"/>
        <family val="2"/>
        <scheme val="minor"/>
      </rPr>
      <t xml:space="preserve">
5) crp_saledif_low</t>
    </r>
    <r>
      <rPr>
        <sz val="12"/>
        <rFont val="Calibri (Body)"/>
      </rPr>
      <t>_</t>
    </r>
    <r>
      <rPr>
        <sz val="12"/>
        <rFont val="Calibri"/>
        <family val="2"/>
        <scheme val="minor"/>
      </rPr>
      <t xml:space="preserve">price
6) crp_saledif_processing
</t>
    </r>
    <r>
      <rPr>
        <sz val="12"/>
        <rFont val="Calibri (Body)"/>
      </rPr>
      <t>7) crp_saledif_competition</t>
    </r>
    <r>
      <rPr>
        <sz val="12"/>
        <rFont val="Calibri"/>
        <family val="2"/>
        <scheme val="minor"/>
      </rPr>
      <t xml:space="preserve">
8) crp_saledif_other
9) crp_saledif_dk
10) crp_saledif_ref</t>
    </r>
  </si>
  <si>
    <r>
      <t>Which difficulties has your household faced in the last 3 months selling your {</t>
    </r>
    <r>
      <rPr>
        <sz val="12"/>
        <rFont val="Calibri (Body)"/>
      </rPr>
      <t>crp_salesmain}</t>
    </r>
    <r>
      <rPr>
        <sz val="12"/>
        <rFont val="Calibri"/>
        <family val="2"/>
        <scheme val="minor"/>
      </rPr>
      <t xml:space="preserve">?
[OPERATOR: MULTIPLE RESPONSES POSSIBLE. SELECT OPTION(S) THAT BEST FIT THE INFORMATION PROVIDED BY THE RESPONDENTS.]
1)High </t>
    </r>
    <r>
      <rPr>
        <sz val="12"/>
        <rFont val="Calibri (Body)"/>
      </rPr>
      <t xml:space="preserve">transportation or other </t>
    </r>
    <r>
      <rPr>
        <sz val="12"/>
        <rFont val="Calibri"/>
        <family val="2"/>
        <scheme val="minor"/>
      </rPr>
      <t xml:space="preserve">marketing costs
</t>
    </r>
    <r>
      <rPr>
        <sz val="12"/>
        <rFont val="Calibri (Body)"/>
      </rPr>
      <t>2)Damages and losses due to storage difficulties and/or difficulty accessing the market [e.g. insecurity, poor infrastructure, etc.]</t>
    </r>
    <r>
      <rPr>
        <sz val="12"/>
        <rFont val="Calibri"/>
        <family val="2"/>
        <scheme val="minor"/>
      </rPr>
      <t xml:space="preserve">
3)</t>
    </r>
    <r>
      <rPr>
        <sz val="12"/>
        <rFont val="Calibri (Body)"/>
      </rPr>
      <t>Lack of demand from u</t>
    </r>
    <r>
      <rPr>
        <sz val="12"/>
        <rFont val="Calibri"/>
        <family val="2"/>
        <scheme val="minor"/>
      </rPr>
      <t>sual traders or buyers</t>
    </r>
    <r>
      <rPr>
        <strike/>
        <sz val="12"/>
        <rFont val="Calibri (Body)"/>
      </rPr>
      <t xml:space="preserve">
</t>
    </r>
    <r>
      <rPr>
        <sz val="12"/>
        <rFont val="Calibri (Body)"/>
      </rPr>
      <t>4)Payment delays from traders / buyers</t>
    </r>
    <r>
      <rPr>
        <sz val="12"/>
        <rFont val="Calibri"/>
        <family val="2"/>
        <scheme val="minor"/>
      </rPr>
      <t xml:space="preserve">
</t>
    </r>
    <r>
      <rPr>
        <sz val="12"/>
        <rFont val="Calibri (Body)"/>
      </rPr>
      <t>5</t>
    </r>
    <r>
      <rPr>
        <sz val="12"/>
        <rFont val="Calibri"/>
        <family val="2"/>
        <scheme val="minor"/>
      </rPr>
      <t>)</t>
    </r>
    <r>
      <rPr>
        <sz val="12"/>
        <rFont val="Calibri (Body)"/>
      </rPr>
      <t>Low selling prices [e.g. compared to input prices / inflation]</t>
    </r>
    <r>
      <rPr>
        <sz val="12"/>
        <rFont val="Calibri"/>
        <family val="2"/>
        <scheme val="minor"/>
      </rPr>
      <t xml:space="preserve">
</t>
    </r>
    <r>
      <rPr>
        <sz val="12"/>
        <rFont val="Calibri (Body)"/>
      </rPr>
      <t>6</t>
    </r>
    <r>
      <rPr>
        <sz val="12"/>
        <rFont val="Calibri"/>
        <family val="2"/>
        <scheme val="minor"/>
      </rPr>
      <t xml:space="preserve">)Difficulty processing product [lack of processing inputs / equipment / etc]
</t>
    </r>
    <r>
      <rPr>
        <sz val="12"/>
        <rFont val="Calibri (Body)"/>
      </rPr>
      <t>7</t>
    </r>
    <r>
      <rPr>
        <sz val="12"/>
        <rFont val="Calibri"/>
        <family val="2"/>
        <scheme val="minor"/>
      </rPr>
      <t>)</t>
    </r>
    <r>
      <rPr>
        <sz val="12"/>
        <rFont val="Calibri (Body)"/>
      </rPr>
      <t>Market flooded with products</t>
    </r>
    <r>
      <rPr>
        <sz val="12"/>
        <rFont val="Calibri"/>
        <family val="2"/>
        <scheme val="minor"/>
      </rPr>
      <t xml:space="preserve">
</t>
    </r>
    <r>
      <rPr>
        <sz val="12"/>
        <rFont val="Calibri (Body)"/>
      </rPr>
      <t>8</t>
    </r>
    <r>
      <rPr>
        <sz val="12"/>
        <rFont val="Calibri"/>
        <family val="2"/>
        <scheme val="minor"/>
      </rPr>
      <t xml:space="preserve">)Other
</t>
    </r>
    <r>
      <rPr>
        <sz val="12"/>
        <rFont val="Calibri (Body)"/>
      </rPr>
      <t>9</t>
    </r>
    <r>
      <rPr>
        <sz val="12"/>
        <rFont val="Calibri"/>
        <family val="2"/>
        <scheme val="minor"/>
      </rPr>
      <t xml:space="preserve">)DON'T KNOW
</t>
    </r>
    <r>
      <rPr>
        <sz val="12"/>
        <rFont val="Calibri (Body)"/>
      </rPr>
      <t>10</t>
    </r>
    <r>
      <rPr>
        <sz val="12"/>
        <rFont val="Calibri"/>
        <family val="2"/>
        <scheme val="minor"/>
      </rPr>
      <t>)REFUSED</t>
    </r>
  </si>
  <si>
    <r>
      <t xml:space="preserve">Form Type - Checklist
</t>
    </r>
    <r>
      <rPr>
        <sz val="12"/>
        <rFont val="Calibri (Body)"/>
      </rPr>
      <t>9,10</t>
    </r>
    <r>
      <rPr>
        <sz val="12"/>
        <rFont val="Calibri"/>
        <family val="2"/>
        <scheme val="minor"/>
      </rPr>
      <t xml:space="preserve"> = IsNone</t>
    </r>
  </si>
  <si>
    <r>
      <t>1-</t>
    </r>
    <r>
      <rPr>
        <sz val="12"/>
        <rFont val="Calibri (Body)"/>
      </rPr>
      <t>10</t>
    </r>
    <r>
      <rPr>
        <sz val="12"/>
        <rFont val="Calibri"/>
        <family val="2"/>
        <scheme val="minor"/>
      </rPr>
      <t xml:space="preserve"> = crp_salesprice</t>
    </r>
  </si>
  <si>
    <t>1)crp_saledif_marketing_cost
2)crp_saledif_damage_losses
3)crp_saledif_low_demand
4)crp_saledif_pay_delay
5)crp_saledif_low_price
6)crp_saledif_processing
7)crp_saledif_competition
8)crp_saledif_other
9)crp_saledif_dk
10)crp_saledif_ref</t>
  </si>
  <si>
    <r>
      <t xml:space="preserve">if </t>
    </r>
    <r>
      <rPr>
        <i/>
        <sz val="12"/>
        <rFont val="Calibri"/>
        <family val="2"/>
        <scheme val="minor"/>
      </rPr>
      <t>crp_salesdif_2</t>
    </r>
    <r>
      <rPr>
        <sz val="12"/>
        <rFont val="Calibri"/>
        <family val="2"/>
        <scheme val="minor"/>
      </rPr>
      <t xml:space="preserve"> = 1-</t>
    </r>
    <r>
      <rPr>
        <sz val="12"/>
        <rFont val="Calibri (Body)"/>
      </rPr>
      <t>10</t>
    </r>
    <r>
      <rPr>
        <sz val="12"/>
        <rFont val="Calibri"/>
        <family val="2"/>
        <scheme val="minor"/>
      </rPr>
      <t xml:space="preserve">, go to </t>
    </r>
    <r>
      <rPr>
        <i/>
        <sz val="12"/>
        <rFont val="Calibri"/>
        <family val="2"/>
        <scheme val="minor"/>
      </rPr>
      <t>crp_salesprice</t>
    </r>
  </si>
  <si>
    <t>crp_salesprice</t>
  </si>
  <si>
    <r>
      <t xml:space="preserve">How does the current price of your household's {crp_salesmain} compare to the average price in the same period of </t>
    </r>
    <r>
      <rPr>
        <b/>
        <sz val="12"/>
        <color rgb="FF7030A0"/>
        <rFont val="Calibri (Body)"/>
      </rPr>
      <t>$reference year$</t>
    </r>
    <r>
      <rPr>
        <sz val="12"/>
        <rFont val="Calibri"/>
        <family val="2"/>
        <scheme val="minor"/>
      </rPr>
      <t>? 
[OPERATOR: SINGLE RESPONSE. INSIST ON THE MAIN PRODUCT MENTIONED.]
1)A lot more [increased by more than 50%]
2)Slightly more
3)Same
4)Slightly less
5)A lot less [less than half as much]
6)DON'T KNOW
7)REFUSED</t>
    </r>
  </si>
  <si>
    <r>
      <t xml:space="preserve">1-7 = </t>
    </r>
    <r>
      <rPr>
        <b/>
        <sz val="12"/>
        <color rgb="FF0070C0"/>
        <rFont val="Calibri"/>
        <family val="2"/>
        <scheme val="minor"/>
      </rPr>
      <t xml:space="preserve">ls_intro </t>
    </r>
  </si>
  <si>
    <r>
      <t xml:space="preserve">if </t>
    </r>
    <r>
      <rPr>
        <i/>
        <sz val="12"/>
        <rFont val="Calibri"/>
        <family val="2"/>
        <scheme val="minor"/>
      </rPr>
      <t xml:space="preserve">crp_salesprice </t>
    </r>
    <r>
      <rPr>
        <sz val="12"/>
        <rFont val="Calibri"/>
        <family val="2"/>
        <scheme val="minor"/>
      </rPr>
      <t>= 1-7, go to</t>
    </r>
    <r>
      <rPr>
        <i/>
        <sz val="12"/>
        <color theme="4"/>
        <rFont val="Calibri"/>
        <family val="2"/>
        <scheme val="minor"/>
      </rPr>
      <t xml:space="preserve"> ls_intro</t>
    </r>
  </si>
  <si>
    <t>E. LIVESTOCK PRODUCTION</t>
  </si>
  <si>
    <t>ls_intro</t>
  </si>
  <si>
    <t>We will now ask you some questions about livestock production which apply to you and anyone in your household that is involved in livestock production or sales. 
1)CONTINUE</t>
  </si>
  <si>
    <r>
      <t>Send if "hh_agricactivity" "Equals" "Yes - livestock production" Or "hh_agricactivity" "Equals" "Yes - both crop and livestock production" Or "income_main_ls_check" "Equals" "YES" Or "income_sec_ls_check" "Equals" "YES</t>
    </r>
    <r>
      <rPr>
        <sz val="12"/>
        <rFont val="Calibri (Body)"/>
      </rPr>
      <t>"</t>
    </r>
    <r>
      <rPr>
        <sz val="12"/>
        <rFont val="Calibri"/>
        <family val="2"/>
        <scheme val="minor"/>
      </rPr>
      <t xml:space="preserve"> Or "income_third_ls_check" "Equals" "YES" if not satisfied go to "ls_salesmain"</t>
    </r>
  </si>
  <si>
    <t>1 = ls_main</t>
  </si>
  <si>
    <r>
      <t xml:space="preserve">If </t>
    </r>
    <r>
      <rPr>
        <i/>
        <sz val="12"/>
        <rFont val="Calibri"/>
        <family val="2"/>
        <scheme val="minor"/>
      </rPr>
      <t>hh_agricactivity</t>
    </r>
    <r>
      <rPr>
        <sz val="12"/>
        <rFont val="Calibri"/>
        <family val="2"/>
        <scheme val="minor"/>
      </rPr>
      <t xml:space="preserve"> = "Yes - livestock production" </t>
    </r>
    <r>
      <rPr>
        <u/>
        <sz val="12"/>
        <rFont val="Calibri"/>
        <family val="2"/>
        <scheme val="minor"/>
      </rPr>
      <t>or</t>
    </r>
    <r>
      <rPr>
        <sz val="12"/>
        <rFont val="Calibri"/>
        <family val="2"/>
        <scheme val="minor"/>
      </rPr>
      <t xml:space="preserve"> "Yes - both crop and livestock production" </t>
    </r>
    <r>
      <rPr>
        <u/>
        <sz val="12"/>
        <rFont val="Calibri"/>
        <family val="2"/>
        <scheme val="minor"/>
      </rPr>
      <t>or</t>
    </r>
    <r>
      <rPr>
        <sz val="12"/>
        <rFont val="Calibri"/>
        <family val="2"/>
        <scheme val="minor"/>
      </rPr>
      <t xml:space="preserve"> if they reported production and sales of livestocks in one of the three main income sources and confirmed that they are involved in production, then this section will be administered to respondents.
Otherwise, skip to </t>
    </r>
    <r>
      <rPr>
        <i/>
        <sz val="12"/>
        <rFont val="Calibri"/>
        <family val="2"/>
        <scheme val="minor"/>
      </rPr>
      <t>ls_salesmain.</t>
    </r>
  </si>
  <si>
    <t>ls_main</t>
  </si>
  <si>
    <r>
      <t xml:space="preserve">What was the main animal raised by your household for food </t>
    </r>
    <r>
      <rPr>
        <sz val="12"/>
        <rFont val="Calibri (Body)"/>
      </rPr>
      <t>or</t>
    </r>
    <r>
      <rPr>
        <sz val="12"/>
        <rFont val="Calibri"/>
        <family val="2"/>
        <scheme val="minor"/>
      </rPr>
      <t xml:space="preserve"> income generation in the last 12 months?
[OPERATOR: SINGLE RESPONSE. ASK ABOUT THE MOST IMPORTANT ANIMAL ONLY.] [HINT: DON'T FORGET TO PROBE ABOUT TRANSHUMANCE - MOVING LIVESTOCK FROM ONE GRAZING GROUND TO ANOTHER.]
1)Cattle [cow / beef / veal / yak / buffalo]
2)Goat
3)Sheep
4)Swine [pig / boar / hog / etc]
5)Equine [donkey / horse / etc]
6)Small domesticated mammals [rabbits / minks / guinea pigs / etc]
7)Poultry [chicken / guineafowl / duck / quail / turkey / etc]
8)Camelids
9)Other
10)DON'T KNOW
11)REFUSED</t>
    </r>
  </si>
  <si>
    <t>Form Type - Buttons
set demographic</t>
  </si>
  <si>
    <t>1-9 = ls_num_lastyr
10-11 = ls_proddif</t>
  </si>
  <si>
    <r>
      <t xml:space="preserve">if </t>
    </r>
    <r>
      <rPr>
        <i/>
        <sz val="12"/>
        <rFont val="Calibri"/>
        <family val="2"/>
        <scheme val="minor"/>
      </rPr>
      <t xml:space="preserve">ls_main </t>
    </r>
    <r>
      <rPr>
        <sz val="12"/>
        <rFont val="Calibri"/>
        <family val="2"/>
        <scheme val="minor"/>
      </rPr>
      <t xml:space="preserve">= 1-9, go to </t>
    </r>
    <r>
      <rPr>
        <i/>
        <sz val="12"/>
        <rFont val="Calibri"/>
        <family val="2"/>
        <scheme val="minor"/>
      </rPr>
      <t xml:space="preserve">ls_num_lastyr ; </t>
    </r>
    <r>
      <rPr>
        <sz val="12"/>
        <rFont val="Calibri"/>
        <family val="2"/>
        <scheme val="minor"/>
      </rPr>
      <t xml:space="preserve">
If </t>
    </r>
    <r>
      <rPr>
        <i/>
        <sz val="12"/>
        <rFont val="Calibri"/>
        <family val="2"/>
        <scheme val="minor"/>
      </rPr>
      <t>ls_main</t>
    </r>
    <r>
      <rPr>
        <sz val="12"/>
        <rFont val="Calibri"/>
        <family val="2"/>
        <scheme val="minor"/>
      </rPr>
      <t xml:space="preserve"> = 10-11, go to </t>
    </r>
    <r>
      <rPr>
        <i/>
        <sz val="12"/>
        <rFont val="Calibri"/>
        <family val="2"/>
        <scheme val="minor"/>
      </rPr>
      <t>ls_proddif</t>
    </r>
  </si>
  <si>
    <t>ls_num_lastyr</t>
  </si>
  <si>
    <t>How many {ls_main] did you have at the same time last year?
[OPERATOR: RECORD THE NUMBER OF ANIMALS. ENTER 88888 FOR DON'T KNOW AND 99999 FOR REFUSED.]</t>
  </si>
  <si>
    <t>Form Type - TextBox
demographic</t>
  </si>
  <si>
    <t>0-10000 = ls_num_now
88888-88888 = ls_num_now
99999-99999 = ls_num_now</t>
  </si>
  <si>
    <r>
      <t xml:space="preserve">answers can range from 0-10000; any response goes to </t>
    </r>
    <r>
      <rPr>
        <i/>
        <sz val="12"/>
        <rFont val="Calibri"/>
        <family val="2"/>
        <scheme val="minor"/>
      </rPr>
      <t>ls_num_now</t>
    </r>
  </si>
  <si>
    <t>ls_num_now</t>
  </si>
  <si>
    <t>How many {ls_main} do you have now?
[OPERATOR: RECORD THE NUMBER OF ANIMALS. ENTER 88888 FOR DON'T KNOW AND 99999 FOR REFUSED.]</t>
  </si>
  <si>
    <t>0-10000 = ls_num_change
88888-88888 = ls_num_change
99999-99999 = ls_num_change</t>
  </si>
  <si>
    <r>
      <t xml:space="preserve">answers can range from 0-10000; any response goes to </t>
    </r>
    <r>
      <rPr>
        <i/>
        <sz val="12"/>
        <rFont val="Calibri"/>
        <family val="2"/>
        <scheme val="minor"/>
      </rPr>
      <t>ls_num_change</t>
    </r>
  </si>
  <si>
    <t>ls_num_change</t>
  </si>
  <si>
    <r>
      <t>ls_num_
1) ls_num_no</t>
    </r>
    <r>
      <rPr>
        <sz val="12"/>
        <rFont val="Calibri (Body)"/>
      </rPr>
      <t>_</t>
    </r>
    <r>
      <rPr>
        <sz val="12"/>
        <rFont val="Calibri"/>
        <family val="2"/>
        <scheme val="minor"/>
      </rPr>
      <t>change
2) ls_num_inc_</t>
    </r>
    <r>
      <rPr>
        <sz val="12"/>
        <rFont val="Calibri (Body)"/>
      </rPr>
      <t>less_sales</t>
    </r>
    <r>
      <rPr>
        <sz val="12"/>
        <rFont val="Calibri"/>
        <family val="2"/>
        <scheme val="minor"/>
      </rPr>
      <t xml:space="preserve">
3) ls_num_inc_more</t>
    </r>
    <r>
      <rPr>
        <sz val="12"/>
        <rFont val="Calibri (Body)"/>
      </rPr>
      <t>_birth</t>
    </r>
    <r>
      <rPr>
        <sz val="12"/>
        <rFont val="Calibri"/>
        <family val="2"/>
        <scheme val="minor"/>
      </rPr>
      <t xml:space="preserve">
4) ls_num_inc_</t>
    </r>
    <r>
      <rPr>
        <sz val="12"/>
        <rFont val="Calibri (Body)"/>
      </rPr>
      <t>more_acquired</t>
    </r>
    <r>
      <rPr>
        <sz val="12"/>
        <rFont val="Calibri"/>
        <family val="2"/>
        <scheme val="minor"/>
      </rPr>
      <t xml:space="preserve">
5) ls_num_inc_received</t>
    </r>
    <r>
      <rPr>
        <sz val="12"/>
        <rFont val="Calibri (Body)"/>
      </rPr>
      <t>_</t>
    </r>
    <r>
      <rPr>
        <sz val="12"/>
        <rFont val="Calibri"/>
        <family val="2"/>
        <scheme val="minor"/>
      </rPr>
      <t xml:space="preserve">free
</t>
    </r>
    <r>
      <rPr>
        <sz val="12"/>
        <rFont val="Calibri (Body)"/>
      </rPr>
      <t>6) ls_num_dec_poor_health</t>
    </r>
    <r>
      <rPr>
        <sz val="12"/>
        <rFont val="Calibri"/>
        <family val="2"/>
        <scheme val="minor"/>
      </rPr>
      <t xml:space="preserve">
7) ls_num_dec_</t>
    </r>
    <r>
      <rPr>
        <sz val="12"/>
        <rFont val="Calibri (Body)"/>
      </rPr>
      <t>death</t>
    </r>
    <r>
      <rPr>
        <sz val="12"/>
        <rFont val="Calibri"/>
        <family val="2"/>
        <scheme val="minor"/>
      </rPr>
      <t xml:space="preserve">
8) ls_num_dec_</t>
    </r>
    <r>
      <rPr>
        <sz val="12"/>
        <rFont val="Calibri (Body)"/>
      </rPr>
      <t>sales_good_price</t>
    </r>
    <r>
      <rPr>
        <sz val="12"/>
        <rFont val="Calibri"/>
        <family val="2"/>
        <scheme val="minor"/>
      </rPr>
      <t xml:space="preserve">
9) ls_num_dec_</t>
    </r>
    <r>
      <rPr>
        <sz val="12"/>
        <rFont val="Calibri (Body)"/>
      </rPr>
      <t>sales_distress</t>
    </r>
    <r>
      <rPr>
        <sz val="12"/>
        <rFont val="Calibri"/>
        <family val="2"/>
        <scheme val="minor"/>
      </rPr>
      <t xml:space="preserve">
10) ls_num_dec_</t>
    </r>
    <r>
      <rPr>
        <sz val="12"/>
        <rFont val="Calibri (Body)"/>
      </rPr>
      <t>escape_stolen</t>
    </r>
    <r>
      <rPr>
        <sz val="12"/>
        <rFont val="Calibri"/>
        <family val="2"/>
        <scheme val="minor"/>
      </rPr>
      <t xml:space="preserve">
11) ls_num_dec_</t>
    </r>
    <r>
      <rPr>
        <sz val="12"/>
        <rFont val="Calibri (Body)"/>
      </rPr>
      <t>consumed</t>
    </r>
    <r>
      <rPr>
        <sz val="12"/>
        <rFont val="Calibri"/>
        <family val="2"/>
        <scheme val="minor"/>
      </rPr>
      <t xml:space="preserve">
12) ls_num_inc_dec_other
13) ls_num_inc_dec_dk
14) ls_num_inc_dec_ref</t>
    </r>
  </si>
  <si>
    <r>
      <t xml:space="preserve">Why did the number of livestock change?
[OPERATOR: MULTIPLE RESPONSES POSSIBLE.] 
1)No </t>
    </r>
    <r>
      <rPr>
        <sz val="12"/>
        <rFont val="Calibri (Body)"/>
      </rPr>
      <t>significant</t>
    </r>
    <r>
      <rPr>
        <sz val="12"/>
        <rFont val="Calibri"/>
        <family val="2"/>
        <scheme val="minor"/>
      </rPr>
      <t xml:space="preserve"> change in livestock number
2)Did not sell as many
3)Many more were born
4)Purchased or bartered more animals this year
5)Received animals for free [restocking / gift]
</t>
    </r>
    <r>
      <rPr>
        <sz val="12"/>
        <rFont val="Calibri (Body)"/>
      </rPr>
      <t>6)Animal death due to malnutrition, drought, lack of feed
7)Animal death due to other factors [e.g. diseases, parasites, injury]
8</t>
    </r>
    <r>
      <rPr>
        <sz val="12"/>
        <rFont val="Calibri"/>
        <family val="2"/>
        <scheme val="minor"/>
      </rPr>
      <t xml:space="preserve">)Sold more than usual because of good prices
</t>
    </r>
    <r>
      <rPr>
        <sz val="12"/>
        <rFont val="Calibri (Body)"/>
      </rPr>
      <t>9</t>
    </r>
    <r>
      <rPr>
        <sz val="12"/>
        <rFont val="Calibri"/>
        <family val="2"/>
        <scheme val="minor"/>
      </rPr>
      <t xml:space="preserve">)Sold more than usual because of distress sales [unable to feed animal / need money urgently for household basic needs even if sales were unsustainable]
</t>
    </r>
    <r>
      <rPr>
        <sz val="12"/>
        <rFont val="Calibri (Body)"/>
      </rPr>
      <t>10</t>
    </r>
    <r>
      <rPr>
        <sz val="12"/>
        <rFont val="Calibri"/>
        <family val="2"/>
        <scheme val="minor"/>
      </rPr>
      <t xml:space="preserve">)Animal escaped or was lost or stolen
</t>
    </r>
    <r>
      <rPr>
        <sz val="12"/>
        <rFont val="Calibri (Body)"/>
      </rPr>
      <t>11</t>
    </r>
    <r>
      <rPr>
        <sz val="12"/>
        <rFont val="Calibri"/>
        <family val="2"/>
        <scheme val="minor"/>
      </rPr>
      <t xml:space="preserve">)Killed or gave away more animals than usual for household consumption or celebrations [marriage / funerals / etc]
</t>
    </r>
    <r>
      <rPr>
        <sz val="12"/>
        <rFont val="Calibri (Body)"/>
      </rPr>
      <t>12</t>
    </r>
    <r>
      <rPr>
        <sz val="12"/>
        <rFont val="Calibri"/>
        <family val="2"/>
        <scheme val="minor"/>
      </rPr>
      <t xml:space="preserve">)Other
</t>
    </r>
    <r>
      <rPr>
        <sz val="12"/>
        <rFont val="Calibri (Body)"/>
      </rPr>
      <t>13</t>
    </r>
    <r>
      <rPr>
        <sz val="12"/>
        <rFont val="Calibri"/>
        <family val="2"/>
        <scheme val="minor"/>
      </rPr>
      <t xml:space="preserve">)DON’T KNOW
</t>
    </r>
    <r>
      <rPr>
        <sz val="12"/>
        <rFont val="Calibri (Body)"/>
      </rPr>
      <t>14</t>
    </r>
    <r>
      <rPr>
        <sz val="12"/>
        <rFont val="Calibri"/>
        <family val="2"/>
        <scheme val="minor"/>
      </rPr>
      <t>)REFUSED</t>
    </r>
  </si>
  <si>
    <t>Form Type - Checklist
1,13,14 = IsNone</t>
  </si>
  <si>
    <r>
      <t>1-</t>
    </r>
    <r>
      <rPr>
        <sz val="12"/>
        <rFont val="Calibri (Body)"/>
      </rPr>
      <t>14</t>
    </r>
    <r>
      <rPr>
        <sz val="12"/>
        <rFont val="Calibri"/>
        <family val="2"/>
        <scheme val="minor"/>
      </rPr>
      <t xml:space="preserve"> = </t>
    </r>
    <r>
      <rPr>
        <sz val="12"/>
        <color rgb="FF0070C0"/>
        <rFont val="Calibri"/>
        <family val="2"/>
        <scheme val="minor"/>
      </rPr>
      <t>[</t>
    </r>
    <r>
      <rPr>
        <b/>
        <sz val="12"/>
        <color rgb="FF0070C0"/>
        <rFont val="Calibri"/>
        <family val="2"/>
        <scheme val="minor"/>
      </rPr>
      <t>ls_proddif</t>
    </r>
    <r>
      <rPr>
        <sz val="12"/>
        <color rgb="FF0070C0"/>
        <rFont val="Calibri"/>
        <family val="2"/>
        <scheme val="minor"/>
      </rPr>
      <t xml:space="preserve"> OR</t>
    </r>
    <r>
      <rPr>
        <b/>
        <sz val="12"/>
        <color rgb="FF0070C0"/>
        <rFont val="Calibri"/>
        <family val="2"/>
        <scheme val="minor"/>
      </rPr>
      <t xml:space="preserve"> optional question</t>
    </r>
    <r>
      <rPr>
        <sz val="12"/>
        <color rgb="FF0070C0"/>
        <rFont val="Calibri"/>
        <family val="2"/>
        <scheme val="minor"/>
      </rPr>
      <t>]</t>
    </r>
  </si>
  <si>
    <t>1)ls_num_no_change
2)ls_num_inc_less_sales
3)ls_num_inc_more_birth
4)ls_num_inc_more_acquired
5)ls_num_inc_received_free
6)ls_num_dec_poor_health
7)ls_num_dec_death
8)ls_num_dec_sales_good_price
9)ls_num_dec_sales_distress
10)ls_num_dec_escape_stolen
11)ls_num_dec_consumed
12)ls_num_inc_dec_other
13)ls_num_inc_dec_dk
14)ls_num_inc_dec_ref</t>
  </si>
  <si>
    <r>
      <t>If ls_num_change 1-</t>
    </r>
    <r>
      <rPr>
        <sz val="12"/>
        <rFont val="Calibri (Body)"/>
      </rPr>
      <t>14</t>
    </r>
    <r>
      <rPr>
        <sz val="12"/>
        <rFont val="Calibri"/>
        <family val="2"/>
        <scheme val="minor"/>
      </rPr>
      <t xml:space="preserve"> </t>
    </r>
    <r>
      <rPr>
        <sz val="12"/>
        <color theme="9" tint="-0.499984740745262"/>
        <rFont val="Calibri"/>
        <family val="2"/>
        <scheme val="minor"/>
      </rPr>
      <t>=</t>
    </r>
    <r>
      <rPr>
        <sz val="12"/>
        <color theme="4"/>
        <rFont val="Calibri"/>
        <family val="2"/>
        <scheme val="minor"/>
      </rPr>
      <t xml:space="preserve"> [ls_proddif OR optional question]</t>
    </r>
  </si>
  <si>
    <t>ls_feed</t>
  </si>
  <si>
    <r>
      <t xml:space="preserve">ls_feed
1) ls_feed_open_pasture
2) ls_feed_common_pasture
3) ls_feed_self_produced
4) ls_feed_purchased
</t>
    </r>
    <r>
      <rPr>
        <sz val="12"/>
        <rFont val="Calibri (Body)"/>
      </rPr>
      <t>5) ls_feed_free_dist</t>
    </r>
    <r>
      <rPr>
        <sz val="12"/>
        <rFont val="Calibri"/>
        <family val="2"/>
        <scheme val="minor"/>
      </rPr>
      <t xml:space="preserve">
6) ls_feed_other
7) ls_feed_dk
8) ls_feed_ref</t>
    </r>
  </si>
  <si>
    <r>
      <t xml:space="preserve">Where do you usually access feed for your {ls_main}?  
[OPERATOR: MULTIPLE RESPONSES POSSIBLE.] 
1)Open pasture
2)Community-managed pasture land
3)Owned or rented field or self-produced fodder
4)Purchase feed or fodder at the market
</t>
    </r>
    <r>
      <rPr>
        <sz val="12"/>
        <rFont val="Calibri (Body)"/>
      </rPr>
      <t>5)Free distribution
6</t>
    </r>
    <r>
      <rPr>
        <sz val="12"/>
        <rFont val="Calibri"/>
        <family val="2"/>
        <scheme val="minor"/>
      </rPr>
      <t xml:space="preserve">)Other
</t>
    </r>
    <r>
      <rPr>
        <sz val="12"/>
        <rFont val="Calibri (Body)"/>
      </rPr>
      <t>7</t>
    </r>
    <r>
      <rPr>
        <sz val="12"/>
        <rFont val="Calibri"/>
        <family val="2"/>
        <scheme val="minor"/>
      </rPr>
      <t xml:space="preserve">)DON'T KNOW
</t>
    </r>
    <r>
      <rPr>
        <sz val="12"/>
        <rFont val="Calibri (Body)"/>
      </rPr>
      <t>8</t>
    </r>
    <r>
      <rPr>
        <sz val="12"/>
        <rFont val="Calibri"/>
        <family val="2"/>
        <scheme val="minor"/>
      </rPr>
      <t>)REFUSED</t>
    </r>
  </si>
  <si>
    <r>
      <t xml:space="preserve">Form Type - Checklist
</t>
    </r>
    <r>
      <rPr>
        <sz val="12"/>
        <rFont val="Calibri (Body)"/>
      </rPr>
      <t>7,8</t>
    </r>
    <r>
      <rPr>
        <sz val="12"/>
        <rFont val="Calibri"/>
        <family val="2"/>
        <scheme val="minor"/>
      </rPr>
      <t xml:space="preserve"> = IsNone</t>
    </r>
  </si>
  <si>
    <r>
      <t>1-</t>
    </r>
    <r>
      <rPr>
        <sz val="12"/>
        <rFont val="Calibri (Body)"/>
      </rPr>
      <t>8</t>
    </r>
    <r>
      <rPr>
        <sz val="12"/>
        <rFont val="Calibri"/>
        <family val="2"/>
        <scheme val="minor"/>
      </rPr>
      <t xml:space="preserve"> = </t>
    </r>
    <r>
      <rPr>
        <sz val="12"/>
        <color theme="4"/>
        <rFont val="Calibri (Body)"/>
      </rPr>
      <t>ls_proddif</t>
    </r>
  </si>
  <si>
    <t>1)ls_feed_open_pasture
2)ls_feed_common_pasture
3)ls_feed_self_produced
4)ls_feed_purchased
5)ls_feed_free_dist
6)ls_feed_other
7)ls_feed_dk
8)ls_feed_ref</t>
  </si>
  <si>
    <r>
      <t xml:space="preserve">For any response, go to </t>
    </r>
    <r>
      <rPr>
        <i/>
        <sz val="12"/>
        <color theme="4"/>
        <rFont val="Calibri (Body)"/>
      </rPr>
      <t>ls_proddif</t>
    </r>
  </si>
  <si>
    <t>ls_proddif</t>
  </si>
  <si>
    <r>
      <t xml:space="preserve">Has your household faced any </t>
    </r>
    <r>
      <rPr>
        <sz val="12"/>
        <rFont val="Calibri (Body)"/>
      </rPr>
      <t xml:space="preserve">significant </t>
    </r>
    <r>
      <rPr>
        <sz val="12"/>
        <rFont val="Calibri"/>
        <family val="2"/>
        <scheme val="minor"/>
      </rPr>
      <t>difficulty with livestock production over the last 3 months?
[OPERATOR: SINGLE RESPONSE.]
1)YES 
2)NO
3)DON'T KNOW
4)REFUSED</t>
    </r>
  </si>
  <si>
    <r>
      <t xml:space="preserve">1=ls_proddif_2
2-4= </t>
    </r>
    <r>
      <rPr>
        <sz val="12"/>
        <color theme="4"/>
        <rFont val="Calibri (Body)"/>
      </rPr>
      <t xml:space="preserve">[ls_salesmain </t>
    </r>
    <r>
      <rPr>
        <sz val="12"/>
        <rFont val="Calibri"/>
        <family val="2"/>
        <scheme val="minor"/>
      </rPr>
      <t>OR</t>
    </r>
    <r>
      <rPr>
        <sz val="12"/>
        <color theme="4"/>
        <rFont val="Calibri (Body)"/>
      </rPr>
      <t xml:space="preserve"> optional question]</t>
    </r>
  </si>
  <si>
    <r>
      <t xml:space="preserve">if </t>
    </r>
    <r>
      <rPr>
        <i/>
        <sz val="12"/>
        <rFont val="Calibri"/>
        <family val="2"/>
        <scheme val="minor"/>
      </rPr>
      <t>ls_proddif</t>
    </r>
    <r>
      <rPr>
        <sz val="12"/>
        <rFont val="Calibri"/>
        <family val="2"/>
        <scheme val="minor"/>
      </rPr>
      <t xml:space="preserve"> = 1, go to </t>
    </r>
    <r>
      <rPr>
        <i/>
        <sz val="12"/>
        <rFont val="Calibri"/>
        <family val="2"/>
        <scheme val="minor"/>
      </rPr>
      <t>ls_proddif_2</t>
    </r>
    <r>
      <rPr>
        <sz val="12"/>
        <rFont val="Calibri"/>
        <family val="2"/>
        <scheme val="minor"/>
      </rPr>
      <t xml:space="preserve"> ; 
if </t>
    </r>
    <r>
      <rPr>
        <i/>
        <sz val="12"/>
        <rFont val="Calibri"/>
        <family val="2"/>
        <scheme val="minor"/>
      </rPr>
      <t>ls_proddif</t>
    </r>
    <r>
      <rPr>
        <sz val="12"/>
        <rFont val="Calibri"/>
        <family val="2"/>
        <scheme val="minor"/>
      </rPr>
      <t xml:space="preserve"> = 2-4, go to [</t>
    </r>
    <r>
      <rPr>
        <i/>
        <sz val="12"/>
        <color theme="4"/>
        <rFont val="Calibri"/>
        <family val="2"/>
        <scheme val="minor"/>
      </rPr>
      <t>ls_salesmai</t>
    </r>
    <r>
      <rPr>
        <i/>
        <sz val="12"/>
        <color theme="4"/>
        <rFont val="Calibri (Body)"/>
      </rPr>
      <t xml:space="preserve">n </t>
    </r>
    <r>
      <rPr>
        <sz val="12"/>
        <color theme="4"/>
        <rFont val="Calibri (Body)"/>
      </rPr>
      <t xml:space="preserve">OR </t>
    </r>
    <r>
      <rPr>
        <i/>
        <sz val="12"/>
        <color theme="4"/>
        <rFont val="Calibri (Body)"/>
      </rPr>
      <t>optional question</t>
    </r>
    <r>
      <rPr>
        <sz val="12"/>
        <rFont val="Calibri"/>
        <family val="2"/>
        <scheme val="minor"/>
      </rPr>
      <t>]</t>
    </r>
  </si>
  <si>
    <t>ls_proddif_2</t>
  </si>
  <si>
    <t>ls_proddif_
1) ls_proddif_feed_purchase
2) ls_proddif_access_pasture
3) ls_proddif_access_water
4) ls_proddif_vet_serv
5) ls_proddif_vet_input
6) ls_proddif_diseases
7) ls_proddif_theft
8) ls_proddif_access_market
9) ls_proddif_access_credit
10) ls_proddif_access_labour
11) ls_proddif_other
12) ls_proddif_dk
13) ls_proddif_ref</t>
  </si>
  <si>
    <r>
      <t xml:space="preserve">Which difficulties has your household faced with livestock production in the last 3 months?
[OPERATOR: MULTIPLE RESPONSES POSSIBLE. SELECT OPTION(S) THAT BEST FIT THE INFORMATION PROVIDED BY THE RESPONDENTS.]
1)Difficulty to purchase feed [e.g. prices or access to market]
2)Access to pasture
3)Access to water
4)Access to veterinary services </t>
    </r>
    <r>
      <rPr>
        <sz val="12"/>
        <rFont val="Calibri (Body)"/>
      </rPr>
      <t>[vaccinations, treatments, spraying, advisory etc]</t>
    </r>
    <r>
      <rPr>
        <sz val="12"/>
        <rFont val="Calibri"/>
        <family val="2"/>
        <scheme val="minor"/>
      </rPr>
      <t xml:space="preserve">
5)Access to veterinary inputs [medicine for animals / tools for animal health / etc]
6)Livestock diseases or injury
7)Livestock theft
8)Access to livestock market to buy young animals
9)Access to credit
10)</t>
    </r>
    <r>
      <rPr>
        <sz val="12"/>
        <rFont val="Calibri (Body)"/>
      </rPr>
      <t>Access to manpower labour 
11)Other</t>
    </r>
    <r>
      <rPr>
        <sz val="12"/>
        <rFont val="Calibri"/>
        <family val="2"/>
        <scheme val="minor"/>
      </rPr>
      <t xml:space="preserve">
</t>
    </r>
    <r>
      <rPr>
        <sz val="12"/>
        <rFont val="Calibri (Body)"/>
      </rPr>
      <t>12</t>
    </r>
    <r>
      <rPr>
        <sz val="12"/>
        <rFont val="Calibri"/>
        <family val="2"/>
        <scheme val="minor"/>
      </rPr>
      <t xml:space="preserve">)DON'T KNOW
</t>
    </r>
    <r>
      <rPr>
        <sz val="12"/>
        <rFont val="Calibri (Body)"/>
      </rPr>
      <t>13</t>
    </r>
    <r>
      <rPr>
        <sz val="12"/>
        <rFont val="Calibri"/>
        <family val="2"/>
        <scheme val="minor"/>
      </rPr>
      <t>)REFUSED</t>
    </r>
  </si>
  <si>
    <r>
      <t xml:space="preserve">Form Type - Checklist
</t>
    </r>
    <r>
      <rPr>
        <sz val="12"/>
        <rFont val="Calibri (Body)"/>
      </rPr>
      <t>12,13</t>
    </r>
    <r>
      <rPr>
        <sz val="12"/>
        <rFont val="Calibri"/>
        <family val="2"/>
        <scheme val="minor"/>
      </rPr>
      <t xml:space="preserve"> = IsNone</t>
    </r>
  </si>
  <si>
    <r>
      <rPr>
        <sz val="12"/>
        <rFont val="Calibri"/>
        <family val="2"/>
        <scheme val="minor"/>
      </rPr>
      <t>1-</t>
    </r>
    <r>
      <rPr>
        <sz val="12"/>
        <rFont val="Calibri (Body)"/>
      </rPr>
      <t>13</t>
    </r>
    <r>
      <rPr>
        <sz val="12"/>
        <rFont val="Calibri"/>
        <family val="2"/>
        <scheme val="minor"/>
      </rPr>
      <t xml:space="preserve"> =</t>
    </r>
    <r>
      <rPr>
        <sz val="12"/>
        <color theme="4"/>
        <rFont val="Calibri"/>
        <family val="2"/>
        <scheme val="minor"/>
      </rPr>
      <t xml:space="preserve"> [ls_salesm</t>
    </r>
    <r>
      <rPr>
        <sz val="12"/>
        <color theme="4"/>
        <rFont val="Calibri (Body)"/>
      </rPr>
      <t>ain OR</t>
    </r>
    <r>
      <rPr>
        <sz val="12"/>
        <color theme="4"/>
        <rFont val="Calibri"/>
        <family val="2"/>
        <scheme val="minor"/>
      </rPr>
      <t xml:space="preserve"> optional question]</t>
    </r>
  </si>
  <si>
    <t>1)ls_proddif_feed_purchase
2)ls_proddif_access_pasture
3)ls_proddif_access_water
4)ls_proddif_vet_serv
5)ls_proddif_vet_input
6)ls_proddif_diseases
7)ls_proddif_theft
8)ls_proddif_access_market
9)ls_proddif_access_credit
10)ls_proddif_access_labour
11)ls_proddif_other
12)ls_proddif_dk
13)ls_proddif_ref</t>
  </si>
  <si>
    <r>
      <t xml:space="preserve">if </t>
    </r>
    <r>
      <rPr>
        <i/>
        <sz val="12"/>
        <rFont val="Calibri"/>
        <family val="2"/>
        <scheme val="minor"/>
      </rPr>
      <t>ls_proddif_2</t>
    </r>
    <r>
      <rPr>
        <sz val="12"/>
        <rFont val="Calibri"/>
        <family val="2"/>
        <scheme val="minor"/>
      </rPr>
      <t xml:space="preserve"> = 1-</t>
    </r>
    <r>
      <rPr>
        <sz val="12"/>
        <rFont val="Calibri (Body)"/>
      </rPr>
      <t>13</t>
    </r>
    <r>
      <rPr>
        <sz val="12"/>
        <rFont val="Calibri"/>
        <family val="2"/>
        <scheme val="minor"/>
      </rPr>
      <t xml:space="preserve">, go to </t>
    </r>
    <r>
      <rPr>
        <i/>
        <sz val="12"/>
        <color theme="4"/>
        <rFont val="Calibri"/>
        <family val="2"/>
        <scheme val="minor"/>
      </rPr>
      <t>ls_salesmain</t>
    </r>
    <r>
      <rPr>
        <sz val="12"/>
        <color theme="4"/>
        <rFont val="Calibri"/>
        <family val="2"/>
        <scheme val="minor"/>
      </rPr>
      <t xml:space="preserve"> OR </t>
    </r>
    <r>
      <rPr>
        <sz val="12"/>
        <color theme="4"/>
        <rFont val="Calibri (Body)"/>
      </rPr>
      <t>optional question</t>
    </r>
  </si>
  <si>
    <t>ls_all</t>
  </si>
  <si>
    <t>ls_all_
1) ls_all_cattle
2) ls_all_goats
3) ls_all_sheep
4) ls_all_swine
5) ls_all_equine
6) ls_all_smallmammals
7) ls_all_poultry
8) ls_all_camelids
9) ls_all_other
10) ls_all_none
11) ls_all_dk
12) ls_all_ref</t>
  </si>
  <si>
    <t>Do you own any other livestock aside from {ls_main}, and if so which ones?
[OPERATOR: "No other livestock" APPEARS AT THE END OF THE LIST OF OPTIONS. SELECT ALL ANIMALS LISTED BY THE RESPONDENT.]
1)No other livestock
2)DON'T KNOW
3)REFUSED</t>
  </si>
  <si>
    <t>Send if "ls_main" "Equals" "Cattle [cow / beef / veal / yak / buffalo]" Or "ls_main" "Equals" "Goat" Or "ls_main" "Equals" "Sheep" Or "ls_main" "Equals" "Swine [pig / boar / hog / etc]" Or "ls_main" "Equals" "Equine [donkey / horse / etc]" Or "ls_main" "Equals" "Small domesticated mammals [rabbits / minks / guinea pigs / etc]" Or "ls_main" "Equals" "Poultry [chicken / guineafowl / duck / quail / turkey / etc]" Or "ls_main" "Equals" "Camelids" Or "ls_main" "Equals" "Other" if not satisfied go to "ls_salesmain"</t>
  </si>
  <si>
    <t>Form Type - Checklist
Included unselected "ls_main"
1,2,3= IsNone</t>
  </si>
  <si>
    <r>
      <t xml:space="preserve">Dynamic = </t>
    </r>
    <r>
      <rPr>
        <b/>
        <sz val="12"/>
        <color theme="4"/>
        <rFont val="Calibri"/>
        <family val="2"/>
        <scheme val="minor"/>
      </rPr>
      <t xml:space="preserve">ls_salesmain
</t>
    </r>
    <r>
      <rPr>
        <sz val="12"/>
        <rFont val="Calibri"/>
        <family val="2"/>
        <scheme val="minor"/>
      </rPr>
      <t>1-3 =</t>
    </r>
    <r>
      <rPr>
        <b/>
        <sz val="12"/>
        <color theme="4"/>
        <rFont val="Calibri"/>
        <family val="2"/>
        <scheme val="minor"/>
      </rPr>
      <t xml:space="preserve"> ls_salesmain</t>
    </r>
  </si>
  <si>
    <t>1)ls_all_cattle
2)ls_all_goats
3)ls_all_sheep
4)ls_all_swine
5)ls_all_equine
6)ls_all_smallmammals
7)ls_all_poultry
8)ls_all_camelids
9)ls_all_other
10)ls_all_none
11)ls_all_dk
12)ls_all_ref</t>
  </si>
  <si>
    <r>
      <rPr>
        <sz val="12"/>
        <rFont val="Calibri (Body)"/>
      </rPr>
      <t xml:space="preserve">The list of animals that were not selected at </t>
    </r>
    <r>
      <rPr>
        <i/>
        <sz val="12"/>
        <rFont val="Calibri (Body)"/>
      </rPr>
      <t>ls_main</t>
    </r>
    <r>
      <rPr>
        <sz val="12"/>
        <rFont val="Calibri (Body)"/>
      </rPr>
      <t xml:space="preserve"> will appear here with programming. </t>
    </r>
    <r>
      <rPr>
        <sz val="12"/>
        <rFont val="Calibri"/>
        <family val="2"/>
        <scheme val="minor"/>
      </rPr>
      <t xml:space="preserve">
For any response to ls_all, go to </t>
    </r>
    <r>
      <rPr>
        <b/>
        <i/>
        <sz val="12"/>
        <color theme="4"/>
        <rFont val="Calibri"/>
        <family val="2"/>
        <scheme val="minor"/>
      </rPr>
      <t>ls_salesmain</t>
    </r>
  </si>
  <si>
    <t>E. LIVESTOCK MARKETING</t>
  </si>
  <si>
    <t>ls_salesmain</t>
  </si>
  <si>
    <t>What was the main livestock or livestock product sold by your household in the last 3 months?
[OPERATOR: SINGLE RESPONSE. INSIST ON THE MAIN PRODUCT.]
1)Cattle [cow / beef / veal / yak / buffalo]
2)Goat
3)Sheep
4)Swine [pig / boar / hog / etc]
5)Equine [donkey / horse / etc]
6)Small domesticated mammals [rabbits / minks / guinea pigs / etc]
7)Poultry [chicken / guineafowl / duck / quail / turkey / etc]
8)Camelids
9)Eggs
10)Milk or dairy products
11)Skin or leather or wool
12)DON'T KNOW
13)REFUSED</t>
  </si>
  <si>
    <r>
      <t xml:space="preserve">Send if "income_main" "Equals" "Production and sale of livestock </t>
    </r>
    <r>
      <rPr>
        <sz val="12"/>
        <rFont val="Calibri (Body)"/>
      </rPr>
      <t>or</t>
    </r>
    <r>
      <rPr>
        <sz val="12"/>
        <rFont val="Calibri"/>
        <family val="2"/>
        <scheme val="minor"/>
      </rPr>
      <t xml:space="preserve"> livestock products" Or "income_sec" "Equals" "Production and sale of livestock </t>
    </r>
    <r>
      <rPr>
        <sz val="12"/>
        <rFont val="Calibri (Body)"/>
      </rPr>
      <t>or</t>
    </r>
    <r>
      <rPr>
        <sz val="12"/>
        <rFont val="Calibri"/>
        <family val="2"/>
        <scheme val="minor"/>
      </rPr>
      <t xml:space="preserve"> livestock products" Or "income_third" "Equals" "Production and sale of livestock </t>
    </r>
    <r>
      <rPr>
        <sz val="12"/>
        <rFont val="Calibri (Body)"/>
      </rPr>
      <t>or</t>
    </r>
    <r>
      <rPr>
        <sz val="12"/>
        <rFont val="Calibri"/>
        <family val="2"/>
        <scheme val="minor"/>
      </rPr>
      <t xml:space="preserve"> livestock products" if not satisfied go to "fish_intro"</t>
    </r>
  </si>
  <si>
    <t>Form Type - Buttons
IsDemographic</t>
  </si>
  <si>
    <t>1-11 = ls_salesdif
12-13 = fish_intro</t>
  </si>
  <si>
    <r>
      <t xml:space="preserve">If either </t>
    </r>
    <r>
      <rPr>
        <i/>
        <sz val="12"/>
        <rFont val="Calibri"/>
        <family val="2"/>
        <scheme val="minor"/>
      </rPr>
      <t>income_main</t>
    </r>
    <r>
      <rPr>
        <sz val="12"/>
        <rFont val="Calibri"/>
        <family val="2"/>
        <scheme val="minor"/>
      </rPr>
      <t xml:space="preserve"> </t>
    </r>
    <r>
      <rPr>
        <u/>
        <sz val="12"/>
        <rFont val="Calibri"/>
        <family val="2"/>
        <scheme val="minor"/>
      </rPr>
      <t>or</t>
    </r>
    <r>
      <rPr>
        <sz val="12"/>
        <rFont val="Calibri"/>
        <family val="2"/>
        <scheme val="minor"/>
      </rPr>
      <t xml:space="preserve"> </t>
    </r>
    <r>
      <rPr>
        <i/>
        <sz val="12"/>
        <rFont val="Calibri"/>
        <family val="2"/>
        <scheme val="minor"/>
      </rPr>
      <t>income_sec</t>
    </r>
    <r>
      <rPr>
        <sz val="12"/>
        <rFont val="Calibri"/>
        <family val="2"/>
        <scheme val="minor"/>
      </rPr>
      <t xml:space="preserve"> </t>
    </r>
    <r>
      <rPr>
        <u/>
        <sz val="12"/>
        <rFont val="Calibri"/>
        <family val="2"/>
        <scheme val="minor"/>
      </rPr>
      <t>or</t>
    </r>
    <r>
      <rPr>
        <sz val="12"/>
        <rFont val="Calibri"/>
        <family val="2"/>
        <scheme val="minor"/>
      </rPr>
      <t xml:space="preserve"> </t>
    </r>
    <r>
      <rPr>
        <i/>
        <sz val="12"/>
        <rFont val="Calibri"/>
        <family val="2"/>
        <scheme val="minor"/>
      </rPr>
      <t xml:space="preserve">income_third </t>
    </r>
    <r>
      <rPr>
        <sz val="12"/>
        <rFont val="Calibri"/>
        <family val="2"/>
        <scheme val="minor"/>
      </rPr>
      <t xml:space="preserve">= "Production and sale of livestock </t>
    </r>
    <r>
      <rPr>
        <sz val="12"/>
        <rFont val="Calibri (Body)"/>
      </rPr>
      <t>or</t>
    </r>
    <r>
      <rPr>
        <sz val="12"/>
        <rFont val="Calibri"/>
        <family val="2"/>
        <scheme val="minor"/>
      </rPr>
      <t xml:space="preserve"> livestock products"</t>
    </r>
    <r>
      <rPr>
        <sz val="12"/>
        <rFont val="Calibri (Body)"/>
      </rPr>
      <t>,</t>
    </r>
    <r>
      <rPr>
        <sz val="12"/>
        <rFont val="Calibri"/>
        <family val="2"/>
        <scheme val="minor"/>
      </rPr>
      <t xml:space="preserve"> then this section will be asked to respondents.
Otherwise, skip to </t>
    </r>
    <r>
      <rPr>
        <i/>
        <sz val="12"/>
        <rFont val="Calibri"/>
        <family val="2"/>
        <scheme val="minor"/>
      </rPr>
      <t>fish_main</t>
    </r>
    <r>
      <rPr>
        <sz val="12"/>
        <rFont val="Calibri"/>
        <family val="2"/>
        <scheme val="minor"/>
      </rPr>
      <t xml:space="preserve">.
if </t>
    </r>
    <r>
      <rPr>
        <i/>
        <sz val="12"/>
        <rFont val="Calibri"/>
        <family val="2"/>
        <scheme val="minor"/>
      </rPr>
      <t>ls_salesmain</t>
    </r>
    <r>
      <rPr>
        <sz val="12"/>
        <rFont val="Calibri"/>
        <family val="2"/>
        <scheme val="minor"/>
      </rPr>
      <t xml:space="preserve"> = 1-11, go to </t>
    </r>
    <r>
      <rPr>
        <i/>
        <sz val="12"/>
        <rFont val="Calibri"/>
        <family val="2"/>
        <scheme val="minor"/>
      </rPr>
      <t>ls_salesdif</t>
    </r>
    <r>
      <rPr>
        <sz val="12"/>
        <rFont val="Calibri"/>
        <family val="2"/>
        <scheme val="minor"/>
      </rPr>
      <t xml:space="preserve"> ; 
if </t>
    </r>
    <r>
      <rPr>
        <i/>
        <sz val="12"/>
        <rFont val="Calibri"/>
        <family val="2"/>
        <scheme val="minor"/>
      </rPr>
      <t>ls_salesmain</t>
    </r>
    <r>
      <rPr>
        <sz val="12"/>
        <rFont val="Calibri"/>
        <family val="2"/>
        <scheme val="minor"/>
      </rPr>
      <t xml:space="preserve"> = 12-13, go to</t>
    </r>
    <r>
      <rPr>
        <i/>
        <sz val="12"/>
        <rFont val="Calibri"/>
        <family val="2"/>
        <scheme val="minor"/>
      </rPr>
      <t xml:space="preserve"> fish_intro</t>
    </r>
  </si>
  <si>
    <t>ls_salesdif</t>
  </si>
  <si>
    <r>
      <t xml:space="preserve">Has your household faced any </t>
    </r>
    <r>
      <rPr>
        <sz val="12"/>
        <rFont val="Calibri (Body)"/>
      </rPr>
      <t xml:space="preserve">significant </t>
    </r>
    <r>
      <rPr>
        <sz val="12"/>
        <rFont val="Calibri"/>
        <family val="2"/>
        <scheme val="minor"/>
      </rPr>
      <t>difficulty in the last 3 months selling your {ls_salesmain}?
[OPERATOR: SINGLE RESPONSE.]
1)YES
2)NO
3)DON'T KNOW
4)REFUSED</t>
    </r>
  </si>
  <si>
    <t>1 = ls_salesdif_2
2-4 = ls_salesprice</t>
  </si>
  <si>
    <r>
      <t xml:space="preserve">if </t>
    </r>
    <r>
      <rPr>
        <i/>
        <sz val="12"/>
        <rFont val="Calibri"/>
        <family val="2"/>
        <scheme val="minor"/>
      </rPr>
      <t>ls_salesdif</t>
    </r>
    <r>
      <rPr>
        <sz val="12"/>
        <rFont val="Calibri"/>
        <family val="2"/>
        <scheme val="minor"/>
      </rPr>
      <t xml:space="preserve"> = 1, go to </t>
    </r>
    <r>
      <rPr>
        <i/>
        <sz val="12"/>
        <rFont val="Calibri"/>
        <family val="2"/>
        <scheme val="minor"/>
      </rPr>
      <t>ls_salesdif_2</t>
    </r>
    <r>
      <rPr>
        <sz val="12"/>
        <rFont val="Calibri"/>
        <family val="2"/>
        <scheme val="minor"/>
      </rPr>
      <t xml:space="preserve"> ; 
if </t>
    </r>
    <r>
      <rPr>
        <i/>
        <sz val="12"/>
        <rFont val="Calibri"/>
        <family val="2"/>
        <scheme val="minor"/>
      </rPr>
      <t>ls_salesdif</t>
    </r>
    <r>
      <rPr>
        <sz val="12"/>
        <rFont val="Calibri"/>
        <family val="2"/>
        <scheme val="minor"/>
      </rPr>
      <t xml:space="preserve"> = 2-4, go to </t>
    </r>
    <r>
      <rPr>
        <i/>
        <sz val="12"/>
        <rFont val="Calibri"/>
        <family val="2"/>
        <scheme val="minor"/>
      </rPr>
      <t>ls_salesprice</t>
    </r>
  </si>
  <si>
    <t>ls_salesdif_2</t>
  </si>
  <si>
    <r>
      <t>ls_salesdif_
1) ls_salesdif_</t>
    </r>
    <r>
      <rPr>
        <sz val="12"/>
        <rFont val="Calibri (Body)"/>
      </rPr>
      <t>marketing_cost</t>
    </r>
    <r>
      <rPr>
        <sz val="12"/>
        <rFont val="Calibri"/>
        <family val="2"/>
        <scheme val="minor"/>
      </rPr>
      <t xml:space="preserve">
2) ls_salesdif_damage_losses
3) ls_salesdif_low_demand
</t>
    </r>
    <r>
      <rPr>
        <sz val="12"/>
        <rFont val="Calibri (Body)"/>
      </rPr>
      <t>4) ls_salesdif_pay_delay</t>
    </r>
    <r>
      <rPr>
        <sz val="12"/>
        <rFont val="Calibri"/>
        <family val="2"/>
        <scheme val="minor"/>
      </rPr>
      <t xml:space="preserve">
5) ls_salesdif_low_price
6)  ls_salesdif_slaughterhouse
7) ls_salesdif_processing
</t>
    </r>
    <r>
      <rPr>
        <sz val="12"/>
        <rFont val="Calibri (Body)"/>
      </rPr>
      <t>8) ls_salesdif_competition</t>
    </r>
    <r>
      <rPr>
        <sz val="12"/>
        <rFont val="Calibri"/>
        <family val="2"/>
        <scheme val="minor"/>
      </rPr>
      <t xml:space="preserve">
9) ls_salesdif_other
10) ls_salesdif_dk
11) ls_salesdif_ref</t>
    </r>
  </si>
  <si>
    <r>
      <t>Which difficulties has your household faced in the last 3 months selling your {ls_salesmain}?
[OPERATOR: MULTIPLE RESPONSES POSSIBLE. SELECT OPTION(S) THAT BEST FIT THE INFORMATION PROVIDED BY THE RESPONDENTS.]
1)High transportation or other marketing costs
2)</t>
    </r>
    <r>
      <rPr>
        <sz val="12"/>
        <rFont val="Calibri (Body)"/>
      </rPr>
      <t xml:space="preserve">Damage and losses during transportation or </t>
    </r>
    <r>
      <rPr>
        <sz val="12"/>
        <rFont val="Calibri"/>
        <family val="2"/>
        <scheme val="minor"/>
      </rPr>
      <t>difficulty accessing the market
3)</t>
    </r>
    <r>
      <rPr>
        <sz val="12"/>
        <rFont val="Calibri (Body)"/>
      </rPr>
      <t>Lack of demand f</t>
    </r>
    <r>
      <rPr>
        <sz val="12"/>
        <rFont val="Calibri"/>
        <family val="2"/>
        <scheme val="minor"/>
      </rPr>
      <t xml:space="preserve">rom usual traders </t>
    </r>
    <r>
      <rPr>
        <sz val="12"/>
        <rFont val="Calibri (Body)"/>
      </rPr>
      <t xml:space="preserve">or buyers </t>
    </r>
    <r>
      <rPr>
        <strike/>
        <sz val="12"/>
        <rFont val="Calibri (Body)"/>
      </rPr>
      <t xml:space="preserve"> </t>
    </r>
    <r>
      <rPr>
        <sz val="12"/>
        <rFont val="Calibri"/>
        <family val="2"/>
        <scheme val="minor"/>
      </rPr>
      <t xml:space="preserve">
4)</t>
    </r>
    <r>
      <rPr>
        <sz val="12"/>
        <rFont val="Calibri (Body)"/>
      </rPr>
      <t xml:space="preserve">Payment delays from traders / buyers </t>
    </r>
    <r>
      <rPr>
        <sz val="12"/>
        <rFont val="Calibri"/>
        <family val="2"/>
        <scheme val="minor"/>
      </rPr>
      <t xml:space="preserve">
</t>
    </r>
    <r>
      <rPr>
        <sz val="12"/>
        <rFont val="Calibri (Body)"/>
      </rPr>
      <t>5</t>
    </r>
    <r>
      <rPr>
        <sz val="12"/>
        <rFont val="Calibri"/>
        <family val="2"/>
        <scheme val="minor"/>
      </rPr>
      <t xml:space="preserve">)Low selling prices [e.g. compared to input prices / inflation]
</t>
    </r>
    <r>
      <rPr>
        <sz val="12"/>
        <rFont val="Calibri (Body)"/>
      </rPr>
      <t>6</t>
    </r>
    <r>
      <rPr>
        <sz val="12"/>
        <rFont val="Calibri"/>
        <family val="2"/>
        <scheme val="minor"/>
      </rPr>
      <t xml:space="preserve">)Closure of slaughterhouses or difficulties accessing slaughterhouses
</t>
    </r>
    <r>
      <rPr>
        <sz val="12"/>
        <rFont val="Calibri (Body)"/>
      </rPr>
      <t>7</t>
    </r>
    <r>
      <rPr>
        <sz val="12"/>
        <rFont val="Calibri"/>
        <family val="2"/>
        <scheme val="minor"/>
      </rPr>
      <t xml:space="preserve">)Difficulties processing product other than closure of slaughterhouse [lack of access to processing inputs / equipment / etc]
</t>
    </r>
    <r>
      <rPr>
        <sz val="12"/>
        <rFont val="Calibri (Body)"/>
      </rPr>
      <t>8)Market flooded with products</t>
    </r>
    <r>
      <rPr>
        <sz val="12"/>
        <rFont val="Calibri"/>
        <family val="2"/>
        <scheme val="minor"/>
      </rPr>
      <t xml:space="preserve">
</t>
    </r>
    <r>
      <rPr>
        <sz val="12"/>
        <rFont val="Calibri (Body)"/>
      </rPr>
      <t>9</t>
    </r>
    <r>
      <rPr>
        <sz val="12"/>
        <rFont val="Calibri"/>
        <family val="2"/>
        <scheme val="minor"/>
      </rPr>
      <t xml:space="preserve">)Other
</t>
    </r>
    <r>
      <rPr>
        <sz val="12"/>
        <rFont val="Calibri (Body)"/>
      </rPr>
      <t>10</t>
    </r>
    <r>
      <rPr>
        <sz val="12"/>
        <rFont val="Calibri"/>
        <family val="2"/>
        <scheme val="minor"/>
      </rPr>
      <t xml:space="preserve">)DON'T KNOW
</t>
    </r>
    <r>
      <rPr>
        <sz val="12"/>
        <rFont val="Calibri (Body)"/>
      </rPr>
      <t>11</t>
    </r>
    <r>
      <rPr>
        <sz val="12"/>
        <rFont val="Calibri"/>
        <family val="2"/>
        <scheme val="minor"/>
      </rPr>
      <t>)REFUSED</t>
    </r>
  </si>
  <si>
    <r>
      <t xml:space="preserve">Form Type - Checklist
</t>
    </r>
    <r>
      <rPr>
        <sz val="12"/>
        <rFont val="Calibri (Body)"/>
      </rPr>
      <t>10,11</t>
    </r>
    <r>
      <rPr>
        <sz val="12"/>
        <rFont val="Calibri"/>
        <family val="2"/>
        <scheme val="minor"/>
      </rPr>
      <t xml:space="preserve"> = IsNone</t>
    </r>
  </si>
  <si>
    <r>
      <t>1-</t>
    </r>
    <r>
      <rPr>
        <sz val="12"/>
        <rFont val="Calibri (Body)"/>
      </rPr>
      <t>11</t>
    </r>
    <r>
      <rPr>
        <sz val="12"/>
        <rFont val="Calibri"/>
        <family val="2"/>
        <scheme val="minor"/>
      </rPr>
      <t xml:space="preserve"> = ls_salesprice</t>
    </r>
  </si>
  <si>
    <t>1)ls_salesdif_marketing_cost
2)ls_salesdif_damage_losses
3)ls_salesdif_low_demand
4)ls_salesdif_pay_delay
5)ls_salesdif_low_price
6)ls_salesdif_slaughterhouse
7)ls_salesdif_processing
8)ls_salesdif_competition
9)ls_salesdif_other
10)ls_salesdif_dk
11)ls_salesdif_ref</t>
  </si>
  <si>
    <r>
      <t xml:space="preserve">if </t>
    </r>
    <r>
      <rPr>
        <i/>
        <sz val="12"/>
        <rFont val="Calibri"/>
        <family val="2"/>
        <scheme val="minor"/>
      </rPr>
      <t>ls_salesdif_2</t>
    </r>
    <r>
      <rPr>
        <sz val="12"/>
        <rFont val="Calibri"/>
        <family val="2"/>
        <scheme val="minor"/>
      </rPr>
      <t xml:space="preserve"> = 1-</t>
    </r>
    <r>
      <rPr>
        <sz val="12"/>
        <rFont val="Calibri (Body)"/>
      </rPr>
      <t>11</t>
    </r>
    <r>
      <rPr>
        <sz val="12"/>
        <rFont val="Calibri"/>
        <family val="2"/>
        <scheme val="minor"/>
      </rPr>
      <t xml:space="preserve">, go to </t>
    </r>
    <r>
      <rPr>
        <i/>
        <sz val="12"/>
        <rFont val="Calibri"/>
        <family val="2"/>
        <scheme val="minor"/>
      </rPr>
      <t>ls_salesprice</t>
    </r>
  </si>
  <si>
    <t>ls_salesprice</t>
  </si>
  <si>
    <r>
      <t xml:space="preserve">How does the current price of your household's {ls_salesmain} compare to the average price in the same period of </t>
    </r>
    <r>
      <rPr>
        <b/>
        <sz val="12"/>
        <color rgb="FF7030A0"/>
        <rFont val="Calibri"/>
        <family val="2"/>
        <scheme val="minor"/>
      </rPr>
      <t>$</t>
    </r>
    <r>
      <rPr>
        <b/>
        <sz val="12"/>
        <color rgb="FF7030A0"/>
        <rFont val="Calibri (Body)"/>
      </rPr>
      <t>reference year$</t>
    </r>
    <r>
      <rPr>
        <sz val="12"/>
        <rFont val="Calibri"/>
        <family val="2"/>
        <scheme val="minor"/>
      </rPr>
      <t>?
[OPERATOR: SINGLE RESPONSE. INSIST ON THE MAIN PRODUCT MENTIONED.]
1)A lot more [increased by more than 50%]
2)Slightly more
3)Same
4)Slightly less
5)A lot less [less than half as much]
6)DON'T KNOW
7)REFUSED</t>
    </r>
  </si>
  <si>
    <r>
      <t xml:space="preserve">1-7 = </t>
    </r>
    <r>
      <rPr>
        <b/>
        <sz val="12"/>
        <color rgb="FF0070C0"/>
        <rFont val="Calibri"/>
        <family val="2"/>
        <scheme val="minor"/>
      </rPr>
      <t>fish_intro</t>
    </r>
  </si>
  <si>
    <r>
      <t>For options #1-7, go to</t>
    </r>
    <r>
      <rPr>
        <sz val="12"/>
        <color theme="4"/>
        <rFont val="Calibri"/>
        <family val="2"/>
        <scheme val="minor"/>
      </rPr>
      <t xml:space="preserve"> fish_intro</t>
    </r>
  </si>
  <si>
    <t>F. FISHERIES PRODUCTION</t>
  </si>
  <si>
    <t>fish_intro</t>
  </si>
  <si>
    <r>
      <rPr>
        <sz val="12"/>
        <rFont val="Calibri (Body)"/>
      </rPr>
      <t>We will now ask you some questions about fishing</t>
    </r>
    <r>
      <rPr>
        <sz val="12"/>
        <rFont val="Calibri"/>
        <family val="2"/>
        <scheme val="minor"/>
      </rPr>
      <t xml:space="preserve"> </t>
    </r>
    <r>
      <rPr>
        <sz val="12"/>
        <rFont val="Calibri (Body)"/>
      </rPr>
      <t>and aquaculture production which apply to you and anyone in your household that is involved in the</t>
    </r>
    <r>
      <rPr>
        <sz val="12"/>
        <rFont val="Calibri"/>
        <family val="2"/>
        <scheme val="minor"/>
      </rPr>
      <t xml:space="preserve"> </t>
    </r>
    <r>
      <rPr>
        <sz val="12"/>
        <rFont val="Calibri (Body)"/>
      </rPr>
      <t>capture, culture, or harvest of fish and aquatic products.
1)CONTINUE</t>
    </r>
  </si>
  <si>
    <r>
      <t xml:space="preserve">Send if "income_main_fish_check" "Equals" "YES" Or "income_sec_fish_check" "Equals" "YES Or "income_third_fish_check" "Equals" "YES" </t>
    </r>
    <r>
      <rPr>
        <b/>
        <sz val="12"/>
        <color theme="4"/>
        <rFont val="Calibri (Body)"/>
      </rPr>
      <t>Or "hh_fish" "Equals" "YES"</t>
    </r>
    <r>
      <rPr>
        <sz val="12"/>
        <rFont val="Calibri"/>
        <family val="2"/>
        <scheme val="minor"/>
      </rPr>
      <t xml:space="preserve"> if not satisfied go to "fies"</t>
    </r>
  </si>
  <si>
    <t>1 = fish_main</t>
  </si>
  <si>
    <r>
      <t>If the respondent reported production and sales of fish in one of the three main income sources and confirmed that they are involved in production,</t>
    </r>
    <r>
      <rPr>
        <b/>
        <sz val="12"/>
        <color theme="4"/>
        <rFont val="Calibri (Body)"/>
      </rPr>
      <t xml:space="preserve"> or if they indicated being involved involved in fishing or aquaculture activities in the past 12 months in </t>
    </r>
    <r>
      <rPr>
        <b/>
        <i/>
        <sz val="12"/>
        <color theme="4"/>
        <rFont val="Calibri (Body)"/>
      </rPr>
      <t>hh_fish</t>
    </r>
    <r>
      <rPr>
        <sz val="12"/>
        <rFont val="Calibri"/>
        <family val="2"/>
        <scheme val="minor"/>
      </rPr>
      <t xml:space="preserve">, then this section will be administered to respondents. Otherwise, skip to </t>
    </r>
    <r>
      <rPr>
        <i/>
        <sz val="12"/>
        <rFont val="Calibri"/>
        <family val="2"/>
        <scheme val="minor"/>
      </rPr>
      <t>fies</t>
    </r>
  </si>
  <si>
    <t>fish_main</t>
  </si>
  <si>
    <r>
      <rPr>
        <b/>
        <sz val="12"/>
        <rFont val="Calibri"/>
        <family val="2"/>
        <scheme val="minor"/>
      </rPr>
      <t>fish_main_</t>
    </r>
    <r>
      <rPr>
        <sz val="12"/>
        <rFont val="Calibri"/>
        <family val="2"/>
        <scheme val="minor"/>
      </rPr>
      <t xml:space="preserve">
1) fish_main_coastal
2) fish_main_</t>
    </r>
    <r>
      <rPr>
        <sz val="12"/>
        <rFont val="Calibri (Body)"/>
      </rPr>
      <t>offshore_sea</t>
    </r>
    <r>
      <rPr>
        <sz val="12"/>
        <rFont val="Calibri"/>
        <family val="2"/>
        <scheme val="minor"/>
      </rPr>
      <t xml:space="preserve">
3) fish_main_</t>
    </r>
    <r>
      <rPr>
        <sz val="12"/>
        <rFont val="Calibri (Body)"/>
      </rPr>
      <t>freshwater</t>
    </r>
    <r>
      <rPr>
        <sz val="12"/>
        <rFont val="Calibri"/>
        <family val="2"/>
        <scheme val="minor"/>
      </rPr>
      <t xml:space="preserve">
4) fish_main_aquaculture
5) fish_main_dk
6) fish_main_ref</t>
    </r>
  </si>
  <si>
    <r>
      <t xml:space="preserve">What type of fishing activity does your household generally practice?
[OPERATOR: MULTIPLE RESPONSES </t>
    </r>
    <r>
      <rPr>
        <sz val="12"/>
        <rFont val="Calibri (Body)"/>
      </rPr>
      <t>POSSIBLE.</t>
    </r>
    <r>
      <rPr>
        <sz val="12"/>
        <rFont val="Calibri"/>
        <family val="2"/>
        <scheme val="minor"/>
      </rPr>
      <t>]
1)</t>
    </r>
    <r>
      <rPr>
        <sz val="12"/>
        <rFont val="Calibri (Body)"/>
      </rPr>
      <t xml:space="preserve">Near </t>
    </r>
    <r>
      <rPr>
        <sz val="12"/>
        <rFont val="Calibri"/>
        <family val="2"/>
        <scheme val="minor"/>
      </rPr>
      <t>coastal</t>
    </r>
    <r>
      <rPr>
        <sz val="12"/>
        <rFont val="Calibri (Body)"/>
      </rPr>
      <t>, delta, lagoon</t>
    </r>
    <r>
      <rPr>
        <sz val="12"/>
        <rFont val="Calibri"/>
        <family val="2"/>
        <scheme val="minor"/>
      </rPr>
      <t xml:space="preserve"> fishing
2)</t>
    </r>
    <r>
      <rPr>
        <sz val="12"/>
        <rFont val="Calibri (Body)"/>
      </rPr>
      <t>Offshore</t>
    </r>
    <r>
      <rPr>
        <sz val="12"/>
        <rFont val="Calibri"/>
        <family val="2"/>
        <scheme val="minor"/>
      </rPr>
      <t xml:space="preserve"> sea fishing
3)</t>
    </r>
    <r>
      <rPr>
        <sz val="12"/>
        <rFont val="Calibri (Body)"/>
      </rPr>
      <t xml:space="preserve">Freshwater </t>
    </r>
    <r>
      <rPr>
        <sz val="12"/>
        <rFont val="Calibri"/>
        <family val="2"/>
        <scheme val="minor"/>
      </rPr>
      <t>fishing [in lakes</t>
    </r>
    <r>
      <rPr>
        <sz val="12"/>
        <rFont val="Calibri (Body)"/>
      </rPr>
      <t>, reservoirs,</t>
    </r>
    <r>
      <rPr>
        <sz val="12"/>
        <rFont val="Calibri"/>
        <family val="2"/>
        <scheme val="minor"/>
      </rPr>
      <t xml:space="preserve"> ponds, rivers</t>
    </r>
    <r>
      <rPr>
        <sz val="12"/>
        <rFont val="Calibri (Body)"/>
      </rPr>
      <t>, or wetlands</t>
    </r>
    <r>
      <rPr>
        <sz val="12"/>
        <rFont val="Calibri"/>
        <family val="2"/>
        <scheme val="minor"/>
      </rPr>
      <t>]
4)Aquaculture
5)DON'T KNOW
6)REFUSED</t>
    </r>
  </si>
  <si>
    <t>Form Type - Checklist
5,6 = IsNone</t>
  </si>
  <si>
    <t>1-6 = fish_change</t>
  </si>
  <si>
    <t>1)fish_main_coastal
2)fish_main_offshore_sea
3)fish_main_freshwater
4)fish_main_aquaculture
5)fish_main_dk
6)fish_main_ref</t>
  </si>
  <si>
    <r>
      <t xml:space="preserve">if </t>
    </r>
    <r>
      <rPr>
        <i/>
        <sz val="12"/>
        <rFont val="Calibri"/>
        <family val="2"/>
        <scheme val="minor"/>
      </rPr>
      <t xml:space="preserve">fish_main </t>
    </r>
    <r>
      <rPr>
        <sz val="12"/>
        <rFont val="Calibri"/>
        <family val="2"/>
        <scheme val="minor"/>
      </rPr>
      <t xml:space="preserve">= 1-6, go to </t>
    </r>
    <r>
      <rPr>
        <i/>
        <sz val="12"/>
        <rFont val="Calibri"/>
        <family val="2"/>
        <scheme val="minor"/>
      </rPr>
      <t>fish_change</t>
    </r>
  </si>
  <si>
    <t>fish_change</t>
  </si>
  <si>
    <r>
      <rPr>
        <sz val="12"/>
        <rFont val="Calibri (Body)"/>
      </rPr>
      <t>How does your fish catch [farmed] in the last 3 months [last harvest] compare to the same period [harvest] last year?
[OPERATOR: SINGLE RESPONSE.]
1)A lot more [increased by more than 50%]
2)Slightly more</t>
    </r>
    <r>
      <rPr>
        <sz val="12"/>
        <rFont val="Calibri"/>
        <family val="2"/>
        <scheme val="minor"/>
      </rPr>
      <t xml:space="preserve">
</t>
    </r>
    <r>
      <rPr>
        <sz val="12"/>
        <rFont val="Calibri (Body)"/>
      </rPr>
      <t>3)Same</t>
    </r>
    <r>
      <rPr>
        <sz val="12"/>
        <rFont val="Calibri"/>
        <family val="2"/>
        <scheme val="minor"/>
      </rPr>
      <t xml:space="preserve">
</t>
    </r>
    <r>
      <rPr>
        <sz val="12"/>
        <rFont val="Calibri (Body)"/>
      </rPr>
      <t>4)Slightly less</t>
    </r>
    <r>
      <rPr>
        <sz val="12"/>
        <rFont val="Calibri"/>
        <family val="2"/>
        <scheme val="minor"/>
      </rPr>
      <t xml:space="preserve">
</t>
    </r>
    <r>
      <rPr>
        <sz val="12"/>
        <rFont val="Calibri (Body)"/>
      </rPr>
      <t>5)A lot less [less than half as much]
6)DON'T KNOW
7)REFUSED</t>
    </r>
  </si>
  <si>
    <t>1-7 = fish_proddif</t>
  </si>
  <si>
    <r>
      <t xml:space="preserve">if </t>
    </r>
    <r>
      <rPr>
        <i/>
        <sz val="12"/>
        <rFont val="Calibri"/>
        <family val="2"/>
        <scheme val="minor"/>
      </rPr>
      <t>fish_change</t>
    </r>
    <r>
      <rPr>
        <sz val="12"/>
        <rFont val="Calibri"/>
        <family val="2"/>
        <scheme val="minor"/>
      </rPr>
      <t xml:space="preserve"> = 1-7, go to </t>
    </r>
    <r>
      <rPr>
        <i/>
        <sz val="12"/>
        <rFont val="Calibri"/>
        <family val="2"/>
        <scheme val="minor"/>
      </rPr>
      <t>fish_proddif</t>
    </r>
  </si>
  <si>
    <t>fish_proddif</t>
  </si>
  <si>
    <r>
      <t>Has your household faced any</t>
    </r>
    <r>
      <rPr>
        <sz val="12"/>
        <rFont val="Calibri (Body)"/>
      </rPr>
      <t xml:space="preserve"> significant difficulty</t>
    </r>
    <r>
      <rPr>
        <sz val="12"/>
        <rFont val="Calibri"/>
        <family val="2"/>
        <scheme val="minor"/>
      </rPr>
      <t xml:space="preserve"> with fish </t>
    </r>
    <r>
      <rPr>
        <sz val="12"/>
        <rFont val="Calibri (Body)"/>
      </rPr>
      <t>catch</t>
    </r>
    <r>
      <rPr>
        <sz val="12"/>
        <rFont val="Calibri"/>
        <family val="2"/>
        <scheme val="minor"/>
      </rPr>
      <t xml:space="preserve"> </t>
    </r>
    <r>
      <rPr>
        <sz val="12"/>
        <rFont val="Calibri (Body)"/>
      </rPr>
      <t>/ harvest / farming</t>
    </r>
    <r>
      <rPr>
        <sz val="12"/>
        <rFont val="Calibri"/>
        <family val="2"/>
        <scheme val="minor"/>
      </rPr>
      <t xml:space="preserve"> in the last</t>
    </r>
    <r>
      <rPr>
        <sz val="12"/>
        <rFont val="Calibri (Body)"/>
      </rPr>
      <t xml:space="preserve"> 3</t>
    </r>
    <r>
      <rPr>
        <sz val="12"/>
        <rFont val="Calibri"/>
        <family val="2"/>
        <scheme val="minor"/>
      </rPr>
      <t xml:space="preserve"> months?
[OPERATOR: SINGLE RESPONSE.]
1)YES
2)NO
3)DON'T KNOW
4)REFUSED</t>
    </r>
  </si>
  <si>
    <r>
      <t xml:space="preserve">1=fish_proddif_2
2-4= </t>
    </r>
    <r>
      <rPr>
        <sz val="12"/>
        <color rgb="FF0070C0"/>
        <rFont val="Calibri"/>
        <family val="2"/>
        <scheme val="minor"/>
      </rPr>
      <t>[</t>
    </r>
    <r>
      <rPr>
        <b/>
        <sz val="12"/>
        <color rgb="FF0070C0"/>
        <rFont val="Calibri"/>
        <family val="2"/>
        <scheme val="minor"/>
      </rPr>
      <t>fish_salesmain</t>
    </r>
    <r>
      <rPr>
        <sz val="12"/>
        <color rgb="FF0070C0"/>
        <rFont val="Calibri"/>
        <family val="2"/>
        <scheme val="minor"/>
      </rPr>
      <t xml:space="preserve"> OR </t>
    </r>
    <r>
      <rPr>
        <b/>
        <sz val="12"/>
        <color rgb="FF0070C0"/>
        <rFont val="Calibri"/>
        <family val="2"/>
        <scheme val="minor"/>
      </rPr>
      <t>optional question</t>
    </r>
    <r>
      <rPr>
        <sz val="12"/>
        <color rgb="FF0070C0"/>
        <rFont val="Calibri"/>
        <family val="2"/>
        <scheme val="minor"/>
      </rPr>
      <t>]</t>
    </r>
  </si>
  <si>
    <r>
      <t xml:space="preserve">if fish_proddif = 1, go to fish_proddif_2 ; 
if fish_proddif = 2-4, go to </t>
    </r>
    <r>
      <rPr>
        <sz val="12"/>
        <color theme="4"/>
        <rFont val="Calibri"/>
        <family val="2"/>
        <scheme val="minor"/>
      </rPr>
      <t>fish_salesmain OR optional question</t>
    </r>
  </si>
  <si>
    <t>fish_proddif_2</t>
  </si>
  <si>
    <r>
      <t>fish_proddif_
1) fish_proddif_find_</t>
    </r>
    <r>
      <rPr>
        <sz val="12"/>
        <rFont val="Calibri (Body)"/>
      </rPr>
      <t>fish</t>
    </r>
    <r>
      <rPr>
        <sz val="12"/>
        <rFont val="Calibri"/>
        <family val="2"/>
        <scheme val="minor"/>
      </rPr>
      <t xml:space="preserve">
</t>
    </r>
    <r>
      <rPr>
        <sz val="12"/>
        <rFont val="Calibri (Body)"/>
      </rPr>
      <t>2) fish_proddif_pests
3</t>
    </r>
    <r>
      <rPr>
        <sz val="12"/>
        <rFont val="Calibri"/>
        <family val="2"/>
        <scheme val="minor"/>
      </rPr>
      <t>) fish_proddif_</t>
    </r>
    <r>
      <rPr>
        <sz val="12"/>
        <rFont val="Calibri (Body)"/>
      </rPr>
      <t>access_area</t>
    </r>
    <r>
      <rPr>
        <sz val="12"/>
        <rFont val="Calibri"/>
        <family val="2"/>
        <scheme val="minor"/>
      </rPr>
      <t xml:space="preserve">
</t>
    </r>
    <r>
      <rPr>
        <sz val="12"/>
        <rFont val="Calibri (Body)"/>
      </rPr>
      <t>4</t>
    </r>
    <r>
      <rPr>
        <sz val="12"/>
        <rFont val="Calibri"/>
        <family val="2"/>
        <scheme val="minor"/>
      </rPr>
      <t xml:space="preserve">) fish_proddif_fuel
</t>
    </r>
    <r>
      <rPr>
        <sz val="12"/>
        <rFont val="Calibri (Body)"/>
      </rPr>
      <t>5</t>
    </r>
    <r>
      <rPr>
        <sz val="12"/>
        <rFont val="Calibri"/>
        <family val="2"/>
        <scheme val="minor"/>
      </rPr>
      <t>) fish_proddif_input</t>
    </r>
    <r>
      <rPr>
        <sz val="12"/>
        <rFont val="Calibri (Body)"/>
      </rPr>
      <t>_access</t>
    </r>
    <r>
      <rPr>
        <sz val="12"/>
        <rFont val="Calibri"/>
        <family val="2"/>
        <scheme val="minor"/>
      </rPr>
      <t xml:space="preserve">
</t>
    </r>
    <r>
      <rPr>
        <sz val="12"/>
        <rFont val="Calibri (Body)"/>
      </rPr>
      <t>6</t>
    </r>
    <r>
      <rPr>
        <sz val="12"/>
        <rFont val="Calibri"/>
        <family val="2"/>
        <scheme val="minor"/>
      </rPr>
      <t xml:space="preserve">) fish_proddif_labour
</t>
    </r>
    <r>
      <rPr>
        <sz val="12"/>
        <rFont val="Calibri (Body)"/>
      </rPr>
      <t>7) fish_proddif_infrastructure
8) fish_proddif_damage_equip</t>
    </r>
    <r>
      <rPr>
        <sz val="12"/>
        <rFont val="Calibri"/>
        <family val="2"/>
        <scheme val="minor"/>
      </rPr>
      <t xml:space="preserve">
</t>
    </r>
    <r>
      <rPr>
        <sz val="12"/>
        <rFont val="Calibri (Body)"/>
      </rPr>
      <t>9</t>
    </r>
    <r>
      <rPr>
        <sz val="12"/>
        <rFont val="Calibri"/>
        <family val="2"/>
        <scheme val="minor"/>
      </rPr>
      <t xml:space="preserve">) fish_proddif_other
</t>
    </r>
    <r>
      <rPr>
        <sz val="12"/>
        <rFont val="Calibri (Body)"/>
      </rPr>
      <t>10</t>
    </r>
    <r>
      <rPr>
        <sz val="12"/>
        <rFont val="Calibri"/>
        <family val="2"/>
        <scheme val="minor"/>
      </rPr>
      <t xml:space="preserve">) fish_proddif_dk
</t>
    </r>
    <r>
      <rPr>
        <sz val="12"/>
        <rFont val="Calibri (Body)"/>
      </rPr>
      <t>11</t>
    </r>
    <r>
      <rPr>
        <sz val="12"/>
        <rFont val="Calibri"/>
        <family val="2"/>
        <scheme val="minor"/>
      </rPr>
      <t>) fish_proddif_ref</t>
    </r>
  </si>
  <si>
    <r>
      <rPr>
        <sz val="12"/>
        <rFont val="Calibri (Body)"/>
      </rPr>
      <t xml:space="preserve">Which difficulties has </t>
    </r>
    <r>
      <rPr>
        <sz val="12"/>
        <rFont val="Calibri"/>
        <family val="2"/>
        <scheme val="minor"/>
      </rPr>
      <t>your household</t>
    </r>
    <r>
      <rPr>
        <sz val="12"/>
        <rFont val="Calibri (Body)"/>
      </rPr>
      <t xml:space="preserve"> faced with fish catch / harvest / farming in </t>
    </r>
    <r>
      <rPr>
        <sz val="12"/>
        <rFont val="Calibri"/>
        <family val="2"/>
        <scheme val="minor"/>
      </rPr>
      <t xml:space="preserve">the last 3 months?
[OPERATOR: MULTIPLE RESPONSES POSSIBLE. SELECT OPTION(S) THAT BEST FIT THE INFORMATION PROVIDED BY THE RESPONDENTS.]
1)Fish is more difficult to find than in previous years in the same season </t>
    </r>
    <r>
      <rPr>
        <sz val="12"/>
        <rFont val="Calibri (Body)"/>
      </rPr>
      <t>[fishing]
2)Fish pests and diseases [aquaculture]
3)Access to fishing or aquaculture area [e.g. due to weather or security]</t>
    </r>
    <r>
      <rPr>
        <sz val="12"/>
        <rFont val="Calibri"/>
        <family val="2"/>
        <scheme val="minor"/>
      </rPr>
      <t xml:space="preserve">
</t>
    </r>
    <r>
      <rPr>
        <sz val="12"/>
        <rFont val="Calibri (Body)"/>
      </rPr>
      <t>4</t>
    </r>
    <r>
      <rPr>
        <sz val="12"/>
        <rFont val="Calibri"/>
        <family val="2"/>
        <scheme val="minor"/>
      </rPr>
      <t>)</t>
    </r>
    <r>
      <rPr>
        <sz val="12"/>
        <rFont val="Calibri (Body)"/>
      </rPr>
      <t>Access to</t>
    </r>
    <r>
      <rPr>
        <sz val="12"/>
        <rFont val="Calibri"/>
        <family val="2"/>
        <scheme val="minor"/>
      </rPr>
      <t xml:space="preserve"> fuel [prices higher or not available]
</t>
    </r>
    <r>
      <rPr>
        <sz val="12"/>
        <rFont val="Calibri (Body)"/>
      </rPr>
      <t>5</t>
    </r>
    <r>
      <rPr>
        <sz val="12"/>
        <rFont val="Calibri"/>
        <family val="2"/>
        <scheme val="minor"/>
      </rPr>
      <t>)</t>
    </r>
    <r>
      <rPr>
        <sz val="12"/>
        <rFont val="Calibri (Body)"/>
      </rPr>
      <t>Access to</t>
    </r>
    <r>
      <rPr>
        <sz val="12"/>
        <rFont val="Calibri"/>
        <family val="2"/>
        <scheme val="minor"/>
      </rPr>
      <t xml:space="preserve"> </t>
    </r>
    <r>
      <rPr>
        <sz val="12"/>
        <rFont val="Calibri (Body)"/>
      </rPr>
      <t xml:space="preserve">other </t>
    </r>
    <r>
      <rPr>
        <sz val="12"/>
        <rFont val="Calibri"/>
        <family val="2"/>
        <scheme val="minor"/>
      </rPr>
      <t xml:space="preserve">fishing </t>
    </r>
    <r>
      <rPr>
        <sz val="12"/>
        <rFont val="Calibri (Body)"/>
      </rPr>
      <t>or culture i</t>
    </r>
    <r>
      <rPr>
        <sz val="12"/>
        <rFont val="Calibri"/>
        <family val="2"/>
        <scheme val="minor"/>
      </rPr>
      <t xml:space="preserve">nputs [prices higher or not available]
</t>
    </r>
    <r>
      <rPr>
        <sz val="12"/>
        <rFont val="Calibri (Body)"/>
      </rPr>
      <t>6</t>
    </r>
    <r>
      <rPr>
        <sz val="12"/>
        <rFont val="Calibri"/>
        <family val="2"/>
        <scheme val="minor"/>
      </rPr>
      <t>)</t>
    </r>
    <r>
      <rPr>
        <sz val="12"/>
        <rFont val="Calibri (Body)"/>
      </rPr>
      <t>Access to labour or crew labour [prices higher or not available]
7)Damage or destruction of infrastructure [ponds, cages, ports, landing sites]
8)Damage or destruction of boats or gears
9)Other
10)DON'T KNOW
11)REFUSED</t>
    </r>
  </si>
  <si>
    <r>
      <rPr>
        <sz val="12"/>
        <rFont val="Calibri (Body)"/>
      </rPr>
      <t>1-11 =</t>
    </r>
    <r>
      <rPr>
        <sz val="12"/>
        <color theme="4"/>
        <rFont val="Calibri"/>
        <family val="2"/>
        <scheme val="minor"/>
      </rPr>
      <t xml:space="preserve"> [</t>
    </r>
    <r>
      <rPr>
        <b/>
        <sz val="12"/>
        <color theme="4"/>
        <rFont val="Calibri"/>
        <family val="2"/>
        <scheme val="minor"/>
      </rPr>
      <t xml:space="preserve">fish_salesmain </t>
    </r>
    <r>
      <rPr>
        <sz val="12"/>
        <color theme="4"/>
        <rFont val="Calibri"/>
        <family val="2"/>
        <scheme val="minor"/>
      </rPr>
      <t>OR</t>
    </r>
    <r>
      <rPr>
        <b/>
        <sz val="12"/>
        <color theme="4"/>
        <rFont val="Calibri"/>
        <family val="2"/>
        <scheme val="minor"/>
      </rPr>
      <t xml:space="preserve"> optional question</t>
    </r>
    <r>
      <rPr>
        <sz val="12"/>
        <color theme="4"/>
        <rFont val="Calibri"/>
        <family val="2"/>
        <scheme val="minor"/>
      </rPr>
      <t>]</t>
    </r>
  </si>
  <si>
    <t>1)fish_proddif_find_fish
2)fish_proddif_pests
3)fish_proddif_access_area
4)fish_proddif_fuel
5)fish_proddif_input_access
6)fish_proddif_labour
7)fish_proddif_infrastructure
8)fish_proddif_damage_equip
9)fish_proddif_other
10)fish_proddif_dk
11)fish_proddif_ref</t>
  </si>
  <si>
    <r>
      <t>If fish_proddif_2 = 1-</t>
    </r>
    <r>
      <rPr>
        <sz val="12"/>
        <rFont val="Calibri (Body)"/>
      </rPr>
      <t>11</t>
    </r>
    <r>
      <rPr>
        <sz val="12"/>
        <rFont val="Calibri"/>
        <family val="2"/>
        <scheme val="minor"/>
      </rPr>
      <t xml:space="preserve">, go to </t>
    </r>
    <r>
      <rPr>
        <sz val="12"/>
        <color theme="4"/>
        <rFont val="Calibri"/>
        <family val="2"/>
        <scheme val="minor"/>
      </rPr>
      <t>fish_salesmain OR optional question</t>
    </r>
  </si>
  <si>
    <t>fish_inputdif</t>
  </si>
  <si>
    <r>
      <t xml:space="preserve">fish_inputdif_
1) fish_inputdif_bait_feed
2)fish_inputdif_fingerling
3) fish_inputdif_gear
4) fish_inputdif_ice
5) fish_inputdif_fuel
6) fish_inputdif_repairs
</t>
    </r>
    <r>
      <rPr>
        <sz val="12"/>
        <rFont val="Calibri (Body)"/>
      </rPr>
      <t>7) fish_inputdif_labour</t>
    </r>
    <r>
      <rPr>
        <sz val="12"/>
        <rFont val="Calibri"/>
        <family val="2"/>
        <scheme val="minor"/>
      </rPr>
      <t xml:space="preserve">
8) fish_inputdif_other 
9)fish_inputdif_dk
10) fish_inputdif_ref</t>
    </r>
  </si>
  <si>
    <r>
      <t>Which fishing [</t>
    </r>
    <r>
      <rPr>
        <sz val="12"/>
        <rFont val="Calibri (Body)"/>
      </rPr>
      <t>culture] input</t>
    </r>
    <r>
      <rPr>
        <sz val="12"/>
        <rFont val="Calibri"/>
        <family val="2"/>
        <scheme val="minor"/>
      </rPr>
      <t xml:space="preserve"> material has your household had difficulties accessing in the last 3 months?
[OPERATOR: MULTIPLE RESPONSE</t>
    </r>
    <r>
      <rPr>
        <sz val="12"/>
        <rFont val="Calibri (Body)"/>
      </rPr>
      <t xml:space="preserve"> </t>
    </r>
    <r>
      <rPr>
        <sz val="12"/>
        <rFont val="Calibri"/>
        <family val="2"/>
        <scheme val="minor"/>
      </rPr>
      <t>POSSIBLE.]
1)</t>
    </r>
    <r>
      <rPr>
        <sz val="12"/>
        <rFont val="Calibri (Body)"/>
      </rPr>
      <t>Feed or bait</t>
    </r>
    <r>
      <rPr>
        <sz val="12"/>
        <rFont val="Calibri"/>
        <family val="2"/>
        <scheme val="minor"/>
      </rPr>
      <t xml:space="preserve">
</t>
    </r>
    <r>
      <rPr>
        <sz val="12"/>
        <rFont val="Calibri (Body)"/>
      </rPr>
      <t>2)Fingerlings</t>
    </r>
    <r>
      <rPr>
        <sz val="12"/>
        <rFont val="Calibri"/>
        <family val="2"/>
        <scheme val="minor"/>
      </rPr>
      <t xml:space="preserve">
</t>
    </r>
    <r>
      <rPr>
        <sz val="12"/>
        <rFont val="Calibri (Body)"/>
      </rPr>
      <t>3)Fishing g</t>
    </r>
    <r>
      <rPr>
        <sz val="12"/>
        <rFont val="Calibri"/>
        <family val="2"/>
        <scheme val="minor"/>
      </rPr>
      <t xml:space="preserve">ear </t>
    </r>
    <r>
      <rPr>
        <sz val="12"/>
        <rFont val="Calibri (Body)"/>
      </rPr>
      <t>[e.g. rods, hooks, nets]</t>
    </r>
    <r>
      <rPr>
        <sz val="12"/>
        <rFont val="Calibri"/>
        <family val="2"/>
        <scheme val="minor"/>
      </rPr>
      <t xml:space="preserve">
4)Ice
5)Fuel
6)</t>
    </r>
    <r>
      <rPr>
        <sz val="12"/>
        <rFont val="Calibri (Body)"/>
      </rPr>
      <t>Equipment</t>
    </r>
    <r>
      <rPr>
        <sz val="12"/>
        <rFont val="Calibri"/>
        <family val="2"/>
        <scheme val="minor"/>
      </rPr>
      <t xml:space="preserve"> repairs </t>
    </r>
    <r>
      <rPr>
        <sz val="12"/>
        <rFont val="Calibri (Body)"/>
      </rPr>
      <t>[including boats]</t>
    </r>
    <r>
      <rPr>
        <sz val="12"/>
        <rFont val="Calibri"/>
        <family val="2"/>
        <scheme val="minor"/>
      </rPr>
      <t xml:space="preserve"> </t>
    </r>
    <r>
      <rPr>
        <sz val="12"/>
        <rFont val="Calibri (Body)"/>
      </rPr>
      <t>or spare parts
7)Labour</t>
    </r>
    <r>
      <rPr>
        <sz val="12"/>
        <rFont val="Calibri"/>
        <family val="2"/>
        <scheme val="minor"/>
      </rPr>
      <t xml:space="preserve">
</t>
    </r>
    <r>
      <rPr>
        <sz val="12"/>
        <rFont val="Calibri (Body)"/>
      </rPr>
      <t>8)</t>
    </r>
    <r>
      <rPr>
        <sz val="12"/>
        <rFont val="Calibri"/>
        <family val="2"/>
        <scheme val="minor"/>
      </rPr>
      <t>Other [</t>
    </r>
    <r>
      <rPr>
        <sz val="12"/>
        <rFont val="Calibri (Body)"/>
      </rPr>
      <t>specify</t>
    </r>
    <r>
      <rPr>
        <sz val="12"/>
        <rFont val="Calibri"/>
        <family val="2"/>
        <scheme val="minor"/>
      </rPr>
      <t xml:space="preserve">]
</t>
    </r>
    <r>
      <rPr>
        <sz val="12"/>
        <rFont val="Calibri (Body)"/>
      </rPr>
      <t>9)</t>
    </r>
    <r>
      <rPr>
        <sz val="12"/>
        <rFont val="Calibri"/>
        <family val="2"/>
        <scheme val="minor"/>
      </rPr>
      <t xml:space="preserve">DON'T KNOW
</t>
    </r>
    <r>
      <rPr>
        <sz val="12"/>
        <rFont val="Calibri (Body)"/>
      </rPr>
      <t>10)</t>
    </r>
    <r>
      <rPr>
        <sz val="12"/>
        <rFont val="Calibri"/>
        <family val="2"/>
        <scheme val="minor"/>
      </rPr>
      <t>REFUSED</t>
    </r>
  </si>
  <si>
    <t>Send if "fish_proddif_2" "Contains" "Access to other fishing or culture inputs [prices higher or not available]" if not satisfied go to "fish_salesmain"</t>
  </si>
  <si>
    <r>
      <t xml:space="preserve">Form Type - Checklist
</t>
    </r>
    <r>
      <rPr>
        <sz val="12"/>
        <rFont val="Calibri (Body)"/>
      </rPr>
      <t>9,10</t>
    </r>
    <r>
      <rPr>
        <sz val="12"/>
        <rFont val="Calibri"/>
        <family val="2"/>
        <scheme val="minor"/>
      </rPr>
      <t>= IsNone</t>
    </r>
  </si>
  <si>
    <r>
      <t>1-</t>
    </r>
    <r>
      <rPr>
        <sz val="12"/>
        <rFont val="Calibri (Body)"/>
      </rPr>
      <t>10</t>
    </r>
    <r>
      <rPr>
        <sz val="12"/>
        <rFont val="Calibri"/>
        <family val="2"/>
        <scheme val="minor"/>
      </rPr>
      <t xml:space="preserve"> = </t>
    </r>
    <r>
      <rPr>
        <sz val="12"/>
        <color theme="4"/>
        <rFont val="Calibri (Body)"/>
      </rPr>
      <t>[fish_salesmain]</t>
    </r>
  </si>
  <si>
    <t>1)fish_inputdif_bait_feed
2)fish_inputdif_fingerling
3)fish_inputdif_gear
4)fish_inputdif_ice
5)fish_inputdif_fuel
6)fish_inputdif_repairs
7)fish_inputdif_labour
8)fish_inputdif_other 
9)fish_inputdif_dk
10)fish_inputdif_ref</t>
  </si>
  <si>
    <r>
      <t>Asked only to respondents that answered fish_proddif_2 = 4.
if fish_inputdif = 1-</t>
    </r>
    <r>
      <rPr>
        <sz val="12"/>
        <rFont val="Calibri (Body)"/>
      </rPr>
      <t>10</t>
    </r>
    <r>
      <rPr>
        <sz val="12"/>
        <rFont val="Calibri"/>
        <family val="2"/>
        <scheme val="minor"/>
      </rPr>
      <t>, go to</t>
    </r>
    <r>
      <rPr>
        <sz val="12"/>
        <color theme="4"/>
        <rFont val="Calibri (Body)"/>
      </rPr>
      <t xml:space="preserve"> fish_salesmain</t>
    </r>
  </si>
  <si>
    <t>F. FISHERIES MARKETING</t>
  </si>
  <si>
    <t>fish_salesmain</t>
  </si>
  <si>
    <r>
      <t>What was</t>
    </r>
    <r>
      <rPr>
        <sz val="12"/>
        <rFont val="Calibri (Body)"/>
      </rPr>
      <t xml:space="preserve"> </t>
    </r>
    <r>
      <rPr>
        <sz val="12"/>
        <rFont val="Calibri"/>
        <family val="2"/>
        <scheme val="minor"/>
      </rPr>
      <t xml:space="preserve">the main fish </t>
    </r>
    <r>
      <rPr>
        <sz val="12"/>
        <rFont val="Calibri (Body)"/>
      </rPr>
      <t>or aquatic</t>
    </r>
    <r>
      <rPr>
        <sz val="12"/>
        <rFont val="Calibri"/>
        <family val="2"/>
        <scheme val="minor"/>
      </rPr>
      <t xml:space="preserve"> product </t>
    </r>
    <r>
      <rPr>
        <sz val="12"/>
        <rFont val="Calibri (Body)"/>
      </rPr>
      <t xml:space="preserve">sold by </t>
    </r>
    <r>
      <rPr>
        <sz val="12"/>
        <rFont val="Calibri"/>
        <family val="2"/>
        <scheme val="minor"/>
      </rPr>
      <t xml:space="preserve">your household </t>
    </r>
    <r>
      <rPr>
        <sz val="12"/>
        <rFont val="Calibri (Body)"/>
      </rPr>
      <t>in the last 3 months</t>
    </r>
    <r>
      <rPr>
        <sz val="12"/>
        <rFont val="Calibri"/>
        <family val="2"/>
        <scheme val="minor"/>
      </rPr>
      <t xml:space="preserve">?
[OPERATOR: SINGLE RESPONSE.]
1)Fresh </t>
    </r>
    <r>
      <rPr>
        <sz val="12"/>
        <rFont val="Calibri (Body)"/>
      </rPr>
      <t>product</t>
    </r>
    <r>
      <rPr>
        <sz val="12"/>
        <rFont val="Calibri"/>
        <family val="2"/>
        <scheme val="minor"/>
      </rPr>
      <t xml:space="preserve"> [any kind</t>
    </r>
    <r>
      <rPr>
        <sz val="12"/>
        <rFont val="Calibri (Body)"/>
      </rPr>
      <t>, including invertebrates</t>
    </r>
    <r>
      <rPr>
        <sz val="12"/>
        <rFont val="Calibri"/>
        <family val="2"/>
        <scheme val="minor"/>
      </rPr>
      <t>]
2)</t>
    </r>
    <r>
      <rPr>
        <sz val="12"/>
        <rFont val="Calibri (Body)"/>
      </rPr>
      <t>Preserved</t>
    </r>
    <r>
      <rPr>
        <sz val="12"/>
        <rFont val="Calibri"/>
        <family val="2"/>
        <scheme val="minor"/>
      </rPr>
      <t xml:space="preserve"> </t>
    </r>
    <r>
      <rPr>
        <sz val="12"/>
        <rFont val="Calibri (Body)"/>
      </rPr>
      <t>product</t>
    </r>
    <r>
      <rPr>
        <sz val="12"/>
        <rFont val="Calibri"/>
        <family val="2"/>
        <scheme val="minor"/>
      </rPr>
      <t xml:space="preserve"> [</t>
    </r>
    <r>
      <rPr>
        <sz val="12"/>
        <rFont val="Calibri (Body)"/>
      </rPr>
      <t>including dry, smoked, fermented, salted</t>
    </r>
    <r>
      <rPr>
        <sz val="12"/>
        <rFont val="Calibri"/>
        <family val="2"/>
        <scheme val="minor"/>
      </rPr>
      <t xml:space="preserve">]
</t>
    </r>
    <r>
      <rPr>
        <sz val="12"/>
        <rFont val="Calibri (Body)"/>
      </rPr>
      <t>3)Frozen product
4)Canned product</t>
    </r>
    <r>
      <rPr>
        <sz val="12"/>
        <rFont val="Calibri"/>
        <family val="2"/>
        <scheme val="minor"/>
      </rPr>
      <t xml:space="preserve">
</t>
    </r>
    <r>
      <rPr>
        <sz val="12"/>
        <rFont val="Calibri (Body)"/>
      </rPr>
      <t>5</t>
    </r>
    <r>
      <rPr>
        <sz val="12"/>
        <rFont val="Calibri"/>
        <family val="2"/>
        <scheme val="minor"/>
      </rPr>
      <t xml:space="preserve">)Other [specify]
</t>
    </r>
    <r>
      <rPr>
        <sz val="12"/>
        <rFont val="Calibri (Body)"/>
      </rPr>
      <t>6</t>
    </r>
    <r>
      <rPr>
        <sz val="12"/>
        <rFont val="Calibri"/>
        <family val="2"/>
        <scheme val="minor"/>
      </rPr>
      <t xml:space="preserve">)DON'T KNOW
</t>
    </r>
    <r>
      <rPr>
        <sz val="12"/>
        <rFont val="Calibri (Body)"/>
      </rPr>
      <t>7</t>
    </r>
    <r>
      <rPr>
        <sz val="12"/>
        <rFont val="Calibri"/>
        <family val="2"/>
        <scheme val="minor"/>
      </rPr>
      <t>)REFUSED</t>
    </r>
  </si>
  <si>
    <t>Send if "income_main" "Equals" "Production and sale of fish or aquatic products" Or "income_sec" "Equals" "Production and sale of fish or aquatic products" Or "income_third" "Equals" "Production and sale of fish or aquatic products" if not satisfied go to "fies"</t>
  </si>
  <si>
    <t>1-5 = fish_salesdif
6-7 = fies</t>
  </si>
  <si>
    <r>
      <rPr>
        <sz val="12"/>
        <rFont val="Calibri (Body)"/>
      </rPr>
      <t xml:space="preserve">If either income_main or income_sec or income_third = "Production and sale of fish or aquatic products", then this section will be asked to respondents.
Otherwise, skip to fies.
</t>
    </r>
    <r>
      <rPr>
        <sz val="12"/>
        <rFont val="Calibri"/>
        <family val="2"/>
        <scheme val="minor"/>
      </rPr>
      <t xml:space="preserve">
if </t>
    </r>
    <r>
      <rPr>
        <i/>
        <sz val="12"/>
        <rFont val="Calibri"/>
        <family val="2"/>
        <scheme val="minor"/>
      </rPr>
      <t>fish_salesmain</t>
    </r>
    <r>
      <rPr>
        <sz val="12"/>
        <rFont val="Calibri"/>
        <family val="2"/>
        <scheme val="minor"/>
      </rPr>
      <t xml:space="preserve"> = 1-5, go to </t>
    </r>
    <r>
      <rPr>
        <i/>
        <sz val="12"/>
        <rFont val="Calibri"/>
        <family val="2"/>
        <scheme val="minor"/>
      </rPr>
      <t xml:space="preserve">fish_salesdif
</t>
    </r>
    <r>
      <rPr>
        <sz val="12"/>
        <rFont val="Calibri"/>
        <family val="2"/>
        <scheme val="minor"/>
      </rPr>
      <t xml:space="preserve">if </t>
    </r>
    <r>
      <rPr>
        <i/>
        <sz val="12"/>
        <rFont val="Calibri"/>
        <family val="2"/>
        <scheme val="minor"/>
      </rPr>
      <t xml:space="preserve">fish_salesmain </t>
    </r>
    <r>
      <rPr>
        <sz val="12"/>
        <rFont val="Calibri"/>
        <family val="2"/>
        <scheme val="minor"/>
      </rPr>
      <t>= 6-7</t>
    </r>
    <r>
      <rPr>
        <i/>
        <sz val="12"/>
        <rFont val="Calibri"/>
        <family val="2"/>
        <scheme val="minor"/>
      </rPr>
      <t xml:space="preserve">, </t>
    </r>
    <r>
      <rPr>
        <sz val="12"/>
        <rFont val="Calibri"/>
        <family val="2"/>
        <scheme val="minor"/>
      </rPr>
      <t xml:space="preserve">go to </t>
    </r>
    <r>
      <rPr>
        <i/>
        <sz val="12"/>
        <rFont val="Calibri"/>
        <family val="2"/>
        <scheme val="minor"/>
      </rPr>
      <t>fies</t>
    </r>
  </si>
  <si>
    <t>fish_salesdif</t>
  </si>
  <si>
    <r>
      <t>Has your household faced any</t>
    </r>
    <r>
      <rPr>
        <sz val="12"/>
        <rFont val="Calibri (Body)"/>
      </rPr>
      <t xml:space="preserve"> significant</t>
    </r>
    <r>
      <rPr>
        <sz val="12"/>
        <rFont val="Calibri"/>
        <family val="2"/>
        <scheme val="minor"/>
      </rPr>
      <t xml:space="preserve"> difficulty</t>
    </r>
    <r>
      <rPr>
        <sz val="12"/>
        <rFont val="Calibri (Body)"/>
      </rPr>
      <t xml:space="preserve"> marketing / selling</t>
    </r>
    <r>
      <rPr>
        <sz val="12"/>
        <rFont val="Calibri"/>
        <family val="2"/>
        <scheme val="minor"/>
      </rPr>
      <t xml:space="preserve"> your</t>
    </r>
    <r>
      <rPr>
        <sz val="12"/>
        <rFont val="Calibri (Body)"/>
      </rPr>
      <t xml:space="preserve"> {fish_salesmain} in the last 3 months</t>
    </r>
    <r>
      <rPr>
        <sz val="12"/>
        <rFont val="Calibri"/>
        <family val="2"/>
        <scheme val="minor"/>
      </rPr>
      <t>?
[OPERATOR: SINGLE RESPONSE]
1)YES
2)NO
3)DON'T KNOW
4)REFUSED</t>
    </r>
  </si>
  <si>
    <t>1 = fish_salesdif_2
2-4 = fish_salesprice</t>
  </si>
  <si>
    <r>
      <t xml:space="preserve">if </t>
    </r>
    <r>
      <rPr>
        <i/>
        <sz val="12"/>
        <rFont val="Calibri"/>
        <family val="2"/>
        <scheme val="minor"/>
      </rPr>
      <t>fish_salesdif</t>
    </r>
    <r>
      <rPr>
        <sz val="12"/>
        <rFont val="Calibri"/>
        <family val="2"/>
        <scheme val="minor"/>
      </rPr>
      <t xml:space="preserve"> = 1, go to </t>
    </r>
    <r>
      <rPr>
        <i/>
        <sz val="12"/>
        <rFont val="Calibri"/>
        <family val="2"/>
        <scheme val="minor"/>
      </rPr>
      <t xml:space="preserve">fish_salesdif_2 </t>
    </r>
    <r>
      <rPr>
        <sz val="12"/>
        <rFont val="Calibri"/>
        <family val="2"/>
        <scheme val="minor"/>
      </rPr>
      <t xml:space="preserve">;
if </t>
    </r>
    <r>
      <rPr>
        <i/>
        <sz val="12"/>
        <rFont val="Calibri"/>
        <family val="2"/>
        <scheme val="minor"/>
      </rPr>
      <t>fish_salesdif</t>
    </r>
    <r>
      <rPr>
        <sz val="12"/>
        <rFont val="Calibri"/>
        <family val="2"/>
        <scheme val="minor"/>
      </rPr>
      <t xml:space="preserve"> = 2-4, go to </t>
    </r>
    <r>
      <rPr>
        <i/>
        <sz val="12"/>
        <rFont val="Calibri"/>
        <family val="2"/>
        <scheme val="minor"/>
      </rPr>
      <t>fish_salesprice</t>
    </r>
  </si>
  <si>
    <t>fish_salesdif_2</t>
  </si>
  <si>
    <r>
      <t>fish_saledif_
1) fish_saledif_</t>
    </r>
    <r>
      <rPr>
        <sz val="12"/>
        <rFont val="Calibri (Body)"/>
      </rPr>
      <t>marketing_cost</t>
    </r>
    <r>
      <rPr>
        <sz val="12"/>
        <rFont val="Calibri"/>
        <family val="2"/>
        <scheme val="minor"/>
      </rPr>
      <t xml:space="preserve">
2) fish_saledif_damage_losses
3) fish_saledif_low_demand
</t>
    </r>
    <r>
      <rPr>
        <sz val="12"/>
        <rFont val="Calibri (Body)"/>
      </rPr>
      <t>4) fish_saledif_pay_delay</t>
    </r>
    <r>
      <rPr>
        <sz val="12"/>
        <rFont val="Calibri"/>
        <family val="2"/>
        <scheme val="minor"/>
      </rPr>
      <t xml:space="preserve">
5) fish_saledif_low_prices
6) fish_saledif_processing
</t>
    </r>
    <r>
      <rPr>
        <sz val="12"/>
        <rFont val="Calibri (Body)"/>
      </rPr>
      <t>7) fish_saledif_competition</t>
    </r>
    <r>
      <rPr>
        <sz val="12"/>
        <rFont val="Calibri"/>
        <family val="2"/>
        <scheme val="minor"/>
      </rPr>
      <t xml:space="preserve">
8) fish_saledif_other
9) fish_saledif_dk
10) fish_saledif_ref
</t>
    </r>
  </si>
  <si>
    <r>
      <rPr>
        <sz val="12"/>
        <rFont val="Calibri (Body)"/>
      </rPr>
      <t xml:space="preserve">Which </t>
    </r>
    <r>
      <rPr>
        <sz val="12"/>
        <rFont val="Calibri"/>
        <family val="2"/>
        <scheme val="minor"/>
      </rPr>
      <t xml:space="preserve">difficulties </t>
    </r>
    <r>
      <rPr>
        <sz val="12"/>
        <rFont val="Calibri (Body)"/>
      </rPr>
      <t xml:space="preserve">has </t>
    </r>
    <r>
      <rPr>
        <sz val="12"/>
        <rFont val="Calibri"/>
        <family val="2"/>
        <scheme val="minor"/>
      </rPr>
      <t xml:space="preserve">your household faced </t>
    </r>
    <r>
      <rPr>
        <sz val="12"/>
        <rFont val="Calibri (Body)"/>
      </rPr>
      <t>in the last 3 months selling your</t>
    </r>
    <r>
      <rPr>
        <sz val="12"/>
        <rFont val="Calibri"/>
        <family val="2"/>
        <scheme val="minor"/>
      </rPr>
      <t xml:space="preserve"> {fish_salesmain}?
[OPERATOR: MULTIPLE RESPONSES POSSIBLE. SELECT OPTION(S) THAT BEST FIT THE INFORMATION PROVIDED BY THE RESPONDENTS.]
1)</t>
    </r>
    <r>
      <rPr>
        <sz val="12"/>
        <rFont val="Calibri (Body)"/>
      </rPr>
      <t>High transportation or other marketing costs</t>
    </r>
    <r>
      <rPr>
        <sz val="12"/>
        <rFont val="Calibri"/>
        <family val="2"/>
        <scheme val="minor"/>
      </rPr>
      <t xml:space="preserve">
2)</t>
    </r>
    <r>
      <rPr>
        <sz val="12"/>
        <rFont val="Calibri (Body)"/>
      </rPr>
      <t>Deterioration</t>
    </r>
    <r>
      <rPr>
        <sz val="12"/>
        <rFont val="Calibri"/>
        <family val="2"/>
        <scheme val="minor"/>
      </rPr>
      <t xml:space="preserve"> and losses due to </t>
    </r>
    <r>
      <rPr>
        <sz val="12"/>
        <rFont val="Calibri (Body)"/>
      </rPr>
      <t>storage difficulties or</t>
    </r>
    <r>
      <rPr>
        <sz val="12"/>
        <rFont val="Calibri"/>
        <family val="2"/>
        <scheme val="minor"/>
      </rPr>
      <t xml:space="preserve"> delay</t>
    </r>
    <r>
      <rPr>
        <sz val="12"/>
        <rFont val="Calibri (Body)"/>
      </rPr>
      <t>s</t>
    </r>
    <r>
      <rPr>
        <sz val="12"/>
        <rFont val="Calibri"/>
        <family val="2"/>
        <scheme val="minor"/>
      </rPr>
      <t xml:space="preserve"> or inability to physically access markets
3)</t>
    </r>
    <r>
      <rPr>
        <sz val="12"/>
        <rFont val="Calibri (Body)"/>
      </rPr>
      <t>Lack of demand from u</t>
    </r>
    <r>
      <rPr>
        <sz val="12"/>
        <rFont val="Calibri"/>
        <family val="2"/>
        <scheme val="minor"/>
      </rPr>
      <t xml:space="preserve">sual </t>
    </r>
    <r>
      <rPr>
        <sz val="12"/>
        <rFont val="Calibri (Body)"/>
      </rPr>
      <t>buyers/</t>
    </r>
    <r>
      <rPr>
        <sz val="12"/>
        <rFont val="Calibri"/>
        <family val="2"/>
        <scheme val="minor"/>
      </rPr>
      <t>traders
4)</t>
    </r>
    <r>
      <rPr>
        <sz val="12"/>
        <rFont val="Calibri (Body)"/>
      </rPr>
      <t xml:space="preserve">Payment delays from traders/buyers </t>
    </r>
    <r>
      <rPr>
        <sz val="12"/>
        <rFont val="Calibri"/>
        <family val="2"/>
        <scheme val="minor"/>
      </rPr>
      <t xml:space="preserve">
</t>
    </r>
    <r>
      <rPr>
        <sz val="12"/>
        <rFont val="Calibri (Body)"/>
      </rPr>
      <t>5</t>
    </r>
    <r>
      <rPr>
        <sz val="12"/>
        <rFont val="Calibri"/>
        <family val="2"/>
        <scheme val="minor"/>
      </rPr>
      <t>)</t>
    </r>
    <r>
      <rPr>
        <sz val="12"/>
        <rFont val="Calibri (Body)"/>
      </rPr>
      <t>Low selling prices [e.g. compared to input prices / inflation]</t>
    </r>
    <r>
      <rPr>
        <sz val="12"/>
        <rFont val="Calibri"/>
        <family val="2"/>
        <scheme val="minor"/>
      </rPr>
      <t xml:space="preserve">
</t>
    </r>
    <r>
      <rPr>
        <sz val="12"/>
        <rFont val="Calibri (Body)"/>
      </rPr>
      <t>6</t>
    </r>
    <r>
      <rPr>
        <sz val="12"/>
        <rFont val="Calibri"/>
        <family val="2"/>
        <scheme val="minor"/>
      </rPr>
      <t xml:space="preserve">)Difficulties processing product [lack of access to processing inputs / equipment / etc]
</t>
    </r>
    <r>
      <rPr>
        <sz val="12"/>
        <rFont val="Calibri (Body)"/>
      </rPr>
      <t>7)Market flooded with product</t>
    </r>
    <r>
      <rPr>
        <sz val="12"/>
        <rFont val="Calibri"/>
        <family val="2"/>
        <scheme val="minor"/>
      </rPr>
      <t xml:space="preserve">
</t>
    </r>
    <r>
      <rPr>
        <sz val="12"/>
        <rFont val="Calibri (Body)"/>
      </rPr>
      <t>8</t>
    </r>
    <r>
      <rPr>
        <sz val="12"/>
        <rFont val="Calibri"/>
        <family val="2"/>
        <scheme val="minor"/>
      </rPr>
      <t xml:space="preserve">)Other
</t>
    </r>
    <r>
      <rPr>
        <sz val="12"/>
        <rFont val="Calibri (Body)"/>
      </rPr>
      <t>9</t>
    </r>
    <r>
      <rPr>
        <sz val="12"/>
        <rFont val="Calibri"/>
        <family val="2"/>
        <scheme val="minor"/>
      </rPr>
      <t xml:space="preserve">)DON'T KNOW
</t>
    </r>
    <r>
      <rPr>
        <sz val="12"/>
        <rFont val="Calibri (Body)"/>
      </rPr>
      <t>10</t>
    </r>
    <r>
      <rPr>
        <sz val="12"/>
        <rFont val="Calibri"/>
        <family val="2"/>
        <scheme val="minor"/>
      </rPr>
      <t>)REFUSED</t>
    </r>
  </si>
  <si>
    <r>
      <t>1-</t>
    </r>
    <r>
      <rPr>
        <sz val="12"/>
        <rFont val="Calibri (Body)"/>
      </rPr>
      <t>10</t>
    </r>
    <r>
      <rPr>
        <sz val="12"/>
        <rFont val="Calibri"/>
        <family val="2"/>
        <scheme val="minor"/>
      </rPr>
      <t xml:space="preserve"> = fish_salesprice</t>
    </r>
  </si>
  <si>
    <t>1)fish_saledif_marketing_cost
2)fish_saledif_damage_losses
3)fish_saledif_low_demand
4)fish_saledif_pay_delay
5)fish_saledif_low_prices
6)fish_saledif_processing
7)fish_saledif_competition
8)fish_saledif_other
9)fish_saledif_dk
10)fish_saledif_ref</t>
  </si>
  <si>
    <r>
      <t xml:space="preserve">if </t>
    </r>
    <r>
      <rPr>
        <i/>
        <sz val="12"/>
        <rFont val="Calibri"/>
        <family val="2"/>
        <scheme val="minor"/>
      </rPr>
      <t>fish_salesdif</t>
    </r>
    <r>
      <rPr>
        <sz val="12"/>
        <rFont val="Calibri"/>
        <family val="2"/>
        <scheme val="minor"/>
      </rPr>
      <t xml:space="preserve"> = 1-</t>
    </r>
    <r>
      <rPr>
        <sz val="12"/>
        <rFont val="Calibri (Body)"/>
      </rPr>
      <t>10</t>
    </r>
    <r>
      <rPr>
        <sz val="12"/>
        <rFont val="Calibri"/>
        <family val="2"/>
        <scheme val="minor"/>
      </rPr>
      <t xml:space="preserve">, go to </t>
    </r>
    <r>
      <rPr>
        <i/>
        <sz val="12"/>
        <rFont val="Calibri"/>
        <family val="2"/>
        <scheme val="minor"/>
      </rPr>
      <t>fish_salesprice</t>
    </r>
  </si>
  <si>
    <t>fish_salesprice</t>
  </si>
  <si>
    <r>
      <rPr>
        <sz val="12"/>
        <rFont val="Calibri (Body)"/>
      </rPr>
      <t>How does the current price of your household's {fish_salesmain} sold compare to the average price in the same period/harvest of</t>
    </r>
    <r>
      <rPr>
        <sz val="12"/>
        <color rgb="FF7030A0"/>
        <rFont val="Calibri (Body)"/>
      </rPr>
      <t xml:space="preserve"> </t>
    </r>
    <r>
      <rPr>
        <b/>
        <sz val="12"/>
        <color rgb="FF7030A0"/>
        <rFont val="Calibri (Body)"/>
      </rPr>
      <t>$reference year$</t>
    </r>
    <r>
      <rPr>
        <sz val="12"/>
        <rFont val="Calibri (Body)"/>
      </rPr>
      <t>? 
[OPERATOR: SINGLE RESPONSE. INSIST ON THE MAIN PRODUCT MENTIONED.]
1)A lot more [increased by more than 50%]
2)Slightly more</t>
    </r>
    <r>
      <rPr>
        <sz val="12"/>
        <rFont val="Calibri"/>
        <family val="2"/>
        <scheme val="minor"/>
      </rPr>
      <t xml:space="preserve">
</t>
    </r>
    <r>
      <rPr>
        <sz val="12"/>
        <rFont val="Calibri (Body)"/>
      </rPr>
      <t>3)Same
4)Slightly less</t>
    </r>
    <r>
      <rPr>
        <sz val="12"/>
        <rFont val="Calibri"/>
        <family val="2"/>
        <scheme val="minor"/>
      </rPr>
      <t xml:space="preserve">
</t>
    </r>
    <r>
      <rPr>
        <sz val="12"/>
        <rFont val="Calibri (Body)"/>
      </rPr>
      <t>5)A lot less [less than half as much]
6)DON'T KNOW
7)REFUSED</t>
    </r>
  </si>
  <si>
    <r>
      <t xml:space="preserve">1-7 = </t>
    </r>
    <r>
      <rPr>
        <sz val="12"/>
        <color theme="4"/>
        <rFont val="Calibri (Body)"/>
      </rPr>
      <t>fies_intro</t>
    </r>
  </si>
  <si>
    <r>
      <t xml:space="preserve">if </t>
    </r>
    <r>
      <rPr>
        <i/>
        <sz val="12"/>
        <rFont val="Calibri"/>
        <family val="2"/>
        <scheme val="minor"/>
      </rPr>
      <t>fish_salesprice</t>
    </r>
    <r>
      <rPr>
        <sz val="12"/>
        <rFont val="Calibri"/>
        <family val="2"/>
        <scheme val="minor"/>
      </rPr>
      <t xml:space="preserve"> = 1-7, go to </t>
    </r>
    <r>
      <rPr>
        <i/>
        <sz val="12"/>
        <color theme="4"/>
        <rFont val="Calibri (Body)"/>
      </rPr>
      <t>fies_intro</t>
    </r>
  </si>
  <si>
    <t>G. FOOD SECURITY AND CONSUMPTION</t>
  </si>
  <si>
    <t>fies_intro</t>
  </si>
  <si>
    <t>Now I would like to ask you some questions about food consumption, food utilization and coping mechanisms. Make sure to refer to the correct time period for each set of questions. The first set of questions refers to experiences faced by you or any of your household members over the past 30 days. 
[OPERATOR: SINGLE RESPONSE]
1)NEXT</t>
  </si>
  <si>
    <t>1 = fies_worried</t>
  </si>
  <si>
    <r>
      <t xml:space="preserve">if </t>
    </r>
    <r>
      <rPr>
        <i/>
        <sz val="12"/>
        <rFont val="Calibri"/>
        <family val="2"/>
        <scheme val="minor"/>
      </rPr>
      <t>fies</t>
    </r>
    <r>
      <rPr>
        <sz val="12"/>
        <rFont val="Calibri"/>
        <family val="2"/>
        <scheme val="minor"/>
      </rPr>
      <t xml:space="preserve"> = 1, go to </t>
    </r>
    <r>
      <rPr>
        <i/>
        <sz val="12"/>
        <rFont val="Calibri"/>
        <family val="2"/>
        <scheme val="minor"/>
      </rPr>
      <t>fies_worried</t>
    </r>
  </si>
  <si>
    <t>Check if the ESS team has an official translation.</t>
  </si>
  <si>
    <t>fies_worried</t>
  </si>
  <si>
    <r>
      <t xml:space="preserve">During the last 30 days, was there a time when you or others in your household were </t>
    </r>
    <r>
      <rPr>
        <u/>
        <sz val="12"/>
        <rFont val="Calibri"/>
        <family val="2"/>
        <scheme val="minor"/>
      </rPr>
      <t>worried about not having enough food to eat</t>
    </r>
    <r>
      <rPr>
        <sz val="12"/>
        <rFont val="Calibri"/>
        <family val="2"/>
        <scheme val="minor"/>
      </rPr>
      <t xml:space="preserve"> because of lack of money or other resources?
[OPERATOR: SINGLE RESPONSE]
1)YES
2)NO
3)DON'T KNOW
4)REFUSED</t>
    </r>
  </si>
  <si>
    <t>1-4 = fies_healthy</t>
  </si>
  <si>
    <r>
      <t xml:space="preserve">if </t>
    </r>
    <r>
      <rPr>
        <i/>
        <sz val="12"/>
        <rFont val="Calibri"/>
        <family val="2"/>
        <scheme val="minor"/>
      </rPr>
      <t>fies_worried</t>
    </r>
    <r>
      <rPr>
        <sz val="12"/>
        <rFont val="Calibri"/>
        <family val="2"/>
        <scheme val="minor"/>
      </rPr>
      <t xml:space="preserve"> = 1-4, go to </t>
    </r>
    <r>
      <rPr>
        <i/>
        <sz val="12"/>
        <rFont val="Calibri"/>
        <family val="2"/>
        <scheme val="minor"/>
      </rPr>
      <t>fies_healthy</t>
    </r>
  </si>
  <si>
    <t>fies_healthy</t>
  </si>
  <si>
    <r>
      <t xml:space="preserve">During the last 30 days, was there a time when you or others in your household were </t>
    </r>
    <r>
      <rPr>
        <u/>
        <sz val="12"/>
        <rFont val="Calibri"/>
        <family val="2"/>
        <scheme val="minor"/>
      </rPr>
      <t>unable to eat healthy and nutritious food</t>
    </r>
    <r>
      <rPr>
        <sz val="12"/>
        <rFont val="Calibri"/>
        <family val="2"/>
        <scheme val="minor"/>
      </rPr>
      <t xml:space="preserve"> because of lack of money or other resources?
[OPERATOR: SINGLE RESPONSE]
1)YES
2)NO
3)DON'T KNOW
4)REFUSED</t>
    </r>
  </si>
  <si>
    <t>1-4 = fies_fewfoods</t>
  </si>
  <si>
    <r>
      <t xml:space="preserve">if </t>
    </r>
    <r>
      <rPr>
        <i/>
        <sz val="12"/>
        <rFont val="Calibri"/>
        <family val="2"/>
        <scheme val="minor"/>
      </rPr>
      <t>fies_healthy</t>
    </r>
    <r>
      <rPr>
        <sz val="12"/>
        <rFont val="Calibri"/>
        <family val="2"/>
        <scheme val="minor"/>
      </rPr>
      <t xml:space="preserve"> = 1-4, go to </t>
    </r>
    <r>
      <rPr>
        <i/>
        <sz val="12"/>
        <rFont val="Calibri"/>
        <family val="2"/>
        <scheme val="minor"/>
      </rPr>
      <t>fies_fewfoods</t>
    </r>
  </si>
  <si>
    <t>fies_fewfoods</t>
  </si>
  <si>
    <r>
      <t xml:space="preserve">During the last 30 days, was there a time when you or others in your household </t>
    </r>
    <r>
      <rPr>
        <u/>
        <sz val="12"/>
        <rFont val="Calibri"/>
        <family val="2"/>
        <scheme val="minor"/>
      </rPr>
      <t>ate only a few kinds of foods</t>
    </r>
    <r>
      <rPr>
        <sz val="12"/>
        <rFont val="Calibri"/>
        <family val="2"/>
        <scheme val="minor"/>
      </rPr>
      <t xml:space="preserve"> because of lack of money or other resources?
[OPERATOR: SINGLE RESPONSE]
1)YES
2)NO
3)DON'T KNOW
4)REFUSED</t>
    </r>
  </si>
  <si>
    <t>1-4 = fies_skipped</t>
  </si>
  <si>
    <r>
      <t xml:space="preserve">if </t>
    </r>
    <r>
      <rPr>
        <i/>
        <sz val="12"/>
        <rFont val="Calibri"/>
        <family val="2"/>
        <scheme val="minor"/>
      </rPr>
      <t>fies_fewfoods</t>
    </r>
    <r>
      <rPr>
        <sz val="12"/>
        <rFont val="Calibri"/>
        <family val="2"/>
        <scheme val="minor"/>
      </rPr>
      <t xml:space="preserve"> = 1-4, go to </t>
    </r>
    <r>
      <rPr>
        <i/>
        <sz val="12"/>
        <rFont val="Calibri"/>
        <family val="2"/>
        <scheme val="minor"/>
      </rPr>
      <t>fies_skipped</t>
    </r>
  </si>
  <si>
    <t>fies_skipped</t>
  </si>
  <si>
    <r>
      <t xml:space="preserve">During the last 30 days, was there a time when you or others in your household </t>
    </r>
    <r>
      <rPr>
        <u/>
        <sz val="12"/>
        <rFont val="Calibri"/>
        <family val="2"/>
        <scheme val="minor"/>
      </rPr>
      <t>had to skip a meal</t>
    </r>
    <r>
      <rPr>
        <sz val="12"/>
        <rFont val="Calibri"/>
        <family val="2"/>
        <scheme val="minor"/>
      </rPr>
      <t xml:space="preserve"> because of lack of money or other resources to get food?
[OPERATOR: SINGLE RESPONSE]
1)YES
2)NO
3)DON'T KNOW
4)REFUSED</t>
    </r>
  </si>
  <si>
    <t>1-4 = fies_ateless</t>
  </si>
  <si>
    <r>
      <t xml:space="preserve">if </t>
    </r>
    <r>
      <rPr>
        <i/>
        <sz val="12"/>
        <rFont val="Calibri"/>
        <family val="2"/>
        <scheme val="minor"/>
      </rPr>
      <t>fies_skipped</t>
    </r>
    <r>
      <rPr>
        <sz val="12"/>
        <rFont val="Calibri"/>
        <family val="2"/>
        <scheme val="minor"/>
      </rPr>
      <t xml:space="preserve"> = 1-4, go to </t>
    </r>
    <r>
      <rPr>
        <i/>
        <sz val="12"/>
        <rFont val="Calibri"/>
        <family val="2"/>
        <scheme val="minor"/>
      </rPr>
      <t>fies_ateless</t>
    </r>
  </si>
  <si>
    <t>fies_ateless</t>
  </si>
  <si>
    <r>
      <t xml:space="preserve">During the last 30 days, was there a time when you or others in your household </t>
    </r>
    <r>
      <rPr>
        <u/>
        <sz val="12"/>
        <rFont val="Calibri"/>
        <family val="2"/>
        <scheme val="minor"/>
      </rPr>
      <t>ate less than you thought you should</t>
    </r>
    <r>
      <rPr>
        <sz val="12"/>
        <rFont val="Calibri"/>
        <family val="2"/>
        <scheme val="minor"/>
      </rPr>
      <t xml:space="preserve"> because of lack of money or other resources?
[OPERATOR: SINGLE RESPONSE]
1)YES
2)NO
3)DON'T KNOW
4)REFUSED</t>
    </r>
  </si>
  <si>
    <t>1-4 = fies_ranout</t>
  </si>
  <si>
    <r>
      <t xml:space="preserve">if </t>
    </r>
    <r>
      <rPr>
        <i/>
        <sz val="12"/>
        <rFont val="Calibri"/>
        <family val="2"/>
        <scheme val="minor"/>
      </rPr>
      <t>fies_ateless</t>
    </r>
    <r>
      <rPr>
        <sz val="12"/>
        <rFont val="Calibri"/>
        <family val="2"/>
        <scheme val="minor"/>
      </rPr>
      <t xml:space="preserve"> = 1-4, go to </t>
    </r>
    <r>
      <rPr>
        <i/>
        <sz val="12"/>
        <rFont val="Calibri"/>
        <family val="2"/>
        <scheme val="minor"/>
      </rPr>
      <t>fies_ranout</t>
    </r>
  </si>
  <si>
    <t>fies_ranout</t>
  </si>
  <si>
    <r>
      <rPr>
        <sz val="12"/>
        <rFont val="Calibri"/>
        <family val="2"/>
        <scheme val="minor"/>
      </rPr>
      <t xml:space="preserve">In the past 30 days, was there ever </t>
    </r>
    <r>
      <rPr>
        <u/>
        <sz val="12"/>
        <rFont val="Calibri"/>
        <family val="2"/>
        <scheme val="minor"/>
      </rPr>
      <t>no food to eat of any kind</t>
    </r>
    <r>
      <rPr>
        <sz val="12"/>
        <rFont val="Calibri"/>
        <family val="2"/>
        <scheme val="minor"/>
      </rPr>
      <t xml:space="preserve"> in your house because of lack of resources to get food?</t>
    </r>
    <r>
      <rPr>
        <sz val="11"/>
        <rFont val="Calibri"/>
        <family val="2"/>
        <scheme val="minor"/>
      </rPr>
      <t xml:space="preserve">
[OPERATOR: SINGLE RESPONSE]
1)YES
2)NO
3)DON'T KNOW
4)REFUSED</t>
    </r>
  </si>
  <si>
    <t>1=fies_ranout_hhs
2-4 = fies_hungry</t>
  </si>
  <si>
    <r>
      <t xml:space="preserve">if </t>
    </r>
    <r>
      <rPr>
        <i/>
        <sz val="12"/>
        <rFont val="Calibri"/>
        <family val="2"/>
        <scheme val="minor"/>
      </rPr>
      <t>fies_ranout</t>
    </r>
    <r>
      <rPr>
        <sz val="12"/>
        <rFont val="Calibri"/>
        <family val="2"/>
        <scheme val="minor"/>
      </rPr>
      <t xml:space="preserve"> = 1, go to </t>
    </r>
    <r>
      <rPr>
        <i/>
        <sz val="12"/>
        <rFont val="Calibri"/>
        <family val="2"/>
        <scheme val="minor"/>
      </rPr>
      <t>fies_ranout_hhs</t>
    </r>
    <r>
      <rPr>
        <sz val="12"/>
        <rFont val="Calibri"/>
        <family val="2"/>
        <scheme val="minor"/>
      </rPr>
      <t xml:space="preserve">. Otherwise, go to </t>
    </r>
    <r>
      <rPr>
        <i/>
        <sz val="12"/>
        <rFont val="Calibri"/>
        <family val="2"/>
        <scheme val="minor"/>
      </rPr>
      <t>fies_hungry</t>
    </r>
  </si>
  <si>
    <t>fies_ranout_hhs</t>
  </si>
  <si>
    <r>
      <t>How often did this happen?
[OPERATOR: SINGLE RESPONSE]
1)Rarely</t>
    </r>
    <r>
      <rPr>
        <sz val="12"/>
        <rFont val="Calibri"/>
        <family val="2"/>
        <scheme val="minor"/>
      </rPr>
      <t xml:space="preserve"> [1-2 times in the past 30 days]</t>
    </r>
    <r>
      <rPr>
        <sz val="11"/>
        <rFont val="Calibri"/>
        <family val="2"/>
        <scheme val="minor"/>
      </rPr>
      <t xml:space="preserve">
2)Sometimes [</t>
    </r>
    <r>
      <rPr>
        <sz val="12"/>
        <rFont val="Calibri"/>
        <family val="2"/>
        <scheme val="minor"/>
      </rPr>
      <t>3-10 times in the past 30 days]</t>
    </r>
    <r>
      <rPr>
        <sz val="11"/>
        <rFont val="Calibri"/>
        <family val="2"/>
        <scheme val="minor"/>
      </rPr>
      <t xml:space="preserve">
3)Often</t>
    </r>
    <r>
      <rPr>
        <sz val="12"/>
        <rFont val="Calibri"/>
        <family val="2"/>
        <scheme val="minor"/>
      </rPr>
      <t xml:space="preserve"> [more than 10 times in the last 30 days]</t>
    </r>
    <r>
      <rPr>
        <sz val="11"/>
        <rFont val="Calibri"/>
        <family val="2"/>
        <scheme val="minor"/>
      </rPr>
      <t xml:space="preserve">
4)DON'T KNOW
5)REFUSED</t>
    </r>
  </si>
  <si>
    <t xml:space="preserve">1-5 = fies_hungry </t>
  </si>
  <si>
    <r>
      <t xml:space="preserve">if </t>
    </r>
    <r>
      <rPr>
        <i/>
        <sz val="12"/>
        <rFont val="Calibri"/>
        <family val="2"/>
        <scheme val="minor"/>
      </rPr>
      <t>fies_ranout_hhs</t>
    </r>
    <r>
      <rPr>
        <sz val="12"/>
        <rFont val="Calibri"/>
        <family val="2"/>
        <scheme val="minor"/>
      </rPr>
      <t xml:space="preserve"> = 1-5, go to </t>
    </r>
    <r>
      <rPr>
        <i/>
        <sz val="12"/>
        <rFont val="Calibri"/>
        <family val="2"/>
        <scheme val="minor"/>
      </rPr>
      <t>fies_hungry</t>
    </r>
  </si>
  <si>
    <t>fies_hungry</t>
  </si>
  <si>
    <r>
      <rPr>
        <sz val="12"/>
        <rFont val="Calibri"/>
        <family val="2"/>
        <scheme val="minor"/>
      </rPr>
      <t xml:space="preserve">In the past 30 days, did you or any household member ever </t>
    </r>
    <r>
      <rPr>
        <u/>
        <sz val="12"/>
        <rFont val="Calibri"/>
        <family val="2"/>
        <scheme val="minor"/>
      </rPr>
      <t>go to sleep at night hungry</t>
    </r>
    <r>
      <rPr>
        <sz val="12"/>
        <rFont val="Calibri"/>
        <family val="2"/>
        <scheme val="minor"/>
      </rPr>
      <t xml:space="preserve"> because there was not enough food?</t>
    </r>
    <r>
      <rPr>
        <sz val="11"/>
        <rFont val="Calibri"/>
        <family val="2"/>
        <scheme val="minor"/>
      </rPr>
      <t xml:space="preserve">
[OPERATOR: SINGLE RESPONSE]
1)YES
2)NO
3)DON'T KNOW
4)REFUSED</t>
    </r>
  </si>
  <si>
    <t>1=fies_hungry_hhs
2-4 = fies_whlday</t>
  </si>
  <si>
    <r>
      <t xml:space="preserve">if </t>
    </r>
    <r>
      <rPr>
        <i/>
        <sz val="12"/>
        <rFont val="Calibri"/>
        <family val="2"/>
        <scheme val="minor"/>
      </rPr>
      <t>fies_hungry</t>
    </r>
    <r>
      <rPr>
        <sz val="12"/>
        <rFont val="Calibri"/>
        <family val="2"/>
        <scheme val="minor"/>
      </rPr>
      <t xml:space="preserve"> = 1, go to </t>
    </r>
    <r>
      <rPr>
        <i/>
        <sz val="12"/>
        <rFont val="Calibri"/>
        <family val="2"/>
        <scheme val="minor"/>
      </rPr>
      <t>fies_hungry_hhs</t>
    </r>
    <r>
      <rPr>
        <sz val="12"/>
        <rFont val="Calibri"/>
        <family val="2"/>
        <scheme val="minor"/>
      </rPr>
      <t xml:space="preserve">. Otherwise, go to </t>
    </r>
    <r>
      <rPr>
        <i/>
        <sz val="12"/>
        <rFont val="Calibri"/>
        <family val="2"/>
        <scheme val="minor"/>
      </rPr>
      <t>fies_whlday</t>
    </r>
  </si>
  <si>
    <t>fies_hungry_hhs</t>
  </si>
  <si>
    <t>1-5 = fies_whlday</t>
  </si>
  <si>
    <r>
      <t xml:space="preserve">if </t>
    </r>
    <r>
      <rPr>
        <i/>
        <sz val="12"/>
        <rFont val="Calibri"/>
        <family val="2"/>
        <scheme val="minor"/>
      </rPr>
      <t>fies_hungry_hhs</t>
    </r>
    <r>
      <rPr>
        <sz val="12"/>
        <rFont val="Calibri"/>
        <family val="2"/>
        <scheme val="minor"/>
      </rPr>
      <t xml:space="preserve"> = 1-5, go to </t>
    </r>
    <r>
      <rPr>
        <i/>
        <sz val="12"/>
        <rFont val="Calibri"/>
        <family val="2"/>
        <scheme val="minor"/>
      </rPr>
      <t>fies_whlday</t>
    </r>
  </si>
  <si>
    <t>fies_whlday</t>
  </si>
  <si>
    <r>
      <rPr>
        <sz val="12"/>
        <rFont val="Calibri"/>
        <family val="2"/>
        <scheme val="minor"/>
      </rPr>
      <t>In the past 30 days, did you or any household member ever</t>
    </r>
    <r>
      <rPr>
        <u/>
        <sz val="12"/>
        <rFont val="Calibri"/>
        <family val="2"/>
        <scheme val="minor"/>
      </rPr>
      <t xml:space="preserve"> go a whole day and night without eating anything at all</t>
    </r>
    <r>
      <rPr>
        <sz val="12"/>
        <rFont val="Calibri"/>
        <family val="2"/>
        <scheme val="minor"/>
      </rPr>
      <t xml:space="preserve"> because there was not enough food?</t>
    </r>
    <r>
      <rPr>
        <sz val="11"/>
        <rFont val="Calibri"/>
        <family val="2"/>
        <scheme val="minor"/>
      </rPr>
      <t xml:space="preserve">
[OPERATOR: SINGLE RESPONSE]
1)YES
2)NO
3)DON'T KNOW
4)REFUSED</t>
    </r>
  </si>
  <si>
    <r>
      <t xml:space="preserve">1=fies_whlday_hhs
2-4 = </t>
    </r>
    <r>
      <rPr>
        <b/>
        <sz val="12"/>
        <color rgb="FF0070C0"/>
        <rFont val="Calibri"/>
        <family val="2"/>
        <scheme val="minor"/>
      </rPr>
      <t>[lcsi_intro OR hdds]</t>
    </r>
  </si>
  <si>
    <r>
      <t>if fies_whlday = 1, go to fies_whlday_hhs. Otherwise, go to</t>
    </r>
    <r>
      <rPr>
        <sz val="12"/>
        <color theme="4"/>
        <rFont val="Calibri"/>
        <family val="2"/>
        <scheme val="minor"/>
      </rPr>
      <t xml:space="preserve"> lcsi_intro OR hdds</t>
    </r>
  </si>
  <si>
    <t>fies_whlday_hhs</t>
  </si>
  <si>
    <r>
      <t xml:space="preserve">1-5 = </t>
    </r>
    <r>
      <rPr>
        <sz val="12"/>
        <color rgb="FF0070C0"/>
        <rFont val="Calibri"/>
        <family val="2"/>
        <scheme val="minor"/>
      </rPr>
      <t>[</t>
    </r>
    <r>
      <rPr>
        <b/>
        <sz val="12"/>
        <color rgb="FF0070C0"/>
        <rFont val="Calibri"/>
        <family val="2"/>
        <scheme val="minor"/>
      </rPr>
      <t xml:space="preserve">lcsi_intro </t>
    </r>
    <r>
      <rPr>
        <sz val="12"/>
        <color rgb="FF0070C0"/>
        <rFont val="Calibri"/>
        <family val="2"/>
        <scheme val="minor"/>
      </rPr>
      <t xml:space="preserve">OR </t>
    </r>
    <r>
      <rPr>
        <b/>
        <sz val="12"/>
        <color rgb="FF0070C0"/>
        <rFont val="Calibri"/>
        <family val="2"/>
        <scheme val="minor"/>
      </rPr>
      <t>hdds</t>
    </r>
    <r>
      <rPr>
        <sz val="12"/>
        <color rgb="FF0070C0"/>
        <rFont val="Calibri"/>
        <family val="2"/>
        <scheme val="minor"/>
      </rPr>
      <t>]</t>
    </r>
  </si>
  <si>
    <r>
      <t>if fies_whlday_hhs = 1-5, go to</t>
    </r>
    <r>
      <rPr>
        <sz val="12"/>
        <color theme="4"/>
        <rFont val="Calibri"/>
        <family val="2"/>
        <scheme val="minor"/>
      </rPr>
      <t xml:space="preserve"> lcsi_intro OR hdds</t>
    </r>
  </si>
  <si>
    <t>lcsi_intro</t>
  </si>
  <si>
    <r>
      <t>Now I would like to ask you another set of questions on coping strategies, referring to the</t>
    </r>
    <r>
      <rPr>
        <sz val="12"/>
        <rFont val="Calibri (Body)"/>
      </rPr>
      <t xml:space="preserve"> </t>
    </r>
    <r>
      <rPr>
        <u/>
        <sz val="12"/>
        <rFont val="Calibri (Body)"/>
      </rPr>
      <t>past 30 days</t>
    </r>
    <r>
      <rPr>
        <sz val="12"/>
        <rFont val="Calibri"/>
        <family val="2"/>
        <scheme val="minor"/>
      </rPr>
      <t>.
[OPERATOR: SINGLE RESPONSE]
1)NEXT</t>
    </r>
  </si>
  <si>
    <r>
      <t xml:space="preserve">1 = </t>
    </r>
    <r>
      <rPr>
        <b/>
        <sz val="12"/>
        <color rgb="FF0070C0"/>
        <rFont val="Calibri"/>
        <family val="2"/>
        <scheme val="minor"/>
      </rPr>
      <t>[next question]</t>
    </r>
  </si>
  <si>
    <t>Coping strategies should be selected based on the local context. Ten (10) coping strategies should be selected; 4 in stress, 3 in crisis and 3 in emergency. 
Please delete coping strategies that you do not want to use in your survey or propose changes for the "English" column (i.e. text) under the "Additional notes" column.</t>
  </si>
  <si>
    <t>cs_stress_hh_assets</t>
  </si>
  <si>
    <t xml:space="preserve"> cs_stress_hh_assets</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</si>
  <si>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sell household assets / goods</t>
    </r>
    <r>
      <rPr>
        <sz val="12"/>
        <rFont val="Calibri"/>
        <family val="2"/>
        <scheme val="minor"/>
      </rPr>
      <t xml:space="preserve"> [radio, furniture, television, jewelry, etc.]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</si>
  <si>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1-6 = </t>
    </r>
    <r>
      <rPr>
        <b/>
        <sz val="12"/>
        <color rgb="FF0070C0"/>
        <rFont val="Calibri"/>
        <family val="2"/>
        <scheme val="minor"/>
      </rPr>
      <t>[next question]</t>
    </r>
  </si>
  <si>
    <t>cs_stress_spent_savings</t>
  </si>
  <si>
    <t xml:space="preserve"> cs_stress_spent_savings</t>
  </si>
  <si>
    <r>
      <t>Over the</t>
    </r>
    <r>
      <rPr>
        <b/>
        <sz val="12"/>
        <rFont val="Calibri"/>
        <family val="2"/>
        <scheme val="minor"/>
      </rPr>
      <t xml:space="preserve"> past 30 days</t>
    </r>
    <r>
      <rPr>
        <sz val="12"/>
        <rFont val="Calibri"/>
        <family val="2"/>
        <scheme val="minor"/>
      </rPr>
      <t xml:space="preserve">, did anyone in your household have to </t>
    </r>
    <r>
      <rPr>
        <u/>
        <sz val="12"/>
        <rFont val="Calibri"/>
        <family val="2"/>
        <scheme val="minor"/>
      </rPr>
      <t>spend savings</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</si>
  <si>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cs_stress_sold_more_animals</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</si>
  <si>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sell more animals [non-reproductive] than usual</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</si>
  <si>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cs_stress_eat_elsewhere</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</si>
  <si>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send household members to eat elsewhere</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</si>
  <si>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cs_stress_borrowed_or_helped</t>
  </si>
  <si>
    <r>
      <t>Over the</t>
    </r>
    <r>
      <rPr>
        <b/>
        <sz val="12"/>
        <rFont val="Calibri"/>
        <family val="2"/>
        <scheme val="minor"/>
      </rPr>
      <t xml:space="preserve"> past 30 days</t>
    </r>
    <r>
      <rPr>
        <sz val="12"/>
        <rFont val="Calibri"/>
        <family val="2"/>
        <scheme val="minor"/>
      </rPr>
      <t xml:space="preserve">, did anyone in your household have to </t>
    </r>
    <r>
      <rPr>
        <u/>
        <sz val="12"/>
        <rFont val="Calibri"/>
        <family val="2"/>
        <scheme val="minor"/>
      </rPr>
      <t>borrow food or rely on help from friends or relatives</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</si>
  <si>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cs_stress_credit</t>
  </si>
  <si>
    <r>
      <t>Over the</t>
    </r>
    <r>
      <rPr>
        <b/>
        <sz val="12"/>
        <rFont val="Calibri"/>
        <family val="2"/>
        <scheme val="minor"/>
      </rPr>
      <t xml:space="preserve"> past 30 days</t>
    </r>
    <r>
      <rPr>
        <sz val="12"/>
        <rFont val="Calibri"/>
        <family val="2"/>
        <scheme val="minor"/>
      </rPr>
      <t xml:space="preserve">, did anyone in your household have to </t>
    </r>
    <r>
      <rPr>
        <u/>
        <sz val="12"/>
        <rFont val="Calibri"/>
        <family val="2"/>
        <scheme val="minor"/>
      </rPr>
      <t>purchase food on credit or borrowed food</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</si>
  <si>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cs_stress_borrowed_money</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</si>
  <si>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borrow money</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</si>
  <si>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cs_stress_changed_school</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</si>
  <si>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move children to less expensive schools</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</si>
  <si>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cs_crisis_sold_prod_assets</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</si>
  <si>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sell productive assets or means of transport</t>
    </r>
    <r>
      <rPr>
        <sz val="12"/>
        <rFont val="Calibri"/>
        <family val="2"/>
        <scheme val="minor"/>
      </rPr>
      <t xml:space="preserve"> [sewing machine, wheelbarrow, bicycle, car, etc.] because of lack of food or money?
[OPERATOR: SINGLE RESPONSE]
1)Yes
2)No - because it wasn’t necessary
3)No - because you already sold those assets or did this activity within the last 12 months and you cannot continue to do it
4)Not applicable
5)DON'T KNOW 
6)REFUSED</t>
    </r>
  </si>
  <si>
    <t>cs_crisis_no_school</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</si>
  <si>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withdraw children from school</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</si>
  <si>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cs_crisis_reduced_health_exp</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</si>
  <si>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reduce expenses on health</t>
    </r>
    <r>
      <rPr>
        <sz val="12"/>
        <rFont val="Calibri"/>
        <family val="2"/>
        <scheme val="minor"/>
      </rPr>
      <t xml:space="preserve"> [including drugs] because of lack of food or money?
[OPERATOR: SINGLE RESPONSE]
1)Yes
2)No - because it wasn’t necessary
3)No - because you already sold those assets or did this activity within the last 12 months and you cannot continue to do it
4)Not applicable
5)DON'T KNOW 
6)REFUSED</t>
    </r>
  </si>
  <si>
    <t>cs_crisis_harv_immature_crops</t>
  </si>
  <si>
    <r>
      <t>Over the</t>
    </r>
    <r>
      <rPr>
        <b/>
        <sz val="12"/>
        <rFont val="Calibri"/>
        <family val="2"/>
        <scheme val="minor"/>
      </rPr>
      <t xml:space="preserve"> past 30 days</t>
    </r>
    <r>
      <rPr>
        <sz val="12"/>
        <rFont val="Calibri"/>
        <family val="2"/>
        <scheme val="minor"/>
      </rPr>
      <t xml:space="preserve">, did anyone in your household have to </t>
    </r>
    <r>
      <rPr>
        <u/>
        <sz val="12"/>
        <rFont val="Calibri"/>
        <family val="2"/>
        <scheme val="minor"/>
      </rPr>
      <t>harvest immature crops [e.g. green maize] to eat</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</si>
  <si>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cs_crisis_consume_seed_stock</t>
  </si>
  <si>
    <r>
      <t>Over the</t>
    </r>
    <r>
      <rPr>
        <b/>
        <sz val="12"/>
        <rFont val="Calibri"/>
        <family val="2"/>
        <scheme val="minor"/>
      </rPr>
      <t xml:space="preserve"> past 30 days</t>
    </r>
    <r>
      <rPr>
        <sz val="12"/>
        <rFont val="Calibri"/>
        <family val="2"/>
        <scheme val="minor"/>
      </rPr>
      <t xml:space="preserve">, did anyone in your household </t>
    </r>
    <r>
      <rPr>
        <u/>
        <sz val="12"/>
        <rFont val="Calibri"/>
        <family val="2"/>
        <scheme val="minor"/>
      </rPr>
      <t>consume seed stocks that were to be held/saved for the next planting season</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</si>
  <si>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cs_crisis_decrease_input_exp</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</si>
  <si>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decrease expenditures on fertilizer, pesticide, fodder, animal feed, veterinary care, etc.</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</si>
  <si>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cs_emergency_sold_house</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</si>
  <si>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sell a house or land</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</si>
  <si>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cs_emergency_begged</t>
  </si>
  <si>
    <r>
      <t>Over the</t>
    </r>
    <r>
      <rPr>
        <b/>
        <sz val="12"/>
        <rFont val="Calibri"/>
        <family val="2"/>
        <scheme val="minor"/>
      </rPr>
      <t xml:space="preserve"> past 30 days</t>
    </r>
    <r>
      <rPr>
        <sz val="12"/>
        <rFont val="Calibri"/>
        <family val="2"/>
        <scheme val="minor"/>
      </rPr>
      <t xml:space="preserve">, did anyone in your household have to </t>
    </r>
    <r>
      <rPr>
        <u/>
        <sz val="12"/>
        <rFont val="Calibri"/>
        <family val="2"/>
        <scheme val="minor"/>
      </rPr>
      <t>beg</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</si>
  <si>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cs_emergency_illegal</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</si>
  <si>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engage in illegal or degrading income activities</t>
    </r>
    <r>
      <rPr>
        <sz val="12"/>
        <rFont val="Calibri"/>
        <family val="2"/>
        <scheme val="minor"/>
      </rPr>
      <t xml:space="preserve"> [theft, prostitution] because of lack of food or money?
[OPERATOR: SINGLE RESPONSE]
1)Yes
2)No - because it wasn’t necessary
3)No - because you already sold those assets or did this activity within the last 12 months and you cannot continue to do it
4)Not applicable
5)DON'T KNOW 
6)REFUSED</t>
    </r>
  </si>
  <si>
    <t>cs_emergency_sold_last_female</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</si>
  <si>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sell your last female animals</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</si>
  <si>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cs_emergency_hh_migration</t>
  </si>
  <si>
    <r>
      <t xml:space="preserve">Over the </t>
    </r>
    <r>
      <rPr>
        <b/>
        <sz val="12"/>
        <rFont val="Calibri"/>
        <family val="2"/>
        <scheme val="minor"/>
      </rPr>
      <t>past 30 days</t>
    </r>
    <r>
      <rPr>
        <sz val="12"/>
        <rFont val="Calibri"/>
        <family val="2"/>
        <scheme val="minor"/>
      </rPr>
      <t xml:space="preserve">, did </t>
    </r>
    <r>
      <rPr>
        <u/>
        <sz val="12"/>
        <rFont val="Calibri (Body)"/>
      </rPr>
      <t>your entire household have to m</t>
    </r>
    <r>
      <rPr>
        <u/>
        <sz val="12"/>
        <rFont val="Calibri"/>
        <family val="2"/>
        <scheme val="minor"/>
      </rPr>
      <t>igrate</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</si>
  <si>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hdds</t>
  </si>
  <si>
    <t>hdds
1) hdds_cereals
2) hdds_rootstubers
3) hdds_vegetables
4) hdds_fruits
5) hdds_meat
6) hdds_eggs
7) hdds_fish
8) hdds_legumes
9) hdds_milkdairy
10) hdds_oils
11)hdds_sugar
12) hdds_condiments</t>
  </si>
  <si>
    <r>
      <t xml:space="preserve">Now I would like to ask you a set of questions on food consumption, referring to the </t>
    </r>
    <r>
      <rPr>
        <u/>
        <sz val="12"/>
        <color theme="1"/>
        <rFont val="Calibri"/>
        <family val="2"/>
        <scheme val="minor"/>
      </rPr>
      <t>24 hours of yesterday</t>
    </r>
    <r>
      <rPr>
        <sz val="12"/>
        <color theme="1"/>
        <rFont val="Calibri"/>
        <family val="2"/>
        <scheme val="minor"/>
      </rPr>
      <t>. Please describe the foods [meals and snacks] that you or any household member ate or drank at home yesterday [in the 24 hours of yesterday: breakfast, lunch, dinner and snacks].
[OPERATOR: SELECT ALL FOOD GROUPS CONSUMED IN THE 24 HOURS OF YESTERDAY AS THE RESPONDENT ANSWERS. MULTIPLE RESPONSES POSSIBLE.]
1)Cereals [sorghum / millet / corn / wheat / rice / spaghetti / bread or insert any other locally available grain]
2)Roots and tubers [white sweet potato / potato / yam / cassava or other tubers]
3)Vegetables [all]
4)Fruit [all]
5)Meat, poultry and offal [beef / pork / lamb / goat / rabbit / wild game / chicken / duck / liver / kidney / heart / or other organ meats]
6)Eggs
7)Fish or shellfish [fresh or dried fish / shellfish]
8)Legumes, nuts and seeds [beans / peas / peanut / lentils / almond / other nuts]
9)Milk and other dairy products [fresh milk / sour / yogurt / cheese / other dairy products]
10)Oils and fat [cooking / butter / margarine / fat / oil / other oil]
11)Sugar or sugary products [honey / jam / donuts / candy / chocolate / biscuits / pastries / cakes and other sweet products]
12)Condiments [cocoa / salt / garlic / spices / yeast / baking powder / tomato or tomato sauce / meat or fish as a condiment] and coffee / tea</t>
    </r>
  </si>
  <si>
    <t>Form Type - Checklist</t>
  </si>
  <si>
    <t>1-12 = hdds_confirmation</t>
  </si>
  <si>
    <t>1)hdds_cereals
2)hdds_rootstubers
3)hdds_vegetables
4)hdds_fruits
5)hdds_meat
6)hdds_eggs
7)hdds_fish
8)hdds_legumes
9)hdds_milkdairy
10)hdds_oils
11)hdds_sugar
12)hdds_condiments</t>
  </si>
  <si>
    <r>
      <t xml:space="preserve">if </t>
    </r>
    <r>
      <rPr>
        <i/>
        <sz val="12"/>
        <rFont val="Calibri"/>
        <family val="2"/>
        <scheme val="minor"/>
      </rPr>
      <t xml:space="preserve">hdds </t>
    </r>
    <r>
      <rPr>
        <sz val="12"/>
        <rFont val="Calibri"/>
        <family val="2"/>
        <scheme val="minor"/>
      </rPr>
      <t xml:space="preserve">= 1-12, go to </t>
    </r>
    <r>
      <rPr>
        <i/>
        <sz val="12"/>
        <rFont val="Calibri"/>
        <family val="2"/>
        <scheme val="minor"/>
      </rPr>
      <t>hdds_confirmation</t>
    </r>
  </si>
  <si>
    <t>hdds_confirmation</t>
  </si>
  <si>
    <t>[OPERATOR: REMEMBER TO PROBE FOR SNACKS, SPECIAL FOODS GIVEN TO CHILDREN OR PREGNANT WOMEN, INGREDIENTS IN MIXED DISHES. AT THE END, PROBE FOR FOOD GROUPS NOT MENTIONED. 
IF YOU HAVE ALREADY PROBED, CLICK CONTINUE. OTHERWISE, GO BACK TO MAKE SURE ALL FOOD GROUPS CONSUMED IN THE 24 HRS OF YESTERDAY WERE SELECTED.]
1)CONTINUE</t>
  </si>
  <si>
    <r>
      <t xml:space="preserve">1 = </t>
    </r>
    <r>
      <rPr>
        <b/>
        <sz val="12"/>
        <color theme="4"/>
        <rFont val="Calibri"/>
        <family val="2"/>
        <scheme val="minor"/>
      </rPr>
      <t>need or next question</t>
    </r>
  </si>
  <si>
    <r>
      <t xml:space="preserve">if </t>
    </r>
    <r>
      <rPr>
        <i/>
        <sz val="12"/>
        <rFont val="Calibri"/>
        <family val="2"/>
        <scheme val="minor"/>
      </rPr>
      <t xml:space="preserve">hdds_confirmation </t>
    </r>
    <r>
      <rPr>
        <sz val="12"/>
        <rFont val="Calibri"/>
        <family val="2"/>
        <scheme val="minor"/>
      </rPr>
      <t xml:space="preserve">= 1, go to </t>
    </r>
    <r>
      <rPr>
        <b/>
        <sz val="12"/>
        <color theme="4"/>
        <rFont val="Calibri"/>
        <family val="2"/>
        <scheme val="minor"/>
      </rPr>
      <t>need</t>
    </r>
    <r>
      <rPr>
        <b/>
        <i/>
        <sz val="12"/>
        <color theme="4"/>
        <rFont val="Calibri (Body)"/>
      </rPr>
      <t xml:space="preserve"> </t>
    </r>
    <r>
      <rPr>
        <b/>
        <sz val="12"/>
        <color theme="4"/>
        <rFont val="Calibri (Body)"/>
      </rPr>
      <t>or optional question</t>
    </r>
  </si>
  <si>
    <t>fcs_intro</t>
  </si>
  <si>
    <r>
      <t xml:space="preserve">Now I would like to ask you about the foods and drinks your household ate or drank in the </t>
    </r>
    <r>
      <rPr>
        <u/>
        <sz val="12"/>
        <color theme="1"/>
        <rFont val="Calibri"/>
        <family val="2"/>
        <scheme val="minor"/>
      </rPr>
      <t>last 7 days</t>
    </r>
    <r>
      <rPr>
        <sz val="12"/>
        <color theme="1"/>
        <rFont val="Calibri"/>
        <family val="2"/>
        <scheme val="minor"/>
      </rPr>
      <t xml:space="preserve"> during the day and at night [breakfast, lunch, dinner, snacks]. 
1)CONTINUE
</t>
    </r>
  </si>
  <si>
    <t>1 = fcs_staple_days</t>
  </si>
  <si>
    <t>if fcs_intro = 1, go to fcs_staple_days</t>
  </si>
  <si>
    <t>fcs_staple_days</t>
  </si>
  <si>
    <r>
      <t>How many days over the</t>
    </r>
    <r>
      <rPr>
        <b/>
        <sz val="12"/>
        <color theme="1"/>
        <rFont val="Calibri"/>
        <family val="2"/>
        <scheme val="minor"/>
      </rPr>
      <t xml:space="preserve"> last 7 days</t>
    </r>
    <r>
      <rPr>
        <sz val="12"/>
        <color theme="1"/>
        <rFont val="Calibri"/>
        <family val="2"/>
        <scheme val="minor"/>
      </rPr>
      <t xml:space="preserve">, did members of your household eat </t>
    </r>
    <r>
      <rPr>
        <u/>
        <sz val="12"/>
        <color theme="1"/>
        <rFont val="Calibri"/>
        <family val="2"/>
        <scheme val="minor"/>
      </rPr>
      <t>starches, roots and tubers</t>
    </r>
    <r>
      <rPr>
        <sz val="12"/>
        <color theme="1"/>
        <rFont val="Calibri"/>
        <family val="2"/>
        <scheme val="minor"/>
      </rPr>
      <t xml:space="preserve"> such as rice, maize, pasta, bread, sorghum, millet, potato, yam, cassava, white sweet potato?
[OPERATOR: RECORD NUMBER OF DAYS 0 - 7.]
[HINT: IF CONSUMED ONLY IN SMALL QUANTITY, DO NOT INCLUDE.]</t>
    </r>
  </si>
  <si>
    <t>0-7 = fcs_pulses_days</t>
  </si>
  <si>
    <t>For any response, go to fcs_pulses_days</t>
  </si>
  <si>
    <t>fcs_pulses_days</t>
  </si>
  <si>
    <r>
      <t xml:space="preserve">How many days over the </t>
    </r>
    <r>
      <rPr>
        <b/>
        <sz val="12"/>
        <color theme="1"/>
        <rFont val="Calibri"/>
        <family val="2"/>
        <scheme val="minor"/>
      </rPr>
      <t>last 7 days</t>
    </r>
    <r>
      <rPr>
        <sz val="12"/>
        <color theme="1"/>
        <rFont val="Calibri"/>
        <family val="2"/>
        <scheme val="minor"/>
      </rPr>
      <t xml:space="preserve">, did members of your household eat </t>
    </r>
    <r>
      <rPr>
        <u/>
        <sz val="12"/>
        <color theme="1"/>
        <rFont val="Calibri"/>
        <family val="2"/>
        <scheme val="minor"/>
      </rPr>
      <t>pulses and nuts</t>
    </r>
    <r>
      <rPr>
        <sz val="12"/>
        <color theme="1"/>
        <rFont val="Calibri"/>
        <family val="2"/>
        <scheme val="minor"/>
      </rPr>
      <t xml:space="preserve"> such as beans, lentils, cowpeas, soybean, pigeon peas and peanuts or other nuts?
[OPERATOR: RECORD NUMBER OF DAYS 0 - 7]</t>
    </r>
    <r>
      <rPr>
        <sz val="12"/>
        <color theme="1"/>
        <rFont val="Calibri"/>
        <family val="2"/>
        <scheme val="minor"/>
      </rPr>
      <t xml:space="preserve">
[HINT: IF CONSUMED ONLY IN SMALL QUANTITY, DO NOT INCLUDE.]</t>
    </r>
  </si>
  <si>
    <t>0-7 = fcs_vegetables_days</t>
  </si>
  <si>
    <t>For any response, go to fcs_vegetables_days</t>
  </si>
  <si>
    <t>fcs_vegetables_days</t>
  </si>
  <si>
    <r>
      <t xml:space="preserve">How many days over the </t>
    </r>
    <r>
      <rPr>
        <b/>
        <sz val="12"/>
        <color theme="1"/>
        <rFont val="Calibri"/>
        <family val="2"/>
        <scheme val="minor"/>
      </rPr>
      <t>last 7 days</t>
    </r>
    <r>
      <rPr>
        <sz val="12"/>
        <color theme="1"/>
        <rFont val="Calibri"/>
        <family val="2"/>
        <scheme val="minor"/>
      </rPr>
      <t xml:space="preserve">, did members of your household eat </t>
    </r>
    <r>
      <rPr>
        <u/>
        <sz val="12"/>
        <color theme="1"/>
        <rFont val="Calibri"/>
        <family val="2"/>
        <scheme val="minor"/>
      </rPr>
      <t>vegetables or leaves</t>
    </r>
    <r>
      <rPr>
        <sz val="12"/>
        <color theme="1"/>
        <rFont val="Calibri"/>
        <family val="2"/>
        <scheme val="minor"/>
      </rPr>
      <t xml:space="preserve"> such as </t>
    </r>
    <r>
      <rPr>
        <b/>
        <sz val="12"/>
        <color rgb="FF7030A0"/>
        <rFont val="Calibri"/>
        <family val="2"/>
        <scheme val="minor"/>
      </rPr>
      <t xml:space="preserve">$local vegetables$ </t>
    </r>
    <r>
      <rPr>
        <sz val="12"/>
        <color theme="1"/>
        <rFont val="Calibri"/>
        <family val="2"/>
        <scheme val="minor"/>
      </rPr>
      <t>and/or other leaves/vegetables?
[OPERATOR: RECORD NUMBER OF DAYS 0 - 7] 
[HINT: IF CONSUMED ONLY IN SMALL QUANTITY, DO NOT INCLUDE.]</t>
    </r>
  </si>
  <si>
    <t>0-7 = fcs_fruit_days</t>
  </si>
  <si>
    <t>For any response, go to fcs_fruit_days</t>
  </si>
  <si>
    <t>fcs_fruit_days</t>
  </si>
  <si>
    <r>
      <t xml:space="preserve">How many days over the </t>
    </r>
    <r>
      <rPr>
        <b/>
        <sz val="12"/>
        <color theme="1"/>
        <rFont val="Calibri"/>
        <family val="2"/>
        <scheme val="minor"/>
      </rPr>
      <t>last 7 days</t>
    </r>
    <r>
      <rPr>
        <sz val="12"/>
        <color theme="1"/>
        <rFont val="Calibri"/>
        <family val="2"/>
        <scheme val="minor"/>
      </rPr>
      <t xml:space="preserve">, did members of your household eat </t>
    </r>
    <r>
      <rPr>
        <u/>
        <sz val="12"/>
        <color theme="1"/>
        <rFont val="Calibri"/>
        <family val="2"/>
        <scheme val="minor"/>
      </rPr>
      <t>fruit</t>
    </r>
    <r>
      <rPr>
        <sz val="12"/>
        <color theme="1"/>
        <rFont val="Calibri"/>
        <family val="2"/>
        <scheme val="minor"/>
      </rPr>
      <t xml:space="preserve"> such as</t>
    </r>
    <r>
      <rPr>
        <b/>
        <sz val="12"/>
        <color rgb="FF7030A0"/>
        <rFont val="Calibri"/>
        <family val="2"/>
        <scheme val="minor"/>
      </rPr>
      <t xml:space="preserve"> $local fruits$</t>
    </r>
    <r>
      <rPr>
        <sz val="12"/>
        <color theme="1"/>
        <rFont val="Calibri"/>
        <family val="2"/>
        <scheme val="minor"/>
      </rPr>
      <t xml:space="preserve"> and/or other fruits?
[OPERATOR: RECORD NUMBER OF DAYS 0 - 7]
[HINT: IF CONSUMED ONLY IN SMALL QUANTITY, DO NOT INCLUDE.]</t>
    </r>
  </si>
  <si>
    <t>0-7 = fcs_meat_fish_days</t>
  </si>
  <si>
    <t>For any response, go to fcs_meat_fish_days</t>
  </si>
  <si>
    <t>fcs_meat_fish_days</t>
  </si>
  <si>
    <r>
      <t xml:space="preserve">How many days over the </t>
    </r>
    <r>
      <rPr>
        <b/>
        <sz val="12"/>
        <color theme="1"/>
        <rFont val="Calibri"/>
        <family val="2"/>
        <scheme val="minor"/>
      </rPr>
      <t>last 7 days</t>
    </r>
    <r>
      <rPr>
        <sz val="12"/>
        <color theme="1"/>
        <rFont val="Calibri"/>
        <family val="2"/>
        <scheme val="minor"/>
      </rPr>
      <t xml:space="preserve">, did members of your household eat </t>
    </r>
    <r>
      <rPr>
        <u/>
        <sz val="12"/>
        <color theme="1"/>
        <rFont val="Calibri"/>
        <family val="2"/>
        <scheme val="minor"/>
      </rPr>
      <t>meat, eggs or fish</t>
    </r>
    <r>
      <rPr>
        <sz val="12"/>
        <color theme="1"/>
        <rFont val="Calibri"/>
        <family val="2"/>
        <scheme val="minor"/>
      </rPr>
      <t xml:space="preserve"> [any type of meat or fish including insects, birds, bush meat, seafood, or organs]?
[OPERATOR: RECORD NUMBER OF DAYS 0 - 7]
[HINT: IF CONSUMED ONLY IN SMALL QUANTITY, DO NOT INCLUDE.]</t>
    </r>
  </si>
  <si>
    <t>0-7 = fcs_dairy_days</t>
  </si>
  <si>
    <t>For any response, go to fcs_dairy_days</t>
  </si>
  <si>
    <t>fcs_dairy_days</t>
  </si>
  <si>
    <r>
      <t xml:space="preserve">How many days over the last </t>
    </r>
    <r>
      <rPr>
        <b/>
        <sz val="12"/>
        <color theme="1"/>
        <rFont val="Calibri"/>
        <family val="2"/>
        <scheme val="minor"/>
      </rPr>
      <t>7 days</t>
    </r>
    <r>
      <rPr>
        <sz val="12"/>
        <color theme="1"/>
        <rFont val="Calibri"/>
        <family val="2"/>
        <scheme val="minor"/>
      </rPr>
      <t xml:space="preserve">, did members of your household consume fresh milk, sour milk, yogurt, cheese or other </t>
    </r>
    <r>
      <rPr>
        <u/>
        <sz val="12"/>
        <color theme="1"/>
        <rFont val="Calibri"/>
        <family val="2"/>
        <scheme val="minor"/>
      </rPr>
      <t>dairy products</t>
    </r>
    <r>
      <rPr>
        <sz val="12"/>
        <color theme="1"/>
        <rFont val="Calibri"/>
        <family val="2"/>
        <scheme val="minor"/>
      </rPr>
      <t>? [Excluding margarine/butter or small amounts of milk for tea/ coffee]
[OPERATOR: RECORD NUMBER OF DAYS 0 - 7]
[HINT: IF CONSUMED ONLY IN SMALL QUANTITY, DO NOT INCLUDE.]</t>
    </r>
  </si>
  <si>
    <t>0-7 = fcs_sugar_days</t>
  </si>
  <si>
    <t>For any response, go to fcs_sugar_days</t>
  </si>
  <si>
    <t>fcs_sugar_days</t>
  </si>
  <si>
    <r>
      <t>How many days over the</t>
    </r>
    <r>
      <rPr>
        <b/>
        <sz val="12"/>
        <color theme="1"/>
        <rFont val="Calibri"/>
        <family val="2"/>
        <scheme val="minor"/>
      </rPr>
      <t xml:space="preserve"> last 7 days</t>
    </r>
    <r>
      <rPr>
        <sz val="12"/>
        <color theme="1"/>
        <rFont val="Calibri"/>
        <family val="2"/>
        <scheme val="minor"/>
      </rPr>
      <t xml:space="preserve">, did members of your household consume </t>
    </r>
    <r>
      <rPr>
        <u/>
        <sz val="12"/>
        <color theme="1"/>
        <rFont val="Calibri"/>
        <family val="2"/>
        <scheme val="minor"/>
      </rPr>
      <t>sugar or swee</t>
    </r>
    <r>
      <rPr>
        <u/>
        <sz val="12"/>
        <color theme="1"/>
        <rFont val="Calibri (Body)"/>
      </rPr>
      <t>ts</t>
    </r>
    <r>
      <rPr>
        <sz val="12"/>
        <color theme="1"/>
        <rFont val="Calibri"/>
        <family val="2"/>
        <scheme val="minor"/>
      </rPr>
      <t xml:space="preserve"> such as sugar, honey, jam, cakes, candy, cookies, pastries, cakes and other sweets and sugary drinks?
[OPERATOR: RECORD NUMBER OF DAYS 0 - 7]</t>
    </r>
    <r>
      <rPr>
        <sz val="12"/>
        <color theme="1"/>
        <rFont val="Calibri"/>
        <family val="2"/>
        <scheme val="minor"/>
      </rPr>
      <t xml:space="preserve">
[HINT: IF CONSUMED ONLY IN SMALL QUANTITY, DO NOT INCLUDE.]</t>
    </r>
  </si>
  <si>
    <t>0-7 = fcs_oil_days</t>
  </si>
  <si>
    <t>For any response, go to fcs_oil_days</t>
  </si>
  <si>
    <t>fcs_oil_days</t>
  </si>
  <si>
    <r>
      <t xml:space="preserve">How many days over the </t>
    </r>
    <r>
      <rPr>
        <b/>
        <sz val="12"/>
        <color theme="1"/>
        <rFont val="Calibri"/>
        <family val="2"/>
        <scheme val="minor"/>
      </rPr>
      <t>last 7 days</t>
    </r>
    <r>
      <rPr>
        <sz val="12"/>
        <color theme="1"/>
        <rFont val="Calibri"/>
        <family val="2"/>
        <scheme val="minor"/>
      </rPr>
      <t xml:space="preserve">, did members of your household eat </t>
    </r>
    <r>
      <rPr>
        <u/>
        <sz val="12"/>
        <color theme="1"/>
        <rFont val="Calibri"/>
        <family val="2"/>
        <scheme val="minor"/>
      </rPr>
      <t>oil/fat/butter</t>
    </r>
    <r>
      <rPr>
        <sz val="12"/>
        <color theme="1"/>
        <rFont val="Calibri"/>
        <family val="2"/>
        <scheme val="minor"/>
      </rPr>
      <t xml:space="preserve"> such as vegetable oil, palm oil, groundnut oil, margarine, other fats / oil?
[OPERATOR: RECORD NUMBER OF DAYS 0 - 7]</t>
    </r>
    <r>
      <rPr>
        <sz val="12"/>
        <color theme="1"/>
        <rFont val="Calibri"/>
        <family val="2"/>
        <scheme val="minor"/>
      </rPr>
      <t xml:space="preserve">
[HINT: IF CONSUMED ONLY IN SMALL QUANTITY, DO NOT INCLUDE.]</t>
    </r>
  </si>
  <si>
    <t>0-7 = fcs_condiments_days</t>
  </si>
  <si>
    <t>For any response, go to fcs_condiments_days</t>
  </si>
  <si>
    <t>fcs_condiments_days</t>
  </si>
  <si>
    <r>
      <t xml:space="preserve">How many days over the </t>
    </r>
    <r>
      <rPr>
        <b/>
        <sz val="12"/>
        <color theme="1"/>
        <rFont val="Calibri"/>
        <family val="2"/>
        <scheme val="minor"/>
      </rPr>
      <t>last</t>
    </r>
    <r>
      <rPr>
        <sz val="12"/>
        <color theme="1"/>
        <rFont val="Calibri"/>
        <family val="2"/>
        <scheme val="minor"/>
      </rPr>
      <t xml:space="preserve"> </t>
    </r>
    <r>
      <rPr>
        <b/>
        <sz val="12"/>
        <color theme="1"/>
        <rFont val="Calibri"/>
        <family val="2"/>
        <scheme val="minor"/>
      </rPr>
      <t>7 days</t>
    </r>
    <r>
      <rPr>
        <sz val="12"/>
        <color theme="1"/>
        <rFont val="Calibri"/>
        <family val="2"/>
        <scheme val="minor"/>
      </rPr>
      <t xml:space="preserve">, did members of your household eat </t>
    </r>
    <r>
      <rPr>
        <u/>
        <sz val="12"/>
        <color theme="1"/>
        <rFont val="Calibri"/>
        <family val="2"/>
        <scheme val="minor"/>
      </rPr>
      <t>spices or condiment</t>
    </r>
    <r>
      <rPr>
        <u/>
        <sz val="12"/>
        <color theme="1"/>
        <rFont val="Calibri (Body)"/>
      </rPr>
      <t>s</t>
    </r>
    <r>
      <rPr>
        <sz val="12"/>
        <color theme="1"/>
        <rFont val="Calibri"/>
        <family val="2"/>
        <scheme val="minor"/>
      </rPr>
      <t xml:space="preserve"> such as tea, coffee, cocoa, salt, garlic, spices, yeast, meat fish as a condiment or small amounts of milk for tea or coffee?
[OPERATOR: RECORD NUMBER OF DAYS 0 - 7]</t>
    </r>
  </si>
  <si>
    <t>0-7 = rcsi_intro</t>
  </si>
  <si>
    <t>For any response, go to rcsi_intro</t>
  </si>
  <si>
    <t>rcsi_intro</t>
  </si>
  <si>
    <r>
      <t xml:space="preserve">Now I will ask you about the number of days, in the </t>
    </r>
    <r>
      <rPr>
        <u/>
        <sz val="12"/>
        <color theme="1"/>
        <rFont val="Calibri"/>
        <family val="2"/>
        <scheme val="minor"/>
      </rPr>
      <t>last 7 days</t>
    </r>
    <r>
      <rPr>
        <sz val="12"/>
        <color theme="1"/>
        <rFont val="Calibri"/>
        <family val="2"/>
        <scheme val="minor"/>
      </rPr>
      <t>, during which the household has done some of the actions that I will mention to cope with the lack of food or money to buy food.
1)CONTINUE</t>
    </r>
  </si>
  <si>
    <t>1 = rcsi_less_preferred_foods</t>
  </si>
  <si>
    <t>For any response, go to rcsi_less_preferred_foods</t>
  </si>
  <si>
    <t>rcsi_less_preferred_foods</t>
  </si>
  <si>
    <r>
      <t xml:space="preserve">In the </t>
    </r>
    <r>
      <rPr>
        <b/>
        <sz val="12"/>
        <color theme="1"/>
        <rFont val="Calibri"/>
        <family val="2"/>
        <scheme val="minor"/>
      </rPr>
      <t>past 7 days</t>
    </r>
    <r>
      <rPr>
        <sz val="12"/>
        <color theme="1"/>
        <rFont val="Calibri"/>
        <family val="2"/>
        <scheme val="minor"/>
      </rPr>
      <t>, how many days did your household</t>
    </r>
    <r>
      <rPr>
        <u/>
        <sz val="12"/>
        <color theme="1"/>
        <rFont val="Calibri"/>
        <family val="2"/>
        <scheme val="minor"/>
      </rPr>
      <t xml:space="preserve"> rely on less preferred or less expensive food</t>
    </r>
    <r>
      <rPr>
        <sz val="12"/>
        <color theme="1"/>
        <rFont val="Calibri"/>
        <family val="2"/>
        <scheme val="minor"/>
      </rPr>
      <t xml:space="preserve"> due to lack of food/money?  
[OPERATOR: RECORD NUMBER OF DAYS 0 - 7 ]</t>
    </r>
  </si>
  <si>
    <t>0-7 = rcsi_borrowed_food</t>
  </si>
  <si>
    <t>For any response, go to rcsi_borrowed_food</t>
  </si>
  <si>
    <t>rcsi_borrowed_food</t>
  </si>
  <si>
    <r>
      <t xml:space="preserve">In the </t>
    </r>
    <r>
      <rPr>
        <b/>
        <sz val="12"/>
        <color theme="1"/>
        <rFont val="Calibri"/>
        <family val="2"/>
        <scheme val="minor"/>
      </rPr>
      <t>past 7 days</t>
    </r>
    <r>
      <rPr>
        <sz val="12"/>
        <color theme="1"/>
        <rFont val="Calibri"/>
        <family val="2"/>
        <scheme val="minor"/>
      </rPr>
      <t xml:space="preserve">, how many days did your household </t>
    </r>
    <r>
      <rPr>
        <u/>
        <sz val="12"/>
        <color theme="1"/>
        <rFont val="Calibri"/>
        <family val="2"/>
        <scheme val="minor"/>
      </rPr>
      <t>borrow food, or rely on help from a friend or relative</t>
    </r>
    <r>
      <rPr>
        <sz val="12"/>
        <color theme="1"/>
        <rFont val="Calibri"/>
        <family val="2"/>
        <scheme val="minor"/>
      </rPr>
      <t xml:space="preserve"> due to lack of food or money to buy food? 
[OPERATOR: RECORD NUMBER OF DAYS 0 - 7 ]</t>
    </r>
  </si>
  <si>
    <t>0-7 = rcsi_reduce_number_meals</t>
  </si>
  <si>
    <t>For any response, go to rcsi_reduce_number_meals</t>
  </si>
  <si>
    <t>rcsi_reduce_number_meals</t>
  </si>
  <si>
    <r>
      <t xml:space="preserve">In the </t>
    </r>
    <r>
      <rPr>
        <b/>
        <sz val="12"/>
        <color theme="1"/>
        <rFont val="Calibri"/>
        <family val="2"/>
        <scheme val="minor"/>
      </rPr>
      <t>past 7 days</t>
    </r>
    <r>
      <rPr>
        <sz val="12"/>
        <color theme="1"/>
        <rFont val="Calibri"/>
        <family val="2"/>
        <scheme val="minor"/>
      </rPr>
      <t xml:space="preserve">, how many days did your household </t>
    </r>
    <r>
      <rPr>
        <u/>
        <sz val="12"/>
        <color theme="1"/>
        <rFont val="Calibri"/>
        <family val="2"/>
        <scheme val="minor"/>
      </rPr>
      <t>reduce the number of meals eaten in a day</t>
    </r>
    <r>
      <rPr>
        <sz val="12"/>
        <color theme="1"/>
        <rFont val="Calibri"/>
        <family val="2"/>
        <scheme val="minor"/>
      </rPr>
      <t xml:space="preserve"> due to lack of food or money to buy food?
[OPERATOR: RECORD NUMBER OF DAYS 0 - 7 ]</t>
    </r>
  </si>
  <si>
    <t>0-7 = rcsi_limit_portions</t>
  </si>
  <si>
    <t>For any response, go to rcsi_limit_portions</t>
  </si>
  <si>
    <t>rcsi_limit_portions</t>
  </si>
  <si>
    <r>
      <t>In the</t>
    </r>
    <r>
      <rPr>
        <b/>
        <sz val="12"/>
        <color theme="1"/>
        <rFont val="Calibri"/>
        <family val="2"/>
        <scheme val="minor"/>
      </rPr>
      <t xml:space="preserve"> past 7 days</t>
    </r>
    <r>
      <rPr>
        <sz val="12"/>
        <color theme="1"/>
        <rFont val="Calibri"/>
        <family val="2"/>
        <scheme val="minor"/>
      </rPr>
      <t xml:space="preserve">, how many days did your household </t>
    </r>
    <r>
      <rPr>
        <u/>
        <sz val="12"/>
        <color theme="1"/>
        <rFont val="Calibri"/>
        <family val="2"/>
        <scheme val="minor"/>
      </rPr>
      <t>limit portion sizes at mealtime</t>
    </r>
    <r>
      <rPr>
        <sz val="12"/>
        <color theme="1"/>
        <rFont val="Calibri"/>
        <family val="2"/>
        <scheme val="minor"/>
      </rPr>
      <t xml:space="preserve"> due to lack of food or money to buy food? 
[OPERATOR: RECORD NUMBER OF DAYS 0 - 7 ]</t>
    </r>
  </si>
  <si>
    <t>0-7 = rcsi_restrict_adult_consumpt</t>
  </si>
  <si>
    <t>For any response, go to rcsi_restrict_adult_consumpt</t>
  </si>
  <si>
    <t>rcsi_restrict_adult_consumpt</t>
  </si>
  <si>
    <r>
      <t>In the</t>
    </r>
    <r>
      <rPr>
        <b/>
        <sz val="12"/>
        <rFont val="Calibri"/>
        <family val="2"/>
        <scheme val="minor"/>
      </rPr>
      <t xml:space="preserve"> past 7 days</t>
    </r>
    <r>
      <rPr>
        <sz val="12"/>
        <rFont val="Calibri"/>
        <family val="2"/>
        <scheme val="minor"/>
      </rPr>
      <t xml:space="preserve">, how many days did your household </t>
    </r>
    <r>
      <rPr>
        <u/>
        <sz val="12"/>
        <rFont val="Calibri"/>
        <family val="2"/>
        <scheme val="minor"/>
      </rPr>
      <t>restrict consumption by adults so children could eat</t>
    </r>
    <r>
      <rPr>
        <sz val="12"/>
        <rFont val="Calibri"/>
        <family val="2"/>
        <scheme val="minor"/>
      </rPr>
      <t>, due to lack of food or money to buy food?
[OPERATOR: RECORD NUMBER OF DAYS 0 - 7 ]</t>
    </r>
  </si>
  <si>
    <r>
      <t xml:space="preserve">0-7 = </t>
    </r>
    <r>
      <rPr>
        <b/>
        <sz val="12"/>
        <color theme="4"/>
        <rFont val="Calibri (Body)"/>
      </rPr>
      <t>need</t>
    </r>
  </si>
  <si>
    <r>
      <t xml:space="preserve">For any response, go to </t>
    </r>
    <r>
      <rPr>
        <b/>
        <sz val="12"/>
        <color theme="4"/>
        <rFont val="Calibri (Body)"/>
      </rPr>
      <t>need</t>
    </r>
  </si>
  <si>
    <t>H. NEEDS ASSISTANCE</t>
  </si>
  <si>
    <t>need</t>
  </si>
  <si>
    <r>
      <rPr>
        <sz val="12"/>
        <color rgb="FFFF0000"/>
        <rFont val="Calibri"/>
        <family val="2"/>
      </rPr>
      <t xml:space="preserve">Does your household need any kind of assistance to support your ability to meet food and income needs over the next 6 months?
</t>
    </r>
    <r>
      <rPr>
        <sz val="12"/>
        <color rgb="FF000000"/>
        <rFont val="Calibri"/>
        <family val="2"/>
      </rPr>
      <t xml:space="preserve">
[OPERATOR: SINGLE RESPONSE.]
1)YES
2)NO
3)DON'T KNOW
4)REFUSED</t>
    </r>
  </si>
  <si>
    <r>
      <t>1 =</t>
    </r>
    <r>
      <rPr>
        <sz val="12"/>
        <color rgb="FFFF0000"/>
        <rFont val="Calibri (Body)"/>
      </rPr>
      <t xml:space="preserve"> need_type</t>
    </r>
    <r>
      <rPr>
        <sz val="12"/>
        <rFont val="Calibri"/>
        <family val="2"/>
        <scheme val="minor"/>
      </rPr>
      <t xml:space="preserve">
2-4= </t>
    </r>
    <r>
      <rPr>
        <b/>
        <sz val="12"/>
        <color theme="4"/>
        <rFont val="Calibri (Body)"/>
      </rPr>
      <t>need_received</t>
    </r>
  </si>
  <si>
    <r>
      <t>if need = 1, go to need_</t>
    </r>
    <r>
      <rPr>
        <sz val="12"/>
        <color rgb="FFFF0000"/>
        <rFont val="Calibri"/>
        <family val="2"/>
        <scheme val="minor"/>
      </rPr>
      <t>type</t>
    </r>
    <r>
      <rPr>
        <sz val="12"/>
        <rFont val="Calibri"/>
        <family val="2"/>
        <scheme val="minor"/>
      </rPr>
      <t xml:space="preserve">
if need = 2-4, go to </t>
    </r>
    <r>
      <rPr>
        <b/>
        <sz val="12"/>
        <color theme="4"/>
        <rFont val="Calibri (Body)"/>
      </rPr>
      <t>need_received</t>
    </r>
  </si>
  <si>
    <t>need_type</t>
  </si>
  <si>
    <t>need_type
1)need_type_food
2)need_type_ag_livelihood
3)need_type_nonag_livelihood
4)need_type_other
5)need_type_dk
6)need_type_ref</t>
  </si>
  <si>
    <t xml:space="preserve">What type of assistance will your household need?
[OPERATOR: MULTIPLE RESPONSE.]
1)Food aid 
2)Support for agriculture or related livelihoods [crops, livestock, fisheries, and related marketing]
3)Support for non-agricultural income
4)Support for other essential needs [e.g. shelter, healthcare, education, water, sanitation]
5)DON'T KNOW 
6)REFUSED
</t>
  </si>
  <si>
    <r>
      <t xml:space="preserve">Form Type - Checklist
</t>
    </r>
    <r>
      <rPr>
        <sz val="12"/>
        <color rgb="FFFF0000"/>
        <rFont val="Calibri (Body)"/>
      </rPr>
      <t>5,6</t>
    </r>
    <r>
      <rPr>
        <sz val="12"/>
        <color rgb="FFFF0000"/>
        <rFont val="Calibri"/>
        <family val="2"/>
        <scheme val="minor"/>
      </rPr>
      <t xml:space="preserve"> = IsNone</t>
    </r>
  </si>
  <si>
    <t>1-6 = need_type_main</t>
  </si>
  <si>
    <t>1)need_type_food
2)need_type_ag_livelihood
3)need_type_nonag_livelihood
4)need_type_other
5)need_type_dk
6)need_type_ref</t>
  </si>
  <si>
    <t>For any response, go to need_type_main</t>
  </si>
  <si>
    <t>need_type_main</t>
  </si>
  <si>
    <t>Which of these types of support is the most important for your household? 
[OPERATOR: PLEASE ONLY ASK THE QUESTION IF MORE THAN ONE ANSWER WAS PROVIDED IN THE PREVIOUS QUESTION.]
1)DON'T KNOW
2)REFUSED</t>
  </si>
  <si>
    <t>Send if "need_type" "Contains" "Food aid" Or "need_type" "Contains" "Support for non-agricultural income" Or "need_type" "Contains" "Support for other essential needs [e.g. shelter, healthcare, education, water, sanitation" Or "need_type" "Contains" "Support for agriculture or related livelihoods [crop, livestock, fisheries, and related marketing]" if not satisfied go to "need_received"</t>
  </si>
  <si>
    <t>Form Type - Buttons
include selected "need_type"
IsDemographic</t>
  </si>
  <si>
    <t xml:space="preserve">Dynamics = need_2
1-2 = need_2
</t>
  </si>
  <si>
    <t>For any response, go to need_2</t>
  </si>
  <si>
    <t>need_2</t>
  </si>
  <si>
    <r>
      <t xml:space="preserve">need_
1) need_crop_inputs
2) need_crop_infrastructure
3) need_crop_knowledge
4) need_ls_feed
5) need_ls_vet_service
6) need_ls_infrastructure
7) need_ls_knowledge
8) need_fish_inputs
9) need_fish_infrastructure
10) need_fish_knowledge
11) need_env_infra_rehab
12) need_cold_storage
13) need_marketing_supp
</t>
    </r>
    <r>
      <rPr>
        <sz val="12"/>
        <color rgb="FFFF0000"/>
        <rFont val="Calibri"/>
        <family val="2"/>
      </rPr>
      <t xml:space="preserve">14) need_food
15) need_vouchers_fair
16) need_cash
</t>
    </r>
    <r>
      <rPr>
        <sz val="12"/>
        <color theme="1"/>
        <rFont val="Calibri"/>
        <family val="2"/>
      </rPr>
      <t>17) need_other
18) need_dk
19) need_ref</t>
    </r>
  </si>
  <si>
    <r>
      <rPr>
        <sz val="12"/>
        <color rgb="FFFF0000"/>
        <rFont val="Calibri"/>
        <family val="2"/>
        <scheme val="minor"/>
      </rPr>
      <t xml:space="preserve">Over the next 6 months, what kinds of assistance does your household need to support agricultural livelihood [including both production and marketing]? </t>
    </r>
    <r>
      <rPr>
        <sz val="12"/>
        <rFont val="Calibri"/>
        <family val="2"/>
        <scheme val="minor"/>
      </rPr>
      <t xml:space="preserve">
[OPERATOR: MULTIPLE RESPONSE. DO NOT READ THE OPTIONS.]
1)Inputs for crop and/or vegetable production [e.g. seeds, fertilizer, tools]
2)Infrastructure for crop and/or vegetable production [e.g. irrigation, canal rehabilitation, pumps]
3)Training &amp; technical knowledge/advice for crop production
4)Livestock feed [fodder or supplementary feed]
5)Veterinary services [e.g. vaccination, dips, deworming]
6)Infrastructure for livestock [e.g. water points, transhumance corridors, shelter, health points]
7)Training &amp; technical knowledge/advice for livestock production
8)Inputs for fishing or aquaculture production
9)Infrastructure for fisheries or aquaculture production [e.g. rehabilitation of port; repair of ponds]
10)Training &amp; technical knowledge/advice for fisheries or aquaculture production
11)Environmental or infrastructure rehabilitation [community-wide]
12)Cold storage
13)Marketing or sales support [e.g. public procurement]
</t>
    </r>
    <r>
      <rPr>
        <sz val="12"/>
        <color rgb="FFFF0000"/>
        <rFont val="Calibri (Body)"/>
      </rPr>
      <t xml:space="preserve">14)Food
15)Cash
16)Vouchers or input trade fairs
</t>
    </r>
    <r>
      <rPr>
        <sz val="12"/>
        <rFont val="Calibri"/>
        <family val="2"/>
        <scheme val="minor"/>
      </rPr>
      <t>17)Other [specify]
18)DON'T KNOW
19)REFUSED</t>
    </r>
  </si>
  <si>
    <t>Send if "need_type" "Contains" "Support for agriculture or related livelihoods [crop, livestock, fisheries, and related marketing]" if not satisfied go to "need_received"</t>
  </si>
  <si>
    <r>
      <t xml:space="preserve">Form Type - Checklist
</t>
    </r>
    <r>
      <rPr>
        <sz val="12"/>
        <color rgb="FFFF0000"/>
        <rFont val="Calibri (Body)"/>
      </rPr>
      <t>18,19</t>
    </r>
    <r>
      <rPr>
        <sz val="12"/>
        <rFont val="Calibri"/>
        <family val="2"/>
        <scheme val="minor"/>
      </rPr>
      <t xml:space="preserve"> = IsNone</t>
    </r>
  </si>
  <si>
    <r>
      <t>1-</t>
    </r>
    <r>
      <rPr>
        <sz val="12"/>
        <color rgb="FFFF0000"/>
        <rFont val="Calibri (Body)"/>
      </rPr>
      <t>19</t>
    </r>
    <r>
      <rPr>
        <sz val="12"/>
        <rFont val="Calibri"/>
        <family val="2"/>
        <scheme val="minor"/>
      </rPr>
      <t xml:space="preserve"> =</t>
    </r>
    <r>
      <rPr>
        <b/>
        <sz val="12"/>
        <rFont val="Calibri"/>
        <family val="2"/>
        <scheme val="minor"/>
      </rPr>
      <t xml:space="preserve"> </t>
    </r>
    <r>
      <rPr>
        <b/>
        <sz val="12"/>
        <color theme="4"/>
        <rFont val="Calibri (Body)"/>
      </rPr>
      <t>need_received</t>
    </r>
  </si>
  <si>
    <r>
      <t xml:space="preserve">1) need_crop_inputs
2) need_crop_infrastructure
3) need_crop_knowledge
4) need_ls_feed
5) need_ls_vet_service
6) need_ls_infrastructure
7) need_ls_knowledge
8) need_fish_inputs
9) need_fish_infrastructure
10) need_fish_knowledge
11) need_env_infra_rehab
12) need_cold_storage
13) need_marketing_supp
</t>
    </r>
    <r>
      <rPr>
        <sz val="12"/>
        <color rgb="FFFF0000"/>
        <rFont val="Calibri"/>
        <family val="2"/>
      </rPr>
      <t xml:space="preserve">14) need_food
15) need_vouchers_fair
16) need_cash
</t>
    </r>
    <r>
      <rPr>
        <sz val="12"/>
        <color theme="1"/>
        <rFont val="Calibri"/>
        <family val="2"/>
      </rPr>
      <t>17) need_other
18) need_dk
19) need_ref</t>
    </r>
  </si>
  <si>
    <r>
      <t xml:space="preserve">if </t>
    </r>
    <r>
      <rPr>
        <i/>
        <sz val="12"/>
        <rFont val="Calibri"/>
        <family val="2"/>
        <scheme val="minor"/>
      </rPr>
      <t>need_2</t>
    </r>
    <r>
      <rPr>
        <sz val="12"/>
        <rFont val="Calibri"/>
        <family val="2"/>
        <scheme val="minor"/>
      </rPr>
      <t xml:space="preserve"> = 1-</t>
    </r>
    <r>
      <rPr>
        <sz val="12"/>
        <color rgb="FFFF0000"/>
        <rFont val="17"/>
      </rPr>
      <t>19</t>
    </r>
    <r>
      <rPr>
        <sz val="12"/>
        <rFont val="Calibri"/>
        <family val="2"/>
        <scheme val="minor"/>
      </rPr>
      <t xml:space="preserve">, go to </t>
    </r>
    <r>
      <rPr>
        <b/>
        <sz val="12"/>
        <color theme="4"/>
        <rFont val="Calibri (Body)"/>
      </rPr>
      <t>need_received</t>
    </r>
  </si>
  <si>
    <t>need_received</t>
  </si>
  <si>
    <r>
      <t xml:space="preserve">need_received_
1) need_received_food
2) </t>
    </r>
    <r>
      <rPr>
        <sz val="12"/>
        <rFont val="Calibri (Body)"/>
      </rPr>
      <t>need_received_cash
3) need_received_vouchers_fair
4</t>
    </r>
    <r>
      <rPr>
        <sz val="12"/>
        <rFont val="Calibri"/>
        <family val="2"/>
        <scheme val="minor"/>
      </rPr>
      <t>) need_received_crop_assist
5) need_received_ls_assist
6) need_received_fish_assist
7) need_received_rehabilitation
8) need_received_sales_support
9) need_received_other
10) need_received_</t>
    </r>
    <r>
      <rPr>
        <sz val="12"/>
        <rFont val="Calibri (Body)"/>
      </rPr>
      <t>none</t>
    </r>
    <r>
      <rPr>
        <sz val="12"/>
        <rFont val="Calibri"/>
        <family val="2"/>
        <scheme val="minor"/>
      </rPr>
      <t xml:space="preserve">
11) need_received_dk
12) need_received_ref</t>
    </r>
  </si>
  <si>
    <r>
      <t xml:space="preserve">Has your household received any assistance </t>
    </r>
    <r>
      <rPr>
        <sz val="12"/>
        <rFont val="Calibri (Body)"/>
      </rPr>
      <t>in the</t>
    </r>
    <r>
      <rPr>
        <sz val="12"/>
        <color rgb="FFFF0000"/>
        <rFont val="Calibri (Body)"/>
      </rPr>
      <t xml:space="preserve"> last 6 months</t>
    </r>
    <r>
      <rPr>
        <sz val="12"/>
        <rFont val="Calibri"/>
        <family val="2"/>
        <scheme val="minor"/>
      </rPr>
      <t>, and if so,</t>
    </r>
    <r>
      <rPr>
        <sz val="12"/>
        <rFont val="Calibri (Body)"/>
      </rPr>
      <t xml:space="preserve"> which kind</t>
    </r>
    <r>
      <rPr>
        <sz val="12"/>
        <rFont val="Calibri"/>
        <family val="2"/>
        <scheme val="minor"/>
      </rPr>
      <t xml:space="preserve">?
[OPERATOR: MULTIPLE RESPONSE </t>
    </r>
    <r>
      <rPr>
        <sz val="12"/>
        <rFont val="Calibri (Body)"/>
      </rPr>
      <t>POSSIBLE</t>
    </r>
    <r>
      <rPr>
        <sz val="12"/>
        <rFont val="Calibri"/>
        <family val="2"/>
        <scheme val="minor"/>
      </rPr>
      <t xml:space="preserve">. READ OUT THE OPTIONS.]
</t>
    </r>
    <r>
      <rPr>
        <sz val="12"/>
        <rFont val="Calibri (Body)"/>
      </rPr>
      <t>1)Food
2)Cash 
3)Vouchers/input trade fairs
4)Crop and/or vegetable production assistance
5)Livestock assistance
6)Fisheries and/or aquaculture assistance
7)Environmental or infrastructure rehabilitation [community-wide]
8)Marketing or sales support [e.g. public procurement]
9)Other [specify]
10)No assistance received
11)DON'T KNOW 
12)REFUSED</t>
    </r>
  </si>
  <si>
    <r>
      <t xml:space="preserve">Form Type - Checklist
</t>
    </r>
    <r>
      <rPr>
        <sz val="12"/>
        <rFont val="Calibri (Body)"/>
      </rPr>
      <t>10,11,12</t>
    </r>
    <r>
      <rPr>
        <sz val="12"/>
        <rFont val="Calibri"/>
        <family val="2"/>
        <scheme val="minor"/>
      </rPr>
      <t xml:space="preserve"> = IsNone</t>
    </r>
  </si>
  <si>
    <r>
      <t>1-9 = assistance_quality 
10</t>
    </r>
    <r>
      <rPr>
        <sz val="12"/>
        <rFont val="Calibri (Body)"/>
      </rPr>
      <t xml:space="preserve">-12 = </t>
    </r>
    <r>
      <rPr>
        <b/>
        <sz val="12"/>
        <color theme="4"/>
        <rFont val="Calibri (Body)"/>
      </rPr>
      <t>callback</t>
    </r>
  </si>
  <si>
    <t>1)need_received_food
2)need_received_cash
3)need_received_vouchers_fair
4)need_received_crop_assist
5)need_received_ls_assist
6)need_received_fish_assist
7)need_received_rehabilitation
8)need_received_sales_support
9)need_received_other
10)need_received_none
11)need_received_dk
12)need_received_ref</t>
  </si>
  <si>
    <r>
      <t>if need_received = 1-</t>
    </r>
    <r>
      <rPr>
        <sz val="12"/>
        <rFont val="Calibri (Body)"/>
      </rPr>
      <t>9</t>
    </r>
    <r>
      <rPr>
        <sz val="12"/>
        <rFont val="Calibri"/>
        <family val="2"/>
        <scheme val="minor"/>
      </rPr>
      <t xml:space="preserve">, go to </t>
    </r>
    <r>
      <rPr>
        <sz val="12"/>
        <rFont val="Calibri (Body)"/>
      </rPr>
      <t>assistance_quality</t>
    </r>
    <r>
      <rPr>
        <sz val="12"/>
        <rFont val="Calibri"/>
        <family val="2"/>
        <scheme val="minor"/>
      </rPr>
      <t xml:space="preserve">.
</t>
    </r>
    <r>
      <rPr>
        <sz val="12"/>
        <rFont val="Calibri (Body)"/>
      </rPr>
      <t xml:space="preserve">Otherwise, go to </t>
    </r>
    <r>
      <rPr>
        <b/>
        <sz val="12"/>
        <color theme="4"/>
        <rFont val="Calibri (Body)"/>
      </rPr>
      <t>callback</t>
    </r>
    <r>
      <rPr>
        <sz val="12"/>
        <rFont val="Calibri (Body)"/>
      </rPr>
      <t xml:space="preserve">. </t>
    </r>
  </si>
  <si>
    <t>assistance_quality</t>
  </si>
  <si>
    <r>
      <t>Were you satisfied with the quality of the assistance provided? 
[OPERATOR: SINGLE RESPONSE.</t>
    </r>
    <r>
      <rPr>
        <b/>
        <sz val="12"/>
        <rFont val="Calibri"/>
        <family val="2"/>
        <scheme val="minor"/>
      </rPr>
      <t xml:space="preserve"> QUALITY OF ASSISTANCE IN TERMS OF SUFFICIENT ASSISTANCE FOR PRODUCTION OR SALES DIFFICULTY TO BE OVERCOME</t>
    </r>
    <r>
      <rPr>
        <sz val="12"/>
        <rFont val="Calibri"/>
        <family val="2"/>
        <scheme val="minor"/>
      </rPr>
      <t>.]
1)Yes
2)No - not received on time
3)No - did not meet my needs
4)No - quantity was not sufficient
5)No - there was a problem with the provider
6)No - there was a malfunction of the in-kind assistance provided [e.g. poor quality tools]
7)DON'T KNOW
8)REFUSED</t>
    </r>
  </si>
  <si>
    <r>
      <t>1-8 =</t>
    </r>
    <r>
      <rPr>
        <b/>
        <sz val="12"/>
        <rFont val="Calibri"/>
        <family val="2"/>
        <scheme val="minor"/>
      </rPr>
      <t xml:space="preserve"> </t>
    </r>
    <r>
      <rPr>
        <b/>
        <sz val="12"/>
        <color rgb="FF4472C4"/>
        <rFont val="Calibri"/>
        <family val="2"/>
        <scheme val="minor"/>
      </rPr>
      <t>[callback or optional question]</t>
    </r>
  </si>
  <si>
    <r>
      <t>if assistance_quality = 1-8, go to</t>
    </r>
    <r>
      <rPr>
        <b/>
        <sz val="12"/>
        <rFont val="Calibri"/>
        <family val="2"/>
        <scheme val="minor"/>
      </rPr>
      <t xml:space="preserve"> </t>
    </r>
    <r>
      <rPr>
        <b/>
        <sz val="12"/>
        <color rgb="FF4472C4"/>
        <rFont val="Calibri"/>
        <family val="2"/>
        <scheme val="minor"/>
      </rPr>
      <t>callback or assistance_provider</t>
    </r>
  </si>
  <si>
    <t>assistance_provider</t>
  </si>
  <si>
    <r>
      <rPr>
        <b/>
        <sz val="12"/>
        <rFont val="Calibri"/>
        <family val="2"/>
        <scheme val="minor"/>
      </rPr>
      <t>assistance_</t>
    </r>
    <r>
      <rPr>
        <sz val="12"/>
        <rFont val="Calibri"/>
        <family val="2"/>
        <scheme val="minor"/>
      </rPr>
      <t>provider
1) assistance_fao
2) assistance_wfp
3) assistance_otherun
4) assistance_gov
5) assistance_ngo
6) assistance_dk
7) assistance_ref</t>
    </r>
  </si>
  <si>
    <t>Who provided your household with this assistance?
[OPERATOR: MULTIPLE RESPONSE.]
1)FAO
2)WFP
3)Other UN agencies
4)Government
5)Non-governmental/local organization
6)DON'T KNOW
7)REFUSED</t>
  </si>
  <si>
    <t>Form Type - Checklist
6,7 = IsNone</t>
  </si>
  <si>
    <r>
      <t>1-7 =</t>
    </r>
    <r>
      <rPr>
        <sz val="12"/>
        <color theme="4"/>
        <rFont val="Calibri (Body)"/>
      </rPr>
      <t xml:space="preserve"> </t>
    </r>
    <r>
      <rPr>
        <b/>
        <sz val="12"/>
        <color theme="4"/>
        <rFont val="Calibri"/>
        <family val="2"/>
        <scheme val="minor"/>
      </rPr>
      <t>callback</t>
    </r>
  </si>
  <si>
    <t>1)assistance_fao
2)assistance_wfp
3)assistance_otherun
4)assistance_gov
5)assistance_ngo
6)assistance_dk
7)assistance_ref</t>
  </si>
  <si>
    <r>
      <t xml:space="preserve">if assistance_provider = 1-7, go to </t>
    </r>
    <r>
      <rPr>
        <sz val="12"/>
        <color theme="4"/>
        <rFont val="Calibri"/>
        <family val="2"/>
        <scheme val="minor"/>
      </rPr>
      <t xml:space="preserve">callback </t>
    </r>
  </si>
  <si>
    <t>I. CLOSING</t>
  </si>
  <si>
    <t>callback</t>
  </si>
  <si>
    <t>Your answers will help us to understand and respond to your community needs. May we call you back again in a few months?
[OPERATOR: SINGLE RESPONSE.]
1)YES
2)NO</t>
  </si>
  <si>
    <r>
      <t>1 =</t>
    </r>
    <r>
      <rPr>
        <sz val="12"/>
        <color theme="4"/>
        <rFont val="Calibri (Body)"/>
      </rPr>
      <t xml:space="preserve"> future_int_day</t>
    </r>
    <r>
      <rPr>
        <sz val="12"/>
        <rFont val="Calibri"/>
        <family val="2"/>
        <scheme val="minor"/>
      </rPr>
      <t xml:space="preserve">
2 = language2</t>
    </r>
  </si>
  <si>
    <r>
      <t xml:space="preserve">if </t>
    </r>
    <r>
      <rPr>
        <i/>
        <sz val="12"/>
        <rFont val="Calibri"/>
        <family val="2"/>
        <scheme val="minor"/>
      </rPr>
      <t>callback</t>
    </r>
    <r>
      <rPr>
        <sz val="12"/>
        <rFont val="Calibri"/>
        <family val="2"/>
        <scheme val="minor"/>
      </rPr>
      <t xml:space="preserve"> = 1, go to future_int_day
if 2, go to </t>
    </r>
    <r>
      <rPr>
        <i/>
        <sz val="12"/>
        <rFont val="Calibri"/>
        <family val="2"/>
        <scheme val="minor"/>
      </rPr>
      <t>language2</t>
    </r>
  </si>
  <si>
    <t>future_int_day</t>
  </si>
  <si>
    <t>future_int_day_
1) future_int_day_mon
2) future_int_day_tues
3) future_int_day_wed
4) future_int_day_thurs
5) future_int_day_fri
6) future_int_day_sat
7) future_int_day_sun</t>
  </si>
  <si>
    <r>
      <t xml:space="preserve">For future interviews, in which </t>
    </r>
    <r>
      <rPr>
        <b/>
        <sz val="12"/>
        <color theme="9" tint="-0.499984740745262"/>
        <rFont val="Calibri"/>
        <family val="2"/>
        <scheme val="minor"/>
      </rPr>
      <t>day[s]</t>
    </r>
    <r>
      <rPr>
        <sz val="12"/>
        <color theme="9" tint="-0.499984740745262"/>
        <rFont val="Calibri"/>
        <family val="2"/>
        <scheme val="minor"/>
      </rPr>
      <t xml:space="preserve"> can I call you?
[OPERATOR: MULTIPLE ANSWERS POSSIBLE.]
1)Monday
2)Tuesday
3)Wednesday
4)Thursday
5)Friday
6)Saturday
7)Sunday</t>
    </r>
  </si>
  <si>
    <t>1-7 = future_int_time</t>
  </si>
  <si>
    <r>
      <t xml:space="preserve">if </t>
    </r>
    <r>
      <rPr>
        <i/>
        <sz val="12"/>
        <color theme="9" tint="-0.499984740745262"/>
        <rFont val="Calibri (Body)"/>
      </rPr>
      <t xml:space="preserve">l_future_int_day </t>
    </r>
    <r>
      <rPr>
        <sz val="12"/>
        <color theme="9" tint="-0.499984740745262"/>
        <rFont val="Calibri (Body)"/>
      </rPr>
      <t xml:space="preserve">= 1-7, go to </t>
    </r>
    <r>
      <rPr>
        <i/>
        <sz val="12"/>
        <color theme="9" tint="-0.499984740745262"/>
        <rFont val="Calibri (Body)"/>
      </rPr>
      <t>future_int_time</t>
    </r>
  </si>
  <si>
    <t>future_int_time</t>
  </si>
  <si>
    <t>future_int_time_ 
1) future_int_time_morn
2) future_int_time_aft
3) future_int_time_eve</t>
  </si>
  <si>
    <r>
      <t xml:space="preserve">For future interviews, at what </t>
    </r>
    <r>
      <rPr>
        <b/>
        <sz val="12"/>
        <color theme="9" tint="-0.499984740745262"/>
        <rFont val="Calibri (Body)"/>
      </rPr>
      <t>time[s]</t>
    </r>
    <r>
      <rPr>
        <sz val="12"/>
        <color theme="9" tint="-0.499984740745262"/>
        <rFont val="Calibri (Body)"/>
      </rPr>
      <t xml:space="preserve"> can I call you?
[OPERATOR: MULTIPLE ANSWERS POSSIBLE.]
1)Mornings
2)Afternoons
3)Evenings</t>
    </r>
  </si>
  <si>
    <t>1-3 = language2</t>
  </si>
  <si>
    <r>
      <t xml:space="preserve">if </t>
    </r>
    <r>
      <rPr>
        <i/>
        <sz val="12"/>
        <color theme="9" tint="-0.499984740745262"/>
        <rFont val="Calibri (Body)"/>
      </rPr>
      <t xml:space="preserve">future_int_time </t>
    </r>
    <r>
      <rPr>
        <sz val="12"/>
        <color theme="9" tint="-0.499984740745262"/>
        <rFont val="Calibri (Body)"/>
      </rPr>
      <t xml:space="preserve">= 1-3, go to </t>
    </r>
    <r>
      <rPr>
        <i/>
        <sz val="12"/>
        <color theme="9" tint="-0.499984740745262"/>
        <rFont val="Calibri (Body)"/>
      </rPr>
      <t>language2</t>
    </r>
  </si>
  <si>
    <t>language2</t>
  </si>
  <si>
    <r>
      <t xml:space="preserve">Select the language that was mostly used to complete the interview.
[OPERATOR: SINGLE RESPONSE.]
</t>
    </r>
    <r>
      <rPr>
        <sz val="12"/>
        <color theme="4"/>
        <rFont val="Calibri (Body)"/>
      </rPr>
      <t>1)English
2)</t>
    </r>
    <r>
      <rPr>
        <b/>
        <sz val="12"/>
        <color theme="4"/>
        <rFont val="Calibri (Body)"/>
      </rPr>
      <t>other languages [consistent with resp_language]</t>
    </r>
  </si>
  <si>
    <r>
      <rPr>
        <b/>
        <sz val="12"/>
        <color theme="4"/>
        <rFont val="Calibri (Body)"/>
      </rPr>
      <t>1-2</t>
    </r>
    <r>
      <rPr>
        <b/>
        <sz val="12"/>
        <color rgb="FF0070C0"/>
        <rFont val="Calibri"/>
        <family val="2"/>
        <scheme val="minor"/>
      </rPr>
      <t xml:space="preserve"> </t>
    </r>
    <r>
      <rPr>
        <sz val="12"/>
        <rFont val="Calibri"/>
        <family val="2"/>
        <scheme val="minor"/>
      </rPr>
      <t>= closeout</t>
    </r>
  </si>
  <si>
    <t>closeout</t>
  </si>
  <si>
    <r>
      <t xml:space="preserve">Thank you for your time. The interview has come to an end. </t>
    </r>
    <r>
      <rPr>
        <b/>
        <sz val="12"/>
        <color theme="4"/>
        <rFont val="Calibri (Body)"/>
      </rPr>
      <t>You will receive your #TOPUP# airtime credit on this phone within the next 2 days.</t>
    </r>
  </si>
  <si>
    <t xml:space="preserve">AVERAGE ESTIMATED DURATION </t>
  </si>
  <si>
    <t>AVERAGE ESTIMATED DURATION (without fisheries section)</t>
  </si>
  <si>
    <t>AVERAGE ESTIMATED DURATION (without fisheries section or panel)</t>
  </si>
  <si>
    <t>question</t>
  </si>
  <si>
    <t>duration</t>
  </si>
  <si>
    <t>responded %</t>
  </si>
  <si>
    <t>weighted time</t>
  </si>
  <si>
    <t>agree</t>
  </si>
  <si>
    <t>hh_milieu</t>
  </si>
  <si>
    <t>hh_wealthwall</t>
  </si>
  <si>
    <t>hh_reprwomen</t>
  </si>
  <si>
    <t>covid_policy</t>
  </si>
  <si>
    <t>wagecompar</t>
  </si>
  <si>
    <t>crp_landsize</t>
  </si>
  <si>
    <t>crp_landsmall</t>
  </si>
  <si>
    <t>crp_landmedium</t>
  </si>
  <si>
    <t>crp_irrigation</t>
  </si>
  <si>
    <t>crp_proddif_1</t>
  </si>
  <si>
    <t>crp_salesdif_1</t>
  </si>
  <si>
    <t>mrk_inno</t>
  </si>
  <si>
    <t>crp_proc</t>
  </si>
  <si>
    <t>crp_proc_mach</t>
  </si>
  <si>
    <t>crp_proc_owner</t>
  </si>
  <si>
    <t>crp_proc_state</t>
  </si>
  <si>
    <t>ls_food_supply</t>
  </si>
  <si>
    <t>ls_proddif_1</t>
  </si>
  <si>
    <t>ls_salesdif_1</t>
  </si>
  <si>
    <t>ls_proc_1</t>
  </si>
  <si>
    <t>ls_proc_2</t>
  </si>
  <si>
    <t>ls_proc_fac</t>
  </si>
  <si>
    <t>ls_proc_fac_statedairyprocess</t>
  </si>
  <si>
    <t>ls_proc_fac_statecoldtranspor</t>
  </si>
  <si>
    <t>ls_proc_fac_statedontknow</t>
  </si>
  <si>
    <t>cg</t>
  </si>
  <si>
    <t>ls_proc_fac_statepurchasepriv</t>
  </si>
  <si>
    <t>fish_proddif_1</t>
  </si>
  <si>
    <t>fish_salesdif_1</t>
  </si>
  <si>
    <t>fies</t>
  </si>
  <si>
    <t>copingstrategies</t>
  </si>
  <si>
    <t>cs_crisis_sold_productive_asset</t>
  </si>
  <si>
    <t>cs_crisis_consumed_seed_stocks</t>
  </si>
  <si>
    <t>cs_emergency_sold_till</t>
  </si>
  <si>
    <t>food_exp</t>
  </si>
  <si>
    <t>mdds_w</t>
  </si>
  <si>
    <t>mdds_w1</t>
  </si>
  <si>
    <t>mdds_w2</t>
  </si>
  <si>
    <t>mdds_w3</t>
  </si>
  <si>
    <t>mdds_w4</t>
  </si>
  <si>
    <t>mdds_w5</t>
  </si>
  <si>
    <t>mdds_w6</t>
  </si>
  <si>
    <t>mdds_w7</t>
  </si>
  <si>
    <t>mdds_w8</t>
  </si>
  <si>
    <t>mdds_w9</t>
  </si>
  <si>
    <t>mdds_w10</t>
  </si>
  <si>
    <t>mdds_w11</t>
  </si>
  <si>
    <t>need_1</t>
  </si>
  <si>
    <t>info_needs</t>
  </si>
  <si>
    <t>info_needstype</t>
  </si>
  <si>
    <t>info_needsmedium</t>
  </si>
  <si>
    <t>cs_crisis_decr_agric_input_exp</t>
  </si>
  <si>
    <t>covid_assistance</t>
  </si>
  <si>
    <t>what_covid_assistance</t>
  </si>
  <si>
    <t>ruralurban</t>
  </si>
  <si>
    <t>formal_informal</t>
  </si>
  <si>
    <t>hhsize04</t>
  </si>
  <si>
    <t>hhdisability</t>
  </si>
  <si>
    <t>hhincearners</t>
  </si>
  <si>
    <t>incomechangereduced</t>
  </si>
  <si>
    <t>hhexptotal30d</t>
  </si>
  <si>
    <t>expensefood30d</t>
  </si>
  <si>
    <t>cropdifficultyunrest</t>
  </si>
  <si>
    <t>cropsalesdifficultyunrest</t>
  </si>
  <si>
    <t>lsdifficultyunrest</t>
  </si>
  <si>
    <t>ls_salesdifficultyunrest</t>
  </si>
  <si>
    <t>cs_emergency_sold_last_drought</t>
  </si>
  <si>
    <t>cs_emergency_hh_risk</t>
  </si>
  <si>
    <t>wheremigration</t>
  </si>
  <si>
    <t>meals</t>
  </si>
  <si>
    <t>fcsstap</t>
  </si>
  <si>
    <t>fcspulse</t>
  </si>
  <si>
    <t>fcsdairy</t>
  </si>
  <si>
    <t>fcspr</t>
  </si>
  <si>
    <t>fcsveg</t>
  </si>
  <si>
    <t>fcsfruit</t>
  </si>
  <si>
    <t>fcsfat</t>
  </si>
  <si>
    <t>fcssugar</t>
  </si>
  <si>
    <t>accessmarket</t>
  </si>
  <si>
    <t>sourcewater</t>
  </si>
  <si>
    <t>othersourcewater</t>
  </si>
  <si>
    <t>adm1_name</t>
  </si>
  <si>
    <t>adm2_name</t>
  </si>
  <si>
    <t>crp_landright</t>
  </si>
  <si>
    <t>crp_seed</t>
  </si>
  <si>
    <t>crp_saledif_2</t>
  </si>
  <si>
    <t>ls_proc</t>
  </si>
  <si>
    <t>ls_proc_fac_state</t>
  </si>
  <si>
    <t>cs_spentsavings</t>
  </si>
  <si>
    <t>cs_borrowmoney</t>
  </si>
  <si>
    <t>cs_purchasedfoodcredit</t>
  </si>
  <si>
    <t>cs_soldhhassetsgoods</t>
  </si>
  <si>
    <t>cs_soldprodassets</t>
  </si>
  <si>
    <t>cs_eatplantingseeds</t>
  </si>
  <si>
    <t>cs_withdrewchild</t>
  </si>
  <si>
    <t>cs_soldlandhouse</t>
  </si>
  <si>
    <t>cs_begging</t>
  </si>
  <si>
    <t>cs_soldfemanimals</t>
  </si>
  <si>
    <t>reasonsmigration</t>
  </si>
  <si>
    <t>need_received_agent</t>
  </si>
  <si>
    <t>crp_area_change_covid19</t>
  </si>
  <si>
    <t>ls_proddif_2_covid19</t>
  </si>
  <si>
    <t xml:space="preserve">Select top 10 crops </t>
  </si>
  <si>
    <t>GeoPoll code</t>
  </si>
  <si>
    <t>Dataset code</t>
  </si>
  <si>
    <t>Label (EN)</t>
  </si>
  <si>
    <t>x</t>
  </si>
  <si>
    <t>1.1</t>
  </si>
  <si>
    <t>Rice</t>
  </si>
  <si>
    <t>1.2</t>
  </si>
  <si>
    <t>Wheat</t>
  </si>
  <si>
    <t>1.3</t>
  </si>
  <si>
    <t>Millet</t>
  </si>
  <si>
    <t>1.4</t>
  </si>
  <si>
    <t>Sorghum</t>
  </si>
  <si>
    <t>1.5</t>
  </si>
  <si>
    <t>Maize</t>
  </si>
  <si>
    <t>1.6</t>
  </si>
  <si>
    <t>Barley</t>
  </si>
  <si>
    <t>1.99</t>
  </si>
  <si>
    <t>Other Cereal</t>
  </si>
  <si>
    <t>2.1</t>
  </si>
  <si>
    <t>Cassava</t>
  </si>
  <si>
    <t>2.2</t>
  </si>
  <si>
    <t>Potatoe</t>
  </si>
  <si>
    <t>2.3</t>
  </si>
  <si>
    <t>Sweet Potatoes</t>
  </si>
  <si>
    <t>2.4</t>
  </si>
  <si>
    <t>Yams</t>
  </si>
  <si>
    <t>2.5</t>
  </si>
  <si>
    <t>Carrots</t>
  </si>
  <si>
    <t>2.6</t>
  </si>
  <si>
    <t>Cocoyam</t>
  </si>
  <si>
    <t>2.99</t>
  </si>
  <si>
    <t>Other tubers</t>
  </si>
  <si>
    <t>3.1</t>
  </si>
  <si>
    <t>Beans</t>
  </si>
  <si>
    <t>3.2</t>
  </si>
  <si>
    <t>Lentils</t>
  </si>
  <si>
    <t>3.3</t>
  </si>
  <si>
    <t>Peas</t>
  </si>
  <si>
    <t>3.4</t>
  </si>
  <si>
    <t>Soybeans</t>
  </si>
  <si>
    <t>3.5</t>
  </si>
  <si>
    <t>Chickpeas</t>
  </si>
  <si>
    <t>3.6</t>
  </si>
  <si>
    <t>Fava beans</t>
  </si>
  <si>
    <t>3.7</t>
  </si>
  <si>
    <t>Broad beans</t>
  </si>
  <si>
    <t>3.99</t>
  </si>
  <si>
    <t>Other pulses</t>
  </si>
  <si>
    <t>4.1</t>
  </si>
  <si>
    <t>Cabbage</t>
  </si>
  <si>
    <t>4.2</t>
  </si>
  <si>
    <t>Lettuce</t>
  </si>
  <si>
    <t>4.3</t>
  </si>
  <si>
    <t>Spinach-Amaranth</t>
  </si>
  <si>
    <t>4.4</t>
  </si>
  <si>
    <t>Cassava leaves</t>
  </si>
  <si>
    <t>4.5</t>
  </si>
  <si>
    <t>Potatoe leaves</t>
  </si>
  <si>
    <t>4.6</t>
  </si>
  <si>
    <t>Moringa</t>
  </si>
  <si>
    <t>4.7</t>
  </si>
  <si>
    <t>Sorrel Hibiscus / Rosselle</t>
  </si>
  <si>
    <t>4.9</t>
  </si>
  <si>
    <t>Green salad herbs [thyme, parsley, mint, rocca, other]</t>
  </si>
  <si>
    <t>4.101</t>
  </si>
  <si>
    <t>Cauliflower</t>
  </si>
  <si>
    <t>4.99</t>
  </si>
  <si>
    <t>Other leafy vegetables</t>
  </si>
  <si>
    <t>5.1</t>
  </si>
  <si>
    <t>Tomatoes</t>
  </si>
  <si>
    <t>5.2</t>
  </si>
  <si>
    <t>Cucumber</t>
  </si>
  <si>
    <t>5.3</t>
  </si>
  <si>
    <t>Pumpkin</t>
  </si>
  <si>
    <t>5.4</t>
  </si>
  <si>
    <t>Eggplant/aubergine</t>
  </si>
  <si>
    <t>5.5</t>
  </si>
  <si>
    <t>Zucchini</t>
  </si>
  <si>
    <t>5.6</t>
  </si>
  <si>
    <t>Okra</t>
  </si>
  <si>
    <t>5.7</t>
  </si>
  <si>
    <t>Bell pepper</t>
  </si>
  <si>
    <t>5.8</t>
  </si>
  <si>
    <t>Onions</t>
  </si>
  <si>
    <t>5.9</t>
  </si>
  <si>
    <t>Haricot</t>
  </si>
  <si>
    <t>5.101</t>
  </si>
  <si>
    <t>Green peas</t>
  </si>
  <si>
    <t>5.11</t>
  </si>
  <si>
    <t>Fava beans green</t>
  </si>
  <si>
    <t>5.99</t>
  </si>
  <si>
    <t>Other non leafy vegs</t>
  </si>
  <si>
    <t>6.1</t>
  </si>
  <si>
    <t>Orange</t>
  </si>
  <si>
    <t>6.2</t>
  </si>
  <si>
    <t>Lemon</t>
  </si>
  <si>
    <t>6.3</t>
  </si>
  <si>
    <t>Grapefruit</t>
  </si>
  <si>
    <t>6.4</t>
  </si>
  <si>
    <t>Mandarins/clementines</t>
  </si>
  <si>
    <t>6.99</t>
  </si>
  <si>
    <t>Other citrus fruit</t>
  </si>
  <si>
    <t>7.1</t>
  </si>
  <si>
    <t>Sweet Banana</t>
  </si>
  <si>
    <t>7.2</t>
  </si>
  <si>
    <t>Plantains</t>
  </si>
  <si>
    <t>7.3</t>
  </si>
  <si>
    <t>Papaya</t>
  </si>
  <si>
    <t>7.4</t>
  </si>
  <si>
    <t>Mango</t>
  </si>
  <si>
    <t>7.5</t>
  </si>
  <si>
    <t>Guava</t>
  </si>
  <si>
    <t>7.6</t>
  </si>
  <si>
    <t>Pineapple</t>
  </si>
  <si>
    <t>7.7</t>
  </si>
  <si>
    <t>Avocado</t>
  </si>
  <si>
    <t>7.8</t>
  </si>
  <si>
    <t>Water Melon</t>
  </si>
  <si>
    <t>7.9</t>
  </si>
  <si>
    <t>Dates</t>
  </si>
  <si>
    <t>7.101</t>
  </si>
  <si>
    <t>Figs</t>
  </si>
  <si>
    <t>7.11</t>
  </si>
  <si>
    <t>Grapes</t>
  </si>
  <si>
    <t>7.12</t>
  </si>
  <si>
    <t>Olives</t>
  </si>
  <si>
    <t>7.13</t>
  </si>
  <si>
    <t>Apple</t>
  </si>
  <si>
    <t>7.14</t>
  </si>
  <si>
    <t>Apricot</t>
  </si>
  <si>
    <t>7.15</t>
  </si>
  <si>
    <t>Cherries</t>
  </si>
  <si>
    <t>7.16</t>
  </si>
  <si>
    <t>Peach/nectarine</t>
  </si>
  <si>
    <t>7.17</t>
  </si>
  <si>
    <t>Strawberries</t>
  </si>
  <si>
    <t>7.18</t>
  </si>
  <si>
    <t>Melon [Cantaloupe]</t>
  </si>
  <si>
    <t>7.99</t>
  </si>
  <si>
    <t>Other fruit</t>
  </si>
  <si>
    <t>8.1</t>
  </si>
  <si>
    <t>Coconuts</t>
  </si>
  <si>
    <t>8.2</t>
  </si>
  <si>
    <t>Groundnut/peanut</t>
  </si>
  <si>
    <t>8.3</t>
  </si>
  <si>
    <t>Cashew Nut</t>
  </si>
  <si>
    <t>8.4</t>
  </si>
  <si>
    <t>Kola Nut</t>
  </si>
  <si>
    <t>8.5</t>
  </si>
  <si>
    <t>Sesame</t>
  </si>
  <si>
    <t>8.6</t>
  </si>
  <si>
    <t>Bambara nut</t>
  </si>
  <si>
    <t>8.7</t>
  </si>
  <si>
    <t>Almond</t>
  </si>
  <si>
    <t>8.8</t>
  </si>
  <si>
    <t>Walnut</t>
  </si>
  <si>
    <t>8.99</t>
  </si>
  <si>
    <t>Other nuts</t>
  </si>
  <si>
    <t>9.1</t>
  </si>
  <si>
    <t>Cocoa</t>
  </si>
  <si>
    <t>9.2</t>
  </si>
  <si>
    <t>Coffee</t>
  </si>
  <si>
    <t>9.3</t>
  </si>
  <si>
    <t>Tea</t>
  </si>
  <si>
    <t>9.4</t>
  </si>
  <si>
    <t>Sugarcane</t>
  </si>
  <si>
    <t>9.5</t>
  </si>
  <si>
    <t>Sunflower</t>
  </si>
  <si>
    <t>9.99</t>
  </si>
  <si>
    <t>Other food cash crop</t>
  </si>
  <si>
    <t>10.1</t>
  </si>
  <si>
    <t>Cotton</t>
  </si>
  <si>
    <t>10.2</t>
  </si>
  <si>
    <t>Rubber</t>
  </si>
  <si>
    <t>10.3</t>
  </si>
  <si>
    <t>Jute</t>
  </si>
  <si>
    <t>10.4</t>
  </si>
  <si>
    <t>Fodder</t>
  </si>
  <si>
    <t>10.5</t>
  </si>
  <si>
    <t>Tobacco</t>
  </si>
  <si>
    <t>10.6</t>
  </si>
  <si>
    <t>Qat</t>
  </si>
  <si>
    <t>10.99</t>
  </si>
  <si>
    <t>Other non-food cash crop</t>
  </si>
  <si>
    <t>Original</t>
  </si>
  <si>
    <t>Replacement</t>
  </si>
  <si>
    <t>Comment</t>
  </si>
  <si>
    <t>Examples</t>
  </si>
  <si>
    <r>
      <t xml:space="preserve">FOR </t>
    </r>
    <r>
      <rPr>
        <b/>
        <sz val="12"/>
        <color theme="1"/>
        <rFont val="Calibri"/>
        <family val="2"/>
        <scheme val="minor"/>
      </rPr>
      <t xml:space="preserve">CORE QUESTIONS    </t>
    </r>
    <r>
      <rPr>
        <b/>
        <sz val="12"/>
        <color theme="0"/>
        <rFont val="Calibri"/>
        <family val="2"/>
        <scheme val="minor"/>
      </rPr>
      <t>.</t>
    </r>
    <r>
      <rPr>
        <sz val="12"/>
        <color theme="1"/>
        <rFont val="Calibri"/>
        <family val="2"/>
        <scheme val="minor"/>
      </rPr>
      <t xml:space="preserve">
(</t>
    </r>
    <r>
      <rPr>
        <i/>
        <sz val="12"/>
        <color theme="1"/>
        <rFont val="Calibri"/>
        <family val="2"/>
        <scheme val="minor"/>
      </rPr>
      <t xml:space="preserve">Mandatory to fill out)    </t>
    </r>
    <r>
      <rPr>
        <i/>
        <sz val="12"/>
        <color theme="0"/>
        <rFont val="Calibri"/>
        <family val="2"/>
        <scheme val="minor"/>
      </rPr>
      <t>.</t>
    </r>
  </si>
  <si>
    <t>ADMIN1</t>
  </si>
  <si>
    <t>The first subdivision of the country, after national level; region; province; governorate; etc.</t>
  </si>
  <si>
    <t>region</t>
  </si>
  <si>
    <t>ADMIN2</t>
  </si>
  <si>
    <t>The second subdivision of the country; district; municipality; LGA; etc.</t>
  </si>
  <si>
    <t>district</t>
  </si>
  <si>
    <t>reference year</t>
  </si>
  <si>
    <t xml:space="preserve">Comparison questions will need need a reference year. Select whether you want to use "last year" or "a normal year" as a baseline. A "normal year" should refers to an average year from the past 5 years - make sure to train the enumerators accordingly. </t>
  </si>
  <si>
    <t>a normal year</t>
  </si>
  <si>
    <t>season</t>
  </si>
  <si>
    <t>Name the crop season(s) of interest if there are several cropping seasons in the country (e.g. Meher and Belg in Ethiopia, rainy season / flood-recession cropping / irrigated dry season in the Sahel). You can refer to the “last season” or “ongoing season".</t>
  </si>
  <si>
    <t>wet season</t>
  </si>
  <si>
    <t>season phase</t>
  </si>
  <si>
    <r>
      <t xml:space="preserve">Indicate the phase of the season </t>
    </r>
    <r>
      <rPr>
        <b/>
        <sz val="11"/>
        <rFont val="Calibri"/>
        <family val="2"/>
      </rPr>
      <t>at the time of data collection</t>
    </r>
    <r>
      <rPr>
        <sz val="11"/>
        <rFont val="Calibri"/>
        <family val="2"/>
      </rPr>
      <t>. If the harvest from the season has not yet occurred, the question on crop harvest (crp_harv_change) will include the word “expected” (where</t>
    </r>
    <r>
      <rPr>
        <i/>
        <sz val="11"/>
        <rFont val="Calibri"/>
        <family val="2"/>
      </rPr>
      <t xml:space="preserve"> #expected or nothing#</t>
    </r>
    <r>
      <rPr>
        <sz val="11"/>
        <rFont val="Calibri"/>
        <family val="2"/>
      </rPr>
      <t xml:space="preserve"> is located). If the harvest has occured, "expected" will not be inserted in the question.</t>
    </r>
  </si>
  <si>
    <t>Harvesting</t>
  </si>
  <si>
    <t>local measurement unit</t>
  </si>
  <si>
    <r>
      <t xml:space="preserve">Specify the local measurement unit for land size, other than </t>
    </r>
    <r>
      <rPr>
        <i/>
        <sz val="11"/>
        <rFont val="Calibri"/>
        <family val="2"/>
      </rPr>
      <t xml:space="preserve">acres, hectares, square meters </t>
    </r>
    <r>
      <rPr>
        <sz val="11"/>
        <rFont val="Calibri"/>
        <family val="2"/>
      </rPr>
      <t xml:space="preserve">and </t>
    </r>
    <r>
      <rPr>
        <i/>
        <sz val="11"/>
        <rFont val="Calibri"/>
        <family val="2"/>
      </rPr>
      <t xml:space="preserve">square feet. </t>
    </r>
    <r>
      <rPr>
        <sz val="11"/>
        <rFont val="Calibri"/>
        <family val="2"/>
      </rPr>
      <t>If no other unit of measurement is needed,</t>
    </r>
    <r>
      <rPr>
        <b/>
        <sz val="11"/>
        <rFont val="Calibri"/>
        <family val="2"/>
      </rPr>
      <t xml:space="preserve"> keep this cell blank. </t>
    </r>
  </si>
  <si>
    <t>Jeribs</t>
  </si>
  <si>
    <t>local measurement unit conversion</t>
  </si>
  <si>
    <r>
      <t xml:space="preserve">Include the conversion of the </t>
    </r>
    <r>
      <rPr>
        <i/>
        <sz val="11"/>
        <rFont val="Calibri"/>
        <family val="2"/>
      </rPr>
      <t>local measurement unit</t>
    </r>
    <r>
      <rPr>
        <sz val="11"/>
        <rFont val="Calibri"/>
        <family val="2"/>
      </rPr>
      <t xml:space="preserve"> to hectares. In other words, how many local measurement units are in 1 ha. </t>
    </r>
  </si>
  <si>
    <r>
      <t xml:space="preserve">FOR </t>
    </r>
    <r>
      <rPr>
        <b/>
        <sz val="12"/>
        <color theme="1"/>
        <rFont val="Calibri"/>
        <family val="2"/>
        <scheme val="minor"/>
      </rPr>
      <t xml:space="preserve">OPTIONAL QUESTIONS    </t>
    </r>
    <r>
      <rPr>
        <b/>
        <sz val="12"/>
        <color theme="0"/>
        <rFont val="Calibri"/>
        <family val="2"/>
        <scheme val="minor"/>
      </rPr>
      <t>.</t>
    </r>
    <r>
      <rPr>
        <i/>
        <sz val="12"/>
        <color theme="1"/>
        <rFont val="Calibri"/>
        <family val="2"/>
        <scheme val="minor"/>
      </rPr>
      <t xml:space="preserve">
(Fill out if applicable)    </t>
    </r>
    <r>
      <rPr>
        <i/>
        <sz val="12"/>
        <color theme="0"/>
        <rFont val="Calibri"/>
        <family val="2"/>
        <scheme val="minor"/>
      </rPr>
      <t>.</t>
    </r>
  </si>
  <si>
    <t>currency</t>
  </si>
  <si>
    <t xml:space="preserve">The name of the main currency used nationally; USD; Naira; Rial; Pesos; etc. </t>
  </si>
  <si>
    <t>Naira</t>
  </si>
  <si>
    <t>MIN AMOUNT</t>
  </si>
  <si>
    <r>
      <t xml:space="preserve">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t>
    </r>
    <r>
      <rPr>
        <b/>
        <sz val="11"/>
        <rFont val="Calibri"/>
        <family val="2"/>
      </rPr>
      <t>Only digits should be inputted.</t>
    </r>
  </si>
  <si>
    <t>MAX AMOUNT</t>
  </si>
  <si>
    <r>
      <t>Set the maximum amount for an income source over 3 months. Enumerators will not be able to input values above this amount in questions related to income amounts. Using previous representative surveys for this population, you can estimate this amount by using the mean income plus five (5) standard deviations, unless the country has high inflation. In the latter case, set the maximum value based on your country context (higher than the proposed approach). Provide this input in the same currency as specified above.</t>
    </r>
    <r>
      <rPr>
        <b/>
        <sz val="11"/>
        <rFont val="Calibri"/>
        <family val="2"/>
      </rPr>
      <t xml:space="preserve"> Only digits should be inputted.</t>
    </r>
  </si>
  <si>
    <t>THRESHOLD</t>
  </si>
  <si>
    <r>
      <t xml:space="preserve">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t>
    </r>
    <r>
      <rPr>
        <b/>
        <sz val="11"/>
        <rFont val="Calibri"/>
        <family val="2"/>
      </rPr>
      <t>Only digits should be inputted.</t>
    </r>
  </si>
  <si>
    <t>local vegetables</t>
  </si>
  <si>
    <t>Input some common local vegetables [to be used as examples in the food consumption score indicator].</t>
  </si>
  <si>
    <t>eggplants, zucchini, cauliflower</t>
  </si>
  <si>
    <t>local fruits</t>
  </si>
  <si>
    <t>Input some common local fruits [to be used as examples in the food consumption score indicator].</t>
  </si>
  <si>
    <t>apples, bananas, oranges</t>
  </si>
  <si>
    <r>
      <t xml:space="preserve">FILL OUT FOR QUESTIONNAIRE DURATION ESTIMATION    </t>
    </r>
    <r>
      <rPr>
        <sz val="12"/>
        <color theme="0"/>
        <rFont val="Calibri"/>
        <family val="2"/>
        <scheme val="minor"/>
      </rPr>
      <t>.</t>
    </r>
  </si>
  <si>
    <t>Expected percentage of respondents cultivating crops</t>
  </si>
  <si>
    <t>%</t>
  </si>
  <si>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</si>
  <si>
    <t>Expected percentage of respondents raising livestock</t>
  </si>
  <si>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</si>
  <si>
    <t>Expected percentage of respondents involved in fishery</t>
  </si>
  <si>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</sst>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82">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sz val="12"/>
      <color theme="1"/>
      <name val="Calibri"/>
      <family val="2"/>
      <scheme val="minor"/>
    </font>
    <font>
      <sz val="10"/>
      <color rgb="FF000000"/>
      <name val="Arial"/>
      <family val="2"/>
    </font>
    <font>
      <sz val="11"/>
      <name val="Calibri"/>
      <family val="2"/>
      <scheme val="minor"/>
    </font>
    <font>
      <sz val="12"/>
      <name val="Calibri"/>
      <family val="2"/>
      <scheme val="minor"/>
    </font>
    <font>
      <b/>
      <sz val="12"/>
      <color theme="0"/>
      <name val="Calibri"/>
      <family val="2"/>
      <scheme val="minor"/>
    </font>
    <font>
      <b/>
      <sz val="12"/>
      <name val="Calibri"/>
      <family val="2"/>
      <scheme val="minor"/>
    </font>
    <font>
      <sz val="12"/>
      <color rgb="FFFF0000"/>
      <name val="Calibri"/>
      <family val="2"/>
      <scheme val="minor"/>
    </font>
    <font>
      <sz val="12"/>
      <color theme="4"/>
      <name val="Calibri"/>
      <family val="2"/>
      <scheme val="minor"/>
    </font>
    <font>
      <b/>
      <sz val="12"/>
      <color rgb="FF0070C0"/>
      <name val="Calibri"/>
      <family val="2"/>
      <scheme val="minor"/>
    </font>
    <font>
      <sz val="12"/>
      <color rgb="FF0070C0"/>
      <name val="Calibri"/>
      <family val="2"/>
      <scheme val="minor"/>
    </font>
    <font>
      <i/>
      <sz val="12"/>
      <name val="Calibri"/>
      <family val="2"/>
      <scheme val="minor"/>
    </font>
    <font>
      <b/>
      <sz val="12"/>
      <color theme="4"/>
      <name val="Calibri"/>
      <family val="2"/>
      <scheme val="minor"/>
    </font>
    <font>
      <b/>
      <i/>
      <sz val="12"/>
      <name val="Calibri"/>
      <family val="2"/>
      <scheme val="minor"/>
    </font>
    <font>
      <b/>
      <sz val="12"/>
      <color rgb="FF7030A0"/>
      <name val="Calibri"/>
      <family val="2"/>
      <scheme val="minor"/>
    </font>
    <font>
      <sz val="12"/>
      <color rgb="FF7030A0"/>
      <name val="Calibri"/>
      <family val="2"/>
      <scheme val="minor"/>
    </font>
    <font>
      <u/>
      <sz val="12"/>
      <name val="Calibri"/>
      <family val="2"/>
      <scheme val="minor"/>
    </font>
    <font>
      <b/>
      <sz val="11"/>
      <color rgb="FF000000"/>
      <name val="Calibri"/>
      <family val="2"/>
    </font>
    <font>
      <sz val="11"/>
      <color rgb="FF000000"/>
      <name val="Calibri"/>
      <family val="2"/>
    </font>
    <font>
      <sz val="11"/>
      <name val="Calibri"/>
      <family val="2"/>
    </font>
    <font>
      <i/>
      <sz val="11"/>
      <color rgb="FF000000"/>
      <name val="Calibri"/>
      <family val="2"/>
    </font>
    <font>
      <i/>
      <sz val="11"/>
      <name val="Calibri"/>
      <family val="2"/>
    </font>
    <font>
      <sz val="10"/>
      <name val="Calibri"/>
      <family val="2"/>
      <scheme val="minor"/>
    </font>
    <font>
      <b/>
      <sz val="11"/>
      <name val="Calibri"/>
      <family val="2"/>
    </font>
    <font>
      <b/>
      <sz val="11"/>
      <name val="Calibri"/>
      <family val="2"/>
      <scheme val="minor"/>
    </font>
    <font>
      <b/>
      <sz val="12"/>
      <color theme="1"/>
      <name val="Calibri"/>
      <family val="2"/>
      <scheme val="minor"/>
    </font>
    <font>
      <sz val="12"/>
      <color rgb="FF000000"/>
      <name val="Calibri"/>
      <family val="2"/>
      <scheme val="minor"/>
    </font>
    <font>
      <b/>
      <i/>
      <sz val="12"/>
      <color theme="1"/>
      <name val="Calibri"/>
      <family val="2"/>
      <scheme val="minor"/>
    </font>
    <font>
      <sz val="10.5"/>
      <name val="Calibri"/>
      <family val="2"/>
      <scheme val="minor"/>
    </font>
    <font>
      <sz val="12"/>
      <color rgb="FF00B050"/>
      <name val="Calibri"/>
      <family val="2"/>
      <scheme val="minor"/>
    </font>
    <font>
      <sz val="12"/>
      <color rgb="FFF504E7"/>
      <name val="Calibri"/>
      <family val="2"/>
      <scheme val="minor"/>
    </font>
    <font>
      <i/>
      <sz val="12"/>
      <color theme="4"/>
      <name val="Calibri"/>
      <family val="2"/>
      <scheme val="minor"/>
    </font>
    <font>
      <sz val="11"/>
      <color theme="4"/>
      <name val="Calibri"/>
      <family val="2"/>
      <scheme val="minor"/>
    </font>
    <font>
      <b/>
      <i/>
      <sz val="12"/>
      <color theme="4"/>
      <name val="Calibri"/>
      <family val="2"/>
      <scheme val="minor"/>
    </font>
    <font>
      <u/>
      <sz val="12"/>
      <color theme="1"/>
      <name val="Calibri"/>
      <family val="2"/>
      <scheme val="minor"/>
    </font>
    <font>
      <i/>
      <sz val="12"/>
      <color theme="1"/>
      <name val="Calibri"/>
      <family val="2"/>
      <scheme val="minor"/>
    </font>
    <font>
      <sz val="12"/>
      <color theme="0"/>
      <name val="Calibri"/>
      <family val="2"/>
      <scheme val="minor"/>
    </font>
    <font>
      <i/>
      <sz val="12"/>
      <color theme="0"/>
      <name val="Calibri"/>
      <family val="2"/>
      <scheme val="minor"/>
    </font>
    <font>
      <b/>
      <sz val="12"/>
      <color theme="9" tint="-0.499984740745262"/>
      <name val="Calibri"/>
      <family val="2"/>
      <scheme val="minor"/>
    </font>
    <font>
      <sz val="12"/>
      <color theme="9" tint="-0.499984740745262"/>
      <name val="Calibri"/>
      <family val="2"/>
      <scheme val="minor"/>
    </font>
    <font>
      <i/>
      <sz val="12"/>
      <name val="Calibri (Body)"/>
    </font>
    <font>
      <i/>
      <sz val="12"/>
      <color theme="4"/>
      <name val="Calibri (Body)"/>
    </font>
    <font>
      <sz val="12"/>
      <color theme="4"/>
      <name val="Calibri (Body)"/>
    </font>
    <font>
      <u/>
      <sz val="12"/>
      <name val="Calibri (Body)"/>
    </font>
    <font>
      <sz val="12"/>
      <color theme="9" tint="-0.499984740745262"/>
      <name val="Calibri (Body)"/>
    </font>
    <font>
      <b/>
      <sz val="12"/>
      <color theme="9" tint="-0.499984740745262"/>
      <name val="Calibri (Body)"/>
    </font>
    <font>
      <i/>
      <sz val="12"/>
      <color theme="9" tint="-0.499984740745262"/>
      <name val="Calibri (Body)"/>
    </font>
    <font>
      <sz val="11"/>
      <color theme="9" tint="-0.499984740745262"/>
      <name val="Calibri (Body)"/>
    </font>
    <font>
      <b/>
      <sz val="12"/>
      <color rgb="FF7030A0"/>
      <name val="Calibri (Body)"/>
    </font>
    <font>
      <sz val="10"/>
      <color theme="4"/>
      <name val="Calibri"/>
      <family val="2"/>
      <scheme val="minor"/>
    </font>
    <font>
      <sz val="12"/>
      <name val="Calibri (Body)"/>
    </font>
    <font>
      <sz val="12"/>
      <color rgb="FFFF0000"/>
      <name val="Calibri (Body)"/>
    </font>
    <font>
      <sz val="12"/>
      <color rgb="FF7030A0"/>
      <name val="Calibri (Body)"/>
    </font>
    <font>
      <strike/>
      <sz val="12"/>
      <name val="Calibri (Body)"/>
    </font>
    <font>
      <b/>
      <sz val="12"/>
      <color theme="4"/>
      <name val="Calibri (Body)"/>
    </font>
    <font>
      <sz val="11"/>
      <name val="Calibri (Body)"/>
    </font>
    <font>
      <sz val="11"/>
      <color rgb="FFFF0000"/>
      <name val="Calibri"/>
      <family val="2"/>
      <scheme val="minor"/>
    </font>
    <font>
      <b/>
      <sz val="12"/>
      <name val="Calibri (Body)"/>
    </font>
    <font>
      <b/>
      <i/>
      <sz val="12"/>
      <name val="Calibri (Body)"/>
    </font>
    <font>
      <sz val="10"/>
      <name val="Calibri (Body)"/>
    </font>
    <font>
      <b/>
      <sz val="10"/>
      <color theme="4"/>
      <name val="Calibri"/>
      <family val="2"/>
      <scheme val="minor"/>
    </font>
    <font>
      <u/>
      <sz val="12"/>
      <color theme="1"/>
      <name val="Calibri (Body)"/>
    </font>
    <font>
      <b/>
      <i/>
      <sz val="12"/>
      <color theme="4"/>
      <name val="Calibri (Body)"/>
    </font>
    <font>
      <b/>
      <sz val="12"/>
      <color rgb="FF4472C4"/>
      <name val="Calibri"/>
      <family val="2"/>
      <scheme val="minor"/>
    </font>
    <font>
      <sz val="12"/>
      <color rgb="FF375623"/>
      <name val="Calibri"/>
      <family val="2"/>
    </font>
    <font>
      <b/>
      <sz val="12"/>
      <color rgb="FF375623"/>
      <name val="Calibri"/>
      <family val="2"/>
    </font>
    <font>
      <sz val="12"/>
      <color rgb="FF000000"/>
      <name val="Calibri"/>
      <family val="2"/>
    </font>
    <font>
      <b/>
      <sz val="12"/>
      <color rgb="FFFF0000"/>
      <name val="Calibri"/>
      <family val="2"/>
      <scheme val="minor"/>
    </font>
    <font>
      <sz val="11"/>
      <color rgb="FFFF0000"/>
      <name val="Calibri"/>
      <family val="2"/>
    </font>
    <font>
      <sz val="12"/>
      <color rgb="FFFF0000"/>
      <name val="17"/>
    </font>
    <font>
      <sz val="12"/>
      <color theme="1"/>
      <name val="Calibri"/>
      <family val="2"/>
    </font>
    <font>
      <sz val="12"/>
      <color rgb="FFFF0000"/>
      <name val="Calibri"/>
      <family val="2"/>
    </font>
    <font>
      <sz val="12"/>
      <name val="Calibri"/>
      <family val="2"/>
    </font>
  </fonts>
  <fills count="14">
    <fill>
      <patternFill patternType="none"/>
    </fill>
    <fill>
      <patternFill patternType="gray125"/>
    </fill>
    <fill>
      <patternFill patternType="solid">
        <fgColor theme="1"/>
        <bgColor indexed="64"/>
      </patternFill>
    </fill>
    <fill>
      <patternFill patternType="solid">
        <fgColor rgb="FF4398B6"/>
        <bgColor indexed="64"/>
      </patternFill>
    </fill>
    <fill>
      <patternFill patternType="solid">
        <fgColor theme="0"/>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rgb="FFD9D9D9"/>
        <bgColor rgb="FF000000"/>
      </patternFill>
    </fill>
    <fill>
      <patternFill patternType="solid">
        <fgColor rgb="FFA5A5A5"/>
      </patternFill>
    </fill>
    <fill>
      <patternFill patternType="solid">
        <fgColor rgb="FFF6DFDC"/>
        <bgColor indexed="64"/>
      </patternFill>
    </fill>
    <fill>
      <patternFill patternType="solid">
        <fgColor rgb="FFF6DFDC"/>
        <bgColor rgb="FF000000"/>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0" tint="-0.14999847407452621"/>
        <bgColor rgb="FF000000"/>
      </patternFill>
    </fill>
  </fills>
  <borders count="70">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medium">
        <color indexed="64"/>
      </top>
      <bottom style="medium">
        <color indexed="64"/>
      </bottom>
      <diagonal/>
    </border>
    <border>
      <left style="medium">
        <color indexed="64"/>
      </left>
      <right style="thin">
        <color auto="1"/>
      </right>
      <top style="medium">
        <color indexed="64"/>
      </top>
      <bottom style="medium">
        <color indexed="64"/>
      </bottom>
      <diagonal/>
    </border>
    <border>
      <left style="medium">
        <color indexed="64"/>
      </left>
      <right style="thin">
        <color auto="1"/>
      </right>
      <top style="thin">
        <color auto="1"/>
      </top>
      <bottom/>
      <diagonal/>
    </border>
    <border>
      <left style="medium">
        <color indexed="64"/>
      </left>
      <right style="thin">
        <color auto="1"/>
      </right>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style="medium">
        <color indexed="64"/>
      </top>
      <bottom style="medium">
        <color indexed="64"/>
      </bottom>
      <diagonal/>
    </border>
    <border>
      <left style="thin">
        <color auto="1"/>
      </left>
      <right/>
      <top/>
      <bottom style="thin">
        <color auto="1"/>
      </bottom>
      <diagonal/>
    </border>
    <border>
      <left style="thin">
        <color auto="1"/>
      </left>
      <right/>
      <top style="thin">
        <color auto="1"/>
      </top>
      <bottom style="medium">
        <color indexed="64"/>
      </bottom>
      <diagonal/>
    </border>
    <border>
      <left style="medium">
        <color indexed="64"/>
      </left>
      <right style="thin">
        <color auto="1"/>
      </right>
      <top/>
      <bottom/>
      <diagonal/>
    </border>
    <border>
      <left style="thin">
        <color auto="1"/>
      </left>
      <right/>
      <top/>
      <bottom/>
      <diagonal/>
    </border>
    <border>
      <left style="double">
        <color rgb="FF3F3F3F"/>
      </left>
      <right style="double">
        <color rgb="FF3F3F3F"/>
      </right>
      <top style="double">
        <color rgb="FF3F3F3F"/>
      </top>
      <bottom style="double">
        <color rgb="FF3F3F3F"/>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auto="1"/>
      </top>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auto="1"/>
      </left>
      <right style="thin">
        <color theme="1"/>
      </right>
      <top style="medium">
        <color indexed="64"/>
      </top>
      <bottom style="medium">
        <color indexed="64"/>
      </bottom>
      <diagonal/>
    </border>
    <border>
      <left/>
      <right style="medium">
        <color indexed="64"/>
      </right>
      <top style="thin">
        <color auto="1"/>
      </top>
      <bottom style="thin">
        <color auto="1"/>
      </bottom>
      <diagonal/>
    </border>
    <border>
      <left style="thin">
        <color auto="1"/>
      </left>
      <right style="thin">
        <color theme="1"/>
      </right>
      <top style="thin">
        <color auto="1"/>
      </top>
      <bottom style="thin">
        <color auto="1"/>
      </bottom>
      <diagonal/>
    </border>
    <border>
      <left/>
      <right style="medium">
        <color indexed="64"/>
      </right>
      <top style="thin">
        <color auto="1"/>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thin">
        <color theme="1"/>
      </right>
      <top style="medium">
        <color indexed="64"/>
      </top>
      <bottom style="thin">
        <color auto="1"/>
      </bottom>
      <diagonal/>
    </border>
    <border>
      <left/>
      <right style="medium">
        <color indexed="64"/>
      </right>
      <top style="medium">
        <color indexed="64"/>
      </top>
      <bottom style="thin">
        <color auto="1"/>
      </bottom>
      <diagonal/>
    </border>
    <border>
      <left/>
      <right style="medium">
        <color indexed="64"/>
      </right>
      <top style="thin">
        <color auto="1"/>
      </top>
      <bottom style="medium">
        <color indexed="64"/>
      </bottom>
      <diagonal/>
    </border>
    <border>
      <left/>
      <right style="medium">
        <color indexed="64"/>
      </right>
      <top/>
      <bottom/>
      <diagonal/>
    </border>
    <border>
      <left style="thin">
        <color theme="1"/>
      </left>
      <right style="thin">
        <color theme="1"/>
      </right>
      <top style="thin">
        <color theme="1"/>
      </top>
      <bottom style="thin">
        <color theme="1"/>
      </bottom>
      <diagonal/>
    </border>
    <border>
      <left style="medium">
        <color indexed="64"/>
      </left>
      <right style="medium">
        <color indexed="64"/>
      </right>
      <top/>
      <bottom style="thin">
        <color auto="1"/>
      </bottom>
      <diagonal/>
    </border>
    <border>
      <left style="thin">
        <color rgb="FF000000"/>
      </left>
      <right style="thin">
        <color rgb="FF000000"/>
      </right>
      <top style="thin">
        <color rgb="FF000000"/>
      </top>
      <bottom/>
      <diagonal/>
    </border>
    <border>
      <left/>
      <right style="medium">
        <color indexed="64"/>
      </right>
      <top/>
      <bottom style="medium">
        <color indexed="64"/>
      </bottom>
      <diagonal/>
    </border>
    <border>
      <left style="thin">
        <color theme="1"/>
      </left>
      <right style="thin">
        <color auto="1"/>
      </right>
      <top style="thin">
        <color auto="1"/>
      </top>
      <bottom style="thin">
        <color indexed="64"/>
      </bottom>
      <diagonal/>
    </border>
    <border>
      <left style="thin">
        <color auto="1"/>
      </left>
      <right style="thin">
        <color theme="1"/>
      </right>
      <top style="thin">
        <color auto="1"/>
      </top>
      <bottom style="medium">
        <color indexed="64"/>
      </bottom>
      <diagonal/>
    </border>
    <border>
      <left style="thin">
        <color theme="0"/>
      </left>
      <right/>
      <top style="thin">
        <color theme="0"/>
      </top>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thin">
        <color auto="1"/>
      </left>
      <right/>
      <top style="medium">
        <color indexed="64"/>
      </top>
      <bottom style="thin">
        <color indexed="64"/>
      </bottom>
      <diagonal/>
    </border>
    <border>
      <left/>
      <right/>
      <top/>
      <bottom style="thin">
        <color indexed="64"/>
      </bottom>
      <diagonal/>
    </border>
    <border>
      <left style="medium">
        <color indexed="64"/>
      </left>
      <right/>
      <top style="thin">
        <color auto="1"/>
      </top>
      <bottom style="thin">
        <color auto="1"/>
      </bottom>
      <diagonal/>
    </border>
    <border>
      <left/>
      <right/>
      <top style="thin">
        <color auto="1"/>
      </top>
      <bottom style="thin">
        <color auto="1"/>
      </bottom>
      <diagonal/>
    </border>
    <border>
      <left style="thin">
        <color theme="1"/>
      </left>
      <right style="thin">
        <color theme="1"/>
      </right>
      <top/>
      <bottom style="thin">
        <color theme="1"/>
      </bottom>
      <diagonal/>
    </border>
    <border>
      <left style="thin">
        <color auto="1"/>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style="thin">
        <color auto="1"/>
      </left>
      <right style="medium">
        <color indexed="64"/>
      </right>
      <top style="thin">
        <color auto="1"/>
      </top>
      <bottom style="thin">
        <color indexed="64"/>
      </bottom>
      <diagonal/>
    </border>
  </borders>
  <cellStyleXfs count="17">
    <xf numFmtId="0" fontId="0" fillId="0" borderId="0"/>
    <xf numFmtId="0" fontId="10" fillId="0" borderId="0"/>
    <xf numFmtId="0" fontId="11" fillId="0" borderId="0"/>
    <xf numFmtId="0" fontId="9" fillId="0" borderId="0"/>
    <xf numFmtId="0" fontId="10" fillId="0" borderId="0"/>
    <xf numFmtId="0" fontId="9" fillId="0" borderId="0"/>
    <xf numFmtId="0" fontId="9" fillId="0" borderId="0"/>
    <xf numFmtId="0" fontId="14" fillId="8" borderId="21" applyNumberFormat="0" applyAlignment="0" applyProtection="0"/>
    <xf numFmtId="0" fontId="8" fillId="0" borderId="0"/>
    <xf numFmtId="0" fontId="8" fillId="0" borderId="0"/>
    <xf numFmtId="0" fontId="7" fillId="0" borderId="0"/>
    <xf numFmtId="9" fontId="9" fillId="0" borderId="0" applyFont="0" applyFill="0" applyBorder="0" applyAlignment="0" applyProtection="0"/>
    <xf numFmtId="0" fontId="6" fillId="0" borderId="0"/>
    <xf numFmtId="0" fontId="5" fillId="0" borderId="0"/>
    <xf numFmtId="0" fontId="5" fillId="0" borderId="0"/>
    <xf numFmtId="0" fontId="4" fillId="0" borderId="0"/>
    <xf numFmtId="0" fontId="3" fillId="0" borderId="0"/>
  </cellStyleXfs>
  <cellXfs count="574">
    <xf numFmtId="0" fontId="0" fillId="0" borderId="0" xfId="0"/>
    <xf numFmtId="0" fontId="0" fillId="0" borderId="22" xfId="0" applyBorder="1"/>
    <xf numFmtId="0" fontId="12" fillId="0" borderId="22" xfId="0" applyFont="1" applyBorder="1" applyAlignment="1">
      <alignment horizontal="center" vertical="center"/>
    </xf>
    <xf numFmtId="0" fontId="0" fillId="0" borderId="23" xfId="0" applyBorder="1"/>
    <xf numFmtId="0" fontId="12" fillId="0" borderId="25" xfId="0" applyFont="1" applyBorder="1" applyAlignment="1">
      <alignment horizontal="center" vertical="center"/>
    </xf>
    <xf numFmtId="0" fontId="0" fillId="0" borderId="25" xfId="0" applyBorder="1"/>
    <xf numFmtId="0" fontId="12" fillId="0" borderId="26" xfId="0" applyFont="1" applyBorder="1" applyAlignment="1">
      <alignment horizontal="center" vertical="center"/>
    </xf>
    <xf numFmtId="0" fontId="0" fillId="0" borderId="26" xfId="0" applyBorder="1"/>
    <xf numFmtId="0" fontId="12" fillId="0" borderId="1" xfId="0" applyFont="1" applyBorder="1"/>
    <xf numFmtId="0" fontId="13" fillId="0" borderId="36" xfId="3" applyFont="1" applyBorder="1" applyAlignment="1" applyProtection="1">
      <alignment horizontal="left" vertical="center" wrapText="1"/>
      <protection locked="0"/>
    </xf>
    <xf numFmtId="0" fontId="13" fillId="0" borderId="37" xfId="3" applyFont="1" applyBorder="1" applyAlignment="1" applyProtection="1">
      <alignment horizontal="left" vertical="center" wrapText="1"/>
      <protection locked="0"/>
    </xf>
    <xf numFmtId="0" fontId="13" fillId="0" borderId="37" xfId="5" applyFont="1" applyBorder="1" applyAlignment="1" applyProtection="1">
      <alignment horizontal="left" vertical="center" wrapText="1"/>
      <protection locked="0"/>
    </xf>
    <xf numFmtId="0" fontId="20" fillId="9" borderId="37" xfId="3" applyFont="1" applyFill="1" applyBorder="1" applyAlignment="1" applyProtection="1">
      <alignment horizontal="left" vertical="center" wrapText="1"/>
      <protection locked="0"/>
    </xf>
    <xf numFmtId="0" fontId="13" fillId="0" borderId="38" xfId="3" applyFont="1" applyBorder="1" applyAlignment="1" applyProtection="1">
      <alignment horizontal="left" vertical="center" wrapText="1"/>
      <protection locked="0"/>
    </xf>
    <xf numFmtId="0" fontId="13" fillId="6" borderId="8" xfId="2" applyFont="1" applyFill="1" applyBorder="1" applyAlignment="1" applyProtection="1">
      <alignment horizontal="center" vertical="center"/>
      <protection locked="0"/>
    </xf>
    <xf numFmtId="0" fontId="13" fillId="6" borderId="13" xfId="0" applyFont="1" applyFill="1" applyBorder="1" applyAlignment="1" applyProtection="1">
      <alignment horizontal="left" vertical="center" wrapText="1"/>
      <protection locked="0"/>
    </xf>
    <xf numFmtId="0" fontId="13" fillId="6" borderId="3" xfId="2" applyFont="1" applyFill="1" applyBorder="1" applyAlignment="1" applyProtection="1">
      <alignment horizontal="center" vertical="center" wrapText="1"/>
      <protection locked="0"/>
    </xf>
    <xf numFmtId="0" fontId="13" fillId="6" borderId="3" xfId="0" applyFont="1" applyFill="1" applyBorder="1" applyAlignment="1" applyProtection="1">
      <alignment horizontal="center" vertical="center" wrapText="1"/>
      <protection locked="0"/>
    </xf>
    <xf numFmtId="0" fontId="13" fillId="6" borderId="3" xfId="3" applyFont="1" applyFill="1" applyBorder="1" applyAlignment="1" applyProtection="1">
      <alignment horizontal="left" vertical="center" wrapText="1"/>
      <protection locked="0"/>
    </xf>
    <xf numFmtId="0" fontId="13" fillId="6" borderId="1" xfId="0" applyFont="1" applyFill="1" applyBorder="1" applyAlignment="1" applyProtection="1">
      <alignment horizontal="left" vertical="center" wrapText="1"/>
      <protection locked="0"/>
    </xf>
    <xf numFmtId="0" fontId="13" fillId="6" borderId="1" xfId="2" applyFont="1" applyFill="1" applyBorder="1" applyAlignment="1" applyProtection="1">
      <alignment horizontal="center" vertical="center" wrapText="1"/>
      <protection locked="0"/>
    </xf>
    <xf numFmtId="0" fontId="13" fillId="6" borderId="1" xfId="0" applyFont="1" applyFill="1" applyBorder="1" applyAlignment="1" applyProtection="1">
      <alignment horizontal="center" vertical="center" wrapText="1"/>
      <protection locked="0"/>
    </xf>
    <xf numFmtId="0" fontId="13" fillId="6" borderId="1" xfId="3" applyFont="1" applyFill="1" applyBorder="1" applyAlignment="1" applyProtection="1">
      <alignment horizontal="left" vertical="center" wrapText="1"/>
      <protection locked="0"/>
    </xf>
    <xf numFmtId="0" fontId="13" fillId="6" borderId="2" xfId="2" applyFont="1" applyFill="1" applyBorder="1" applyAlignment="1" applyProtection="1">
      <alignment horizontal="center" vertical="center" wrapText="1"/>
      <protection locked="0"/>
    </xf>
    <xf numFmtId="0" fontId="13" fillId="6" borderId="13" xfId="2" applyFont="1" applyFill="1" applyBorder="1" applyAlignment="1" applyProtection="1">
      <alignment horizontal="center" vertical="center" wrapText="1"/>
      <protection locked="0"/>
    </xf>
    <xf numFmtId="0" fontId="13" fillId="0" borderId="35" xfId="3" applyFont="1" applyBorder="1" applyAlignment="1" applyProtection="1">
      <alignment horizontal="left" vertical="center" wrapText="1"/>
      <protection locked="0"/>
    </xf>
    <xf numFmtId="0" fontId="13" fillId="6" borderId="19" xfId="2" applyFont="1" applyFill="1" applyBorder="1" applyAlignment="1" applyProtection="1">
      <alignment horizontal="center" vertical="center"/>
      <protection locked="0"/>
    </xf>
    <xf numFmtId="0" fontId="13" fillId="6" borderId="2" xfId="0" applyFont="1" applyFill="1" applyBorder="1" applyAlignment="1" applyProtection="1">
      <alignment horizontal="left" vertical="center" wrapText="1"/>
      <protection locked="0"/>
    </xf>
    <xf numFmtId="0" fontId="13" fillId="6" borderId="13" xfId="0" applyFont="1" applyFill="1" applyBorder="1" applyAlignment="1" applyProtection="1">
      <alignment horizontal="center" vertical="center" wrapText="1"/>
      <protection locked="0"/>
    </xf>
    <xf numFmtId="0" fontId="13" fillId="6" borderId="20" xfId="3" applyFont="1" applyFill="1" applyBorder="1" applyAlignment="1" applyProtection="1">
      <alignment horizontal="left" vertical="center" wrapText="1"/>
      <protection locked="0"/>
    </xf>
    <xf numFmtId="0" fontId="13" fillId="10" borderId="17" xfId="0" applyFont="1" applyFill="1" applyBorder="1" applyAlignment="1" applyProtection="1">
      <alignment horizontal="left" vertical="center" wrapText="1"/>
      <protection locked="0"/>
    </xf>
    <xf numFmtId="0" fontId="13" fillId="6" borderId="14" xfId="3" applyFont="1" applyFill="1" applyBorder="1" applyAlignment="1" applyProtection="1">
      <alignment horizontal="left" vertical="center" wrapText="1"/>
      <protection locked="0"/>
    </xf>
    <xf numFmtId="0" fontId="20" fillId="7" borderId="14" xfId="0" applyFont="1" applyFill="1" applyBorder="1" applyAlignment="1" applyProtection="1">
      <alignment horizontal="left" vertical="center" wrapText="1"/>
      <protection locked="0"/>
    </xf>
    <xf numFmtId="0" fontId="13" fillId="6" borderId="3" xfId="3" applyFont="1" applyFill="1" applyBorder="1" applyAlignment="1" applyProtection="1">
      <alignment horizontal="center" vertical="center" wrapText="1"/>
      <protection locked="0"/>
    </xf>
    <xf numFmtId="0" fontId="13" fillId="6" borderId="17" xfId="3" applyFont="1" applyFill="1" applyBorder="1" applyAlignment="1" applyProtection="1">
      <alignment horizontal="left" vertical="center" wrapText="1"/>
      <protection locked="0"/>
    </xf>
    <xf numFmtId="0" fontId="13" fillId="7" borderId="17" xfId="0" applyFont="1" applyFill="1" applyBorder="1" applyAlignment="1" applyProtection="1">
      <alignment horizontal="left" vertical="center" wrapText="1"/>
      <protection locked="0"/>
    </xf>
    <xf numFmtId="0" fontId="13" fillId="6" borderId="1" xfId="3" applyFont="1" applyFill="1" applyBorder="1" applyAlignment="1" applyProtection="1">
      <alignment horizontal="center" vertical="center" wrapText="1"/>
      <protection locked="0"/>
    </xf>
    <xf numFmtId="0" fontId="13" fillId="6" borderId="13" xfId="3" applyFont="1" applyFill="1" applyBorder="1" applyAlignment="1" applyProtection="1">
      <alignment horizontal="left" vertical="center" wrapText="1"/>
      <protection locked="0"/>
    </xf>
    <xf numFmtId="0" fontId="13" fillId="6" borderId="1" xfId="3" applyFont="1" applyFill="1" applyBorder="1" applyAlignment="1" applyProtection="1">
      <alignment vertical="center" wrapText="1"/>
      <protection locked="0"/>
    </xf>
    <xf numFmtId="0" fontId="15" fillId="6" borderId="1" xfId="2" applyFont="1" applyFill="1" applyBorder="1" applyAlignment="1" applyProtection="1">
      <alignment horizontal="center" vertical="center" wrapText="1"/>
      <protection locked="0"/>
    </xf>
    <xf numFmtId="0" fontId="13" fillId="6" borderId="6" xfId="2" applyFont="1" applyFill="1" applyBorder="1" applyAlignment="1" applyProtection="1">
      <alignment horizontal="center" vertical="center"/>
      <protection locked="0"/>
    </xf>
    <xf numFmtId="0" fontId="13" fillId="6" borderId="2" xfId="3" applyFont="1" applyFill="1" applyBorder="1" applyAlignment="1" applyProtection="1">
      <alignment horizontal="left" vertical="center" wrapText="1"/>
      <protection locked="0"/>
    </xf>
    <xf numFmtId="0" fontId="13" fillId="6" borderId="15" xfId="3" applyFont="1" applyFill="1" applyBorder="1" applyAlignment="1" applyProtection="1">
      <alignment horizontal="left" vertical="center" wrapText="1"/>
      <protection locked="0"/>
    </xf>
    <xf numFmtId="0" fontId="13" fillId="9" borderId="14" xfId="0" applyFont="1" applyFill="1" applyBorder="1" applyAlignment="1" applyProtection="1">
      <alignment horizontal="left" vertical="center" wrapText="1"/>
      <protection locked="0"/>
    </xf>
    <xf numFmtId="0" fontId="13" fillId="9" borderId="17" xfId="3" applyFont="1" applyFill="1" applyBorder="1" applyAlignment="1" applyProtection="1">
      <alignment horizontal="left" vertical="center" wrapText="1"/>
      <protection locked="0"/>
    </xf>
    <xf numFmtId="0" fontId="13" fillId="9" borderId="20" xfId="3" applyFont="1" applyFill="1" applyBorder="1" applyAlignment="1" applyProtection="1">
      <alignment horizontal="left" vertical="center" wrapText="1"/>
      <protection locked="0"/>
    </xf>
    <xf numFmtId="0" fontId="13" fillId="0" borderId="8" xfId="2" applyFont="1" applyBorder="1" applyAlignment="1" applyProtection="1">
      <alignment horizontal="center" vertical="center"/>
      <protection locked="0"/>
    </xf>
    <xf numFmtId="0" fontId="13" fillId="0" borderId="1" xfId="0" applyFont="1" applyBorder="1" applyAlignment="1" applyProtection="1">
      <alignment horizontal="left" vertical="center" wrapText="1"/>
      <protection locked="0"/>
    </xf>
    <xf numFmtId="0" fontId="13" fillId="0" borderId="1" xfId="2" applyFont="1" applyBorder="1" applyAlignment="1" applyProtection="1">
      <alignment horizontal="center" vertical="center" wrapText="1"/>
      <protection locked="0"/>
    </xf>
    <xf numFmtId="0" fontId="13" fillId="0" borderId="1" xfId="0" applyFont="1" applyBorder="1" applyAlignment="1" applyProtection="1">
      <alignment horizontal="center" vertical="center" wrapText="1"/>
      <protection locked="0"/>
    </xf>
    <xf numFmtId="0" fontId="33" fillId="0" borderId="1" xfId="0" applyFont="1" applyBorder="1"/>
    <xf numFmtId="0" fontId="15" fillId="12" borderId="1" xfId="7" applyFont="1" applyFill="1" applyBorder="1" applyAlignment="1" applyProtection="1">
      <alignment horizontal="center" vertical="center"/>
      <protection locked="0"/>
    </xf>
    <xf numFmtId="0" fontId="13" fillId="0" borderId="51" xfId="3" applyFont="1" applyBorder="1" applyAlignment="1" applyProtection="1">
      <alignment horizontal="left" vertical="center" wrapText="1"/>
      <protection locked="0"/>
    </xf>
    <xf numFmtId="0" fontId="31" fillId="10" borderId="17" xfId="0" applyFont="1" applyFill="1" applyBorder="1" applyAlignment="1" applyProtection="1">
      <alignment horizontal="left" vertical="center" wrapText="1"/>
      <protection locked="0"/>
    </xf>
    <xf numFmtId="0" fontId="15" fillId="6" borderId="50" xfId="0" applyFont="1" applyFill="1" applyBorder="1" applyAlignment="1" applyProtection="1">
      <alignment horizontal="center" vertical="center"/>
      <protection locked="0"/>
    </xf>
    <xf numFmtId="0" fontId="13" fillId="6" borderId="50" xfId="0" applyFont="1" applyFill="1" applyBorder="1" applyAlignment="1" applyProtection="1">
      <alignment horizontal="center" vertical="center"/>
      <protection locked="0"/>
    </xf>
    <xf numFmtId="0" fontId="13" fillId="6" borderId="50" xfId="3" applyFont="1" applyFill="1" applyBorder="1" applyAlignment="1" applyProtection="1">
      <alignment horizontal="center" vertical="center" wrapText="1"/>
      <protection locked="0"/>
    </xf>
    <xf numFmtId="0" fontId="35" fillId="6" borderId="1" xfId="0" applyFont="1" applyFill="1" applyBorder="1" applyAlignment="1" applyProtection="1">
      <alignment horizontal="left" vertical="center" wrapText="1"/>
      <protection locked="0"/>
    </xf>
    <xf numFmtId="0" fontId="13" fillId="6" borderId="50" xfId="3" applyFont="1" applyFill="1" applyBorder="1" applyAlignment="1" applyProtection="1">
      <alignment vertical="center" wrapText="1"/>
      <protection locked="0"/>
    </xf>
    <xf numFmtId="0" fontId="13" fillId="6" borderId="7" xfId="2" applyFont="1" applyFill="1" applyBorder="1" applyAlignment="1" applyProtection="1">
      <alignment horizontal="center" vertical="center"/>
      <protection locked="0"/>
    </xf>
    <xf numFmtId="0" fontId="13" fillId="6" borderId="3" xfId="0" applyFont="1" applyFill="1" applyBorder="1" applyAlignment="1" applyProtection="1">
      <alignment horizontal="left" vertical="center" wrapText="1"/>
      <protection locked="0"/>
    </xf>
    <xf numFmtId="0" fontId="13" fillId="0" borderId="14" xfId="2" applyFont="1" applyBorder="1" applyAlignment="1" applyProtection="1">
      <alignment horizontal="left" vertical="center" wrapText="1"/>
      <protection locked="0"/>
    </xf>
    <xf numFmtId="0" fontId="13" fillId="9" borderId="14" xfId="3" applyFont="1" applyFill="1" applyBorder="1" applyAlignment="1" applyProtection="1">
      <alignment horizontal="left" vertical="center" wrapText="1"/>
      <protection locked="0"/>
    </xf>
    <xf numFmtId="0" fontId="13" fillId="6" borderId="17" xfId="3" applyFont="1" applyFill="1" applyBorder="1" applyAlignment="1" applyProtection="1">
      <alignment horizontal="center" vertical="center" wrapText="1"/>
      <protection locked="0"/>
    </xf>
    <xf numFmtId="0" fontId="22" fillId="13" borderId="17" xfId="0" applyFont="1" applyFill="1" applyBorder="1" applyAlignment="1" applyProtection="1">
      <alignment horizontal="center" vertical="center" wrapText="1"/>
      <protection locked="0"/>
    </xf>
    <xf numFmtId="0" fontId="22" fillId="6" borderId="17" xfId="3" applyFont="1" applyFill="1" applyBorder="1" applyAlignment="1" applyProtection="1">
      <alignment horizontal="left" vertical="center" wrapText="1"/>
      <protection locked="0"/>
    </xf>
    <xf numFmtId="1" fontId="0" fillId="0" borderId="0" xfId="0" applyNumberFormat="1"/>
    <xf numFmtId="9" fontId="0" fillId="0" borderId="0" xfId="11" applyFont="1"/>
    <xf numFmtId="0" fontId="13" fillId="9" borderId="14" xfId="3" applyFont="1" applyFill="1" applyBorder="1" applyAlignment="1" applyProtection="1">
      <alignment vertical="center" wrapText="1"/>
      <protection locked="0"/>
    </xf>
    <xf numFmtId="0" fontId="22" fillId="6" borderId="20" xfId="3" applyFont="1" applyFill="1" applyBorder="1" applyAlignment="1" applyProtection="1">
      <alignment horizontal="center" vertical="center" wrapText="1"/>
      <protection locked="0"/>
    </xf>
    <xf numFmtId="0" fontId="35" fillId="6" borderId="14" xfId="0" applyFont="1" applyFill="1" applyBorder="1" applyAlignment="1" applyProtection="1">
      <alignment horizontal="left" vertical="center" wrapText="1"/>
      <protection locked="0"/>
    </xf>
    <xf numFmtId="0" fontId="13" fillId="0" borderId="51" xfId="3" applyFont="1" applyBorder="1" applyAlignment="1" applyProtection="1">
      <alignment horizontal="left" vertical="center"/>
      <protection locked="0"/>
    </xf>
    <xf numFmtId="0" fontId="9" fillId="9" borderId="54" xfId="2" applyFont="1" applyFill="1" applyBorder="1" applyAlignment="1" applyProtection="1">
      <alignment horizontal="left" vertical="center" wrapText="1"/>
      <protection locked="0"/>
    </xf>
    <xf numFmtId="0" fontId="38" fillId="4" borderId="37" xfId="3" applyFont="1" applyFill="1" applyBorder="1" applyAlignment="1" applyProtection="1">
      <alignment horizontal="left" vertical="center" wrapText="1"/>
      <protection locked="0"/>
    </xf>
    <xf numFmtId="0" fontId="20" fillId="0" borderId="37" xfId="3" applyFont="1" applyBorder="1" applyAlignment="1" applyProtection="1">
      <alignment horizontal="left" vertical="center" wrapText="1"/>
      <protection locked="0"/>
    </xf>
    <xf numFmtId="0" fontId="13" fillId="0" borderId="30" xfId="3" applyFont="1" applyBorder="1" applyAlignment="1" applyProtection="1">
      <alignment horizontal="left" vertical="center" wrapText="1"/>
      <protection locked="0"/>
    </xf>
    <xf numFmtId="0" fontId="38" fillId="4" borderId="7" xfId="2" applyFont="1" applyFill="1" applyBorder="1" applyAlignment="1" applyProtection="1">
      <alignment horizontal="center" vertical="center"/>
      <protection locked="0"/>
    </xf>
    <xf numFmtId="0" fontId="48" fillId="4" borderId="3" xfId="2" applyFont="1" applyFill="1" applyBorder="1" applyAlignment="1" applyProtection="1">
      <alignment horizontal="center" vertical="center" wrapText="1"/>
      <protection locked="0"/>
    </xf>
    <xf numFmtId="0" fontId="48" fillId="4" borderId="3" xfId="3" applyFont="1" applyFill="1" applyBorder="1" applyAlignment="1" applyProtection="1">
      <alignment horizontal="center" vertical="center" wrapText="1"/>
      <protection locked="0"/>
    </xf>
    <xf numFmtId="0" fontId="48" fillId="4" borderId="17" xfId="3" applyFont="1" applyFill="1" applyBorder="1" applyAlignment="1" applyProtection="1">
      <alignment horizontal="left" vertical="center" wrapText="1"/>
      <protection locked="0"/>
    </xf>
    <xf numFmtId="49" fontId="48" fillId="4" borderId="62" xfId="0" applyNumberFormat="1" applyFont="1" applyFill="1" applyBorder="1" applyAlignment="1" applyProtection="1">
      <alignment vertical="center" wrapText="1"/>
      <protection locked="0"/>
    </xf>
    <xf numFmtId="0" fontId="48" fillId="4" borderId="3" xfId="3" applyFont="1" applyFill="1" applyBorder="1" applyAlignment="1" applyProtection="1">
      <alignment horizontal="left" vertical="center" wrapText="1"/>
      <protection locked="0"/>
    </xf>
    <xf numFmtId="0" fontId="38" fillId="4" borderId="3" xfId="3" applyFont="1" applyFill="1" applyBorder="1" applyAlignment="1" applyProtection="1">
      <alignment horizontal="left" vertical="center" wrapText="1"/>
      <protection locked="0"/>
    </xf>
    <xf numFmtId="0" fontId="13" fillId="0" borderId="1" xfId="3" applyFont="1" applyBorder="1" applyAlignment="1" applyProtection="1">
      <alignment horizontal="left" vertical="center" wrapText="1"/>
      <protection locked="0"/>
    </xf>
    <xf numFmtId="0" fontId="13" fillId="0" borderId="17" xfId="3" applyFont="1" applyBorder="1" applyAlignment="1" applyProtection="1">
      <alignment horizontal="center" vertical="center" wrapText="1"/>
      <protection locked="0"/>
    </xf>
    <xf numFmtId="0" fontId="13" fillId="0" borderId="14" xfId="3" applyFont="1" applyBorder="1" applyAlignment="1" applyProtection="1">
      <alignment horizontal="center" vertical="center" wrapText="1"/>
      <protection locked="0"/>
    </xf>
    <xf numFmtId="0" fontId="13" fillId="0" borderId="14" xfId="5" applyFont="1" applyBorder="1" applyAlignment="1" applyProtection="1">
      <alignment horizontal="center" vertical="center" wrapText="1"/>
      <protection locked="0"/>
    </xf>
    <xf numFmtId="0" fontId="20" fillId="0" borderId="14" xfId="3" applyFont="1" applyBorder="1" applyAlignment="1" applyProtection="1">
      <alignment horizontal="left" vertical="center" wrapText="1"/>
      <protection locked="0"/>
    </xf>
    <xf numFmtId="0" fontId="13" fillId="0" borderId="14" xfId="3" applyFont="1" applyBorder="1" applyAlignment="1" applyProtection="1">
      <alignment horizontal="left" vertical="center" wrapText="1"/>
      <protection locked="0"/>
    </xf>
    <xf numFmtId="0" fontId="13" fillId="0" borderId="15" xfId="3" applyFont="1" applyBorder="1" applyAlignment="1" applyProtection="1">
      <alignment horizontal="center" vertical="center" wrapText="1"/>
      <protection locked="0"/>
    </xf>
    <xf numFmtId="0" fontId="13" fillId="0" borderId="17" xfId="3" applyFont="1" applyBorder="1" applyAlignment="1" applyProtection="1">
      <alignment horizontal="left" vertical="center" wrapText="1"/>
      <protection locked="0"/>
    </xf>
    <xf numFmtId="0" fontId="13" fillId="0" borderId="20" xfId="3" applyFont="1" applyBorder="1" applyAlignment="1" applyProtection="1">
      <alignment horizontal="left" vertical="center" wrapText="1"/>
      <protection locked="0"/>
    </xf>
    <xf numFmtId="0" fontId="13" fillId="0" borderId="2" xfId="3" applyFont="1" applyBorder="1" applyAlignment="1" applyProtection="1">
      <alignment horizontal="left" vertical="center" wrapText="1"/>
      <protection locked="0"/>
    </xf>
    <xf numFmtId="0" fontId="13" fillId="9" borderId="14" xfId="2" applyFont="1" applyFill="1" applyBorder="1" applyAlignment="1" applyProtection="1">
      <alignment horizontal="left" vertical="center" wrapText="1"/>
      <protection locked="0"/>
    </xf>
    <xf numFmtId="0" fontId="13" fillId="0" borderId="17" xfId="2" applyFont="1" applyBorder="1" applyAlignment="1" applyProtection="1">
      <alignment horizontal="left" vertical="center" wrapText="1"/>
      <protection locked="0"/>
    </xf>
    <xf numFmtId="0" fontId="13" fillId="0" borderId="17" xfId="0" applyFont="1" applyBorder="1" applyAlignment="1" applyProtection="1">
      <alignment vertical="center"/>
      <protection locked="0"/>
    </xf>
    <xf numFmtId="0" fontId="13" fillId="0" borderId="45" xfId="3" applyFont="1" applyBorder="1" applyAlignment="1" applyProtection="1">
      <alignment horizontal="left" vertical="center" wrapText="1"/>
      <protection locked="0"/>
    </xf>
    <xf numFmtId="0" fontId="13" fillId="0" borderId="15" xfId="0" applyFont="1" applyBorder="1" applyAlignment="1" applyProtection="1">
      <alignment horizontal="left" vertical="center" wrapText="1"/>
      <protection locked="0"/>
    </xf>
    <xf numFmtId="0" fontId="13" fillId="0" borderId="15" xfId="3" applyFont="1" applyBorder="1" applyAlignment="1" applyProtection="1">
      <alignment horizontal="left" vertical="center" wrapText="1"/>
      <protection locked="0"/>
    </xf>
    <xf numFmtId="0" fontId="13" fillId="0" borderId="14" xfId="0" applyFont="1" applyBorder="1" applyAlignment="1" applyProtection="1">
      <alignment horizontal="left" vertical="center" wrapText="1"/>
      <protection locked="0"/>
    </xf>
    <xf numFmtId="0" fontId="13" fillId="0" borderId="16" xfId="2" applyFont="1" applyBorder="1" applyAlignment="1" applyProtection="1">
      <alignment horizontal="center" vertical="center" wrapText="1"/>
      <protection locked="0"/>
    </xf>
    <xf numFmtId="0" fontId="13" fillId="0" borderId="28" xfId="3" applyFont="1" applyBorder="1" applyAlignment="1" applyProtection="1">
      <alignment horizontal="left" vertical="center" wrapText="1"/>
      <protection locked="0"/>
    </xf>
    <xf numFmtId="0" fontId="13" fillId="0" borderId="7" xfId="2" applyFont="1" applyBorder="1" applyAlignment="1" applyProtection="1">
      <alignment horizontal="center" vertical="center"/>
      <protection locked="0"/>
    </xf>
    <xf numFmtId="0" fontId="13" fillId="0" borderId="3" xfId="0" applyFont="1" applyBorder="1" applyAlignment="1" applyProtection="1">
      <alignment horizontal="center" vertical="center" wrapText="1"/>
      <protection locked="0"/>
    </xf>
    <xf numFmtId="0" fontId="13" fillId="0" borderId="1" xfId="3" applyFont="1" applyBorder="1" applyAlignment="1" applyProtection="1">
      <alignment horizontal="center" vertical="center" wrapText="1"/>
      <protection locked="0"/>
    </xf>
    <xf numFmtId="0" fontId="13" fillId="0" borderId="2" xfId="2" applyFont="1" applyBorder="1" applyAlignment="1" applyProtection="1">
      <alignment horizontal="center" vertical="center"/>
      <protection locked="0"/>
    </xf>
    <xf numFmtId="0" fontId="13" fillId="0" borderId="2" xfId="2" applyFont="1" applyBorder="1" applyAlignment="1" applyProtection="1">
      <alignment horizontal="center" vertical="center" wrapText="1"/>
      <protection locked="0"/>
    </xf>
    <xf numFmtId="0" fontId="13" fillId="0" borderId="2" xfId="3" applyFont="1" applyBorder="1" applyAlignment="1" applyProtection="1">
      <alignment horizontal="center" vertical="center" wrapText="1"/>
      <protection locked="0"/>
    </xf>
    <xf numFmtId="0" fontId="13" fillId="0" borderId="3" xfId="0" applyFont="1" applyBorder="1" applyAlignment="1" applyProtection="1">
      <alignment horizontal="left" vertical="center" wrapText="1"/>
      <protection locked="0"/>
    </xf>
    <xf numFmtId="0" fontId="13" fillId="0" borderId="3" xfId="2" applyFont="1" applyBorder="1" applyAlignment="1" applyProtection="1">
      <alignment horizontal="center" vertical="center" wrapText="1"/>
      <protection locked="0"/>
    </xf>
    <xf numFmtId="0" fontId="15" fillId="0" borderId="3" xfId="0" applyFont="1" applyBorder="1" applyAlignment="1" applyProtection="1">
      <alignment horizontal="center" vertical="center" wrapText="1"/>
      <protection locked="0"/>
    </xf>
    <xf numFmtId="0" fontId="13" fillId="0" borderId="3" xfId="3" applyFont="1" applyBorder="1" applyAlignment="1" applyProtection="1">
      <alignment vertical="center" wrapText="1"/>
      <protection locked="0"/>
    </xf>
    <xf numFmtId="0" fontId="13" fillId="0" borderId="3" xfId="3" applyFont="1" applyBorder="1" applyAlignment="1" applyProtection="1">
      <alignment horizontal="center" vertical="center" wrapText="1"/>
      <protection locked="0"/>
    </xf>
    <xf numFmtId="0" fontId="13" fillId="6" borderId="1" xfId="2" applyFont="1" applyFill="1" applyBorder="1" applyAlignment="1" applyProtection="1">
      <alignment horizontal="center" vertical="center"/>
      <protection locked="0"/>
    </xf>
    <xf numFmtId="0" fontId="13" fillId="0" borderId="0" xfId="3" applyFont="1" applyAlignment="1" applyProtection="1">
      <alignment horizontal="center" vertical="center"/>
      <protection locked="0"/>
    </xf>
    <xf numFmtId="0" fontId="13" fillId="0" borderId="1" xfId="3" applyFont="1" applyBorder="1" applyAlignment="1" applyProtection="1">
      <alignment horizontal="center" vertical="center"/>
      <protection locked="0"/>
    </xf>
    <xf numFmtId="0" fontId="13" fillId="0" borderId="6" xfId="2" applyFont="1" applyBorder="1" applyAlignment="1" applyProtection="1">
      <alignment horizontal="center" vertical="center"/>
      <protection locked="0"/>
    </xf>
    <xf numFmtId="0" fontId="13" fillId="0" borderId="2" xfId="0" applyFont="1" applyBorder="1" applyAlignment="1" applyProtection="1">
      <alignment horizontal="center" vertical="center" wrapText="1"/>
      <protection locked="0"/>
    </xf>
    <xf numFmtId="0" fontId="13" fillId="0" borderId="13" xfId="0" applyFont="1" applyBorder="1" applyAlignment="1" applyProtection="1">
      <alignment horizontal="center" vertical="center" wrapText="1"/>
      <protection locked="0"/>
    </xf>
    <xf numFmtId="0" fontId="13" fillId="7" borderId="1" xfId="0" applyFont="1" applyFill="1" applyBorder="1" applyAlignment="1" applyProtection="1">
      <alignment horizontal="center" vertical="center" wrapText="1"/>
      <protection locked="0"/>
    </xf>
    <xf numFmtId="0" fontId="22" fillId="6" borderId="1" xfId="3" applyFont="1" applyFill="1" applyBorder="1" applyAlignment="1" applyProtection="1">
      <alignment horizontal="center" vertical="center" wrapText="1"/>
      <protection locked="0"/>
    </xf>
    <xf numFmtId="0" fontId="7" fillId="0" borderId="22" xfId="10" applyBorder="1"/>
    <xf numFmtId="0" fontId="7" fillId="0" borderId="25" xfId="10" applyBorder="1"/>
    <xf numFmtId="0" fontId="7" fillId="0" borderId="23" xfId="10" applyBorder="1"/>
    <xf numFmtId="0" fontId="7" fillId="0" borderId="56" xfId="10" applyBorder="1"/>
    <xf numFmtId="0" fontId="26" fillId="0" borderId="5" xfId="10" applyFont="1" applyBorder="1" applyAlignment="1">
      <alignment horizontal="center"/>
    </xf>
    <xf numFmtId="0" fontId="26" fillId="0" borderId="4" xfId="10" applyFont="1" applyBorder="1" applyAlignment="1">
      <alignment horizontal="center"/>
    </xf>
    <xf numFmtId="0" fontId="26" fillId="0" borderId="34" xfId="10" applyFont="1" applyBorder="1" applyAlignment="1">
      <alignment horizontal="center"/>
    </xf>
    <xf numFmtId="0" fontId="7" fillId="0" borderId="24" xfId="10" applyBorder="1"/>
    <xf numFmtId="0" fontId="27" fillId="0" borderId="44" xfId="10" applyFont="1" applyBorder="1" applyAlignment="1">
      <alignment vertical="center"/>
    </xf>
    <xf numFmtId="0" fontId="27" fillId="0" borderId="47" xfId="10" applyFont="1" applyBorder="1" applyAlignment="1">
      <alignment horizontal="center" vertical="center" wrapText="1"/>
    </xf>
    <xf numFmtId="0" fontId="27" fillId="0" borderId="8" xfId="10" applyFont="1" applyBorder="1" applyAlignment="1">
      <alignment vertical="center"/>
    </xf>
    <xf numFmtId="0" fontId="27" fillId="0" borderId="41" xfId="10" applyFont="1" applyBorder="1" applyAlignment="1">
      <alignment horizontal="center" vertical="center" wrapText="1"/>
    </xf>
    <xf numFmtId="0" fontId="28" fillId="0" borderId="41" xfId="10" applyFont="1" applyBorder="1" applyAlignment="1">
      <alignment horizontal="center" vertical="center" wrapText="1"/>
    </xf>
    <xf numFmtId="0" fontId="28" fillId="0" borderId="48" xfId="10" applyFont="1" applyBorder="1" applyAlignment="1">
      <alignment horizontal="center" vertical="center" wrapText="1"/>
    </xf>
    <xf numFmtId="0" fontId="27" fillId="0" borderId="7" xfId="10" applyFont="1" applyBorder="1" applyAlignment="1">
      <alignment vertical="center"/>
    </xf>
    <xf numFmtId="0" fontId="27" fillId="0" borderId="60" xfId="10" applyFont="1" applyBorder="1" applyAlignment="1">
      <alignment horizontal="center" vertical="center" wrapText="1"/>
    </xf>
    <xf numFmtId="0" fontId="29" fillId="0" borderId="8" xfId="10" applyFont="1" applyBorder="1" applyAlignment="1">
      <alignment vertical="center"/>
    </xf>
    <xf numFmtId="0" fontId="29" fillId="0" borderId="9" xfId="10" applyFont="1" applyBorder="1" applyAlignment="1">
      <alignment vertical="center"/>
    </xf>
    <xf numFmtId="0" fontId="7" fillId="0" borderId="28" xfId="10" applyBorder="1" applyAlignment="1">
      <alignment wrapText="1"/>
    </xf>
    <xf numFmtId="0" fontId="27" fillId="0" borderId="57" xfId="10" applyFont="1" applyBorder="1" applyAlignment="1">
      <alignment vertical="center"/>
    </xf>
    <xf numFmtId="0" fontId="28" fillId="0" borderId="53" xfId="10" applyFont="1" applyBorder="1" applyAlignment="1">
      <alignment horizontal="center" vertical="center" wrapText="1"/>
    </xf>
    <xf numFmtId="0" fontId="29" fillId="0" borderId="7" xfId="10" applyFont="1" applyBorder="1" applyAlignment="1">
      <alignment horizontal="left" vertical="center" wrapText="1"/>
    </xf>
    <xf numFmtId="9" fontId="28" fillId="0" borderId="49" xfId="11" applyFont="1" applyBorder="1" applyAlignment="1" applyProtection="1">
      <alignment horizontal="center" vertical="center" wrapText="1"/>
    </xf>
    <xf numFmtId="0" fontId="29" fillId="0" borderId="8" xfId="10" applyFont="1" applyBorder="1" applyAlignment="1">
      <alignment horizontal="left" vertical="center" wrapText="1"/>
    </xf>
    <xf numFmtId="9" fontId="28" fillId="0" borderId="43" xfId="11" applyFont="1" applyBorder="1" applyAlignment="1" applyProtection="1">
      <alignment horizontal="center" vertical="center" wrapText="1"/>
    </xf>
    <xf numFmtId="0" fontId="29" fillId="0" borderId="9" xfId="10" applyFont="1" applyBorder="1" applyAlignment="1">
      <alignment horizontal="left" vertical="center" wrapText="1"/>
    </xf>
    <xf numFmtId="9" fontId="28" fillId="0" borderId="48" xfId="11" applyFont="1" applyBorder="1" applyAlignment="1" applyProtection="1">
      <alignment horizontal="center" vertical="center" wrapText="1"/>
    </xf>
    <xf numFmtId="0" fontId="7" fillId="0" borderId="26" xfId="10" applyBorder="1"/>
    <xf numFmtId="0" fontId="7" fillId="0" borderId="25" xfId="10" applyBorder="1" applyAlignment="1">
      <alignment horizontal="left" vertical="center"/>
    </xf>
    <xf numFmtId="0" fontId="26" fillId="0" borderId="40" xfId="10" applyFont="1" applyBorder="1" applyAlignment="1">
      <alignment horizontal="left" vertical="center"/>
    </xf>
    <xf numFmtId="0" fontId="27" fillId="0" borderId="46" xfId="10" applyFont="1" applyBorder="1" applyAlignment="1">
      <alignment horizontal="left" vertical="center" wrapText="1"/>
    </xf>
    <xf numFmtId="0" fontId="27" fillId="0" borderId="42" xfId="10" applyFont="1" applyBorder="1" applyAlignment="1">
      <alignment horizontal="left" vertical="center" wrapText="1"/>
    </xf>
    <xf numFmtId="0" fontId="28" fillId="0" borderId="42" xfId="10" applyFont="1" applyBorder="1" applyAlignment="1">
      <alignment horizontal="left" vertical="center" wrapText="1"/>
    </xf>
    <xf numFmtId="0" fontId="28" fillId="0" borderId="58" xfId="10" applyFont="1" applyBorder="1" applyAlignment="1">
      <alignment horizontal="left" vertical="center" wrapText="1"/>
    </xf>
    <xf numFmtId="0" fontId="27" fillId="0" borderId="59" xfId="10" applyFont="1" applyBorder="1" applyAlignment="1">
      <alignment horizontal="left" vertical="center" wrapText="1"/>
    </xf>
    <xf numFmtId="0" fontId="28" fillId="0" borderId="55" xfId="10" applyFont="1" applyBorder="1" applyAlignment="1">
      <alignment horizontal="left" vertical="center" wrapText="1"/>
    </xf>
    <xf numFmtId="0" fontId="30" fillId="0" borderId="3" xfId="10" applyFont="1" applyBorder="1" applyAlignment="1">
      <alignment horizontal="left" vertical="center" wrapText="1"/>
    </xf>
    <xf numFmtId="0" fontId="30" fillId="0" borderId="1" xfId="10" applyFont="1" applyBorder="1" applyAlignment="1">
      <alignment horizontal="left" vertical="center" wrapText="1"/>
    </xf>
    <xf numFmtId="0" fontId="30" fillId="0" borderId="10" xfId="10" applyFont="1" applyBorder="1" applyAlignment="1">
      <alignment horizontal="left" vertical="center" wrapText="1"/>
    </xf>
    <xf numFmtId="0" fontId="7" fillId="0" borderId="26" xfId="10" applyBorder="1" applyAlignment="1">
      <alignment horizontal="left" vertical="center"/>
    </xf>
    <xf numFmtId="0" fontId="7" fillId="0" borderId="22" xfId="10" applyBorder="1" applyAlignment="1">
      <alignment horizontal="left" vertical="center"/>
    </xf>
    <xf numFmtId="2" fontId="6" fillId="9" borderId="1" xfId="12" applyNumberFormat="1" applyFill="1" applyBorder="1" applyAlignment="1" applyProtection="1">
      <alignment horizontal="center" vertical="center"/>
      <protection locked="0"/>
    </xf>
    <xf numFmtId="4" fontId="28" fillId="0" borderId="41" xfId="10" applyNumberFormat="1" applyFont="1" applyBorder="1" applyAlignment="1">
      <alignment horizontal="center" vertical="center" wrapText="1"/>
    </xf>
    <xf numFmtId="0" fontId="28" fillId="4" borderId="0" xfId="10" applyFont="1" applyFill="1" applyAlignment="1">
      <alignment wrapText="1"/>
    </xf>
    <xf numFmtId="0" fontId="21" fillId="0" borderId="3" xfId="3" applyFont="1" applyBorder="1" applyAlignment="1" applyProtection="1">
      <alignment vertical="center" wrapText="1"/>
      <protection locked="0"/>
    </xf>
    <xf numFmtId="0" fontId="37" fillId="0" borderId="2" xfId="3" applyFont="1" applyBorder="1" applyAlignment="1" applyProtection="1">
      <alignment horizontal="left" vertical="center" wrapText="1"/>
      <protection locked="0"/>
    </xf>
    <xf numFmtId="0" fontId="13" fillId="0" borderId="20" xfId="3" applyFont="1" applyBorder="1" applyAlignment="1" applyProtection="1">
      <alignment horizontal="center" vertical="center" wrapText="1"/>
      <protection locked="0"/>
    </xf>
    <xf numFmtId="0" fontId="22" fillId="9" borderId="37" xfId="3" applyFont="1" applyFill="1" applyBorder="1" applyAlignment="1" applyProtection="1">
      <alignment horizontal="left" vertical="center" wrapText="1"/>
      <protection locked="0"/>
    </xf>
    <xf numFmtId="0" fontId="20" fillId="13" borderId="17" xfId="0" applyFont="1" applyFill="1" applyBorder="1" applyAlignment="1" applyProtection="1">
      <alignment horizontal="left" vertical="center" wrapText="1"/>
      <protection locked="0"/>
    </xf>
    <xf numFmtId="0" fontId="13" fillId="4" borderId="7" xfId="2" applyFont="1" applyFill="1" applyBorder="1" applyAlignment="1" applyProtection="1">
      <alignment horizontal="center" vertical="center"/>
      <protection locked="0"/>
    </xf>
    <xf numFmtId="0" fontId="13" fillId="6" borderId="17" xfId="2" applyFont="1" applyFill="1" applyBorder="1" applyAlignment="1" applyProtection="1">
      <alignment horizontal="left" vertical="center" wrapText="1"/>
      <protection locked="0"/>
    </xf>
    <xf numFmtId="0" fontId="13" fillId="0" borderId="37" xfId="3" applyFont="1" applyBorder="1" applyAlignment="1" applyProtection="1">
      <alignment horizontal="center" vertical="center" wrapText="1"/>
      <protection locked="0"/>
    </xf>
    <xf numFmtId="0" fontId="13" fillId="0" borderId="51" xfId="3" applyFont="1" applyBorder="1" applyAlignment="1" applyProtection="1">
      <alignment horizontal="center" vertical="center" wrapText="1"/>
      <protection locked="0"/>
    </xf>
    <xf numFmtId="0" fontId="13" fillId="0" borderId="0" xfId="3" applyFont="1" applyAlignment="1" applyProtection="1">
      <alignment horizontal="left" vertical="center" wrapText="1"/>
      <protection locked="0"/>
    </xf>
    <xf numFmtId="0" fontId="13" fillId="0" borderId="16" xfId="2" applyFont="1" applyBorder="1" applyAlignment="1">
      <alignment horizontal="center" vertical="center" wrapText="1"/>
    </xf>
    <xf numFmtId="0" fontId="13" fillId="0" borderId="16" xfId="2" applyFont="1" applyBorder="1" applyAlignment="1">
      <alignment horizontal="left" vertical="center" wrapText="1"/>
    </xf>
    <xf numFmtId="0" fontId="13" fillId="0" borderId="4" xfId="2" applyFont="1" applyBorder="1" applyAlignment="1">
      <alignment horizontal="center" vertical="center" wrapText="1"/>
    </xf>
    <xf numFmtId="0" fontId="13" fillId="0" borderId="4" xfId="3" applyFont="1" applyBorder="1" applyAlignment="1">
      <alignment horizontal="left" vertical="center" wrapText="1"/>
    </xf>
    <xf numFmtId="0" fontId="13" fillId="0" borderId="4" xfId="0" applyFont="1" applyBorder="1" applyAlignment="1">
      <alignment horizontal="center" vertical="center" wrapText="1"/>
    </xf>
    <xf numFmtId="0" fontId="13" fillId="0" borderId="2" xfId="2" applyFont="1" applyBorder="1" applyAlignment="1">
      <alignment horizontal="center" vertical="center" wrapText="1"/>
    </xf>
    <xf numFmtId="0" fontId="13" fillId="0" borderId="13" xfId="2" applyFont="1" applyBorder="1" applyAlignment="1">
      <alignment horizontal="center" vertical="center" wrapText="1"/>
    </xf>
    <xf numFmtId="0" fontId="13" fillId="0" borderId="13" xfId="0" applyFont="1" applyBorder="1" applyAlignment="1">
      <alignment horizontal="center" vertical="center" wrapText="1"/>
    </xf>
    <xf numFmtId="0" fontId="38" fillId="0" borderId="0" xfId="3" applyFont="1" applyProtection="1">
      <protection locked="0"/>
    </xf>
    <xf numFmtId="0" fontId="38" fillId="0" borderId="0" xfId="0" applyFont="1" applyProtection="1">
      <protection locked="0"/>
    </xf>
    <xf numFmtId="0" fontId="47" fillId="0" borderId="0" xfId="3" applyFont="1" applyAlignment="1" applyProtection="1">
      <alignment horizontal="center" vertical="center" wrapText="1"/>
      <protection locked="0"/>
    </xf>
    <xf numFmtId="0" fontId="13" fillId="0" borderId="0" xfId="0" applyFont="1" applyAlignment="1" applyProtection="1">
      <alignment horizontal="center" vertical="center"/>
      <protection locked="0"/>
    </xf>
    <xf numFmtId="0" fontId="13" fillId="0" borderId="0" xfId="0" applyFont="1" applyAlignment="1" applyProtection="1">
      <alignment horizontal="center" vertical="center" wrapText="1"/>
      <protection locked="0"/>
    </xf>
    <xf numFmtId="0" fontId="13" fillId="0" borderId="17" xfId="3" applyFont="1" applyBorder="1" applyAlignment="1">
      <alignment horizontal="left" vertical="center" wrapText="1"/>
    </xf>
    <xf numFmtId="0" fontId="13" fillId="0" borderId="3" xfId="2" applyFont="1" applyBorder="1" applyAlignment="1">
      <alignment horizontal="center" vertical="center" wrapText="1"/>
    </xf>
    <xf numFmtId="0" fontId="13" fillId="0" borderId="3" xfId="3" applyFont="1" applyBorder="1" applyAlignment="1">
      <alignment horizontal="left" vertical="center" wrapText="1"/>
    </xf>
    <xf numFmtId="0" fontId="13" fillId="0" borderId="3" xfId="0" applyFont="1" applyBorder="1" applyAlignment="1">
      <alignment horizontal="center" vertical="center" wrapText="1"/>
    </xf>
    <xf numFmtId="0" fontId="13" fillId="0" borderId="0" xfId="3" applyFont="1" applyProtection="1">
      <protection locked="0"/>
    </xf>
    <xf numFmtId="0" fontId="13" fillId="0" borderId="0" xfId="0" applyFont="1" applyProtection="1">
      <protection locked="0"/>
    </xf>
    <xf numFmtId="0" fontId="15" fillId="0" borderId="0" xfId="3" applyFont="1" applyAlignment="1" applyProtection="1">
      <alignment horizontal="center" vertical="center"/>
      <protection locked="0"/>
    </xf>
    <xf numFmtId="0" fontId="13" fillId="0" borderId="17" xfId="0" applyFont="1" applyBorder="1" applyAlignment="1">
      <alignment horizontal="left" vertical="center" wrapText="1"/>
    </xf>
    <xf numFmtId="0" fontId="13" fillId="0" borderId="14" xfId="3" applyFont="1" applyBorder="1" applyAlignment="1">
      <alignment horizontal="left" vertical="center" wrapText="1"/>
    </xf>
    <xf numFmtId="0" fontId="13" fillId="0" borderId="1" xfId="2" applyFont="1" applyBorder="1" applyAlignment="1">
      <alignment horizontal="center" vertical="center" wrapText="1"/>
    </xf>
    <xf numFmtId="0" fontId="13" fillId="0" borderId="1" xfId="0" applyFont="1" applyBorder="1" applyAlignment="1">
      <alignment horizontal="center" vertical="center" wrapText="1"/>
    </xf>
    <xf numFmtId="0" fontId="13" fillId="0" borderId="3" xfId="3" applyFont="1" applyBorder="1" applyAlignment="1">
      <alignment horizontal="center" vertical="center" wrapText="1"/>
    </xf>
    <xf numFmtId="0" fontId="13" fillId="0" borderId="0" xfId="3" applyFont="1" applyAlignment="1" applyProtection="1">
      <alignment vertical="center" wrapText="1"/>
      <protection locked="0"/>
    </xf>
    <xf numFmtId="0" fontId="13" fillId="0" borderId="51" xfId="3" applyFont="1" applyBorder="1" applyAlignment="1" applyProtection="1">
      <alignment vertical="center" wrapText="1"/>
      <protection locked="0"/>
    </xf>
    <xf numFmtId="0" fontId="13" fillId="0" borderId="20" xfId="3" applyFont="1" applyBorder="1" applyAlignment="1">
      <alignment horizontal="left" vertical="center" wrapText="1"/>
    </xf>
    <xf numFmtId="0" fontId="13" fillId="0" borderId="13" xfId="3" applyFont="1" applyBorder="1" applyAlignment="1">
      <alignment horizontal="center" vertical="center" wrapText="1"/>
    </xf>
    <xf numFmtId="0" fontId="13" fillId="0" borderId="2" xfId="3" applyFont="1" applyBorder="1" applyAlignment="1">
      <alignment horizontal="left" vertical="center" wrapText="1"/>
    </xf>
    <xf numFmtId="0" fontId="13" fillId="0" borderId="37" xfId="3" applyFont="1" applyBorder="1" applyAlignment="1" applyProtection="1">
      <alignment vertical="center" wrapText="1"/>
      <protection locked="0"/>
    </xf>
    <xf numFmtId="0" fontId="13" fillId="0" borderId="1" xfId="3" applyFont="1" applyBorder="1" applyAlignment="1">
      <alignment horizontal="center" vertical="center" wrapText="1"/>
    </xf>
    <xf numFmtId="0" fontId="9" fillId="0" borderId="0" xfId="0" applyFont="1" applyProtection="1">
      <protection locked="0"/>
    </xf>
    <xf numFmtId="0" fontId="13" fillId="0" borderId="14" xfId="0" applyFont="1" applyBorder="1" applyAlignment="1">
      <alignment horizontal="left" vertical="center" wrapText="1"/>
    </xf>
    <xf numFmtId="0" fontId="12" fillId="0" borderId="50" xfId="6" applyFont="1" applyBorder="1" applyAlignment="1">
      <alignment vertical="center" wrapText="1"/>
    </xf>
    <xf numFmtId="0" fontId="12" fillId="0" borderId="50" xfId="3" applyFont="1" applyBorder="1" applyAlignment="1">
      <alignment vertical="center" wrapText="1"/>
    </xf>
    <xf numFmtId="0" fontId="13" fillId="0" borderId="1" xfId="3" applyFont="1" applyBorder="1" applyAlignment="1">
      <alignment vertical="center" wrapText="1"/>
    </xf>
    <xf numFmtId="0" fontId="13" fillId="0" borderId="1" xfId="3" applyFont="1" applyBorder="1" applyAlignment="1">
      <alignment horizontal="left" vertical="center" wrapText="1"/>
    </xf>
    <xf numFmtId="0" fontId="15" fillId="0" borderId="1" xfId="2" applyFont="1" applyBorder="1" applyAlignment="1">
      <alignment horizontal="center" vertical="center" wrapText="1"/>
    </xf>
    <xf numFmtId="0" fontId="13" fillId="0" borderId="17" xfId="2" applyFont="1" applyBorder="1" applyAlignment="1">
      <alignment horizontal="left" vertical="center" wrapText="1"/>
    </xf>
    <xf numFmtId="0" fontId="13" fillId="0" borderId="3" xfId="3" applyFont="1" applyBorder="1" applyAlignment="1">
      <alignment vertical="center" wrapText="1"/>
    </xf>
    <xf numFmtId="0" fontId="13" fillId="0" borderId="14" xfId="0" applyFont="1" applyBorder="1" applyAlignment="1" applyProtection="1">
      <alignment vertical="center"/>
      <protection locked="0"/>
    </xf>
    <xf numFmtId="0" fontId="13" fillId="0" borderId="3" xfId="0" applyFont="1" applyBorder="1" applyAlignment="1" applyProtection="1">
      <alignment horizontal="center" vertical="center"/>
      <protection locked="0"/>
    </xf>
    <xf numFmtId="0" fontId="13" fillId="0" borderId="3" xfId="3" applyFont="1" applyBorder="1" applyAlignment="1" applyProtection="1">
      <alignment horizontal="left" vertical="center" wrapText="1"/>
      <protection locked="0"/>
    </xf>
    <xf numFmtId="0" fontId="15" fillId="0" borderId="3" xfId="0" applyFont="1" applyBorder="1" applyAlignment="1" applyProtection="1">
      <alignment horizontal="center" vertical="center"/>
      <protection locked="0"/>
    </xf>
    <xf numFmtId="0" fontId="13" fillId="0" borderId="17" xfId="0" applyFont="1" applyBorder="1" applyAlignment="1" applyProtection="1">
      <alignment horizontal="left" vertical="center" wrapText="1"/>
      <protection locked="0"/>
    </xf>
    <xf numFmtId="0" fontId="13" fillId="0" borderId="14" xfId="2" applyFont="1" applyBorder="1" applyAlignment="1">
      <alignment horizontal="left" vertical="center" wrapText="1"/>
    </xf>
    <xf numFmtId="0" fontId="13" fillId="0" borderId="1" xfId="3" applyFont="1" applyBorder="1" applyAlignment="1">
      <alignment horizontal="center" vertical="center"/>
    </xf>
    <xf numFmtId="0" fontId="35" fillId="9" borderId="0" xfId="0" applyFont="1" applyFill="1" applyAlignment="1" applyProtection="1">
      <alignment horizontal="left" vertical="center" wrapText="1"/>
      <protection locked="0"/>
    </xf>
    <xf numFmtId="0" fontId="35" fillId="0" borderId="52" xfId="0" applyFont="1" applyBorder="1" applyAlignment="1">
      <alignment horizontal="left" vertical="center" wrapText="1"/>
    </xf>
    <xf numFmtId="0" fontId="13" fillId="0" borderId="1" xfId="2" applyFont="1" applyBorder="1" applyAlignment="1" applyProtection="1">
      <alignment horizontal="left" vertical="center" wrapText="1"/>
      <protection locked="0"/>
    </xf>
    <xf numFmtId="0" fontId="13" fillId="0" borderId="0" xfId="2" applyFont="1" applyAlignment="1" applyProtection="1">
      <alignment horizontal="left" vertical="center" wrapText="1"/>
      <protection locked="0"/>
    </xf>
    <xf numFmtId="0" fontId="13" fillId="0" borderId="1" xfId="3" applyFont="1" applyBorder="1" applyAlignment="1" applyProtection="1">
      <alignment vertical="center" wrapText="1"/>
      <protection locked="0"/>
    </xf>
    <xf numFmtId="0" fontId="13" fillId="0" borderId="1" xfId="14" applyFont="1" applyBorder="1" applyAlignment="1" applyProtection="1">
      <alignment horizontal="center" vertical="center" wrapText="1"/>
      <protection locked="0"/>
    </xf>
    <xf numFmtId="0" fontId="15" fillId="0" borderId="1" xfId="14" applyFont="1" applyBorder="1" applyAlignment="1" applyProtection="1">
      <alignment horizontal="center" vertical="center" wrapText="1"/>
      <protection locked="0"/>
    </xf>
    <xf numFmtId="0" fontId="13" fillId="0" borderId="1" xfId="14" applyFont="1" applyBorder="1" applyAlignment="1">
      <alignment horizontal="center" vertical="center" wrapText="1"/>
    </xf>
    <xf numFmtId="0" fontId="15" fillId="0" borderId="1" xfId="14" applyFont="1" applyBorder="1" applyAlignment="1">
      <alignment horizontal="center" vertical="center" wrapText="1"/>
    </xf>
    <xf numFmtId="0" fontId="9" fillId="0" borderId="54" xfId="2" applyFont="1" applyBorder="1" applyAlignment="1" applyProtection="1">
      <alignment horizontal="left" vertical="center" wrapText="1"/>
      <protection locked="0"/>
    </xf>
    <xf numFmtId="0" fontId="0" fillId="0" borderId="50" xfId="2" applyFont="1" applyBorder="1" applyAlignment="1">
      <alignment horizontal="left" vertical="center" wrapText="1"/>
    </xf>
    <xf numFmtId="0" fontId="20" fillId="0" borderId="51" xfId="3" applyFont="1" applyBorder="1" applyAlignment="1" applyProtection="1">
      <alignment vertical="center" wrapText="1"/>
      <protection locked="0"/>
    </xf>
    <xf numFmtId="0" fontId="13" fillId="0" borderId="62" xfId="0" applyFont="1" applyBorder="1" applyAlignment="1" applyProtection="1">
      <alignment horizontal="left" vertical="center" wrapText="1"/>
      <protection locked="0"/>
    </xf>
    <xf numFmtId="0" fontId="20" fillId="0" borderId="37" xfId="3" applyFont="1" applyBorder="1" applyAlignment="1" applyProtection="1">
      <alignment vertical="center" wrapText="1"/>
      <protection locked="0"/>
    </xf>
    <xf numFmtId="0" fontId="22" fillId="0" borderId="17" xfId="0" applyFont="1" applyBorder="1" applyAlignment="1" applyProtection="1">
      <alignment horizontal="center" vertical="center" wrapText="1"/>
      <protection locked="0"/>
    </xf>
    <xf numFmtId="0" fontId="15" fillId="0" borderId="37" xfId="3" applyFont="1" applyBorder="1" applyAlignment="1" applyProtection="1">
      <alignment horizontal="center" vertical="center" wrapText="1"/>
      <protection locked="0"/>
    </xf>
    <xf numFmtId="0" fontId="15" fillId="0" borderId="3" xfId="0" applyFont="1" applyBorder="1" applyAlignment="1">
      <alignment horizontal="center" vertical="center" wrapText="1"/>
    </xf>
    <xf numFmtId="0" fontId="13" fillId="0" borderId="1" xfId="0" applyFont="1" applyBorder="1" applyAlignment="1">
      <alignment vertical="center" wrapText="1"/>
    </xf>
    <xf numFmtId="0" fontId="13" fillId="0" borderId="3" xfId="2" applyFont="1" applyBorder="1" applyAlignment="1" applyProtection="1">
      <alignment horizontal="center" vertical="center"/>
      <protection locked="0"/>
    </xf>
    <xf numFmtId="0" fontId="13" fillId="0" borderId="1" xfId="0" applyFont="1" applyBorder="1" applyAlignment="1">
      <alignment horizontal="left" vertical="center" wrapText="1"/>
    </xf>
    <xf numFmtId="0" fontId="13" fillId="0" borderId="3" xfId="0" applyFont="1" applyBorder="1" applyAlignment="1">
      <alignment horizontal="left" vertical="center" wrapText="1"/>
    </xf>
    <xf numFmtId="0" fontId="15" fillId="0" borderId="0" xfId="0" applyFont="1" applyAlignment="1" applyProtection="1">
      <alignment horizontal="center" vertical="center"/>
      <protection locked="0"/>
    </xf>
    <xf numFmtId="0" fontId="13" fillId="0" borderId="0" xfId="3" applyFont="1" applyAlignment="1" applyProtection="1">
      <alignment horizontal="left" vertical="center"/>
      <protection locked="0"/>
    </xf>
    <xf numFmtId="0" fontId="20" fillId="0" borderId="17" xfId="3" applyFont="1" applyBorder="1" applyAlignment="1" applyProtection="1">
      <alignment horizontal="left" vertical="center"/>
      <protection locked="0"/>
    </xf>
    <xf numFmtId="0" fontId="20" fillId="0" borderId="17" xfId="3" applyFont="1" applyBorder="1" applyAlignment="1">
      <alignment horizontal="left" vertical="center" wrapText="1"/>
    </xf>
    <xf numFmtId="0" fontId="13" fillId="0" borderId="3" xfId="2" applyFont="1" applyBorder="1" applyAlignment="1">
      <alignment horizontal="center" vertical="center"/>
    </xf>
    <xf numFmtId="0" fontId="13" fillId="0" borderId="3" xfId="0" applyFont="1" applyBorder="1" applyAlignment="1">
      <alignment horizontal="center" vertical="center"/>
    </xf>
    <xf numFmtId="0" fontId="13" fillId="0" borderId="17" xfId="2" applyFont="1" applyBorder="1" applyAlignment="1" applyProtection="1">
      <alignment horizontal="left" vertical="center"/>
      <protection locked="0"/>
    </xf>
    <xf numFmtId="0" fontId="13" fillId="0" borderId="17" xfId="2" applyFont="1" applyBorder="1" applyAlignment="1">
      <alignment horizontal="left" vertical="center"/>
    </xf>
    <xf numFmtId="0" fontId="13" fillId="0" borderId="1" xfId="2" applyFont="1" applyBorder="1" applyAlignment="1">
      <alignment horizontal="center" vertical="center"/>
    </xf>
    <xf numFmtId="0" fontId="13" fillId="0" borderId="3" xfId="2" applyFont="1" applyBorder="1" applyAlignment="1">
      <alignment horizontal="left" vertical="center" wrapText="1"/>
    </xf>
    <xf numFmtId="0" fontId="15" fillId="0" borderId="3" xfId="2" applyFont="1" applyBorder="1" applyAlignment="1">
      <alignment horizontal="center" vertical="center"/>
    </xf>
    <xf numFmtId="0" fontId="13" fillId="0" borderId="14" xfId="3" applyFont="1" applyBorder="1" applyAlignment="1">
      <alignment horizontal="center" vertical="center" wrapText="1"/>
    </xf>
    <xf numFmtId="0" fontId="13" fillId="0" borderId="18" xfId="3" applyFont="1" applyBorder="1" applyAlignment="1">
      <alignment horizontal="left" vertical="center" wrapText="1"/>
    </xf>
    <xf numFmtId="0" fontId="13" fillId="0" borderId="10" xfId="2" applyFont="1" applyBorder="1" applyAlignment="1">
      <alignment horizontal="center" vertical="center" wrapText="1"/>
    </xf>
    <xf numFmtId="0" fontId="13" fillId="0" borderId="10" xfId="3" applyFont="1" applyBorder="1" applyAlignment="1">
      <alignment horizontal="center" vertical="center" wrapText="1"/>
    </xf>
    <xf numFmtId="0" fontId="13" fillId="0" borderId="10" xfId="3" applyFont="1" applyBorder="1" applyAlignment="1">
      <alignment horizontal="left" vertical="center" wrapText="1"/>
    </xf>
    <xf numFmtId="0" fontId="13" fillId="0" borderId="12" xfId="0" applyFont="1" applyBorder="1" applyAlignment="1">
      <alignment horizontal="center" vertical="center" wrapText="1"/>
    </xf>
    <xf numFmtId="0" fontId="15" fillId="0" borderId="10" xfId="14" applyFont="1" applyBorder="1" applyAlignment="1">
      <alignment horizontal="center" vertical="center" wrapText="1"/>
    </xf>
    <xf numFmtId="0" fontId="20" fillId="0" borderId="14" xfId="3" applyFont="1" applyBorder="1" applyAlignment="1">
      <alignment horizontal="left" vertical="center" wrapText="1"/>
    </xf>
    <xf numFmtId="0" fontId="13" fillId="0" borderId="14" xfId="5" applyFont="1" applyBorder="1" applyAlignment="1">
      <alignment horizontal="center" vertical="center" wrapText="1"/>
    </xf>
    <xf numFmtId="0" fontId="13" fillId="0" borderId="14" xfId="5" applyFont="1" applyBorder="1" applyAlignment="1">
      <alignment horizontal="left" vertical="center" wrapText="1"/>
    </xf>
    <xf numFmtId="0" fontId="13" fillId="0" borderId="1" xfId="5" applyFont="1" applyBorder="1" applyAlignment="1">
      <alignment horizontal="left" vertical="center" wrapText="1"/>
    </xf>
    <xf numFmtId="0" fontId="13" fillId="0" borderId="17" xfId="3" applyFont="1" applyBorder="1" applyAlignment="1">
      <alignment horizontal="center" vertical="center" wrapText="1"/>
    </xf>
    <xf numFmtId="0" fontId="15" fillId="3" borderId="15" xfId="2" applyFont="1" applyFill="1" applyBorder="1" applyAlignment="1">
      <alignment horizontal="center" vertical="center" wrapText="1"/>
    </xf>
    <xf numFmtId="0" fontId="15" fillId="0" borderId="15" xfId="2" applyFont="1" applyBorder="1" applyAlignment="1">
      <alignment horizontal="center" vertical="center" wrapText="1"/>
    </xf>
    <xf numFmtId="0" fontId="15" fillId="0" borderId="2" xfId="2" applyFont="1" applyBorder="1" applyAlignment="1">
      <alignment horizontal="center" vertical="center" wrapText="1"/>
    </xf>
    <xf numFmtId="0" fontId="15" fillId="4" borderId="2" xfId="2" applyFont="1" applyFill="1" applyBorder="1" applyAlignment="1">
      <alignment horizontal="center" vertical="center" wrapText="1"/>
    </xf>
    <xf numFmtId="0" fontId="15" fillId="3" borderId="2" xfId="2" applyFont="1" applyFill="1" applyBorder="1" applyAlignment="1">
      <alignment horizontal="center" vertical="center" wrapText="1"/>
    </xf>
    <xf numFmtId="0" fontId="15" fillId="0" borderId="6" xfId="2" applyFont="1" applyBorder="1" applyAlignment="1">
      <alignment horizontal="center" vertical="center"/>
    </xf>
    <xf numFmtId="0" fontId="13" fillId="0" borderId="0" xfId="0" applyFont="1" applyAlignment="1" applyProtection="1">
      <alignment wrapText="1"/>
      <protection locked="0"/>
    </xf>
    <xf numFmtId="0" fontId="13" fillId="0" borderId="0" xfId="0" applyFont="1" applyAlignment="1" applyProtection="1">
      <alignment horizontal="center"/>
      <protection locked="0"/>
    </xf>
    <xf numFmtId="0" fontId="15" fillId="0" borderId="0" xfId="0" applyFont="1" applyProtection="1">
      <protection locked="0"/>
    </xf>
    <xf numFmtId="0" fontId="15" fillId="0" borderId="33" xfId="0" applyFont="1" applyBorder="1" applyProtection="1">
      <protection locked="0"/>
    </xf>
    <xf numFmtId="0" fontId="15" fillId="0" borderId="32" xfId="0" applyFont="1" applyBorder="1" applyAlignment="1" applyProtection="1">
      <alignment wrapText="1"/>
      <protection locked="0"/>
    </xf>
    <xf numFmtId="0" fontId="15" fillId="0" borderId="4" xfId="14" applyFont="1" applyBorder="1" applyAlignment="1">
      <alignment horizontal="center" vertical="center" wrapText="1"/>
    </xf>
    <xf numFmtId="0" fontId="13" fillId="0" borderId="0" xfId="3" applyFont="1" applyAlignment="1" applyProtection="1">
      <alignment wrapText="1"/>
      <protection locked="0"/>
    </xf>
    <xf numFmtId="0" fontId="15" fillId="0" borderId="13" xfId="14" applyFont="1" applyBorder="1" applyAlignment="1">
      <alignment horizontal="center" vertical="center" wrapText="1"/>
    </xf>
    <xf numFmtId="0" fontId="15" fillId="0" borderId="3" xfId="14" applyFont="1" applyBorder="1" applyAlignment="1">
      <alignment horizontal="center" vertical="center" wrapText="1"/>
    </xf>
    <xf numFmtId="0" fontId="15" fillId="6" borderId="1" xfId="14" applyFont="1" applyFill="1" applyBorder="1" applyAlignment="1" applyProtection="1">
      <alignment horizontal="center" vertical="center" wrapText="1"/>
      <protection locked="0"/>
    </xf>
    <xf numFmtId="0" fontId="15" fillId="0" borderId="2" xfId="14" applyFont="1" applyBorder="1" applyAlignment="1">
      <alignment horizontal="center" vertical="center" wrapText="1"/>
    </xf>
    <xf numFmtId="0" fontId="15" fillId="6" borderId="2" xfId="14" applyFont="1" applyFill="1" applyBorder="1" applyAlignment="1" applyProtection="1">
      <alignment horizontal="center" vertical="center" wrapText="1"/>
      <protection locked="0"/>
    </xf>
    <xf numFmtId="0" fontId="13" fillId="6" borderId="2" xfId="14" applyFont="1" applyFill="1" applyBorder="1" applyAlignment="1" applyProtection="1">
      <alignment horizontal="center" vertical="center" wrapText="1"/>
      <protection locked="0"/>
    </xf>
    <xf numFmtId="0" fontId="13" fillId="6" borderId="13" xfId="14" applyFont="1" applyFill="1" applyBorder="1" applyAlignment="1" applyProtection="1">
      <alignment horizontal="center" vertical="center" wrapText="1"/>
      <protection locked="0"/>
    </xf>
    <xf numFmtId="0" fontId="15" fillId="6" borderId="13" xfId="14" applyFont="1" applyFill="1" applyBorder="1" applyAlignment="1" applyProtection="1">
      <alignment horizontal="center" vertical="center" wrapText="1"/>
      <protection locked="0"/>
    </xf>
    <xf numFmtId="0" fontId="15" fillId="0" borderId="1" xfId="2" applyFont="1" applyBorder="1" applyAlignment="1" applyProtection="1">
      <alignment horizontal="center" vertical="center" wrapText="1"/>
      <protection locked="0"/>
    </xf>
    <xf numFmtId="0" fontId="16" fillId="0" borderId="0" xfId="3" applyFont="1" applyProtection="1">
      <protection locked="0"/>
    </xf>
    <xf numFmtId="0" fontId="13" fillId="0" borderId="0" xfId="0" applyFont="1" applyAlignment="1" applyProtection="1">
      <alignment horizontal="left" vertical="center" wrapText="1"/>
      <protection locked="0"/>
    </xf>
    <xf numFmtId="0" fontId="13" fillId="6" borderId="1" xfId="14" applyFont="1" applyFill="1" applyBorder="1" applyAlignment="1" applyProtection="1">
      <alignment horizontal="center" vertical="center" wrapText="1"/>
      <protection locked="0"/>
    </xf>
    <xf numFmtId="0" fontId="13" fillId="0" borderId="3" xfId="14" applyFont="1" applyBorder="1" applyAlignment="1">
      <alignment horizontal="center" vertical="center" wrapText="1"/>
    </xf>
    <xf numFmtId="0" fontId="21" fillId="0" borderId="2" xfId="3" applyFont="1" applyBorder="1" applyAlignment="1" applyProtection="1">
      <alignment vertical="center" wrapText="1"/>
      <protection locked="0"/>
    </xf>
    <xf numFmtId="0" fontId="47" fillId="4" borderId="3" xfId="14" applyFont="1" applyFill="1" applyBorder="1" applyAlignment="1" applyProtection="1">
      <alignment horizontal="center" vertical="center" wrapText="1"/>
      <protection locked="0"/>
    </xf>
    <xf numFmtId="0" fontId="15" fillId="0" borderId="3" xfId="14" applyFont="1" applyBorder="1" applyAlignment="1">
      <alignment horizontal="center" vertical="center"/>
    </xf>
    <xf numFmtId="0" fontId="15" fillId="0" borderId="0" xfId="0" applyFont="1" applyAlignment="1" applyProtection="1">
      <alignment horizontal="center" vertical="center" wrapText="1"/>
      <protection locked="0"/>
    </xf>
    <xf numFmtId="0" fontId="13" fillId="0" borderId="30" xfId="3" applyFont="1" applyBorder="1" applyAlignment="1" applyProtection="1">
      <alignment horizontal="center" vertical="center" wrapText="1"/>
      <protection locked="0"/>
    </xf>
    <xf numFmtId="0" fontId="13" fillId="0" borderId="20" xfId="3" applyFont="1" applyBorder="1" applyAlignment="1">
      <alignment horizontal="center" vertical="center" wrapText="1"/>
    </xf>
    <xf numFmtId="0" fontId="38" fillId="0" borderId="37" xfId="3" applyFont="1" applyBorder="1" applyAlignment="1" applyProtection="1">
      <alignment horizontal="left" vertical="center" wrapText="1"/>
      <protection locked="0"/>
    </xf>
    <xf numFmtId="0" fontId="38" fillId="0" borderId="17" xfId="3" applyFont="1" applyBorder="1" applyAlignment="1" applyProtection="1">
      <alignment horizontal="left" vertical="center" wrapText="1"/>
      <protection locked="0"/>
    </xf>
    <xf numFmtId="0" fontId="48" fillId="0" borderId="14" xfId="3" applyFont="1" applyBorder="1" applyAlignment="1" applyProtection="1">
      <alignment horizontal="left" vertical="center" wrapText="1"/>
      <protection locked="0"/>
    </xf>
    <xf numFmtId="0" fontId="48" fillId="0" borderId="1" xfId="2" applyFont="1" applyBorder="1" applyAlignment="1" applyProtection="1">
      <alignment horizontal="center" vertical="center" wrapText="1"/>
      <protection locked="0"/>
    </xf>
    <xf numFmtId="0" fontId="48" fillId="0" borderId="3" xfId="2" applyFont="1" applyBorder="1" applyAlignment="1" applyProtection="1">
      <alignment horizontal="center" vertical="center" wrapText="1"/>
      <protection locked="0"/>
    </xf>
    <xf numFmtId="49" fontId="48" fillId="0" borderId="62" xfId="0" applyNumberFormat="1" applyFont="1" applyBorder="1" applyAlignment="1" applyProtection="1">
      <alignment horizontal="left" vertical="center" wrapText="1"/>
      <protection locked="0"/>
    </xf>
    <xf numFmtId="0" fontId="48" fillId="0" borderId="3" xfId="0" applyFont="1" applyBorder="1" applyAlignment="1" applyProtection="1">
      <alignment horizontal="center" vertical="center" wrapText="1"/>
      <protection locked="0"/>
    </xf>
    <xf numFmtId="0" fontId="47" fillId="0" borderId="3" xfId="0" applyFont="1" applyBorder="1" applyAlignment="1" applyProtection="1">
      <alignment horizontal="center" vertical="center" wrapText="1"/>
      <protection locked="0"/>
    </xf>
    <xf numFmtId="0" fontId="38" fillId="0" borderId="6" xfId="2" applyFont="1" applyBorder="1" applyAlignment="1" applyProtection="1">
      <alignment horizontal="center" vertical="center"/>
      <protection locked="0"/>
    </xf>
    <xf numFmtId="0" fontId="13" fillId="0" borderId="20" xfId="0" applyFont="1" applyBorder="1" applyAlignment="1" applyProtection="1">
      <alignment horizontal="left" vertical="center" wrapText="1"/>
      <protection locked="0"/>
    </xf>
    <xf numFmtId="0" fontId="15" fillId="0" borderId="3" xfId="14" applyFont="1" applyBorder="1" applyAlignment="1" applyProtection="1">
      <alignment horizontal="center" vertical="center" wrapText="1"/>
      <protection locked="0"/>
    </xf>
    <xf numFmtId="0" fontId="15" fillId="0" borderId="2" xfId="14" applyFont="1" applyBorder="1" applyAlignment="1" applyProtection="1">
      <alignment horizontal="center" vertical="center" wrapText="1"/>
      <protection locked="0"/>
    </xf>
    <xf numFmtId="0" fontId="13" fillId="0" borderId="62" xfId="2" applyFont="1" applyBorder="1" applyAlignment="1" applyProtection="1">
      <alignment horizontal="left" vertical="center" wrapText="1"/>
      <protection locked="0"/>
    </xf>
    <xf numFmtId="0" fontId="15" fillId="0" borderId="3" xfId="2" applyFont="1" applyBorder="1" applyAlignment="1" applyProtection="1">
      <alignment horizontal="center" vertical="center" wrapText="1"/>
      <protection locked="0"/>
    </xf>
    <xf numFmtId="0" fontId="13" fillId="0" borderId="1" xfId="0" applyFont="1" applyBorder="1" applyAlignment="1" applyProtection="1">
      <alignment vertical="center" wrapText="1"/>
      <protection locked="0"/>
    </xf>
    <xf numFmtId="0" fontId="13" fillId="0" borderId="3" xfId="14" applyFont="1" applyBorder="1" applyAlignment="1" applyProtection="1">
      <alignment horizontal="center" vertical="center" wrapText="1"/>
      <protection locked="0"/>
    </xf>
    <xf numFmtId="0" fontId="13" fillId="0" borderId="50" xfId="3" applyFont="1" applyBorder="1" applyAlignment="1" applyProtection="1">
      <alignment vertical="center" wrapText="1"/>
      <protection locked="0"/>
    </xf>
    <xf numFmtId="0" fontId="13" fillId="0" borderId="17" xfId="3" applyFont="1" applyBorder="1" applyAlignment="1" applyProtection="1">
      <alignment vertical="center" wrapText="1"/>
      <protection locked="0"/>
    </xf>
    <xf numFmtId="0" fontId="13" fillId="0" borderId="2" xfId="14" applyFont="1" applyBorder="1" applyAlignment="1" applyProtection="1">
      <alignment horizontal="center" vertical="center" wrapText="1"/>
      <protection locked="0"/>
    </xf>
    <xf numFmtId="9" fontId="28" fillId="0" borderId="0" xfId="11" applyFont="1" applyFill="1" applyAlignment="1" applyProtection="1">
      <alignment horizontal="center" vertical="center"/>
    </xf>
    <xf numFmtId="0" fontId="32" fillId="3" borderId="4" xfId="2" applyFont="1" applyFill="1" applyBorder="1" applyAlignment="1">
      <alignment horizontal="center" vertical="center" wrapText="1"/>
    </xf>
    <xf numFmtId="0" fontId="32" fillId="3" borderId="34" xfId="2" applyFont="1" applyFill="1" applyBorder="1" applyAlignment="1">
      <alignment horizontal="center" vertical="center" wrapText="1"/>
    </xf>
    <xf numFmtId="165" fontId="28" fillId="0" borderId="0" xfId="0" applyNumberFormat="1" applyFont="1" applyAlignment="1">
      <alignment horizontal="center" vertical="center"/>
    </xf>
    <xf numFmtId="165" fontId="28" fillId="0" borderId="0" xfId="0" applyNumberFormat="1" applyFont="1" applyAlignment="1" applyProtection="1">
      <alignment horizontal="center" vertical="center"/>
      <protection locked="0"/>
    </xf>
    <xf numFmtId="9" fontId="28" fillId="0" borderId="0" xfId="11" applyFont="1" applyFill="1" applyAlignment="1" applyProtection="1">
      <alignment horizontal="center" vertical="center"/>
      <protection locked="0"/>
    </xf>
    <xf numFmtId="0" fontId="28" fillId="0" borderId="0" xfId="0" applyFont="1" applyAlignment="1" applyProtection="1">
      <alignment horizontal="center" vertical="center"/>
      <protection locked="0"/>
    </xf>
    <xf numFmtId="165" fontId="28" fillId="0" borderId="0" xfId="0" applyNumberFormat="1" applyFont="1" applyAlignment="1">
      <alignment horizontal="center" vertical="center" wrapText="1"/>
    </xf>
    <xf numFmtId="165" fontId="28" fillId="0" borderId="0" xfId="0" applyNumberFormat="1" applyFont="1" applyAlignment="1" applyProtection="1">
      <alignment horizontal="center" vertical="center" wrapText="1"/>
      <protection locked="0"/>
    </xf>
    <xf numFmtId="165" fontId="28" fillId="0" borderId="0" xfId="0" applyNumberFormat="1" applyFont="1" applyAlignment="1">
      <alignment horizontal="right" vertical="center"/>
    </xf>
    <xf numFmtId="0" fontId="13" fillId="0" borderId="64" xfId="3" applyFont="1" applyBorder="1" applyAlignment="1" applyProtection="1">
      <alignment horizontal="left" vertical="center" wrapText="1"/>
      <protection locked="0"/>
    </xf>
    <xf numFmtId="0" fontId="53" fillId="4" borderId="17" xfId="3" applyFont="1" applyFill="1" applyBorder="1" applyAlignment="1" applyProtection="1">
      <alignment horizontal="left" vertical="center" wrapText="1"/>
      <protection locked="0"/>
    </xf>
    <xf numFmtId="9" fontId="56" fillId="0" borderId="0" xfId="11" applyFont="1" applyFill="1" applyAlignment="1" applyProtection="1">
      <alignment horizontal="center" vertical="center"/>
    </xf>
    <xf numFmtId="165" fontId="56" fillId="0" borderId="0" xfId="0" applyNumberFormat="1" applyFont="1" applyAlignment="1">
      <alignment horizontal="center" vertical="center"/>
    </xf>
    <xf numFmtId="0" fontId="53" fillId="4" borderId="7" xfId="2" applyFont="1" applyFill="1" applyBorder="1" applyAlignment="1" applyProtection="1">
      <alignment horizontal="center" vertical="center"/>
      <protection locked="0"/>
    </xf>
    <xf numFmtId="0" fontId="53" fillId="0" borderId="0" xfId="0" applyFont="1" applyAlignment="1" applyProtection="1">
      <alignment horizontal="center" vertical="center"/>
      <protection locked="0"/>
    </xf>
    <xf numFmtId="0" fontId="53" fillId="0" borderId="0" xfId="3" applyFont="1" applyProtection="1">
      <protection locked="0"/>
    </xf>
    <xf numFmtId="0" fontId="53" fillId="0" borderId="0" xfId="0" applyFont="1" applyProtection="1">
      <protection locked="0"/>
    </xf>
    <xf numFmtId="0" fontId="54" fillId="4" borderId="1" xfId="0" applyFont="1" applyFill="1" applyBorder="1" applyAlignment="1">
      <alignment horizontal="center" vertical="center" wrapText="1"/>
    </xf>
    <xf numFmtId="0" fontId="53" fillId="4" borderId="1" xfId="0" applyFont="1" applyFill="1" applyBorder="1" applyAlignment="1">
      <alignment horizontal="center" vertical="center" wrapText="1"/>
    </xf>
    <xf numFmtId="49" fontId="53" fillId="4" borderId="39" xfId="0" applyNumberFormat="1" applyFont="1" applyFill="1" applyBorder="1" applyAlignment="1">
      <alignment horizontal="left" vertical="center" wrapText="1"/>
    </xf>
    <xf numFmtId="0" fontId="53" fillId="4" borderId="3" xfId="2" applyFont="1" applyFill="1" applyBorder="1" applyAlignment="1">
      <alignment horizontal="center" vertical="center" wrapText="1"/>
    </xf>
    <xf numFmtId="0" fontId="53" fillId="4" borderId="14" xfId="3" applyFont="1" applyFill="1" applyBorder="1" applyAlignment="1">
      <alignment horizontal="left" vertical="center" wrapText="1"/>
    </xf>
    <xf numFmtId="0" fontId="53" fillId="4" borderId="17" xfId="3" applyFont="1" applyFill="1" applyBorder="1" applyAlignment="1">
      <alignment horizontal="left" vertical="center" wrapText="1"/>
    </xf>
    <xf numFmtId="0" fontId="53" fillId="4" borderId="37" xfId="3" applyFont="1" applyFill="1" applyBorder="1" applyAlignment="1" applyProtection="1">
      <alignment horizontal="left" vertical="center" wrapText="1"/>
      <protection locked="0"/>
    </xf>
    <xf numFmtId="0" fontId="53" fillId="4" borderId="1" xfId="2" applyFont="1" applyFill="1" applyBorder="1" applyAlignment="1">
      <alignment horizontal="center" vertical="center" wrapText="1"/>
    </xf>
    <xf numFmtId="0" fontId="54" fillId="0" borderId="3" xfId="14" applyFont="1" applyBorder="1" applyAlignment="1">
      <alignment horizontal="center" vertical="center" wrapText="1"/>
    </xf>
    <xf numFmtId="0" fontId="53" fillId="0" borderId="3" xfId="14" applyFont="1" applyBorder="1" applyAlignment="1">
      <alignment horizontal="center" vertical="center" wrapText="1"/>
    </xf>
    <xf numFmtId="49" fontId="53" fillId="0" borderId="39" xfId="0" applyNumberFormat="1" applyFont="1" applyBorder="1" applyAlignment="1">
      <alignment vertical="center" wrapText="1"/>
    </xf>
    <xf numFmtId="0" fontId="53" fillId="0" borderId="1" xfId="2" applyFont="1" applyBorder="1" applyAlignment="1">
      <alignment horizontal="center" vertical="center" wrapText="1"/>
    </xf>
    <xf numFmtId="0" fontId="53" fillId="0" borderId="1" xfId="3" applyFont="1" applyBorder="1" applyAlignment="1">
      <alignment horizontal="center" vertical="center" wrapText="1"/>
    </xf>
    <xf numFmtId="0" fontId="53" fillId="0" borderId="17" xfId="3" applyFont="1" applyBorder="1" applyAlignment="1">
      <alignment horizontal="left" vertical="center" wrapText="1"/>
    </xf>
    <xf numFmtId="0" fontId="53" fillId="0" borderId="17" xfId="3" applyFont="1" applyBorder="1" applyAlignment="1" applyProtection="1">
      <alignment horizontal="left" vertical="center" wrapText="1"/>
      <protection locked="0"/>
    </xf>
    <xf numFmtId="0" fontId="53" fillId="0" borderId="37" xfId="3" applyFont="1" applyBorder="1" applyAlignment="1" applyProtection="1">
      <alignment horizontal="left" vertical="center" wrapText="1"/>
      <protection locked="0"/>
    </xf>
    <xf numFmtId="0" fontId="53" fillId="0" borderId="1" xfId="3" applyFont="1" applyBorder="1" applyAlignment="1">
      <alignment horizontal="left" vertical="center" wrapText="1"/>
    </xf>
    <xf numFmtId="0" fontId="53" fillId="0" borderId="14" xfId="3" applyFont="1" applyBorder="1" applyAlignment="1" applyProtection="1">
      <alignment horizontal="left" vertical="center" wrapText="1"/>
      <protection locked="0"/>
    </xf>
    <xf numFmtId="0" fontId="54" fillId="4" borderId="3" xfId="14" applyFont="1" applyFill="1" applyBorder="1" applyAlignment="1">
      <alignment horizontal="center" vertical="center" wrapText="1"/>
    </xf>
    <xf numFmtId="0" fontId="53" fillId="4" borderId="3" xfId="14" applyFont="1" applyFill="1" applyBorder="1" applyAlignment="1">
      <alignment horizontal="center" vertical="center" wrapText="1"/>
    </xf>
    <xf numFmtId="0" fontId="53" fillId="4" borderId="1" xfId="3" applyFont="1" applyFill="1" applyBorder="1" applyAlignment="1">
      <alignment horizontal="center" vertical="center" wrapText="1"/>
    </xf>
    <xf numFmtId="0" fontId="53" fillId="4" borderId="17" xfId="0" applyFont="1" applyFill="1" applyBorder="1" applyAlignment="1" applyProtection="1">
      <alignment horizontal="left" vertical="center" wrapText="1"/>
      <protection locked="0"/>
    </xf>
    <xf numFmtId="0" fontId="53" fillId="4" borderId="1" xfId="3" applyFont="1" applyFill="1" applyBorder="1" applyAlignment="1">
      <alignment horizontal="left" vertical="center" wrapText="1"/>
    </xf>
    <xf numFmtId="0" fontId="53" fillId="4" borderId="14" xfId="3" applyFont="1" applyFill="1" applyBorder="1" applyAlignment="1" applyProtection="1">
      <alignment horizontal="left" vertical="center" wrapText="1"/>
      <protection locked="0"/>
    </xf>
    <xf numFmtId="0" fontId="9" fillId="0" borderId="50" xfId="2" applyFont="1" applyBorder="1" applyAlignment="1" applyProtection="1">
      <alignment horizontal="left" vertical="center" wrapText="1"/>
      <protection locked="0"/>
    </xf>
    <xf numFmtId="0" fontId="33" fillId="0" borderId="1" xfId="0" applyFont="1" applyBorder="1" applyAlignment="1">
      <alignment horizontal="center" vertical="center"/>
    </xf>
    <xf numFmtId="0" fontId="12" fillId="0" borderId="1" xfId="0" applyFont="1" applyBorder="1" applyAlignment="1">
      <alignment horizontal="center"/>
    </xf>
    <xf numFmtId="0" fontId="12" fillId="0" borderId="25" xfId="0" applyFont="1" applyBorder="1"/>
    <xf numFmtId="0" fontId="33" fillId="0" borderId="1" xfId="0" applyFont="1" applyBorder="1" applyAlignment="1">
      <alignment horizontal="center" vertical="center" wrapText="1"/>
    </xf>
    <xf numFmtId="0" fontId="12" fillId="0" borderId="26" xfId="0" applyFont="1" applyBorder="1"/>
    <xf numFmtId="0" fontId="12" fillId="0" borderId="22" xfId="0" applyFont="1" applyBorder="1"/>
    <xf numFmtId="0" fontId="28" fillId="0" borderId="58" xfId="12" applyFont="1" applyBorder="1" applyAlignment="1">
      <alignment vertical="center" wrapText="1"/>
    </xf>
    <xf numFmtId="0" fontId="27" fillId="0" borderId="8" xfId="12" applyFont="1" applyBorder="1" applyAlignment="1">
      <alignment horizontal="left" vertical="center"/>
    </xf>
    <xf numFmtId="0" fontId="28" fillId="0" borderId="42" xfId="10" applyFont="1" applyBorder="1" applyAlignment="1">
      <alignment vertical="center" wrapText="1"/>
    </xf>
    <xf numFmtId="4" fontId="28" fillId="0" borderId="41" xfId="12" applyNumberFormat="1" applyFont="1" applyBorder="1" applyAlignment="1">
      <alignment horizontal="center" vertical="center" wrapText="1"/>
    </xf>
    <xf numFmtId="0" fontId="28" fillId="0" borderId="42" xfId="12" applyFont="1" applyBorder="1" applyAlignment="1">
      <alignment vertical="center" wrapText="1"/>
    </xf>
    <xf numFmtId="0" fontId="13" fillId="4" borderId="8" xfId="2" applyFont="1" applyFill="1" applyBorder="1" applyAlignment="1" applyProtection="1">
      <alignment horizontal="center" vertical="center"/>
      <protection locked="0"/>
    </xf>
    <xf numFmtId="0" fontId="28" fillId="0" borderId="0" xfId="0" applyFont="1" applyAlignment="1" applyProtection="1">
      <alignment horizontal="right" vertical="center"/>
      <protection locked="0"/>
    </xf>
    <xf numFmtId="9" fontId="28" fillId="0" borderId="0" xfId="11" applyFont="1" applyFill="1" applyBorder="1" applyAlignment="1" applyProtection="1">
      <alignment horizontal="right" vertical="center"/>
      <protection locked="0"/>
    </xf>
    <xf numFmtId="9" fontId="32" fillId="0" borderId="33" xfId="11" applyFont="1" applyFill="1" applyBorder="1" applyAlignment="1" applyProtection="1">
      <alignment horizontal="right" vertical="center"/>
      <protection locked="0"/>
    </xf>
    <xf numFmtId="0" fontId="32" fillId="0" borderId="33" xfId="0" applyFont="1" applyBorder="1" applyAlignment="1" applyProtection="1">
      <alignment horizontal="right" vertical="center"/>
      <protection locked="0"/>
    </xf>
    <xf numFmtId="9" fontId="32" fillId="0" borderId="67" xfId="11" applyFont="1" applyFill="1" applyBorder="1" applyAlignment="1" applyProtection="1">
      <alignment horizontal="right" vertical="center"/>
      <protection locked="0"/>
    </xf>
    <xf numFmtId="0" fontId="32" fillId="0" borderId="67" xfId="0" applyFont="1" applyBorder="1" applyAlignment="1" applyProtection="1">
      <alignment horizontal="right" vertical="center"/>
      <protection locked="0"/>
    </xf>
    <xf numFmtId="0" fontId="15" fillId="0" borderId="67" xfId="0" applyFont="1" applyBorder="1" applyProtection="1">
      <protection locked="0"/>
    </xf>
    <xf numFmtId="0" fontId="15" fillId="0" borderId="68" xfId="0" applyFont="1" applyBorder="1" applyAlignment="1" applyProtection="1">
      <alignment wrapText="1"/>
      <protection locked="0"/>
    </xf>
    <xf numFmtId="165" fontId="28" fillId="0" borderId="0" xfId="0" applyNumberFormat="1" applyFont="1" applyAlignment="1" applyProtection="1">
      <alignment horizontal="right" vertical="center"/>
      <protection locked="0"/>
    </xf>
    <xf numFmtId="0" fontId="13" fillId="0" borderId="5" xfId="2" applyFont="1" applyBorder="1" applyAlignment="1" applyProtection="1">
      <alignment horizontal="center" vertical="center"/>
      <protection locked="0"/>
    </xf>
    <xf numFmtId="0" fontId="13" fillId="0" borderId="6" xfId="2" applyFont="1" applyBorder="1" applyAlignment="1" applyProtection="1">
      <alignment horizontal="center" vertical="center" wrapText="1"/>
      <protection locked="0"/>
    </xf>
    <xf numFmtId="0" fontId="53" fillId="4" borderId="8" xfId="2" applyFont="1" applyFill="1" applyBorder="1" applyAlignment="1" applyProtection="1">
      <alignment horizontal="center" vertical="center"/>
      <protection locked="0"/>
    </xf>
    <xf numFmtId="0" fontId="13" fillId="0" borderId="7" xfId="2" applyFont="1" applyBorder="1" applyAlignment="1" applyProtection="1">
      <alignment horizontal="center" vertical="center" wrapText="1"/>
      <protection locked="0"/>
    </xf>
    <xf numFmtId="0" fontId="13" fillId="0" borderId="19" xfId="2" applyFont="1" applyBorder="1" applyAlignment="1" applyProtection="1">
      <alignment horizontal="center" vertical="center"/>
      <protection locked="0"/>
    </xf>
    <xf numFmtId="0" fontId="15" fillId="0" borderId="0" xfId="3" applyFont="1" applyProtection="1">
      <protection locked="0"/>
    </xf>
    <xf numFmtId="0" fontId="22" fillId="0" borderId="51" xfId="3" applyFont="1" applyBorder="1" applyAlignment="1" applyProtection="1">
      <alignment horizontal="center" vertical="center" wrapText="1"/>
      <protection locked="0"/>
    </xf>
    <xf numFmtId="0" fontId="53" fillId="0" borderId="7" xfId="2" applyFont="1" applyBorder="1" applyAlignment="1" applyProtection="1">
      <alignment horizontal="center" vertical="center"/>
      <protection locked="0"/>
    </xf>
    <xf numFmtId="0" fontId="13" fillId="0" borderId="44" xfId="2" applyFont="1" applyBorder="1" applyAlignment="1" applyProtection="1">
      <alignment horizontal="center" vertical="center"/>
      <protection locked="0"/>
    </xf>
    <xf numFmtId="0" fontId="13" fillId="0" borderId="9" xfId="2" applyFont="1" applyBorder="1" applyAlignment="1" applyProtection="1">
      <alignment horizontal="center" vertical="center"/>
      <protection locked="0"/>
    </xf>
    <xf numFmtId="0" fontId="15" fillId="3" borderId="28" xfId="0" applyFont="1" applyFill="1" applyBorder="1" applyAlignment="1" applyProtection="1">
      <alignment horizontal="center" vertical="center" wrapText="1"/>
      <protection locked="0"/>
    </xf>
    <xf numFmtId="0" fontId="22" fillId="6" borderId="2" xfId="3" applyFont="1" applyFill="1" applyBorder="1" applyAlignment="1" applyProtection="1">
      <alignment vertical="center" wrapText="1"/>
      <protection locked="0"/>
    </xf>
    <xf numFmtId="0" fontId="22" fillId="6" borderId="15" xfId="3" applyFont="1" applyFill="1" applyBorder="1" applyAlignment="1" applyProtection="1">
      <alignment vertical="center" wrapText="1"/>
      <protection locked="0"/>
    </xf>
    <xf numFmtId="0" fontId="15" fillId="6" borderId="3" xfId="0" applyFont="1" applyFill="1" applyBorder="1" applyAlignment="1" applyProtection="1">
      <alignment horizontal="center" vertical="center" wrapText="1"/>
      <protection locked="0"/>
    </xf>
    <xf numFmtId="0" fontId="13" fillId="6" borderId="1" xfId="3" applyFont="1" applyFill="1" applyBorder="1" applyProtection="1">
      <protection locked="0"/>
    </xf>
    <xf numFmtId="0" fontId="13" fillId="6" borderId="14" xfId="3" applyFont="1" applyFill="1" applyBorder="1" applyProtection="1">
      <protection locked="0"/>
    </xf>
    <xf numFmtId="0" fontId="22" fillId="6" borderId="1" xfId="3" applyFont="1" applyFill="1" applyBorder="1" applyAlignment="1" applyProtection="1">
      <alignment vertical="center" wrapText="1"/>
      <protection locked="0"/>
    </xf>
    <xf numFmtId="0" fontId="22" fillId="6" borderId="14" xfId="3" applyFont="1" applyFill="1" applyBorder="1" applyAlignment="1" applyProtection="1">
      <alignment vertical="center" wrapText="1"/>
      <protection locked="0"/>
    </xf>
    <xf numFmtId="0" fontId="20" fillId="0" borderId="51" xfId="3" applyFont="1" applyBorder="1" applyAlignment="1" applyProtection="1">
      <alignment horizontal="center" vertical="center" wrapText="1"/>
      <protection locked="0"/>
    </xf>
    <xf numFmtId="0" fontId="15" fillId="0" borderId="1" xfId="7" applyFont="1" applyFill="1" applyBorder="1" applyAlignment="1" applyProtection="1">
      <alignment horizontal="center" vertical="center"/>
    </xf>
    <xf numFmtId="2" fontId="28" fillId="0" borderId="53" xfId="10" applyNumberFormat="1" applyFont="1" applyBorder="1" applyAlignment="1">
      <alignment horizontal="center" vertical="center" wrapText="1"/>
    </xf>
    <xf numFmtId="0" fontId="29" fillId="0" borderId="57" xfId="10" applyFont="1" applyBorder="1" applyAlignment="1">
      <alignment vertical="center"/>
    </xf>
    <xf numFmtId="0" fontId="13" fillId="0" borderId="6" xfId="2" applyFont="1" applyBorder="1" applyAlignment="1">
      <alignment horizontal="center" vertical="center"/>
    </xf>
    <xf numFmtId="0" fontId="31" fillId="0" borderId="1" xfId="2" applyFont="1" applyBorder="1" applyAlignment="1">
      <alignment horizontal="center" vertical="center" wrapText="1"/>
    </xf>
    <xf numFmtId="0" fontId="13" fillId="0" borderId="69" xfId="0" applyFont="1" applyBorder="1" applyAlignment="1" applyProtection="1">
      <alignment horizontal="left" vertical="center" wrapText="1"/>
      <protection locked="0"/>
    </xf>
    <xf numFmtId="0" fontId="13" fillId="6" borderId="69" xfId="3" applyFont="1" applyFill="1" applyBorder="1" applyAlignment="1" applyProtection="1">
      <alignment horizontal="left" vertical="center" wrapText="1"/>
      <protection locked="0"/>
    </xf>
    <xf numFmtId="0" fontId="16" fillId="6" borderId="19" xfId="2" applyFont="1" applyFill="1" applyBorder="1" applyAlignment="1" applyProtection="1">
      <alignment horizontal="center" vertical="center"/>
      <protection locked="0"/>
    </xf>
    <xf numFmtId="0" fontId="13" fillId="13" borderId="17" xfId="0" applyFont="1" applyFill="1" applyBorder="1" applyAlignment="1" applyProtection="1">
      <alignment horizontal="left" vertical="center" wrapText="1"/>
      <protection locked="0"/>
    </xf>
    <xf numFmtId="0" fontId="13" fillId="6" borderId="17" xfId="0" applyFont="1" applyFill="1" applyBorder="1" applyAlignment="1" applyProtection="1">
      <alignment horizontal="left" vertical="center" wrapText="1"/>
      <protection locked="0"/>
    </xf>
    <xf numFmtId="0" fontId="16" fillId="6" borderId="69" xfId="3" applyFont="1" applyFill="1" applyBorder="1" applyAlignment="1" applyProtection="1">
      <alignment horizontal="left" vertical="center" wrapText="1"/>
      <protection locked="0"/>
    </xf>
    <xf numFmtId="49" fontId="48" fillId="0" borderId="39" xfId="0" applyNumberFormat="1" applyFont="1" applyBorder="1" applyAlignment="1">
      <alignment vertical="center" wrapText="1"/>
    </xf>
    <xf numFmtId="9" fontId="64" fillId="0" borderId="0" xfId="11" applyFont="1" applyFill="1" applyAlignment="1" applyProtection="1">
      <alignment horizontal="center" vertical="center"/>
      <protection locked="0"/>
    </xf>
    <xf numFmtId="0" fontId="59" fillId="0" borderId="7" xfId="2" applyFont="1" applyBorder="1" applyAlignment="1" applyProtection="1">
      <alignment horizontal="center" vertical="center"/>
      <protection locked="0"/>
    </xf>
    <xf numFmtId="0" fontId="59" fillId="0" borderId="17" xfId="2" applyFont="1" applyBorder="1" applyAlignment="1" applyProtection="1">
      <alignment horizontal="center" vertical="center"/>
      <protection locked="0"/>
    </xf>
    <xf numFmtId="0" fontId="59" fillId="0" borderId="51" xfId="3" applyFont="1" applyBorder="1" applyAlignment="1" applyProtection="1">
      <alignment horizontal="left" vertical="center" wrapText="1"/>
      <protection locked="0"/>
    </xf>
    <xf numFmtId="0" fontId="59" fillId="0" borderId="0" xfId="0" applyFont="1" applyAlignment="1" applyProtection="1">
      <alignment horizontal="center" vertical="center"/>
      <protection locked="0"/>
    </xf>
    <xf numFmtId="0" fontId="59" fillId="0" borderId="0" xfId="3" applyFont="1" applyProtection="1">
      <protection locked="0"/>
    </xf>
    <xf numFmtId="0" fontId="59" fillId="0" borderId="0" xfId="0" applyFont="1" applyProtection="1">
      <protection locked="0"/>
    </xf>
    <xf numFmtId="0" fontId="21" fillId="0" borderId="1" xfId="3" applyFont="1" applyBorder="1" applyAlignment="1" applyProtection="1">
      <alignment vertical="center" wrapText="1"/>
      <protection locked="0"/>
    </xf>
    <xf numFmtId="0" fontId="20" fillId="6" borderId="14" xfId="0" applyFont="1" applyFill="1" applyBorder="1" applyAlignment="1" applyProtection="1">
      <alignment horizontal="left" vertical="center" wrapText="1"/>
      <protection locked="0"/>
    </xf>
    <xf numFmtId="0" fontId="16" fillId="6" borderId="14" xfId="3" applyFont="1" applyFill="1" applyBorder="1" applyAlignment="1" applyProtection="1">
      <alignment horizontal="left" vertical="center" wrapText="1"/>
      <protection locked="0"/>
    </xf>
    <xf numFmtId="0" fontId="15" fillId="6" borderId="3" xfId="14" applyFont="1" applyFill="1" applyBorder="1" applyAlignment="1" applyProtection="1">
      <alignment horizontal="center" vertical="center" wrapText="1"/>
      <protection locked="0"/>
    </xf>
    <xf numFmtId="0" fontId="13" fillId="6" borderId="3" xfId="14" applyFont="1" applyFill="1" applyBorder="1" applyAlignment="1" applyProtection="1">
      <alignment horizontal="center" vertical="center" wrapText="1"/>
      <protection locked="0"/>
    </xf>
    <xf numFmtId="0" fontId="60" fillId="6" borderId="14" xfId="3" applyFont="1" applyFill="1" applyBorder="1" applyAlignment="1" applyProtection="1">
      <alignment horizontal="left" vertical="center" wrapText="1"/>
      <protection locked="0"/>
    </xf>
    <xf numFmtId="0" fontId="24" fillId="13" borderId="14" xfId="0" applyFont="1" applyFill="1" applyBorder="1" applyAlignment="1" applyProtection="1">
      <alignment horizontal="left" vertical="center" wrapText="1"/>
      <protection locked="0"/>
    </xf>
    <xf numFmtId="0" fontId="20" fillId="13" borderId="14" xfId="0" applyFont="1" applyFill="1" applyBorder="1" applyAlignment="1" applyProtection="1">
      <alignment horizontal="left" vertical="center" wrapText="1"/>
      <protection locked="0"/>
    </xf>
    <xf numFmtId="0" fontId="31" fillId="0" borderId="3" xfId="0" applyFont="1" applyBorder="1" applyAlignment="1">
      <alignment horizontal="center" vertical="center" wrapText="1"/>
    </xf>
    <xf numFmtId="0" fontId="12" fillId="0" borderId="1" xfId="3" applyFont="1" applyBorder="1" applyAlignment="1">
      <alignment vertical="top" wrapText="1"/>
    </xf>
    <xf numFmtId="0" fontId="59" fillId="6" borderId="1" xfId="2" applyFont="1" applyFill="1" applyBorder="1" applyAlignment="1" applyProtection="1">
      <alignment horizontal="center" vertical="center" wrapText="1"/>
      <protection locked="0"/>
    </xf>
    <xf numFmtId="0" fontId="13" fillId="6" borderId="14" xfId="2" applyFont="1" applyFill="1" applyBorder="1" applyAlignment="1" applyProtection="1">
      <alignment horizontal="left" vertical="center" wrapText="1"/>
      <protection locked="0"/>
    </xf>
    <xf numFmtId="0" fontId="13" fillId="13" borderId="3" xfId="0" applyFont="1" applyFill="1" applyBorder="1" applyAlignment="1" applyProtection="1">
      <alignment horizontal="center" vertical="center" wrapText="1"/>
      <protection locked="0"/>
    </xf>
    <xf numFmtId="0" fontId="13" fillId="6" borderId="50" xfId="3" applyFont="1" applyFill="1" applyBorder="1" applyAlignment="1" applyProtection="1">
      <alignment horizontal="left" vertical="center" wrapText="1"/>
      <protection locked="0"/>
    </xf>
    <xf numFmtId="0" fontId="22" fillId="9" borderId="36" xfId="3" applyFont="1" applyFill="1" applyBorder="1" applyAlignment="1" applyProtection="1">
      <alignment horizontal="left" vertical="center" wrapText="1"/>
      <protection locked="0"/>
    </xf>
    <xf numFmtId="49" fontId="48" fillId="0" borderId="39" xfId="0" applyNumberFormat="1" applyFont="1" applyBorder="1" applyAlignment="1">
      <alignment horizontal="left" vertical="center" wrapText="1"/>
    </xf>
    <xf numFmtId="0" fontId="13" fillId="6" borderId="2" xfId="0" applyFont="1" applyFill="1" applyBorder="1" applyAlignment="1" applyProtection="1">
      <alignment horizontal="center" vertical="center" wrapText="1"/>
      <protection locked="0"/>
    </xf>
    <xf numFmtId="0" fontId="12" fillId="0" borderId="50" xfId="2" applyFont="1" applyBorder="1" applyAlignment="1">
      <alignment horizontal="left" vertical="center" wrapText="1"/>
    </xf>
    <xf numFmtId="0" fontId="13" fillId="0" borderId="69" xfId="3" applyFont="1" applyBorder="1" applyAlignment="1" applyProtection="1">
      <alignment horizontal="center" vertical="center" wrapText="1"/>
      <protection locked="0"/>
    </xf>
    <xf numFmtId="9" fontId="28" fillId="0" borderId="0" xfId="11" applyFont="1" applyFill="1" applyAlignment="1" applyProtection="1">
      <alignment horizontal="center" vertical="center" wrapText="1"/>
    </xf>
    <xf numFmtId="0" fontId="22" fillId="0" borderId="37" xfId="3" applyFont="1" applyBorder="1" applyAlignment="1" applyProtection="1">
      <alignment horizontal="left" vertical="center" wrapText="1"/>
      <protection locked="0"/>
    </xf>
    <xf numFmtId="0" fontId="23" fillId="0" borderId="17" xfId="3" applyFont="1" applyBorder="1" applyAlignment="1">
      <alignment horizontal="center" vertical="center" wrapText="1"/>
    </xf>
    <xf numFmtId="0" fontId="66" fillId="0" borderId="3" xfId="2" applyFont="1" applyBorder="1" applyAlignment="1">
      <alignment horizontal="center" vertical="center"/>
    </xf>
    <xf numFmtId="0" fontId="59" fillId="0" borderId="3" xfId="2" applyFont="1" applyBorder="1" applyAlignment="1">
      <alignment horizontal="center" vertical="center"/>
    </xf>
    <xf numFmtId="0" fontId="59" fillId="0" borderId="50" xfId="0" applyFont="1" applyBorder="1" applyAlignment="1">
      <alignment wrapText="1"/>
    </xf>
    <xf numFmtId="0" fontId="59" fillId="0" borderId="17" xfId="2" applyFont="1" applyBorder="1" applyAlignment="1">
      <alignment horizontal="left" vertical="center" wrapText="1"/>
    </xf>
    <xf numFmtId="0" fontId="63" fillId="0" borderId="17" xfId="3" applyFont="1" applyBorder="1" applyAlignment="1">
      <alignment horizontal="left" vertical="center" wrapText="1"/>
    </xf>
    <xf numFmtId="0" fontId="13" fillId="0" borderId="2" xfId="0" applyFont="1" applyBorder="1" applyAlignment="1">
      <alignment horizontal="left" vertical="center" wrapText="1"/>
    </xf>
    <xf numFmtId="0" fontId="21" fillId="0" borderId="14" xfId="3" applyFont="1" applyBorder="1" applyAlignment="1">
      <alignment horizontal="left" vertical="center" wrapText="1"/>
    </xf>
    <xf numFmtId="0" fontId="13" fillId="0" borderId="2" xfId="3" applyFont="1" applyBorder="1" applyAlignment="1">
      <alignment horizontal="center" vertical="center" wrapText="1"/>
    </xf>
    <xf numFmtId="0" fontId="13" fillId="0" borderId="15" xfId="3" applyFont="1" applyBorder="1" applyAlignment="1">
      <alignment horizontal="left" vertical="center" wrapText="1"/>
    </xf>
    <xf numFmtId="0" fontId="58" fillId="13" borderId="1" xfId="0" applyFont="1" applyFill="1" applyBorder="1" applyAlignment="1" applyProtection="1">
      <alignment horizontal="center" vertical="center"/>
      <protection locked="0"/>
    </xf>
    <xf numFmtId="0" fontId="69" fillId="13" borderId="1" xfId="0" applyFont="1" applyFill="1" applyBorder="1" applyAlignment="1" applyProtection="1">
      <alignment horizontal="center" vertical="center"/>
      <protection locked="0"/>
    </xf>
    <xf numFmtId="0" fontId="0" fillId="6" borderId="50" xfId="2" applyFont="1" applyFill="1" applyBorder="1" applyAlignment="1" applyProtection="1">
      <alignment horizontal="left" vertical="center" wrapText="1"/>
      <protection locked="0"/>
    </xf>
    <xf numFmtId="0" fontId="13" fillId="0" borderId="50" xfId="3" applyFont="1" applyBorder="1" applyAlignment="1">
      <alignment horizontal="left" vertical="center" wrapText="1"/>
    </xf>
    <xf numFmtId="0" fontId="15" fillId="0" borderId="3" xfId="2" applyFont="1" applyBorder="1" applyAlignment="1">
      <alignment horizontal="center" vertical="center" wrapText="1"/>
    </xf>
    <xf numFmtId="0" fontId="17" fillId="0" borderId="1" xfId="3" applyFont="1" applyBorder="1" applyAlignment="1">
      <alignment horizontal="left" vertical="center" wrapText="1"/>
    </xf>
    <xf numFmtId="0" fontId="34" fillId="0" borderId="50" xfId="0" applyFont="1" applyBorder="1" applyAlignment="1">
      <alignment horizontal="center" vertical="center"/>
    </xf>
    <xf numFmtId="0" fontId="13" fillId="0" borderId="50" xfId="0" applyFont="1" applyBorder="1" applyAlignment="1">
      <alignment horizontal="center" vertical="center" wrapText="1"/>
    </xf>
    <xf numFmtId="0" fontId="15" fillId="0" borderId="1" xfId="0" applyFont="1" applyBorder="1" applyAlignment="1">
      <alignment horizontal="center" vertical="center"/>
    </xf>
    <xf numFmtId="0" fontId="13" fillId="0" borderId="1" xfId="0" applyFont="1" applyBorder="1" applyAlignment="1">
      <alignment horizontal="center" vertical="center"/>
    </xf>
    <xf numFmtId="0" fontId="13" fillId="0" borderId="14" xfId="0" applyFont="1" applyBorder="1" applyAlignment="1">
      <alignment vertical="center"/>
    </xf>
    <xf numFmtId="0" fontId="17" fillId="0" borderId="14" xfId="3" applyFont="1" applyBorder="1" applyAlignment="1">
      <alignment horizontal="left" vertical="center" wrapText="1"/>
    </xf>
    <xf numFmtId="0" fontId="13" fillId="0" borderId="15" xfId="0" applyFont="1" applyBorder="1" applyAlignment="1">
      <alignment horizontal="left" vertical="center" wrapText="1"/>
    </xf>
    <xf numFmtId="0" fontId="16" fillId="0" borderId="50" xfId="3" applyFont="1" applyBorder="1" applyAlignment="1">
      <alignment horizontal="left" vertical="center" wrapText="1"/>
    </xf>
    <xf numFmtId="0" fontId="13" fillId="0" borderId="2" xfId="0" applyFont="1" applyBorder="1" applyAlignment="1">
      <alignment horizontal="center" vertical="center" wrapText="1"/>
    </xf>
    <xf numFmtId="0" fontId="15" fillId="0" borderId="50" xfId="0" applyFont="1" applyBorder="1" applyAlignment="1">
      <alignment horizontal="center" vertical="center"/>
    </xf>
    <xf numFmtId="0" fontId="13" fillId="0" borderId="50" xfId="0" applyFont="1" applyBorder="1" applyAlignment="1">
      <alignment horizontal="center" vertical="center"/>
    </xf>
    <xf numFmtId="0" fontId="59" fillId="0" borderId="2" xfId="2" applyFont="1" applyBorder="1" applyAlignment="1">
      <alignment horizontal="center" vertical="center" wrapText="1"/>
    </xf>
    <xf numFmtId="0" fontId="13" fillId="0" borderId="0" xfId="3" applyFont="1"/>
    <xf numFmtId="0" fontId="13" fillId="6" borderId="50" xfId="0" applyFont="1" applyFill="1" applyBorder="1" applyAlignment="1" applyProtection="1">
      <alignment horizontal="center" vertical="center" wrapText="1"/>
      <protection locked="0"/>
    </xf>
    <xf numFmtId="0" fontId="59" fillId="6" borderId="2" xfId="2" applyFont="1" applyFill="1" applyBorder="1" applyAlignment="1" applyProtection="1">
      <alignment horizontal="center" vertical="center" wrapText="1"/>
      <protection locked="0"/>
    </xf>
    <xf numFmtId="0" fontId="15" fillId="0" borderId="0" xfId="3" applyFont="1" applyAlignment="1">
      <alignment horizontal="center" vertical="center"/>
    </xf>
    <xf numFmtId="0" fontId="54" fillId="0" borderId="0" xfId="3" applyFont="1" applyAlignment="1">
      <alignment horizontal="center" vertical="center" wrapText="1"/>
    </xf>
    <xf numFmtId="0" fontId="13" fillId="0" borderId="0" xfId="0" applyFont="1" applyAlignment="1">
      <alignment horizontal="center" vertical="center"/>
    </xf>
    <xf numFmtId="0" fontId="13" fillId="0" borderId="0" xfId="0" applyFont="1"/>
    <xf numFmtId="0" fontId="15" fillId="0" borderId="0" xfId="3" applyFont="1" applyAlignment="1">
      <alignment horizontal="center" vertical="center" wrapText="1"/>
    </xf>
    <xf numFmtId="0" fontId="66" fillId="0" borderId="0" xfId="3" applyFont="1" applyAlignment="1">
      <alignment horizontal="center" vertical="center"/>
    </xf>
    <xf numFmtId="0" fontId="15" fillId="0" borderId="0" xfId="0" applyFont="1" applyAlignment="1">
      <alignment horizontal="center" vertical="center"/>
    </xf>
    <xf numFmtId="2" fontId="13" fillId="0" borderId="0" xfId="0" applyNumberFormat="1" applyFont="1" applyProtection="1">
      <protection locked="0"/>
    </xf>
    <xf numFmtId="2" fontId="32" fillId="0" borderId="34" xfId="0" applyNumberFormat="1" applyFont="1" applyBorder="1" applyAlignment="1" applyProtection="1">
      <alignment horizontal="right" vertical="center"/>
      <protection locked="0"/>
    </xf>
    <xf numFmtId="2" fontId="32" fillId="0" borderId="66" xfId="0" applyNumberFormat="1" applyFont="1" applyBorder="1" applyAlignment="1" applyProtection="1">
      <alignment horizontal="right" vertical="center"/>
      <protection locked="0"/>
    </xf>
    <xf numFmtId="2" fontId="32" fillId="0" borderId="11" xfId="0" applyNumberFormat="1" applyFont="1" applyBorder="1" applyAlignment="1" applyProtection="1">
      <alignment horizontal="right" vertical="center"/>
      <protection locked="0"/>
    </xf>
    <xf numFmtId="165" fontId="56" fillId="0" borderId="0" xfId="0" applyNumberFormat="1" applyFont="1" applyAlignment="1">
      <alignment horizontal="center" vertical="center" wrapText="1"/>
    </xf>
    <xf numFmtId="165" fontId="64" fillId="0" borderId="0" xfId="0" applyNumberFormat="1" applyFont="1" applyAlignment="1">
      <alignment horizontal="center" vertical="center"/>
    </xf>
    <xf numFmtId="0" fontId="13" fillId="0" borderId="17" xfId="0" applyFont="1" applyBorder="1" applyAlignment="1">
      <alignment horizontal="center" vertical="center" wrapText="1"/>
    </xf>
    <xf numFmtId="0" fontId="51" fillId="0" borderId="14" xfId="3" applyFont="1" applyBorder="1" applyAlignment="1">
      <alignment horizontal="left" vertical="center" wrapText="1"/>
    </xf>
    <xf numFmtId="0" fontId="0" fillId="0" borderId="50" xfId="3" applyFont="1" applyBorder="1" applyAlignment="1">
      <alignment horizontal="left" vertical="center" wrapText="1"/>
    </xf>
    <xf numFmtId="0" fontId="13" fillId="9" borderId="17" xfId="0" applyFont="1" applyFill="1" applyBorder="1" applyAlignment="1" applyProtection="1">
      <alignment horizontal="left" vertical="center" wrapText="1"/>
      <protection locked="0"/>
    </xf>
    <xf numFmtId="0" fontId="60" fillId="6" borderId="3" xfId="2" applyFont="1" applyFill="1" applyBorder="1" applyAlignment="1" applyProtection="1">
      <alignment horizontal="center" vertical="center" wrapText="1"/>
      <protection locked="0"/>
    </xf>
    <xf numFmtId="0" fontId="48" fillId="0" borderId="17" xfId="3" applyFont="1" applyBorder="1" applyAlignment="1">
      <alignment horizontal="left" vertical="center" wrapText="1"/>
    </xf>
    <xf numFmtId="0" fontId="48" fillId="0" borderId="1" xfId="3" applyFont="1" applyBorder="1" applyAlignment="1">
      <alignment horizontal="left" vertical="center" wrapText="1"/>
    </xf>
    <xf numFmtId="0" fontId="48" fillId="0" borderId="17" xfId="0" applyFont="1" applyBorder="1" applyAlignment="1">
      <alignment horizontal="left" vertical="center" wrapText="1"/>
    </xf>
    <xf numFmtId="0" fontId="48" fillId="0" borderId="1" xfId="2" applyFont="1" applyBorder="1" applyAlignment="1">
      <alignment horizontal="center" vertical="center" wrapText="1"/>
    </xf>
    <xf numFmtId="0" fontId="13" fillId="0" borderId="20" xfId="0" applyFont="1" applyBorder="1" applyAlignment="1">
      <alignment horizontal="left" vertical="center" wrapText="1"/>
    </xf>
    <xf numFmtId="0" fontId="13" fillId="9" borderId="69" xfId="3" applyFont="1" applyFill="1" applyBorder="1" applyAlignment="1" applyProtection="1">
      <alignment horizontal="left" vertical="center" wrapText="1"/>
      <protection locked="0"/>
    </xf>
    <xf numFmtId="0" fontId="13" fillId="9" borderId="51" xfId="3" applyFont="1" applyFill="1" applyBorder="1" applyAlignment="1" applyProtection="1">
      <alignment horizontal="left" vertical="center" wrapText="1"/>
      <protection locked="0"/>
    </xf>
    <xf numFmtId="0" fontId="25" fillId="0" borderId="37" xfId="3" applyFont="1" applyBorder="1" applyAlignment="1" applyProtection="1">
      <alignment horizontal="left" vertical="center" wrapText="1"/>
      <protection locked="0"/>
    </xf>
    <xf numFmtId="0" fontId="13" fillId="0" borderId="50" xfId="0" applyFont="1" applyBorder="1" applyAlignment="1">
      <alignment vertical="center" wrapText="1"/>
    </xf>
    <xf numFmtId="0" fontId="13" fillId="0" borderId="50" xfId="3" applyFont="1" applyBorder="1" applyAlignment="1">
      <alignment vertical="center" wrapText="1"/>
    </xf>
    <xf numFmtId="0" fontId="59" fillId="0" borderId="3" xfId="2" applyFont="1" applyBorder="1" applyAlignment="1">
      <alignment horizontal="center" vertical="center" wrapText="1"/>
    </xf>
    <xf numFmtId="0" fontId="13" fillId="0" borderId="61" xfId="3" applyFont="1" applyBorder="1" applyAlignment="1">
      <alignment horizontal="left" vertical="center" wrapText="1"/>
    </xf>
    <xf numFmtId="49" fontId="73" fillId="0" borderId="39" xfId="0" applyNumberFormat="1" applyFont="1" applyBorder="1" applyAlignment="1">
      <alignment vertical="center" wrapText="1"/>
    </xf>
    <xf numFmtId="0" fontId="75" fillId="6" borderId="1" xfId="3" applyFont="1" applyFill="1" applyBorder="1" applyAlignment="1" applyProtection="1">
      <alignment vertical="center" wrapText="1"/>
      <protection locked="0"/>
    </xf>
    <xf numFmtId="0" fontId="76" fillId="0" borderId="3" xfId="14" applyFont="1" applyBorder="1" applyAlignment="1">
      <alignment horizontal="center" vertical="center" wrapText="1"/>
    </xf>
    <xf numFmtId="0" fontId="16" fillId="0" borderId="1" xfId="2" applyFont="1" applyBorder="1" applyAlignment="1">
      <alignment horizontal="center" vertical="center" wrapText="1"/>
    </xf>
    <xf numFmtId="0" fontId="16" fillId="0" borderId="17" xfId="3" applyFont="1" applyBorder="1" applyAlignment="1">
      <alignment horizontal="center" vertical="center" wrapText="1"/>
    </xf>
    <xf numFmtId="9" fontId="77" fillId="0" borderId="0" xfId="11" applyFont="1" applyFill="1" applyAlignment="1" applyProtection="1">
      <alignment horizontal="center" vertical="center"/>
    </xf>
    <xf numFmtId="0" fontId="16" fillId="0" borderId="0" xfId="0" applyFont="1" applyAlignment="1" applyProtection="1">
      <alignment horizontal="center" vertical="center"/>
      <protection locked="0"/>
    </xf>
    <xf numFmtId="165" fontId="77" fillId="0" borderId="0" xfId="0" applyNumberFormat="1" applyFont="1" applyAlignment="1">
      <alignment horizontal="center" vertical="center"/>
    </xf>
    <xf numFmtId="0" fontId="16" fillId="0" borderId="7" xfId="2" applyFont="1" applyBorder="1" applyAlignment="1" applyProtection="1">
      <alignment horizontal="center" vertical="center" wrapText="1"/>
      <protection locked="0"/>
    </xf>
    <xf numFmtId="0" fontId="16" fillId="0" borderId="1" xfId="3" applyFont="1" applyBorder="1" applyAlignment="1">
      <alignment horizontal="left" vertical="center" wrapText="1"/>
    </xf>
    <xf numFmtId="0" fontId="16" fillId="0" borderId="17" xfId="3" applyFont="1" applyBorder="1" applyAlignment="1" applyProtection="1">
      <alignment horizontal="left" vertical="center" wrapText="1"/>
      <protection locked="0"/>
    </xf>
    <xf numFmtId="0" fontId="16" fillId="0" borderId="51" xfId="3" applyFont="1" applyBorder="1" applyAlignment="1" applyProtection="1">
      <alignment horizontal="left" vertical="center" wrapText="1"/>
      <protection locked="0"/>
    </xf>
    <xf numFmtId="0" fontId="16" fillId="0" borderId="0" xfId="0" applyFont="1" applyAlignment="1" applyProtection="1">
      <alignment horizontal="center" vertical="center" wrapText="1"/>
      <protection locked="0"/>
    </xf>
    <xf numFmtId="0" fontId="16" fillId="0" borderId="0" xfId="3" applyFont="1" applyAlignment="1" applyProtection="1">
      <alignment wrapText="1"/>
      <protection locked="0"/>
    </xf>
    <xf numFmtId="0" fontId="76" fillId="0" borderId="0" xfId="3" applyFont="1" applyAlignment="1">
      <alignment horizontal="center" vertical="center" wrapText="1"/>
    </xf>
    <xf numFmtId="0" fontId="16" fillId="0" borderId="0" xfId="0" applyFont="1" applyAlignment="1" applyProtection="1">
      <alignment wrapText="1"/>
      <protection locked="0"/>
    </xf>
    <xf numFmtId="165" fontId="77" fillId="0" borderId="0" xfId="0" applyNumberFormat="1" applyFont="1" applyAlignment="1">
      <alignment horizontal="center" vertical="center" wrapText="1"/>
    </xf>
    <xf numFmtId="0" fontId="16" fillId="0" borderId="3" xfId="14" applyFont="1" applyBorder="1" applyAlignment="1">
      <alignment horizontal="center" vertical="center" wrapText="1"/>
    </xf>
    <xf numFmtId="0" fontId="16" fillId="0" borderId="3" xfId="2" applyFont="1" applyBorder="1" applyAlignment="1">
      <alignment horizontal="center" vertical="center" wrapText="1"/>
    </xf>
    <xf numFmtId="0" fontId="16" fillId="0" borderId="17" xfId="3" applyFont="1" applyBorder="1" applyAlignment="1">
      <alignment horizontal="left" vertical="center" wrapText="1"/>
    </xf>
    <xf numFmtId="0" fontId="16" fillId="0" borderId="1" xfId="0" applyFont="1" applyBorder="1" applyAlignment="1">
      <alignment horizontal="center" vertical="center" wrapText="1"/>
    </xf>
    <xf numFmtId="0" fontId="79" fillId="0" borderId="3" xfId="0" applyFont="1" applyBorder="1" applyAlignment="1">
      <alignment horizontal="center" vertical="center" wrapText="1"/>
    </xf>
    <xf numFmtId="0" fontId="81" fillId="0" borderId="3" xfId="3" applyFont="1" applyBorder="1" applyAlignment="1">
      <alignment horizontal="left" vertical="center" wrapText="1"/>
    </xf>
    <xf numFmtId="0" fontId="16" fillId="0" borderId="0" xfId="3" applyFont="1" applyAlignment="1">
      <alignment horizontal="left" vertical="center" wrapText="1"/>
    </xf>
    <xf numFmtId="0" fontId="2" fillId="4" borderId="1" xfId="0" applyFont="1" applyFill="1" applyBorder="1" applyAlignment="1">
      <alignment horizontal="left" vertical="center" wrapText="1"/>
    </xf>
    <xf numFmtId="0" fontId="2" fillId="0" borderId="1" xfId="0" applyFont="1" applyBorder="1" applyAlignment="1" applyProtection="1">
      <alignment horizontal="left" vertical="center" wrapText="1"/>
      <protection locked="0"/>
    </xf>
    <xf numFmtId="0" fontId="2" fillId="0" borderId="0" xfId="0" applyFont="1" applyAlignment="1" applyProtection="1">
      <alignment horizontal="left" vertical="center"/>
      <protection locked="0"/>
    </xf>
    <xf numFmtId="0" fontId="2" fillId="0" borderId="0" xfId="0" applyFont="1" applyAlignment="1">
      <alignment horizontal="left" vertical="center" wrapText="1"/>
    </xf>
    <xf numFmtId="0" fontId="2" fillId="0" borderId="1" xfId="3" applyFont="1" applyBorder="1" applyAlignment="1" applyProtection="1">
      <alignment horizontal="left" vertical="center" wrapText="1"/>
      <protection locked="0"/>
    </xf>
    <xf numFmtId="0" fontId="2" fillId="0" borderId="50" xfId="0" applyFont="1" applyBorder="1" applyAlignment="1">
      <alignment horizontal="center" vertical="center"/>
    </xf>
    <xf numFmtId="0" fontId="2" fillId="0" borderId="50" xfId="0" applyFont="1" applyBorder="1" applyAlignment="1">
      <alignment vertical="center" wrapText="1"/>
    </xf>
    <xf numFmtId="0" fontId="2" fillId="0" borderId="3" xfId="3" applyFont="1" applyBorder="1" applyAlignment="1" applyProtection="1">
      <alignment horizontal="left" vertical="center" wrapText="1"/>
      <protection locked="0"/>
    </xf>
    <xf numFmtId="0" fontId="2" fillId="0" borderId="2" xfId="3" applyFont="1" applyBorder="1" applyAlignment="1" applyProtection="1">
      <alignment horizontal="left" vertical="center" wrapText="1"/>
      <protection locked="0"/>
    </xf>
    <xf numFmtId="0" fontId="2" fillId="0" borderId="1" xfId="3" applyFont="1" applyBorder="1" applyAlignment="1">
      <alignment vertical="center" wrapText="1"/>
    </xf>
    <xf numFmtId="0" fontId="2" fillId="6" borderId="1" xfId="3" applyFont="1" applyFill="1" applyBorder="1" applyAlignment="1" applyProtection="1">
      <alignment vertical="center" wrapText="1"/>
      <protection locked="0"/>
    </xf>
    <xf numFmtId="0" fontId="2" fillId="0" borderId="65" xfId="3" applyFont="1" applyBorder="1" applyAlignment="1">
      <alignment horizontal="left" vertical="center" wrapText="1"/>
    </xf>
    <xf numFmtId="0" fontId="2" fillId="9" borderId="45" xfId="10" applyFont="1" applyFill="1" applyBorder="1" applyAlignment="1" applyProtection="1">
      <alignment horizontal="center" vertical="center"/>
      <protection locked="0"/>
    </xf>
    <xf numFmtId="0" fontId="2" fillId="9" borderId="1" xfId="10" applyFont="1" applyFill="1" applyBorder="1" applyAlignment="1" applyProtection="1">
      <alignment horizontal="center" vertical="center"/>
      <protection locked="0"/>
    </xf>
    <xf numFmtId="0" fontId="2" fillId="0" borderId="22" xfId="10" applyFont="1" applyBorder="1"/>
    <xf numFmtId="2" fontId="2" fillId="9" borderId="12" xfId="10" applyNumberFormat="1" applyFont="1" applyFill="1" applyBorder="1" applyAlignment="1" applyProtection="1">
      <alignment horizontal="center" vertical="center"/>
      <protection locked="0"/>
    </xf>
    <xf numFmtId="0" fontId="2" fillId="9" borderId="3" xfId="10" applyFont="1" applyFill="1" applyBorder="1" applyAlignment="1" applyProtection="1">
      <alignment horizontal="center" vertical="center"/>
      <protection locked="0"/>
    </xf>
    <xf numFmtId="4" fontId="2" fillId="9" borderId="1" xfId="10" applyNumberFormat="1" applyFont="1" applyFill="1" applyBorder="1" applyAlignment="1" applyProtection="1">
      <alignment horizontal="center" vertical="center"/>
      <protection locked="0"/>
    </xf>
    <xf numFmtId="0" fontId="2" fillId="9" borderId="10" xfId="10" applyFont="1" applyFill="1" applyBorder="1" applyAlignment="1" applyProtection="1">
      <alignment horizontal="center" vertical="center"/>
      <protection locked="0"/>
    </xf>
    <xf numFmtId="0" fontId="2" fillId="0" borderId="12" xfId="10" applyFont="1" applyBorder="1" applyAlignment="1">
      <alignment horizontal="center" vertical="center"/>
    </xf>
    <xf numFmtId="164" fontId="2" fillId="9" borderId="3" xfId="10" applyNumberFormat="1" applyFont="1" applyFill="1" applyBorder="1" applyAlignment="1" applyProtection="1">
      <alignment horizontal="center" vertical="center"/>
      <protection locked="0"/>
    </xf>
    <xf numFmtId="164" fontId="2" fillId="9" borderId="1" xfId="10" applyNumberFormat="1" applyFont="1" applyFill="1" applyBorder="1" applyAlignment="1" applyProtection="1">
      <alignment horizontal="center" vertical="center"/>
      <protection locked="0"/>
    </xf>
    <xf numFmtId="164" fontId="2" fillId="9" borderId="10" xfId="10" applyNumberFormat="1" applyFont="1" applyFill="1" applyBorder="1" applyAlignment="1" applyProtection="1">
      <alignment horizontal="center" vertical="center"/>
      <protection locked="0"/>
    </xf>
    <xf numFmtId="0" fontId="13" fillId="5" borderId="32" xfId="2" applyFont="1" applyFill="1" applyBorder="1" applyAlignment="1">
      <alignment horizontal="center" vertical="center"/>
    </xf>
    <xf numFmtId="0" fontId="13" fillId="5" borderId="33" xfId="2" applyFont="1" applyFill="1" applyBorder="1" applyAlignment="1">
      <alignment horizontal="center" vertical="center"/>
    </xf>
    <xf numFmtId="0" fontId="13" fillId="5" borderId="34" xfId="2" applyFont="1" applyFill="1" applyBorder="1" applyAlignment="1">
      <alignment horizontal="center" vertical="center"/>
    </xf>
    <xf numFmtId="0" fontId="36" fillId="9" borderId="35" xfId="3" applyFont="1" applyFill="1" applyBorder="1" applyAlignment="1" applyProtection="1">
      <alignment horizontal="center" vertical="center" wrapText="1"/>
      <protection locked="0"/>
    </xf>
    <xf numFmtId="0" fontId="36" fillId="9" borderId="30" xfId="3" applyFont="1" applyFill="1" applyBorder="1" applyAlignment="1" applyProtection="1">
      <alignment horizontal="center" vertical="center" wrapText="1"/>
      <protection locked="0"/>
    </xf>
    <xf numFmtId="0" fontId="36" fillId="9" borderId="51" xfId="3" applyFont="1" applyFill="1" applyBorder="1" applyAlignment="1" applyProtection="1">
      <alignment horizontal="center" vertical="center" wrapText="1"/>
      <protection locked="0"/>
    </xf>
    <xf numFmtId="0" fontId="20" fillId="0" borderId="35" xfId="3" applyFont="1" applyBorder="1" applyAlignment="1" applyProtection="1">
      <alignment horizontal="center" vertical="center" wrapText="1"/>
      <protection locked="0"/>
    </xf>
    <xf numFmtId="0" fontId="20" fillId="0" borderId="51" xfId="3" applyFont="1" applyBorder="1" applyAlignment="1" applyProtection="1">
      <alignment horizontal="center" vertical="center" wrapText="1"/>
      <protection locked="0"/>
    </xf>
    <xf numFmtId="0" fontId="20" fillId="11" borderId="2" xfId="3" applyFont="1" applyFill="1" applyBorder="1" applyAlignment="1">
      <alignment horizontal="center" vertical="center" wrapText="1"/>
    </xf>
    <xf numFmtId="0" fontId="20" fillId="11" borderId="3" xfId="3" applyFont="1" applyFill="1" applyBorder="1" applyAlignment="1">
      <alignment horizontal="center" vertical="center" wrapText="1"/>
    </xf>
    <xf numFmtId="0" fontId="22" fillId="0" borderId="35" xfId="3" applyFont="1" applyBorder="1" applyAlignment="1" applyProtection="1">
      <alignment horizontal="center" vertical="center" wrapText="1"/>
      <protection locked="0"/>
    </xf>
    <xf numFmtId="0" fontId="22" fillId="0" borderId="30" xfId="3" applyFont="1" applyBorder="1" applyAlignment="1" applyProtection="1">
      <alignment horizontal="center" vertical="center" wrapText="1"/>
      <protection locked="0"/>
    </xf>
    <xf numFmtId="0" fontId="22" fillId="0" borderId="51" xfId="3" applyFont="1" applyBorder="1" applyAlignment="1" applyProtection="1">
      <alignment horizontal="center" vertical="center" wrapText="1"/>
      <protection locked="0"/>
    </xf>
    <xf numFmtId="0" fontId="13" fillId="2" borderId="27" xfId="14" applyFont="1" applyFill="1" applyBorder="1" applyAlignment="1">
      <alignment horizontal="center" vertical="center" wrapText="1"/>
    </xf>
    <xf numFmtId="0" fontId="13" fillId="2" borderId="0" xfId="14" applyFont="1" applyFill="1" applyAlignment="1">
      <alignment horizontal="center" vertical="center" wrapText="1"/>
    </xf>
    <xf numFmtId="0" fontId="13" fillId="3" borderId="63" xfId="14" applyFont="1" applyFill="1" applyBorder="1" applyAlignment="1">
      <alignment horizontal="center" vertical="center" wrapText="1"/>
    </xf>
    <xf numFmtId="0" fontId="13" fillId="3" borderId="64" xfId="14" applyFont="1" applyFill="1" applyBorder="1" applyAlignment="1">
      <alignment horizontal="center" vertical="center" wrapText="1"/>
    </xf>
    <xf numFmtId="0" fontId="15" fillId="3" borderId="29" xfId="2" applyFont="1" applyFill="1" applyBorder="1" applyAlignment="1">
      <alignment horizontal="center" vertical="center" wrapText="1"/>
    </xf>
    <xf numFmtId="0" fontId="15" fillId="3" borderId="31" xfId="2" applyFont="1" applyFill="1" applyBorder="1" applyAlignment="1">
      <alignment horizontal="center" vertical="center" wrapText="1"/>
    </xf>
    <xf numFmtId="0" fontId="2" fillId="0" borderId="29" xfId="10" applyFont="1" applyBorder="1" applyAlignment="1">
      <alignment horizontal="center" vertical="top" textRotation="90"/>
    </xf>
    <xf numFmtId="0" fontId="7" fillId="0" borderId="30" xfId="10" applyBorder="1" applyAlignment="1">
      <alignment horizontal="center" vertical="top" textRotation="90"/>
    </xf>
    <xf numFmtId="0" fontId="7" fillId="0" borderId="31" xfId="10" applyBorder="1" applyAlignment="1">
      <alignment horizontal="center" vertical="top" textRotation="90"/>
    </xf>
    <xf numFmtId="0" fontId="2" fillId="0" borderId="29" xfId="10" applyFont="1" applyBorder="1" applyAlignment="1">
      <alignment horizontal="center" vertical="top" textRotation="90" wrapText="1"/>
    </xf>
    <xf numFmtId="0" fontId="2" fillId="0" borderId="30" xfId="10" applyFont="1" applyBorder="1" applyAlignment="1">
      <alignment horizontal="center" vertical="top" textRotation="90" wrapText="1"/>
    </xf>
    <xf numFmtId="0" fontId="2" fillId="0" borderId="31" xfId="10" applyFont="1" applyBorder="1" applyAlignment="1">
      <alignment horizontal="center" vertical="top" textRotation="90" wrapText="1"/>
    </xf>
  </cellXfs>
  <cellStyles count="17">
    <cellStyle name="Check Cell" xfId="7" builtinId="23"/>
    <cellStyle name="Normal" xfId="0" builtinId="0"/>
    <cellStyle name="Normal 2" xfId="1" xr:uid="{00000000-0005-0000-0000-000002000000}"/>
    <cellStyle name="Normal 2 2" xfId="4" xr:uid="{00000000-0005-0000-0000-000003000000}"/>
    <cellStyle name="Normal 2 2 2" xfId="9" xr:uid="{00000000-0005-0000-0000-000004000000}"/>
    <cellStyle name="Normal 2 2 3" xfId="14" xr:uid="{059B3C44-50EC-7949-B487-6D2F87A76CE9}"/>
    <cellStyle name="Normal 2 2 3 2" xfId="15" xr:uid="{D2A8F9E0-968E-2747-A9DA-1C4058259AD2}"/>
    <cellStyle name="Normal 2 2 3 3" xfId="16" xr:uid="{DF7FFDC8-14B5-1142-B871-0A4B07731E5B}"/>
    <cellStyle name="Normal 2 3" xfId="8" xr:uid="{00000000-0005-0000-0000-000005000000}"/>
    <cellStyle name="Normal 2 4" xfId="13" xr:uid="{3F9D0DEB-C138-7A4E-9062-3B1E2BF6C109}"/>
    <cellStyle name="Normal 3" xfId="3" xr:uid="{00000000-0005-0000-0000-000006000000}"/>
    <cellStyle name="Normal 3 2" xfId="6" xr:uid="{00000000-0005-0000-0000-000007000000}"/>
    <cellStyle name="Normal 4" xfId="5" xr:uid="{00000000-0005-0000-0000-000008000000}"/>
    <cellStyle name="Normal 4 2" xfId="10" xr:uid="{00000000-0005-0000-0000-000009000000}"/>
    <cellStyle name="Normal 4 2 2" xfId="12" xr:uid="{7EB7595C-3AC2-944C-910C-5A9004966DBF}"/>
    <cellStyle name="Normal 5" xfId="2" xr:uid="{00000000-0005-0000-0000-00000A000000}"/>
    <cellStyle name="Percent" xfId="11" builtinId="5"/>
  </cellStyles>
  <dxfs count="160">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EEB400"/>
        </patternFill>
      </fill>
    </dxf>
    <dxf>
      <fill>
        <patternFill>
          <bgColor rgb="FF4685D2"/>
        </patternFill>
      </fill>
    </dxf>
    <dxf>
      <fill>
        <patternFill>
          <bgColor rgb="FF99BCE7"/>
        </patternFill>
      </fill>
    </dxf>
    <dxf>
      <fill>
        <patternFill patternType="solid">
          <fgColor indexed="64"/>
          <bgColor theme="6" tint="0.59999389629810485"/>
        </patternFill>
      </fill>
    </dxf>
    <dxf>
      <fill>
        <patternFill patternType="solid">
          <fgColor indexed="64"/>
          <bgColor theme="6" tint="0.79998168889431442"/>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rgb="FFE3E0CF"/>
        </patternFill>
      </fill>
    </dxf>
    <dxf>
      <fill>
        <patternFill>
          <bgColor theme="6" tint="0.3999450666829432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bgColor theme="9" tint="0.59996337778862885"/>
        </patternFill>
      </fill>
    </dxf>
    <dxf>
      <fill>
        <patternFill patternType="solid">
          <fgColor indexed="64"/>
          <bgColor rgb="FFE4E300"/>
        </patternFill>
      </fill>
    </dxf>
    <dxf>
      <fill>
        <patternFill>
          <bgColor theme="7" tint="0.39994506668294322"/>
        </patternFill>
      </fill>
    </dxf>
    <dxf>
      <fill>
        <patternFill>
          <bgColor theme="7" tint="0.59996337778862885"/>
        </patternFill>
      </fill>
    </dxf>
    <dxf>
      <fill>
        <patternFill>
          <bgColor rgb="FFEEB400"/>
        </patternFill>
      </fill>
    </dxf>
    <dxf>
      <fill>
        <patternFill>
          <bgColor rgb="FFFFD44B"/>
        </patternFill>
      </fill>
    </dxf>
    <dxf>
      <fill>
        <patternFill>
          <bgColor rgb="FFE1AAA9"/>
        </patternFill>
      </fill>
    </dxf>
    <dxf>
      <fill>
        <patternFill>
          <bgColor rgb="FFF2DBDA"/>
        </patternFill>
      </fill>
    </dxf>
    <dxf>
      <fill>
        <patternFill patternType="solid">
          <fgColor indexed="64"/>
          <bgColor rgb="FF9E004F"/>
        </patternFill>
      </fill>
    </dxf>
    <dxf>
      <fill>
        <patternFill>
          <bgColor theme="9" tint="0.39994506668294322"/>
        </patternFill>
      </fill>
    </dxf>
    <dxf>
      <fill>
        <patternFill>
          <bgColor rgb="FFFF9900"/>
        </patternFill>
      </fill>
    </dxf>
    <dxf>
      <fill>
        <patternFill>
          <bgColor rgb="FFFFBB57"/>
        </patternFill>
      </fill>
    </dxf>
    <dxf>
      <fill>
        <patternFill>
          <bgColor rgb="FFFF9900"/>
        </patternFill>
      </fill>
    </dxf>
    <dxf>
      <fill>
        <patternFill patternType="solid">
          <fgColor indexed="64"/>
          <bgColor rgb="FFBA005D"/>
        </patternFill>
      </fill>
    </dxf>
    <dxf>
      <fill>
        <patternFill patternType="solid">
          <fgColor indexed="64"/>
          <bgColor theme="4" tint="0.79998168889431442"/>
        </patternFill>
      </fill>
    </dxf>
    <dxf>
      <fill>
        <patternFill patternType="solid">
          <fgColor indexed="64"/>
          <bgColor theme="4" tint="0.599993896298104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6DFDC"/>
      <color rgb="FF4398B6"/>
      <color rgb="FFFFB4B2"/>
      <color rgb="FFBCBBEF"/>
      <color rgb="FFF504E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28916</xdr:rowOff>
    </xdr:from>
    <xdr:ext cx="935182" cy="411480"/>
    <xdr:pic>
      <xdr:nvPicPr>
        <xdr:cNvPr id="2" name="Picture 4">
          <a:extLst>
            <a:ext uri="{FF2B5EF4-FFF2-40B4-BE49-F238E27FC236}">
              <a16:creationId xmlns:a16="http://schemas.microsoft.com/office/drawing/2014/main" id="{C58576CE-59EB-2145-98E1-81C7247362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t="26785" b="35417"/>
        <a:stretch>
          <a:fillRect/>
        </a:stretch>
      </xdr:blipFill>
      <xdr:spPr bwMode="auto">
        <a:xfrm>
          <a:off x="0" y="28916"/>
          <a:ext cx="935182" cy="411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2B1A1-C6E2-EE4B-AA1C-ECCCDCBD94D9}">
  <sheetPr>
    <tabColor theme="9" tint="-0.499984740745262"/>
  </sheetPr>
  <dimension ref="A1:XEN249"/>
  <sheetViews>
    <sheetView zoomScale="65" zoomScaleNormal="50" workbookViewId="0">
      <pane xSplit="4" ySplit="3" topLeftCell="F231" activePane="bottomRight" state="frozen"/>
      <selection pane="topRight" activeCell="E1" sqref="E1"/>
      <selection pane="bottomLeft" activeCell="A4" sqref="A4"/>
      <selection pane="bottomRight" activeCell="D231" sqref="D231"/>
    </sheetView>
  </sheetViews>
  <sheetFormatPr baseColWidth="10" defaultColWidth="8.83203125" defaultRowHeight="16" outlineLevelCol="1"/>
  <cols>
    <col min="1" max="1" width="7.5" style="193" hidden="1" customWidth="1"/>
    <col min="2" max="2" width="26" style="275" customWidth="1"/>
    <col min="3" max="3" width="36.6640625" style="274" hidden="1" customWidth="1"/>
    <col min="4" max="4" width="72.6640625" style="273" customWidth="1"/>
    <col min="5" max="5" width="9.6640625" style="193" hidden="1" customWidth="1"/>
    <col min="6" max="6" width="15.83203125" style="193" customWidth="1"/>
    <col min="7" max="7" width="12.33203125" style="193" hidden="1" customWidth="1"/>
    <col min="8" max="8" width="41" style="193" hidden="1" customWidth="1"/>
    <col min="9" max="9" width="33" style="193" hidden="1" customWidth="1"/>
    <col min="10" max="10" width="41.83203125" style="193" hidden="1" customWidth="1"/>
    <col min="11" max="11" width="33.1640625" style="193" hidden="1" customWidth="1"/>
    <col min="12" max="12" width="47.33203125" style="193" customWidth="1"/>
    <col min="13" max="13" width="22.33203125" style="193" customWidth="1"/>
    <col min="14" max="14" width="40.83203125" style="193" customWidth="1"/>
    <col min="15" max="15" width="15" style="374" hidden="1" customWidth="1"/>
    <col min="16" max="16" width="8.83203125" style="207" hidden="1" customWidth="1"/>
    <col min="17" max="17" width="8.83203125" style="193" hidden="1" customWidth="1"/>
    <col min="18" max="18" width="20.6640625" style="244" hidden="1" customWidth="1"/>
    <col min="19" max="19" width="8.83203125" style="193" hidden="1" customWidth="1" outlineLevel="1"/>
    <col min="20" max="20" width="8.83203125" style="193" hidden="1" customWidth="1" collapsed="1"/>
    <col min="21" max="21" width="8.83203125" style="193" hidden="1" customWidth="1"/>
    <col min="22" max="22" width="15.33203125" style="373" hidden="1" customWidth="1"/>
    <col min="23" max="23" width="11.5" style="373" customWidth="1"/>
    <col min="24" max="24" width="10.6640625" style="193" customWidth="1" outlineLevel="1"/>
    <col min="25" max="16384" width="8.83203125" style="193"/>
  </cols>
  <sheetData>
    <row r="1" spans="1:24" ht="18.75" customHeight="1" thickBot="1">
      <c r="A1" s="562" t="s">
        <v>0</v>
      </c>
      <c r="B1" s="563"/>
      <c r="C1" s="563"/>
      <c r="D1" s="563"/>
      <c r="E1" s="563"/>
      <c r="F1" s="563"/>
      <c r="G1" s="563"/>
      <c r="H1" s="563"/>
      <c r="I1" s="563"/>
      <c r="J1" s="563"/>
      <c r="K1" s="563"/>
      <c r="L1" s="563"/>
      <c r="M1" s="563"/>
      <c r="N1" s="563"/>
      <c r="O1" s="323"/>
      <c r="P1" s="186"/>
      <c r="R1" s="186"/>
      <c r="V1" s="324"/>
      <c r="W1" s="324"/>
    </row>
    <row r="2" spans="1:24" ht="15" customHeight="1" thickBot="1">
      <c r="A2" s="564" t="s">
        <v>1</v>
      </c>
      <c r="B2" s="565"/>
      <c r="C2" s="565"/>
      <c r="D2" s="565"/>
      <c r="E2" s="565"/>
      <c r="F2" s="565"/>
      <c r="G2" s="565"/>
      <c r="H2" s="565"/>
      <c r="I2" s="565"/>
      <c r="J2" s="565"/>
      <c r="K2" s="565"/>
      <c r="L2" s="565"/>
      <c r="M2" s="565"/>
      <c r="N2" s="566" t="s">
        <v>2</v>
      </c>
      <c r="O2" s="323"/>
      <c r="P2" s="186"/>
      <c r="V2" s="324"/>
      <c r="W2" s="324"/>
    </row>
    <row r="3" spans="1:24" s="275" customFormat="1" ht="61.5" customHeight="1" thickBot="1">
      <c r="A3" s="272" t="s">
        <v>3</v>
      </c>
      <c r="B3" s="271" t="s">
        <v>4</v>
      </c>
      <c r="C3" s="269" t="s">
        <v>5</v>
      </c>
      <c r="D3" s="271" t="s">
        <v>6</v>
      </c>
      <c r="E3" s="270" t="s">
        <v>7</v>
      </c>
      <c r="F3" s="271" t="s">
        <v>8</v>
      </c>
      <c r="G3" s="270" t="s">
        <v>9</v>
      </c>
      <c r="H3" s="269" t="s">
        <v>10</v>
      </c>
      <c r="I3" s="269" t="s">
        <v>11</v>
      </c>
      <c r="J3" s="268" t="s">
        <v>12</v>
      </c>
      <c r="K3" s="268" t="s">
        <v>13</v>
      </c>
      <c r="L3" s="267" t="s">
        <v>14</v>
      </c>
      <c r="M3" s="267" t="s">
        <v>15</v>
      </c>
      <c r="N3" s="567"/>
      <c r="O3" s="319" t="s">
        <v>16</v>
      </c>
      <c r="P3" s="296"/>
      <c r="R3" s="392" t="s">
        <v>17</v>
      </c>
      <c r="V3" s="319" t="s">
        <v>18</v>
      </c>
      <c r="W3" s="320" t="s">
        <v>19</v>
      </c>
      <c r="X3" s="320" t="s">
        <v>20</v>
      </c>
    </row>
    <row r="4" spans="1:24" ht="18" customHeight="1" thickBot="1">
      <c r="A4" s="549" t="s">
        <v>21</v>
      </c>
      <c r="B4" s="550"/>
      <c r="C4" s="550"/>
      <c r="D4" s="550"/>
      <c r="E4" s="550"/>
      <c r="F4" s="550"/>
      <c r="G4" s="550"/>
      <c r="H4" s="550"/>
      <c r="I4" s="550"/>
      <c r="J4" s="550"/>
      <c r="K4" s="550"/>
      <c r="L4" s="550"/>
      <c r="M4" s="550"/>
      <c r="N4" s="551"/>
      <c r="O4" s="323"/>
      <c r="P4" s="186"/>
      <c r="R4" s="244" t="s">
        <v>22</v>
      </c>
      <c r="V4" s="324"/>
      <c r="W4" s="321" t="str">
        <f>IF(V4="","",V4*T4)</f>
        <v/>
      </c>
      <c r="X4" s="186" t="str">
        <f>IF(R4="yes",W4,"")</f>
        <v/>
      </c>
    </row>
    <row r="5" spans="1:24" ht="26.25" customHeight="1">
      <c r="A5" s="102" t="s">
        <v>23</v>
      </c>
      <c r="B5" s="281" t="s">
        <v>24</v>
      </c>
      <c r="C5" s="292"/>
      <c r="D5" s="190" t="s">
        <v>24</v>
      </c>
      <c r="E5" s="189">
        <f t="shared" ref="E5:E8" si="0">LEN(D5)</f>
        <v>5</v>
      </c>
      <c r="F5" s="189" t="s">
        <v>25</v>
      </c>
      <c r="G5" s="189" t="s">
        <v>23</v>
      </c>
      <c r="H5" s="189" t="s">
        <v>23</v>
      </c>
      <c r="I5" s="189" t="s">
        <v>26</v>
      </c>
      <c r="J5" s="188" t="s">
        <v>27</v>
      </c>
      <c r="K5" s="266" t="s">
        <v>23</v>
      </c>
      <c r="L5" s="266" t="s">
        <v>23</v>
      </c>
      <c r="M5" s="84"/>
      <c r="N5" s="9"/>
      <c r="O5" s="323"/>
      <c r="P5" s="186"/>
      <c r="R5" s="244" t="s">
        <v>22</v>
      </c>
      <c r="V5" s="322">
        <v>0</v>
      </c>
      <c r="W5" s="321">
        <f t="shared" ref="W5:W7" si="1">IF(V5="","",V5*O5)</f>
        <v>0</v>
      </c>
      <c r="X5" s="186" t="str">
        <f t="shared" ref="X5:X7" si="2">IF(R5="yes",W5,"")</f>
        <v/>
      </c>
    </row>
    <row r="6" spans="1:24" ht="102">
      <c r="A6" s="46" t="s">
        <v>23</v>
      </c>
      <c r="B6" s="231" t="s">
        <v>28</v>
      </c>
      <c r="C6" s="191" t="s">
        <v>28</v>
      </c>
      <c r="D6" s="212" t="s">
        <v>29</v>
      </c>
      <c r="E6" s="197">
        <f t="shared" si="0"/>
        <v>106</v>
      </c>
      <c r="F6" s="206" t="s">
        <v>30</v>
      </c>
      <c r="G6" s="197" t="s">
        <v>23</v>
      </c>
      <c r="H6" s="197" t="s">
        <v>23</v>
      </c>
      <c r="I6" s="197" t="s">
        <v>31</v>
      </c>
      <c r="J6" s="196" t="s">
        <v>32</v>
      </c>
      <c r="K6" s="266" t="s">
        <v>23</v>
      </c>
      <c r="L6" s="255" t="s">
        <v>23</v>
      </c>
      <c r="M6" s="85"/>
      <c r="N6" s="10"/>
      <c r="O6" s="323"/>
      <c r="P6" s="186"/>
      <c r="R6" s="244" t="s">
        <v>22</v>
      </c>
      <c r="V6" s="322">
        <v>14.695307731628418</v>
      </c>
      <c r="W6" s="321">
        <f t="shared" si="1"/>
        <v>0</v>
      </c>
      <c r="X6" s="186" t="str">
        <f t="shared" si="2"/>
        <v/>
      </c>
    </row>
    <row r="7" spans="1:24" ht="37.5" customHeight="1">
      <c r="A7" s="46" t="s">
        <v>23</v>
      </c>
      <c r="B7" s="231" t="s">
        <v>33</v>
      </c>
      <c r="C7" s="191" t="s">
        <v>34</v>
      </c>
      <c r="D7" s="265" t="s">
        <v>35</v>
      </c>
      <c r="E7" s="197">
        <f t="shared" si="0"/>
        <v>120</v>
      </c>
      <c r="F7" s="206" t="s">
        <v>23</v>
      </c>
      <c r="G7" s="206" t="s">
        <v>23</v>
      </c>
      <c r="H7" s="206" t="s">
        <v>23</v>
      </c>
      <c r="I7" s="206" t="s">
        <v>23</v>
      </c>
      <c r="J7" s="264" t="s">
        <v>36</v>
      </c>
      <c r="K7" s="266" t="s">
        <v>23</v>
      </c>
      <c r="L7" s="263" t="s">
        <v>23</v>
      </c>
      <c r="M7" s="86"/>
      <c r="N7" s="11"/>
      <c r="O7" s="323"/>
      <c r="P7" s="186"/>
      <c r="R7" s="244" t="s">
        <v>22</v>
      </c>
      <c r="V7" s="322">
        <v>0</v>
      </c>
      <c r="W7" s="321">
        <f t="shared" si="1"/>
        <v>0</v>
      </c>
      <c r="X7" s="186" t="str">
        <f t="shared" si="2"/>
        <v/>
      </c>
    </row>
    <row r="8" spans="1:24" ht="37.5" customHeight="1">
      <c r="A8" s="46" t="s">
        <v>23</v>
      </c>
      <c r="B8" s="231" t="s">
        <v>37</v>
      </c>
      <c r="C8" s="191" t="s">
        <v>38</v>
      </c>
      <c r="D8" s="265" t="s">
        <v>39</v>
      </c>
      <c r="E8" s="197">
        <f t="shared" si="0"/>
        <v>58</v>
      </c>
      <c r="F8" s="206" t="s">
        <v>23</v>
      </c>
      <c r="G8" s="206" t="s">
        <v>23</v>
      </c>
      <c r="H8" s="206" t="s">
        <v>23</v>
      </c>
      <c r="I8" s="206" t="s">
        <v>23</v>
      </c>
      <c r="J8" s="264" t="s">
        <v>40</v>
      </c>
      <c r="K8" s="266"/>
      <c r="L8" s="263" t="s">
        <v>23</v>
      </c>
      <c r="M8" s="86" t="s">
        <v>23</v>
      </c>
      <c r="N8" s="11"/>
      <c r="O8" s="323"/>
      <c r="P8" s="186"/>
      <c r="V8" s="322"/>
      <c r="W8" s="321"/>
      <c r="X8" s="186"/>
    </row>
    <row r="9" spans="1:24" ht="98">
      <c r="A9" s="46" t="s">
        <v>23</v>
      </c>
      <c r="B9" s="231" t="s">
        <v>41</v>
      </c>
      <c r="C9" s="191" t="s">
        <v>41</v>
      </c>
      <c r="D9" s="487" t="s">
        <v>42</v>
      </c>
      <c r="E9" s="197">
        <f t="shared" ref="E9:E17" si="3">LEN(D9)</f>
        <v>148</v>
      </c>
      <c r="F9" s="206" t="s">
        <v>30</v>
      </c>
      <c r="G9" s="197" t="s">
        <v>23</v>
      </c>
      <c r="H9" s="197" t="s">
        <v>23</v>
      </c>
      <c r="I9" s="197" t="s">
        <v>31</v>
      </c>
      <c r="J9" s="486" t="s">
        <v>43</v>
      </c>
      <c r="K9" s="266" t="s">
        <v>23</v>
      </c>
      <c r="L9" s="262" t="s">
        <v>44</v>
      </c>
      <c r="M9" s="87"/>
      <c r="N9" s="12" t="s">
        <v>45</v>
      </c>
      <c r="O9" s="323"/>
      <c r="P9" s="186"/>
      <c r="R9" s="244" t="s">
        <v>22</v>
      </c>
      <c r="V9" s="322">
        <v>3.1032724380493164</v>
      </c>
      <c r="W9" s="321">
        <f t="shared" ref="W9:W34" si="4">IF(V9="","",V9*O9)</f>
        <v>0</v>
      </c>
      <c r="X9" s="186" t="str">
        <f t="shared" ref="X9:X66" si="5">IF(R9="yes",W9,"")</f>
        <v/>
      </c>
    </row>
    <row r="10" spans="1:24" ht="388">
      <c r="A10" s="46" t="s">
        <v>23</v>
      </c>
      <c r="B10" s="231" t="s">
        <v>46</v>
      </c>
      <c r="C10" s="191" t="s">
        <v>46</v>
      </c>
      <c r="D10" s="47" t="s">
        <v>47</v>
      </c>
      <c r="E10" s="197">
        <f t="shared" si="3"/>
        <v>1098</v>
      </c>
      <c r="F10" s="206" t="s">
        <v>30</v>
      </c>
      <c r="G10" s="197" t="s">
        <v>23</v>
      </c>
      <c r="H10" s="197" t="s">
        <v>23</v>
      </c>
      <c r="I10" s="197" t="s">
        <v>31</v>
      </c>
      <c r="J10" s="196" t="s">
        <v>48</v>
      </c>
      <c r="K10" s="266" t="s">
        <v>23</v>
      </c>
      <c r="L10" s="262" t="s">
        <v>49</v>
      </c>
      <c r="M10" s="87"/>
      <c r="N10" s="12" t="s">
        <v>50</v>
      </c>
      <c r="O10" s="323"/>
      <c r="P10" s="186"/>
      <c r="R10" s="244" t="s">
        <v>22</v>
      </c>
      <c r="V10" s="322">
        <v>37.418449401855469</v>
      </c>
      <c r="W10" s="321">
        <f t="shared" si="4"/>
        <v>0</v>
      </c>
      <c r="X10" s="186" t="str">
        <f t="shared" si="5"/>
        <v/>
      </c>
    </row>
    <row r="11" spans="1:24" s="192" customFormat="1" ht="119">
      <c r="A11" s="46" t="s">
        <v>23</v>
      </c>
      <c r="B11" s="231" t="s">
        <v>51</v>
      </c>
      <c r="C11" s="191" t="s">
        <v>52</v>
      </c>
      <c r="D11" s="212" t="s">
        <v>53</v>
      </c>
      <c r="E11" s="197">
        <f t="shared" si="3"/>
        <v>134</v>
      </c>
      <c r="F11" s="206" t="s">
        <v>54</v>
      </c>
      <c r="G11" s="197" t="s">
        <v>23</v>
      </c>
      <c r="H11" s="197" t="s">
        <v>23</v>
      </c>
      <c r="I11" s="197" t="s">
        <v>31</v>
      </c>
      <c r="J11" s="196" t="s">
        <v>55</v>
      </c>
      <c r="K11" s="266" t="s">
        <v>23</v>
      </c>
      <c r="L11" s="196" t="s">
        <v>56</v>
      </c>
      <c r="M11" s="62"/>
      <c r="N11" s="10"/>
      <c r="O11" s="323">
        <v>1</v>
      </c>
      <c r="P11" s="186"/>
      <c r="R11" s="244" t="s">
        <v>57</v>
      </c>
      <c r="S11" s="193"/>
      <c r="V11" s="322">
        <v>3.8059515953063965</v>
      </c>
      <c r="W11" s="321">
        <f t="shared" si="4"/>
        <v>3.8059515953063965</v>
      </c>
      <c r="X11" s="186">
        <f t="shared" si="5"/>
        <v>3.8059515953063965</v>
      </c>
    </row>
    <row r="12" spans="1:24" s="192" customFormat="1" ht="136">
      <c r="A12" s="14" t="s">
        <v>23</v>
      </c>
      <c r="B12" s="282" t="s">
        <v>58</v>
      </c>
      <c r="C12" s="17" t="s">
        <v>58</v>
      </c>
      <c r="D12" s="22" t="s">
        <v>59</v>
      </c>
      <c r="E12" s="20">
        <f t="shared" si="3"/>
        <v>172</v>
      </c>
      <c r="F12" s="36" t="s">
        <v>30</v>
      </c>
      <c r="G12" s="20" t="s">
        <v>23</v>
      </c>
      <c r="H12" s="20" t="s">
        <v>23</v>
      </c>
      <c r="I12" s="20" t="s">
        <v>31</v>
      </c>
      <c r="J12" s="31" t="s">
        <v>60</v>
      </c>
      <c r="K12" s="84" t="s">
        <v>23</v>
      </c>
      <c r="L12" s="31" t="s">
        <v>61</v>
      </c>
      <c r="M12" s="31"/>
      <c r="N12" s="74" t="s">
        <v>62</v>
      </c>
      <c r="O12" s="323">
        <v>1</v>
      </c>
      <c r="P12" s="186"/>
      <c r="R12" s="244" t="s">
        <v>22</v>
      </c>
      <c r="S12" s="193"/>
      <c r="V12" s="322"/>
      <c r="W12" s="322"/>
      <c r="X12" s="186"/>
    </row>
    <row r="13" spans="1:24" s="192" customFormat="1" ht="119">
      <c r="A13" s="46" t="s">
        <v>23</v>
      </c>
      <c r="B13" s="231" t="s">
        <v>63</v>
      </c>
      <c r="C13" s="191" t="s">
        <v>63</v>
      </c>
      <c r="D13" s="242" t="s">
        <v>64</v>
      </c>
      <c r="E13" s="197">
        <f t="shared" si="3"/>
        <v>153</v>
      </c>
      <c r="F13" s="206" t="s">
        <v>65</v>
      </c>
      <c r="G13" s="197" t="s">
        <v>23</v>
      </c>
      <c r="H13" s="197" t="s">
        <v>23</v>
      </c>
      <c r="I13" s="197" t="s">
        <v>66</v>
      </c>
      <c r="J13" s="196" t="s">
        <v>67</v>
      </c>
      <c r="K13" s="266" t="s">
        <v>23</v>
      </c>
      <c r="L13" s="196" t="s">
        <v>68</v>
      </c>
      <c r="M13" s="88"/>
      <c r="N13" s="10"/>
      <c r="O13" s="323">
        <v>1</v>
      </c>
      <c r="P13" s="186"/>
      <c r="R13" s="194" t="s">
        <v>22</v>
      </c>
      <c r="S13" s="193"/>
      <c r="V13" s="322">
        <v>0</v>
      </c>
      <c r="W13" s="321">
        <f t="shared" si="4"/>
        <v>0</v>
      </c>
      <c r="X13" s="186" t="str">
        <f t="shared" si="5"/>
        <v/>
      </c>
    </row>
    <row r="14" spans="1:24" s="192" customFormat="1" ht="51">
      <c r="A14" s="46" t="s">
        <v>23</v>
      </c>
      <c r="B14" s="231" t="s">
        <v>69</v>
      </c>
      <c r="C14" s="191" t="s">
        <v>70</v>
      </c>
      <c r="D14" s="212" t="s">
        <v>71</v>
      </c>
      <c r="E14" s="197">
        <f t="shared" si="3"/>
        <v>80</v>
      </c>
      <c r="F14" s="206" t="s">
        <v>25</v>
      </c>
      <c r="G14" s="197" t="s">
        <v>23</v>
      </c>
      <c r="H14" s="197" t="s">
        <v>23</v>
      </c>
      <c r="I14" s="197" t="s">
        <v>72</v>
      </c>
      <c r="J14" s="196" t="s">
        <v>73</v>
      </c>
      <c r="K14" s="266" t="s">
        <v>23</v>
      </c>
      <c r="L14" s="196" t="s">
        <v>74</v>
      </c>
      <c r="M14" s="88"/>
      <c r="N14" s="10"/>
      <c r="O14" s="323">
        <v>1</v>
      </c>
      <c r="P14" s="186"/>
      <c r="R14" s="194" t="s">
        <v>22</v>
      </c>
      <c r="S14" s="193"/>
      <c r="V14" s="322">
        <v>0</v>
      </c>
      <c r="W14" s="321">
        <f t="shared" si="4"/>
        <v>0</v>
      </c>
      <c r="X14" s="186" t="str">
        <f t="shared" si="5"/>
        <v/>
      </c>
    </row>
    <row r="15" spans="1:24" s="192" customFormat="1" ht="85">
      <c r="A15" s="46" t="s">
        <v>23</v>
      </c>
      <c r="B15" s="231" t="s">
        <v>75</v>
      </c>
      <c r="C15" s="191" t="s">
        <v>76</v>
      </c>
      <c r="D15" s="212" t="s">
        <v>77</v>
      </c>
      <c r="E15" s="197">
        <f t="shared" si="3"/>
        <v>176</v>
      </c>
      <c r="F15" s="206" t="s">
        <v>25</v>
      </c>
      <c r="G15" s="197" t="s">
        <v>23</v>
      </c>
      <c r="H15" s="197" t="s">
        <v>23</v>
      </c>
      <c r="I15" s="197" t="s">
        <v>26</v>
      </c>
      <c r="J15" s="196" t="s">
        <v>78</v>
      </c>
      <c r="K15" s="266" t="s">
        <v>23</v>
      </c>
      <c r="L15" s="255" t="s">
        <v>23</v>
      </c>
      <c r="M15" s="85"/>
      <c r="N15" s="10"/>
      <c r="O15" s="323">
        <v>1</v>
      </c>
      <c r="P15" s="186"/>
      <c r="R15" s="194" t="s">
        <v>22</v>
      </c>
      <c r="S15" s="193"/>
      <c r="V15" s="322">
        <v>0</v>
      </c>
      <c r="W15" s="321">
        <f t="shared" si="4"/>
        <v>0</v>
      </c>
      <c r="X15" s="186" t="str">
        <f t="shared" si="5"/>
        <v/>
      </c>
    </row>
    <row r="16" spans="1:24" s="192" customFormat="1" ht="50.25" customHeight="1">
      <c r="A16" s="46" t="s">
        <v>23</v>
      </c>
      <c r="B16" s="231" t="s">
        <v>79</v>
      </c>
      <c r="C16" s="191" t="s">
        <v>23</v>
      </c>
      <c r="D16" s="212" t="s">
        <v>80</v>
      </c>
      <c r="E16" s="197">
        <f t="shared" si="3"/>
        <v>99</v>
      </c>
      <c r="F16" s="206" t="s">
        <v>23</v>
      </c>
      <c r="G16" s="197" t="s">
        <v>23</v>
      </c>
      <c r="H16" s="197" t="s">
        <v>23</v>
      </c>
      <c r="I16" s="197" t="s">
        <v>23</v>
      </c>
      <c r="J16" s="196" t="s">
        <v>81</v>
      </c>
      <c r="K16" s="266" t="s">
        <v>23</v>
      </c>
      <c r="L16" s="255" t="s">
        <v>23</v>
      </c>
      <c r="M16" s="85"/>
      <c r="N16" s="10"/>
      <c r="O16" s="323">
        <v>1</v>
      </c>
      <c r="P16" s="186"/>
      <c r="R16" s="194" t="s">
        <v>22</v>
      </c>
      <c r="S16" s="193"/>
      <c r="V16" s="322">
        <v>0</v>
      </c>
      <c r="W16" s="321">
        <f t="shared" si="4"/>
        <v>0</v>
      </c>
      <c r="X16" s="186" t="str">
        <f t="shared" si="5"/>
        <v/>
      </c>
    </row>
    <row r="17" spans="1:24" s="192" customFormat="1" ht="50.25" customHeight="1" thickBot="1">
      <c r="A17" s="391" t="s">
        <v>23</v>
      </c>
      <c r="B17" s="261" t="s">
        <v>82</v>
      </c>
      <c r="C17" s="260" t="s">
        <v>83</v>
      </c>
      <c r="D17" s="259" t="s">
        <v>84</v>
      </c>
      <c r="E17" s="257">
        <f t="shared" si="3"/>
        <v>65</v>
      </c>
      <c r="F17" s="258" t="s">
        <v>23</v>
      </c>
      <c r="G17" s="257" t="s">
        <v>23</v>
      </c>
      <c r="H17" s="257" t="s">
        <v>23</v>
      </c>
      <c r="I17" s="257" t="s">
        <v>23</v>
      </c>
      <c r="J17" s="256" t="s">
        <v>85</v>
      </c>
      <c r="K17" s="266" t="s">
        <v>23</v>
      </c>
      <c r="L17" s="255" t="s">
        <v>23</v>
      </c>
      <c r="M17" s="89"/>
      <c r="N17" s="13"/>
      <c r="O17" s="323">
        <v>1</v>
      </c>
      <c r="P17" s="186"/>
      <c r="R17" s="194" t="s">
        <v>22</v>
      </c>
      <c r="S17" s="193"/>
      <c r="V17" s="322">
        <v>0</v>
      </c>
      <c r="W17" s="321">
        <f t="shared" si="4"/>
        <v>0</v>
      </c>
      <c r="X17" s="186" t="str">
        <f t="shared" si="5"/>
        <v/>
      </c>
    </row>
    <row r="18" spans="1:24" s="469" customFormat="1" ht="17" thickBot="1">
      <c r="A18" s="549" t="s">
        <v>86</v>
      </c>
      <c r="B18" s="550"/>
      <c r="C18" s="550"/>
      <c r="D18" s="550"/>
      <c r="E18" s="550"/>
      <c r="F18" s="550"/>
      <c r="G18" s="550"/>
      <c r="H18" s="550"/>
      <c r="I18" s="550"/>
      <c r="J18" s="550"/>
      <c r="K18" s="550"/>
      <c r="L18" s="550"/>
      <c r="M18" s="550"/>
      <c r="N18" s="551"/>
      <c r="O18" s="318"/>
      <c r="P18" s="474"/>
      <c r="R18" s="472"/>
      <c r="S18" s="475"/>
      <c r="V18" s="321"/>
      <c r="W18" s="321" t="str">
        <f t="shared" si="4"/>
        <v/>
      </c>
      <c r="X18" s="474" t="str">
        <f t="shared" si="5"/>
        <v/>
      </c>
    </row>
    <row r="19" spans="1:24" s="192" customFormat="1" ht="68.25" customHeight="1">
      <c r="A19" s="390" t="s">
        <v>23</v>
      </c>
      <c r="B19" s="254" t="s">
        <v>87</v>
      </c>
      <c r="C19" s="248" t="s">
        <v>87</v>
      </c>
      <c r="D19" s="253" t="s">
        <v>88</v>
      </c>
      <c r="E19" s="252">
        <f>LEN(D19)</f>
        <v>96</v>
      </c>
      <c r="F19" s="222" t="s">
        <v>25</v>
      </c>
      <c r="G19" s="252" t="s">
        <v>23</v>
      </c>
      <c r="H19" s="252" t="s">
        <v>23</v>
      </c>
      <c r="I19" s="252" t="s">
        <v>26</v>
      </c>
      <c r="J19" s="251" t="s">
        <v>89</v>
      </c>
      <c r="K19" s="266" t="s">
        <v>23</v>
      </c>
      <c r="L19" s="253" t="s">
        <v>90</v>
      </c>
      <c r="M19" s="250"/>
      <c r="N19" s="71"/>
      <c r="O19" s="318">
        <f>1</f>
        <v>1</v>
      </c>
      <c r="P19" s="186"/>
      <c r="R19" s="472" t="s">
        <v>57</v>
      </c>
      <c r="S19" s="193"/>
      <c r="V19" s="321">
        <v>25.874027252197266</v>
      </c>
      <c r="W19" s="321">
        <f t="shared" si="4"/>
        <v>25.874027252197266</v>
      </c>
      <c r="X19" s="186">
        <f t="shared" si="5"/>
        <v>25.874027252197266</v>
      </c>
    </row>
    <row r="20" spans="1:24" s="192" customFormat="1" ht="51">
      <c r="A20" s="46" t="s">
        <v>23</v>
      </c>
      <c r="B20" s="254" t="s">
        <v>91</v>
      </c>
      <c r="C20" s="248" t="s">
        <v>91</v>
      </c>
      <c r="D20" s="253" t="s">
        <v>92</v>
      </c>
      <c r="E20" s="252">
        <f>LEN(D20)</f>
        <v>95</v>
      </c>
      <c r="F20" s="222" t="s">
        <v>25</v>
      </c>
      <c r="G20" s="252" t="s">
        <v>23</v>
      </c>
      <c r="H20" s="252" t="s">
        <v>23</v>
      </c>
      <c r="I20" s="252" t="s">
        <v>26</v>
      </c>
      <c r="J20" s="251" t="s">
        <v>93</v>
      </c>
      <c r="K20" s="266" t="s">
        <v>23</v>
      </c>
      <c r="L20" s="214" t="s">
        <v>94</v>
      </c>
      <c r="M20" s="250"/>
      <c r="N20" s="71"/>
      <c r="O20" s="318">
        <f>1</f>
        <v>1</v>
      </c>
      <c r="P20" s="186"/>
      <c r="R20" s="472" t="s">
        <v>57</v>
      </c>
      <c r="S20" s="193"/>
      <c r="V20" s="321">
        <v>8.5994815826416016</v>
      </c>
      <c r="W20" s="321">
        <f t="shared" si="4"/>
        <v>8.5994815826416016</v>
      </c>
      <c r="X20" s="186">
        <f t="shared" si="5"/>
        <v>8.5994815826416016</v>
      </c>
    </row>
    <row r="21" spans="1:24" s="192" customFormat="1" ht="85">
      <c r="A21" s="102">
        <v>1</v>
      </c>
      <c r="B21" s="295" t="s">
        <v>95</v>
      </c>
      <c r="C21" s="249" t="s">
        <v>95</v>
      </c>
      <c r="D21" s="190" t="s">
        <v>96</v>
      </c>
      <c r="E21" s="248">
        <f>LEN(D21)</f>
        <v>177</v>
      </c>
      <c r="F21" s="248" t="s">
        <v>97</v>
      </c>
      <c r="G21" s="248" t="s">
        <v>23</v>
      </c>
      <c r="H21" s="248" t="s">
        <v>23</v>
      </c>
      <c r="I21" s="248" t="s">
        <v>26</v>
      </c>
      <c r="J21" s="188" t="s">
        <v>98</v>
      </c>
      <c r="K21" s="266" t="s">
        <v>23</v>
      </c>
      <c r="L21" s="247" t="s">
        <v>99</v>
      </c>
      <c r="M21" s="246"/>
      <c r="N21" s="71"/>
      <c r="O21" s="318">
        <f>1</f>
        <v>1</v>
      </c>
      <c r="P21" s="186"/>
      <c r="R21" s="478" t="s">
        <v>57</v>
      </c>
      <c r="S21" s="193"/>
      <c r="V21" s="321">
        <v>9.8907184600830078</v>
      </c>
      <c r="W21" s="321">
        <f t="shared" si="4"/>
        <v>9.8907184600830078</v>
      </c>
      <c r="X21" s="186">
        <f t="shared" si="5"/>
        <v>9.8907184600830078</v>
      </c>
    </row>
    <row r="22" spans="1:24" s="192" customFormat="1" ht="153">
      <c r="A22" s="102">
        <f>A21+1</f>
        <v>2</v>
      </c>
      <c r="B22" s="231" t="s">
        <v>100</v>
      </c>
      <c r="C22" s="191" t="s">
        <v>100</v>
      </c>
      <c r="D22" s="212" t="s">
        <v>101</v>
      </c>
      <c r="E22" s="197">
        <f>LEN(D22)</f>
        <v>168</v>
      </c>
      <c r="F22" s="206" t="s">
        <v>30</v>
      </c>
      <c r="G22" s="197" t="s">
        <v>23</v>
      </c>
      <c r="H22" s="197" t="s">
        <v>23</v>
      </c>
      <c r="I22" s="197" t="s">
        <v>31</v>
      </c>
      <c r="J22" s="196" t="s">
        <v>102</v>
      </c>
      <c r="K22" s="266" t="s">
        <v>23</v>
      </c>
      <c r="L22" s="188" t="s">
        <v>103</v>
      </c>
      <c r="M22" s="90"/>
      <c r="N22" s="10"/>
      <c r="O22" s="318">
        <f>1</f>
        <v>1</v>
      </c>
      <c r="P22" s="186"/>
      <c r="R22" s="478" t="s">
        <v>57</v>
      </c>
      <c r="S22" s="193"/>
      <c r="V22" s="321">
        <v>1.7156481742858887</v>
      </c>
      <c r="W22" s="321">
        <f t="shared" si="4"/>
        <v>1.7156481742858887</v>
      </c>
      <c r="X22" s="186">
        <f t="shared" si="5"/>
        <v>1.7156481742858887</v>
      </c>
    </row>
    <row r="23" spans="1:24" s="192" customFormat="1">
      <c r="A23" s="102"/>
      <c r="B23" s="309"/>
      <c r="C23" s="103"/>
      <c r="D23" s="174"/>
      <c r="E23" s="48"/>
      <c r="F23" s="104"/>
      <c r="G23" s="48"/>
      <c r="H23" s="48"/>
      <c r="I23" s="48"/>
      <c r="J23" s="90"/>
      <c r="K23" s="90"/>
      <c r="L23" s="90"/>
      <c r="M23" s="90"/>
      <c r="N23" s="10"/>
      <c r="O23" s="323">
        <f>1</f>
        <v>1</v>
      </c>
      <c r="P23" s="186"/>
      <c r="R23" s="244"/>
      <c r="S23" s="193"/>
      <c r="V23" s="322"/>
      <c r="W23" s="322" t="str">
        <f t="shared" si="4"/>
        <v/>
      </c>
      <c r="X23" s="186" t="str">
        <f t="shared" si="5"/>
        <v/>
      </c>
    </row>
    <row r="24" spans="1:24" s="334" customFormat="1" ht="136">
      <c r="A24" s="389"/>
      <c r="B24" s="344" t="s">
        <v>104</v>
      </c>
      <c r="C24" s="345" t="s">
        <v>104</v>
      </c>
      <c r="D24" s="346" t="s">
        <v>105</v>
      </c>
      <c r="E24" s="347">
        <f t="shared" ref="E24:E31" si="6">LEN(D24)</f>
        <v>134</v>
      </c>
      <c r="F24" s="348" t="s">
        <v>30</v>
      </c>
      <c r="G24" s="347" t="s">
        <v>23</v>
      </c>
      <c r="H24" s="347" t="s">
        <v>23</v>
      </c>
      <c r="I24" s="347" t="s">
        <v>31</v>
      </c>
      <c r="J24" s="349" t="s">
        <v>106</v>
      </c>
      <c r="K24" s="266" t="s">
        <v>23</v>
      </c>
      <c r="L24" s="349" t="s">
        <v>107</v>
      </c>
      <c r="M24" s="350"/>
      <c r="N24" s="351"/>
      <c r="O24" s="330">
        <f>1</f>
        <v>1</v>
      </c>
      <c r="P24" s="333"/>
      <c r="R24" s="473" t="s">
        <v>108</v>
      </c>
      <c r="S24" s="335"/>
      <c r="V24" s="331">
        <v>6.375236988067627</v>
      </c>
      <c r="W24" s="321">
        <f t="shared" si="4"/>
        <v>6.375236988067627</v>
      </c>
      <c r="X24" s="186" t="str">
        <f t="shared" si="5"/>
        <v/>
      </c>
    </row>
    <row r="25" spans="1:24" s="334" customFormat="1" ht="51">
      <c r="A25" s="389"/>
      <c r="B25" s="344" t="s">
        <v>109</v>
      </c>
      <c r="C25" s="345" t="s">
        <v>110</v>
      </c>
      <c r="D25" s="412" t="s">
        <v>111</v>
      </c>
      <c r="E25" s="347">
        <f t="shared" si="6"/>
        <v>63</v>
      </c>
      <c r="F25" s="348" t="s">
        <v>25</v>
      </c>
      <c r="G25" s="347" t="s">
        <v>23</v>
      </c>
      <c r="H25" s="347" t="s">
        <v>23</v>
      </c>
      <c r="I25" s="347" t="s">
        <v>26</v>
      </c>
      <c r="J25" s="349" t="s">
        <v>112</v>
      </c>
      <c r="K25" s="266" t="s">
        <v>23</v>
      </c>
      <c r="L25" s="352" t="s">
        <v>113</v>
      </c>
      <c r="M25" s="353"/>
      <c r="N25" s="351"/>
      <c r="O25" s="330">
        <f>1</f>
        <v>1</v>
      </c>
      <c r="P25" s="333"/>
      <c r="R25" s="473" t="s">
        <v>108</v>
      </c>
      <c r="S25" s="335"/>
      <c r="V25" s="331">
        <v>28.700000762939453</v>
      </c>
      <c r="W25" s="321">
        <f t="shared" si="4"/>
        <v>28.700000762939453</v>
      </c>
      <c r="X25" s="186" t="str">
        <f t="shared" si="5"/>
        <v/>
      </c>
    </row>
    <row r="26" spans="1:24" s="334" customFormat="1" ht="204">
      <c r="A26" s="332"/>
      <c r="B26" s="354" t="s">
        <v>114</v>
      </c>
      <c r="C26" s="355" t="s">
        <v>114</v>
      </c>
      <c r="D26" s="502" t="s">
        <v>115</v>
      </c>
      <c r="E26" s="343">
        <f t="shared" si="6"/>
        <v>320</v>
      </c>
      <c r="F26" s="356" t="s">
        <v>30</v>
      </c>
      <c r="G26" s="343" t="s">
        <v>23</v>
      </c>
      <c r="H26" s="343" t="s">
        <v>23</v>
      </c>
      <c r="I26" s="343" t="s">
        <v>31</v>
      </c>
      <c r="J26" s="490" t="s">
        <v>116</v>
      </c>
      <c r="K26" s="266" t="s">
        <v>23</v>
      </c>
      <c r="L26" s="492" t="s">
        <v>117</v>
      </c>
      <c r="M26" s="357"/>
      <c r="N26" s="342"/>
      <c r="O26" s="330">
        <f>1</f>
        <v>1</v>
      </c>
      <c r="P26" s="333"/>
      <c r="R26" s="473" t="s">
        <v>108</v>
      </c>
      <c r="S26" s="335"/>
      <c r="V26" s="331">
        <v>10.141817092895508</v>
      </c>
      <c r="W26" s="321">
        <f t="shared" si="4"/>
        <v>10.141817092895508</v>
      </c>
      <c r="X26" s="186" t="str">
        <f t="shared" si="5"/>
        <v/>
      </c>
    </row>
    <row r="27" spans="1:24" s="334" customFormat="1" ht="51">
      <c r="A27" s="332"/>
      <c r="B27" s="354" t="s">
        <v>118</v>
      </c>
      <c r="C27" s="355" t="s">
        <v>118</v>
      </c>
      <c r="D27" s="412" t="s">
        <v>119</v>
      </c>
      <c r="E27" s="343">
        <f t="shared" si="6"/>
        <v>73</v>
      </c>
      <c r="F27" s="356" t="s">
        <v>25</v>
      </c>
      <c r="G27" s="343" t="s">
        <v>23</v>
      </c>
      <c r="H27" s="343" t="s">
        <v>23</v>
      </c>
      <c r="I27" s="343" t="s">
        <v>26</v>
      </c>
      <c r="J27" s="341" t="s">
        <v>120</v>
      </c>
      <c r="K27" s="266" t="s">
        <v>23</v>
      </c>
      <c r="L27" s="358" t="s">
        <v>121</v>
      </c>
      <c r="M27" s="359"/>
      <c r="N27" s="342"/>
      <c r="O27" s="330">
        <f>1</f>
        <v>1</v>
      </c>
      <c r="P27" s="333"/>
      <c r="R27" s="473" t="s">
        <v>108</v>
      </c>
      <c r="S27" s="335"/>
      <c r="V27" s="331">
        <v>21.659982681274414</v>
      </c>
      <c r="W27" s="321">
        <f t="shared" si="4"/>
        <v>21.659982681274414</v>
      </c>
      <c r="X27" s="186" t="str">
        <f t="shared" si="5"/>
        <v/>
      </c>
    </row>
    <row r="28" spans="1:24" s="334" customFormat="1" ht="102">
      <c r="A28" s="332"/>
      <c r="B28" s="354" t="s">
        <v>122</v>
      </c>
      <c r="C28" s="355" t="s">
        <v>122</v>
      </c>
      <c r="D28" s="412" t="s">
        <v>123</v>
      </c>
      <c r="E28" s="343">
        <f t="shared" si="6"/>
        <v>98</v>
      </c>
      <c r="F28" s="356" t="s">
        <v>25</v>
      </c>
      <c r="G28" s="343" t="s">
        <v>23</v>
      </c>
      <c r="H28" s="493" t="s">
        <v>124</v>
      </c>
      <c r="I28" s="343" t="s">
        <v>26</v>
      </c>
      <c r="J28" s="341" t="s">
        <v>125</v>
      </c>
      <c r="K28" s="266" t="s">
        <v>23</v>
      </c>
      <c r="L28" s="491" t="s">
        <v>126</v>
      </c>
      <c r="M28" s="329"/>
      <c r="N28" s="342"/>
      <c r="O28" s="330">
        <f>1</f>
        <v>1</v>
      </c>
      <c r="P28" s="333"/>
      <c r="R28" s="473" t="s">
        <v>108</v>
      </c>
      <c r="S28" s="335"/>
      <c r="V28" s="331">
        <v>11.821796417236328</v>
      </c>
      <c r="W28" s="321">
        <f t="shared" si="4"/>
        <v>11.821796417236328</v>
      </c>
      <c r="X28" s="186" t="str">
        <f t="shared" si="5"/>
        <v/>
      </c>
    </row>
    <row r="29" spans="1:24" s="334" customFormat="1" ht="204">
      <c r="A29" s="332"/>
      <c r="B29" s="354" t="s">
        <v>127</v>
      </c>
      <c r="C29" s="355" t="s">
        <v>127</v>
      </c>
      <c r="D29" s="502" t="s">
        <v>115</v>
      </c>
      <c r="E29" s="343">
        <f t="shared" si="6"/>
        <v>320</v>
      </c>
      <c r="F29" s="356" t="s">
        <v>30</v>
      </c>
      <c r="G29" s="343" t="s">
        <v>23</v>
      </c>
      <c r="H29" s="343" t="s">
        <v>23</v>
      </c>
      <c r="I29" s="343" t="s">
        <v>31</v>
      </c>
      <c r="J29" s="490" t="s">
        <v>128</v>
      </c>
      <c r="K29" s="266" t="s">
        <v>23</v>
      </c>
      <c r="L29" s="492" t="s">
        <v>129</v>
      </c>
      <c r="M29" s="357"/>
      <c r="N29" s="342"/>
      <c r="O29" s="330">
        <f>1</f>
        <v>1</v>
      </c>
      <c r="P29" s="333"/>
      <c r="R29" s="473" t="s">
        <v>108</v>
      </c>
      <c r="S29" s="335"/>
      <c r="V29" s="331">
        <v>3.1635940074920654</v>
      </c>
      <c r="W29" s="321">
        <f t="shared" si="4"/>
        <v>3.1635940074920654</v>
      </c>
      <c r="X29" s="186" t="str">
        <f t="shared" si="5"/>
        <v/>
      </c>
    </row>
    <row r="30" spans="1:24" s="334" customFormat="1" ht="51">
      <c r="A30" s="332"/>
      <c r="B30" s="354" t="s">
        <v>130</v>
      </c>
      <c r="C30" s="355" t="s">
        <v>130</v>
      </c>
      <c r="D30" s="412" t="s">
        <v>119</v>
      </c>
      <c r="E30" s="343">
        <f t="shared" si="6"/>
        <v>73</v>
      </c>
      <c r="F30" s="356" t="s">
        <v>25</v>
      </c>
      <c r="G30" s="343" t="s">
        <v>23</v>
      </c>
      <c r="H30" s="343" t="s">
        <v>23</v>
      </c>
      <c r="I30" s="343" t="s">
        <v>26</v>
      </c>
      <c r="J30" s="341" t="s">
        <v>131</v>
      </c>
      <c r="K30" s="266" t="s">
        <v>23</v>
      </c>
      <c r="L30" s="358" t="s">
        <v>132</v>
      </c>
      <c r="M30" s="359"/>
      <c r="N30" s="342"/>
      <c r="O30" s="330">
        <f>1</f>
        <v>1</v>
      </c>
      <c r="P30" s="333"/>
      <c r="R30" s="473" t="s">
        <v>108</v>
      </c>
      <c r="S30" s="335"/>
      <c r="V30" s="331">
        <v>10.830143928527832</v>
      </c>
      <c r="W30" s="321">
        <f t="shared" si="4"/>
        <v>10.830143928527832</v>
      </c>
      <c r="X30" s="186" t="str">
        <f t="shared" si="5"/>
        <v/>
      </c>
    </row>
    <row r="31" spans="1:24" s="334" customFormat="1" ht="102">
      <c r="A31" s="332"/>
      <c r="B31" s="354" t="s">
        <v>133</v>
      </c>
      <c r="C31" s="354" t="s">
        <v>134</v>
      </c>
      <c r="D31" s="412" t="s">
        <v>123</v>
      </c>
      <c r="E31" s="343">
        <f t="shared" si="6"/>
        <v>98</v>
      </c>
      <c r="F31" s="356" t="s">
        <v>25</v>
      </c>
      <c r="G31" s="343" t="s">
        <v>23</v>
      </c>
      <c r="H31" s="493" t="s">
        <v>135</v>
      </c>
      <c r="I31" s="343" t="s">
        <v>26</v>
      </c>
      <c r="J31" s="341" t="s">
        <v>136</v>
      </c>
      <c r="K31" s="266" t="s">
        <v>23</v>
      </c>
      <c r="L31" s="491" t="s">
        <v>137</v>
      </c>
      <c r="M31" s="329"/>
      <c r="N31" s="342"/>
      <c r="O31" s="330">
        <f>1</f>
        <v>1</v>
      </c>
      <c r="P31" s="333"/>
      <c r="R31" s="473" t="s">
        <v>108</v>
      </c>
      <c r="S31" s="335"/>
      <c r="V31" s="331">
        <v>11.260416984558105</v>
      </c>
      <c r="W31" s="321">
        <f t="shared" si="4"/>
        <v>11.260416984558105</v>
      </c>
      <c r="X31" s="186" t="str">
        <f t="shared" si="5"/>
        <v/>
      </c>
    </row>
    <row r="32" spans="1:24" s="183" customFormat="1">
      <c r="A32" s="76"/>
      <c r="B32" s="294"/>
      <c r="C32" s="294"/>
      <c r="D32" s="80"/>
      <c r="E32" s="77"/>
      <c r="F32" s="78"/>
      <c r="G32" s="77"/>
      <c r="H32" s="77"/>
      <c r="I32" s="77"/>
      <c r="J32" s="79"/>
      <c r="K32" s="84"/>
      <c r="L32" s="81"/>
      <c r="M32" s="82"/>
      <c r="N32" s="73"/>
      <c r="O32" s="323">
        <f>1</f>
        <v>1</v>
      </c>
      <c r="P32" s="186"/>
      <c r="R32" s="185"/>
      <c r="S32" s="184"/>
      <c r="V32" s="322"/>
      <c r="W32" s="322" t="str">
        <f t="shared" si="4"/>
        <v/>
      </c>
      <c r="X32" s="186" t="str">
        <f t="shared" si="5"/>
        <v/>
      </c>
    </row>
    <row r="33" spans="1:25" s="192" customFormat="1" ht="153">
      <c r="A33" s="102">
        <v>3</v>
      </c>
      <c r="B33" s="281" t="s">
        <v>138</v>
      </c>
      <c r="C33" s="191" t="s">
        <v>138</v>
      </c>
      <c r="D33" s="190" t="s">
        <v>139</v>
      </c>
      <c r="E33" s="189">
        <f>LEN(D33)</f>
        <v>226</v>
      </c>
      <c r="F33" s="199" t="s">
        <v>30</v>
      </c>
      <c r="G33" s="189" t="s">
        <v>23</v>
      </c>
      <c r="H33" s="189" t="s">
        <v>23</v>
      </c>
      <c r="I33" s="189" t="s">
        <v>140</v>
      </c>
      <c r="J33" s="446" t="s">
        <v>141</v>
      </c>
      <c r="K33" s="266" t="s">
        <v>23</v>
      </c>
      <c r="L33" s="557" t="s">
        <v>142</v>
      </c>
      <c r="M33" s="328"/>
      <c r="N33" s="10"/>
      <c r="O33" s="318">
        <f>1</f>
        <v>1</v>
      </c>
      <c r="P33" s="186"/>
      <c r="R33" s="478" t="s">
        <v>57</v>
      </c>
      <c r="S33" s="193"/>
      <c r="V33" s="321">
        <v>13.957258919109854</v>
      </c>
      <c r="W33" s="321">
        <f t="shared" si="4"/>
        <v>13.957258919109854</v>
      </c>
      <c r="X33" s="186">
        <f t="shared" si="5"/>
        <v>13.957258919109854</v>
      </c>
    </row>
    <row r="34" spans="1:25" s="192" customFormat="1" ht="119">
      <c r="A34" s="46">
        <f>A33+1</f>
        <v>4</v>
      </c>
      <c r="B34" s="231" t="s">
        <v>143</v>
      </c>
      <c r="C34" s="191" t="s">
        <v>143</v>
      </c>
      <c r="D34" s="447" t="s">
        <v>144</v>
      </c>
      <c r="E34" s="197">
        <f>LEN(D34)</f>
        <v>120</v>
      </c>
      <c r="F34" s="206" t="s">
        <v>30</v>
      </c>
      <c r="G34" s="197" t="s">
        <v>23</v>
      </c>
      <c r="H34" s="197" t="s">
        <v>23</v>
      </c>
      <c r="I34" s="197" t="s">
        <v>145</v>
      </c>
      <c r="J34" s="448" t="s">
        <v>146</v>
      </c>
      <c r="K34" s="266" t="s">
        <v>23</v>
      </c>
      <c r="L34" s="558"/>
      <c r="M34" s="438"/>
      <c r="N34" s="172"/>
      <c r="O34" s="318">
        <f>1</f>
        <v>1</v>
      </c>
      <c r="P34" s="186"/>
      <c r="R34" s="478" t="s">
        <v>57</v>
      </c>
      <c r="S34" s="193"/>
      <c r="V34" s="321">
        <v>7.9549989700317383</v>
      </c>
      <c r="W34" s="321">
        <f t="shared" si="4"/>
        <v>7.9549989700317383</v>
      </c>
      <c r="X34" s="186">
        <f t="shared" si="5"/>
        <v>7.9549989700317383</v>
      </c>
    </row>
    <row r="35" spans="1:25" s="192" customFormat="1" ht="153">
      <c r="A35" s="116"/>
      <c r="B35" s="283" t="s">
        <v>147</v>
      </c>
      <c r="C35" s="182" t="s">
        <v>147</v>
      </c>
      <c r="D35" s="212" t="s">
        <v>148</v>
      </c>
      <c r="E35" s="197">
        <f>LEN(D35)</f>
        <v>218</v>
      </c>
      <c r="F35" s="206" t="s">
        <v>30</v>
      </c>
      <c r="G35" s="206" t="s">
        <v>23</v>
      </c>
      <c r="H35" s="206" t="s">
        <v>23</v>
      </c>
      <c r="I35" s="206" t="s">
        <v>31</v>
      </c>
      <c r="J35" s="196" t="s">
        <v>149</v>
      </c>
      <c r="K35" s="266" t="s">
        <v>23</v>
      </c>
      <c r="L35" s="445"/>
      <c r="M35" s="415"/>
      <c r="N35" s="416"/>
      <c r="O35" s="321"/>
      <c r="P35" s="321"/>
      <c r="Q35" s="186"/>
      <c r="R35" s="478" t="s">
        <v>22</v>
      </c>
      <c r="S35" s="244"/>
      <c r="T35" s="193"/>
      <c r="W35" s="321"/>
      <c r="X35" s="321"/>
      <c r="Y35" s="186"/>
    </row>
    <row r="36" spans="1:25" s="192" customFormat="1" ht="272">
      <c r="A36" s="116" t="e">
        <f>#REF!+1</f>
        <v>#REF!</v>
      </c>
      <c r="B36" s="283" t="s">
        <v>150</v>
      </c>
      <c r="C36" s="230" t="s">
        <v>150</v>
      </c>
      <c r="D36" s="212" t="s">
        <v>151</v>
      </c>
      <c r="E36" s="197">
        <f>LEN(D36)</f>
        <v>658</v>
      </c>
      <c r="F36" s="206" t="s">
        <v>30</v>
      </c>
      <c r="G36" s="197" t="s">
        <v>23</v>
      </c>
      <c r="H36" s="197" t="s">
        <v>23</v>
      </c>
      <c r="I36" s="197" t="s">
        <v>31</v>
      </c>
      <c r="J36" s="212" t="s">
        <v>152</v>
      </c>
      <c r="K36" s="266" t="s">
        <v>23</v>
      </c>
      <c r="L36" s="494" t="s">
        <v>153</v>
      </c>
      <c r="M36" s="495"/>
      <c r="N36" s="497"/>
      <c r="O36" s="318">
        <f>1</f>
        <v>1</v>
      </c>
      <c r="P36" s="186"/>
      <c r="R36" s="478" t="s">
        <v>57</v>
      </c>
      <c r="S36" s="193"/>
      <c r="V36" s="321">
        <v>24.410839080810547</v>
      </c>
      <c r="W36" s="321">
        <f t="shared" ref="W36:W68" si="7">IF(V36="","",V36*O36)</f>
        <v>24.410839080810547</v>
      </c>
      <c r="X36" s="186">
        <f t="shared" si="5"/>
        <v>24.410839080810547</v>
      </c>
    </row>
    <row r="37" spans="1:25" s="192" customFormat="1" ht="200" customHeight="1">
      <c r="A37" s="14"/>
      <c r="B37" s="282" t="s">
        <v>154</v>
      </c>
      <c r="C37" s="17" t="s">
        <v>154</v>
      </c>
      <c r="D37" s="15" t="s">
        <v>155</v>
      </c>
      <c r="E37" s="16">
        <v>116</v>
      </c>
      <c r="F37" s="17" t="s">
        <v>30</v>
      </c>
      <c r="G37" s="16" t="s">
        <v>23</v>
      </c>
      <c r="H37" s="16" t="s">
        <v>23</v>
      </c>
      <c r="I37" s="16" t="s">
        <v>31</v>
      </c>
      <c r="J37" s="18" t="s">
        <v>156</v>
      </c>
      <c r="K37" s="84" t="s">
        <v>23</v>
      </c>
      <c r="L37" s="38" t="s">
        <v>157</v>
      </c>
      <c r="M37" s="63"/>
      <c r="N37" s="496" t="s">
        <v>158</v>
      </c>
      <c r="O37" s="323"/>
      <c r="P37" s="186"/>
      <c r="R37" s="478" t="s">
        <v>22</v>
      </c>
      <c r="S37" s="193"/>
      <c r="V37" s="322"/>
      <c r="W37" s="322"/>
      <c r="X37" s="186"/>
    </row>
    <row r="38" spans="1:25" s="192" customFormat="1" ht="17" thickBot="1">
      <c r="A38" s="105"/>
      <c r="B38" s="310"/>
      <c r="C38" s="317"/>
      <c r="D38" s="92"/>
      <c r="E38" s="106"/>
      <c r="F38" s="107"/>
      <c r="G38" s="106"/>
      <c r="H38" s="106"/>
      <c r="I38" s="106"/>
      <c r="J38" s="92"/>
      <c r="K38" s="92"/>
      <c r="L38" s="92"/>
      <c r="M38" s="92"/>
      <c r="N38" s="25"/>
      <c r="O38" s="323">
        <f>1</f>
        <v>1</v>
      </c>
      <c r="P38" s="186"/>
      <c r="R38" s="244"/>
      <c r="S38" s="193"/>
      <c r="V38" s="322"/>
      <c r="W38" s="321" t="str">
        <f t="shared" si="7"/>
        <v/>
      </c>
      <c r="X38" s="186" t="str">
        <f t="shared" si="5"/>
        <v/>
      </c>
    </row>
    <row r="39" spans="1:25" s="192" customFormat="1" ht="17" thickBot="1">
      <c r="A39" s="549" t="s">
        <v>159</v>
      </c>
      <c r="B39" s="550"/>
      <c r="C39" s="550"/>
      <c r="D39" s="550"/>
      <c r="E39" s="550"/>
      <c r="F39" s="550"/>
      <c r="G39" s="550"/>
      <c r="H39" s="550"/>
      <c r="I39" s="550"/>
      <c r="J39" s="550"/>
      <c r="K39" s="550"/>
      <c r="L39" s="550"/>
      <c r="M39" s="550"/>
      <c r="N39" s="551"/>
      <c r="O39" s="323"/>
      <c r="P39" s="186"/>
      <c r="R39" s="194"/>
      <c r="S39" s="193"/>
      <c r="V39" s="322"/>
      <c r="W39" s="321" t="str">
        <f t="shared" si="7"/>
        <v/>
      </c>
      <c r="X39" s="186" t="str">
        <f t="shared" si="5"/>
        <v/>
      </c>
    </row>
    <row r="40" spans="1:25" s="192" customFormat="1">
      <c r="A40" s="241"/>
      <c r="B40" s="241"/>
      <c r="C40" s="241"/>
      <c r="D40" s="109"/>
      <c r="E40" s="241"/>
      <c r="F40" s="241"/>
      <c r="G40" s="241"/>
      <c r="H40" s="241"/>
      <c r="I40" s="241"/>
      <c r="J40" s="241"/>
      <c r="K40" s="241"/>
      <c r="L40" s="241"/>
      <c r="M40" s="241"/>
      <c r="N40" s="52"/>
      <c r="O40" s="323">
        <f>1</f>
        <v>1</v>
      </c>
      <c r="P40" s="186"/>
      <c r="R40" s="194"/>
      <c r="S40" s="193"/>
      <c r="V40" s="322"/>
      <c r="W40" s="322" t="str">
        <f t="shared" si="7"/>
        <v/>
      </c>
      <c r="X40" s="186" t="str">
        <f t="shared" si="5"/>
        <v/>
      </c>
    </row>
    <row r="41" spans="1:25" s="418" customFormat="1" ht="153">
      <c r="A41" s="414" t="e">
        <f>A36+1</f>
        <v>#REF!</v>
      </c>
      <c r="B41" s="442" t="s">
        <v>160</v>
      </c>
      <c r="C41" s="443" t="s">
        <v>160</v>
      </c>
      <c r="D41" s="444" t="s">
        <v>161</v>
      </c>
      <c r="E41" s="443">
        <f>LEN(D41)</f>
        <v>97</v>
      </c>
      <c r="F41" s="443" t="s">
        <v>30</v>
      </c>
      <c r="G41" s="443" t="s">
        <v>23</v>
      </c>
      <c r="H41" s="443" t="s">
        <v>23</v>
      </c>
      <c r="I41" s="443" t="s">
        <v>31</v>
      </c>
      <c r="J41" s="445" t="s">
        <v>162</v>
      </c>
      <c r="K41" s="266" t="s">
        <v>23</v>
      </c>
      <c r="L41" s="445" t="s">
        <v>163</v>
      </c>
      <c r="M41" s="415"/>
      <c r="N41" s="416"/>
      <c r="O41" s="413">
        <v>1</v>
      </c>
      <c r="P41" s="417"/>
      <c r="R41" s="477" t="s">
        <v>57</v>
      </c>
      <c r="S41" s="419"/>
      <c r="V41" s="484">
        <v>10.5</v>
      </c>
      <c r="W41" s="321">
        <f t="shared" si="7"/>
        <v>10.5</v>
      </c>
      <c r="X41" s="417">
        <f t="shared" si="5"/>
        <v>10.5</v>
      </c>
    </row>
    <row r="42" spans="1:25" s="192" customFormat="1" ht="136">
      <c r="A42" s="102" t="e">
        <f>A41+1</f>
        <v>#REF!</v>
      </c>
      <c r="B42" s="281" t="s">
        <v>164</v>
      </c>
      <c r="C42" s="191" t="s">
        <v>164</v>
      </c>
      <c r="D42" s="243" t="s">
        <v>165</v>
      </c>
      <c r="E42" s="189">
        <f>LEN(D42)</f>
        <v>116</v>
      </c>
      <c r="F42" s="191" t="s">
        <v>30</v>
      </c>
      <c r="G42" s="189" t="s">
        <v>23</v>
      </c>
      <c r="H42" s="189" t="s">
        <v>23</v>
      </c>
      <c r="I42" s="189" t="s">
        <v>31</v>
      </c>
      <c r="J42" s="188" t="s">
        <v>166</v>
      </c>
      <c r="K42" s="266" t="s">
        <v>23</v>
      </c>
      <c r="L42" s="188" t="s">
        <v>167</v>
      </c>
      <c r="M42" s="90"/>
      <c r="N42" s="52"/>
      <c r="O42" s="318">
        <f>1</f>
        <v>1</v>
      </c>
      <c r="P42" s="186"/>
      <c r="R42" s="472" t="s">
        <v>57</v>
      </c>
      <c r="S42" s="193"/>
      <c r="V42" s="321">
        <v>10.504533767700195</v>
      </c>
      <c r="W42" s="321">
        <f t="shared" si="7"/>
        <v>10.504533767700195</v>
      </c>
      <c r="X42" s="186">
        <f t="shared" si="5"/>
        <v>10.504533767700195</v>
      </c>
    </row>
    <row r="43" spans="1:25" s="192" customFormat="1">
      <c r="A43" s="102"/>
      <c r="B43" s="309"/>
      <c r="C43" s="103"/>
      <c r="D43" s="108"/>
      <c r="E43" s="109"/>
      <c r="F43" s="103"/>
      <c r="G43" s="109"/>
      <c r="H43" s="109"/>
      <c r="I43" s="109"/>
      <c r="J43" s="90"/>
      <c r="K43" s="90"/>
      <c r="L43" s="90"/>
      <c r="M43" s="90"/>
      <c r="N43" s="52"/>
      <c r="O43" s="323">
        <f>1</f>
        <v>1</v>
      </c>
      <c r="P43" s="186"/>
      <c r="R43" s="194"/>
      <c r="S43" s="193"/>
      <c r="V43" s="322"/>
      <c r="W43" s="322" t="str">
        <f t="shared" si="7"/>
        <v/>
      </c>
      <c r="X43" s="186" t="str">
        <f t="shared" si="5"/>
        <v/>
      </c>
    </row>
    <row r="44" spans="1:25" s="192" customFormat="1" ht="187">
      <c r="A44" s="46" t="e">
        <f>A42+1</f>
        <v>#REF!</v>
      </c>
      <c r="B44" s="231" t="s">
        <v>168</v>
      </c>
      <c r="C44" s="191" t="s">
        <v>168</v>
      </c>
      <c r="D44" s="526" t="s">
        <v>169</v>
      </c>
      <c r="E44" s="197">
        <f>LEN(D44)</f>
        <v>314</v>
      </c>
      <c r="F44" s="198" t="s">
        <v>30</v>
      </c>
      <c r="G44" s="197" t="s">
        <v>23</v>
      </c>
      <c r="H44" s="197" t="s">
        <v>23</v>
      </c>
      <c r="I44" s="197" t="s">
        <v>31</v>
      </c>
      <c r="J44" s="196" t="s">
        <v>170</v>
      </c>
      <c r="K44" s="266" t="s">
        <v>23</v>
      </c>
      <c r="L44" s="188" t="s">
        <v>171</v>
      </c>
      <c r="M44" s="90"/>
      <c r="N44" s="25"/>
      <c r="O44" s="318">
        <f>1</f>
        <v>1</v>
      </c>
      <c r="P44" s="186"/>
      <c r="R44" s="472" t="s">
        <v>57</v>
      </c>
      <c r="S44" s="193"/>
      <c r="V44" s="321">
        <v>12.42189884185791</v>
      </c>
      <c r="W44" s="321">
        <f t="shared" si="7"/>
        <v>12.42189884185791</v>
      </c>
      <c r="X44" s="186">
        <f t="shared" si="5"/>
        <v>12.42189884185791</v>
      </c>
    </row>
    <row r="45" spans="1:25" s="192" customFormat="1">
      <c r="A45" s="46"/>
      <c r="B45" s="229"/>
      <c r="C45" s="103"/>
      <c r="D45" s="47"/>
      <c r="E45" s="48"/>
      <c r="F45" s="49"/>
      <c r="G45" s="48"/>
      <c r="H45" s="48"/>
      <c r="I45" s="48"/>
      <c r="J45" s="98"/>
      <c r="K45" s="90"/>
      <c r="L45" s="90"/>
      <c r="M45" s="90"/>
      <c r="N45" s="25"/>
      <c r="O45" s="323">
        <f>1</f>
        <v>1</v>
      </c>
      <c r="P45" s="186"/>
      <c r="R45" s="194"/>
      <c r="S45" s="193"/>
      <c r="V45" s="322"/>
      <c r="W45" s="322" t="str">
        <f t="shared" si="7"/>
        <v/>
      </c>
      <c r="X45" s="186" t="str">
        <f t="shared" si="5"/>
        <v/>
      </c>
    </row>
    <row r="46" spans="1:25" s="192" customFormat="1" ht="272">
      <c r="A46" s="46">
        <v>10</v>
      </c>
      <c r="B46" s="229" t="s">
        <v>172</v>
      </c>
      <c r="C46" s="228" t="s">
        <v>172</v>
      </c>
      <c r="D46" s="47" t="s">
        <v>173</v>
      </c>
      <c r="E46" s="48">
        <f>LEN(D46)</f>
        <v>313</v>
      </c>
      <c r="F46" s="49" t="s">
        <v>30</v>
      </c>
      <c r="G46" s="48" t="s">
        <v>23</v>
      </c>
      <c r="H46" s="48" t="s">
        <v>23</v>
      </c>
      <c r="I46" s="48" t="s">
        <v>31</v>
      </c>
      <c r="J46" s="293" t="s">
        <v>174</v>
      </c>
      <c r="K46" s="84" t="s">
        <v>23</v>
      </c>
      <c r="L46" s="227" t="s">
        <v>175</v>
      </c>
      <c r="M46" s="68"/>
      <c r="N46" s="559" t="s">
        <v>176</v>
      </c>
      <c r="O46" s="323">
        <f>1</f>
        <v>1</v>
      </c>
      <c r="P46" s="186"/>
      <c r="R46" s="194" t="s">
        <v>57</v>
      </c>
      <c r="S46" s="193"/>
      <c r="V46" s="322">
        <v>16.615655899047852</v>
      </c>
      <c r="W46" s="322">
        <f t="shared" si="7"/>
        <v>16.615655899047852</v>
      </c>
      <c r="X46" s="186">
        <f t="shared" si="5"/>
        <v>16.615655899047852</v>
      </c>
    </row>
    <row r="47" spans="1:25" s="192" customFormat="1" ht="187">
      <c r="A47" s="46">
        <v>10</v>
      </c>
      <c r="B47" s="229" t="s">
        <v>177</v>
      </c>
      <c r="C47" s="228" t="s">
        <v>177</v>
      </c>
      <c r="D47" s="47" t="s">
        <v>178</v>
      </c>
      <c r="E47" s="48">
        <f>LEN(D47)</f>
        <v>312</v>
      </c>
      <c r="F47" s="49" t="s">
        <v>30</v>
      </c>
      <c r="G47" s="48" t="s">
        <v>23</v>
      </c>
      <c r="H47" s="48" t="s">
        <v>23</v>
      </c>
      <c r="I47" s="48" t="s">
        <v>31</v>
      </c>
      <c r="J47" s="293" t="s">
        <v>179</v>
      </c>
      <c r="K47" s="84" t="s">
        <v>23</v>
      </c>
      <c r="L47" s="227" t="s">
        <v>175</v>
      </c>
      <c r="M47" s="68"/>
      <c r="N47" s="560"/>
      <c r="O47" s="323">
        <f>1</f>
        <v>1</v>
      </c>
      <c r="P47" s="186"/>
      <c r="R47" s="194" t="s">
        <v>57</v>
      </c>
      <c r="S47" s="193"/>
      <c r="V47" s="322">
        <v>12.600021362304688</v>
      </c>
      <c r="W47" s="322">
        <f t="shared" si="7"/>
        <v>12.600021362304688</v>
      </c>
      <c r="X47" s="186">
        <f t="shared" si="5"/>
        <v>12.600021362304688</v>
      </c>
    </row>
    <row r="48" spans="1:25" s="192" customFormat="1" ht="204">
      <c r="A48" s="46">
        <v>10</v>
      </c>
      <c r="B48" s="229" t="s">
        <v>180</v>
      </c>
      <c r="C48" s="228" t="s">
        <v>180</v>
      </c>
      <c r="D48" s="47" t="s">
        <v>181</v>
      </c>
      <c r="E48" s="48">
        <f>LEN(D48)</f>
        <v>255</v>
      </c>
      <c r="F48" s="49" t="s">
        <v>30</v>
      </c>
      <c r="G48" s="48" t="s">
        <v>23</v>
      </c>
      <c r="H48" s="48" t="s">
        <v>23</v>
      </c>
      <c r="I48" s="48" t="s">
        <v>31</v>
      </c>
      <c r="J48" s="420" t="s">
        <v>182</v>
      </c>
      <c r="K48" s="84" t="s">
        <v>23</v>
      </c>
      <c r="L48" s="227" t="s">
        <v>175</v>
      </c>
      <c r="M48" s="68"/>
      <c r="N48" s="561"/>
      <c r="O48" s="323">
        <f>1</f>
        <v>1</v>
      </c>
      <c r="P48" s="186"/>
      <c r="R48" s="194" t="s">
        <v>57</v>
      </c>
      <c r="S48" s="193"/>
      <c r="V48" s="322">
        <v>11.655922889709473</v>
      </c>
      <c r="W48" s="322">
        <f t="shared" si="7"/>
        <v>11.655922889709473</v>
      </c>
      <c r="X48" s="186">
        <f t="shared" si="5"/>
        <v>11.655922889709473</v>
      </c>
    </row>
    <row r="49" spans="1:24" s="192" customFormat="1">
      <c r="A49" s="46"/>
      <c r="B49" s="229"/>
      <c r="C49" s="314"/>
      <c r="D49" s="527"/>
      <c r="E49" s="109"/>
      <c r="F49" s="103"/>
      <c r="G49" s="109"/>
      <c r="H49" s="109"/>
      <c r="I49" s="109"/>
      <c r="J49" s="165"/>
      <c r="K49" s="90"/>
      <c r="L49" s="316"/>
      <c r="M49" s="316"/>
      <c r="N49" s="388"/>
      <c r="O49" s="323">
        <f>1</f>
        <v>1</v>
      </c>
      <c r="P49" s="186"/>
      <c r="R49" s="194"/>
      <c r="S49" s="193"/>
      <c r="V49" s="322"/>
      <c r="W49" s="322" t="str">
        <f t="shared" si="7"/>
        <v/>
      </c>
      <c r="X49" s="186" t="str">
        <f t="shared" si="5"/>
        <v/>
      </c>
    </row>
    <row r="50" spans="1:24" s="192" customFormat="1" ht="409.5" customHeight="1">
      <c r="A50" s="14">
        <f>A48+1</f>
        <v>11</v>
      </c>
      <c r="B50" s="282" t="s">
        <v>183</v>
      </c>
      <c r="C50" s="17" t="s">
        <v>183</v>
      </c>
      <c r="D50" s="15" t="s">
        <v>184</v>
      </c>
      <c r="E50" s="16">
        <f t="shared" ref="E50:E55" si="8">LEN(D50)</f>
        <v>1333</v>
      </c>
      <c r="F50" s="17" t="s">
        <v>30</v>
      </c>
      <c r="G50" s="16" t="s">
        <v>23</v>
      </c>
      <c r="H50" s="16" t="s">
        <v>23</v>
      </c>
      <c r="I50" s="16" t="s">
        <v>31</v>
      </c>
      <c r="J50" s="18" t="s">
        <v>185</v>
      </c>
      <c r="K50" s="84" t="s">
        <v>23</v>
      </c>
      <c r="L50" s="38" t="s">
        <v>186</v>
      </c>
      <c r="M50" s="63"/>
      <c r="N50" s="52"/>
      <c r="O50" s="323">
        <f>1</f>
        <v>1</v>
      </c>
      <c r="P50" s="186"/>
      <c r="R50" s="194" t="s">
        <v>22</v>
      </c>
      <c r="S50" s="193"/>
      <c r="V50" s="322">
        <v>13.220664978027344</v>
      </c>
      <c r="W50" s="322">
        <f t="shared" si="7"/>
        <v>13.220664978027344</v>
      </c>
      <c r="X50" s="186" t="str">
        <f t="shared" si="5"/>
        <v/>
      </c>
    </row>
    <row r="51" spans="1:24" s="192" customFormat="1" ht="102">
      <c r="A51" s="14">
        <f>A50+1</f>
        <v>12</v>
      </c>
      <c r="B51" s="282" t="s">
        <v>187</v>
      </c>
      <c r="C51" s="21" t="s">
        <v>187</v>
      </c>
      <c r="D51" s="19" t="s">
        <v>188</v>
      </c>
      <c r="E51" s="20">
        <f t="shared" si="8"/>
        <v>269</v>
      </c>
      <c r="F51" s="21" t="s">
        <v>97</v>
      </c>
      <c r="G51" s="20" t="s">
        <v>23</v>
      </c>
      <c r="H51" s="20" t="s">
        <v>23</v>
      </c>
      <c r="I51" s="20" t="s">
        <v>26</v>
      </c>
      <c r="J51" s="22" t="s">
        <v>189</v>
      </c>
      <c r="K51" s="84" t="s">
        <v>23</v>
      </c>
      <c r="L51" s="38" t="s">
        <v>186</v>
      </c>
      <c r="M51" s="63"/>
      <c r="N51" s="10"/>
      <c r="O51" s="323">
        <f>1</f>
        <v>1</v>
      </c>
      <c r="P51" s="186"/>
      <c r="R51" s="194" t="s">
        <v>22</v>
      </c>
      <c r="S51" s="193"/>
      <c r="V51" s="322">
        <v>16.902294158935547</v>
      </c>
      <c r="W51" s="322">
        <f t="shared" si="7"/>
        <v>16.902294158935547</v>
      </c>
      <c r="X51" s="186" t="str">
        <f t="shared" si="5"/>
        <v/>
      </c>
    </row>
    <row r="52" spans="1:24" s="192" customFormat="1" ht="221">
      <c r="A52" s="14">
        <f>A51+1</f>
        <v>13</v>
      </c>
      <c r="B52" s="282" t="s">
        <v>190</v>
      </c>
      <c r="C52" s="291" t="s">
        <v>191</v>
      </c>
      <c r="D52" s="19" t="s">
        <v>192</v>
      </c>
      <c r="E52" s="20">
        <f t="shared" si="8"/>
        <v>439</v>
      </c>
      <c r="F52" s="21" t="s">
        <v>193</v>
      </c>
      <c r="G52" s="20" t="s">
        <v>23</v>
      </c>
      <c r="H52" s="20" t="s">
        <v>23</v>
      </c>
      <c r="I52" s="20" t="s">
        <v>194</v>
      </c>
      <c r="J52" s="22" t="s">
        <v>195</v>
      </c>
      <c r="K52" s="84" t="s">
        <v>196</v>
      </c>
      <c r="L52" s="38" t="s">
        <v>186</v>
      </c>
      <c r="M52" s="63"/>
      <c r="N52" s="74" t="s">
        <v>197</v>
      </c>
      <c r="O52" s="323">
        <f>1</f>
        <v>1</v>
      </c>
      <c r="P52" s="186"/>
      <c r="R52" s="194" t="s">
        <v>22</v>
      </c>
      <c r="S52" s="193"/>
      <c r="V52" s="322">
        <v>16.957803726196289</v>
      </c>
      <c r="W52" s="322">
        <f t="shared" si="7"/>
        <v>16.957803726196289</v>
      </c>
      <c r="X52" s="186" t="str">
        <f t="shared" si="5"/>
        <v/>
      </c>
    </row>
    <row r="53" spans="1:24" s="192" customFormat="1" ht="272">
      <c r="A53" s="14">
        <f>A52+1</f>
        <v>14</v>
      </c>
      <c r="B53" s="282" t="s">
        <v>198</v>
      </c>
      <c r="C53" s="63" t="s">
        <v>199</v>
      </c>
      <c r="D53" s="19" t="s">
        <v>200</v>
      </c>
      <c r="E53" s="20">
        <f t="shared" si="8"/>
        <v>400</v>
      </c>
      <c r="F53" s="21" t="s">
        <v>193</v>
      </c>
      <c r="G53" s="20" t="s">
        <v>23</v>
      </c>
      <c r="H53" s="20" t="s">
        <v>23</v>
      </c>
      <c r="I53" s="20" t="s">
        <v>201</v>
      </c>
      <c r="J53" s="22" t="s">
        <v>202</v>
      </c>
      <c r="K53" s="84" t="s">
        <v>203</v>
      </c>
      <c r="L53" s="38" t="s">
        <v>186</v>
      </c>
      <c r="M53" s="63"/>
      <c r="N53" s="74" t="s">
        <v>197</v>
      </c>
      <c r="O53" s="323">
        <f>1</f>
        <v>1</v>
      </c>
      <c r="P53" s="186"/>
      <c r="R53" s="194" t="s">
        <v>22</v>
      </c>
      <c r="S53" s="193"/>
      <c r="V53" s="322">
        <v>11.022028923034668</v>
      </c>
      <c r="W53" s="322">
        <f t="shared" si="7"/>
        <v>11.022028923034668</v>
      </c>
      <c r="X53" s="186" t="str">
        <f t="shared" si="5"/>
        <v/>
      </c>
    </row>
    <row r="54" spans="1:24" s="192" customFormat="1" ht="187">
      <c r="A54" s="14">
        <f>A53+1</f>
        <v>15</v>
      </c>
      <c r="B54" s="287" t="s">
        <v>204</v>
      </c>
      <c r="C54" s="286" t="s">
        <v>204</v>
      </c>
      <c r="D54" s="15" t="s">
        <v>205</v>
      </c>
      <c r="E54" s="23">
        <f t="shared" si="8"/>
        <v>180</v>
      </c>
      <c r="F54" s="21" t="s">
        <v>30</v>
      </c>
      <c r="G54" s="24" t="s">
        <v>23</v>
      </c>
      <c r="H54" s="24" t="s">
        <v>23</v>
      </c>
      <c r="I54" s="20" t="s">
        <v>31</v>
      </c>
      <c r="J54" s="22" t="s">
        <v>206</v>
      </c>
      <c r="K54" s="84" t="s">
        <v>23</v>
      </c>
      <c r="L54" s="38" t="s">
        <v>186</v>
      </c>
      <c r="M54" s="120"/>
      <c r="N54" s="25"/>
      <c r="O54" s="323">
        <f>1</f>
        <v>1</v>
      </c>
      <c r="P54" s="186"/>
      <c r="R54" s="194" t="s">
        <v>22</v>
      </c>
      <c r="S54" s="193"/>
      <c r="V54" s="322">
        <v>9.9618663787841797</v>
      </c>
      <c r="W54" s="322">
        <f t="shared" si="7"/>
        <v>9.9618663787841797</v>
      </c>
      <c r="X54" s="186" t="str">
        <f t="shared" si="5"/>
        <v/>
      </c>
    </row>
    <row r="55" spans="1:24" s="192" customFormat="1" ht="171" thickBot="1">
      <c r="A55" s="14">
        <f>A54+1</f>
        <v>16</v>
      </c>
      <c r="B55" s="284" t="s">
        <v>207</v>
      </c>
      <c r="C55" s="285" t="s">
        <v>207</v>
      </c>
      <c r="D55" s="27" t="s">
        <v>208</v>
      </c>
      <c r="E55" s="23">
        <f t="shared" si="8"/>
        <v>133</v>
      </c>
      <c r="F55" s="21" t="s">
        <v>30</v>
      </c>
      <c r="G55" s="23" t="s">
        <v>23</v>
      </c>
      <c r="H55" s="23" t="s">
        <v>23</v>
      </c>
      <c r="I55" s="20" t="s">
        <v>31</v>
      </c>
      <c r="J55" s="22" t="s">
        <v>209</v>
      </c>
      <c r="K55" s="84" t="s">
        <v>23</v>
      </c>
      <c r="L55" s="38" t="s">
        <v>186</v>
      </c>
      <c r="M55" s="69"/>
      <c r="N55" s="10"/>
      <c r="O55" s="323">
        <f>1</f>
        <v>1</v>
      </c>
      <c r="P55" s="186"/>
      <c r="R55" s="194" t="s">
        <v>22</v>
      </c>
      <c r="S55" s="193"/>
      <c r="V55" s="322">
        <v>7.02484130859375</v>
      </c>
      <c r="W55" s="322">
        <f t="shared" si="7"/>
        <v>7.02484130859375</v>
      </c>
      <c r="X55" s="186" t="str">
        <f t="shared" si="5"/>
        <v/>
      </c>
    </row>
    <row r="56" spans="1:24" s="469" customFormat="1" ht="17" thickBot="1">
      <c r="A56" s="549" t="s">
        <v>210</v>
      </c>
      <c r="B56" s="550"/>
      <c r="C56" s="550"/>
      <c r="D56" s="550"/>
      <c r="E56" s="550"/>
      <c r="F56" s="550"/>
      <c r="G56" s="550"/>
      <c r="H56" s="550"/>
      <c r="I56" s="550"/>
      <c r="J56" s="550"/>
      <c r="K56" s="550"/>
      <c r="L56" s="550"/>
      <c r="M56" s="550"/>
      <c r="N56" s="551"/>
      <c r="O56" s="318"/>
      <c r="P56" s="474"/>
      <c r="R56" s="472"/>
      <c r="S56" s="475"/>
      <c r="V56" s="321"/>
      <c r="W56" s="321" t="str">
        <f t="shared" si="7"/>
        <v/>
      </c>
      <c r="X56" s="474" t="str">
        <f t="shared" si="5"/>
        <v/>
      </c>
    </row>
    <row r="57" spans="1:24" s="192" customFormat="1">
      <c r="A57" s="241"/>
      <c r="B57" s="241"/>
      <c r="C57" s="241"/>
      <c r="D57" s="109"/>
      <c r="E57" s="241"/>
      <c r="F57" s="241"/>
      <c r="G57" s="241"/>
      <c r="H57" s="241"/>
      <c r="I57" s="241"/>
      <c r="J57" s="241"/>
      <c r="K57" s="90"/>
      <c r="L57" s="241"/>
      <c r="M57" s="241"/>
      <c r="N57" s="52"/>
      <c r="O57" s="323">
        <f>1</f>
        <v>1</v>
      </c>
      <c r="P57" s="186"/>
      <c r="R57" s="194"/>
      <c r="S57" s="193"/>
      <c r="V57" s="322"/>
      <c r="W57" s="322" t="str">
        <f t="shared" si="7"/>
        <v/>
      </c>
      <c r="X57" s="186" t="str">
        <f t="shared" si="5"/>
        <v/>
      </c>
    </row>
    <row r="58" spans="1:24" s="192" customFormat="1" ht="409.6">
      <c r="A58" s="102">
        <f>A55+1</f>
        <v>17</v>
      </c>
      <c r="B58" s="281" t="s">
        <v>211</v>
      </c>
      <c r="C58" s="191" t="s">
        <v>211</v>
      </c>
      <c r="D58" s="190" t="s">
        <v>212</v>
      </c>
      <c r="E58" s="189">
        <f>LEN(D58)</f>
        <v>1222</v>
      </c>
      <c r="F58" s="191" t="s">
        <v>30</v>
      </c>
      <c r="G58" s="189" t="s">
        <v>23</v>
      </c>
      <c r="H58" s="189" t="s">
        <v>23</v>
      </c>
      <c r="I58" s="189" t="s">
        <v>213</v>
      </c>
      <c r="J58" s="188" t="s">
        <v>214</v>
      </c>
      <c r="K58" s="266" t="s">
        <v>23</v>
      </c>
      <c r="L58" s="195" t="s">
        <v>215</v>
      </c>
      <c r="M58" s="53"/>
      <c r="N58" s="52"/>
      <c r="O58" s="318">
        <f>1</f>
        <v>1</v>
      </c>
      <c r="P58" s="186"/>
      <c r="R58" s="472" t="s">
        <v>57</v>
      </c>
      <c r="S58" s="193"/>
      <c r="V58" s="321">
        <v>31.888334274291992</v>
      </c>
      <c r="W58" s="321">
        <f t="shared" si="7"/>
        <v>31.888334274291992</v>
      </c>
      <c r="X58" s="186">
        <f t="shared" si="5"/>
        <v>31.888334274291992</v>
      </c>
    </row>
    <row r="59" spans="1:24" s="192" customFormat="1" ht="136">
      <c r="A59" s="102"/>
      <c r="B59" s="281" t="s">
        <v>216</v>
      </c>
      <c r="C59" s="292" t="s">
        <v>217</v>
      </c>
      <c r="D59" s="196" t="s">
        <v>218</v>
      </c>
      <c r="E59" s="189">
        <f>LEN(D59)</f>
        <v>134</v>
      </c>
      <c r="F59" s="191" t="s">
        <v>30</v>
      </c>
      <c r="G59" s="189" t="s">
        <v>23</v>
      </c>
      <c r="H59" s="189" t="s">
        <v>23</v>
      </c>
      <c r="I59" s="189" t="s">
        <v>31</v>
      </c>
      <c r="J59" s="188" t="s">
        <v>219</v>
      </c>
      <c r="K59" s="266" t="s">
        <v>23</v>
      </c>
      <c r="L59" s="195" t="s">
        <v>220</v>
      </c>
      <c r="M59" s="53"/>
      <c r="N59" s="52"/>
      <c r="O59" s="318">
        <f>1</f>
        <v>1</v>
      </c>
      <c r="P59" s="186"/>
      <c r="R59" s="472" t="s">
        <v>57</v>
      </c>
      <c r="S59" s="193"/>
      <c r="V59" s="321">
        <v>8</v>
      </c>
      <c r="W59" s="321">
        <f t="shared" si="7"/>
        <v>8</v>
      </c>
      <c r="X59" s="186">
        <f t="shared" si="5"/>
        <v>8</v>
      </c>
    </row>
    <row r="60" spans="1:24" s="192" customFormat="1" ht="153">
      <c r="A60" s="102"/>
      <c r="B60" s="281" t="s">
        <v>221</v>
      </c>
      <c r="C60" s="292" t="s">
        <v>222</v>
      </c>
      <c r="D60" s="196" t="s">
        <v>223</v>
      </c>
      <c r="E60" s="189">
        <f>LEN(D60)</f>
        <v>160</v>
      </c>
      <c r="F60" s="191" t="s">
        <v>30</v>
      </c>
      <c r="G60" s="189" t="s">
        <v>23</v>
      </c>
      <c r="H60" s="189" t="s">
        <v>23</v>
      </c>
      <c r="I60" s="189" t="s">
        <v>31</v>
      </c>
      <c r="J60" s="188" t="s">
        <v>219</v>
      </c>
      <c r="K60" s="266" t="s">
        <v>23</v>
      </c>
      <c r="L60" s="195" t="s">
        <v>224</v>
      </c>
      <c r="M60" s="53"/>
      <c r="N60" s="52"/>
      <c r="O60" s="318">
        <f>1</f>
        <v>1</v>
      </c>
      <c r="P60" s="186"/>
      <c r="R60" s="472" t="s">
        <v>57</v>
      </c>
      <c r="S60" s="193"/>
      <c r="V60" s="321">
        <v>8</v>
      </c>
      <c r="W60" s="321">
        <f t="shared" si="7"/>
        <v>8</v>
      </c>
      <c r="X60" s="186">
        <f>IF(R60="yes",W60,"")</f>
        <v>8</v>
      </c>
    </row>
    <row r="61" spans="1:24" s="192" customFormat="1" ht="153">
      <c r="A61" s="102"/>
      <c r="B61" s="281" t="s">
        <v>225</v>
      </c>
      <c r="C61" s="292" t="s">
        <v>226</v>
      </c>
      <c r="D61" s="196" t="s">
        <v>227</v>
      </c>
      <c r="E61" s="189">
        <f>LEN(D61)</f>
        <v>163</v>
      </c>
      <c r="F61" s="191" t="s">
        <v>30</v>
      </c>
      <c r="G61" s="189" t="s">
        <v>23</v>
      </c>
      <c r="H61" s="189" t="s">
        <v>23</v>
      </c>
      <c r="I61" s="189" t="s">
        <v>31</v>
      </c>
      <c r="J61" s="188" t="s">
        <v>219</v>
      </c>
      <c r="K61" s="266" t="s">
        <v>23</v>
      </c>
      <c r="L61" s="195" t="s">
        <v>228</v>
      </c>
      <c r="M61" s="53"/>
      <c r="N61" s="52"/>
      <c r="O61" s="318">
        <f>1</f>
        <v>1</v>
      </c>
      <c r="P61" s="186"/>
      <c r="R61" s="472" t="s">
        <v>57</v>
      </c>
      <c r="S61" s="193"/>
      <c r="V61" s="321">
        <v>8</v>
      </c>
      <c r="W61" s="321">
        <f t="shared" si="7"/>
        <v>8</v>
      </c>
      <c r="X61" s="186">
        <f>IF(R61="yes",W61,"")</f>
        <v>8</v>
      </c>
    </row>
    <row r="62" spans="1:24" s="192" customFormat="1">
      <c r="A62" s="102"/>
      <c r="B62" s="309"/>
      <c r="C62" s="314"/>
      <c r="D62" s="315"/>
      <c r="E62" s="109"/>
      <c r="F62" s="103"/>
      <c r="G62" s="109"/>
      <c r="H62" s="109"/>
      <c r="I62" s="109"/>
      <c r="J62" s="90"/>
      <c r="K62" s="61"/>
      <c r="L62" s="220"/>
      <c r="M62" s="220"/>
      <c r="N62" s="52"/>
      <c r="O62" s="323">
        <f>1</f>
        <v>1</v>
      </c>
      <c r="P62" s="186"/>
      <c r="R62" s="194"/>
      <c r="S62" s="193"/>
      <c r="V62" s="322"/>
      <c r="W62" s="322" t="str">
        <f t="shared" si="7"/>
        <v/>
      </c>
      <c r="X62" s="186" t="str">
        <f t="shared" si="5"/>
        <v/>
      </c>
    </row>
    <row r="63" spans="1:24" s="192" customFormat="1" ht="136">
      <c r="A63" s="14">
        <v>19</v>
      </c>
      <c r="B63" s="282" t="s">
        <v>229</v>
      </c>
      <c r="C63" s="17" t="s">
        <v>229</v>
      </c>
      <c r="D63" s="22" t="s">
        <v>230</v>
      </c>
      <c r="E63" s="20">
        <f>LEN(D63)</f>
        <v>233</v>
      </c>
      <c r="F63" s="20" t="s">
        <v>97</v>
      </c>
      <c r="G63" s="20" t="s">
        <v>23</v>
      </c>
      <c r="H63" s="20" t="s">
        <v>23</v>
      </c>
      <c r="I63" s="20" t="s">
        <v>26</v>
      </c>
      <c r="J63" s="31" t="s">
        <v>231</v>
      </c>
      <c r="K63" s="84" t="s">
        <v>23</v>
      </c>
      <c r="L63" s="421" t="s">
        <v>232</v>
      </c>
      <c r="M63" s="32"/>
      <c r="N63" s="555" t="s">
        <v>233</v>
      </c>
      <c r="O63" s="323">
        <f>1</f>
        <v>1</v>
      </c>
      <c r="P63" s="186"/>
      <c r="R63" s="194" t="s">
        <v>22</v>
      </c>
      <c r="S63" s="193"/>
      <c r="V63" s="322">
        <v>31.963766098022461</v>
      </c>
      <c r="W63" s="322">
        <f t="shared" si="7"/>
        <v>31.963766098022461</v>
      </c>
      <c r="X63" s="186" t="str">
        <f t="shared" si="5"/>
        <v/>
      </c>
    </row>
    <row r="64" spans="1:24" s="192" customFormat="1" ht="119">
      <c r="A64" s="14">
        <v>19</v>
      </c>
      <c r="B64" s="282" t="s">
        <v>234</v>
      </c>
      <c r="C64" s="291" t="s">
        <v>234</v>
      </c>
      <c r="D64" s="22" t="s">
        <v>235</v>
      </c>
      <c r="E64" s="20">
        <f>LEN(D64)</f>
        <v>253</v>
      </c>
      <c r="F64" s="33" t="s">
        <v>30</v>
      </c>
      <c r="G64" s="16" t="s">
        <v>23</v>
      </c>
      <c r="H64" s="16" t="s">
        <v>23</v>
      </c>
      <c r="I64" s="16" t="s">
        <v>31</v>
      </c>
      <c r="J64" s="34" t="s">
        <v>236</v>
      </c>
      <c r="K64" s="84" t="s">
        <v>23</v>
      </c>
      <c r="L64" s="410" t="s">
        <v>237</v>
      </c>
      <c r="M64" s="35"/>
      <c r="N64" s="556"/>
      <c r="O64" s="323">
        <f>1</f>
        <v>1</v>
      </c>
      <c r="P64" s="186"/>
      <c r="R64" s="194" t="s">
        <v>22</v>
      </c>
      <c r="S64" s="193"/>
      <c r="V64" s="322">
        <v>2.2273674011230469</v>
      </c>
      <c r="W64" s="322">
        <f t="shared" si="7"/>
        <v>2.2273674011230469</v>
      </c>
      <c r="X64" s="186" t="str">
        <f t="shared" si="5"/>
        <v/>
      </c>
    </row>
    <row r="65" spans="1:16368" s="192" customFormat="1" ht="170">
      <c r="A65" s="59">
        <v>18</v>
      </c>
      <c r="B65" s="423" t="s">
        <v>238</v>
      </c>
      <c r="C65" s="424" t="s">
        <v>238</v>
      </c>
      <c r="D65" s="58" t="s">
        <v>239</v>
      </c>
      <c r="E65" s="16">
        <f>LEN(D65)</f>
        <v>181</v>
      </c>
      <c r="F65" s="17" t="s">
        <v>30</v>
      </c>
      <c r="G65" s="16" t="s">
        <v>23</v>
      </c>
      <c r="H65" s="16" t="s">
        <v>23</v>
      </c>
      <c r="I65" s="16" t="s">
        <v>31</v>
      </c>
      <c r="J65" s="34" t="s">
        <v>240</v>
      </c>
      <c r="K65" s="84" t="s">
        <v>23</v>
      </c>
      <c r="L65" s="409" t="s">
        <v>241</v>
      </c>
      <c r="M65" s="409"/>
      <c r="N65" s="52"/>
      <c r="O65" s="323">
        <f>1</f>
        <v>1</v>
      </c>
      <c r="P65" s="186"/>
      <c r="R65" s="194" t="s">
        <v>22</v>
      </c>
      <c r="S65" s="193"/>
      <c r="V65" s="322">
        <v>4.7874016761779785</v>
      </c>
      <c r="W65" s="322">
        <f t="shared" si="7"/>
        <v>4.7874016761779785</v>
      </c>
      <c r="X65" s="186" t="str">
        <f t="shared" si="5"/>
        <v/>
      </c>
    </row>
    <row r="66" spans="1:16368" s="192" customFormat="1" ht="153">
      <c r="A66" s="408"/>
      <c r="B66" s="287" t="s">
        <v>242</v>
      </c>
      <c r="C66" s="291" t="s">
        <v>242</v>
      </c>
      <c r="D66" s="37" t="s">
        <v>243</v>
      </c>
      <c r="E66" s="24">
        <f>LEN(D66)</f>
        <v>215</v>
      </c>
      <c r="F66" s="36" t="s">
        <v>30</v>
      </c>
      <c r="G66" s="20" t="s">
        <v>23</v>
      </c>
      <c r="H66" s="20" t="s">
        <v>23</v>
      </c>
      <c r="I66" s="20" t="s">
        <v>31</v>
      </c>
      <c r="J66" s="34" t="s">
        <v>244</v>
      </c>
      <c r="K66" s="84" t="s">
        <v>23</v>
      </c>
      <c r="L66" s="31" t="s">
        <v>245</v>
      </c>
      <c r="M66" s="407"/>
      <c r="N66" s="10"/>
      <c r="O66" s="323">
        <f>1</f>
        <v>1</v>
      </c>
      <c r="P66" s="186"/>
      <c r="Q66" s="528"/>
      <c r="R66" s="194" t="s">
        <v>22</v>
      </c>
      <c r="S66" s="193"/>
      <c r="T66" s="528"/>
      <c r="U66" s="528"/>
      <c r="V66" s="322">
        <v>20.918367385864258</v>
      </c>
      <c r="W66" s="322">
        <f t="shared" si="7"/>
        <v>20.918367385864258</v>
      </c>
      <c r="X66" s="186" t="str">
        <f t="shared" si="5"/>
        <v/>
      </c>
      <c r="Y66" s="528"/>
      <c r="Z66" s="528"/>
      <c r="AA66" s="528"/>
      <c r="AB66" s="528"/>
      <c r="AC66" s="528"/>
      <c r="AD66" s="528"/>
      <c r="AE66" s="528"/>
      <c r="AF66" s="528"/>
      <c r="AG66" s="528"/>
      <c r="AH66" s="528"/>
      <c r="AI66" s="528"/>
      <c r="AJ66" s="528"/>
      <c r="AK66" s="528"/>
      <c r="AL66" s="528"/>
      <c r="AM66" s="528"/>
      <c r="AN66" s="528"/>
      <c r="AO66" s="528"/>
      <c r="AP66" s="528"/>
      <c r="AQ66" s="528"/>
      <c r="AR66" s="528"/>
      <c r="AS66" s="528"/>
      <c r="AT66" s="528"/>
      <c r="AU66" s="528"/>
      <c r="AV66" s="528"/>
      <c r="AW66" s="528"/>
      <c r="AX66" s="528"/>
      <c r="AY66" s="528"/>
      <c r="AZ66" s="528"/>
      <c r="BA66" s="528"/>
      <c r="BB66" s="528"/>
      <c r="BC66" s="528"/>
      <c r="BD66" s="528"/>
      <c r="BE66" s="528"/>
      <c r="BF66" s="528"/>
      <c r="BG66" s="528"/>
      <c r="BH66" s="528"/>
      <c r="BI66" s="528"/>
      <c r="BJ66" s="528"/>
      <c r="BK66" s="528"/>
      <c r="BL66" s="528"/>
      <c r="BM66" s="528"/>
      <c r="BN66" s="528"/>
      <c r="BO66" s="528"/>
      <c r="BP66" s="528"/>
      <c r="BQ66" s="528"/>
      <c r="BR66" s="528"/>
      <c r="BS66" s="528"/>
      <c r="BT66" s="528"/>
      <c r="BU66" s="528"/>
      <c r="BV66" s="528"/>
      <c r="BW66" s="528"/>
      <c r="BX66" s="528"/>
      <c r="BY66" s="528"/>
      <c r="BZ66" s="528"/>
      <c r="CA66" s="528"/>
      <c r="CB66" s="528"/>
      <c r="CC66" s="528"/>
      <c r="CD66" s="528"/>
      <c r="CE66" s="528"/>
      <c r="CF66" s="528"/>
      <c r="CG66" s="528"/>
      <c r="CH66" s="528"/>
      <c r="CI66" s="528"/>
      <c r="CJ66" s="528"/>
      <c r="CK66" s="528"/>
      <c r="CL66" s="528"/>
      <c r="CM66" s="528"/>
      <c r="CN66" s="528"/>
      <c r="CO66" s="528"/>
      <c r="CP66" s="528"/>
      <c r="CQ66" s="528"/>
      <c r="CR66" s="528"/>
      <c r="CS66" s="528"/>
      <c r="CT66" s="528"/>
      <c r="CU66" s="528"/>
      <c r="CV66" s="528"/>
      <c r="CW66" s="528"/>
      <c r="CX66" s="528"/>
      <c r="CY66" s="528"/>
      <c r="CZ66" s="528"/>
      <c r="DA66" s="528"/>
      <c r="DB66" s="528"/>
      <c r="DC66" s="528"/>
      <c r="DD66" s="528"/>
      <c r="DE66" s="528"/>
      <c r="DF66" s="528"/>
      <c r="DG66" s="528"/>
      <c r="DH66" s="528"/>
      <c r="DI66" s="528"/>
      <c r="DJ66" s="528"/>
      <c r="DK66" s="528"/>
      <c r="DL66" s="528"/>
      <c r="DM66" s="528"/>
      <c r="DN66" s="528"/>
      <c r="DO66" s="528"/>
      <c r="DP66" s="528"/>
      <c r="DQ66" s="528"/>
      <c r="DR66" s="528"/>
      <c r="DS66" s="528"/>
      <c r="DT66" s="528"/>
      <c r="DU66" s="528"/>
      <c r="DV66" s="528"/>
      <c r="DW66" s="528"/>
      <c r="DX66" s="528"/>
      <c r="DY66" s="528"/>
      <c r="DZ66" s="528"/>
      <c r="EA66" s="528"/>
      <c r="EB66" s="528"/>
      <c r="EC66" s="528"/>
      <c r="ED66" s="528"/>
      <c r="EE66" s="528"/>
      <c r="EF66" s="528"/>
      <c r="EG66" s="528"/>
      <c r="EH66" s="528"/>
      <c r="EI66" s="528"/>
      <c r="EJ66" s="528"/>
      <c r="EK66" s="528"/>
      <c r="EL66" s="528"/>
      <c r="EM66" s="528"/>
      <c r="EN66" s="528"/>
      <c r="EO66" s="528"/>
      <c r="EP66" s="528"/>
      <c r="EQ66" s="528"/>
      <c r="ER66" s="528"/>
      <c r="ES66" s="528"/>
      <c r="ET66" s="528"/>
      <c r="EU66" s="528"/>
      <c r="EV66" s="528"/>
      <c r="EW66" s="528"/>
      <c r="EX66" s="528"/>
      <c r="EY66" s="528"/>
      <c r="EZ66" s="528"/>
      <c r="FA66" s="528"/>
      <c r="FB66" s="528"/>
      <c r="FC66" s="528"/>
      <c r="FD66" s="528"/>
      <c r="FE66" s="528"/>
      <c r="FF66" s="528"/>
      <c r="FG66" s="528"/>
      <c r="FH66" s="528"/>
      <c r="FI66" s="528"/>
      <c r="FJ66" s="528"/>
      <c r="FK66" s="528"/>
      <c r="FL66" s="528"/>
      <c r="FM66" s="528"/>
      <c r="FN66" s="528"/>
      <c r="FO66" s="528"/>
      <c r="FP66" s="528"/>
      <c r="FQ66" s="528"/>
      <c r="FR66" s="528"/>
      <c r="FS66" s="528"/>
      <c r="FT66" s="528"/>
      <c r="FU66" s="528"/>
      <c r="FV66" s="528"/>
      <c r="FW66" s="528"/>
      <c r="FX66" s="528"/>
      <c r="FY66" s="528"/>
      <c r="FZ66" s="528"/>
      <c r="GA66" s="528"/>
      <c r="GB66" s="528"/>
      <c r="GC66" s="528"/>
      <c r="GD66" s="528"/>
      <c r="GE66" s="528"/>
      <c r="GF66" s="528"/>
      <c r="GG66" s="528"/>
      <c r="GH66" s="528"/>
      <c r="GI66" s="528"/>
      <c r="GJ66" s="528"/>
      <c r="GK66" s="528"/>
      <c r="GL66" s="528"/>
      <c r="GM66" s="528"/>
      <c r="GN66" s="528"/>
      <c r="GO66" s="528"/>
      <c r="GP66" s="528"/>
      <c r="GQ66" s="528"/>
      <c r="GR66" s="528"/>
      <c r="GS66" s="528"/>
      <c r="GT66" s="528"/>
      <c r="GU66" s="528"/>
      <c r="GV66" s="528"/>
      <c r="GW66" s="528"/>
      <c r="GX66" s="528"/>
      <c r="GY66" s="528"/>
      <c r="GZ66" s="528"/>
      <c r="HA66" s="528"/>
      <c r="HB66" s="528"/>
      <c r="HC66" s="528"/>
      <c r="HD66" s="528"/>
      <c r="HE66" s="528"/>
      <c r="HF66" s="528"/>
      <c r="HG66" s="528"/>
      <c r="HH66" s="528"/>
      <c r="HI66" s="528"/>
      <c r="HJ66" s="528"/>
      <c r="HK66" s="528"/>
      <c r="HL66" s="528"/>
      <c r="HM66" s="528"/>
      <c r="HN66" s="528"/>
      <c r="HO66" s="528"/>
      <c r="HP66" s="528"/>
      <c r="HQ66" s="528"/>
      <c r="HR66" s="528"/>
      <c r="HS66" s="528"/>
      <c r="HT66" s="528"/>
      <c r="HU66" s="528"/>
      <c r="HV66" s="528"/>
      <c r="HW66" s="528"/>
      <c r="HX66" s="528"/>
      <c r="HY66" s="528"/>
      <c r="HZ66" s="528"/>
      <c r="IA66" s="528"/>
      <c r="IB66" s="528"/>
      <c r="IC66" s="528"/>
      <c r="ID66" s="528"/>
      <c r="IE66" s="528"/>
      <c r="IF66" s="528"/>
      <c r="IG66" s="528"/>
      <c r="IH66" s="528"/>
      <c r="II66" s="528"/>
      <c r="IJ66" s="528"/>
      <c r="IK66" s="528"/>
      <c r="IL66" s="528"/>
      <c r="IM66" s="528"/>
      <c r="IN66" s="528"/>
      <c r="IO66" s="528"/>
      <c r="IP66" s="528"/>
      <c r="IQ66" s="528"/>
      <c r="IR66" s="528"/>
      <c r="IS66" s="528"/>
      <c r="IT66" s="528"/>
      <c r="IU66" s="528"/>
      <c r="IV66" s="528"/>
      <c r="IW66" s="528"/>
      <c r="IX66" s="528"/>
      <c r="IY66" s="528"/>
      <c r="IZ66" s="528"/>
      <c r="JA66" s="528"/>
      <c r="JB66" s="528"/>
      <c r="JC66" s="528"/>
      <c r="JD66" s="528"/>
      <c r="JE66" s="528"/>
      <c r="JF66" s="528"/>
      <c r="JG66" s="528"/>
      <c r="JH66" s="528"/>
      <c r="JI66" s="528"/>
      <c r="JJ66" s="528"/>
      <c r="JK66" s="528"/>
      <c r="JL66" s="528"/>
      <c r="JM66" s="528"/>
      <c r="JN66" s="528"/>
      <c r="JO66" s="528"/>
      <c r="JP66" s="528"/>
      <c r="JQ66" s="528"/>
      <c r="JR66" s="528"/>
      <c r="JS66" s="528"/>
      <c r="JT66" s="528"/>
      <c r="JU66" s="528"/>
      <c r="JV66" s="528"/>
      <c r="JW66" s="528"/>
      <c r="JX66" s="528"/>
      <c r="JY66" s="528"/>
      <c r="JZ66" s="528"/>
      <c r="KA66" s="528"/>
      <c r="KB66" s="528"/>
      <c r="KC66" s="528"/>
      <c r="KD66" s="528"/>
      <c r="KE66" s="528"/>
      <c r="KF66" s="528"/>
      <c r="KG66" s="528"/>
      <c r="KH66" s="528"/>
      <c r="KI66" s="528"/>
      <c r="KJ66" s="528"/>
      <c r="KK66" s="528"/>
      <c r="KL66" s="528"/>
      <c r="KM66" s="528"/>
      <c r="KN66" s="528"/>
      <c r="KO66" s="528"/>
      <c r="KP66" s="528"/>
      <c r="KQ66" s="528"/>
      <c r="KR66" s="528"/>
      <c r="KS66" s="528"/>
      <c r="KT66" s="528"/>
      <c r="KU66" s="528"/>
      <c r="KV66" s="528"/>
      <c r="KW66" s="528"/>
      <c r="KX66" s="528"/>
      <c r="KY66" s="528"/>
      <c r="KZ66" s="528"/>
      <c r="LA66" s="528"/>
      <c r="LB66" s="528"/>
      <c r="LC66" s="528"/>
      <c r="LD66" s="528"/>
      <c r="LE66" s="528"/>
      <c r="LF66" s="528"/>
      <c r="LG66" s="528"/>
      <c r="LH66" s="528"/>
      <c r="LI66" s="528"/>
      <c r="LJ66" s="528"/>
      <c r="LK66" s="528"/>
      <c r="LL66" s="528"/>
      <c r="LM66" s="528"/>
      <c r="LN66" s="528"/>
      <c r="LO66" s="528"/>
      <c r="LP66" s="528"/>
      <c r="LQ66" s="528"/>
      <c r="LR66" s="528"/>
      <c r="LS66" s="528"/>
      <c r="LT66" s="528"/>
      <c r="LU66" s="528"/>
      <c r="LV66" s="528"/>
      <c r="LW66" s="528"/>
      <c r="LX66" s="528"/>
      <c r="LY66" s="528"/>
      <c r="LZ66" s="528"/>
      <c r="MA66" s="528"/>
      <c r="MB66" s="528"/>
      <c r="MC66" s="528"/>
      <c r="MD66" s="528"/>
      <c r="ME66" s="528"/>
      <c r="MF66" s="528"/>
      <c r="MG66" s="528"/>
      <c r="MH66" s="528"/>
      <c r="MI66" s="528"/>
      <c r="MJ66" s="528"/>
      <c r="MK66" s="528"/>
      <c r="ML66" s="528"/>
      <c r="MM66" s="528"/>
      <c r="MN66" s="528"/>
      <c r="MO66" s="528"/>
      <c r="MP66" s="528"/>
      <c r="MQ66" s="528"/>
      <c r="MR66" s="528"/>
      <c r="MS66" s="528"/>
      <c r="MT66" s="528"/>
      <c r="MU66" s="528"/>
      <c r="MV66" s="528"/>
      <c r="MW66" s="528"/>
      <c r="MX66" s="528"/>
      <c r="MY66" s="528"/>
      <c r="MZ66" s="528"/>
      <c r="NA66" s="528"/>
      <c r="NB66" s="528"/>
      <c r="NC66" s="528"/>
      <c r="ND66" s="528"/>
      <c r="NE66" s="528"/>
      <c r="NF66" s="528"/>
      <c r="NG66" s="528"/>
      <c r="NH66" s="528"/>
      <c r="NI66" s="528"/>
      <c r="NJ66" s="528"/>
      <c r="NK66" s="528"/>
      <c r="NL66" s="528"/>
      <c r="NM66" s="528"/>
      <c r="NN66" s="528"/>
      <c r="NO66" s="528"/>
      <c r="NP66" s="528"/>
      <c r="NQ66" s="528"/>
      <c r="NR66" s="528"/>
      <c r="NS66" s="528"/>
      <c r="NT66" s="528"/>
      <c r="NU66" s="528"/>
      <c r="NV66" s="528"/>
      <c r="NW66" s="528"/>
      <c r="NX66" s="528"/>
      <c r="NY66" s="528"/>
      <c r="NZ66" s="528"/>
      <c r="OA66" s="528"/>
      <c r="OB66" s="528"/>
      <c r="OC66" s="528"/>
      <c r="OD66" s="528"/>
      <c r="OE66" s="528"/>
      <c r="OF66" s="528"/>
      <c r="OG66" s="528"/>
      <c r="OH66" s="528"/>
      <c r="OI66" s="528"/>
      <c r="OJ66" s="528"/>
      <c r="OK66" s="528"/>
      <c r="OL66" s="528"/>
      <c r="OM66" s="528"/>
      <c r="ON66" s="528"/>
      <c r="OO66" s="528"/>
      <c r="OP66" s="528"/>
      <c r="OQ66" s="528"/>
      <c r="OR66" s="528"/>
      <c r="OS66" s="528"/>
      <c r="OT66" s="528"/>
      <c r="OU66" s="528"/>
      <c r="OV66" s="528"/>
      <c r="OW66" s="528"/>
      <c r="OX66" s="528"/>
      <c r="OY66" s="528"/>
      <c r="OZ66" s="528"/>
      <c r="PA66" s="528"/>
      <c r="PB66" s="528"/>
      <c r="PC66" s="528"/>
      <c r="PD66" s="528"/>
      <c r="PE66" s="528"/>
      <c r="PF66" s="528"/>
      <c r="PG66" s="528"/>
      <c r="PH66" s="528"/>
      <c r="PI66" s="528"/>
      <c r="PJ66" s="528"/>
      <c r="PK66" s="528"/>
      <c r="PL66" s="528"/>
      <c r="PM66" s="528"/>
      <c r="PN66" s="528"/>
      <c r="PO66" s="528"/>
      <c r="PP66" s="528"/>
      <c r="PQ66" s="528"/>
      <c r="PR66" s="528"/>
      <c r="PS66" s="528"/>
      <c r="PT66" s="528"/>
      <c r="PU66" s="528"/>
      <c r="PV66" s="528"/>
      <c r="PW66" s="528"/>
      <c r="PX66" s="528"/>
      <c r="PY66" s="528"/>
      <c r="PZ66" s="528"/>
      <c r="QA66" s="528"/>
      <c r="QB66" s="528"/>
      <c r="QC66" s="528"/>
      <c r="QD66" s="528"/>
      <c r="QE66" s="528"/>
      <c r="QF66" s="528"/>
      <c r="QG66" s="528"/>
      <c r="QH66" s="528"/>
      <c r="QI66" s="528"/>
      <c r="QJ66" s="528"/>
      <c r="QK66" s="528"/>
      <c r="QL66" s="528"/>
      <c r="QM66" s="528"/>
      <c r="QN66" s="528"/>
      <c r="QO66" s="528"/>
      <c r="QP66" s="528"/>
      <c r="QQ66" s="528"/>
      <c r="QR66" s="528"/>
      <c r="QS66" s="528"/>
      <c r="QT66" s="528"/>
      <c r="QU66" s="528"/>
      <c r="QV66" s="528"/>
      <c r="QW66" s="528"/>
      <c r="QX66" s="528"/>
      <c r="QY66" s="528"/>
      <c r="QZ66" s="528"/>
      <c r="RA66" s="528"/>
      <c r="RB66" s="528"/>
      <c r="RC66" s="528"/>
      <c r="RD66" s="528"/>
      <c r="RE66" s="528"/>
      <c r="RF66" s="528"/>
      <c r="RG66" s="528"/>
      <c r="RH66" s="528"/>
      <c r="RI66" s="528"/>
      <c r="RJ66" s="528"/>
      <c r="RK66" s="528"/>
      <c r="RL66" s="528"/>
      <c r="RM66" s="528"/>
      <c r="RN66" s="528"/>
      <c r="RO66" s="528"/>
      <c r="RP66" s="528"/>
      <c r="RQ66" s="528"/>
      <c r="RR66" s="528"/>
      <c r="RS66" s="528"/>
      <c r="RT66" s="528"/>
      <c r="RU66" s="528"/>
      <c r="RV66" s="528"/>
      <c r="RW66" s="528"/>
      <c r="RX66" s="528"/>
      <c r="RY66" s="528"/>
      <c r="RZ66" s="528"/>
      <c r="SA66" s="528"/>
      <c r="SB66" s="528"/>
      <c r="SC66" s="528"/>
      <c r="SD66" s="528"/>
      <c r="SE66" s="528"/>
      <c r="SF66" s="528"/>
      <c r="SG66" s="528"/>
      <c r="SH66" s="528"/>
      <c r="SI66" s="528"/>
      <c r="SJ66" s="528"/>
      <c r="SK66" s="528"/>
      <c r="SL66" s="528"/>
      <c r="SM66" s="528"/>
      <c r="SN66" s="528"/>
      <c r="SO66" s="528"/>
      <c r="SP66" s="528"/>
      <c r="SQ66" s="528"/>
      <c r="SR66" s="528"/>
      <c r="SS66" s="528"/>
      <c r="ST66" s="528"/>
      <c r="SU66" s="528"/>
      <c r="SV66" s="528"/>
      <c r="SW66" s="528"/>
      <c r="SX66" s="528"/>
      <c r="SY66" s="528"/>
      <c r="SZ66" s="528"/>
      <c r="TA66" s="528"/>
      <c r="TB66" s="528"/>
      <c r="TC66" s="528"/>
      <c r="TD66" s="528"/>
      <c r="TE66" s="528"/>
      <c r="TF66" s="528"/>
      <c r="TG66" s="528"/>
      <c r="TH66" s="528"/>
      <c r="TI66" s="528"/>
      <c r="TJ66" s="528"/>
      <c r="TK66" s="528"/>
      <c r="TL66" s="528"/>
      <c r="TM66" s="528"/>
      <c r="TN66" s="528"/>
      <c r="TO66" s="528"/>
      <c r="TP66" s="528"/>
      <c r="TQ66" s="528"/>
      <c r="TR66" s="528"/>
      <c r="TS66" s="528"/>
      <c r="TT66" s="528"/>
      <c r="TU66" s="528"/>
      <c r="TV66" s="528"/>
      <c r="TW66" s="528"/>
      <c r="TX66" s="528"/>
      <c r="TY66" s="528"/>
      <c r="TZ66" s="528"/>
      <c r="UA66" s="528"/>
      <c r="UB66" s="528"/>
      <c r="UC66" s="528"/>
      <c r="UD66" s="528"/>
      <c r="UE66" s="528"/>
      <c r="UF66" s="528"/>
      <c r="UG66" s="528"/>
      <c r="UH66" s="528"/>
      <c r="UI66" s="528"/>
      <c r="UJ66" s="528"/>
      <c r="UK66" s="528"/>
      <c r="UL66" s="528"/>
      <c r="UM66" s="528"/>
      <c r="UN66" s="528"/>
      <c r="UO66" s="528"/>
      <c r="UP66" s="528"/>
      <c r="UQ66" s="528"/>
      <c r="UR66" s="528"/>
      <c r="US66" s="528"/>
      <c r="UT66" s="528"/>
      <c r="UU66" s="528"/>
      <c r="UV66" s="528"/>
      <c r="UW66" s="528"/>
      <c r="UX66" s="528"/>
      <c r="UY66" s="528"/>
      <c r="UZ66" s="528"/>
      <c r="VA66" s="528"/>
      <c r="VB66" s="528"/>
      <c r="VC66" s="528"/>
      <c r="VD66" s="528"/>
      <c r="VE66" s="528"/>
      <c r="VF66" s="528"/>
      <c r="VG66" s="528"/>
      <c r="VH66" s="528"/>
      <c r="VI66" s="528"/>
      <c r="VJ66" s="528"/>
      <c r="VK66" s="528"/>
      <c r="VL66" s="528"/>
      <c r="VM66" s="528"/>
      <c r="VN66" s="528"/>
      <c r="VO66" s="528"/>
      <c r="VP66" s="528"/>
      <c r="VQ66" s="528"/>
      <c r="VR66" s="528"/>
      <c r="VS66" s="528"/>
      <c r="VT66" s="528"/>
      <c r="VU66" s="528"/>
      <c r="VV66" s="528"/>
      <c r="VW66" s="528"/>
      <c r="VX66" s="528"/>
      <c r="VY66" s="528"/>
      <c r="VZ66" s="528"/>
      <c r="WA66" s="528"/>
      <c r="WB66" s="528"/>
      <c r="WC66" s="528"/>
      <c r="WD66" s="528"/>
      <c r="WE66" s="528"/>
      <c r="WF66" s="528"/>
      <c r="WG66" s="528"/>
      <c r="WH66" s="528"/>
      <c r="WI66" s="528"/>
      <c r="WJ66" s="528"/>
      <c r="WK66" s="528"/>
      <c r="WL66" s="528"/>
      <c r="WM66" s="528"/>
      <c r="WN66" s="528"/>
      <c r="WO66" s="528"/>
      <c r="WP66" s="528"/>
      <c r="WQ66" s="528"/>
      <c r="WR66" s="528"/>
      <c r="WS66" s="528"/>
      <c r="WT66" s="528"/>
      <c r="WU66" s="528"/>
      <c r="WV66" s="528"/>
      <c r="WW66" s="528"/>
      <c r="WX66" s="528"/>
      <c r="WY66" s="528"/>
      <c r="WZ66" s="528"/>
      <c r="XA66" s="528"/>
      <c r="XB66" s="528"/>
      <c r="XC66" s="528"/>
      <c r="XD66" s="528"/>
      <c r="XE66" s="528"/>
      <c r="XF66" s="528"/>
      <c r="XG66" s="528"/>
      <c r="XH66" s="528"/>
      <c r="XI66" s="528"/>
      <c r="XJ66" s="528"/>
      <c r="XK66" s="528"/>
      <c r="XL66" s="528"/>
      <c r="XM66" s="528"/>
      <c r="XN66" s="528"/>
      <c r="XO66" s="528"/>
      <c r="XP66" s="528"/>
      <c r="XQ66" s="528"/>
      <c r="XR66" s="528"/>
      <c r="XS66" s="528"/>
      <c r="XT66" s="528"/>
      <c r="XU66" s="528"/>
      <c r="XV66" s="528"/>
      <c r="XW66" s="528"/>
      <c r="XX66" s="528"/>
      <c r="XY66" s="528"/>
      <c r="XZ66" s="528"/>
      <c r="YA66" s="528"/>
      <c r="YB66" s="528"/>
      <c r="YC66" s="528"/>
      <c r="YD66" s="528"/>
      <c r="YE66" s="528"/>
      <c r="YF66" s="528"/>
      <c r="YG66" s="528"/>
      <c r="YH66" s="528"/>
      <c r="YI66" s="528"/>
      <c r="YJ66" s="528"/>
      <c r="YK66" s="528"/>
      <c r="YL66" s="528"/>
      <c r="YM66" s="528"/>
      <c r="YN66" s="528"/>
      <c r="YO66" s="528"/>
      <c r="YP66" s="528"/>
      <c r="YQ66" s="528"/>
      <c r="YR66" s="528"/>
      <c r="YS66" s="528"/>
      <c r="YT66" s="528"/>
      <c r="YU66" s="528"/>
      <c r="YV66" s="528"/>
      <c r="YW66" s="528"/>
      <c r="YX66" s="528"/>
      <c r="YY66" s="528"/>
      <c r="YZ66" s="528"/>
      <c r="ZA66" s="528"/>
      <c r="ZB66" s="528"/>
      <c r="ZC66" s="528"/>
      <c r="ZD66" s="528"/>
      <c r="ZE66" s="528"/>
      <c r="ZF66" s="528"/>
      <c r="ZG66" s="528"/>
      <c r="ZH66" s="528"/>
      <c r="ZI66" s="528"/>
      <c r="ZJ66" s="528"/>
      <c r="ZK66" s="528"/>
      <c r="ZL66" s="528"/>
      <c r="ZM66" s="528"/>
      <c r="ZN66" s="528"/>
      <c r="ZO66" s="528"/>
      <c r="ZP66" s="528"/>
      <c r="ZQ66" s="528"/>
      <c r="ZR66" s="528"/>
      <c r="ZS66" s="528"/>
      <c r="ZT66" s="528"/>
      <c r="ZU66" s="528"/>
      <c r="ZV66" s="528"/>
      <c r="ZW66" s="528"/>
      <c r="ZX66" s="528"/>
      <c r="ZY66" s="528"/>
      <c r="ZZ66" s="528"/>
      <c r="AAA66" s="528"/>
      <c r="AAB66" s="528"/>
      <c r="AAC66" s="528"/>
      <c r="AAD66" s="528"/>
      <c r="AAE66" s="528"/>
      <c r="AAF66" s="528"/>
      <c r="AAG66" s="528"/>
      <c r="AAH66" s="528"/>
      <c r="AAI66" s="528"/>
      <c r="AAJ66" s="528"/>
      <c r="AAK66" s="528"/>
      <c r="AAL66" s="528"/>
      <c r="AAM66" s="528"/>
      <c r="AAN66" s="528"/>
      <c r="AAO66" s="528"/>
      <c r="AAP66" s="528"/>
      <c r="AAQ66" s="528"/>
      <c r="AAR66" s="528"/>
      <c r="AAS66" s="528"/>
      <c r="AAT66" s="528"/>
      <c r="AAU66" s="528"/>
      <c r="AAV66" s="528"/>
      <c r="AAW66" s="528"/>
      <c r="AAX66" s="528"/>
      <c r="AAY66" s="528"/>
      <c r="AAZ66" s="528"/>
      <c r="ABA66" s="528"/>
      <c r="ABB66" s="528"/>
      <c r="ABC66" s="528"/>
      <c r="ABD66" s="528"/>
      <c r="ABE66" s="528"/>
      <c r="ABF66" s="528"/>
      <c r="ABG66" s="528"/>
      <c r="ABH66" s="528"/>
      <c r="ABI66" s="528"/>
      <c r="ABJ66" s="528"/>
      <c r="ABK66" s="528"/>
      <c r="ABL66" s="528"/>
      <c r="ABM66" s="528"/>
      <c r="ABN66" s="528"/>
      <c r="ABO66" s="528"/>
      <c r="ABP66" s="528"/>
      <c r="ABQ66" s="528"/>
      <c r="ABR66" s="528"/>
      <c r="ABS66" s="528"/>
      <c r="ABT66" s="528"/>
      <c r="ABU66" s="528"/>
      <c r="ABV66" s="528"/>
      <c r="ABW66" s="528"/>
      <c r="ABX66" s="528"/>
      <c r="ABY66" s="528"/>
      <c r="ABZ66" s="528"/>
      <c r="ACA66" s="528"/>
      <c r="ACB66" s="528"/>
      <c r="ACC66" s="528"/>
      <c r="ACD66" s="528"/>
      <c r="ACE66" s="528"/>
      <c r="ACF66" s="528"/>
      <c r="ACG66" s="528"/>
      <c r="ACH66" s="528"/>
      <c r="ACI66" s="528"/>
      <c r="ACJ66" s="528"/>
      <c r="ACK66" s="528"/>
      <c r="ACL66" s="528"/>
      <c r="ACM66" s="528"/>
      <c r="ACN66" s="528"/>
      <c r="ACO66" s="528"/>
      <c r="ACP66" s="528"/>
      <c r="ACQ66" s="528"/>
      <c r="ACR66" s="528"/>
      <c r="ACS66" s="528"/>
      <c r="ACT66" s="528"/>
      <c r="ACU66" s="528"/>
      <c r="ACV66" s="528"/>
      <c r="ACW66" s="528"/>
      <c r="ACX66" s="528"/>
      <c r="ACY66" s="528"/>
      <c r="ACZ66" s="528"/>
      <c r="ADA66" s="528"/>
      <c r="ADB66" s="528"/>
      <c r="ADC66" s="528"/>
      <c r="ADD66" s="528"/>
      <c r="ADE66" s="528"/>
      <c r="ADF66" s="528"/>
      <c r="ADG66" s="528"/>
      <c r="ADH66" s="528"/>
      <c r="ADI66" s="528"/>
      <c r="ADJ66" s="528"/>
      <c r="ADK66" s="528"/>
      <c r="ADL66" s="528"/>
      <c r="ADM66" s="528"/>
      <c r="ADN66" s="528"/>
      <c r="ADO66" s="528"/>
      <c r="ADP66" s="528"/>
      <c r="ADQ66" s="528"/>
      <c r="ADR66" s="528"/>
      <c r="ADS66" s="528"/>
      <c r="ADT66" s="528"/>
      <c r="ADU66" s="528"/>
      <c r="ADV66" s="528"/>
      <c r="ADW66" s="528"/>
      <c r="ADX66" s="528"/>
      <c r="ADY66" s="528"/>
      <c r="ADZ66" s="528"/>
      <c r="AEA66" s="528"/>
      <c r="AEB66" s="528"/>
      <c r="AEC66" s="528"/>
      <c r="AED66" s="528"/>
      <c r="AEE66" s="528"/>
      <c r="AEF66" s="528"/>
      <c r="AEG66" s="528"/>
      <c r="AEH66" s="528"/>
      <c r="AEI66" s="528"/>
      <c r="AEJ66" s="528"/>
      <c r="AEK66" s="528"/>
      <c r="AEL66" s="528"/>
      <c r="AEM66" s="528"/>
      <c r="AEN66" s="528"/>
      <c r="AEO66" s="528"/>
      <c r="AEP66" s="528"/>
      <c r="AEQ66" s="528"/>
      <c r="AER66" s="528"/>
      <c r="AES66" s="528"/>
      <c r="AET66" s="528"/>
      <c r="AEU66" s="528"/>
      <c r="AEV66" s="528"/>
      <c r="AEW66" s="528"/>
      <c r="AEX66" s="528"/>
      <c r="AEY66" s="528"/>
      <c r="AEZ66" s="528"/>
      <c r="AFA66" s="528"/>
      <c r="AFB66" s="528"/>
      <c r="AFC66" s="528"/>
      <c r="AFD66" s="528"/>
      <c r="AFE66" s="528"/>
      <c r="AFF66" s="528"/>
      <c r="AFG66" s="528"/>
      <c r="AFH66" s="528"/>
      <c r="AFI66" s="528"/>
      <c r="AFJ66" s="528"/>
      <c r="AFK66" s="528"/>
      <c r="AFL66" s="528"/>
      <c r="AFM66" s="528"/>
      <c r="AFN66" s="528"/>
      <c r="AFO66" s="528"/>
      <c r="AFP66" s="528"/>
      <c r="AFQ66" s="528"/>
      <c r="AFR66" s="528"/>
      <c r="AFS66" s="528"/>
      <c r="AFT66" s="528"/>
      <c r="AFU66" s="528"/>
      <c r="AFV66" s="528"/>
      <c r="AFW66" s="528"/>
      <c r="AFX66" s="528"/>
      <c r="AFY66" s="528"/>
      <c r="AFZ66" s="528"/>
      <c r="AGA66" s="528"/>
      <c r="AGB66" s="528"/>
      <c r="AGC66" s="528"/>
      <c r="AGD66" s="528"/>
      <c r="AGE66" s="528"/>
      <c r="AGF66" s="528"/>
      <c r="AGG66" s="528"/>
      <c r="AGH66" s="528"/>
      <c r="AGI66" s="528"/>
      <c r="AGJ66" s="528"/>
      <c r="AGK66" s="528"/>
      <c r="AGL66" s="528"/>
      <c r="AGM66" s="528"/>
      <c r="AGN66" s="528"/>
      <c r="AGO66" s="528"/>
      <c r="AGP66" s="528"/>
      <c r="AGQ66" s="528"/>
      <c r="AGR66" s="528"/>
      <c r="AGS66" s="528"/>
      <c r="AGT66" s="528"/>
      <c r="AGU66" s="528"/>
      <c r="AGV66" s="528"/>
      <c r="AGW66" s="528"/>
      <c r="AGX66" s="528"/>
      <c r="AGY66" s="528"/>
      <c r="AGZ66" s="528"/>
      <c r="AHA66" s="528"/>
      <c r="AHB66" s="528"/>
      <c r="AHC66" s="528"/>
      <c r="AHD66" s="528"/>
      <c r="AHE66" s="528"/>
      <c r="AHF66" s="528"/>
      <c r="AHG66" s="528"/>
      <c r="AHH66" s="528"/>
      <c r="AHI66" s="528"/>
      <c r="AHJ66" s="528"/>
      <c r="AHK66" s="528"/>
      <c r="AHL66" s="528"/>
      <c r="AHM66" s="528"/>
      <c r="AHN66" s="528"/>
      <c r="AHO66" s="528"/>
      <c r="AHP66" s="528"/>
      <c r="AHQ66" s="528"/>
      <c r="AHR66" s="528"/>
      <c r="AHS66" s="528"/>
      <c r="AHT66" s="528"/>
      <c r="AHU66" s="528"/>
      <c r="AHV66" s="528"/>
      <c r="AHW66" s="528"/>
      <c r="AHX66" s="528"/>
      <c r="AHY66" s="528"/>
      <c r="AHZ66" s="528"/>
      <c r="AIA66" s="528"/>
      <c r="AIB66" s="528"/>
      <c r="AIC66" s="528"/>
      <c r="AID66" s="528"/>
      <c r="AIE66" s="528"/>
      <c r="AIF66" s="528"/>
      <c r="AIG66" s="528"/>
      <c r="AIH66" s="528"/>
      <c r="AII66" s="528"/>
      <c r="AIJ66" s="528"/>
      <c r="AIK66" s="528"/>
      <c r="AIL66" s="528"/>
      <c r="AIM66" s="528"/>
      <c r="AIN66" s="528"/>
      <c r="AIO66" s="528"/>
      <c r="AIP66" s="528"/>
      <c r="AIQ66" s="528"/>
      <c r="AIR66" s="528"/>
      <c r="AIS66" s="528"/>
      <c r="AIT66" s="528"/>
      <c r="AIU66" s="528"/>
      <c r="AIV66" s="528"/>
      <c r="AIW66" s="528"/>
      <c r="AIX66" s="528"/>
      <c r="AIY66" s="528"/>
      <c r="AIZ66" s="528"/>
      <c r="AJA66" s="528"/>
      <c r="AJB66" s="528"/>
      <c r="AJC66" s="528"/>
      <c r="AJD66" s="528"/>
      <c r="AJE66" s="528"/>
      <c r="AJF66" s="528"/>
      <c r="AJG66" s="528"/>
      <c r="AJH66" s="528"/>
      <c r="AJI66" s="528"/>
      <c r="AJJ66" s="528"/>
      <c r="AJK66" s="528"/>
      <c r="AJL66" s="528"/>
      <c r="AJM66" s="528"/>
      <c r="AJN66" s="528"/>
      <c r="AJO66" s="528"/>
      <c r="AJP66" s="528"/>
      <c r="AJQ66" s="528"/>
      <c r="AJR66" s="528"/>
      <c r="AJS66" s="528"/>
      <c r="AJT66" s="528"/>
      <c r="AJU66" s="528"/>
      <c r="AJV66" s="528"/>
      <c r="AJW66" s="528"/>
      <c r="AJX66" s="528"/>
      <c r="AJY66" s="528"/>
      <c r="AJZ66" s="528"/>
      <c r="AKA66" s="528"/>
      <c r="AKB66" s="528"/>
      <c r="AKC66" s="528"/>
      <c r="AKD66" s="528"/>
      <c r="AKE66" s="528"/>
      <c r="AKF66" s="528"/>
      <c r="AKG66" s="528"/>
      <c r="AKH66" s="528"/>
      <c r="AKI66" s="528"/>
      <c r="AKJ66" s="528"/>
      <c r="AKK66" s="528"/>
      <c r="AKL66" s="528"/>
      <c r="AKM66" s="528"/>
      <c r="AKN66" s="528"/>
      <c r="AKO66" s="528"/>
      <c r="AKP66" s="528"/>
      <c r="AKQ66" s="528"/>
      <c r="AKR66" s="528"/>
      <c r="AKS66" s="528"/>
      <c r="AKT66" s="528"/>
      <c r="AKU66" s="528"/>
      <c r="AKV66" s="528"/>
      <c r="AKW66" s="528"/>
      <c r="AKX66" s="528"/>
      <c r="AKY66" s="528"/>
      <c r="AKZ66" s="528"/>
      <c r="ALA66" s="528"/>
      <c r="ALB66" s="528"/>
      <c r="ALC66" s="528"/>
      <c r="ALD66" s="528"/>
      <c r="ALE66" s="528"/>
      <c r="ALF66" s="528"/>
      <c r="ALG66" s="528"/>
      <c r="ALH66" s="528"/>
      <c r="ALI66" s="528"/>
      <c r="ALJ66" s="528"/>
      <c r="ALK66" s="528"/>
      <c r="ALL66" s="528"/>
      <c r="ALM66" s="528"/>
      <c r="ALN66" s="528"/>
      <c r="ALO66" s="528"/>
      <c r="ALP66" s="528"/>
      <c r="ALQ66" s="528"/>
      <c r="ALR66" s="528"/>
      <c r="ALS66" s="528"/>
      <c r="ALT66" s="528"/>
      <c r="ALU66" s="528"/>
      <c r="ALV66" s="528"/>
      <c r="ALW66" s="528"/>
      <c r="ALX66" s="528"/>
      <c r="ALY66" s="528"/>
      <c r="ALZ66" s="528"/>
      <c r="AMA66" s="528"/>
      <c r="AMB66" s="528"/>
      <c r="AMC66" s="528"/>
      <c r="AMD66" s="528"/>
      <c r="AME66" s="528"/>
      <c r="AMF66" s="528"/>
      <c r="AMG66" s="528"/>
      <c r="AMH66" s="528"/>
      <c r="AMI66" s="528"/>
      <c r="AMJ66" s="528"/>
      <c r="AMK66" s="528"/>
      <c r="AML66" s="528"/>
      <c r="AMM66" s="528"/>
      <c r="AMN66" s="528"/>
      <c r="AMO66" s="528"/>
      <c r="AMP66" s="528"/>
      <c r="AMQ66" s="528"/>
      <c r="AMR66" s="528"/>
      <c r="AMS66" s="528"/>
      <c r="AMT66" s="528"/>
      <c r="AMU66" s="528"/>
      <c r="AMV66" s="528"/>
      <c r="AMW66" s="528"/>
      <c r="AMX66" s="528"/>
      <c r="AMY66" s="528"/>
      <c r="AMZ66" s="528"/>
      <c r="ANA66" s="528"/>
      <c r="ANB66" s="528"/>
      <c r="ANC66" s="528"/>
      <c r="AND66" s="528"/>
      <c r="ANE66" s="528"/>
      <c r="ANF66" s="528"/>
      <c r="ANG66" s="528"/>
      <c r="ANH66" s="528"/>
      <c r="ANI66" s="528"/>
      <c r="ANJ66" s="528"/>
      <c r="ANK66" s="528"/>
      <c r="ANL66" s="528"/>
      <c r="ANM66" s="528"/>
      <c r="ANN66" s="528"/>
      <c r="ANO66" s="528"/>
      <c r="ANP66" s="528"/>
      <c r="ANQ66" s="528"/>
      <c r="ANR66" s="528"/>
      <c r="ANS66" s="528"/>
      <c r="ANT66" s="528"/>
      <c r="ANU66" s="528"/>
      <c r="ANV66" s="528"/>
      <c r="ANW66" s="528"/>
      <c r="ANX66" s="528"/>
      <c r="ANY66" s="528"/>
      <c r="ANZ66" s="528"/>
      <c r="AOA66" s="528"/>
      <c r="AOB66" s="528"/>
      <c r="AOC66" s="528"/>
      <c r="AOD66" s="528"/>
      <c r="AOE66" s="528"/>
      <c r="AOF66" s="528"/>
      <c r="AOG66" s="528"/>
      <c r="AOH66" s="528"/>
      <c r="AOI66" s="528"/>
      <c r="AOJ66" s="528"/>
      <c r="AOK66" s="528"/>
      <c r="AOL66" s="528"/>
      <c r="AOM66" s="528"/>
      <c r="AON66" s="528"/>
      <c r="AOO66" s="528"/>
      <c r="AOP66" s="528"/>
      <c r="AOQ66" s="528"/>
      <c r="AOR66" s="528"/>
      <c r="AOS66" s="528"/>
      <c r="AOT66" s="528"/>
      <c r="AOU66" s="528"/>
      <c r="AOV66" s="528"/>
      <c r="AOW66" s="528"/>
      <c r="AOX66" s="528"/>
      <c r="AOY66" s="528"/>
      <c r="AOZ66" s="528"/>
      <c r="APA66" s="528"/>
      <c r="APB66" s="528"/>
      <c r="APC66" s="528"/>
      <c r="APD66" s="528"/>
      <c r="APE66" s="528"/>
      <c r="APF66" s="528"/>
      <c r="APG66" s="528"/>
      <c r="APH66" s="528"/>
      <c r="API66" s="528"/>
      <c r="APJ66" s="528"/>
      <c r="APK66" s="528"/>
      <c r="APL66" s="528"/>
      <c r="APM66" s="528"/>
      <c r="APN66" s="528"/>
      <c r="APO66" s="528"/>
      <c r="APP66" s="528"/>
      <c r="APQ66" s="528"/>
      <c r="APR66" s="528"/>
      <c r="APS66" s="528"/>
      <c r="APT66" s="528"/>
      <c r="APU66" s="528"/>
      <c r="APV66" s="528"/>
      <c r="APW66" s="528"/>
      <c r="APX66" s="528"/>
      <c r="APY66" s="528"/>
      <c r="APZ66" s="528"/>
      <c r="AQA66" s="528"/>
      <c r="AQB66" s="528"/>
      <c r="AQC66" s="528"/>
      <c r="AQD66" s="528"/>
      <c r="AQE66" s="528"/>
      <c r="AQF66" s="528"/>
      <c r="AQG66" s="528"/>
      <c r="AQH66" s="528"/>
      <c r="AQI66" s="528"/>
      <c r="AQJ66" s="528"/>
      <c r="AQK66" s="528"/>
      <c r="AQL66" s="528"/>
      <c r="AQM66" s="528"/>
      <c r="AQN66" s="528"/>
      <c r="AQO66" s="528"/>
      <c r="AQP66" s="528"/>
      <c r="AQQ66" s="528"/>
      <c r="AQR66" s="528"/>
      <c r="AQS66" s="528"/>
      <c r="AQT66" s="528"/>
      <c r="AQU66" s="528"/>
      <c r="AQV66" s="528"/>
      <c r="AQW66" s="528"/>
      <c r="AQX66" s="528"/>
      <c r="AQY66" s="528"/>
      <c r="AQZ66" s="528"/>
      <c r="ARA66" s="528"/>
      <c r="ARB66" s="528"/>
      <c r="ARC66" s="528"/>
      <c r="ARD66" s="528"/>
      <c r="ARE66" s="528"/>
      <c r="ARF66" s="528"/>
      <c r="ARG66" s="528"/>
      <c r="ARH66" s="528"/>
      <c r="ARI66" s="528"/>
      <c r="ARJ66" s="528"/>
      <c r="ARK66" s="528"/>
      <c r="ARL66" s="528"/>
      <c r="ARM66" s="528"/>
      <c r="ARN66" s="528"/>
      <c r="ARO66" s="528"/>
      <c r="ARP66" s="528"/>
      <c r="ARQ66" s="528"/>
      <c r="ARR66" s="528"/>
      <c r="ARS66" s="528"/>
      <c r="ART66" s="528"/>
      <c r="ARU66" s="528"/>
      <c r="ARV66" s="528"/>
      <c r="ARW66" s="528"/>
      <c r="ARX66" s="528"/>
      <c r="ARY66" s="528"/>
      <c r="ARZ66" s="528"/>
      <c r="ASA66" s="528"/>
      <c r="ASB66" s="528"/>
      <c r="ASC66" s="528"/>
      <c r="ASD66" s="528"/>
      <c r="ASE66" s="528"/>
      <c r="ASF66" s="528"/>
      <c r="ASG66" s="528"/>
      <c r="ASH66" s="528"/>
      <c r="ASI66" s="528"/>
      <c r="ASJ66" s="528"/>
      <c r="ASK66" s="528"/>
      <c r="ASL66" s="528"/>
      <c r="ASM66" s="528"/>
      <c r="ASN66" s="528"/>
      <c r="ASO66" s="528"/>
      <c r="ASP66" s="528"/>
      <c r="ASQ66" s="528"/>
      <c r="ASR66" s="528"/>
      <c r="ASS66" s="528"/>
      <c r="AST66" s="528"/>
      <c r="ASU66" s="528"/>
      <c r="ASV66" s="528"/>
      <c r="ASW66" s="528"/>
      <c r="ASX66" s="528"/>
      <c r="ASY66" s="528"/>
      <c r="ASZ66" s="528"/>
      <c r="ATA66" s="528"/>
      <c r="ATB66" s="528"/>
      <c r="ATC66" s="528"/>
      <c r="ATD66" s="528"/>
      <c r="ATE66" s="528"/>
      <c r="ATF66" s="528"/>
      <c r="ATG66" s="528"/>
      <c r="ATH66" s="528"/>
      <c r="ATI66" s="528"/>
      <c r="ATJ66" s="528"/>
      <c r="ATK66" s="528"/>
      <c r="ATL66" s="528"/>
      <c r="ATM66" s="528"/>
      <c r="ATN66" s="528"/>
      <c r="ATO66" s="528"/>
      <c r="ATP66" s="528"/>
      <c r="ATQ66" s="528"/>
      <c r="ATR66" s="528"/>
      <c r="ATS66" s="528"/>
      <c r="ATT66" s="528"/>
      <c r="ATU66" s="528"/>
      <c r="ATV66" s="528"/>
      <c r="ATW66" s="528"/>
      <c r="ATX66" s="528"/>
      <c r="ATY66" s="528"/>
      <c r="ATZ66" s="528"/>
      <c r="AUA66" s="528"/>
      <c r="AUB66" s="528"/>
      <c r="AUC66" s="528"/>
      <c r="AUD66" s="528"/>
      <c r="AUE66" s="528"/>
      <c r="AUF66" s="528"/>
      <c r="AUG66" s="528"/>
      <c r="AUH66" s="528"/>
      <c r="AUI66" s="528"/>
      <c r="AUJ66" s="528"/>
      <c r="AUK66" s="528"/>
      <c r="AUL66" s="528"/>
      <c r="AUM66" s="528"/>
      <c r="AUN66" s="528"/>
      <c r="AUO66" s="528"/>
      <c r="AUP66" s="528"/>
      <c r="AUQ66" s="528"/>
      <c r="AUR66" s="528"/>
      <c r="AUS66" s="528"/>
      <c r="AUT66" s="528"/>
      <c r="AUU66" s="528"/>
      <c r="AUV66" s="528"/>
      <c r="AUW66" s="528"/>
      <c r="AUX66" s="528"/>
      <c r="AUY66" s="528"/>
      <c r="AUZ66" s="528"/>
      <c r="AVA66" s="528"/>
      <c r="AVB66" s="528"/>
      <c r="AVC66" s="528"/>
      <c r="AVD66" s="528"/>
      <c r="AVE66" s="528"/>
      <c r="AVF66" s="528"/>
      <c r="AVG66" s="528"/>
      <c r="AVH66" s="528"/>
      <c r="AVI66" s="528"/>
      <c r="AVJ66" s="528"/>
      <c r="AVK66" s="528"/>
      <c r="AVL66" s="528"/>
      <c r="AVM66" s="528"/>
      <c r="AVN66" s="528"/>
      <c r="AVO66" s="528"/>
      <c r="AVP66" s="528"/>
      <c r="AVQ66" s="528"/>
      <c r="AVR66" s="528"/>
      <c r="AVS66" s="528"/>
      <c r="AVT66" s="528"/>
      <c r="AVU66" s="528"/>
      <c r="AVV66" s="528"/>
      <c r="AVW66" s="528"/>
      <c r="AVX66" s="528"/>
      <c r="AVY66" s="528"/>
      <c r="AVZ66" s="528"/>
      <c r="AWA66" s="528"/>
      <c r="AWB66" s="528"/>
      <c r="AWC66" s="528"/>
      <c r="AWD66" s="528"/>
      <c r="AWE66" s="528"/>
      <c r="AWF66" s="528"/>
      <c r="AWG66" s="528"/>
      <c r="AWH66" s="528"/>
      <c r="AWI66" s="528"/>
      <c r="AWJ66" s="528"/>
      <c r="AWK66" s="528"/>
      <c r="AWL66" s="528"/>
      <c r="AWM66" s="528"/>
      <c r="AWN66" s="528"/>
      <c r="AWO66" s="528"/>
      <c r="AWP66" s="528"/>
      <c r="AWQ66" s="528"/>
      <c r="AWR66" s="528"/>
      <c r="AWS66" s="528"/>
      <c r="AWT66" s="528"/>
      <c r="AWU66" s="528"/>
      <c r="AWV66" s="528"/>
      <c r="AWW66" s="528"/>
      <c r="AWX66" s="528"/>
      <c r="AWY66" s="528"/>
      <c r="AWZ66" s="528"/>
      <c r="AXA66" s="528"/>
      <c r="AXB66" s="528"/>
      <c r="AXC66" s="528"/>
      <c r="AXD66" s="528"/>
      <c r="AXE66" s="528"/>
      <c r="AXF66" s="528"/>
      <c r="AXG66" s="528"/>
      <c r="AXH66" s="528"/>
      <c r="AXI66" s="528"/>
      <c r="AXJ66" s="528"/>
      <c r="AXK66" s="528"/>
      <c r="AXL66" s="528"/>
      <c r="AXM66" s="528"/>
      <c r="AXN66" s="528"/>
      <c r="AXO66" s="528"/>
      <c r="AXP66" s="528"/>
      <c r="AXQ66" s="528"/>
      <c r="AXR66" s="528"/>
      <c r="AXS66" s="528"/>
      <c r="AXT66" s="528"/>
      <c r="AXU66" s="528"/>
      <c r="AXV66" s="528"/>
      <c r="AXW66" s="528"/>
      <c r="AXX66" s="528"/>
      <c r="AXY66" s="528"/>
      <c r="AXZ66" s="528"/>
      <c r="AYA66" s="528"/>
      <c r="AYB66" s="528"/>
      <c r="AYC66" s="528"/>
      <c r="AYD66" s="528"/>
      <c r="AYE66" s="528"/>
      <c r="AYF66" s="528"/>
      <c r="AYG66" s="528"/>
      <c r="AYH66" s="528"/>
      <c r="AYI66" s="528"/>
      <c r="AYJ66" s="528"/>
      <c r="AYK66" s="528"/>
      <c r="AYL66" s="528"/>
      <c r="AYM66" s="528"/>
      <c r="AYN66" s="528"/>
      <c r="AYO66" s="528"/>
      <c r="AYP66" s="528"/>
      <c r="AYQ66" s="528"/>
      <c r="AYR66" s="528"/>
      <c r="AYS66" s="528"/>
      <c r="AYT66" s="528"/>
      <c r="AYU66" s="528"/>
      <c r="AYV66" s="528"/>
      <c r="AYW66" s="528"/>
      <c r="AYX66" s="528"/>
      <c r="AYY66" s="528"/>
      <c r="AYZ66" s="528"/>
      <c r="AZA66" s="528"/>
      <c r="AZB66" s="528"/>
      <c r="AZC66" s="528"/>
      <c r="AZD66" s="528"/>
      <c r="AZE66" s="528"/>
      <c r="AZF66" s="528"/>
      <c r="AZG66" s="528"/>
      <c r="AZH66" s="528"/>
      <c r="AZI66" s="528"/>
      <c r="AZJ66" s="528"/>
      <c r="AZK66" s="528"/>
      <c r="AZL66" s="528"/>
      <c r="AZM66" s="528"/>
      <c r="AZN66" s="528"/>
      <c r="AZO66" s="528"/>
      <c r="AZP66" s="528"/>
      <c r="AZQ66" s="528"/>
      <c r="AZR66" s="528"/>
      <c r="AZS66" s="528"/>
      <c r="AZT66" s="528"/>
      <c r="AZU66" s="528"/>
      <c r="AZV66" s="528"/>
      <c r="AZW66" s="528"/>
      <c r="AZX66" s="528"/>
      <c r="AZY66" s="528"/>
      <c r="AZZ66" s="528"/>
      <c r="BAA66" s="528"/>
      <c r="BAB66" s="528"/>
      <c r="BAC66" s="528"/>
      <c r="BAD66" s="528"/>
      <c r="BAE66" s="528"/>
      <c r="BAF66" s="528"/>
      <c r="BAG66" s="528"/>
      <c r="BAH66" s="528"/>
      <c r="BAI66" s="528"/>
      <c r="BAJ66" s="528"/>
      <c r="BAK66" s="528"/>
      <c r="BAL66" s="528"/>
      <c r="BAM66" s="528"/>
      <c r="BAN66" s="528"/>
      <c r="BAO66" s="528"/>
      <c r="BAP66" s="528"/>
      <c r="BAQ66" s="528"/>
      <c r="BAR66" s="528"/>
      <c r="BAS66" s="528"/>
      <c r="BAT66" s="528"/>
      <c r="BAU66" s="528"/>
      <c r="BAV66" s="528"/>
      <c r="BAW66" s="528"/>
      <c r="BAX66" s="528"/>
      <c r="BAY66" s="528"/>
      <c r="BAZ66" s="528"/>
      <c r="BBA66" s="528"/>
      <c r="BBB66" s="528"/>
      <c r="BBC66" s="528"/>
      <c r="BBD66" s="528"/>
      <c r="BBE66" s="528"/>
      <c r="BBF66" s="528"/>
      <c r="BBG66" s="528"/>
      <c r="BBH66" s="528"/>
      <c r="BBI66" s="528"/>
      <c r="BBJ66" s="528"/>
      <c r="BBK66" s="528"/>
      <c r="BBL66" s="528"/>
      <c r="BBM66" s="528"/>
      <c r="BBN66" s="528"/>
      <c r="BBO66" s="528"/>
      <c r="BBP66" s="528"/>
      <c r="BBQ66" s="528"/>
      <c r="BBR66" s="528"/>
      <c r="BBS66" s="528"/>
      <c r="BBT66" s="528"/>
      <c r="BBU66" s="528"/>
      <c r="BBV66" s="528"/>
      <c r="BBW66" s="528"/>
      <c r="BBX66" s="528"/>
      <c r="BBY66" s="528"/>
      <c r="BBZ66" s="528"/>
      <c r="BCA66" s="528"/>
      <c r="BCB66" s="528"/>
      <c r="BCC66" s="528"/>
      <c r="BCD66" s="528"/>
      <c r="BCE66" s="528"/>
      <c r="BCF66" s="528"/>
      <c r="BCG66" s="528"/>
      <c r="BCH66" s="528"/>
      <c r="BCI66" s="528"/>
      <c r="BCJ66" s="528"/>
      <c r="BCK66" s="528"/>
      <c r="BCL66" s="528"/>
      <c r="BCM66" s="528"/>
      <c r="BCN66" s="528"/>
      <c r="BCO66" s="528"/>
      <c r="BCP66" s="528"/>
      <c r="BCQ66" s="528"/>
      <c r="BCR66" s="528"/>
      <c r="BCS66" s="528"/>
      <c r="BCT66" s="528"/>
      <c r="BCU66" s="528"/>
      <c r="BCV66" s="528"/>
      <c r="BCW66" s="528"/>
      <c r="BCX66" s="528"/>
      <c r="BCY66" s="528"/>
      <c r="BCZ66" s="528"/>
      <c r="BDA66" s="528"/>
      <c r="BDB66" s="528"/>
      <c r="BDC66" s="528"/>
      <c r="BDD66" s="528"/>
      <c r="BDE66" s="528"/>
      <c r="BDF66" s="528"/>
      <c r="BDG66" s="528"/>
      <c r="BDH66" s="528"/>
      <c r="BDI66" s="528"/>
      <c r="BDJ66" s="528"/>
      <c r="BDK66" s="528"/>
      <c r="BDL66" s="528"/>
      <c r="BDM66" s="528"/>
      <c r="BDN66" s="528"/>
      <c r="BDO66" s="528"/>
      <c r="BDP66" s="528"/>
      <c r="BDQ66" s="528"/>
      <c r="BDR66" s="528"/>
      <c r="BDS66" s="528"/>
      <c r="BDT66" s="528"/>
      <c r="BDU66" s="528"/>
      <c r="BDV66" s="528"/>
      <c r="BDW66" s="528"/>
      <c r="BDX66" s="528"/>
      <c r="BDY66" s="528"/>
      <c r="BDZ66" s="528"/>
      <c r="BEA66" s="528"/>
      <c r="BEB66" s="528"/>
      <c r="BEC66" s="528"/>
      <c r="BED66" s="528"/>
      <c r="BEE66" s="528"/>
      <c r="BEF66" s="528"/>
      <c r="BEG66" s="528"/>
      <c r="BEH66" s="528"/>
      <c r="BEI66" s="528"/>
      <c r="BEJ66" s="528"/>
      <c r="BEK66" s="528"/>
      <c r="BEL66" s="528"/>
      <c r="BEM66" s="528"/>
      <c r="BEN66" s="528"/>
      <c r="BEO66" s="528"/>
      <c r="BEP66" s="528"/>
      <c r="BEQ66" s="528"/>
      <c r="BER66" s="528"/>
      <c r="BES66" s="528"/>
      <c r="BET66" s="528"/>
      <c r="BEU66" s="528"/>
      <c r="BEV66" s="528"/>
      <c r="BEW66" s="528"/>
      <c r="BEX66" s="528"/>
      <c r="BEY66" s="528"/>
      <c r="BEZ66" s="528"/>
      <c r="BFA66" s="528"/>
      <c r="BFB66" s="528"/>
      <c r="BFC66" s="528"/>
      <c r="BFD66" s="528"/>
      <c r="BFE66" s="528"/>
      <c r="BFF66" s="528"/>
      <c r="BFG66" s="528"/>
      <c r="BFH66" s="528"/>
      <c r="BFI66" s="528"/>
      <c r="BFJ66" s="528"/>
      <c r="BFK66" s="528"/>
      <c r="BFL66" s="528"/>
      <c r="BFM66" s="528"/>
      <c r="BFN66" s="528"/>
      <c r="BFO66" s="528"/>
      <c r="BFP66" s="528"/>
      <c r="BFQ66" s="528"/>
      <c r="BFR66" s="528"/>
      <c r="BFS66" s="528"/>
      <c r="BFT66" s="528"/>
      <c r="BFU66" s="528"/>
      <c r="BFV66" s="528"/>
      <c r="BFW66" s="528"/>
      <c r="BFX66" s="528"/>
      <c r="BFY66" s="528"/>
      <c r="BFZ66" s="528"/>
      <c r="BGA66" s="528"/>
      <c r="BGB66" s="528"/>
      <c r="BGC66" s="528"/>
      <c r="BGD66" s="528"/>
      <c r="BGE66" s="528"/>
      <c r="BGF66" s="528"/>
      <c r="BGG66" s="528"/>
      <c r="BGH66" s="528"/>
      <c r="BGI66" s="528"/>
      <c r="BGJ66" s="528"/>
      <c r="BGK66" s="528"/>
      <c r="BGL66" s="528"/>
      <c r="BGM66" s="528"/>
      <c r="BGN66" s="528"/>
      <c r="BGO66" s="528"/>
      <c r="BGP66" s="528"/>
      <c r="BGQ66" s="528"/>
      <c r="BGR66" s="528"/>
      <c r="BGS66" s="528"/>
      <c r="BGT66" s="528"/>
      <c r="BGU66" s="528"/>
      <c r="BGV66" s="528"/>
      <c r="BGW66" s="528"/>
      <c r="BGX66" s="528"/>
      <c r="BGY66" s="528"/>
      <c r="BGZ66" s="528"/>
      <c r="BHA66" s="528"/>
      <c r="BHB66" s="528"/>
      <c r="BHC66" s="528"/>
      <c r="BHD66" s="528"/>
      <c r="BHE66" s="528"/>
      <c r="BHF66" s="528"/>
      <c r="BHG66" s="528"/>
      <c r="BHH66" s="528"/>
      <c r="BHI66" s="528"/>
      <c r="BHJ66" s="528"/>
      <c r="BHK66" s="528"/>
      <c r="BHL66" s="528"/>
      <c r="BHM66" s="528"/>
      <c r="BHN66" s="528"/>
      <c r="BHO66" s="528"/>
      <c r="BHP66" s="528"/>
      <c r="BHQ66" s="528"/>
      <c r="BHR66" s="528"/>
      <c r="BHS66" s="528"/>
      <c r="BHT66" s="528"/>
      <c r="BHU66" s="528"/>
      <c r="BHV66" s="528"/>
      <c r="BHW66" s="528"/>
      <c r="BHX66" s="528"/>
      <c r="BHY66" s="528"/>
      <c r="BHZ66" s="528"/>
      <c r="BIA66" s="528"/>
      <c r="BIB66" s="528"/>
      <c r="BIC66" s="528"/>
      <c r="BID66" s="528"/>
      <c r="BIE66" s="528"/>
      <c r="BIF66" s="528"/>
      <c r="BIG66" s="528"/>
      <c r="BIH66" s="528"/>
      <c r="BII66" s="528"/>
      <c r="BIJ66" s="528"/>
      <c r="BIK66" s="528"/>
      <c r="BIL66" s="528"/>
      <c r="BIM66" s="528"/>
      <c r="BIN66" s="528"/>
      <c r="BIO66" s="528"/>
      <c r="BIP66" s="528"/>
      <c r="BIQ66" s="528"/>
      <c r="BIR66" s="528"/>
      <c r="BIS66" s="528"/>
      <c r="BIT66" s="528"/>
      <c r="BIU66" s="528"/>
      <c r="BIV66" s="528"/>
      <c r="BIW66" s="528"/>
      <c r="BIX66" s="528"/>
      <c r="BIY66" s="528"/>
      <c r="BIZ66" s="528"/>
      <c r="BJA66" s="528"/>
      <c r="BJB66" s="528"/>
      <c r="BJC66" s="528"/>
      <c r="BJD66" s="528"/>
      <c r="BJE66" s="528"/>
      <c r="BJF66" s="528"/>
      <c r="BJG66" s="528"/>
      <c r="BJH66" s="528"/>
      <c r="BJI66" s="528"/>
      <c r="BJJ66" s="528"/>
      <c r="BJK66" s="528"/>
      <c r="BJL66" s="528"/>
      <c r="BJM66" s="528"/>
      <c r="BJN66" s="528"/>
      <c r="BJO66" s="528"/>
      <c r="BJP66" s="528"/>
      <c r="BJQ66" s="528"/>
      <c r="BJR66" s="528"/>
      <c r="BJS66" s="528"/>
      <c r="BJT66" s="528"/>
      <c r="BJU66" s="528"/>
      <c r="BJV66" s="528"/>
      <c r="BJW66" s="528"/>
      <c r="BJX66" s="528"/>
      <c r="BJY66" s="528"/>
      <c r="BJZ66" s="528"/>
      <c r="BKA66" s="528"/>
      <c r="BKB66" s="528"/>
      <c r="BKC66" s="528"/>
      <c r="BKD66" s="528"/>
      <c r="BKE66" s="528"/>
      <c r="BKF66" s="528"/>
      <c r="BKG66" s="528"/>
      <c r="BKH66" s="528"/>
      <c r="BKI66" s="528"/>
      <c r="BKJ66" s="528"/>
      <c r="BKK66" s="528"/>
      <c r="BKL66" s="528"/>
      <c r="BKM66" s="528"/>
      <c r="BKN66" s="528"/>
      <c r="BKO66" s="528"/>
      <c r="BKP66" s="528"/>
      <c r="BKQ66" s="528"/>
      <c r="BKR66" s="528"/>
      <c r="BKS66" s="528"/>
      <c r="BKT66" s="528"/>
      <c r="BKU66" s="528"/>
      <c r="BKV66" s="528"/>
      <c r="BKW66" s="528"/>
      <c r="BKX66" s="528"/>
      <c r="BKY66" s="528"/>
      <c r="BKZ66" s="528"/>
      <c r="BLA66" s="528"/>
      <c r="BLB66" s="528"/>
      <c r="BLC66" s="528"/>
      <c r="BLD66" s="528"/>
      <c r="BLE66" s="528"/>
      <c r="BLF66" s="528"/>
      <c r="BLG66" s="528"/>
      <c r="BLH66" s="528"/>
      <c r="BLI66" s="528"/>
      <c r="BLJ66" s="528"/>
      <c r="BLK66" s="528"/>
      <c r="BLL66" s="528"/>
      <c r="BLM66" s="528"/>
      <c r="BLN66" s="528"/>
      <c r="BLO66" s="528"/>
      <c r="BLP66" s="528"/>
      <c r="BLQ66" s="528"/>
      <c r="BLR66" s="528"/>
      <c r="BLS66" s="528"/>
      <c r="BLT66" s="528"/>
      <c r="BLU66" s="528"/>
      <c r="BLV66" s="528"/>
      <c r="BLW66" s="528"/>
      <c r="BLX66" s="528"/>
      <c r="BLY66" s="528"/>
      <c r="BLZ66" s="528"/>
      <c r="BMA66" s="528"/>
      <c r="BMB66" s="528"/>
      <c r="BMC66" s="528"/>
      <c r="BMD66" s="528"/>
      <c r="BME66" s="528"/>
      <c r="BMF66" s="528"/>
      <c r="BMG66" s="528"/>
      <c r="BMH66" s="528"/>
      <c r="BMI66" s="528"/>
      <c r="BMJ66" s="528"/>
      <c r="BMK66" s="528"/>
      <c r="BML66" s="528"/>
      <c r="BMM66" s="528"/>
      <c r="BMN66" s="528"/>
      <c r="BMO66" s="528"/>
      <c r="BMP66" s="528"/>
      <c r="BMQ66" s="528"/>
      <c r="BMR66" s="528"/>
      <c r="BMS66" s="528"/>
      <c r="BMT66" s="528"/>
      <c r="BMU66" s="528"/>
      <c r="BMV66" s="528"/>
      <c r="BMW66" s="528"/>
      <c r="BMX66" s="528"/>
      <c r="BMY66" s="528"/>
      <c r="BMZ66" s="528"/>
      <c r="BNA66" s="528"/>
      <c r="BNB66" s="528"/>
      <c r="BNC66" s="528"/>
      <c r="BND66" s="528"/>
      <c r="BNE66" s="528"/>
      <c r="BNF66" s="528"/>
      <c r="BNG66" s="528"/>
      <c r="BNH66" s="528"/>
      <c r="BNI66" s="528"/>
      <c r="BNJ66" s="528"/>
      <c r="BNK66" s="528"/>
      <c r="BNL66" s="528"/>
      <c r="BNM66" s="528"/>
      <c r="BNN66" s="528"/>
      <c r="BNO66" s="528"/>
      <c r="BNP66" s="528"/>
      <c r="BNQ66" s="528"/>
      <c r="BNR66" s="528"/>
      <c r="BNS66" s="528"/>
      <c r="BNT66" s="528"/>
      <c r="BNU66" s="528"/>
      <c r="BNV66" s="528"/>
      <c r="BNW66" s="528"/>
      <c r="BNX66" s="528"/>
      <c r="BNY66" s="528"/>
      <c r="BNZ66" s="528"/>
      <c r="BOA66" s="528"/>
      <c r="BOB66" s="528"/>
      <c r="BOC66" s="528"/>
      <c r="BOD66" s="528"/>
      <c r="BOE66" s="528"/>
      <c r="BOF66" s="528"/>
      <c r="BOG66" s="528"/>
      <c r="BOH66" s="528"/>
      <c r="BOI66" s="528"/>
      <c r="BOJ66" s="528"/>
      <c r="BOK66" s="528"/>
      <c r="BOL66" s="528"/>
      <c r="BOM66" s="528"/>
      <c r="BON66" s="528"/>
      <c r="BOO66" s="528"/>
      <c r="BOP66" s="528"/>
      <c r="BOQ66" s="528"/>
      <c r="BOR66" s="528"/>
      <c r="BOS66" s="528"/>
      <c r="BOT66" s="528"/>
      <c r="BOU66" s="528"/>
      <c r="BOV66" s="528"/>
      <c r="BOW66" s="528"/>
      <c r="BOX66" s="528"/>
      <c r="BOY66" s="528"/>
      <c r="BOZ66" s="528"/>
      <c r="BPA66" s="528"/>
      <c r="BPB66" s="528"/>
      <c r="BPC66" s="528"/>
      <c r="BPD66" s="528"/>
      <c r="BPE66" s="528"/>
      <c r="BPF66" s="528"/>
      <c r="BPG66" s="528"/>
      <c r="BPH66" s="528"/>
      <c r="BPI66" s="528"/>
      <c r="BPJ66" s="528"/>
      <c r="BPK66" s="528"/>
      <c r="BPL66" s="528"/>
      <c r="BPM66" s="528"/>
      <c r="BPN66" s="528"/>
      <c r="BPO66" s="528"/>
      <c r="BPP66" s="528"/>
      <c r="BPQ66" s="528"/>
      <c r="BPR66" s="528"/>
      <c r="BPS66" s="528"/>
      <c r="BPT66" s="528"/>
      <c r="BPU66" s="528"/>
      <c r="BPV66" s="528"/>
      <c r="BPW66" s="528"/>
      <c r="BPX66" s="528"/>
      <c r="BPY66" s="528"/>
      <c r="BPZ66" s="528"/>
      <c r="BQA66" s="528"/>
      <c r="BQB66" s="528"/>
      <c r="BQC66" s="528"/>
      <c r="BQD66" s="528"/>
      <c r="BQE66" s="528"/>
      <c r="BQF66" s="528"/>
      <c r="BQG66" s="528"/>
      <c r="BQH66" s="528"/>
      <c r="BQI66" s="528"/>
      <c r="BQJ66" s="528"/>
      <c r="BQK66" s="528"/>
      <c r="BQL66" s="528"/>
      <c r="BQM66" s="528"/>
      <c r="BQN66" s="528"/>
      <c r="BQO66" s="528"/>
      <c r="BQP66" s="528"/>
      <c r="BQQ66" s="528"/>
      <c r="BQR66" s="528"/>
      <c r="BQS66" s="528"/>
      <c r="BQT66" s="528"/>
      <c r="BQU66" s="528"/>
      <c r="BQV66" s="528"/>
      <c r="BQW66" s="528"/>
      <c r="BQX66" s="528"/>
      <c r="BQY66" s="528"/>
      <c r="BQZ66" s="528"/>
      <c r="BRA66" s="528"/>
      <c r="BRB66" s="528"/>
      <c r="BRC66" s="528"/>
      <c r="BRD66" s="528"/>
      <c r="BRE66" s="528"/>
      <c r="BRF66" s="528"/>
      <c r="BRG66" s="528"/>
      <c r="BRH66" s="528"/>
      <c r="BRI66" s="528"/>
      <c r="BRJ66" s="528"/>
      <c r="BRK66" s="528"/>
      <c r="BRL66" s="528"/>
      <c r="BRM66" s="528"/>
      <c r="BRN66" s="528"/>
      <c r="BRO66" s="528"/>
      <c r="BRP66" s="528"/>
      <c r="BRQ66" s="528"/>
      <c r="BRR66" s="528"/>
      <c r="BRS66" s="528"/>
      <c r="BRT66" s="528"/>
      <c r="BRU66" s="528"/>
      <c r="BRV66" s="528"/>
      <c r="BRW66" s="528"/>
      <c r="BRX66" s="528"/>
      <c r="BRY66" s="528"/>
      <c r="BRZ66" s="528"/>
      <c r="BSA66" s="528"/>
      <c r="BSB66" s="528"/>
      <c r="BSC66" s="528"/>
      <c r="BSD66" s="528"/>
      <c r="BSE66" s="528"/>
      <c r="BSF66" s="528"/>
      <c r="BSG66" s="528"/>
      <c r="BSH66" s="528"/>
      <c r="BSI66" s="528"/>
      <c r="BSJ66" s="528"/>
      <c r="BSK66" s="528"/>
      <c r="BSL66" s="528"/>
      <c r="BSM66" s="528"/>
      <c r="BSN66" s="528"/>
      <c r="BSO66" s="528"/>
      <c r="BSP66" s="528"/>
      <c r="BSQ66" s="528"/>
      <c r="BSR66" s="528"/>
      <c r="BSS66" s="528"/>
      <c r="BST66" s="528"/>
      <c r="BSU66" s="528"/>
      <c r="BSV66" s="528"/>
      <c r="BSW66" s="528"/>
      <c r="BSX66" s="528"/>
      <c r="BSY66" s="528"/>
      <c r="BSZ66" s="528"/>
      <c r="BTA66" s="528"/>
      <c r="BTB66" s="528"/>
      <c r="BTC66" s="528"/>
      <c r="BTD66" s="528"/>
      <c r="BTE66" s="528"/>
      <c r="BTF66" s="528"/>
      <c r="BTG66" s="528"/>
      <c r="BTH66" s="528"/>
      <c r="BTI66" s="528"/>
      <c r="BTJ66" s="528"/>
      <c r="BTK66" s="528"/>
      <c r="BTL66" s="528"/>
      <c r="BTM66" s="528"/>
      <c r="BTN66" s="528"/>
      <c r="BTO66" s="528"/>
      <c r="BTP66" s="528"/>
      <c r="BTQ66" s="528"/>
      <c r="BTR66" s="528"/>
      <c r="BTS66" s="528"/>
      <c r="BTT66" s="528"/>
      <c r="BTU66" s="528"/>
      <c r="BTV66" s="528"/>
      <c r="BTW66" s="528"/>
      <c r="BTX66" s="528"/>
      <c r="BTY66" s="528"/>
      <c r="BTZ66" s="528"/>
      <c r="BUA66" s="528"/>
      <c r="BUB66" s="528"/>
      <c r="BUC66" s="528"/>
      <c r="BUD66" s="528"/>
      <c r="BUE66" s="528"/>
      <c r="BUF66" s="528"/>
      <c r="BUG66" s="528"/>
      <c r="BUH66" s="528"/>
      <c r="BUI66" s="528"/>
      <c r="BUJ66" s="528"/>
      <c r="BUK66" s="528"/>
      <c r="BUL66" s="528"/>
      <c r="BUM66" s="528"/>
      <c r="BUN66" s="528"/>
      <c r="BUO66" s="528"/>
      <c r="BUP66" s="528"/>
      <c r="BUQ66" s="528"/>
      <c r="BUR66" s="528"/>
      <c r="BUS66" s="528"/>
      <c r="BUT66" s="528"/>
      <c r="BUU66" s="528"/>
      <c r="BUV66" s="528"/>
      <c r="BUW66" s="528"/>
      <c r="BUX66" s="528"/>
      <c r="BUY66" s="528"/>
      <c r="BUZ66" s="528"/>
      <c r="BVA66" s="528"/>
      <c r="BVB66" s="528"/>
      <c r="BVC66" s="528"/>
      <c r="BVD66" s="528"/>
      <c r="BVE66" s="528"/>
      <c r="BVF66" s="528"/>
      <c r="BVG66" s="528"/>
      <c r="BVH66" s="528"/>
      <c r="BVI66" s="528"/>
      <c r="BVJ66" s="528"/>
      <c r="BVK66" s="528"/>
      <c r="BVL66" s="528"/>
      <c r="BVM66" s="528"/>
      <c r="BVN66" s="528"/>
      <c r="BVO66" s="528"/>
      <c r="BVP66" s="528"/>
      <c r="BVQ66" s="528"/>
      <c r="BVR66" s="528"/>
      <c r="BVS66" s="528"/>
      <c r="BVT66" s="528"/>
      <c r="BVU66" s="528"/>
      <c r="BVV66" s="528"/>
      <c r="BVW66" s="528"/>
      <c r="BVX66" s="528"/>
      <c r="BVY66" s="528"/>
      <c r="BVZ66" s="528"/>
      <c r="BWA66" s="528"/>
      <c r="BWB66" s="528"/>
      <c r="BWC66" s="528"/>
      <c r="BWD66" s="528"/>
      <c r="BWE66" s="528"/>
      <c r="BWF66" s="528"/>
      <c r="BWG66" s="528"/>
      <c r="BWH66" s="528"/>
      <c r="BWI66" s="528"/>
      <c r="BWJ66" s="528"/>
      <c r="BWK66" s="528"/>
      <c r="BWL66" s="528"/>
      <c r="BWM66" s="528"/>
      <c r="BWN66" s="528"/>
      <c r="BWO66" s="528"/>
      <c r="BWP66" s="528"/>
      <c r="BWQ66" s="528"/>
      <c r="BWR66" s="528"/>
      <c r="BWS66" s="528"/>
      <c r="BWT66" s="528"/>
      <c r="BWU66" s="528"/>
      <c r="BWV66" s="528"/>
      <c r="BWW66" s="528"/>
      <c r="BWX66" s="528"/>
      <c r="BWY66" s="528"/>
      <c r="BWZ66" s="528"/>
      <c r="BXA66" s="528"/>
      <c r="BXB66" s="528"/>
      <c r="BXC66" s="528"/>
      <c r="BXD66" s="528"/>
      <c r="BXE66" s="528"/>
      <c r="BXF66" s="528"/>
      <c r="BXG66" s="528"/>
      <c r="BXH66" s="528"/>
      <c r="BXI66" s="528"/>
      <c r="BXJ66" s="528"/>
      <c r="BXK66" s="528"/>
      <c r="BXL66" s="528"/>
      <c r="BXM66" s="528"/>
      <c r="BXN66" s="528"/>
      <c r="BXO66" s="528"/>
      <c r="BXP66" s="528"/>
      <c r="BXQ66" s="528"/>
      <c r="BXR66" s="528"/>
      <c r="BXS66" s="528"/>
      <c r="BXT66" s="528"/>
      <c r="BXU66" s="528"/>
      <c r="BXV66" s="528"/>
      <c r="BXW66" s="528"/>
      <c r="BXX66" s="528"/>
      <c r="BXY66" s="528"/>
      <c r="BXZ66" s="528"/>
      <c r="BYA66" s="528"/>
      <c r="BYB66" s="528"/>
      <c r="BYC66" s="528"/>
      <c r="BYD66" s="528"/>
      <c r="BYE66" s="528"/>
      <c r="BYF66" s="528"/>
      <c r="BYG66" s="528"/>
      <c r="BYH66" s="528"/>
      <c r="BYI66" s="528"/>
      <c r="BYJ66" s="528"/>
      <c r="BYK66" s="528"/>
      <c r="BYL66" s="528"/>
      <c r="BYM66" s="528"/>
      <c r="BYN66" s="528"/>
      <c r="BYO66" s="528"/>
      <c r="BYP66" s="528"/>
      <c r="BYQ66" s="528"/>
      <c r="BYR66" s="528"/>
      <c r="BYS66" s="528"/>
      <c r="BYT66" s="528"/>
      <c r="BYU66" s="528"/>
      <c r="BYV66" s="528"/>
      <c r="BYW66" s="528"/>
      <c r="BYX66" s="528"/>
      <c r="BYY66" s="528"/>
      <c r="BYZ66" s="528"/>
      <c r="BZA66" s="528"/>
      <c r="BZB66" s="528"/>
      <c r="BZC66" s="528"/>
      <c r="BZD66" s="528"/>
      <c r="BZE66" s="528"/>
      <c r="BZF66" s="528"/>
      <c r="BZG66" s="528"/>
      <c r="BZH66" s="528"/>
      <c r="BZI66" s="528"/>
      <c r="BZJ66" s="528"/>
      <c r="BZK66" s="528"/>
      <c r="BZL66" s="528"/>
      <c r="BZM66" s="528"/>
      <c r="BZN66" s="528"/>
      <c r="BZO66" s="528"/>
      <c r="BZP66" s="528"/>
      <c r="BZQ66" s="528"/>
      <c r="BZR66" s="528"/>
      <c r="BZS66" s="528"/>
      <c r="BZT66" s="528"/>
      <c r="BZU66" s="528"/>
      <c r="BZV66" s="528"/>
      <c r="BZW66" s="528"/>
      <c r="BZX66" s="528"/>
      <c r="BZY66" s="528"/>
      <c r="BZZ66" s="528"/>
      <c r="CAA66" s="528"/>
      <c r="CAB66" s="528"/>
      <c r="CAC66" s="528"/>
      <c r="CAD66" s="528"/>
      <c r="CAE66" s="528"/>
      <c r="CAF66" s="528"/>
      <c r="CAG66" s="528"/>
      <c r="CAH66" s="528"/>
      <c r="CAI66" s="528"/>
      <c r="CAJ66" s="528"/>
      <c r="CAK66" s="528"/>
      <c r="CAL66" s="528"/>
      <c r="CAM66" s="528"/>
      <c r="CAN66" s="528"/>
      <c r="CAO66" s="528"/>
      <c r="CAP66" s="528"/>
      <c r="CAQ66" s="528"/>
      <c r="CAR66" s="528"/>
      <c r="CAS66" s="528"/>
      <c r="CAT66" s="528"/>
      <c r="CAU66" s="528"/>
      <c r="CAV66" s="528"/>
      <c r="CAW66" s="528"/>
      <c r="CAX66" s="528"/>
      <c r="CAY66" s="528"/>
      <c r="CAZ66" s="528"/>
      <c r="CBA66" s="528"/>
      <c r="CBB66" s="528"/>
      <c r="CBC66" s="528"/>
      <c r="CBD66" s="528"/>
      <c r="CBE66" s="528"/>
      <c r="CBF66" s="528"/>
      <c r="CBG66" s="528"/>
      <c r="CBH66" s="528"/>
      <c r="CBI66" s="528"/>
      <c r="CBJ66" s="528"/>
      <c r="CBK66" s="528"/>
      <c r="CBL66" s="528"/>
      <c r="CBM66" s="528"/>
      <c r="CBN66" s="528"/>
      <c r="CBO66" s="528"/>
      <c r="CBP66" s="528"/>
      <c r="CBQ66" s="528"/>
      <c r="CBR66" s="528"/>
      <c r="CBS66" s="528"/>
      <c r="CBT66" s="528"/>
      <c r="CBU66" s="528"/>
      <c r="CBV66" s="528"/>
      <c r="CBW66" s="528"/>
      <c r="CBX66" s="528"/>
      <c r="CBY66" s="528"/>
      <c r="CBZ66" s="528"/>
      <c r="CCA66" s="528"/>
      <c r="CCB66" s="528"/>
      <c r="CCC66" s="528"/>
      <c r="CCD66" s="528"/>
      <c r="CCE66" s="528"/>
      <c r="CCF66" s="528"/>
      <c r="CCG66" s="528"/>
      <c r="CCH66" s="528"/>
      <c r="CCI66" s="528"/>
      <c r="CCJ66" s="528"/>
      <c r="CCK66" s="528"/>
      <c r="CCL66" s="528"/>
      <c r="CCM66" s="528"/>
      <c r="CCN66" s="528"/>
      <c r="CCO66" s="528"/>
      <c r="CCP66" s="528"/>
      <c r="CCQ66" s="528"/>
      <c r="CCR66" s="528"/>
      <c r="CCS66" s="528"/>
      <c r="CCT66" s="528"/>
      <c r="CCU66" s="528"/>
      <c r="CCV66" s="528"/>
      <c r="CCW66" s="528"/>
      <c r="CCX66" s="528"/>
      <c r="CCY66" s="528"/>
      <c r="CCZ66" s="528"/>
      <c r="CDA66" s="528"/>
      <c r="CDB66" s="528"/>
      <c r="CDC66" s="528"/>
      <c r="CDD66" s="528"/>
      <c r="CDE66" s="528"/>
      <c r="CDF66" s="528"/>
      <c r="CDG66" s="528"/>
      <c r="CDH66" s="528"/>
      <c r="CDI66" s="528"/>
      <c r="CDJ66" s="528"/>
      <c r="CDK66" s="528"/>
      <c r="CDL66" s="528"/>
      <c r="CDM66" s="528"/>
      <c r="CDN66" s="528"/>
      <c r="CDO66" s="528"/>
      <c r="CDP66" s="528"/>
      <c r="CDQ66" s="528"/>
      <c r="CDR66" s="528"/>
      <c r="CDS66" s="528"/>
      <c r="CDT66" s="528"/>
      <c r="CDU66" s="528"/>
      <c r="CDV66" s="528"/>
      <c r="CDW66" s="528"/>
      <c r="CDX66" s="528"/>
      <c r="CDY66" s="528"/>
      <c r="CDZ66" s="528"/>
      <c r="CEA66" s="528"/>
      <c r="CEB66" s="528"/>
      <c r="CEC66" s="528"/>
      <c r="CED66" s="528"/>
      <c r="CEE66" s="528"/>
      <c r="CEF66" s="528"/>
      <c r="CEG66" s="528"/>
      <c r="CEH66" s="528"/>
      <c r="CEI66" s="528"/>
      <c r="CEJ66" s="528"/>
      <c r="CEK66" s="528"/>
      <c r="CEL66" s="528"/>
      <c r="CEM66" s="528"/>
      <c r="CEN66" s="528"/>
      <c r="CEO66" s="528"/>
      <c r="CEP66" s="528"/>
      <c r="CEQ66" s="528"/>
      <c r="CER66" s="528"/>
      <c r="CES66" s="528"/>
      <c r="CET66" s="528"/>
      <c r="CEU66" s="528"/>
      <c r="CEV66" s="528"/>
      <c r="CEW66" s="528"/>
      <c r="CEX66" s="528"/>
      <c r="CEY66" s="528"/>
      <c r="CEZ66" s="528"/>
      <c r="CFA66" s="528"/>
      <c r="CFB66" s="528"/>
      <c r="CFC66" s="528"/>
      <c r="CFD66" s="528"/>
      <c r="CFE66" s="528"/>
      <c r="CFF66" s="528"/>
      <c r="CFG66" s="528"/>
      <c r="CFH66" s="528"/>
      <c r="CFI66" s="528"/>
      <c r="CFJ66" s="528"/>
      <c r="CFK66" s="528"/>
      <c r="CFL66" s="528"/>
      <c r="CFM66" s="528"/>
      <c r="CFN66" s="528"/>
      <c r="CFO66" s="528"/>
      <c r="CFP66" s="528"/>
      <c r="CFQ66" s="528"/>
      <c r="CFR66" s="528"/>
      <c r="CFS66" s="528"/>
      <c r="CFT66" s="528"/>
      <c r="CFU66" s="528"/>
      <c r="CFV66" s="528"/>
      <c r="CFW66" s="528"/>
      <c r="CFX66" s="528"/>
      <c r="CFY66" s="528"/>
      <c r="CFZ66" s="528"/>
      <c r="CGA66" s="528"/>
      <c r="CGB66" s="528"/>
      <c r="CGC66" s="528"/>
      <c r="CGD66" s="528"/>
      <c r="CGE66" s="528"/>
      <c r="CGF66" s="528"/>
      <c r="CGG66" s="528"/>
      <c r="CGH66" s="528"/>
      <c r="CGI66" s="528"/>
      <c r="CGJ66" s="528"/>
      <c r="CGK66" s="528"/>
      <c r="CGL66" s="528"/>
      <c r="CGM66" s="528"/>
      <c r="CGN66" s="528"/>
      <c r="CGO66" s="528"/>
      <c r="CGP66" s="528"/>
      <c r="CGQ66" s="528"/>
      <c r="CGR66" s="528"/>
      <c r="CGS66" s="528"/>
      <c r="CGT66" s="528"/>
      <c r="CGU66" s="528"/>
      <c r="CGV66" s="528"/>
      <c r="CGW66" s="528"/>
      <c r="CGX66" s="528"/>
      <c r="CGY66" s="528"/>
      <c r="CGZ66" s="528"/>
      <c r="CHA66" s="528"/>
      <c r="CHB66" s="528"/>
      <c r="CHC66" s="528"/>
      <c r="CHD66" s="528"/>
      <c r="CHE66" s="528"/>
      <c r="CHF66" s="528"/>
      <c r="CHG66" s="528"/>
      <c r="CHH66" s="528"/>
      <c r="CHI66" s="528"/>
      <c r="CHJ66" s="528"/>
      <c r="CHK66" s="528"/>
      <c r="CHL66" s="528"/>
      <c r="CHM66" s="528"/>
      <c r="CHN66" s="528"/>
      <c r="CHO66" s="528"/>
      <c r="CHP66" s="528"/>
      <c r="CHQ66" s="528"/>
      <c r="CHR66" s="528"/>
      <c r="CHS66" s="528"/>
      <c r="CHT66" s="528"/>
      <c r="CHU66" s="528"/>
      <c r="CHV66" s="528"/>
      <c r="CHW66" s="528"/>
      <c r="CHX66" s="528"/>
      <c r="CHY66" s="528"/>
      <c r="CHZ66" s="528"/>
      <c r="CIA66" s="528"/>
      <c r="CIB66" s="528"/>
      <c r="CIC66" s="528"/>
      <c r="CID66" s="528"/>
      <c r="CIE66" s="528"/>
      <c r="CIF66" s="528"/>
      <c r="CIG66" s="528"/>
      <c r="CIH66" s="528"/>
      <c r="CII66" s="528"/>
      <c r="CIJ66" s="528"/>
      <c r="CIK66" s="528"/>
      <c r="CIL66" s="528"/>
      <c r="CIM66" s="528"/>
      <c r="CIN66" s="528"/>
      <c r="CIO66" s="528"/>
      <c r="CIP66" s="528"/>
      <c r="CIQ66" s="528"/>
      <c r="CIR66" s="528"/>
      <c r="CIS66" s="528"/>
      <c r="CIT66" s="528"/>
      <c r="CIU66" s="528"/>
      <c r="CIV66" s="528"/>
      <c r="CIW66" s="528"/>
      <c r="CIX66" s="528"/>
      <c r="CIY66" s="528"/>
      <c r="CIZ66" s="528"/>
      <c r="CJA66" s="528"/>
      <c r="CJB66" s="528"/>
      <c r="CJC66" s="528"/>
      <c r="CJD66" s="528"/>
      <c r="CJE66" s="528"/>
      <c r="CJF66" s="528"/>
      <c r="CJG66" s="528"/>
      <c r="CJH66" s="528"/>
      <c r="CJI66" s="528"/>
      <c r="CJJ66" s="528"/>
      <c r="CJK66" s="528"/>
      <c r="CJL66" s="528"/>
      <c r="CJM66" s="528"/>
      <c r="CJN66" s="528"/>
      <c r="CJO66" s="528"/>
      <c r="CJP66" s="528"/>
      <c r="CJQ66" s="528"/>
      <c r="CJR66" s="528"/>
      <c r="CJS66" s="528"/>
      <c r="CJT66" s="528"/>
      <c r="CJU66" s="528"/>
      <c r="CJV66" s="528"/>
      <c r="CJW66" s="528"/>
      <c r="CJX66" s="528"/>
      <c r="CJY66" s="528"/>
      <c r="CJZ66" s="528"/>
      <c r="CKA66" s="528"/>
      <c r="CKB66" s="528"/>
      <c r="CKC66" s="528"/>
      <c r="CKD66" s="528"/>
      <c r="CKE66" s="528"/>
      <c r="CKF66" s="528"/>
      <c r="CKG66" s="528"/>
      <c r="CKH66" s="528"/>
      <c r="CKI66" s="528"/>
      <c r="CKJ66" s="528"/>
      <c r="CKK66" s="528"/>
      <c r="CKL66" s="528"/>
      <c r="CKM66" s="528"/>
      <c r="CKN66" s="528"/>
      <c r="CKO66" s="528"/>
      <c r="CKP66" s="528"/>
      <c r="CKQ66" s="528"/>
      <c r="CKR66" s="528"/>
      <c r="CKS66" s="528"/>
      <c r="CKT66" s="528"/>
      <c r="CKU66" s="528"/>
      <c r="CKV66" s="528"/>
      <c r="CKW66" s="528"/>
      <c r="CKX66" s="528"/>
      <c r="CKY66" s="528"/>
      <c r="CKZ66" s="528"/>
      <c r="CLA66" s="528"/>
      <c r="CLB66" s="528"/>
      <c r="CLC66" s="528"/>
      <c r="CLD66" s="528"/>
      <c r="CLE66" s="528"/>
      <c r="CLF66" s="528"/>
      <c r="CLG66" s="528"/>
      <c r="CLH66" s="528"/>
      <c r="CLI66" s="528"/>
      <c r="CLJ66" s="528"/>
      <c r="CLK66" s="528"/>
      <c r="CLL66" s="528"/>
      <c r="CLM66" s="528"/>
      <c r="CLN66" s="528"/>
      <c r="CLO66" s="528"/>
      <c r="CLP66" s="528"/>
      <c r="CLQ66" s="528"/>
      <c r="CLR66" s="528"/>
      <c r="CLS66" s="528"/>
      <c r="CLT66" s="528"/>
      <c r="CLU66" s="528"/>
      <c r="CLV66" s="528"/>
      <c r="CLW66" s="528"/>
      <c r="CLX66" s="528"/>
      <c r="CLY66" s="528"/>
      <c r="CLZ66" s="528"/>
      <c r="CMA66" s="528"/>
      <c r="CMB66" s="528"/>
      <c r="CMC66" s="528"/>
      <c r="CMD66" s="528"/>
      <c r="CME66" s="528"/>
      <c r="CMF66" s="528"/>
      <c r="CMG66" s="528"/>
      <c r="CMH66" s="528"/>
      <c r="CMI66" s="528"/>
      <c r="CMJ66" s="528"/>
      <c r="CMK66" s="528"/>
      <c r="CML66" s="528"/>
      <c r="CMM66" s="528"/>
      <c r="CMN66" s="528"/>
      <c r="CMO66" s="528"/>
      <c r="CMP66" s="528"/>
      <c r="CMQ66" s="528"/>
      <c r="CMR66" s="528"/>
      <c r="CMS66" s="528"/>
      <c r="CMT66" s="528"/>
      <c r="CMU66" s="528"/>
      <c r="CMV66" s="528"/>
      <c r="CMW66" s="528"/>
      <c r="CMX66" s="528"/>
      <c r="CMY66" s="528"/>
      <c r="CMZ66" s="528"/>
      <c r="CNA66" s="528"/>
      <c r="CNB66" s="528"/>
      <c r="CNC66" s="528"/>
      <c r="CND66" s="528"/>
      <c r="CNE66" s="528"/>
      <c r="CNF66" s="528"/>
      <c r="CNG66" s="528"/>
      <c r="CNH66" s="528"/>
      <c r="CNI66" s="528"/>
      <c r="CNJ66" s="528"/>
      <c r="CNK66" s="528"/>
      <c r="CNL66" s="528"/>
      <c r="CNM66" s="528"/>
      <c r="CNN66" s="528"/>
      <c r="CNO66" s="528"/>
      <c r="CNP66" s="528"/>
      <c r="CNQ66" s="528"/>
      <c r="CNR66" s="528"/>
      <c r="CNS66" s="528"/>
      <c r="CNT66" s="528"/>
      <c r="CNU66" s="528"/>
      <c r="CNV66" s="528"/>
      <c r="CNW66" s="528"/>
      <c r="CNX66" s="528"/>
      <c r="CNY66" s="528"/>
      <c r="CNZ66" s="528"/>
      <c r="COA66" s="528"/>
      <c r="COB66" s="528"/>
      <c r="COC66" s="528"/>
      <c r="COD66" s="528"/>
      <c r="COE66" s="528"/>
      <c r="COF66" s="528"/>
      <c r="COG66" s="528"/>
      <c r="COH66" s="528"/>
      <c r="COI66" s="528"/>
      <c r="COJ66" s="528"/>
      <c r="COK66" s="528"/>
      <c r="COL66" s="528"/>
      <c r="COM66" s="528"/>
      <c r="CON66" s="528"/>
      <c r="COO66" s="528"/>
      <c r="COP66" s="528"/>
      <c r="COQ66" s="528"/>
      <c r="COR66" s="528"/>
      <c r="COS66" s="528"/>
      <c r="COT66" s="528"/>
      <c r="COU66" s="528"/>
      <c r="COV66" s="528"/>
      <c r="COW66" s="528"/>
      <c r="COX66" s="528"/>
      <c r="COY66" s="528"/>
      <c r="COZ66" s="528"/>
      <c r="CPA66" s="528"/>
      <c r="CPB66" s="528"/>
      <c r="CPC66" s="528"/>
      <c r="CPD66" s="528"/>
      <c r="CPE66" s="528"/>
      <c r="CPF66" s="528"/>
      <c r="CPG66" s="528"/>
      <c r="CPH66" s="528"/>
      <c r="CPI66" s="528"/>
      <c r="CPJ66" s="528"/>
      <c r="CPK66" s="528"/>
      <c r="CPL66" s="528"/>
      <c r="CPM66" s="528"/>
      <c r="CPN66" s="528"/>
      <c r="CPO66" s="528"/>
      <c r="CPP66" s="528"/>
      <c r="CPQ66" s="528"/>
      <c r="CPR66" s="528"/>
      <c r="CPS66" s="528"/>
      <c r="CPT66" s="528"/>
      <c r="CPU66" s="528"/>
      <c r="CPV66" s="528"/>
      <c r="CPW66" s="528"/>
      <c r="CPX66" s="528"/>
      <c r="CPY66" s="528"/>
      <c r="CPZ66" s="528"/>
      <c r="CQA66" s="528"/>
      <c r="CQB66" s="528"/>
      <c r="CQC66" s="528"/>
      <c r="CQD66" s="528"/>
      <c r="CQE66" s="528"/>
      <c r="CQF66" s="528"/>
      <c r="CQG66" s="528"/>
      <c r="CQH66" s="528"/>
      <c r="CQI66" s="528"/>
      <c r="CQJ66" s="528"/>
      <c r="CQK66" s="528"/>
      <c r="CQL66" s="528"/>
      <c r="CQM66" s="528"/>
      <c r="CQN66" s="528"/>
      <c r="CQO66" s="528"/>
      <c r="CQP66" s="528"/>
      <c r="CQQ66" s="528"/>
      <c r="CQR66" s="528"/>
      <c r="CQS66" s="528"/>
      <c r="CQT66" s="528"/>
      <c r="CQU66" s="528"/>
      <c r="CQV66" s="528"/>
      <c r="CQW66" s="528"/>
      <c r="CQX66" s="528"/>
      <c r="CQY66" s="528"/>
      <c r="CQZ66" s="528"/>
      <c r="CRA66" s="528"/>
      <c r="CRB66" s="528"/>
      <c r="CRC66" s="528"/>
      <c r="CRD66" s="528"/>
      <c r="CRE66" s="528"/>
      <c r="CRF66" s="528"/>
      <c r="CRG66" s="528"/>
      <c r="CRH66" s="528"/>
      <c r="CRI66" s="528"/>
      <c r="CRJ66" s="528"/>
      <c r="CRK66" s="528"/>
      <c r="CRL66" s="528"/>
      <c r="CRM66" s="528"/>
      <c r="CRN66" s="528"/>
      <c r="CRO66" s="528"/>
      <c r="CRP66" s="528"/>
      <c r="CRQ66" s="528"/>
      <c r="CRR66" s="528"/>
      <c r="CRS66" s="528"/>
      <c r="CRT66" s="528"/>
      <c r="CRU66" s="528"/>
      <c r="CRV66" s="528"/>
      <c r="CRW66" s="528"/>
      <c r="CRX66" s="528"/>
      <c r="CRY66" s="528"/>
      <c r="CRZ66" s="528"/>
      <c r="CSA66" s="528"/>
      <c r="CSB66" s="528"/>
      <c r="CSC66" s="528"/>
      <c r="CSD66" s="528"/>
      <c r="CSE66" s="528"/>
      <c r="CSF66" s="528"/>
      <c r="CSG66" s="528"/>
      <c r="CSH66" s="528"/>
      <c r="CSI66" s="528"/>
      <c r="CSJ66" s="528"/>
      <c r="CSK66" s="528"/>
      <c r="CSL66" s="528"/>
      <c r="CSM66" s="528"/>
      <c r="CSN66" s="528"/>
      <c r="CSO66" s="528"/>
      <c r="CSP66" s="528"/>
      <c r="CSQ66" s="528"/>
      <c r="CSR66" s="528"/>
      <c r="CSS66" s="528"/>
      <c r="CST66" s="528"/>
      <c r="CSU66" s="528"/>
      <c r="CSV66" s="528"/>
      <c r="CSW66" s="528"/>
      <c r="CSX66" s="528"/>
      <c r="CSY66" s="528"/>
      <c r="CSZ66" s="528"/>
      <c r="CTA66" s="528"/>
      <c r="CTB66" s="528"/>
      <c r="CTC66" s="528"/>
      <c r="CTD66" s="528"/>
      <c r="CTE66" s="528"/>
      <c r="CTF66" s="528"/>
      <c r="CTG66" s="528"/>
      <c r="CTH66" s="528"/>
      <c r="CTI66" s="528"/>
      <c r="CTJ66" s="528"/>
      <c r="CTK66" s="528"/>
      <c r="CTL66" s="528"/>
      <c r="CTM66" s="528"/>
      <c r="CTN66" s="528"/>
      <c r="CTO66" s="528"/>
      <c r="CTP66" s="528"/>
      <c r="CTQ66" s="528"/>
      <c r="CTR66" s="528"/>
      <c r="CTS66" s="528"/>
      <c r="CTT66" s="528"/>
      <c r="CTU66" s="528"/>
      <c r="CTV66" s="528"/>
      <c r="CTW66" s="528"/>
      <c r="CTX66" s="528"/>
      <c r="CTY66" s="528"/>
      <c r="CTZ66" s="528"/>
      <c r="CUA66" s="528"/>
      <c r="CUB66" s="528"/>
      <c r="CUC66" s="528"/>
      <c r="CUD66" s="528"/>
      <c r="CUE66" s="528"/>
      <c r="CUF66" s="528"/>
      <c r="CUG66" s="528"/>
      <c r="CUH66" s="528"/>
      <c r="CUI66" s="528"/>
      <c r="CUJ66" s="528"/>
      <c r="CUK66" s="528"/>
      <c r="CUL66" s="528"/>
      <c r="CUM66" s="528"/>
      <c r="CUN66" s="528"/>
      <c r="CUO66" s="528"/>
      <c r="CUP66" s="528"/>
      <c r="CUQ66" s="528"/>
      <c r="CUR66" s="528"/>
      <c r="CUS66" s="528"/>
      <c r="CUT66" s="528"/>
      <c r="CUU66" s="528"/>
      <c r="CUV66" s="528"/>
      <c r="CUW66" s="528"/>
      <c r="CUX66" s="528"/>
      <c r="CUY66" s="528"/>
      <c r="CUZ66" s="528"/>
      <c r="CVA66" s="528"/>
      <c r="CVB66" s="528"/>
      <c r="CVC66" s="528"/>
      <c r="CVD66" s="528"/>
      <c r="CVE66" s="528"/>
      <c r="CVF66" s="528"/>
      <c r="CVG66" s="528"/>
      <c r="CVH66" s="528"/>
      <c r="CVI66" s="528"/>
      <c r="CVJ66" s="528"/>
      <c r="CVK66" s="528"/>
      <c r="CVL66" s="528"/>
      <c r="CVM66" s="528"/>
      <c r="CVN66" s="528"/>
      <c r="CVO66" s="528"/>
      <c r="CVP66" s="528"/>
      <c r="CVQ66" s="528"/>
      <c r="CVR66" s="528"/>
      <c r="CVS66" s="528"/>
      <c r="CVT66" s="528"/>
      <c r="CVU66" s="528"/>
      <c r="CVV66" s="528"/>
      <c r="CVW66" s="528"/>
      <c r="CVX66" s="528"/>
      <c r="CVY66" s="528"/>
      <c r="CVZ66" s="528"/>
      <c r="CWA66" s="528"/>
      <c r="CWB66" s="528"/>
      <c r="CWC66" s="528"/>
      <c r="CWD66" s="528"/>
      <c r="CWE66" s="528"/>
      <c r="CWF66" s="528"/>
      <c r="CWG66" s="528"/>
      <c r="CWH66" s="528"/>
      <c r="CWI66" s="528"/>
      <c r="CWJ66" s="528"/>
      <c r="CWK66" s="528"/>
      <c r="CWL66" s="528"/>
      <c r="CWM66" s="528"/>
      <c r="CWN66" s="528"/>
      <c r="CWO66" s="528"/>
      <c r="CWP66" s="528"/>
      <c r="CWQ66" s="528"/>
      <c r="CWR66" s="528"/>
      <c r="CWS66" s="528"/>
      <c r="CWT66" s="528"/>
      <c r="CWU66" s="528"/>
      <c r="CWV66" s="528"/>
      <c r="CWW66" s="528"/>
      <c r="CWX66" s="528"/>
      <c r="CWY66" s="528"/>
      <c r="CWZ66" s="528"/>
      <c r="CXA66" s="528"/>
      <c r="CXB66" s="528"/>
      <c r="CXC66" s="528"/>
      <c r="CXD66" s="528"/>
      <c r="CXE66" s="528"/>
      <c r="CXF66" s="528"/>
      <c r="CXG66" s="528"/>
      <c r="CXH66" s="528"/>
      <c r="CXI66" s="528"/>
      <c r="CXJ66" s="528"/>
      <c r="CXK66" s="528"/>
      <c r="CXL66" s="528"/>
      <c r="CXM66" s="528"/>
      <c r="CXN66" s="528"/>
      <c r="CXO66" s="528"/>
      <c r="CXP66" s="528"/>
      <c r="CXQ66" s="528"/>
      <c r="CXR66" s="528"/>
      <c r="CXS66" s="528"/>
      <c r="CXT66" s="528"/>
      <c r="CXU66" s="528"/>
      <c r="CXV66" s="528"/>
      <c r="CXW66" s="528"/>
      <c r="CXX66" s="528"/>
      <c r="CXY66" s="528"/>
      <c r="CXZ66" s="528"/>
      <c r="CYA66" s="528"/>
      <c r="CYB66" s="528"/>
      <c r="CYC66" s="528"/>
      <c r="CYD66" s="528"/>
      <c r="CYE66" s="528"/>
      <c r="CYF66" s="528"/>
      <c r="CYG66" s="528"/>
      <c r="CYH66" s="528"/>
      <c r="CYI66" s="528"/>
      <c r="CYJ66" s="528"/>
      <c r="CYK66" s="528"/>
      <c r="CYL66" s="528"/>
      <c r="CYM66" s="528"/>
      <c r="CYN66" s="528"/>
      <c r="CYO66" s="528"/>
      <c r="CYP66" s="528"/>
      <c r="CYQ66" s="528"/>
      <c r="CYR66" s="528"/>
      <c r="CYS66" s="528"/>
      <c r="CYT66" s="528"/>
      <c r="CYU66" s="528"/>
      <c r="CYV66" s="528"/>
      <c r="CYW66" s="528"/>
      <c r="CYX66" s="528"/>
      <c r="CYY66" s="528"/>
      <c r="CYZ66" s="528"/>
      <c r="CZA66" s="528"/>
      <c r="CZB66" s="528"/>
      <c r="CZC66" s="528"/>
      <c r="CZD66" s="528"/>
      <c r="CZE66" s="528"/>
      <c r="CZF66" s="528"/>
      <c r="CZG66" s="528"/>
      <c r="CZH66" s="528"/>
      <c r="CZI66" s="528"/>
      <c r="CZJ66" s="528"/>
      <c r="CZK66" s="528"/>
      <c r="CZL66" s="528"/>
      <c r="CZM66" s="528"/>
      <c r="CZN66" s="528"/>
      <c r="CZO66" s="528"/>
      <c r="CZP66" s="528"/>
      <c r="CZQ66" s="528"/>
      <c r="CZR66" s="528"/>
      <c r="CZS66" s="528"/>
      <c r="CZT66" s="528"/>
      <c r="CZU66" s="528"/>
      <c r="CZV66" s="528"/>
      <c r="CZW66" s="528"/>
      <c r="CZX66" s="528"/>
      <c r="CZY66" s="528"/>
      <c r="CZZ66" s="528"/>
      <c r="DAA66" s="528"/>
      <c r="DAB66" s="528"/>
      <c r="DAC66" s="528"/>
      <c r="DAD66" s="528"/>
      <c r="DAE66" s="528"/>
      <c r="DAF66" s="528"/>
      <c r="DAG66" s="528"/>
      <c r="DAH66" s="528"/>
      <c r="DAI66" s="528"/>
      <c r="DAJ66" s="528"/>
      <c r="DAK66" s="528"/>
      <c r="DAL66" s="528"/>
      <c r="DAM66" s="528"/>
      <c r="DAN66" s="528"/>
      <c r="DAO66" s="528"/>
      <c r="DAP66" s="528"/>
      <c r="DAQ66" s="528"/>
      <c r="DAR66" s="528"/>
      <c r="DAS66" s="528"/>
      <c r="DAT66" s="528"/>
      <c r="DAU66" s="528"/>
      <c r="DAV66" s="528"/>
      <c r="DAW66" s="528"/>
      <c r="DAX66" s="528"/>
      <c r="DAY66" s="528"/>
      <c r="DAZ66" s="528"/>
      <c r="DBA66" s="528"/>
      <c r="DBB66" s="528"/>
      <c r="DBC66" s="528"/>
      <c r="DBD66" s="528"/>
      <c r="DBE66" s="528"/>
      <c r="DBF66" s="528"/>
      <c r="DBG66" s="528"/>
      <c r="DBH66" s="528"/>
      <c r="DBI66" s="528"/>
      <c r="DBJ66" s="528"/>
      <c r="DBK66" s="528"/>
      <c r="DBL66" s="528"/>
      <c r="DBM66" s="528"/>
      <c r="DBN66" s="528"/>
      <c r="DBO66" s="528"/>
      <c r="DBP66" s="528"/>
      <c r="DBQ66" s="528"/>
      <c r="DBR66" s="528"/>
      <c r="DBS66" s="528"/>
      <c r="DBT66" s="528"/>
      <c r="DBU66" s="528"/>
      <c r="DBV66" s="528"/>
      <c r="DBW66" s="528"/>
      <c r="DBX66" s="528"/>
      <c r="DBY66" s="528"/>
      <c r="DBZ66" s="528"/>
      <c r="DCA66" s="528"/>
      <c r="DCB66" s="528"/>
      <c r="DCC66" s="528"/>
      <c r="DCD66" s="528"/>
      <c r="DCE66" s="528"/>
      <c r="DCF66" s="528"/>
      <c r="DCG66" s="528"/>
      <c r="DCH66" s="528"/>
      <c r="DCI66" s="528"/>
      <c r="DCJ66" s="528"/>
      <c r="DCK66" s="528"/>
      <c r="DCL66" s="528"/>
      <c r="DCM66" s="528"/>
      <c r="DCN66" s="528"/>
      <c r="DCO66" s="528"/>
      <c r="DCP66" s="528"/>
      <c r="DCQ66" s="528"/>
      <c r="DCR66" s="528"/>
      <c r="DCS66" s="528"/>
      <c r="DCT66" s="528"/>
      <c r="DCU66" s="528"/>
      <c r="DCV66" s="528"/>
      <c r="DCW66" s="528"/>
      <c r="DCX66" s="528"/>
      <c r="DCY66" s="528"/>
      <c r="DCZ66" s="528"/>
      <c r="DDA66" s="528"/>
      <c r="DDB66" s="528"/>
      <c r="DDC66" s="528"/>
      <c r="DDD66" s="528"/>
      <c r="DDE66" s="528"/>
      <c r="DDF66" s="528"/>
      <c r="DDG66" s="528"/>
      <c r="DDH66" s="528"/>
      <c r="DDI66" s="528"/>
      <c r="DDJ66" s="528"/>
      <c r="DDK66" s="528"/>
      <c r="DDL66" s="528"/>
      <c r="DDM66" s="528"/>
      <c r="DDN66" s="528"/>
      <c r="DDO66" s="528"/>
      <c r="DDP66" s="528"/>
      <c r="DDQ66" s="528"/>
      <c r="DDR66" s="528"/>
      <c r="DDS66" s="528"/>
      <c r="DDT66" s="528"/>
      <c r="DDU66" s="528"/>
      <c r="DDV66" s="528"/>
      <c r="DDW66" s="528"/>
      <c r="DDX66" s="528"/>
      <c r="DDY66" s="528"/>
      <c r="DDZ66" s="528"/>
      <c r="DEA66" s="528"/>
      <c r="DEB66" s="528"/>
      <c r="DEC66" s="528"/>
      <c r="DED66" s="528"/>
      <c r="DEE66" s="528"/>
      <c r="DEF66" s="528"/>
      <c r="DEG66" s="528"/>
      <c r="DEH66" s="528"/>
      <c r="DEI66" s="528"/>
      <c r="DEJ66" s="528"/>
      <c r="DEK66" s="528"/>
      <c r="DEL66" s="528"/>
      <c r="DEM66" s="528"/>
      <c r="DEN66" s="528"/>
      <c r="DEO66" s="528"/>
      <c r="DEP66" s="528"/>
      <c r="DEQ66" s="528"/>
      <c r="DER66" s="528"/>
      <c r="DES66" s="528"/>
      <c r="DET66" s="528"/>
      <c r="DEU66" s="528"/>
      <c r="DEV66" s="528"/>
      <c r="DEW66" s="528"/>
      <c r="DEX66" s="528"/>
      <c r="DEY66" s="528"/>
      <c r="DEZ66" s="528"/>
      <c r="DFA66" s="528"/>
      <c r="DFB66" s="528"/>
      <c r="DFC66" s="528"/>
      <c r="DFD66" s="528"/>
      <c r="DFE66" s="528"/>
      <c r="DFF66" s="528"/>
      <c r="DFG66" s="528"/>
      <c r="DFH66" s="528"/>
      <c r="DFI66" s="528"/>
      <c r="DFJ66" s="528"/>
      <c r="DFK66" s="528"/>
      <c r="DFL66" s="528"/>
      <c r="DFM66" s="528"/>
      <c r="DFN66" s="528"/>
      <c r="DFO66" s="528"/>
      <c r="DFP66" s="528"/>
      <c r="DFQ66" s="528"/>
      <c r="DFR66" s="528"/>
      <c r="DFS66" s="528"/>
      <c r="DFT66" s="528"/>
      <c r="DFU66" s="528"/>
      <c r="DFV66" s="528"/>
      <c r="DFW66" s="528"/>
      <c r="DFX66" s="528"/>
      <c r="DFY66" s="528"/>
      <c r="DFZ66" s="528"/>
      <c r="DGA66" s="528"/>
      <c r="DGB66" s="528"/>
      <c r="DGC66" s="528"/>
      <c r="DGD66" s="528"/>
      <c r="DGE66" s="528"/>
      <c r="DGF66" s="528"/>
      <c r="DGG66" s="528"/>
      <c r="DGH66" s="528"/>
      <c r="DGI66" s="528"/>
      <c r="DGJ66" s="528"/>
      <c r="DGK66" s="528"/>
      <c r="DGL66" s="528"/>
      <c r="DGM66" s="528"/>
      <c r="DGN66" s="528"/>
      <c r="DGO66" s="528"/>
      <c r="DGP66" s="528"/>
      <c r="DGQ66" s="528"/>
      <c r="DGR66" s="528"/>
      <c r="DGS66" s="528"/>
      <c r="DGT66" s="528"/>
      <c r="DGU66" s="528"/>
      <c r="DGV66" s="528"/>
      <c r="DGW66" s="528"/>
      <c r="DGX66" s="528"/>
      <c r="DGY66" s="528"/>
      <c r="DGZ66" s="528"/>
      <c r="DHA66" s="528"/>
      <c r="DHB66" s="528"/>
      <c r="DHC66" s="528"/>
      <c r="DHD66" s="528"/>
      <c r="DHE66" s="528"/>
      <c r="DHF66" s="528"/>
      <c r="DHG66" s="528"/>
      <c r="DHH66" s="528"/>
      <c r="DHI66" s="528"/>
      <c r="DHJ66" s="528"/>
      <c r="DHK66" s="528"/>
      <c r="DHL66" s="528"/>
      <c r="DHM66" s="528"/>
      <c r="DHN66" s="528"/>
      <c r="DHO66" s="528"/>
      <c r="DHP66" s="528"/>
      <c r="DHQ66" s="528"/>
      <c r="DHR66" s="528"/>
      <c r="DHS66" s="528"/>
      <c r="DHT66" s="528"/>
      <c r="DHU66" s="528"/>
      <c r="DHV66" s="528"/>
      <c r="DHW66" s="528"/>
      <c r="DHX66" s="528"/>
      <c r="DHY66" s="528"/>
      <c r="DHZ66" s="528"/>
      <c r="DIA66" s="528"/>
      <c r="DIB66" s="528"/>
      <c r="DIC66" s="528"/>
      <c r="DID66" s="528"/>
      <c r="DIE66" s="528"/>
      <c r="DIF66" s="528"/>
      <c r="DIG66" s="528"/>
      <c r="DIH66" s="528"/>
      <c r="DII66" s="528"/>
      <c r="DIJ66" s="528"/>
      <c r="DIK66" s="528"/>
      <c r="DIL66" s="528"/>
      <c r="DIM66" s="528"/>
      <c r="DIN66" s="528"/>
      <c r="DIO66" s="528"/>
      <c r="DIP66" s="528"/>
      <c r="DIQ66" s="528"/>
      <c r="DIR66" s="528"/>
      <c r="DIS66" s="528"/>
      <c r="DIT66" s="528"/>
      <c r="DIU66" s="528"/>
      <c r="DIV66" s="528"/>
      <c r="DIW66" s="528"/>
      <c r="DIX66" s="528"/>
      <c r="DIY66" s="528"/>
      <c r="DIZ66" s="528"/>
      <c r="DJA66" s="528"/>
      <c r="DJB66" s="528"/>
      <c r="DJC66" s="528"/>
      <c r="DJD66" s="528"/>
      <c r="DJE66" s="528"/>
      <c r="DJF66" s="528"/>
      <c r="DJG66" s="528"/>
      <c r="DJH66" s="528"/>
      <c r="DJI66" s="528"/>
      <c r="DJJ66" s="528"/>
      <c r="DJK66" s="528"/>
      <c r="DJL66" s="528"/>
      <c r="DJM66" s="528"/>
      <c r="DJN66" s="528"/>
      <c r="DJO66" s="528"/>
      <c r="DJP66" s="528"/>
      <c r="DJQ66" s="528"/>
      <c r="DJR66" s="528"/>
      <c r="DJS66" s="528"/>
      <c r="DJT66" s="528"/>
      <c r="DJU66" s="528"/>
      <c r="DJV66" s="528"/>
      <c r="DJW66" s="528"/>
      <c r="DJX66" s="528"/>
      <c r="DJY66" s="528"/>
      <c r="DJZ66" s="528"/>
      <c r="DKA66" s="528"/>
      <c r="DKB66" s="528"/>
      <c r="DKC66" s="528"/>
      <c r="DKD66" s="528"/>
      <c r="DKE66" s="528"/>
      <c r="DKF66" s="528"/>
      <c r="DKG66" s="528"/>
      <c r="DKH66" s="528"/>
      <c r="DKI66" s="528"/>
      <c r="DKJ66" s="528"/>
      <c r="DKK66" s="528"/>
      <c r="DKL66" s="528"/>
      <c r="DKM66" s="528"/>
      <c r="DKN66" s="528"/>
      <c r="DKO66" s="528"/>
      <c r="DKP66" s="528"/>
      <c r="DKQ66" s="528"/>
      <c r="DKR66" s="528"/>
      <c r="DKS66" s="528"/>
      <c r="DKT66" s="528"/>
      <c r="DKU66" s="528"/>
      <c r="DKV66" s="528"/>
      <c r="DKW66" s="528"/>
      <c r="DKX66" s="528"/>
      <c r="DKY66" s="528"/>
      <c r="DKZ66" s="528"/>
      <c r="DLA66" s="528"/>
      <c r="DLB66" s="528"/>
      <c r="DLC66" s="528"/>
      <c r="DLD66" s="528"/>
      <c r="DLE66" s="528"/>
      <c r="DLF66" s="528"/>
      <c r="DLG66" s="528"/>
      <c r="DLH66" s="528"/>
      <c r="DLI66" s="528"/>
      <c r="DLJ66" s="528"/>
      <c r="DLK66" s="528"/>
      <c r="DLL66" s="528"/>
      <c r="DLM66" s="528"/>
      <c r="DLN66" s="528"/>
      <c r="DLO66" s="528"/>
      <c r="DLP66" s="528"/>
      <c r="DLQ66" s="528"/>
      <c r="DLR66" s="528"/>
      <c r="DLS66" s="528"/>
      <c r="DLT66" s="528"/>
      <c r="DLU66" s="528"/>
      <c r="DLV66" s="528"/>
      <c r="DLW66" s="528"/>
      <c r="DLX66" s="528"/>
      <c r="DLY66" s="528"/>
      <c r="DLZ66" s="528"/>
      <c r="DMA66" s="528"/>
      <c r="DMB66" s="528"/>
      <c r="DMC66" s="528"/>
      <c r="DMD66" s="528"/>
      <c r="DME66" s="528"/>
      <c r="DMF66" s="528"/>
      <c r="DMG66" s="528"/>
      <c r="DMH66" s="528"/>
      <c r="DMI66" s="528"/>
      <c r="DMJ66" s="528"/>
      <c r="DMK66" s="528"/>
      <c r="DML66" s="528"/>
      <c r="DMM66" s="528"/>
      <c r="DMN66" s="528"/>
      <c r="DMO66" s="528"/>
      <c r="DMP66" s="528"/>
      <c r="DMQ66" s="528"/>
      <c r="DMR66" s="528"/>
      <c r="DMS66" s="528"/>
      <c r="DMT66" s="528"/>
      <c r="DMU66" s="528"/>
      <c r="DMV66" s="528"/>
      <c r="DMW66" s="528"/>
      <c r="DMX66" s="528"/>
      <c r="DMY66" s="528"/>
      <c r="DMZ66" s="528"/>
      <c r="DNA66" s="528"/>
      <c r="DNB66" s="528"/>
      <c r="DNC66" s="528"/>
      <c r="DND66" s="528"/>
      <c r="DNE66" s="528"/>
      <c r="DNF66" s="528"/>
      <c r="DNG66" s="528"/>
      <c r="DNH66" s="528"/>
      <c r="DNI66" s="528"/>
      <c r="DNJ66" s="528"/>
      <c r="DNK66" s="528"/>
      <c r="DNL66" s="528"/>
      <c r="DNM66" s="528"/>
      <c r="DNN66" s="528"/>
      <c r="DNO66" s="528"/>
      <c r="DNP66" s="528"/>
      <c r="DNQ66" s="528"/>
      <c r="DNR66" s="528"/>
      <c r="DNS66" s="528"/>
      <c r="DNT66" s="528"/>
      <c r="DNU66" s="528"/>
      <c r="DNV66" s="528"/>
      <c r="DNW66" s="528"/>
      <c r="DNX66" s="528"/>
      <c r="DNY66" s="528"/>
      <c r="DNZ66" s="528"/>
      <c r="DOA66" s="528"/>
      <c r="DOB66" s="528"/>
      <c r="DOC66" s="528"/>
      <c r="DOD66" s="528"/>
      <c r="DOE66" s="528"/>
      <c r="DOF66" s="528"/>
      <c r="DOG66" s="528"/>
      <c r="DOH66" s="528"/>
      <c r="DOI66" s="528"/>
      <c r="DOJ66" s="528"/>
      <c r="DOK66" s="528"/>
      <c r="DOL66" s="528"/>
      <c r="DOM66" s="528"/>
      <c r="DON66" s="528"/>
      <c r="DOO66" s="528"/>
      <c r="DOP66" s="528"/>
      <c r="DOQ66" s="528"/>
      <c r="DOR66" s="528"/>
      <c r="DOS66" s="528"/>
      <c r="DOT66" s="528"/>
      <c r="DOU66" s="528"/>
      <c r="DOV66" s="528"/>
      <c r="DOW66" s="528"/>
      <c r="DOX66" s="528"/>
      <c r="DOY66" s="528"/>
      <c r="DOZ66" s="528"/>
      <c r="DPA66" s="528"/>
      <c r="DPB66" s="528"/>
      <c r="DPC66" s="528"/>
      <c r="DPD66" s="528"/>
      <c r="DPE66" s="528"/>
      <c r="DPF66" s="528"/>
      <c r="DPG66" s="528"/>
      <c r="DPH66" s="528"/>
      <c r="DPI66" s="528"/>
      <c r="DPJ66" s="528"/>
      <c r="DPK66" s="528"/>
      <c r="DPL66" s="528"/>
      <c r="DPM66" s="528"/>
      <c r="DPN66" s="528"/>
      <c r="DPO66" s="528"/>
      <c r="DPP66" s="528"/>
      <c r="DPQ66" s="528"/>
      <c r="DPR66" s="528"/>
      <c r="DPS66" s="528"/>
      <c r="DPT66" s="528"/>
      <c r="DPU66" s="528"/>
      <c r="DPV66" s="528"/>
      <c r="DPW66" s="528"/>
      <c r="DPX66" s="528"/>
      <c r="DPY66" s="528"/>
      <c r="DPZ66" s="528"/>
      <c r="DQA66" s="528"/>
      <c r="DQB66" s="528"/>
      <c r="DQC66" s="528"/>
      <c r="DQD66" s="528"/>
      <c r="DQE66" s="528"/>
      <c r="DQF66" s="528"/>
      <c r="DQG66" s="528"/>
      <c r="DQH66" s="528"/>
      <c r="DQI66" s="528"/>
      <c r="DQJ66" s="528"/>
      <c r="DQK66" s="528"/>
      <c r="DQL66" s="528"/>
      <c r="DQM66" s="528"/>
      <c r="DQN66" s="528"/>
      <c r="DQO66" s="528"/>
      <c r="DQP66" s="528"/>
      <c r="DQQ66" s="528"/>
      <c r="DQR66" s="528"/>
      <c r="DQS66" s="528"/>
      <c r="DQT66" s="528"/>
      <c r="DQU66" s="528"/>
      <c r="DQV66" s="528"/>
      <c r="DQW66" s="528"/>
      <c r="DQX66" s="528"/>
      <c r="DQY66" s="528"/>
      <c r="DQZ66" s="528"/>
      <c r="DRA66" s="528"/>
      <c r="DRB66" s="528"/>
      <c r="DRC66" s="528"/>
      <c r="DRD66" s="528"/>
      <c r="DRE66" s="528"/>
      <c r="DRF66" s="528"/>
      <c r="DRG66" s="528"/>
      <c r="DRH66" s="528"/>
      <c r="DRI66" s="528"/>
      <c r="DRJ66" s="528"/>
      <c r="DRK66" s="528"/>
      <c r="DRL66" s="528"/>
      <c r="DRM66" s="528"/>
      <c r="DRN66" s="528"/>
      <c r="DRO66" s="528"/>
      <c r="DRP66" s="528"/>
      <c r="DRQ66" s="528"/>
      <c r="DRR66" s="528"/>
      <c r="DRS66" s="528"/>
      <c r="DRT66" s="528"/>
      <c r="DRU66" s="528"/>
      <c r="DRV66" s="528"/>
      <c r="DRW66" s="528"/>
      <c r="DRX66" s="528"/>
      <c r="DRY66" s="528"/>
      <c r="DRZ66" s="528"/>
      <c r="DSA66" s="528"/>
      <c r="DSB66" s="528"/>
      <c r="DSC66" s="528"/>
      <c r="DSD66" s="528"/>
      <c r="DSE66" s="528"/>
      <c r="DSF66" s="528"/>
      <c r="DSG66" s="528"/>
      <c r="DSH66" s="528"/>
      <c r="DSI66" s="528"/>
      <c r="DSJ66" s="528"/>
      <c r="DSK66" s="528"/>
      <c r="DSL66" s="528"/>
      <c r="DSM66" s="528"/>
      <c r="DSN66" s="528"/>
      <c r="DSO66" s="528"/>
      <c r="DSP66" s="528"/>
      <c r="DSQ66" s="528"/>
      <c r="DSR66" s="528"/>
      <c r="DSS66" s="528"/>
      <c r="DST66" s="528"/>
      <c r="DSU66" s="528"/>
      <c r="DSV66" s="528"/>
      <c r="DSW66" s="528"/>
      <c r="DSX66" s="528"/>
      <c r="DSY66" s="528"/>
      <c r="DSZ66" s="528"/>
      <c r="DTA66" s="528"/>
      <c r="DTB66" s="528"/>
      <c r="DTC66" s="528"/>
      <c r="DTD66" s="528"/>
      <c r="DTE66" s="528"/>
      <c r="DTF66" s="528"/>
      <c r="DTG66" s="528"/>
      <c r="DTH66" s="528"/>
      <c r="DTI66" s="528"/>
      <c r="DTJ66" s="528"/>
      <c r="DTK66" s="528"/>
      <c r="DTL66" s="528"/>
      <c r="DTM66" s="528"/>
      <c r="DTN66" s="528"/>
      <c r="DTO66" s="528"/>
      <c r="DTP66" s="528"/>
      <c r="DTQ66" s="528"/>
      <c r="DTR66" s="528"/>
      <c r="DTS66" s="528"/>
      <c r="DTT66" s="528"/>
      <c r="DTU66" s="528"/>
      <c r="DTV66" s="528"/>
      <c r="DTW66" s="528"/>
      <c r="DTX66" s="528"/>
      <c r="DTY66" s="528"/>
      <c r="DTZ66" s="528"/>
      <c r="DUA66" s="528"/>
      <c r="DUB66" s="528"/>
      <c r="DUC66" s="528"/>
      <c r="DUD66" s="528"/>
      <c r="DUE66" s="528"/>
      <c r="DUF66" s="528"/>
      <c r="DUG66" s="528"/>
      <c r="DUH66" s="528"/>
      <c r="DUI66" s="528"/>
      <c r="DUJ66" s="528"/>
      <c r="DUK66" s="528"/>
      <c r="DUL66" s="528"/>
      <c r="DUM66" s="528"/>
      <c r="DUN66" s="528"/>
      <c r="DUO66" s="528"/>
      <c r="DUP66" s="528"/>
      <c r="DUQ66" s="528"/>
      <c r="DUR66" s="528"/>
      <c r="DUS66" s="528"/>
      <c r="DUT66" s="528"/>
      <c r="DUU66" s="528"/>
      <c r="DUV66" s="528"/>
      <c r="DUW66" s="528"/>
      <c r="DUX66" s="528"/>
      <c r="DUY66" s="528"/>
      <c r="DUZ66" s="528"/>
      <c r="DVA66" s="528"/>
      <c r="DVB66" s="528"/>
      <c r="DVC66" s="528"/>
      <c r="DVD66" s="528"/>
      <c r="DVE66" s="528"/>
      <c r="DVF66" s="528"/>
      <c r="DVG66" s="528"/>
      <c r="DVH66" s="528"/>
      <c r="DVI66" s="528"/>
      <c r="DVJ66" s="528"/>
      <c r="DVK66" s="528"/>
      <c r="DVL66" s="528"/>
      <c r="DVM66" s="528"/>
      <c r="DVN66" s="528"/>
      <c r="DVO66" s="528"/>
      <c r="DVP66" s="528"/>
      <c r="DVQ66" s="528"/>
      <c r="DVR66" s="528"/>
      <c r="DVS66" s="528"/>
      <c r="DVT66" s="528"/>
      <c r="DVU66" s="528"/>
      <c r="DVV66" s="528"/>
      <c r="DVW66" s="528"/>
      <c r="DVX66" s="528"/>
      <c r="DVY66" s="528"/>
      <c r="DVZ66" s="528"/>
      <c r="DWA66" s="528"/>
      <c r="DWB66" s="528"/>
      <c r="DWC66" s="528"/>
      <c r="DWD66" s="528"/>
      <c r="DWE66" s="528"/>
      <c r="DWF66" s="528"/>
      <c r="DWG66" s="528"/>
      <c r="DWH66" s="528"/>
      <c r="DWI66" s="528"/>
      <c r="DWJ66" s="528"/>
      <c r="DWK66" s="528"/>
      <c r="DWL66" s="528"/>
      <c r="DWM66" s="528"/>
      <c r="DWN66" s="528"/>
      <c r="DWO66" s="528"/>
      <c r="DWP66" s="528"/>
      <c r="DWQ66" s="528"/>
      <c r="DWR66" s="528"/>
      <c r="DWS66" s="528"/>
      <c r="DWT66" s="528"/>
      <c r="DWU66" s="528"/>
      <c r="DWV66" s="528"/>
      <c r="DWW66" s="528"/>
      <c r="DWX66" s="528"/>
      <c r="DWY66" s="528"/>
      <c r="DWZ66" s="528"/>
      <c r="DXA66" s="528"/>
      <c r="DXB66" s="528"/>
      <c r="DXC66" s="528"/>
      <c r="DXD66" s="528"/>
      <c r="DXE66" s="528"/>
      <c r="DXF66" s="528"/>
      <c r="DXG66" s="528"/>
      <c r="DXH66" s="528"/>
      <c r="DXI66" s="528"/>
      <c r="DXJ66" s="528"/>
      <c r="DXK66" s="528"/>
      <c r="DXL66" s="528"/>
      <c r="DXM66" s="528"/>
      <c r="DXN66" s="528"/>
      <c r="DXO66" s="528"/>
      <c r="DXP66" s="528"/>
      <c r="DXQ66" s="528"/>
      <c r="DXR66" s="528"/>
      <c r="DXS66" s="528"/>
      <c r="DXT66" s="528"/>
      <c r="DXU66" s="528"/>
      <c r="DXV66" s="528"/>
      <c r="DXW66" s="528"/>
      <c r="DXX66" s="528"/>
      <c r="DXY66" s="528"/>
      <c r="DXZ66" s="528"/>
      <c r="DYA66" s="528"/>
      <c r="DYB66" s="528"/>
      <c r="DYC66" s="528"/>
      <c r="DYD66" s="528"/>
      <c r="DYE66" s="528"/>
      <c r="DYF66" s="528"/>
      <c r="DYG66" s="528"/>
      <c r="DYH66" s="528"/>
      <c r="DYI66" s="528"/>
      <c r="DYJ66" s="528"/>
      <c r="DYK66" s="528"/>
      <c r="DYL66" s="528"/>
      <c r="DYM66" s="528"/>
      <c r="DYN66" s="528"/>
      <c r="DYO66" s="528"/>
      <c r="DYP66" s="528"/>
      <c r="DYQ66" s="528"/>
      <c r="DYR66" s="528"/>
      <c r="DYS66" s="528"/>
      <c r="DYT66" s="528"/>
      <c r="DYU66" s="528"/>
      <c r="DYV66" s="528"/>
      <c r="DYW66" s="528"/>
      <c r="DYX66" s="528"/>
      <c r="DYY66" s="528"/>
      <c r="DYZ66" s="528"/>
      <c r="DZA66" s="528"/>
      <c r="DZB66" s="528"/>
      <c r="DZC66" s="528"/>
      <c r="DZD66" s="528"/>
      <c r="DZE66" s="528"/>
      <c r="DZF66" s="528"/>
      <c r="DZG66" s="528"/>
      <c r="DZH66" s="528"/>
      <c r="DZI66" s="528"/>
      <c r="DZJ66" s="528"/>
      <c r="DZK66" s="528"/>
      <c r="DZL66" s="528"/>
      <c r="DZM66" s="528"/>
      <c r="DZN66" s="528"/>
      <c r="DZO66" s="528"/>
      <c r="DZP66" s="528"/>
      <c r="DZQ66" s="528"/>
      <c r="DZR66" s="528"/>
      <c r="DZS66" s="528"/>
      <c r="DZT66" s="528"/>
      <c r="DZU66" s="528"/>
      <c r="DZV66" s="528"/>
      <c r="DZW66" s="528"/>
      <c r="DZX66" s="528"/>
      <c r="DZY66" s="528"/>
      <c r="DZZ66" s="528"/>
      <c r="EAA66" s="528"/>
      <c r="EAB66" s="528"/>
      <c r="EAC66" s="528"/>
      <c r="EAD66" s="528"/>
      <c r="EAE66" s="528"/>
      <c r="EAF66" s="528"/>
      <c r="EAG66" s="528"/>
      <c r="EAH66" s="528"/>
      <c r="EAI66" s="528"/>
      <c r="EAJ66" s="528"/>
      <c r="EAK66" s="528"/>
      <c r="EAL66" s="528"/>
      <c r="EAM66" s="528"/>
      <c r="EAN66" s="528"/>
      <c r="EAO66" s="528"/>
      <c r="EAP66" s="528"/>
      <c r="EAQ66" s="528"/>
      <c r="EAR66" s="528"/>
      <c r="EAS66" s="528"/>
      <c r="EAT66" s="528"/>
      <c r="EAU66" s="528"/>
      <c r="EAV66" s="528"/>
      <c r="EAW66" s="528"/>
      <c r="EAX66" s="528"/>
      <c r="EAY66" s="528"/>
      <c r="EAZ66" s="528"/>
      <c r="EBA66" s="528"/>
      <c r="EBB66" s="528"/>
      <c r="EBC66" s="528"/>
      <c r="EBD66" s="528"/>
      <c r="EBE66" s="528"/>
      <c r="EBF66" s="528"/>
      <c r="EBG66" s="528"/>
      <c r="EBH66" s="528"/>
      <c r="EBI66" s="528"/>
      <c r="EBJ66" s="528"/>
      <c r="EBK66" s="528"/>
      <c r="EBL66" s="528"/>
      <c r="EBM66" s="528"/>
      <c r="EBN66" s="528"/>
      <c r="EBO66" s="528"/>
      <c r="EBP66" s="528"/>
      <c r="EBQ66" s="528"/>
      <c r="EBR66" s="528"/>
      <c r="EBS66" s="528"/>
      <c r="EBT66" s="528"/>
      <c r="EBU66" s="528"/>
      <c r="EBV66" s="528"/>
      <c r="EBW66" s="528"/>
      <c r="EBX66" s="528"/>
      <c r="EBY66" s="528"/>
      <c r="EBZ66" s="528"/>
      <c r="ECA66" s="528"/>
      <c r="ECB66" s="528"/>
      <c r="ECC66" s="528"/>
      <c r="ECD66" s="528"/>
      <c r="ECE66" s="528"/>
      <c r="ECF66" s="528"/>
      <c r="ECG66" s="528"/>
      <c r="ECH66" s="528"/>
      <c r="ECI66" s="528"/>
      <c r="ECJ66" s="528"/>
      <c r="ECK66" s="528"/>
      <c r="ECL66" s="528"/>
      <c r="ECM66" s="528"/>
      <c r="ECN66" s="528"/>
      <c r="ECO66" s="528"/>
      <c r="ECP66" s="528"/>
      <c r="ECQ66" s="528"/>
      <c r="ECR66" s="528"/>
      <c r="ECS66" s="528"/>
      <c r="ECT66" s="528"/>
      <c r="ECU66" s="528"/>
      <c r="ECV66" s="528"/>
      <c r="ECW66" s="528"/>
      <c r="ECX66" s="528"/>
      <c r="ECY66" s="528"/>
      <c r="ECZ66" s="528"/>
      <c r="EDA66" s="528"/>
      <c r="EDB66" s="528"/>
      <c r="EDC66" s="528"/>
      <c r="EDD66" s="528"/>
      <c r="EDE66" s="528"/>
      <c r="EDF66" s="528"/>
      <c r="EDG66" s="528"/>
      <c r="EDH66" s="528"/>
      <c r="EDI66" s="528"/>
      <c r="EDJ66" s="528"/>
      <c r="EDK66" s="528"/>
      <c r="EDL66" s="528"/>
      <c r="EDM66" s="528"/>
      <c r="EDN66" s="528"/>
      <c r="EDO66" s="528"/>
      <c r="EDP66" s="528"/>
      <c r="EDQ66" s="528"/>
      <c r="EDR66" s="528"/>
      <c r="EDS66" s="528"/>
      <c r="EDT66" s="528"/>
      <c r="EDU66" s="528"/>
      <c r="EDV66" s="528"/>
      <c r="EDW66" s="528"/>
      <c r="EDX66" s="528"/>
      <c r="EDY66" s="528"/>
      <c r="EDZ66" s="528"/>
      <c r="EEA66" s="528"/>
      <c r="EEB66" s="528"/>
      <c r="EEC66" s="528"/>
      <c r="EED66" s="528"/>
      <c r="EEE66" s="528"/>
      <c r="EEF66" s="528"/>
      <c r="EEG66" s="528"/>
      <c r="EEH66" s="528"/>
      <c r="EEI66" s="528"/>
      <c r="EEJ66" s="528"/>
      <c r="EEK66" s="528"/>
      <c r="EEL66" s="528"/>
      <c r="EEM66" s="528"/>
      <c r="EEN66" s="528"/>
      <c r="EEO66" s="528"/>
      <c r="EEP66" s="528"/>
      <c r="EEQ66" s="528"/>
      <c r="EER66" s="528"/>
      <c r="EES66" s="528"/>
      <c r="EET66" s="528"/>
      <c r="EEU66" s="528"/>
      <c r="EEV66" s="528"/>
      <c r="EEW66" s="528"/>
      <c r="EEX66" s="528"/>
      <c r="EEY66" s="528"/>
      <c r="EEZ66" s="528"/>
      <c r="EFA66" s="528"/>
      <c r="EFB66" s="528"/>
      <c r="EFC66" s="528"/>
      <c r="EFD66" s="528"/>
      <c r="EFE66" s="528"/>
      <c r="EFF66" s="528"/>
      <c r="EFG66" s="528"/>
      <c r="EFH66" s="528"/>
      <c r="EFI66" s="528"/>
      <c r="EFJ66" s="528"/>
      <c r="EFK66" s="528"/>
      <c r="EFL66" s="528"/>
      <c r="EFM66" s="528"/>
      <c r="EFN66" s="528"/>
      <c r="EFO66" s="528"/>
      <c r="EFP66" s="528"/>
      <c r="EFQ66" s="528"/>
      <c r="EFR66" s="528"/>
      <c r="EFS66" s="528"/>
      <c r="EFT66" s="528"/>
      <c r="EFU66" s="528"/>
      <c r="EFV66" s="528"/>
      <c r="EFW66" s="528"/>
      <c r="EFX66" s="528"/>
      <c r="EFY66" s="528"/>
      <c r="EFZ66" s="528"/>
      <c r="EGA66" s="528"/>
      <c r="EGB66" s="528"/>
      <c r="EGC66" s="528"/>
      <c r="EGD66" s="528"/>
      <c r="EGE66" s="528"/>
      <c r="EGF66" s="528"/>
      <c r="EGG66" s="528"/>
      <c r="EGH66" s="528"/>
      <c r="EGI66" s="528"/>
      <c r="EGJ66" s="528"/>
      <c r="EGK66" s="528"/>
      <c r="EGL66" s="528"/>
      <c r="EGM66" s="528"/>
      <c r="EGN66" s="528"/>
      <c r="EGO66" s="528"/>
      <c r="EGP66" s="528"/>
      <c r="EGQ66" s="528"/>
      <c r="EGR66" s="528"/>
      <c r="EGS66" s="528"/>
      <c r="EGT66" s="528"/>
      <c r="EGU66" s="528"/>
      <c r="EGV66" s="528"/>
      <c r="EGW66" s="528"/>
      <c r="EGX66" s="528"/>
      <c r="EGY66" s="528"/>
      <c r="EGZ66" s="528"/>
      <c r="EHA66" s="528"/>
      <c r="EHB66" s="528"/>
      <c r="EHC66" s="528"/>
      <c r="EHD66" s="528"/>
      <c r="EHE66" s="528"/>
      <c r="EHF66" s="528"/>
      <c r="EHG66" s="528"/>
      <c r="EHH66" s="528"/>
      <c r="EHI66" s="528"/>
      <c r="EHJ66" s="528"/>
      <c r="EHK66" s="528"/>
      <c r="EHL66" s="528"/>
      <c r="EHM66" s="528"/>
      <c r="EHN66" s="528"/>
      <c r="EHO66" s="528"/>
      <c r="EHP66" s="528"/>
      <c r="EHQ66" s="528"/>
      <c r="EHR66" s="528"/>
      <c r="EHS66" s="528"/>
      <c r="EHT66" s="528"/>
      <c r="EHU66" s="528"/>
      <c r="EHV66" s="528"/>
      <c r="EHW66" s="528"/>
      <c r="EHX66" s="528"/>
      <c r="EHY66" s="528"/>
      <c r="EHZ66" s="528"/>
      <c r="EIA66" s="528"/>
      <c r="EIB66" s="528"/>
      <c r="EIC66" s="528"/>
      <c r="EID66" s="528"/>
      <c r="EIE66" s="528"/>
      <c r="EIF66" s="528"/>
      <c r="EIG66" s="528"/>
      <c r="EIH66" s="528"/>
      <c r="EII66" s="528"/>
      <c r="EIJ66" s="528"/>
      <c r="EIK66" s="528"/>
      <c r="EIL66" s="528"/>
      <c r="EIM66" s="528"/>
      <c r="EIN66" s="528"/>
      <c r="EIO66" s="528"/>
      <c r="EIP66" s="528"/>
      <c r="EIQ66" s="528"/>
      <c r="EIR66" s="528"/>
      <c r="EIS66" s="528"/>
      <c r="EIT66" s="528"/>
      <c r="EIU66" s="528"/>
      <c r="EIV66" s="528"/>
      <c r="EIW66" s="528"/>
      <c r="EIX66" s="528"/>
      <c r="EIY66" s="528"/>
      <c r="EIZ66" s="528"/>
      <c r="EJA66" s="528"/>
      <c r="EJB66" s="528"/>
      <c r="EJC66" s="528"/>
      <c r="EJD66" s="528"/>
      <c r="EJE66" s="528"/>
      <c r="EJF66" s="528"/>
      <c r="EJG66" s="528"/>
      <c r="EJH66" s="528"/>
      <c r="EJI66" s="528"/>
      <c r="EJJ66" s="528"/>
      <c r="EJK66" s="528"/>
      <c r="EJL66" s="528"/>
      <c r="EJM66" s="528"/>
      <c r="EJN66" s="528"/>
      <c r="EJO66" s="528"/>
      <c r="EJP66" s="528"/>
      <c r="EJQ66" s="528"/>
      <c r="EJR66" s="528"/>
      <c r="EJS66" s="528"/>
      <c r="EJT66" s="528"/>
      <c r="EJU66" s="528"/>
      <c r="EJV66" s="528"/>
      <c r="EJW66" s="528"/>
      <c r="EJX66" s="528"/>
      <c r="EJY66" s="528"/>
      <c r="EJZ66" s="528"/>
      <c r="EKA66" s="528"/>
      <c r="EKB66" s="528"/>
      <c r="EKC66" s="528"/>
      <c r="EKD66" s="528"/>
      <c r="EKE66" s="528"/>
      <c r="EKF66" s="528"/>
      <c r="EKG66" s="528"/>
      <c r="EKH66" s="528"/>
      <c r="EKI66" s="528"/>
      <c r="EKJ66" s="528"/>
      <c r="EKK66" s="528"/>
      <c r="EKL66" s="528"/>
      <c r="EKM66" s="528"/>
      <c r="EKN66" s="528"/>
      <c r="EKO66" s="528"/>
      <c r="EKP66" s="528"/>
      <c r="EKQ66" s="528"/>
      <c r="EKR66" s="528"/>
      <c r="EKS66" s="528"/>
      <c r="EKT66" s="528"/>
      <c r="EKU66" s="528"/>
      <c r="EKV66" s="528"/>
      <c r="EKW66" s="528"/>
      <c r="EKX66" s="528"/>
      <c r="EKY66" s="528"/>
      <c r="EKZ66" s="528"/>
      <c r="ELA66" s="528"/>
      <c r="ELB66" s="528"/>
      <c r="ELC66" s="528"/>
      <c r="ELD66" s="528"/>
      <c r="ELE66" s="528"/>
      <c r="ELF66" s="528"/>
      <c r="ELG66" s="528"/>
      <c r="ELH66" s="528"/>
      <c r="ELI66" s="528"/>
      <c r="ELJ66" s="528"/>
      <c r="ELK66" s="528"/>
      <c r="ELL66" s="528"/>
      <c r="ELM66" s="528"/>
      <c r="ELN66" s="528"/>
      <c r="ELO66" s="528"/>
      <c r="ELP66" s="528"/>
      <c r="ELQ66" s="528"/>
      <c r="ELR66" s="528"/>
      <c r="ELS66" s="528"/>
      <c r="ELT66" s="528"/>
      <c r="ELU66" s="528"/>
      <c r="ELV66" s="528"/>
      <c r="ELW66" s="528"/>
      <c r="ELX66" s="528"/>
      <c r="ELY66" s="528"/>
      <c r="ELZ66" s="528"/>
      <c r="EMA66" s="528"/>
      <c r="EMB66" s="528"/>
      <c r="EMC66" s="528"/>
      <c r="EMD66" s="528"/>
      <c r="EME66" s="528"/>
      <c r="EMF66" s="528"/>
      <c r="EMG66" s="528"/>
      <c r="EMH66" s="528"/>
      <c r="EMI66" s="528"/>
      <c r="EMJ66" s="528"/>
      <c r="EMK66" s="528"/>
      <c r="EML66" s="528"/>
      <c r="EMM66" s="528"/>
      <c r="EMN66" s="528"/>
      <c r="EMO66" s="528"/>
      <c r="EMP66" s="528"/>
      <c r="EMQ66" s="528"/>
      <c r="EMR66" s="528"/>
      <c r="EMS66" s="528"/>
      <c r="EMT66" s="528"/>
      <c r="EMU66" s="528"/>
      <c r="EMV66" s="528"/>
      <c r="EMW66" s="528"/>
      <c r="EMX66" s="528"/>
      <c r="EMY66" s="528"/>
      <c r="EMZ66" s="528"/>
      <c r="ENA66" s="528"/>
      <c r="ENB66" s="528"/>
      <c r="ENC66" s="528"/>
      <c r="END66" s="528"/>
      <c r="ENE66" s="528"/>
      <c r="ENF66" s="528"/>
      <c r="ENG66" s="528"/>
      <c r="ENH66" s="528"/>
      <c r="ENI66" s="528"/>
      <c r="ENJ66" s="528"/>
      <c r="ENK66" s="528"/>
      <c r="ENL66" s="528"/>
      <c r="ENM66" s="528"/>
      <c r="ENN66" s="528"/>
      <c r="ENO66" s="528"/>
      <c r="ENP66" s="528"/>
      <c r="ENQ66" s="528"/>
      <c r="ENR66" s="528"/>
      <c r="ENS66" s="528"/>
      <c r="ENT66" s="528"/>
      <c r="ENU66" s="528"/>
      <c r="ENV66" s="528"/>
      <c r="ENW66" s="528"/>
      <c r="ENX66" s="528"/>
      <c r="ENY66" s="528"/>
      <c r="ENZ66" s="528"/>
      <c r="EOA66" s="528"/>
      <c r="EOB66" s="528"/>
      <c r="EOC66" s="528"/>
      <c r="EOD66" s="528"/>
      <c r="EOE66" s="528"/>
      <c r="EOF66" s="528"/>
      <c r="EOG66" s="528"/>
      <c r="EOH66" s="528"/>
      <c r="EOI66" s="528"/>
      <c r="EOJ66" s="528"/>
      <c r="EOK66" s="528"/>
      <c r="EOL66" s="528"/>
      <c r="EOM66" s="528"/>
      <c r="EON66" s="528"/>
      <c r="EOO66" s="528"/>
      <c r="EOP66" s="528"/>
      <c r="EOQ66" s="528"/>
      <c r="EOR66" s="528"/>
      <c r="EOS66" s="528"/>
      <c r="EOT66" s="528"/>
      <c r="EOU66" s="528"/>
      <c r="EOV66" s="528"/>
      <c r="EOW66" s="528"/>
      <c r="EOX66" s="528"/>
      <c r="EOY66" s="528"/>
      <c r="EOZ66" s="528"/>
      <c r="EPA66" s="528"/>
      <c r="EPB66" s="528"/>
      <c r="EPC66" s="528"/>
      <c r="EPD66" s="528"/>
      <c r="EPE66" s="528"/>
      <c r="EPF66" s="528"/>
      <c r="EPG66" s="528"/>
      <c r="EPH66" s="528"/>
      <c r="EPI66" s="528"/>
      <c r="EPJ66" s="528"/>
      <c r="EPK66" s="528"/>
      <c r="EPL66" s="528"/>
      <c r="EPM66" s="528"/>
      <c r="EPN66" s="528"/>
      <c r="EPO66" s="528"/>
      <c r="EPP66" s="528"/>
      <c r="EPQ66" s="528"/>
      <c r="EPR66" s="528"/>
      <c r="EPS66" s="528"/>
      <c r="EPT66" s="528"/>
      <c r="EPU66" s="528"/>
      <c r="EPV66" s="528"/>
      <c r="EPW66" s="528"/>
      <c r="EPX66" s="528"/>
      <c r="EPY66" s="528"/>
      <c r="EPZ66" s="528"/>
      <c r="EQA66" s="528"/>
      <c r="EQB66" s="528"/>
      <c r="EQC66" s="528"/>
      <c r="EQD66" s="528"/>
      <c r="EQE66" s="528"/>
      <c r="EQF66" s="528"/>
      <c r="EQG66" s="528"/>
      <c r="EQH66" s="528"/>
      <c r="EQI66" s="528"/>
      <c r="EQJ66" s="528"/>
      <c r="EQK66" s="528"/>
      <c r="EQL66" s="528"/>
      <c r="EQM66" s="528"/>
      <c r="EQN66" s="528"/>
      <c r="EQO66" s="528"/>
      <c r="EQP66" s="528"/>
      <c r="EQQ66" s="528"/>
      <c r="EQR66" s="528"/>
      <c r="EQS66" s="528"/>
      <c r="EQT66" s="528"/>
      <c r="EQU66" s="528"/>
      <c r="EQV66" s="528"/>
      <c r="EQW66" s="528"/>
      <c r="EQX66" s="528"/>
      <c r="EQY66" s="528"/>
      <c r="EQZ66" s="528"/>
      <c r="ERA66" s="528"/>
      <c r="ERB66" s="528"/>
      <c r="ERC66" s="528"/>
      <c r="ERD66" s="528"/>
      <c r="ERE66" s="528"/>
      <c r="ERF66" s="528"/>
      <c r="ERG66" s="528"/>
      <c r="ERH66" s="528"/>
      <c r="ERI66" s="528"/>
      <c r="ERJ66" s="528"/>
      <c r="ERK66" s="528"/>
      <c r="ERL66" s="528"/>
      <c r="ERM66" s="528"/>
      <c r="ERN66" s="528"/>
      <c r="ERO66" s="528"/>
      <c r="ERP66" s="528"/>
      <c r="ERQ66" s="528"/>
      <c r="ERR66" s="528"/>
      <c r="ERS66" s="528"/>
      <c r="ERT66" s="528"/>
      <c r="ERU66" s="528"/>
      <c r="ERV66" s="528"/>
      <c r="ERW66" s="528"/>
      <c r="ERX66" s="528"/>
      <c r="ERY66" s="528"/>
      <c r="ERZ66" s="528"/>
      <c r="ESA66" s="528"/>
      <c r="ESB66" s="528"/>
      <c r="ESC66" s="528"/>
      <c r="ESD66" s="528"/>
      <c r="ESE66" s="528"/>
      <c r="ESF66" s="528"/>
      <c r="ESG66" s="528"/>
      <c r="ESH66" s="528"/>
      <c r="ESI66" s="528"/>
      <c r="ESJ66" s="528"/>
      <c r="ESK66" s="528"/>
      <c r="ESL66" s="528"/>
      <c r="ESM66" s="528"/>
      <c r="ESN66" s="528"/>
      <c r="ESO66" s="528"/>
      <c r="ESP66" s="528"/>
      <c r="ESQ66" s="528"/>
      <c r="ESR66" s="528"/>
      <c r="ESS66" s="528"/>
      <c r="EST66" s="528"/>
      <c r="ESU66" s="528"/>
      <c r="ESV66" s="528"/>
      <c r="ESW66" s="528"/>
      <c r="ESX66" s="528"/>
      <c r="ESY66" s="528"/>
      <c r="ESZ66" s="528"/>
      <c r="ETA66" s="528"/>
      <c r="ETB66" s="528"/>
      <c r="ETC66" s="528"/>
      <c r="ETD66" s="528"/>
      <c r="ETE66" s="528"/>
      <c r="ETF66" s="528"/>
      <c r="ETG66" s="528"/>
      <c r="ETH66" s="528"/>
      <c r="ETI66" s="528"/>
      <c r="ETJ66" s="528"/>
      <c r="ETK66" s="528"/>
      <c r="ETL66" s="528"/>
      <c r="ETM66" s="528"/>
      <c r="ETN66" s="528"/>
      <c r="ETO66" s="528"/>
      <c r="ETP66" s="528"/>
      <c r="ETQ66" s="528"/>
      <c r="ETR66" s="528"/>
      <c r="ETS66" s="528"/>
      <c r="ETT66" s="528"/>
      <c r="ETU66" s="528"/>
      <c r="ETV66" s="528"/>
      <c r="ETW66" s="528"/>
      <c r="ETX66" s="528"/>
      <c r="ETY66" s="528"/>
      <c r="ETZ66" s="528"/>
      <c r="EUA66" s="528"/>
      <c r="EUB66" s="528"/>
      <c r="EUC66" s="528"/>
      <c r="EUD66" s="528"/>
      <c r="EUE66" s="528"/>
      <c r="EUF66" s="528"/>
      <c r="EUG66" s="528"/>
      <c r="EUH66" s="528"/>
      <c r="EUI66" s="528"/>
      <c r="EUJ66" s="528"/>
      <c r="EUK66" s="528"/>
      <c r="EUL66" s="528"/>
      <c r="EUM66" s="528"/>
      <c r="EUN66" s="528"/>
      <c r="EUO66" s="528"/>
      <c r="EUP66" s="528"/>
      <c r="EUQ66" s="528"/>
      <c r="EUR66" s="528"/>
      <c r="EUS66" s="528"/>
      <c r="EUT66" s="528"/>
      <c r="EUU66" s="528"/>
      <c r="EUV66" s="528"/>
      <c r="EUW66" s="528"/>
      <c r="EUX66" s="528"/>
      <c r="EUY66" s="528"/>
      <c r="EUZ66" s="528"/>
      <c r="EVA66" s="528"/>
      <c r="EVB66" s="528"/>
      <c r="EVC66" s="528"/>
      <c r="EVD66" s="528"/>
      <c r="EVE66" s="528"/>
      <c r="EVF66" s="528"/>
      <c r="EVG66" s="528"/>
      <c r="EVH66" s="528"/>
      <c r="EVI66" s="528"/>
      <c r="EVJ66" s="528"/>
      <c r="EVK66" s="528"/>
      <c r="EVL66" s="528"/>
      <c r="EVM66" s="528"/>
      <c r="EVN66" s="528"/>
      <c r="EVO66" s="528"/>
      <c r="EVP66" s="528"/>
      <c r="EVQ66" s="528"/>
      <c r="EVR66" s="528"/>
      <c r="EVS66" s="528"/>
      <c r="EVT66" s="528"/>
      <c r="EVU66" s="528"/>
      <c r="EVV66" s="528"/>
      <c r="EVW66" s="528"/>
      <c r="EVX66" s="528"/>
      <c r="EVY66" s="528"/>
      <c r="EVZ66" s="528"/>
      <c r="EWA66" s="528"/>
      <c r="EWB66" s="528"/>
      <c r="EWC66" s="528"/>
      <c r="EWD66" s="528"/>
      <c r="EWE66" s="528"/>
      <c r="EWF66" s="528"/>
      <c r="EWG66" s="528"/>
      <c r="EWH66" s="528"/>
      <c r="EWI66" s="528"/>
      <c r="EWJ66" s="528"/>
      <c r="EWK66" s="528"/>
      <c r="EWL66" s="528"/>
      <c r="EWM66" s="528"/>
      <c r="EWN66" s="528"/>
      <c r="EWO66" s="528"/>
      <c r="EWP66" s="528"/>
      <c r="EWQ66" s="528"/>
      <c r="EWR66" s="528"/>
      <c r="EWS66" s="528"/>
      <c r="EWT66" s="528"/>
      <c r="EWU66" s="528"/>
      <c r="EWV66" s="528"/>
      <c r="EWW66" s="528"/>
      <c r="EWX66" s="528"/>
      <c r="EWY66" s="528"/>
      <c r="EWZ66" s="528"/>
      <c r="EXA66" s="528"/>
      <c r="EXB66" s="528"/>
      <c r="EXC66" s="528"/>
      <c r="EXD66" s="528"/>
      <c r="EXE66" s="528"/>
      <c r="EXF66" s="528"/>
      <c r="EXG66" s="528"/>
      <c r="EXH66" s="528"/>
      <c r="EXI66" s="528"/>
      <c r="EXJ66" s="528"/>
      <c r="EXK66" s="528"/>
      <c r="EXL66" s="528"/>
      <c r="EXM66" s="528"/>
      <c r="EXN66" s="528"/>
      <c r="EXO66" s="528"/>
      <c r="EXP66" s="528"/>
      <c r="EXQ66" s="528"/>
      <c r="EXR66" s="528"/>
      <c r="EXS66" s="528"/>
      <c r="EXT66" s="528"/>
      <c r="EXU66" s="528"/>
      <c r="EXV66" s="528"/>
      <c r="EXW66" s="528"/>
      <c r="EXX66" s="528"/>
      <c r="EXY66" s="528"/>
      <c r="EXZ66" s="528"/>
      <c r="EYA66" s="528"/>
      <c r="EYB66" s="528"/>
      <c r="EYC66" s="528"/>
      <c r="EYD66" s="528"/>
      <c r="EYE66" s="528"/>
      <c r="EYF66" s="528"/>
      <c r="EYG66" s="528"/>
      <c r="EYH66" s="528"/>
      <c r="EYI66" s="528"/>
      <c r="EYJ66" s="528"/>
      <c r="EYK66" s="528"/>
      <c r="EYL66" s="528"/>
      <c r="EYM66" s="528"/>
      <c r="EYN66" s="528"/>
      <c r="EYO66" s="528"/>
      <c r="EYP66" s="528"/>
      <c r="EYQ66" s="528"/>
      <c r="EYR66" s="528"/>
      <c r="EYS66" s="528"/>
      <c r="EYT66" s="528"/>
      <c r="EYU66" s="528"/>
      <c r="EYV66" s="528"/>
      <c r="EYW66" s="528"/>
      <c r="EYX66" s="528"/>
      <c r="EYY66" s="528"/>
      <c r="EYZ66" s="528"/>
      <c r="EZA66" s="528"/>
      <c r="EZB66" s="528"/>
      <c r="EZC66" s="528"/>
      <c r="EZD66" s="528"/>
      <c r="EZE66" s="528"/>
      <c r="EZF66" s="528"/>
      <c r="EZG66" s="528"/>
      <c r="EZH66" s="528"/>
      <c r="EZI66" s="528"/>
      <c r="EZJ66" s="528"/>
      <c r="EZK66" s="528"/>
      <c r="EZL66" s="528"/>
      <c r="EZM66" s="528"/>
      <c r="EZN66" s="528"/>
      <c r="EZO66" s="528"/>
      <c r="EZP66" s="528"/>
      <c r="EZQ66" s="528"/>
      <c r="EZR66" s="528"/>
      <c r="EZS66" s="528"/>
      <c r="EZT66" s="528"/>
      <c r="EZU66" s="528"/>
      <c r="EZV66" s="528"/>
      <c r="EZW66" s="528"/>
      <c r="EZX66" s="528"/>
      <c r="EZY66" s="528"/>
      <c r="EZZ66" s="528"/>
      <c r="FAA66" s="528"/>
      <c r="FAB66" s="528"/>
      <c r="FAC66" s="528"/>
      <c r="FAD66" s="528"/>
      <c r="FAE66" s="528"/>
      <c r="FAF66" s="528"/>
      <c r="FAG66" s="528"/>
      <c r="FAH66" s="528"/>
      <c r="FAI66" s="528"/>
      <c r="FAJ66" s="528"/>
      <c r="FAK66" s="528"/>
      <c r="FAL66" s="528"/>
      <c r="FAM66" s="528"/>
      <c r="FAN66" s="528"/>
      <c r="FAO66" s="528"/>
      <c r="FAP66" s="528"/>
      <c r="FAQ66" s="528"/>
      <c r="FAR66" s="528"/>
      <c r="FAS66" s="528"/>
      <c r="FAT66" s="528"/>
      <c r="FAU66" s="528"/>
      <c r="FAV66" s="528"/>
      <c r="FAW66" s="528"/>
      <c r="FAX66" s="528"/>
      <c r="FAY66" s="528"/>
      <c r="FAZ66" s="528"/>
      <c r="FBA66" s="528"/>
      <c r="FBB66" s="528"/>
      <c r="FBC66" s="528"/>
      <c r="FBD66" s="528"/>
      <c r="FBE66" s="528"/>
      <c r="FBF66" s="528"/>
      <c r="FBG66" s="528"/>
      <c r="FBH66" s="528"/>
      <c r="FBI66" s="528"/>
      <c r="FBJ66" s="528"/>
      <c r="FBK66" s="528"/>
      <c r="FBL66" s="528"/>
      <c r="FBM66" s="528"/>
      <c r="FBN66" s="528"/>
      <c r="FBO66" s="528"/>
      <c r="FBP66" s="528"/>
      <c r="FBQ66" s="528"/>
      <c r="FBR66" s="528"/>
      <c r="FBS66" s="528"/>
      <c r="FBT66" s="528"/>
      <c r="FBU66" s="528"/>
      <c r="FBV66" s="528"/>
      <c r="FBW66" s="528"/>
      <c r="FBX66" s="528"/>
      <c r="FBY66" s="528"/>
      <c r="FBZ66" s="528"/>
      <c r="FCA66" s="528"/>
      <c r="FCB66" s="528"/>
      <c r="FCC66" s="528"/>
      <c r="FCD66" s="528"/>
      <c r="FCE66" s="528"/>
      <c r="FCF66" s="528"/>
      <c r="FCG66" s="528"/>
      <c r="FCH66" s="528"/>
      <c r="FCI66" s="528"/>
      <c r="FCJ66" s="528"/>
      <c r="FCK66" s="528"/>
      <c r="FCL66" s="528"/>
      <c r="FCM66" s="528"/>
      <c r="FCN66" s="528"/>
      <c r="FCO66" s="528"/>
      <c r="FCP66" s="528"/>
      <c r="FCQ66" s="528"/>
      <c r="FCR66" s="528"/>
      <c r="FCS66" s="528"/>
      <c r="FCT66" s="528"/>
      <c r="FCU66" s="528"/>
      <c r="FCV66" s="528"/>
      <c r="FCW66" s="528"/>
      <c r="FCX66" s="528"/>
      <c r="FCY66" s="528"/>
      <c r="FCZ66" s="528"/>
      <c r="FDA66" s="528"/>
      <c r="FDB66" s="528"/>
      <c r="FDC66" s="528"/>
      <c r="FDD66" s="528"/>
      <c r="FDE66" s="528"/>
      <c r="FDF66" s="528"/>
      <c r="FDG66" s="528"/>
      <c r="FDH66" s="528"/>
      <c r="FDI66" s="528"/>
      <c r="FDJ66" s="528"/>
      <c r="FDK66" s="528"/>
      <c r="FDL66" s="528"/>
      <c r="FDM66" s="528"/>
      <c r="FDN66" s="528"/>
      <c r="FDO66" s="528"/>
      <c r="FDP66" s="528"/>
      <c r="FDQ66" s="528"/>
      <c r="FDR66" s="528"/>
      <c r="FDS66" s="528"/>
      <c r="FDT66" s="528"/>
      <c r="FDU66" s="528"/>
      <c r="FDV66" s="528"/>
      <c r="FDW66" s="528"/>
      <c r="FDX66" s="528"/>
      <c r="FDY66" s="528"/>
      <c r="FDZ66" s="528"/>
      <c r="FEA66" s="528"/>
      <c r="FEB66" s="528"/>
      <c r="FEC66" s="528"/>
      <c r="FED66" s="528"/>
      <c r="FEE66" s="528"/>
      <c r="FEF66" s="528"/>
      <c r="FEG66" s="528"/>
      <c r="FEH66" s="528"/>
      <c r="FEI66" s="528"/>
      <c r="FEJ66" s="528"/>
      <c r="FEK66" s="528"/>
      <c r="FEL66" s="528"/>
      <c r="FEM66" s="528"/>
      <c r="FEN66" s="528"/>
      <c r="FEO66" s="528"/>
      <c r="FEP66" s="528"/>
      <c r="FEQ66" s="528"/>
      <c r="FER66" s="528"/>
      <c r="FES66" s="528"/>
      <c r="FET66" s="528"/>
      <c r="FEU66" s="528"/>
      <c r="FEV66" s="528"/>
      <c r="FEW66" s="528"/>
      <c r="FEX66" s="528"/>
      <c r="FEY66" s="528"/>
      <c r="FEZ66" s="528"/>
      <c r="FFA66" s="528"/>
      <c r="FFB66" s="528"/>
      <c r="FFC66" s="528"/>
      <c r="FFD66" s="528"/>
      <c r="FFE66" s="528"/>
      <c r="FFF66" s="528"/>
      <c r="FFG66" s="528"/>
      <c r="FFH66" s="528"/>
      <c r="FFI66" s="528"/>
      <c r="FFJ66" s="528"/>
      <c r="FFK66" s="528"/>
      <c r="FFL66" s="528"/>
      <c r="FFM66" s="528"/>
      <c r="FFN66" s="528"/>
      <c r="FFO66" s="528"/>
      <c r="FFP66" s="528"/>
      <c r="FFQ66" s="528"/>
      <c r="FFR66" s="528"/>
      <c r="FFS66" s="528"/>
      <c r="FFT66" s="528"/>
      <c r="FFU66" s="528"/>
      <c r="FFV66" s="528"/>
      <c r="FFW66" s="528"/>
      <c r="FFX66" s="528"/>
      <c r="FFY66" s="528"/>
      <c r="FFZ66" s="528"/>
      <c r="FGA66" s="528"/>
      <c r="FGB66" s="528"/>
      <c r="FGC66" s="528"/>
      <c r="FGD66" s="528"/>
      <c r="FGE66" s="528"/>
      <c r="FGF66" s="528"/>
      <c r="FGG66" s="528"/>
      <c r="FGH66" s="528"/>
      <c r="FGI66" s="528"/>
      <c r="FGJ66" s="528"/>
      <c r="FGK66" s="528"/>
      <c r="FGL66" s="528"/>
      <c r="FGM66" s="528"/>
      <c r="FGN66" s="528"/>
      <c r="FGO66" s="528"/>
      <c r="FGP66" s="528"/>
      <c r="FGQ66" s="528"/>
      <c r="FGR66" s="528"/>
      <c r="FGS66" s="528"/>
      <c r="FGT66" s="528"/>
      <c r="FGU66" s="528"/>
      <c r="FGV66" s="528"/>
      <c r="FGW66" s="528"/>
      <c r="FGX66" s="528"/>
      <c r="FGY66" s="528"/>
      <c r="FGZ66" s="528"/>
      <c r="FHA66" s="528"/>
      <c r="FHB66" s="528"/>
      <c r="FHC66" s="528"/>
      <c r="FHD66" s="528"/>
      <c r="FHE66" s="528"/>
      <c r="FHF66" s="528"/>
      <c r="FHG66" s="528"/>
      <c r="FHH66" s="528"/>
      <c r="FHI66" s="528"/>
      <c r="FHJ66" s="528"/>
      <c r="FHK66" s="528"/>
      <c r="FHL66" s="528"/>
      <c r="FHM66" s="528"/>
      <c r="FHN66" s="528"/>
      <c r="FHO66" s="528"/>
      <c r="FHP66" s="528"/>
      <c r="FHQ66" s="528"/>
      <c r="FHR66" s="528"/>
      <c r="FHS66" s="528"/>
      <c r="FHT66" s="528"/>
      <c r="FHU66" s="528"/>
      <c r="FHV66" s="528"/>
      <c r="FHW66" s="528"/>
      <c r="FHX66" s="528"/>
      <c r="FHY66" s="528"/>
      <c r="FHZ66" s="528"/>
      <c r="FIA66" s="528"/>
      <c r="FIB66" s="528"/>
      <c r="FIC66" s="528"/>
      <c r="FID66" s="528"/>
      <c r="FIE66" s="528"/>
      <c r="FIF66" s="528"/>
      <c r="FIG66" s="528"/>
      <c r="FIH66" s="528"/>
      <c r="FII66" s="528"/>
      <c r="FIJ66" s="528"/>
      <c r="FIK66" s="528"/>
      <c r="FIL66" s="528"/>
      <c r="FIM66" s="528"/>
      <c r="FIN66" s="528"/>
      <c r="FIO66" s="528"/>
      <c r="FIP66" s="528"/>
      <c r="FIQ66" s="528"/>
      <c r="FIR66" s="528"/>
      <c r="FIS66" s="528"/>
      <c r="FIT66" s="528"/>
      <c r="FIU66" s="528"/>
      <c r="FIV66" s="528"/>
      <c r="FIW66" s="528"/>
      <c r="FIX66" s="528"/>
      <c r="FIY66" s="528"/>
      <c r="FIZ66" s="528"/>
      <c r="FJA66" s="528"/>
      <c r="FJB66" s="528"/>
      <c r="FJC66" s="528"/>
      <c r="FJD66" s="528"/>
      <c r="FJE66" s="528"/>
      <c r="FJF66" s="528"/>
      <c r="FJG66" s="528"/>
      <c r="FJH66" s="528"/>
      <c r="FJI66" s="528"/>
      <c r="FJJ66" s="528"/>
      <c r="FJK66" s="528"/>
      <c r="FJL66" s="528"/>
      <c r="FJM66" s="528"/>
      <c r="FJN66" s="528"/>
      <c r="FJO66" s="528"/>
      <c r="FJP66" s="528"/>
      <c r="FJQ66" s="528"/>
      <c r="FJR66" s="528"/>
      <c r="FJS66" s="528"/>
      <c r="FJT66" s="528"/>
      <c r="FJU66" s="528"/>
      <c r="FJV66" s="528"/>
      <c r="FJW66" s="528"/>
      <c r="FJX66" s="528"/>
      <c r="FJY66" s="528"/>
      <c r="FJZ66" s="528"/>
      <c r="FKA66" s="528"/>
      <c r="FKB66" s="528"/>
      <c r="FKC66" s="528"/>
      <c r="FKD66" s="528"/>
      <c r="FKE66" s="528"/>
      <c r="FKF66" s="528"/>
      <c r="FKG66" s="528"/>
      <c r="FKH66" s="528"/>
      <c r="FKI66" s="528"/>
      <c r="FKJ66" s="528"/>
      <c r="FKK66" s="528"/>
      <c r="FKL66" s="528"/>
      <c r="FKM66" s="528"/>
      <c r="FKN66" s="528"/>
      <c r="FKO66" s="528"/>
      <c r="FKP66" s="528"/>
      <c r="FKQ66" s="528"/>
      <c r="FKR66" s="528"/>
      <c r="FKS66" s="528"/>
      <c r="FKT66" s="528"/>
      <c r="FKU66" s="528"/>
      <c r="FKV66" s="528"/>
      <c r="FKW66" s="528"/>
      <c r="FKX66" s="528"/>
      <c r="FKY66" s="528"/>
      <c r="FKZ66" s="528"/>
      <c r="FLA66" s="528"/>
      <c r="FLB66" s="528"/>
      <c r="FLC66" s="528"/>
      <c r="FLD66" s="528"/>
      <c r="FLE66" s="528"/>
      <c r="FLF66" s="528"/>
      <c r="FLG66" s="528"/>
      <c r="FLH66" s="528"/>
      <c r="FLI66" s="528"/>
      <c r="FLJ66" s="528"/>
      <c r="FLK66" s="528"/>
      <c r="FLL66" s="528"/>
      <c r="FLM66" s="528"/>
      <c r="FLN66" s="528"/>
      <c r="FLO66" s="528"/>
      <c r="FLP66" s="528"/>
      <c r="FLQ66" s="528"/>
      <c r="FLR66" s="528"/>
      <c r="FLS66" s="528"/>
      <c r="FLT66" s="528"/>
      <c r="FLU66" s="528"/>
      <c r="FLV66" s="528"/>
      <c r="FLW66" s="528"/>
      <c r="FLX66" s="528"/>
      <c r="FLY66" s="528"/>
      <c r="FLZ66" s="528"/>
      <c r="FMA66" s="528"/>
      <c r="FMB66" s="528"/>
      <c r="FMC66" s="528"/>
      <c r="FMD66" s="528"/>
      <c r="FME66" s="528"/>
      <c r="FMF66" s="528"/>
      <c r="FMG66" s="528"/>
      <c r="FMH66" s="528"/>
      <c r="FMI66" s="528"/>
      <c r="FMJ66" s="528"/>
      <c r="FMK66" s="528"/>
      <c r="FML66" s="528"/>
      <c r="FMM66" s="528"/>
      <c r="FMN66" s="528"/>
      <c r="FMO66" s="528"/>
      <c r="FMP66" s="528"/>
      <c r="FMQ66" s="528"/>
      <c r="FMR66" s="528"/>
      <c r="FMS66" s="528"/>
      <c r="FMT66" s="528"/>
      <c r="FMU66" s="528"/>
      <c r="FMV66" s="528"/>
      <c r="FMW66" s="528"/>
      <c r="FMX66" s="528"/>
      <c r="FMY66" s="528"/>
      <c r="FMZ66" s="528"/>
      <c r="FNA66" s="528"/>
      <c r="FNB66" s="528"/>
      <c r="FNC66" s="528"/>
      <c r="FND66" s="528"/>
      <c r="FNE66" s="528"/>
      <c r="FNF66" s="528"/>
      <c r="FNG66" s="528"/>
      <c r="FNH66" s="528"/>
      <c r="FNI66" s="528"/>
      <c r="FNJ66" s="528"/>
      <c r="FNK66" s="528"/>
      <c r="FNL66" s="528"/>
      <c r="FNM66" s="528"/>
      <c r="FNN66" s="528"/>
      <c r="FNO66" s="528"/>
      <c r="FNP66" s="528"/>
      <c r="FNQ66" s="528"/>
      <c r="FNR66" s="528"/>
      <c r="FNS66" s="528"/>
      <c r="FNT66" s="528"/>
      <c r="FNU66" s="528"/>
      <c r="FNV66" s="528"/>
      <c r="FNW66" s="528"/>
      <c r="FNX66" s="528"/>
      <c r="FNY66" s="528"/>
      <c r="FNZ66" s="528"/>
      <c r="FOA66" s="528"/>
      <c r="FOB66" s="528"/>
      <c r="FOC66" s="528"/>
      <c r="FOD66" s="528"/>
      <c r="FOE66" s="528"/>
      <c r="FOF66" s="528"/>
      <c r="FOG66" s="528"/>
      <c r="FOH66" s="528"/>
      <c r="FOI66" s="528"/>
      <c r="FOJ66" s="528"/>
      <c r="FOK66" s="528"/>
      <c r="FOL66" s="528"/>
      <c r="FOM66" s="528"/>
      <c r="FON66" s="528"/>
      <c r="FOO66" s="528"/>
      <c r="FOP66" s="528"/>
      <c r="FOQ66" s="528"/>
      <c r="FOR66" s="528"/>
      <c r="FOS66" s="528"/>
      <c r="FOT66" s="528"/>
      <c r="FOU66" s="528"/>
      <c r="FOV66" s="528"/>
      <c r="FOW66" s="528"/>
      <c r="FOX66" s="528"/>
      <c r="FOY66" s="528"/>
      <c r="FOZ66" s="528"/>
      <c r="FPA66" s="528"/>
      <c r="FPB66" s="528"/>
      <c r="FPC66" s="528"/>
      <c r="FPD66" s="528"/>
      <c r="FPE66" s="528"/>
      <c r="FPF66" s="528"/>
      <c r="FPG66" s="528"/>
      <c r="FPH66" s="528"/>
      <c r="FPI66" s="528"/>
      <c r="FPJ66" s="528"/>
      <c r="FPK66" s="528"/>
      <c r="FPL66" s="528"/>
      <c r="FPM66" s="528"/>
      <c r="FPN66" s="528"/>
      <c r="FPO66" s="528"/>
      <c r="FPP66" s="528"/>
      <c r="FPQ66" s="528"/>
      <c r="FPR66" s="528"/>
      <c r="FPS66" s="528"/>
      <c r="FPT66" s="528"/>
      <c r="FPU66" s="528"/>
      <c r="FPV66" s="528"/>
      <c r="FPW66" s="528"/>
      <c r="FPX66" s="528"/>
      <c r="FPY66" s="528"/>
      <c r="FPZ66" s="528"/>
      <c r="FQA66" s="528"/>
      <c r="FQB66" s="528"/>
      <c r="FQC66" s="528"/>
      <c r="FQD66" s="528"/>
      <c r="FQE66" s="528"/>
      <c r="FQF66" s="528"/>
      <c r="FQG66" s="528"/>
      <c r="FQH66" s="528"/>
      <c r="FQI66" s="528"/>
      <c r="FQJ66" s="528"/>
      <c r="FQK66" s="528"/>
      <c r="FQL66" s="528"/>
      <c r="FQM66" s="528"/>
      <c r="FQN66" s="528"/>
      <c r="FQO66" s="528"/>
      <c r="FQP66" s="528"/>
      <c r="FQQ66" s="528"/>
      <c r="FQR66" s="528"/>
      <c r="FQS66" s="528"/>
      <c r="FQT66" s="528"/>
      <c r="FQU66" s="528"/>
      <c r="FQV66" s="528"/>
      <c r="FQW66" s="528"/>
      <c r="FQX66" s="528"/>
      <c r="FQY66" s="528"/>
      <c r="FQZ66" s="528"/>
      <c r="FRA66" s="528"/>
      <c r="FRB66" s="528"/>
      <c r="FRC66" s="528"/>
      <c r="FRD66" s="528"/>
      <c r="FRE66" s="528"/>
      <c r="FRF66" s="528"/>
      <c r="FRG66" s="528"/>
      <c r="FRH66" s="528"/>
      <c r="FRI66" s="528"/>
      <c r="FRJ66" s="528"/>
      <c r="FRK66" s="528"/>
      <c r="FRL66" s="528"/>
      <c r="FRM66" s="528"/>
      <c r="FRN66" s="528"/>
      <c r="FRO66" s="528"/>
      <c r="FRP66" s="528"/>
      <c r="FRQ66" s="528"/>
      <c r="FRR66" s="528"/>
      <c r="FRS66" s="528"/>
      <c r="FRT66" s="528"/>
      <c r="FRU66" s="528"/>
      <c r="FRV66" s="528"/>
      <c r="FRW66" s="528"/>
      <c r="FRX66" s="528"/>
      <c r="FRY66" s="528"/>
      <c r="FRZ66" s="528"/>
      <c r="FSA66" s="528"/>
      <c r="FSB66" s="528"/>
      <c r="FSC66" s="528"/>
      <c r="FSD66" s="528"/>
      <c r="FSE66" s="528"/>
      <c r="FSF66" s="528"/>
      <c r="FSG66" s="528"/>
      <c r="FSH66" s="528"/>
      <c r="FSI66" s="528"/>
      <c r="FSJ66" s="528"/>
      <c r="FSK66" s="528"/>
      <c r="FSL66" s="528"/>
      <c r="FSM66" s="528"/>
      <c r="FSN66" s="528"/>
      <c r="FSO66" s="528"/>
      <c r="FSP66" s="528"/>
      <c r="FSQ66" s="528"/>
      <c r="FSR66" s="528"/>
      <c r="FSS66" s="528"/>
      <c r="FST66" s="528"/>
      <c r="FSU66" s="528"/>
      <c r="FSV66" s="528"/>
      <c r="FSW66" s="528"/>
      <c r="FSX66" s="528"/>
      <c r="FSY66" s="528"/>
      <c r="FSZ66" s="528"/>
      <c r="FTA66" s="528"/>
      <c r="FTB66" s="528"/>
      <c r="FTC66" s="528"/>
      <c r="FTD66" s="528"/>
      <c r="FTE66" s="528"/>
      <c r="FTF66" s="528"/>
      <c r="FTG66" s="528"/>
      <c r="FTH66" s="528"/>
      <c r="FTI66" s="528"/>
      <c r="FTJ66" s="528"/>
      <c r="FTK66" s="528"/>
      <c r="FTL66" s="528"/>
      <c r="FTM66" s="528"/>
      <c r="FTN66" s="528"/>
      <c r="FTO66" s="528"/>
      <c r="FTP66" s="528"/>
      <c r="FTQ66" s="528"/>
      <c r="FTR66" s="528"/>
      <c r="FTS66" s="528"/>
      <c r="FTT66" s="528"/>
      <c r="FTU66" s="528"/>
      <c r="FTV66" s="528"/>
      <c r="FTW66" s="528"/>
      <c r="FTX66" s="528"/>
      <c r="FTY66" s="528"/>
      <c r="FTZ66" s="528"/>
      <c r="FUA66" s="528"/>
      <c r="FUB66" s="528"/>
      <c r="FUC66" s="528"/>
      <c r="FUD66" s="528"/>
      <c r="FUE66" s="528"/>
      <c r="FUF66" s="528"/>
      <c r="FUG66" s="528"/>
      <c r="FUH66" s="528"/>
      <c r="FUI66" s="528"/>
      <c r="FUJ66" s="528"/>
      <c r="FUK66" s="528"/>
      <c r="FUL66" s="528"/>
      <c r="FUM66" s="528"/>
      <c r="FUN66" s="528"/>
      <c r="FUO66" s="528"/>
      <c r="FUP66" s="528"/>
      <c r="FUQ66" s="528"/>
      <c r="FUR66" s="528"/>
      <c r="FUS66" s="528"/>
      <c r="FUT66" s="528"/>
      <c r="FUU66" s="528"/>
      <c r="FUV66" s="528"/>
      <c r="FUW66" s="528"/>
      <c r="FUX66" s="528"/>
      <c r="FUY66" s="528"/>
      <c r="FUZ66" s="528"/>
      <c r="FVA66" s="528"/>
      <c r="FVB66" s="528"/>
      <c r="FVC66" s="528"/>
      <c r="FVD66" s="528"/>
      <c r="FVE66" s="528"/>
      <c r="FVF66" s="528"/>
      <c r="FVG66" s="528"/>
      <c r="FVH66" s="528"/>
      <c r="FVI66" s="528"/>
      <c r="FVJ66" s="528"/>
      <c r="FVK66" s="528"/>
      <c r="FVL66" s="528"/>
      <c r="FVM66" s="528"/>
      <c r="FVN66" s="528"/>
      <c r="FVO66" s="528"/>
      <c r="FVP66" s="528"/>
      <c r="FVQ66" s="528"/>
      <c r="FVR66" s="528"/>
      <c r="FVS66" s="528"/>
      <c r="FVT66" s="528"/>
      <c r="FVU66" s="528"/>
      <c r="FVV66" s="528"/>
      <c r="FVW66" s="528"/>
      <c r="FVX66" s="528"/>
      <c r="FVY66" s="528"/>
      <c r="FVZ66" s="528"/>
      <c r="FWA66" s="528"/>
      <c r="FWB66" s="528"/>
      <c r="FWC66" s="528"/>
      <c r="FWD66" s="528"/>
      <c r="FWE66" s="528"/>
      <c r="FWF66" s="528"/>
      <c r="FWG66" s="528"/>
      <c r="FWH66" s="528"/>
      <c r="FWI66" s="528"/>
      <c r="FWJ66" s="528"/>
      <c r="FWK66" s="528"/>
      <c r="FWL66" s="528"/>
      <c r="FWM66" s="528"/>
      <c r="FWN66" s="528"/>
      <c r="FWO66" s="528"/>
      <c r="FWP66" s="528"/>
      <c r="FWQ66" s="528"/>
      <c r="FWR66" s="528"/>
      <c r="FWS66" s="528"/>
      <c r="FWT66" s="528"/>
      <c r="FWU66" s="528"/>
      <c r="FWV66" s="528"/>
      <c r="FWW66" s="528"/>
      <c r="FWX66" s="528"/>
      <c r="FWY66" s="528"/>
      <c r="FWZ66" s="528"/>
      <c r="FXA66" s="528"/>
      <c r="FXB66" s="528"/>
      <c r="FXC66" s="528"/>
      <c r="FXD66" s="528"/>
      <c r="FXE66" s="528"/>
      <c r="FXF66" s="528"/>
      <c r="FXG66" s="528"/>
      <c r="FXH66" s="528"/>
      <c r="FXI66" s="528"/>
      <c r="FXJ66" s="528"/>
      <c r="FXK66" s="528"/>
      <c r="FXL66" s="528"/>
      <c r="FXM66" s="528"/>
      <c r="FXN66" s="528"/>
      <c r="FXO66" s="528"/>
      <c r="FXP66" s="528"/>
      <c r="FXQ66" s="528"/>
      <c r="FXR66" s="528"/>
      <c r="FXS66" s="528"/>
      <c r="FXT66" s="528"/>
      <c r="FXU66" s="528"/>
      <c r="FXV66" s="528"/>
      <c r="FXW66" s="528"/>
      <c r="FXX66" s="528"/>
      <c r="FXY66" s="528"/>
      <c r="FXZ66" s="528"/>
      <c r="FYA66" s="528"/>
      <c r="FYB66" s="528"/>
      <c r="FYC66" s="528"/>
      <c r="FYD66" s="528"/>
      <c r="FYE66" s="528"/>
      <c r="FYF66" s="528"/>
      <c r="FYG66" s="528"/>
      <c r="FYH66" s="528"/>
      <c r="FYI66" s="528"/>
      <c r="FYJ66" s="528"/>
      <c r="FYK66" s="528"/>
      <c r="FYL66" s="528"/>
      <c r="FYM66" s="528"/>
      <c r="FYN66" s="528"/>
      <c r="FYO66" s="528"/>
      <c r="FYP66" s="528"/>
      <c r="FYQ66" s="528"/>
      <c r="FYR66" s="528"/>
      <c r="FYS66" s="528"/>
      <c r="FYT66" s="528"/>
      <c r="FYU66" s="528"/>
      <c r="FYV66" s="528"/>
      <c r="FYW66" s="528"/>
      <c r="FYX66" s="528"/>
      <c r="FYY66" s="528"/>
      <c r="FYZ66" s="528"/>
      <c r="FZA66" s="528"/>
      <c r="FZB66" s="528"/>
      <c r="FZC66" s="528"/>
      <c r="FZD66" s="528"/>
      <c r="FZE66" s="528"/>
      <c r="FZF66" s="528"/>
      <c r="FZG66" s="528"/>
      <c r="FZH66" s="528"/>
      <c r="FZI66" s="528"/>
      <c r="FZJ66" s="528"/>
      <c r="FZK66" s="528"/>
      <c r="FZL66" s="528"/>
      <c r="FZM66" s="528"/>
      <c r="FZN66" s="528"/>
      <c r="FZO66" s="528"/>
      <c r="FZP66" s="528"/>
      <c r="FZQ66" s="528"/>
      <c r="FZR66" s="528"/>
      <c r="FZS66" s="528"/>
      <c r="FZT66" s="528"/>
      <c r="FZU66" s="528"/>
      <c r="FZV66" s="528"/>
      <c r="FZW66" s="528"/>
      <c r="FZX66" s="528"/>
      <c r="FZY66" s="528"/>
      <c r="FZZ66" s="528"/>
      <c r="GAA66" s="528"/>
      <c r="GAB66" s="528"/>
      <c r="GAC66" s="528"/>
      <c r="GAD66" s="528"/>
      <c r="GAE66" s="528"/>
      <c r="GAF66" s="528"/>
      <c r="GAG66" s="528"/>
      <c r="GAH66" s="528"/>
      <c r="GAI66" s="528"/>
      <c r="GAJ66" s="528"/>
      <c r="GAK66" s="528"/>
      <c r="GAL66" s="528"/>
      <c r="GAM66" s="528"/>
      <c r="GAN66" s="528"/>
      <c r="GAO66" s="528"/>
      <c r="GAP66" s="528"/>
      <c r="GAQ66" s="528"/>
      <c r="GAR66" s="528"/>
      <c r="GAS66" s="528"/>
      <c r="GAT66" s="528"/>
      <c r="GAU66" s="528"/>
      <c r="GAV66" s="528"/>
      <c r="GAW66" s="528"/>
      <c r="GAX66" s="528"/>
      <c r="GAY66" s="528"/>
      <c r="GAZ66" s="528"/>
      <c r="GBA66" s="528"/>
      <c r="GBB66" s="528"/>
      <c r="GBC66" s="528"/>
      <c r="GBD66" s="528"/>
      <c r="GBE66" s="528"/>
      <c r="GBF66" s="528"/>
      <c r="GBG66" s="528"/>
      <c r="GBH66" s="528"/>
      <c r="GBI66" s="528"/>
      <c r="GBJ66" s="528"/>
      <c r="GBK66" s="528"/>
      <c r="GBL66" s="528"/>
      <c r="GBM66" s="528"/>
      <c r="GBN66" s="528"/>
      <c r="GBO66" s="528"/>
      <c r="GBP66" s="528"/>
      <c r="GBQ66" s="528"/>
      <c r="GBR66" s="528"/>
      <c r="GBS66" s="528"/>
      <c r="GBT66" s="528"/>
      <c r="GBU66" s="528"/>
      <c r="GBV66" s="528"/>
      <c r="GBW66" s="528"/>
      <c r="GBX66" s="528"/>
      <c r="GBY66" s="528"/>
      <c r="GBZ66" s="528"/>
      <c r="GCA66" s="528"/>
      <c r="GCB66" s="528"/>
      <c r="GCC66" s="528"/>
      <c r="GCD66" s="528"/>
      <c r="GCE66" s="528"/>
      <c r="GCF66" s="528"/>
      <c r="GCG66" s="528"/>
      <c r="GCH66" s="528"/>
      <c r="GCI66" s="528"/>
      <c r="GCJ66" s="528"/>
      <c r="GCK66" s="528"/>
      <c r="GCL66" s="528"/>
      <c r="GCM66" s="528"/>
      <c r="GCN66" s="528"/>
      <c r="GCO66" s="528"/>
      <c r="GCP66" s="528"/>
      <c r="GCQ66" s="528"/>
      <c r="GCR66" s="528"/>
      <c r="GCS66" s="528"/>
      <c r="GCT66" s="528"/>
      <c r="GCU66" s="528"/>
      <c r="GCV66" s="528"/>
      <c r="GCW66" s="528"/>
      <c r="GCX66" s="528"/>
      <c r="GCY66" s="528"/>
      <c r="GCZ66" s="528"/>
      <c r="GDA66" s="528"/>
      <c r="GDB66" s="528"/>
      <c r="GDC66" s="528"/>
      <c r="GDD66" s="528"/>
      <c r="GDE66" s="528"/>
      <c r="GDF66" s="528"/>
      <c r="GDG66" s="528"/>
      <c r="GDH66" s="528"/>
      <c r="GDI66" s="528"/>
      <c r="GDJ66" s="528"/>
      <c r="GDK66" s="528"/>
      <c r="GDL66" s="528"/>
      <c r="GDM66" s="528"/>
      <c r="GDN66" s="528"/>
      <c r="GDO66" s="528"/>
      <c r="GDP66" s="528"/>
      <c r="GDQ66" s="528"/>
      <c r="GDR66" s="528"/>
      <c r="GDS66" s="528"/>
      <c r="GDT66" s="528"/>
      <c r="GDU66" s="528"/>
      <c r="GDV66" s="528"/>
      <c r="GDW66" s="528"/>
      <c r="GDX66" s="528"/>
      <c r="GDY66" s="528"/>
      <c r="GDZ66" s="528"/>
      <c r="GEA66" s="528"/>
      <c r="GEB66" s="528"/>
      <c r="GEC66" s="528"/>
      <c r="GED66" s="528"/>
      <c r="GEE66" s="528"/>
      <c r="GEF66" s="528"/>
      <c r="GEG66" s="528"/>
      <c r="GEH66" s="528"/>
      <c r="GEI66" s="528"/>
      <c r="GEJ66" s="528"/>
      <c r="GEK66" s="528"/>
      <c r="GEL66" s="528"/>
      <c r="GEM66" s="528"/>
      <c r="GEN66" s="528"/>
      <c r="GEO66" s="528"/>
      <c r="GEP66" s="528"/>
      <c r="GEQ66" s="528"/>
      <c r="GER66" s="528"/>
      <c r="GES66" s="528"/>
      <c r="GET66" s="528"/>
      <c r="GEU66" s="528"/>
      <c r="GEV66" s="528"/>
      <c r="GEW66" s="528"/>
      <c r="GEX66" s="528"/>
      <c r="GEY66" s="528"/>
      <c r="GEZ66" s="528"/>
      <c r="GFA66" s="528"/>
      <c r="GFB66" s="528"/>
      <c r="GFC66" s="528"/>
      <c r="GFD66" s="528"/>
      <c r="GFE66" s="528"/>
      <c r="GFF66" s="528"/>
      <c r="GFG66" s="528"/>
      <c r="GFH66" s="528"/>
      <c r="GFI66" s="528"/>
      <c r="GFJ66" s="528"/>
      <c r="GFK66" s="528"/>
      <c r="GFL66" s="528"/>
      <c r="GFM66" s="528"/>
      <c r="GFN66" s="528"/>
      <c r="GFO66" s="528"/>
      <c r="GFP66" s="528"/>
      <c r="GFQ66" s="528"/>
      <c r="GFR66" s="528"/>
      <c r="GFS66" s="528"/>
      <c r="GFT66" s="528"/>
      <c r="GFU66" s="528"/>
      <c r="GFV66" s="528"/>
      <c r="GFW66" s="528"/>
      <c r="GFX66" s="528"/>
      <c r="GFY66" s="528"/>
      <c r="GFZ66" s="528"/>
      <c r="GGA66" s="528"/>
      <c r="GGB66" s="528"/>
      <c r="GGC66" s="528"/>
      <c r="GGD66" s="528"/>
      <c r="GGE66" s="528"/>
      <c r="GGF66" s="528"/>
      <c r="GGG66" s="528"/>
      <c r="GGH66" s="528"/>
      <c r="GGI66" s="528"/>
      <c r="GGJ66" s="528"/>
      <c r="GGK66" s="528"/>
      <c r="GGL66" s="528"/>
      <c r="GGM66" s="528"/>
      <c r="GGN66" s="528"/>
      <c r="GGO66" s="528"/>
      <c r="GGP66" s="528"/>
      <c r="GGQ66" s="528"/>
      <c r="GGR66" s="528"/>
      <c r="GGS66" s="528"/>
      <c r="GGT66" s="528"/>
      <c r="GGU66" s="528"/>
      <c r="GGV66" s="528"/>
      <c r="GGW66" s="528"/>
      <c r="GGX66" s="528"/>
      <c r="GGY66" s="528"/>
      <c r="GGZ66" s="528"/>
      <c r="GHA66" s="528"/>
      <c r="GHB66" s="528"/>
      <c r="GHC66" s="528"/>
      <c r="GHD66" s="528"/>
      <c r="GHE66" s="528"/>
      <c r="GHF66" s="528"/>
      <c r="GHG66" s="528"/>
      <c r="GHH66" s="528"/>
      <c r="GHI66" s="528"/>
      <c r="GHJ66" s="528"/>
      <c r="GHK66" s="528"/>
      <c r="GHL66" s="528"/>
      <c r="GHM66" s="528"/>
      <c r="GHN66" s="528"/>
      <c r="GHO66" s="528"/>
      <c r="GHP66" s="528"/>
      <c r="GHQ66" s="528"/>
      <c r="GHR66" s="528"/>
      <c r="GHS66" s="528"/>
      <c r="GHT66" s="528"/>
      <c r="GHU66" s="528"/>
      <c r="GHV66" s="528"/>
      <c r="GHW66" s="528"/>
      <c r="GHX66" s="528"/>
      <c r="GHY66" s="528"/>
      <c r="GHZ66" s="528"/>
      <c r="GIA66" s="528"/>
      <c r="GIB66" s="528"/>
      <c r="GIC66" s="528"/>
      <c r="GID66" s="528"/>
      <c r="GIE66" s="528"/>
      <c r="GIF66" s="528"/>
      <c r="GIG66" s="528"/>
      <c r="GIH66" s="528"/>
      <c r="GII66" s="528"/>
      <c r="GIJ66" s="528"/>
      <c r="GIK66" s="528"/>
      <c r="GIL66" s="528"/>
      <c r="GIM66" s="528"/>
      <c r="GIN66" s="528"/>
      <c r="GIO66" s="528"/>
      <c r="GIP66" s="528"/>
      <c r="GIQ66" s="528"/>
      <c r="GIR66" s="528"/>
      <c r="GIS66" s="528"/>
      <c r="GIT66" s="528"/>
      <c r="GIU66" s="528"/>
      <c r="GIV66" s="528"/>
      <c r="GIW66" s="528"/>
      <c r="GIX66" s="528"/>
      <c r="GIY66" s="528"/>
      <c r="GIZ66" s="528"/>
      <c r="GJA66" s="528"/>
      <c r="GJB66" s="528"/>
      <c r="GJC66" s="528"/>
      <c r="GJD66" s="528"/>
      <c r="GJE66" s="528"/>
      <c r="GJF66" s="528"/>
      <c r="GJG66" s="528"/>
      <c r="GJH66" s="528"/>
      <c r="GJI66" s="528"/>
      <c r="GJJ66" s="528"/>
      <c r="GJK66" s="528"/>
      <c r="GJL66" s="528"/>
      <c r="GJM66" s="528"/>
      <c r="GJN66" s="528"/>
      <c r="GJO66" s="528"/>
      <c r="GJP66" s="528"/>
      <c r="GJQ66" s="528"/>
      <c r="GJR66" s="528"/>
      <c r="GJS66" s="528"/>
      <c r="GJT66" s="528"/>
      <c r="GJU66" s="528"/>
      <c r="GJV66" s="528"/>
      <c r="GJW66" s="528"/>
      <c r="GJX66" s="528"/>
      <c r="GJY66" s="528"/>
      <c r="GJZ66" s="528"/>
      <c r="GKA66" s="528"/>
      <c r="GKB66" s="528"/>
      <c r="GKC66" s="528"/>
      <c r="GKD66" s="528"/>
      <c r="GKE66" s="528"/>
      <c r="GKF66" s="528"/>
      <c r="GKG66" s="528"/>
      <c r="GKH66" s="528"/>
      <c r="GKI66" s="528"/>
      <c r="GKJ66" s="528"/>
      <c r="GKK66" s="528"/>
      <c r="GKL66" s="528"/>
      <c r="GKM66" s="528"/>
      <c r="GKN66" s="528"/>
      <c r="GKO66" s="528"/>
      <c r="GKP66" s="528"/>
      <c r="GKQ66" s="528"/>
      <c r="GKR66" s="528"/>
      <c r="GKS66" s="528"/>
      <c r="GKT66" s="528"/>
      <c r="GKU66" s="528"/>
      <c r="GKV66" s="528"/>
      <c r="GKW66" s="528"/>
      <c r="GKX66" s="528"/>
      <c r="GKY66" s="528"/>
      <c r="GKZ66" s="528"/>
      <c r="GLA66" s="528"/>
      <c r="GLB66" s="528"/>
      <c r="GLC66" s="528"/>
      <c r="GLD66" s="528"/>
      <c r="GLE66" s="528"/>
      <c r="GLF66" s="528"/>
      <c r="GLG66" s="528"/>
      <c r="GLH66" s="528"/>
      <c r="GLI66" s="528"/>
      <c r="GLJ66" s="528"/>
      <c r="GLK66" s="528"/>
      <c r="GLL66" s="528"/>
      <c r="GLM66" s="528"/>
      <c r="GLN66" s="528"/>
      <c r="GLO66" s="528"/>
      <c r="GLP66" s="528"/>
      <c r="GLQ66" s="528"/>
      <c r="GLR66" s="528"/>
      <c r="GLS66" s="528"/>
      <c r="GLT66" s="528"/>
      <c r="GLU66" s="528"/>
      <c r="GLV66" s="528"/>
      <c r="GLW66" s="528"/>
      <c r="GLX66" s="528"/>
      <c r="GLY66" s="528"/>
      <c r="GLZ66" s="528"/>
      <c r="GMA66" s="528"/>
      <c r="GMB66" s="528"/>
      <c r="GMC66" s="528"/>
      <c r="GMD66" s="528"/>
      <c r="GME66" s="528"/>
      <c r="GMF66" s="528"/>
      <c r="GMG66" s="528"/>
      <c r="GMH66" s="528"/>
      <c r="GMI66" s="528"/>
      <c r="GMJ66" s="528"/>
      <c r="GMK66" s="528"/>
      <c r="GML66" s="528"/>
      <c r="GMM66" s="528"/>
      <c r="GMN66" s="528"/>
      <c r="GMO66" s="528"/>
      <c r="GMP66" s="528"/>
      <c r="GMQ66" s="528"/>
      <c r="GMR66" s="528"/>
      <c r="GMS66" s="528"/>
      <c r="GMT66" s="528"/>
      <c r="GMU66" s="528"/>
      <c r="GMV66" s="528"/>
      <c r="GMW66" s="528"/>
      <c r="GMX66" s="528"/>
      <c r="GMY66" s="528"/>
      <c r="GMZ66" s="528"/>
      <c r="GNA66" s="528"/>
      <c r="GNB66" s="528"/>
      <c r="GNC66" s="528"/>
      <c r="GND66" s="528"/>
      <c r="GNE66" s="528"/>
      <c r="GNF66" s="528"/>
      <c r="GNG66" s="528"/>
      <c r="GNH66" s="528"/>
      <c r="GNI66" s="528"/>
      <c r="GNJ66" s="528"/>
      <c r="GNK66" s="528"/>
      <c r="GNL66" s="528"/>
      <c r="GNM66" s="528"/>
      <c r="GNN66" s="528"/>
      <c r="GNO66" s="528"/>
      <c r="GNP66" s="528"/>
      <c r="GNQ66" s="528"/>
      <c r="GNR66" s="528"/>
      <c r="GNS66" s="528"/>
      <c r="GNT66" s="528"/>
      <c r="GNU66" s="528"/>
      <c r="GNV66" s="528"/>
      <c r="GNW66" s="528"/>
      <c r="GNX66" s="528"/>
      <c r="GNY66" s="528"/>
      <c r="GNZ66" s="528"/>
      <c r="GOA66" s="528"/>
      <c r="GOB66" s="528"/>
      <c r="GOC66" s="528"/>
      <c r="GOD66" s="528"/>
      <c r="GOE66" s="528"/>
      <c r="GOF66" s="528"/>
      <c r="GOG66" s="528"/>
      <c r="GOH66" s="528"/>
      <c r="GOI66" s="528"/>
      <c r="GOJ66" s="528"/>
      <c r="GOK66" s="528"/>
      <c r="GOL66" s="528"/>
      <c r="GOM66" s="528"/>
      <c r="GON66" s="528"/>
      <c r="GOO66" s="528"/>
      <c r="GOP66" s="528"/>
      <c r="GOQ66" s="528"/>
      <c r="GOR66" s="528"/>
      <c r="GOS66" s="528"/>
      <c r="GOT66" s="528"/>
      <c r="GOU66" s="528"/>
      <c r="GOV66" s="528"/>
      <c r="GOW66" s="528"/>
      <c r="GOX66" s="528"/>
      <c r="GOY66" s="528"/>
      <c r="GOZ66" s="528"/>
      <c r="GPA66" s="528"/>
      <c r="GPB66" s="528"/>
      <c r="GPC66" s="528"/>
      <c r="GPD66" s="528"/>
      <c r="GPE66" s="528"/>
      <c r="GPF66" s="528"/>
      <c r="GPG66" s="528"/>
      <c r="GPH66" s="528"/>
      <c r="GPI66" s="528"/>
      <c r="GPJ66" s="528"/>
      <c r="GPK66" s="528"/>
      <c r="GPL66" s="528"/>
      <c r="GPM66" s="528"/>
      <c r="GPN66" s="528"/>
      <c r="GPO66" s="528"/>
      <c r="GPP66" s="528"/>
      <c r="GPQ66" s="528"/>
      <c r="GPR66" s="528"/>
      <c r="GPS66" s="528"/>
      <c r="GPT66" s="528"/>
      <c r="GPU66" s="528"/>
      <c r="GPV66" s="528"/>
      <c r="GPW66" s="528"/>
      <c r="GPX66" s="528"/>
      <c r="GPY66" s="528"/>
      <c r="GPZ66" s="528"/>
      <c r="GQA66" s="528"/>
      <c r="GQB66" s="528"/>
      <c r="GQC66" s="528"/>
      <c r="GQD66" s="528"/>
      <c r="GQE66" s="528"/>
      <c r="GQF66" s="528"/>
      <c r="GQG66" s="528"/>
      <c r="GQH66" s="528"/>
      <c r="GQI66" s="528"/>
      <c r="GQJ66" s="528"/>
      <c r="GQK66" s="528"/>
      <c r="GQL66" s="528"/>
      <c r="GQM66" s="528"/>
      <c r="GQN66" s="528"/>
      <c r="GQO66" s="528"/>
      <c r="GQP66" s="528"/>
      <c r="GQQ66" s="528"/>
      <c r="GQR66" s="528"/>
      <c r="GQS66" s="528"/>
      <c r="GQT66" s="528"/>
      <c r="GQU66" s="528"/>
      <c r="GQV66" s="528"/>
      <c r="GQW66" s="528"/>
      <c r="GQX66" s="528"/>
      <c r="GQY66" s="528"/>
      <c r="GQZ66" s="528"/>
      <c r="GRA66" s="528"/>
      <c r="GRB66" s="528"/>
      <c r="GRC66" s="528"/>
      <c r="GRD66" s="528"/>
      <c r="GRE66" s="528"/>
      <c r="GRF66" s="528"/>
      <c r="GRG66" s="528"/>
      <c r="GRH66" s="528"/>
      <c r="GRI66" s="528"/>
      <c r="GRJ66" s="528"/>
      <c r="GRK66" s="528"/>
      <c r="GRL66" s="528"/>
      <c r="GRM66" s="528"/>
      <c r="GRN66" s="528"/>
      <c r="GRO66" s="528"/>
      <c r="GRP66" s="528"/>
      <c r="GRQ66" s="528"/>
      <c r="GRR66" s="528"/>
      <c r="GRS66" s="528"/>
      <c r="GRT66" s="528"/>
      <c r="GRU66" s="528"/>
      <c r="GRV66" s="528"/>
      <c r="GRW66" s="528"/>
      <c r="GRX66" s="528"/>
      <c r="GRY66" s="528"/>
      <c r="GRZ66" s="528"/>
      <c r="GSA66" s="528"/>
      <c r="GSB66" s="528"/>
      <c r="GSC66" s="528"/>
      <c r="GSD66" s="528"/>
      <c r="GSE66" s="528"/>
      <c r="GSF66" s="528"/>
      <c r="GSG66" s="528"/>
      <c r="GSH66" s="528"/>
      <c r="GSI66" s="528"/>
      <c r="GSJ66" s="528"/>
      <c r="GSK66" s="528"/>
      <c r="GSL66" s="528"/>
      <c r="GSM66" s="528"/>
      <c r="GSN66" s="528"/>
      <c r="GSO66" s="528"/>
      <c r="GSP66" s="528"/>
      <c r="GSQ66" s="528"/>
      <c r="GSR66" s="528"/>
      <c r="GSS66" s="528"/>
      <c r="GST66" s="528"/>
      <c r="GSU66" s="528"/>
      <c r="GSV66" s="528"/>
      <c r="GSW66" s="528"/>
      <c r="GSX66" s="528"/>
      <c r="GSY66" s="528"/>
      <c r="GSZ66" s="528"/>
      <c r="GTA66" s="528"/>
      <c r="GTB66" s="528"/>
      <c r="GTC66" s="528"/>
      <c r="GTD66" s="528"/>
      <c r="GTE66" s="528"/>
      <c r="GTF66" s="528"/>
      <c r="GTG66" s="528"/>
      <c r="GTH66" s="528"/>
      <c r="GTI66" s="528"/>
      <c r="GTJ66" s="528"/>
      <c r="GTK66" s="528"/>
      <c r="GTL66" s="528"/>
      <c r="GTM66" s="528"/>
      <c r="GTN66" s="528"/>
      <c r="GTO66" s="528"/>
      <c r="GTP66" s="528"/>
      <c r="GTQ66" s="528"/>
      <c r="GTR66" s="528"/>
      <c r="GTS66" s="528"/>
      <c r="GTT66" s="528"/>
      <c r="GTU66" s="528"/>
      <c r="GTV66" s="528"/>
      <c r="GTW66" s="528"/>
      <c r="GTX66" s="528"/>
      <c r="GTY66" s="528"/>
      <c r="GTZ66" s="528"/>
      <c r="GUA66" s="528"/>
      <c r="GUB66" s="528"/>
      <c r="GUC66" s="528"/>
      <c r="GUD66" s="528"/>
      <c r="GUE66" s="528"/>
      <c r="GUF66" s="528"/>
      <c r="GUG66" s="528"/>
      <c r="GUH66" s="528"/>
      <c r="GUI66" s="528"/>
      <c r="GUJ66" s="528"/>
      <c r="GUK66" s="528"/>
      <c r="GUL66" s="528"/>
      <c r="GUM66" s="528"/>
      <c r="GUN66" s="528"/>
      <c r="GUO66" s="528"/>
      <c r="GUP66" s="528"/>
      <c r="GUQ66" s="528"/>
      <c r="GUR66" s="528"/>
      <c r="GUS66" s="528"/>
      <c r="GUT66" s="528"/>
      <c r="GUU66" s="528"/>
      <c r="GUV66" s="528"/>
      <c r="GUW66" s="528"/>
      <c r="GUX66" s="528"/>
      <c r="GUY66" s="528"/>
      <c r="GUZ66" s="528"/>
      <c r="GVA66" s="528"/>
      <c r="GVB66" s="528"/>
      <c r="GVC66" s="528"/>
      <c r="GVD66" s="528"/>
      <c r="GVE66" s="528"/>
      <c r="GVF66" s="528"/>
      <c r="GVG66" s="528"/>
      <c r="GVH66" s="528"/>
      <c r="GVI66" s="528"/>
      <c r="GVJ66" s="528"/>
      <c r="GVK66" s="528"/>
      <c r="GVL66" s="528"/>
      <c r="GVM66" s="528"/>
      <c r="GVN66" s="528"/>
      <c r="GVO66" s="528"/>
      <c r="GVP66" s="528"/>
      <c r="GVQ66" s="528"/>
      <c r="GVR66" s="528"/>
      <c r="GVS66" s="528"/>
      <c r="GVT66" s="528"/>
      <c r="GVU66" s="528"/>
      <c r="GVV66" s="528"/>
      <c r="GVW66" s="528"/>
      <c r="GVX66" s="528"/>
      <c r="GVY66" s="528"/>
      <c r="GVZ66" s="528"/>
      <c r="GWA66" s="528"/>
      <c r="GWB66" s="528"/>
      <c r="GWC66" s="528"/>
      <c r="GWD66" s="528"/>
      <c r="GWE66" s="528"/>
      <c r="GWF66" s="528"/>
      <c r="GWG66" s="528"/>
      <c r="GWH66" s="528"/>
      <c r="GWI66" s="528"/>
      <c r="GWJ66" s="528"/>
      <c r="GWK66" s="528"/>
      <c r="GWL66" s="528"/>
      <c r="GWM66" s="528"/>
      <c r="GWN66" s="528"/>
      <c r="GWO66" s="528"/>
      <c r="GWP66" s="528"/>
      <c r="GWQ66" s="528"/>
      <c r="GWR66" s="528"/>
      <c r="GWS66" s="528"/>
      <c r="GWT66" s="528"/>
      <c r="GWU66" s="528"/>
      <c r="GWV66" s="528"/>
      <c r="GWW66" s="528"/>
      <c r="GWX66" s="528"/>
      <c r="GWY66" s="528"/>
      <c r="GWZ66" s="528"/>
      <c r="GXA66" s="528"/>
      <c r="GXB66" s="528"/>
      <c r="GXC66" s="528"/>
      <c r="GXD66" s="528"/>
      <c r="GXE66" s="528"/>
      <c r="GXF66" s="528"/>
      <c r="GXG66" s="528"/>
      <c r="GXH66" s="528"/>
      <c r="GXI66" s="528"/>
      <c r="GXJ66" s="528"/>
      <c r="GXK66" s="528"/>
      <c r="GXL66" s="528"/>
      <c r="GXM66" s="528"/>
      <c r="GXN66" s="528"/>
      <c r="GXO66" s="528"/>
      <c r="GXP66" s="528"/>
      <c r="GXQ66" s="528"/>
      <c r="GXR66" s="528"/>
      <c r="GXS66" s="528"/>
      <c r="GXT66" s="528"/>
      <c r="GXU66" s="528"/>
      <c r="GXV66" s="528"/>
      <c r="GXW66" s="528"/>
      <c r="GXX66" s="528"/>
      <c r="GXY66" s="528"/>
      <c r="GXZ66" s="528"/>
      <c r="GYA66" s="528"/>
      <c r="GYB66" s="528"/>
      <c r="GYC66" s="528"/>
      <c r="GYD66" s="528"/>
      <c r="GYE66" s="528"/>
      <c r="GYF66" s="528"/>
      <c r="GYG66" s="528"/>
      <c r="GYH66" s="528"/>
      <c r="GYI66" s="528"/>
      <c r="GYJ66" s="528"/>
      <c r="GYK66" s="528"/>
      <c r="GYL66" s="528"/>
      <c r="GYM66" s="528"/>
      <c r="GYN66" s="528"/>
      <c r="GYO66" s="528"/>
      <c r="GYP66" s="528"/>
      <c r="GYQ66" s="528"/>
      <c r="GYR66" s="528"/>
      <c r="GYS66" s="528"/>
      <c r="GYT66" s="528"/>
      <c r="GYU66" s="528"/>
      <c r="GYV66" s="528"/>
      <c r="GYW66" s="528"/>
      <c r="GYX66" s="528"/>
      <c r="GYY66" s="528"/>
      <c r="GYZ66" s="528"/>
      <c r="GZA66" s="528"/>
      <c r="GZB66" s="528"/>
      <c r="GZC66" s="528"/>
      <c r="GZD66" s="528"/>
      <c r="GZE66" s="528"/>
      <c r="GZF66" s="528"/>
      <c r="GZG66" s="528"/>
      <c r="GZH66" s="528"/>
      <c r="GZI66" s="528"/>
      <c r="GZJ66" s="528"/>
      <c r="GZK66" s="528"/>
      <c r="GZL66" s="528"/>
      <c r="GZM66" s="528"/>
      <c r="GZN66" s="528"/>
      <c r="GZO66" s="528"/>
      <c r="GZP66" s="528"/>
      <c r="GZQ66" s="528"/>
      <c r="GZR66" s="528"/>
      <c r="GZS66" s="528"/>
      <c r="GZT66" s="528"/>
      <c r="GZU66" s="528"/>
      <c r="GZV66" s="528"/>
      <c r="GZW66" s="528"/>
      <c r="GZX66" s="528"/>
      <c r="GZY66" s="528"/>
      <c r="GZZ66" s="528"/>
      <c r="HAA66" s="528"/>
      <c r="HAB66" s="528"/>
      <c r="HAC66" s="528"/>
      <c r="HAD66" s="528"/>
      <c r="HAE66" s="528"/>
      <c r="HAF66" s="528"/>
      <c r="HAG66" s="528"/>
      <c r="HAH66" s="528"/>
      <c r="HAI66" s="528"/>
      <c r="HAJ66" s="528"/>
      <c r="HAK66" s="528"/>
      <c r="HAL66" s="528"/>
      <c r="HAM66" s="528"/>
      <c r="HAN66" s="528"/>
      <c r="HAO66" s="528"/>
      <c r="HAP66" s="528"/>
      <c r="HAQ66" s="528"/>
      <c r="HAR66" s="528"/>
      <c r="HAS66" s="528"/>
      <c r="HAT66" s="528"/>
      <c r="HAU66" s="528"/>
      <c r="HAV66" s="528"/>
      <c r="HAW66" s="528"/>
      <c r="HAX66" s="528"/>
      <c r="HAY66" s="528"/>
      <c r="HAZ66" s="528"/>
      <c r="HBA66" s="528"/>
      <c r="HBB66" s="528"/>
      <c r="HBC66" s="528"/>
      <c r="HBD66" s="528"/>
      <c r="HBE66" s="528"/>
      <c r="HBF66" s="528"/>
      <c r="HBG66" s="528"/>
      <c r="HBH66" s="528"/>
      <c r="HBI66" s="528"/>
      <c r="HBJ66" s="528"/>
      <c r="HBK66" s="528"/>
      <c r="HBL66" s="528"/>
      <c r="HBM66" s="528"/>
      <c r="HBN66" s="528"/>
      <c r="HBO66" s="528"/>
      <c r="HBP66" s="528"/>
      <c r="HBQ66" s="528"/>
      <c r="HBR66" s="528"/>
      <c r="HBS66" s="528"/>
      <c r="HBT66" s="528"/>
      <c r="HBU66" s="528"/>
      <c r="HBV66" s="528"/>
      <c r="HBW66" s="528"/>
      <c r="HBX66" s="528"/>
      <c r="HBY66" s="528"/>
      <c r="HBZ66" s="528"/>
      <c r="HCA66" s="528"/>
      <c r="HCB66" s="528"/>
      <c r="HCC66" s="528"/>
      <c r="HCD66" s="528"/>
      <c r="HCE66" s="528"/>
      <c r="HCF66" s="528"/>
      <c r="HCG66" s="528"/>
      <c r="HCH66" s="528"/>
      <c r="HCI66" s="528"/>
      <c r="HCJ66" s="528"/>
      <c r="HCK66" s="528"/>
      <c r="HCL66" s="528"/>
      <c r="HCM66" s="528"/>
      <c r="HCN66" s="528"/>
      <c r="HCO66" s="528"/>
      <c r="HCP66" s="528"/>
      <c r="HCQ66" s="528"/>
      <c r="HCR66" s="528"/>
      <c r="HCS66" s="528"/>
      <c r="HCT66" s="528"/>
      <c r="HCU66" s="528"/>
      <c r="HCV66" s="528"/>
      <c r="HCW66" s="528"/>
      <c r="HCX66" s="528"/>
      <c r="HCY66" s="528"/>
      <c r="HCZ66" s="528"/>
      <c r="HDA66" s="528"/>
      <c r="HDB66" s="528"/>
      <c r="HDC66" s="528"/>
      <c r="HDD66" s="528"/>
      <c r="HDE66" s="528"/>
      <c r="HDF66" s="528"/>
      <c r="HDG66" s="528"/>
      <c r="HDH66" s="528"/>
      <c r="HDI66" s="528"/>
      <c r="HDJ66" s="528"/>
      <c r="HDK66" s="528"/>
      <c r="HDL66" s="528"/>
      <c r="HDM66" s="528"/>
      <c r="HDN66" s="528"/>
      <c r="HDO66" s="528"/>
      <c r="HDP66" s="528"/>
      <c r="HDQ66" s="528"/>
      <c r="HDR66" s="528"/>
      <c r="HDS66" s="528"/>
      <c r="HDT66" s="528"/>
      <c r="HDU66" s="528"/>
      <c r="HDV66" s="528"/>
      <c r="HDW66" s="528"/>
      <c r="HDX66" s="528"/>
      <c r="HDY66" s="528"/>
      <c r="HDZ66" s="528"/>
      <c r="HEA66" s="528"/>
      <c r="HEB66" s="528"/>
      <c r="HEC66" s="528"/>
      <c r="HED66" s="528"/>
      <c r="HEE66" s="528"/>
      <c r="HEF66" s="528"/>
      <c r="HEG66" s="528"/>
      <c r="HEH66" s="528"/>
      <c r="HEI66" s="528"/>
      <c r="HEJ66" s="528"/>
      <c r="HEK66" s="528"/>
      <c r="HEL66" s="528"/>
      <c r="HEM66" s="528"/>
      <c r="HEN66" s="528"/>
      <c r="HEO66" s="528"/>
      <c r="HEP66" s="528"/>
      <c r="HEQ66" s="528"/>
      <c r="HER66" s="528"/>
      <c r="HES66" s="528"/>
      <c r="HET66" s="528"/>
      <c r="HEU66" s="528"/>
      <c r="HEV66" s="528"/>
      <c r="HEW66" s="528"/>
      <c r="HEX66" s="528"/>
      <c r="HEY66" s="528"/>
      <c r="HEZ66" s="528"/>
      <c r="HFA66" s="528"/>
      <c r="HFB66" s="528"/>
      <c r="HFC66" s="528"/>
      <c r="HFD66" s="528"/>
      <c r="HFE66" s="528"/>
      <c r="HFF66" s="528"/>
      <c r="HFG66" s="528"/>
      <c r="HFH66" s="528"/>
      <c r="HFI66" s="528"/>
      <c r="HFJ66" s="528"/>
      <c r="HFK66" s="528"/>
      <c r="HFL66" s="528"/>
      <c r="HFM66" s="528"/>
      <c r="HFN66" s="528"/>
      <c r="HFO66" s="528"/>
      <c r="HFP66" s="528"/>
      <c r="HFQ66" s="528"/>
      <c r="HFR66" s="528"/>
      <c r="HFS66" s="528"/>
      <c r="HFT66" s="528"/>
      <c r="HFU66" s="528"/>
      <c r="HFV66" s="528"/>
      <c r="HFW66" s="528"/>
      <c r="HFX66" s="528"/>
      <c r="HFY66" s="528"/>
      <c r="HFZ66" s="528"/>
      <c r="HGA66" s="528"/>
      <c r="HGB66" s="528"/>
      <c r="HGC66" s="528"/>
      <c r="HGD66" s="528"/>
      <c r="HGE66" s="528"/>
      <c r="HGF66" s="528"/>
      <c r="HGG66" s="528"/>
      <c r="HGH66" s="528"/>
      <c r="HGI66" s="528"/>
      <c r="HGJ66" s="528"/>
      <c r="HGK66" s="528"/>
      <c r="HGL66" s="528"/>
      <c r="HGM66" s="528"/>
      <c r="HGN66" s="528"/>
      <c r="HGO66" s="528"/>
      <c r="HGP66" s="528"/>
      <c r="HGQ66" s="528"/>
      <c r="HGR66" s="528"/>
      <c r="HGS66" s="528"/>
      <c r="HGT66" s="528"/>
      <c r="HGU66" s="528"/>
      <c r="HGV66" s="528"/>
      <c r="HGW66" s="528"/>
      <c r="HGX66" s="528"/>
      <c r="HGY66" s="528"/>
      <c r="HGZ66" s="528"/>
      <c r="HHA66" s="528"/>
      <c r="HHB66" s="528"/>
      <c r="HHC66" s="528"/>
      <c r="HHD66" s="528"/>
      <c r="HHE66" s="528"/>
      <c r="HHF66" s="528"/>
      <c r="HHG66" s="528"/>
      <c r="HHH66" s="528"/>
      <c r="HHI66" s="528"/>
      <c r="HHJ66" s="528"/>
      <c r="HHK66" s="528"/>
      <c r="HHL66" s="528"/>
      <c r="HHM66" s="528"/>
      <c r="HHN66" s="528"/>
      <c r="HHO66" s="528"/>
      <c r="HHP66" s="528"/>
      <c r="HHQ66" s="528"/>
      <c r="HHR66" s="528"/>
      <c r="HHS66" s="528"/>
      <c r="HHT66" s="528"/>
      <c r="HHU66" s="528"/>
      <c r="HHV66" s="528"/>
      <c r="HHW66" s="528"/>
      <c r="HHX66" s="528"/>
      <c r="HHY66" s="528"/>
      <c r="HHZ66" s="528"/>
      <c r="HIA66" s="528"/>
      <c r="HIB66" s="528"/>
      <c r="HIC66" s="528"/>
      <c r="HID66" s="528"/>
      <c r="HIE66" s="528"/>
      <c r="HIF66" s="528"/>
      <c r="HIG66" s="528"/>
      <c r="HIH66" s="528"/>
      <c r="HII66" s="528"/>
      <c r="HIJ66" s="528"/>
      <c r="HIK66" s="528"/>
      <c r="HIL66" s="528"/>
      <c r="HIM66" s="528"/>
      <c r="HIN66" s="528"/>
      <c r="HIO66" s="528"/>
      <c r="HIP66" s="528"/>
      <c r="HIQ66" s="528"/>
      <c r="HIR66" s="528"/>
      <c r="HIS66" s="528"/>
      <c r="HIT66" s="528"/>
      <c r="HIU66" s="528"/>
      <c r="HIV66" s="528"/>
      <c r="HIW66" s="528"/>
      <c r="HIX66" s="528"/>
      <c r="HIY66" s="528"/>
      <c r="HIZ66" s="528"/>
      <c r="HJA66" s="528"/>
      <c r="HJB66" s="528"/>
      <c r="HJC66" s="528"/>
      <c r="HJD66" s="528"/>
      <c r="HJE66" s="528"/>
      <c r="HJF66" s="528"/>
      <c r="HJG66" s="528"/>
      <c r="HJH66" s="528"/>
      <c r="HJI66" s="528"/>
      <c r="HJJ66" s="528"/>
      <c r="HJK66" s="528"/>
      <c r="HJL66" s="528"/>
      <c r="HJM66" s="528"/>
      <c r="HJN66" s="528"/>
      <c r="HJO66" s="528"/>
      <c r="HJP66" s="528"/>
      <c r="HJQ66" s="528"/>
      <c r="HJR66" s="528"/>
      <c r="HJS66" s="528"/>
      <c r="HJT66" s="528"/>
      <c r="HJU66" s="528"/>
      <c r="HJV66" s="528"/>
      <c r="HJW66" s="528"/>
      <c r="HJX66" s="528"/>
      <c r="HJY66" s="528"/>
      <c r="HJZ66" s="528"/>
      <c r="HKA66" s="528"/>
      <c r="HKB66" s="528"/>
      <c r="HKC66" s="528"/>
      <c r="HKD66" s="528"/>
      <c r="HKE66" s="528"/>
      <c r="HKF66" s="528"/>
      <c r="HKG66" s="528"/>
      <c r="HKH66" s="528"/>
      <c r="HKI66" s="528"/>
      <c r="HKJ66" s="528"/>
      <c r="HKK66" s="528"/>
      <c r="HKL66" s="528"/>
      <c r="HKM66" s="528"/>
      <c r="HKN66" s="528"/>
      <c r="HKO66" s="528"/>
      <c r="HKP66" s="528"/>
      <c r="HKQ66" s="528"/>
      <c r="HKR66" s="528"/>
      <c r="HKS66" s="528"/>
      <c r="HKT66" s="528"/>
      <c r="HKU66" s="528"/>
      <c r="HKV66" s="528"/>
      <c r="HKW66" s="528"/>
      <c r="HKX66" s="528"/>
      <c r="HKY66" s="528"/>
      <c r="HKZ66" s="528"/>
      <c r="HLA66" s="528"/>
      <c r="HLB66" s="528"/>
      <c r="HLC66" s="528"/>
      <c r="HLD66" s="528"/>
      <c r="HLE66" s="528"/>
      <c r="HLF66" s="528"/>
      <c r="HLG66" s="528"/>
      <c r="HLH66" s="528"/>
      <c r="HLI66" s="528"/>
      <c r="HLJ66" s="528"/>
      <c r="HLK66" s="528"/>
      <c r="HLL66" s="528"/>
      <c r="HLM66" s="528"/>
      <c r="HLN66" s="528"/>
      <c r="HLO66" s="528"/>
      <c r="HLP66" s="528"/>
      <c r="HLQ66" s="528"/>
      <c r="HLR66" s="528"/>
      <c r="HLS66" s="528"/>
      <c r="HLT66" s="528"/>
      <c r="HLU66" s="528"/>
      <c r="HLV66" s="528"/>
      <c r="HLW66" s="528"/>
      <c r="HLX66" s="528"/>
      <c r="HLY66" s="528"/>
      <c r="HLZ66" s="528"/>
      <c r="HMA66" s="528"/>
      <c r="HMB66" s="528"/>
      <c r="HMC66" s="528"/>
      <c r="HMD66" s="528"/>
      <c r="HME66" s="528"/>
      <c r="HMF66" s="528"/>
      <c r="HMG66" s="528"/>
      <c r="HMH66" s="528"/>
      <c r="HMI66" s="528"/>
      <c r="HMJ66" s="528"/>
      <c r="HMK66" s="528"/>
      <c r="HML66" s="528"/>
      <c r="HMM66" s="528"/>
      <c r="HMN66" s="528"/>
      <c r="HMO66" s="528"/>
      <c r="HMP66" s="528"/>
      <c r="HMQ66" s="528"/>
      <c r="HMR66" s="528"/>
      <c r="HMS66" s="528"/>
      <c r="HMT66" s="528"/>
      <c r="HMU66" s="528"/>
      <c r="HMV66" s="528"/>
      <c r="HMW66" s="528"/>
      <c r="HMX66" s="528"/>
      <c r="HMY66" s="528"/>
      <c r="HMZ66" s="528"/>
      <c r="HNA66" s="528"/>
      <c r="HNB66" s="528"/>
      <c r="HNC66" s="528"/>
      <c r="HND66" s="528"/>
      <c r="HNE66" s="528"/>
      <c r="HNF66" s="528"/>
      <c r="HNG66" s="528"/>
      <c r="HNH66" s="528"/>
      <c r="HNI66" s="528"/>
      <c r="HNJ66" s="528"/>
      <c r="HNK66" s="528"/>
      <c r="HNL66" s="528"/>
      <c r="HNM66" s="528"/>
      <c r="HNN66" s="528"/>
      <c r="HNO66" s="528"/>
      <c r="HNP66" s="528"/>
      <c r="HNQ66" s="528"/>
      <c r="HNR66" s="528"/>
      <c r="HNS66" s="528"/>
      <c r="HNT66" s="528"/>
      <c r="HNU66" s="528"/>
      <c r="HNV66" s="528"/>
      <c r="HNW66" s="528"/>
      <c r="HNX66" s="528"/>
      <c r="HNY66" s="528"/>
      <c r="HNZ66" s="528"/>
      <c r="HOA66" s="528"/>
      <c r="HOB66" s="528"/>
      <c r="HOC66" s="528"/>
      <c r="HOD66" s="528"/>
      <c r="HOE66" s="528"/>
      <c r="HOF66" s="528"/>
      <c r="HOG66" s="528"/>
      <c r="HOH66" s="528"/>
      <c r="HOI66" s="528"/>
      <c r="HOJ66" s="528"/>
      <c r="HOK66" s="528"/>
      <c r="HOL66" s="528"/>
      <c r="HOM66" s="528"/>
      <c r="HON66" s="528"/>
      <c r="HOO66" s="528"/>
      <c r="HOP66" s="528"/>
      <c r="HOQ66" s="528"/>
      <c r="HOR66" s="528"/>
      <c r="HOS66" s="528"/>
      <c r="HOT66" s="528"/>
      <c r="HOU66" s="528"/>
      <c r="HOV66" s="528"/>
      <c r="HOW66" s="528"/>
      <c r="HOX66" s="528"/>
      <c r="HOY66" s="528"/>
      <c r="HOZ66" s="528"/>
      <c r="HPA66" s="528"/>
      <c r="HPB66" s="528"/>
      <c r="HPC66" s="528"/>
      <c r="HPD66" s="528"/>
      <c r="HPE66" s="528"/>
      <c r="HPF66" s="528"/>
      <c r="HPG66" s="528"/>
      <c r="HPH66" s="528"/>
      <c r="HPI66" s="528"/>
      <c r="HPJ66" s="528"/>
      <c r="HPK66" s="528"/>
      <c r="HPL66" s="528"/>
      <c r="HPM66" s="528"/>
      <c r="HPN66" s="528"/>
      <c r="HPO66" s="528"/>
      <c r="HPP66" s="528"/>
      <c r="HPQ66" s="528"/>
      <c r="HPR66" s="528"/>
      <c r="HPS66" s="528"/>
      <c r="HPT66" s="528"/>
      <c r="HPU66" s="528"/>
      <c r="HPV66" s="528"/>
      <c r="HPW66" s="528"/>
      <c r="HPX66" s="528"/>
      <c r="HPY66" s="528"/>
      <c r="HPZ66" s="528"/>
      <c r="HQA66" s="528"/>
      <c r="HQB66" s="528"/>
      <c r="HQC66" s="528"/>
      <c r="HQD66" s="528"/>
      <c r="HQE66" s="528"/>
      <c r="HQF66" s="528"/>
      <c r="HQG66" s="528"/>
      <c r="HQH66" s="528"/>
      <c r="HQI66" s="528"/>
      <c r="HQJ66" s="528"/>
      <c r="HQK66" s="528"/>
      <c r="HQL66" s="528"/>
      <c r="HQM66" s="528"/>
      <c r="HQN66" s="528"/>
      <c r="HQO66" s="528"/>
      <c r="HQP66" s="528"/>
      <c r="HQQ66" s="528"/>
      <c r="HQR66" s="528"/>
      <c r="HQS66" s="528"/>
      <c r="HQT66" s="528"/>
      <c r="HQU66" s="528"/>
      <c r="HQV66" s="528"/>
      <c r="HQW66" s="528"/>
      <c r="HQX66" s="528"/>
      <c r="HQY66" s="528"/>
      <c r="HQZ66" s="528"/>
      <c r="HRA66" s="528"/>
      <c r="HRB66" s="528"/>
      <c r="HRC66" s="528"/>
      <c r="HRD66" s="528"/>
      <c r="HRE66" s="528"/>
      <c r="HRF66" s="528"/>
      <c r="HRG66" s="528"/>
      <c r="HRH66" s="528"/>
      <c r="HRI66" s="528"/>
      <c r="HRJ66" s="528"/>
      <c r="HRK66" s="528"/>
      <c r="HRL66" s="528"/>
      <c r="HRM66" s="528"/>
      <c r="HRN66" s="528"/>
      <c r="HRO66" s="528"/>
      <c r="HRP66" s="528"/>
      <c r="HRQ66" s="528"/>
      <c r="HRR66" s="528"/>
      <c r="HRS66" s="528"/>
      <c r="HRT66" s="528"/>
      <c r="HRU66" s="528"/>
      <c r="HRV66" s="528"/>
      <c r="HRW66" s="528"/>
      <c r="HRX66" s="528"/>
      <c r="HRY66" s="528"/>
      <c r="HRZ66" s="528"/>
      <c r="HSA66" s="528"/>
      <c r="HSB66" s="528"/>
      <c r="HSC66" s="528"/>
      <c r="HSD66" s="528"/>
      <c r="HSE66" s="528"/>
      <c r="HSF66" s="528"/>
      <c r="HSG66" s="528"/>
      <c r="HSH66" s="528"/>
      <c r="HSI66" s="528"/>
      <c r="HSJ66" s="528"/>
      <c r="HSK66" s="528"/>
      <c r="HSL66" s="528"/>
      <c r="HSM66" s="528"/>
      <c r="HSN66" s="528"/>
      <c r="HSO66" s="528"/>
      <c r="HSP66" s="528"/>
      <c r="HSQ66" s="528"/>
      <c r="HSR66" s="528"/>
      <c r="HSS66" s="528"/>
      <c r="HST66" s="528"/>
      <c r="HSU66" s="528"/>
      <c r="HSV66" s="528"/>
      <c r="HSW66" s="528"/>
      <c r="HSX66" s="528"/>
      <c r="HSY66" s="528"/>
      <c r="HSZ66" s="528"/>
      <c r="HTA66" s="528"/>
      <c r="HTB66" s="528"/>
      <c r="HTC66" s="528"/>
      <c r="HTD66" s="528"/>
      <c r="HTE66" s="528"/>
      <c r="HTF66" s="528"/>
      <c r="HTG66" s="528"/>
      <c r="HTH66" s="528"/>
      <c r="HTI66" s="528"/>
      <c r="HTJ66" s="528"/>
      <c r="HTK66" s="528"/>
      <c r="HTL66" s="528"/>
      <c r="HTM66" s="528"/>
      <c r="HTN66" s="528"/>
      <c r="HTO66" s="528"/>
      <c r="HTP66" s="528"/>
      <c r="HTQ66" s="528"/>
      <c r="HTR66" s="528"/>
      <c r="HTS66" s="528"/>
      <c r="HTT66" s="528"/>
      <c r="HTU66" s="528"/>
      <c r="HTV66" s="528"/>
      <c r="HTW66" s="528"/>
      <c r="HTX66" s="528"/>
      <c r="HTY66" s="528"/>
      <c r="HTZ66" s="528"/>
      <c r="HUA66" s="528"/>
      <c r="HUB66" s="528"/>
      <c r="HUC66" s="528"/>
      <c r="HUD66" s="528"/>
      <c r="HUE66" s="528"/>
      <c r="HUF66" s="528"/>
      <c r="HUG66" s="528"/>
      <c r="HUH66" s="528"/>
      <c r="HUI66" s="528"/>
      <c r="HUJ66" s="528"/>
      <c r="HUK66" s="528"/>
      <c r="HUL66" s="528"/>
      <c r="HUM66" s="528"/>
      <c r="HUN66" s="528"/>
      <c r="HUO66" s="528"/>
      <c r="HUP66" s="528"/>
      <c r="HUQ66" s="528"/>
      <c r="HUR66" s="528"/>
      <c r="HUS66" s="528"/>
      <c r="HUT66" s="528"/>
      <c r="HUU66" s="528"/>
      <c r="HUV66" s="528"/>
      <c r="HUW66" s="528"/>
      <c r="HUX66" s="528"/>
      <c r="HUY66" s="528"/>
      <c r="HUZ66" s="528"/>
      <c r="HVA66" s="528"/>
      <c r="HVB66" s="528"/>
      <c r="HVC66" s="528"/>
      <c r="HVD66" s="528"/>
      <c r="HVE66" s="528"/>
      <c r="HVF66" s="528"/>
      <c r="HVG66" s="528"/>
      <c r="HVH66" s="528"/>
      <c r="HVI66" s="528"/>
      <c r="HVJ66" s="528"/>
      <c r="HVK66" s="528"/>
      <c r="HVL66" s="528"/>
      <c r="HVM66" s="528"/>
      <c r="HVN66" s="528"/>
      <c r="HVO66" s="528"/>
      <c r="HVP66" s="528"/>
      <c r="HVQ66" s="528"/>
      <c r="HVR66" s="528"/>
      <c r="HVS66" s="528"/>
      <c r="HVT66" s="528"/>
      <c r="HVU66" s="528"/>
      <c r="HVV66" s="528"/>
      <c r="HVW66" s="528"/>
      <c r="HVX66" s="528"/>
      <c r="HVY66" s="528"/>
      <c r="HVZ66" s="528"/>
      <c r="HWA66" s="528"/>
      <c r="HWB66" s="528"/>
      <c r="HWC66" s="528"/>
      <c r="HWD66" s="528"/>
      <c r="HWE66" s="528"/>
      <c r="HWF66" s="528"/>
      <c r="HWG66" s="528"/>
      <c r="HWH66" s="528"/>
      <c r="HWI66" s="528"/>
      <c r="HWJ66" s="528"/>
      <c r="HWK66" s="528"/>
      <c r="HWL66" s="528"/>
      <c r="HWM66" s="528"/>
      <c r="HWN66" s="528"/>
      <c r="HWO66" s="528"/>
      <c r="HWP66" s="528"/>
      <c r="HWQ66" s="528"/>
      <c r="HWR66" s="528"/>
      <c r="HWS66" s="528"/>
      <c r="HWT66" s="528"/>
      <c r="HWU66" s="528"/>
      <c r="HWV66" s="528"/>
      <c r="HWW66" s="528"/>
      <c r="HWX66" s="528"/>
      <c r="HWY66" s="528"/>
      <c r="HWZ66" s="528"/>
      <c r="HXA66" s="528"/>
      <c r="HXB66" s="528"/>
      <c r="HXC66" s="528"/>
      <c r="HXD66" s="528"/>
      <c r="HXE66" s="528"/>
      <c r="HXF66" s="528"/>
      <c r="HXG66" s="528"/>
      <c r="HXH66" s="528"/>
      <c r="HXI66" s="528"/>
      <c r="HXJ66" s="528"/>
      <c r="HXK66" s="528"/>
      <c r="HXL66" s="528"/>
      <c r="HXM66" s="528"/>
      <c r="HXN66" s="528"/>
      <c r="HXO66" s="528"/>
      <c r="HXP66" s="528"/>
      <c r="HXQ66" s="528"/>
      <c r="HXR66" s="528"/>
      <c r="HXS66" s="528"/>
      <c r="HXT66" s="528"/>
      <c r="HXU66" s="528"/>
      <c r="HXV66" s="528"/>
      <c r="HXW66" s="528"/>
      <c r="HXX66" s="528"/>
      <c r="HXY66" s="528"/>
      <c r="HXZ66" s="528"/>
      <c r="HYA66" s="528"/>
      <c r="HYB66" s="528"/>
      <c r="HYC66" s="528"/>
      <c r="HYD66" s="528"/>
      <c r="HYE66" s="528"/>
      <c r="HYF66" s="528"/>
      <c r="HYG66" s="528"/>
      <c r="HYH66" s="528"/>
      <c r="HYI66" s="528"/>
      <c r="HYJ66" s="528"/>
      <c r="HYK66" s="528"/>
      <c r="HYL66" s="528"/>
      <c r="HYM66" s="528"/>
      <c r="HYN66" s="528"/>
      <c r="HYO66" s="528"/>
      <c r="HYP66" s="528"/>
      <c r="HYQ66" s="528"/>
      <c r="HYR66" s="528"/>
      <c r="HYS66" s="528"/>
      <c r="HYT66" s="528"/>
      <c r="HYU66" s="528"/>
      <c r="HYV66" s="528"/>
      <c r="HYW66" s="528"/>
      <c r="HYX66" s="528"/>
      <c r="HYY66" s="528"/>
      <c r="HYZ66" s="528"/>
      <c r="HZA66" s="528"/>
      <c r="HZB66" s="528"/>
      <c r="HZC66" s="528"/>
      <c r="HZD66" s="528"/>
      <c r="HZE66" s="528"/>
      <c r="HZF66" s="528"/>
      <c r="HZG66" s="528"/>
      <c r="HZH66" s="528"/>
      <c r="HZI66" s="528"/>
      <c r="HZJ66" s="528"/>
      <c r="HZK66" s="528"/>
      <c r="HZL66" s="528"/>
      <c r="HZM66" s="528"/>
      <c r="HZN66" s="528"/>
      <c r="HZO66" s="528"/>
      <c r="HZP66" s="528"/>
      <c r="HZQ66" s="528"/>
      <c r="HZR66" s="528"/>
      <c r="HZS66" s="528"/>
      <c r="HZT66" s="528"/>
      <c r="HZU66" s="528"/>
      <c r="HZV66" s="528"/>
      <c r="HZW66" s="528"/>
      <c r="HZX66" s="528"/>
      <c r="HZY66" s="528"/>
      <c r="HZZ66" s="528"/>
      <c r="IAA66" s="528"/>
      <c r="IAB66" s="528"/>
      <c r="IAC66" s="528"/>
      <c r="IAD66" s="528"/>
      <c r="IAE66" s="528"/>
      <c r="IAF66" s="528"/>
      <c r="IAG66" s="528"/>
      <c r="IAH66" s="528"/>
      <c r="IAI66" s="528"/>
      <c r="IAJ66" s="528"/>
      <c r="IAK66" s="528"/>
      <c r="IAL66" s="528"/>
      <c r="IAM66" s="528"/>
      <c r="IAN66" s="528"/>
      <c r="IAO66" s="528"/>
      <c r="IAP66" s="528"/>
      <c r="IAQ66" s="528"/>
      <c r="IAR66" s="528"/>
      <c r="IAS66" s="528"/>
      <c r="IAT66" s="528"/>
      <c r="IAU66" s="528"/>
      <c r="IAV66" s="528"/>
      <c r="IAW66" s="528"/>
      <c r="IAX66" s="528"/>
      <c r="IAY66" s="528"/>
      <c r="IAZ66" s="528"/>
      <c r="IBA66" s="528"/>
      <c r="IBB66" s="528"/>
      <c r="IBC66" s="528"/>
      <c r="IBD66" s="528"/>
      <c r="IBE66" s="528"/>
      <c r="IBF66" s="528"/>
      <c r="IBG66" s="528"/>
      <c r="IBH66" s="528"/>
      <c r="IBI66" s="528"/>
      <c r="IBJ66" s="528"/>
      <c r="IBK66" s="528"/>
      <c r="IBL66" s="528"/>
      <c r="IBM66" s="528"/>
      <c r="IBN66" s="528"/>
      <c r="IBO66" s="528"/>
      <c r="IBP66" s="528"/>
      <c r="IBQ66" s="528"/>
      <c r="IBR66" s="528"/>
      <c r="IBS66" s="528"/>
      <c r="IBT66" s="528"/>
      <c r="IBU66" s="528"/>
      <c r="IBV66" s="528"/>
      <c r="IBW66" s="528"/>
      <c r="IBX66" s="528"/>
      <c r="IBY66" s="528"/>
      <c r="IBZ66" s="528"/>
      <c r="ICA66" s="528"/>
      <c r="ICB66" s="528"/>
      <c r="ICC66" s="528"/>
      <c r="ICD66" s="528"/>
      <c r="ICE66" s="528"/>
      <c r="ICF66" s="528"/>
      <c r="ICG66" s="528"/>
      <c r="ICH66" s="528"/>
      <c r="ICI66" s="528"/>
      <c r="ICJ66" s="528"/>
      <c r="ICK66" s="528"/>
      <c r="ICL66" s="528"/>
      <c r="ICM66" s="528"/>
      <c r="ICN66" s="528"/>
      <c r="ICO66" s="528"/>
      <c r="ICP66" s="528"/>
      <c r="ICQ66" s="528"/>
      <c r="ICR66" s="528"/>
      <c r="ICS66" s="528"/>
      <c r="ICT66" s="528"/>
      <c r="ICU66" s="528"/>
      <c r="ICV66" s="528"/>
      <c r="ICW66" s="528"/>
      <c r="ICX66" s="528"/>
      <c r="ICY66" s="528"/>
      <c r="ICZ66" s="528"/>
      <c r="IDA66" s="528"/>
      <c r="IDB66" s="528"/>
      <c r="IDC66" s="528"/>
      <c r="IDD66" s="528"/>
      <c r="IDE66" s="528"/>
      <c r="IDF66" s="528"/>
      <c r="IDG66" s="528"/>
      <c r="IDH66" s="528"/>
      <c r="IDI66" s="528"/>
      <c r="IDJ66" s="528"/>
      <c r="IDK66" s="528"/>
      <c r="IDL66" s="528"/>
      <c r="IDM66" s="528"/>
      <c r="IDN66" s="528"/>
      <c r="IDO66" s="528"/>
      <c r="IDP66" s="528"/>
      <c r="IDQ66" s="528"/>
      <c r="IDR66" s="528"/>
      <c r="IDS66" s="528"/>
      <c r="IDT66" s="528"/>
      <c r="IDU66" s="528"/>
      <c r="IDV66" s="528"/>
      <c r="IDW66" s="528"/>
      <c r="IDX66" s="528"/>
      <c r="IDY66" s="528"/>
      <c r="IDZ66" s="528"/>
      <c r="IEA66" s="528"/>
      <c r="IEB66" s="528"/>
      <c r="IEC66" s="528"/>
      <c r="IED66" s="528"/>
      <c r="IEE66" s="528"/>
      <c r="IEF66" s="528"/>
      <c r="IEG66" s="528"/>
      <c r="IEH66" s="528"/>
      <c r="IEI66" s="528"/>
      <c r="IEJ66" s="528"/>
      <c r="IEK66" s="528"/>
      <c r="IEL66" s="528"/>
      <c r="IEM66" s="528"/>
      <c r="IEN66" s="528"/>
      <c r="IEO66" s="528"/>
      <c r="IEP66" s="528"/>
      <c r="IEQ66" s="528"/>
      <c r="IER66" s="528"/>
      <c r="IES66" s="528"/>
      <c r="IET66" s="528"/>
      <c r="IEU66" s="528"/>
      <c r="IEV66" s="528"/>
      <c r="IEW66" s="528"/>
      <c r="IEX66" s="528"/>
      <c r="IEY66" s="528"/>
      <c r="IEZ66" s="528"/>
      <c r="IFA66" s="528"/>
      <c r="IFB66" s="528"/>
      <c r="IFC66" s="528"/>
      <c r="IFD66" s="528"/>
      <c r="IFE66" s="528"/>
      <c r="IFF66" s="528"/>
      <c r="IFG66" s="528"/>
      <c r="IFH66" s="528"/>
      <c r="IFI66" s="528"/>
      <c r="IFJ66" s="528"/>
      <c r="IFK66" s="528"/>
      <c r="IFL66" s="528"/>
      <c r="IFM66" s="528"/>
      <c r="IFN66" s="528"/>
      <c r="IFO66" s="528"/>
      <c r="IFP66" s="528"/>
      <c r="IFQ66" s="528"/>
      <c r="IFR66" s="528"/>
      <c r="IFS66" s="528"/>
      <c r="IFT66" s="528"/>
      <c r="IFU66" s="528"/>
      <c r="IFV66" s="528"/>
      <c r="IFW66" s="528"/>
      <c r="IFX66" s="528"/>
      <c r="IFY66" s="528"/>
      <c r="IFZ66" s="528"/>
      <c r="IGA66" s="528"/>
      <c r="IGB66" s="528"/>
      <c r="IGC66" s="528"/>
      <c r="IGD66" s="528"/>
      <c r="IGE66" s="528"/>
      <c r="IGF66" s="528"/>
      <c r="IGG66" s="528"/>
      <c r="IGH66" s="528"/>
      <c r="IGI66" s="528"/>
      <c r="IGJ66" s="528"/>
      <c r="IGK66" s="528"/>
      <c r="IGL66" s="528"/>
      <c r="IGM66" s="528"/>
      <c r="IGN66" s="528"/>
      <c r="IGO66" s="528"/>
      <c r="IGP66" s="528"/>
      <c r="IGQ66" s="528"/>
      <c r="IGR66" s="528"/>
      <c r="IGS66" s="528"/>
      <c r="IGT66" s="528"/>
      <c r="IGU66" s="528"/>
      <c r="IGV66" s="528"/>
      <c r="IGW66" s="528"/>
      <c r="IGX66" s="528"/>
      <c r="IGY66" s="528"/>
      <c r="IGZ66" s="528"/>
      <c r="IHA66" s="528"/>
      <c r="IHB66" s="528"/>
      <c r="IHC66" s="528"/>
      <c r="IHD66" s="528"/>
      <c r="IHE66" s="528"/>
      <c r="IHF66" s="528"/>
      <c r="IHG66" s="528"/>
      <c r="IHH66" s="528"/>
      <c r="IHI66" s="528"/>
      <c r="IHJ66" s="528"/>
      <c r="IHK66" s="528"/>
      <c r="IHL66" s="528"/>
      <c r="IHM66" s="528"/>
      <c r="IHN66" s="528"/>
      <c r="IHO66" s="528"/>
      <c r="IHP66" s="528"/>
      <c r="IHQ66" s="528"/>
      <c r="IHR66" s="528"/>
      <c r="IHS66" s="528"/>
      <c r="IHT66" s="528"/>
      <c r="IHU66" s="528"/>
      <c r="IHV66" s="528"/>
      <c r="IHW66" s="528"/>
      <c r="IHX66" s="528"/>
      <c r="IHY66" s="528"/>
      <c r="IHZ66" s="528"/>
      <c r="IIA66" s="528"/>
      <c r="IIB66" s="528"/>
      <c r="IIC66" s="528"/>
      <c r="IID66" s="528"/>
      <c r="IIE66" s="528"/>
      <c r="IIF66" s="528"/>
      <c r="IIG66" s="528"/>
      <c r="IIH66" s="528"/>
      <c r="III66" s="528"/>
      <c r="IIJ66" s="528"/>
      <c r="IIK66" s="528"/>
      <c r="IIL66" s="528"/>
      <c r="IIM66" s="528"/>
      <c r="IIN66" s="528"/>
      <c r="IIO66" s="528"/>
      <c r="IIP66" s="528"/>
      <c r="IIQ66" s="528"/>
      <c r="IIR66" s="528"/>
      <c r="IIS66" s="528"/>
      <c r="IIT66" s="528"/>
      <c r="IIU66" s="528"/>
      <c r="IIV66" s="528"/>
      <c r="IIW66" s="528"/>
      <c r="IIX66" s="528"/>
      <c r="IIY66" s="528"/>
      <c r="IIZ66" s="528"/>
      <c r="IJA66" s="528"/>
      <c r="IJB66" s="528"/>
      <c r="IJC66" s="528"/>
      <c r="IJD66" s="528"/>
      <c r="IJE66" s="528"/>
      <c r="IJF66" s="528"/>
      <c r="IJG66" s="528"/>
      <c r="IJH66" s="528"/>
      <c r="IJI66" s="528"/>
      <c r="IJJ66" s="528"/>
      <c r="IJK66" s="528"/>
      <c r="IJL66" s="528"/>
      <c r="IJM66" s="528"/>
      <c r="IJN66" s="528"/>
      <c r="IJO66" s="528"/>
      <c r="IJP66" s="528"/>
      <c r="IJQ66" s="528"/>
      <c r="IJR66" s="528"/>
      <c r="IJS66" s="528"/>
      <c r="IJT66" s="528"/>
      <c r="IJU66" s="528"/>
      <c r="IJV66" s="528"/>
      <c r="IJW66" s="528"/>
      <c r="IJX66" s="528"/>
      <c r="IJY66" s="528"/>
      <c r="IJZ66" s="528"/>
      <c r="IKA66" s="528"/>
      <c r="IKB66" s="528"/>
      <c r="IKC66" s="528"/>
      <c r="IKD66" s="528"/>
      <c r="IKE66" s="528"/>
      <c r="IKF66" s="528"/>
      <c r="IKG66" s="528"/>
      <c r="IKH66" s="528"/>
      <c r="IKI66" s="528"/>
      <c r="IKJ66" s="528"/>
      <c r="IKK66" s="528"/>
      <c r="IKL66" s="528"/>
      <c r="IKM66" s="528"/>
      <c r="IKN66" s="528"/>
      <c r="IKO66" s="528"/>
      <c r="IKP66" s="528"/>
      <c r="IKQ66" s="528"/>
      <c r="IKR66" s="528"/>
      <c r="IKS66" s="528"/>
      <c r="IKT66" s="528"/>
      <c r="IKU66" s="528"/>
      <c r="IKV66" s="528"/>
      <c r="IKW66" s="528"/>
      <c r="IKX66" s="528"/>
      <c r="IKY66" s="528"/>
      <c r="IKZ66" s="528"/>
      <c r="ILA66" s="528"/>
      <c r="ILB66" s="528"/>
      <c r="ILC66" s="528"/>
      <c r="ILD66" s="528"/>
      <c r="ILE66" s="528"/>
      <c r="ILF66" s="528"/>
      <c r="ILG66" s="528"/>
      <c r="ILH66" s="528"/>
      <c r="ILI66" s="528"/>
      <c r="ILJ66" s="528"/>
      <c r="ILK66" s="528"/>
      <c r="ILL66" s="528"/>
      <c r="ILM66" s="528"/>
      <c r="ILN66" s="528"/>
      <c r="ILO66" s="528"/>
      <c r="ILP66" s="528"/>
      <c r="ILQ66" s="528"/>
      <c r="ILR66" s="528"/>
      <c r="ILS66" s="528"/>
      <c r="ILT66" s="528"/>
      <c r="ILU66" s="528"/>
      <c r="ILV66" s="528"/>
      <c r="ILW66" s="528"/>
      <c r="ILX66" s="528"/>
      <c r="ILY66" s="528"/>
      <c r="ILZ66" s="528"/>
      <c r="IMA66" s="528"/>
      <c r="IMB66" s="528"/>
      <c r="IMC66" s="528"/>
      <c r="IMD66" s="528"/>
      <c r="IME66" s="528"/>
      <c r="IMF66" s="528"/>
      <c r="IMG66" s="528"/>
      <c r="IMH66" s="528"/>
      <c r="IMI66" s="528"/>
      <c r="IMJ66" s="528"/>
      <c r="IMK66" s="528"/>
      <c r="IML66" s="528"/>
      <c r="IMM66" s="528"/>
      <c r="IMN66" s="528"/>
      <c r="IMO66" s="528"/>
      <c r="IMP66" s="528"/>
      <c r="IMQ66" s="528"/>
      <c r="IMR66" s="528"/>
      <c r="IMS66" s="528"/>
      <c r="IMT66" s="528"/>
      <c r="IMU66" s="528"/>
      <c r="IMV66" s="528"/>
      <c r="IMW66" s="528"/>
      <c r="IMX66" s="528"/>
      <c r="IMY66" s="528"/>
      <c r="IMZ66" s="528"/>
      <c r="INA66" s="528"/>
      <c r="INB66" s="528"/>
      <c r="INC66" s="528"/>
      <c r="IND66" s="528"/>
      <c r="INE66" s="528"/>
      <c r="INF66" s="528"/>
      <c r="ING66" s="528"/>
      <c r="INH66" s="528"/>
      <c r="INI66" s="528"/>
      <c r="INJ66" s="528"/>
      <c r="INK66" s="528"/>
      <c r="INL66" s="528"/>
      <c r="INM66" s="528"/>
      <c r="INN66" s="528"/>
      <c r="INO66" s="528"/>
      <c r="INP66" s="528"/>
      <c r="INQ66" s="528"/>
      <c r="INR66" s="528"/>
      <c r="INS66" s="528"/>
      <c r="INT66" s="528"/>
      <c r="INU66" s="528"/>
      <c r="INV66" s="528"/>
      <c r="INW66" s="528"/>
      <c r="INX66" s="528"/>
      <c r="INY66" s="528"/>
      <c r="INZ66" s="528"/>
      <c r="IOA66" s="528"/>
      <c r="IOB66" s="528"/>
      <c r="IOC66" s="528"/>
      <c r="IOD66" s="528"/>
      <c r="IOE66" s="528"/>
      <c r="IOF66" s="528"/>
      <c r="IOG66" s="528"/>
      <c r="IOH66" s="528"/>
      <c r="IOI66" s="528"/>
      <c r="IOJ66" s="528"/>
      <c r="IOK66" s="528"/>
      <c r="IOL66" s="528"/>
      <c r="IOM66" s="528"/>
      <c r="ION66" s="528"/>
      <c r="IOO66" s="528"/>
      <c r="IOP66" s="528"/>
      <c r="IOQ66" s="528"/>
      <c r="IOR66" s="528"/>
      <c r="IOS66" s="528"/>
      <c r="IOT66" s="528"/>
      <c r="IOU66" s="528"/>
      <c r="IOV66" s="528"/>
      <c r="IOW66" s="528"/>
      <c r="IOX66" s="528"/>
      <c r="IOY66" s="528"/>
      <c r="IOZ66" s="528"/>
      <c r="IPA66" s="528"/>
      <c r="IPB66" s="528"/>
      <c r="IPC66" s="528"/>
      <c r="IPD66" s="528"/>
      <c r="IPE66" s="528"/>
      <c r="IPF66" s="528"/>
      <c r="IPG66" s="528"/>
      <c r="IPH66" s="528"/>
      <c r="IPI66" s="528"/>
      <c r="IPJ66" s="528"/>
      <c r="IPK66" s="528"/>
      <c r="IPL66" s="528"/>
      <c r="IPM66" s="528"/>
      <c r="IPN66" s="528"/>
      <c r="IPO66" s="528"/>
      <c r="IPP66" s="528"/>
      <c r="IPQ66" s="528"/>
      <c r="IPR66" s="528"/>
      <c r="IPS66" s="528"/>
      <c r="IPT66" s="528"/>
      <c r="IPU66" s="528"/>
      <c r="IPV66" s="528"/>
      <c r="IPW66" s="528"/>
      <c r="IPX66" s="528"/>
      <c r="IPY66" s="528"/>
      <c r="IPZ66" s="528"/>
      <c r="IQA66" s="528"/>
      <c r="IQB66" s="528"/>
      <c r="IQC66" s="528"/>
      <c r="IQD66" s="528"/>
      <c r="IQE66" s="528"/>
      <c r="IQF66" s="528"/>
      <c r="IQG66" s="528"/>
      <c r="IQH66" s="528"/>
      <c r="IQI66" s="528"/>
      <c r="IQJ66" s="528"/>
      <c r="IQK66" s="528"/>
      <c r="IQL66" s="528"/>
      <c r="IQM66" s="528"/>
      <c r="IQN66" s="528"/>
      <c r="IQO66" s="528"/>
      <c r="IQP66" s="528"/>
      <c r="IQQ66" s="528"/>
      <c r="IQR66" s="528"/>
      <c r="IQS66" s="528"/>
      <c r="IQT66" s="528"/>
      <c r="IQU66" s="528"/>
      <c r="IQV66" s="528"/>
      <c r="IQW66" s="528"/>
      <c r="IQX66" s="528"/>
      <c r="IQY66" s="528"/>
      <c r="IQZ66" s="528"/>
      <c r="IRA66" s="528"/>
      <c r="IRB66" s="528"/>
      <c r="IRC66" s="528"/>
      <c r="IRD66" s="528"/>
      <c r="IRE66" s="528"/>
      <c r="IRF66" s="528"/>
      <c r="IRG66" s="528"/>
      <c r="IRH66" s="528"/>
      <c r="IRI66" s="528"/>
      <c r="IRJ66" s="528"/>
      <c r="IRK66" s="528"/>
      <c r="IRL66" s="528"/>
      <c r="IRM66" s="528"/>
      <c r="IRN66" s="528"/>
      <c r="IRO66" s="528"/>
      <c r="IRP66" s="528"/>
      <c r="IRQ66" s="528"/>
      <c r="IRR66" s="528"/>
      <c r="IRS66" s="528"/>
      <c r="IRT66" s="528"/>
      <c r="IRU66" s="528"/>
      <c r="IRV66" s="528"/>
      <c r="IRW66" s="528"/>
      <c r="IRX66" s="528"/>
      <c r="IRY66" s="528"/>
      <c r="IRZ66" s="528"/>
      <c r="ISA66" s="528"/>
      <c r="ISB66" s="528"/>
      <c r="ISC66" s="528"/>
      <c r="ISD66" s="528"/>
      <c r="ISE66" s="528"/>
      <c r="ISF66" s="528"/>
      <c r="ISG66" s="528"/>
      <c r="ISH66" s="528"/>
      <c r="ISI66" s="528"/>
      <c r="ISJ66" s="528"/>
      <c r="ISK66" s="528"/>
      <c r="ISL66" s="528"/>
      <c r="ISM66" s="528"/>
      <c r="ISN66" s="528"/>
      <c r="ISO66" s="528"/>
      <c r="ISP66" s="528"/>
      <c r="ISQ66" s="528"/>
      <c r="ISR66" s="528"/>
      <c r="ISS66" s="528"/>
      <c r="IST66" s="528"/>
      <c r="ISU66" s="528"/>
      <c r="ISV66" s="528"/>
      <c r="ISW66" s="528"/>
      <c r="ISX66" s="528"/>
      <c r="ISY66" s="528"/>
      <c r="ISZ66" s="528"/>
      <c r="ITA66" s="528"/>
      <c r="ITB66" s="528"/>
      <c r="ITC66" s="528"/>
      <c r="ITD66" s="528"/>
      <c r="ITE66" s="528"/>
      <c r="ITF66" s="528"/>
      <c r="ITG66" s="528"/>
      <c r="ITH66" s="528"/>
      <c r="ITI66" s="528"/>
      <c r="ITJ66" s="528"/>
      <c r="ITK66" s="528"/>
      <c r="ITL66" s="528"/>
      <c r="ITM66" s="528"/>
      <c r="ITN66" s="528"/>
      <c r="ITO66" s="528"/>
      <c r="ITP66" s="528"/>
      <c r="ITQ66" s="528"/>
      <c r="ITR66" s="528"/>
      <c r="ITS66" s="528"/>
      <c r="ITT66" s="528"/>
      <c r="ITU66" s="528"/>
      <c r="ITV66" s="528"/>
      <c r="ITW66" s="528"/>
      <c r="ITX66" s="528"/>
      <c r="ITY66" s="528"/>
      <c r="ITZ66" s="528"/>
      <c r="IUA66" s="528"/>
      <c r="IUB66" s="528"/>
      <c r="IUC66" s="528"/>
      <c r="IUD66" s="528"/>
      <c r="IUE66" s="528"/>
      <c r="IUF66" s="528"/>
      <c r="IUG66" s="528"/>
      <c r="IUH66" s="528"/>
      <c r="IUI66" s="528"/>
      <c r="IUJ66" s="528"/>
      <c r="IUK66" s="528"/>
      <c r="IUL66" s="528"/>
      <c r="IUM66" s="528"/>
      <c r="IUN66" s="528"/>
      <c r="IUO66" s="528"/>
      <c r="IUP66" s="528"/>
      <c r="IUQ66" s="528"/>
      <c r="IUR66" s="528"/>
      <c r="IUS66" s="528"/>
      <c r="IUT66" s="528"/>
      <c r="IUU66" s="528"/>
      <c r="IUV66" s="528"/>
      <c r="IUW66" s="528"/>
      <c r="IUX66" s="528"/>
      <c r="IUY66" s="528"/>
      <c r="IUZ66" s="528"/>
      <c r="IVA66" s="528"/>
      <c r="IVB66" s="528"/>
      <c r="IVC66" s="528"/>
      <c r="IVD66" s="528"/>
      <c r="IVE66" s="528"/>
      <c r="IVF66" s="528"/>
      <c r="IVG66" s="528"/>
      <c r="IVH66" s="528"/>
      <c r="IVI66" s="528"/>
      <c r="IVJ66" s="528"/>
      <c r="IVK66" s="528"/>
      <c r="IVL66" s="528"/>
      <c r="IVM66" s="528"/>
      <c r="IVN66" s="528"/>
      <c r="IVO66" s="528"/>
      <c r="IVP66" s="528"/>
      <c r="IVQ66" s="528"/>
      <c r="IVR66" s="528"/>
      <c r="IVS66" s="528"/>
      <c r="IVT66" s="528"/>
      <c r="IVU66" s="528"/>
      <c r="IVV66" s="528"/>
      <c r="IVW66" s="528"/>
      <c r="IVX66" s="528"/>
      <c r="IVY66" s="528"/>
      <c r="IVZ66" s="528"/>
      <c r="IWA66" s="528"/>
      <c r="IWB66" s="528"/>
      <c r="IWC66" s="528"/>
      <c r="IWD66" s="528"/>
      <c r="IWE66" s="528"/>
      <c r="IWF66" s="528"/>
      <c r="IWG66" s="528"/>
      <c r="IWH66" s="528"/>
      <c r="IWI66" s="528"/>
      <c r="IWJ66" s="528"/>
      <c r="IWK66" s="528"/>
      <c r="IWL66" s="528"/>
      <c r="IWM66" s="528"/>
      <c r="IWN66" s="528"/>
      <c r="IWO66" s="528"/>
      <c r="IWP66" s="528"/>
      <c r="IWQ66" s="528"/>
      <c r="IWR66" s="528"/>
      <c r="IWS66" s="528"/>
      <c r="IWT66" s="528"/>
      <c r="IWU66" s="528"/>
      <c r="IWV66" s="528"/>
      <c r="IWW66" s="528"/>
      <c r="IWX66" s="528"/>
      <c r="IWY66" s="528"/>
      <c r="IWZ66" s="528"/>
      <c r="IXA66" s="528"/>
      <c r="IXB66" s="528"/>
      <c r="IXC66" s="528"/>
      <c r="IXD66" s="528"/>
      <c r="IXE66" s="528"/>
      <c r="IXF66" s="528"/>
      <c r="IXG66" s="528"/>
      <c r="IXH66" s="528"/>
      <c r="IXI66" s="528"/>
      <c r="IXJ66" s="528"/>
      <c r="IXK66" s="528"/>
      <c r="IXL66" s="528"/>
      <c r="IXM66" s="528"/>
      <c r="IXN66" s="528"/>
      <c r="IXO66" s="528"/>
      <c r="IXP66" s="528"/>
      <c r="IXQ66" s="528"/>
      <c r="IXR66" s="528"/>
      <c r="IXS66" s="528"/>
      <c r="IXT66" s="528"/>
      <c r="IXU66" s="528"/>
      <c r="IXV66" s="528"/>
      <c r="IXW66" s="528"/>
      <c r="IXX66" s="528"/>
      <c r="IXY66" s="528"/>
      <c r="IXZ66" s="528"/>
      <c r="IYA66" s="528"/>
      <c r="IYB66" s="528"/>
      <c r="IYC66" s="528"/>
      <c r="IYD66" s="528"/>
      <c r="IYE66" s="528"/>
      <c r="IYF66" s="528"/>
      <c r="IYG66" s="528"/>
      <c r="IYH66" s="528"/>
      <c r="IYI66" s="528"/>
      <c r="IYJ66" s="528"/>
      <c r="IYK66" s="528"/>
      <c r="IYL66" s="528"/>
      <c r="IYM66" s="528"/>
      <c r="IYN66" s="528"/>
      <c r="IYO66" s="528"/>
      <c r="IYP66" s="528"/>
      <c r="IYQ66" s="528"/>
      <c r="IYR66" s="528"/>
      <c r="IYS66" s="528"/>
      <c r="IYT66" s="528"/>
      <c r="IYU66" s="528"/>
      <c r="IYV66" s="528"/>
      <c r="IYW66" s="528"/>
      <c r="IYX66" s="528"/>
      <c r="IYY66" s="528"/>
      <c r="IYZ66" s="528"/>
      <c r="IZA66" s="528"/>
      <c r="IZB66" s="528"/>
      <c r="IZC66" s="528"/>
      <c r="IZD66" s="528"/>
      <c r="IZE66" s="528"/>
      <c r="IZF66" s="528"/>
      <c r="IZG66" s="528"/>
      <c r="IZH66" s="528"/>
      <c r="IZI66" s="528"/>
      <c r="IZJ66" s="528"/>
      <c r="IZK66" s="528"/>
      <c r="IZL66" s="528"/>
      <c r="IZM66" s="528"/>
      <c r="IZN66" s="528"/>
      <c r="IZO66" s="528"/>
      <c r="IZP66" s="528"/>
      <c r="IZQ66" s="528"/>
      <c r="IZR66" s="528"/>
      <c r="IZS66" s="528"/>
      <c r="IZT66" s="528"/>
      <c r="IZU66" s="528"/>
      <c r="IZV66" s="528"/>
      <c r="IZW66" s="528"/>
      <c r="IZX66" s="528"/>
      <c r="IZY66" s="528"/>
      <c r="IZZ66" s="528"/>
      <c r="JAA66" s="528"/>
      <c r="JAB66" s="528"/>
      <c r="JAC66" s="528"/>
      <c r="JAD66" s="528"/>
      <c r="JAE66" s="528"/>
      <c r="JAF66" s="528"/>
      <c r="JAG66" s="528"/>
      <c r="JAH66" s="528"/>
      <c r="JAI66" s="528"/>
      <c r="JAJ66" s="528"/>
      <c r="JAK66" s="528"/>
      <c r="JAL66" s="528"/>
      <c r="JAM66" s="528"/>
      <c r="JAN66" s="528"/>
      <c r="JAO66" s="528"/>
      <c r="JAP66" s="528"/>
      <c r="JAQ66" s="528"/>
      <c r="JAR66" s="528"/>
      <c r="JAS66" s="528"/>
      <c r="JAT66" s="528"/>
      <c r="JAU66" s="528"/>
      <c r="JAV66" s="528"/>
      <c r="JAW66" s="528"/>
      <c r="JAX66" s="528"/>
      <c r="JAY66" s="528"/>
      <c r="JAZ66" s="528"/>
      <c r="JBA66" s="528"/>
      <c r="JBB66" s="528"/>
      <c r="JBC66" s="528"/>
      <c r="JBD66" s="528"/>
      <c r="JBE66" s="528"/>
      <c r="JBF66" s="528"/>
      <c r="JBG66" s="528"/>
      <c r="JBH66" s="528"/>
      <c r="JBI66" s="528"/>
      <c r="JBJ66" s="528"/>
      <c r="JBK66" s="528"/>
      <c r="JBL66" s="528"/>
      <c r="JBM66" s="528"/>
      <c r="JBN66" s="528"/>
      <c r="JBO66" s="528"/>
      <c r="JBP66" s="528"/>
      <c r="JBQ66" s="528"/>
      <c r="JBR66" s="528"/>
      <c r="JBS66" s="528"/>
      <c r="JBT66" s="528"/>
      <c r="JBU66" s="528"/>
      <c r="JBV66" s="528"/>
      <c r="JBW66" s="528"/>
      <c r="JBX66" s="528"/>
      <c r="JBY66" s="528"/>
      <c r="JBZ66" s="528"/>
      <c r="JCA66" s="528"/>
      <c r="JCB66" s="528"/>
      <c r="JCC66" s="528"/>
      <c r="JCD66" s="528"/>
      <c r="JCE66" s="528"/>
      <c r="JCF66" s="528"/>
      <c r="JCG66" s="528"/>
      <c r="JCH66" s="528"/>
      <c r="JCI66" s="528"/>
      <c r="JCJ66" s="528"/>
      <c r="JCK66" s="528"/>
      <c r="JCL66" s="528"/>
      <c r="JCM66" s="528"/>
      <c r="JCN66" s="528"/>
      <c r="JCO66" s="528"/>
      <c r="JCP66" s="528"/>
      <c r="JCQ66" s="528"/>
      <c r="JCR66" s="528"/>
      <c r="JCS66" s="528"/>
      <c r="JCT66" s="528"/>
      <c r="JCU66" s="528"/>
      <c r="JCV66" s="528"/>
      <c r="JCW66" s="528"/>
      <c r="JCX66" s="528"/>
      <c r="JCY66" s="528"/>
      <c r="JCZ66" s="528"/>
      <c r="JDA66" s="528"/>
      <c r="JDB66" s="528"/>
      <c r="JDC66" s="528"/>
      <c r="JDD66" s="528"/>
      <c r="JDE66" s="528"/>
      <c r="JDF66" s="528"/>
      <c r="JDG66" s="528"/>
      <c r="JDH66" s="528"/>
      <c r="JDI66" s="528"/>
      <c r="JDJ66" s="528"/>
      <c r="JDK66" s="528"/>
      <c r="JDL66" s="528"/>
      <c r="JDM66" s="528"/>
      <c r="JDN66" s="528"/>
      <c r="JDO66" s="528"/>
      <c r="JDP66" s="528"/>
      <c r="JDQ66" s="528"/>
      <c r="JDR66" s="528"/>
      <c r="JDS66" s="528"/>
      <c r="JDT66" s="528"/>
      <c r="JDU66" s="528"/>
      <c r="JDV66" s="528"/>
      <c r="JDW66" s="528"/>
      <c r="JDX66" s="528"/>
      <c r="JDY66" s="528"/>
      <c r="JDZ66" s="528"/>
      <c r="JEA66" s="528"/>
      <c r="JEB66" s="528"/>
      <c r="JEC66" s="528"/>
      <c r="JED66" s="528"/>
      <c r="JEE66" s="528"/>
      <c r="JEF66" s="528"/>
      <c r="JEG66" s="528"/>
      <c r="JEH66" s="528"/>
      <c r="JEI66" s="528"/>
      <c r="JEJ66" s="528"/>
      <c r="JEK66" s="528"/>
      <c r="JEL66" s="528"/>
      <c r="JEM66" s="528"/>
      <c r="JEN66" s="528"/>
      <c r="JEO66" s="528"/>
      <c r="JEP66" s="528"/>
      <c r="JEQ66" s="528"/>
      <c r="JER66" s="528"/>
      <c r="JES66" s="528"/>
      <c r="JET66" s="528"/>
      <c r="JEU66" s="528"/>
      <c r="JEV66" s="528"/>
      <c r="JEW66" s="528"/>
      <c r="JEX66" s="528"/>
      <c r="JEY66" s="528"/>
      <c r="JEZ66" s="528"/>
      <c r="JFA66" s="528"/>
      <c r="JFB66" s="528"/>
      <c r="JFC66" s="528"/>
      <c r="JFD66" s="528"/>
      <c r="JFE66" s="528"/>
      <c r="JFF66" s="528"/>
      <c r="JFG66" s="528"/>
      <c r="JFH66" s="528"/>
      <c r="JFI66" s="528"/>
      <c r="JFJ66" s="528"/>
      <c r="JFK66" s="528"/>
      <c r="JFL66" s="528"/>
      <c r="JFM66" s="528"/>
      <c r="JFN66" s="528"/>
      <c r="JFO66" s="528"/>
      <c r="JFP66" s="528"/>
      <c r="JFQ66" s="528"/>
      <c r="JFR66" s="528"/>
      <c r="JFS66" s="528"/>
      <c r="JFT66" s="528"/>
      <c r="JFU66" s="528"/>
      <c r="JFV66" s="528"/>
      <c r="JFW66" s="528"/>
      <c r="JFX66" s="528"/>
      <c r="JFY66" s="528"/>
      <c r="JFZ66" s="528"/>
      <c r="JGA66" s="528"/>
      <c r="JGB66" s="528"/>
      <c r="JGC66" s="528"/>
      <c r="JGD66" s="528"/>
      <c r="JGE66" s="528"/>
      <c r="JGF66" s="528"/>
      <c r="JGG66" s="528"/>
      <c r="JGH66" s="528"/>
      <c r="JGI66" s="528"/>
      <c r="JGJ66" s="528"/>
      <c r="JGK66" s="528"/>
      <c r="JGL66" s="528"/>
      <c r="JGM66" s="528"/>
      <c r="JGN66" s="528"/>
      <c r="JGO66" s="528"/>
      <c r="JGP66" s="528"/>
      <c r="JGQ66" s="528"/>
      <c r="JGR66" s="528"/>
      <c r="JGS66" s="528"/>
      <c r="JGT66" s="528"/>
      <c r="JGU66" s="528"/>
      <c r="JGV66" s="528"/>
      <c r="JGW66" s="528"/>
      <c r="JGX66" s="528"/>
      <c r="JGY66" s="528"/>
      <c r="JGZ66" s="528"/>
      <c r="JHA66" s="528"/>
      <c r="JHB66" s="528"/>
      <c r="JHC66" s="528"/>
      <c r="JHD66" s="528"/>
      <c r="JHE66" s="528"/>
      <c r="JHF66" s="528"/>
      <c r="JHG66" s="528"/>
      <c r="JHH66" s="528"/>
      <c r="JHI66" s="528"/>
      <c r="JHJ66" s="528"/>
      <c r="JHK66" s="528"/>
      <c r="JHL66" s="528"/>
      <c r="JHM66" s="528"/>
      <c r="JHN66" s="528"/>
      <c r="JHO66" s="528"/>
      <c r="JHP66" s="528"/>
      <c r="JHQ66" s="528"/>
      <c r="JHR66" s="528"/>
      <c r="JHS66" s="528"/>
      <c r="JHT66" s="528"/>
      <c r="JHU66" s="528"/>
      <c r="JHV66" s="528"/>
      <c r="JHW66" s="528"/>
      <c r="JHX66" s="528"/>
      <c r="JHY66" s="528"/>
      <c r="JHZ66" s="528"/>
      <c r="JIA66" s="528"/>
      <c r="JIB66" s="528"/>
      <c r="JIC66" s="528"/>
      <c r="JID66" s="528"/>
      <c r="JIE66" s="528"/>
      <c r="JIF66" s="528"/>
      <c r="JIG66" s="528"/>
      <c r="JIH66" s="528"/>
      <c r="JII66" s="528"/>
      <c r="JIJ66" s="528"/>
      <c r="JIK66" s="528"/>
      <c r="JIL66" s="528"/>
      <c r="JIM66" s="528"/>
      <c r="JIN66" s="528"/>
      <c r="JIO66" s="528"/>
      <c r="JIP66" s="528"/>
      <c r="JIQ66" s="528"/>
      <c r="JIR66" s="528"/>
      <c r="JIS66" s="528"/>
      <c r="JIT66" s="528"/>
      <c r="JIU66" s="528"/>
      <c r="JIV66" s="528"/>
      <c r="JIW66" s="528"/>
      <c r="JIX66" s="528"/>
      <c r="JIY66" s="528"/>
      <c r="JIZ66" s="528"/>
      <c r="JJA66" s="528"/>
      <c r="JJB66" s="528"/>
      <c r="JJC66" s="528"/>
      <c r="JJD66" s="528"/>
      <c r="JJE66" s="528"/>
      <c r="JJF66" s="528"/>
      <c r="JJG66" s="528"/>
      <c r="JJH66" s="528"/>
      <c r="JJI66" s="528"/>
      <c r="JJJ66" s="528"/>
      <c r="JJK66" s="528"/>
      <c r="JJL66" s="528"/>
      <c r="JJM66" s="528"/>
      <c r="JJN66" s="528"/>
      <c r="JJO66" s="528"/>
      <c r="JJP66" s="528"/>
      <c r="JJQ66" s="528"/>
      <c r="JJR66" s="528"/>
      <c r="JJS66" s="528"/>
      <c r="JJT66" s="528"/>
      <c r="JJU66" s="528"/>
      <c r="JJV66" s="528"/>
      <c r="JJW66" s="528"/>
      <c r="JJX66" s="528"/>
      <c r="JJY66" s="528"/>
      <c r="JJZ66" s="528"/>
      <c r="JKA66" s="528"/>
      <c r="JKB66" s="528"/>
      <c r="JKC66" s="528"/>
      <c r="JKD66" s="528"/>
      <c r="JKE66" s="528"/>
      <c r="JKF66" s="528"/>
      <c r="JKG66" s="528"/>
      <c r="JKH66" s="528"/>
      <c r="JKI66" s="528"/>
      <c r="JKJ66" s="528"/>
      <c r="JKK66" s="528"/>
      <c r="JKL66" s="528"/>
      <c r="JKM66" s="528"/>
      <c r="JKN66" s="528"/>
      <c r="JKO66" s="528"/>
      <c r="JKP66" s="528"/>
      <c r="JKQ66" s="528"/>
      <c r="JKR66" s="528"/>
      <c r="JKS66" s="528"/>
      <c r="JKT66" s="528"/>
      <c r="JKU66" s="528"/>
      <c r="JKV66" s="528"/>
      <c r="JKW66" s="528"/>
      <c r="JKX66" s="528"/>
      <c r="JKY66" s="528"/>
      <c r="JKZ66" s="528"/>
      <c r="JLA66" s="528"/>
      <c r="JLB66" s="528"/>
      <c r="JLC66" s="528"/>
      <c r="JLD66" s="528"/>
      <c r="JLE66" s="528"/>
      <c r="JLF66" s="528"/>
      <c r="JLG66" s="528"/>
      <c r="JLH66" s="528"/>
      <c r="JLI66" s="528"/>
      <c r="JLJ66" s="528"/>
      <c r="JLK66" s="528"/>
      <c r="JLL66" s="528"/>
      <c r="JLM66" s="528"/>
      <c r="JLN66" s="528"/>
      <c r="JLO66" s="528"/>
      <c r="JLP66" s="528"/>
      <c r="JLQ66" s="528"/>
      <c r="JLR66" s="528"/>
      <c r="JLS66" s="528"/>
      <c r="JLT66" s="528"/>
      <c r="JLU66" s="528"/>
      <c r="JLV66" s="528"/>
      <c r="JLW66" s="528"/>
      <c r="JLX66" s="528"/>
      <c r="JLY66" s="528"/>
      <c r="JLZ66" s="528"/>
      <c r="JMA66" s="528"/>
      <c r="JMB66" s="528"/>
      <c r="JMC66" s="528"/>
      <c r="JMD66" s="528"/>
      <c r="JME66" s="528"/>
      <c r="JMF66" s="528"/>
      <c r="JMG66" s="528"/>
      <c r="JMH66" s="528"/>
      <c r="JMI66" s="528"/>
      <c r="JMJ66" s="528"/>
      <c r="JMK66" s="528"/>
      <c r="JML66" s="528"/>
      <c r="JMM66" s="528"/>
      <c r="JMN66" s="528"/>
      <c r="JMO66" s="528"/>
      <c r="JMP66" s="528"/>
      <c r="JMQ66" s="528"/>
      <c r="JMR66" s="528"/>
      <c r="JMS66" s="528"/>
      <c r="JMT66" s="528"/>
      <c r="JMU66" s="528"/>
      <c r="JMV66" s="528"/>
      <c r="JMW66" s="528"/>
      <c r="JMX66" s="528"/>
      <c r="JMY66" s="528"/>
      <c r="JMZ66" s="528"/>
      <c r="JNA66" s="528"/>
      <c r="JNB66" s="528"/>
      <c r="JNC66" s="528"/>
      <c r="JND66" s="528"/>
      <c r="JNE66" s="528"/>
      <c r="JNF66" s="528"/>
      <c r="JNG66" s="528"/>
      <c r="JNH66" s="528"/>
      <c r="JNI66" s="528"/>
      <c r="JNJ66" s="528"/>
      <c r="JNK66" s="528"/>
      <c r="JNL66" s="528"/>
      <c r="JNM66" s="528"/>
      <c r="JNN66" s="528"/>
      <c r="JNO66" s="528"/>
      <c r="JNP66" s="528"/>
      <c r="JNQ66" s="528"/>
      <c r="JNR66" s="528"/>
      <c r="JNS66" s="528"/>
      <c r="JNT66" s="528"/>
      <c r="JNU66" s="528"/>
      <c r="JNV66" s="528"/>
      <c r="JNW66" s="528"/>
      <c r="JNX66" s="528"/>
      <c r="JNY66" s="528"/>
      <c r="JNZ66" s="528"/>
      <c r="JOA66" s="528"/>
      <c r="JOB66" s="528"/>
      <c r="JOC66" s="528"/>
      <c r="JOD66" s="528"/>
      <c r="JOE66" s="528"/>
      <c r="JOF66" s="528"/>
      <c r="JOG66" s="528"/>
      <c r="JOH66" s="528"/>
      <c r="JOI66" s="528"/>
      <c r="JOJ66" s="528"/>
      <c r="JOK66" s="528"/>
      <c r="JOL66" s="528"/>
      <c r="JOM66" s="528"/>
      <c r="JON66" s="528"/>
      <c r="JOO66" s="528"/>
      <c r="JOP66" s="528"/>
      <c r="JOQ66" s="528"/>
      <c r="JOR66" s="528"/>
      <c r="JOS66" s="528"/>
      <c r="JOT66" s="528"/>
      <c r="JOU66" s="528"/>
      <c r="JOV66" s="528"/>
      <c r="JOW66" s="528"/>
      <c r="JOX66" s="528"/>
      <c r="JOY66" s="528"/>
      <c r="JOZ66" s="528"/>
      <c r="JPA66" s="528"/>
      <c r="JPB66" s="528"/>
      <c r="JPC66" s="528"/>
      <c r="JPD66" s="528"/>
      <c r="JPE66" s="528"/>
      <c r="JPF66" s="528"/>
      <c r="JPG66" s="528"/>
      <c r="JPH66" s="528"/>
      <c r="JPI66" s="528"/>
      <c r="JPJ66" s="528"/>
      <c r="JPK66" s="528"/>
      <c r="JPL66" s="528"/>
      <c r="JPM66" s="528"/>
      <c r="JPN66" s="528"/>
      <c r="JPO66" s="528"/>
      <c r="JPP66" s="528"/>
      <c r="JPQ66" s="528"/>
      <c r="JPR66" s="528"/>
      <c r="JPS66" s="528"/>
      <c r="JPT66" s="528"/>
      <c r="JPU66" s="528"/>
      <c r="JPV66" s="528"/>
      <c r="JPW66" s="528"/>
      <c r="JPX66" s="528"/>
      <c r="JPY66" s="528"/>
      <c r="JPZ66" s="528"/>
      <c r="JQA66" s="528"/>
      <c r="JQB66" s="528"/>
      <c r="JQC66" s="528"/>
      <c r="JQD66" s="528"/>
      <c r="JQE66" s="528"/>
      <c r="JQF66" s="528"/>
      <c r="JQG66" s="528"/>
      <c r="JQH66" s="528"/>
      <c r="JQI66" s="528"/>
      <c r="JQJ66" s="528"/>
      <c r="JQK66" s="528"/>
      <c r="JQL66" s="528"/>
      <c r="JQM66" s="528"/>
      <c r="JQN66" s="528"/>
      <c r="JQO66" s="528"/>
      <c r="JQP66" s="528"/>
      <c r="JQQ66" s="528"/>
      <c r="JQR66" s="528"/>
      <c r="JQS66" s="528"/>
      <c r="JQT66" s="528"/>
      <c r="JQU66" s="528"/>
      <c r="JQV66" s="528"/>
      <c r="JQW66" s="528"/>
      <c r="JQX66" s="528"/>
      <c r="JQY66" s="528"/>
      <c r="JQZ66" s="528"/>
      <c r="JRA66" s="528"/>
      <c r="JRB66" s="528"/>
      <c r="JRC66" s="528"/>
      <c r="JRD66" s="528"/>
      <c r="JRE66" s="528"/>
      <c r="JRF66" s="528"/>
      <c r="JRG66" s="528"/>
      <c r="JRH66" s="528"/>
      <c r="JRI66" s="528"/>
      <c r="JRJ66" s="528"/>
      <c r="JRK66" s="528"/>
      <c r="JRL66" s="528"/>
      <c r="JRM66" s="528"/>
      <c r="JRN66" s="528"/>
      <c r="JRO66" s="528"/>
      <c r="JRP66" s="528"/>
      <c r="JRQ66" s="528"/>
      <c r="JRR66" s="528"/>
      <c r="JRS66" s="528"/>
      <c r="JRT66" s="528"/>
      <c r="JRU66" s="528"/>
      <c r="JRV66" s="528"/>
      <c r="JRW66" s="528"/>
      <c r="JRX66" s="528"/>
      <c r="JRY66" s="528"/>
      <c r="JRZ66" s="528"/>
      <c r="JSA66" s="528"/>
      <c r="JSB66" s="528"/>
      <c r="JSC66" s="528"/>
      <c r="JSD66" s="528"/>
      <c r="JSE66" s="528"/>
      <c r="JSF66" s="528"/>
      <c r="JSG66" s="528"/>
      <c r="JSH66" s="528"/>
      <c r="JSI66" s="528"/>
      <c r="JSJ66" s="528"/>
      <c r="JSK66" s="528"/>
      <c r="JSL66" s="528"/>
      <c r="JSM66" s="528"/>
      <c r="JSN66" s="528"/>
      <c r="JSO66" s="528"/>
      <c r="JSP66" s="528"/>
      <c r="JSQ66" s="528"/>
      <c r="JSR66" s="528"/>
      <c r="JSS66" s="528"/>
      <c r="JST66" s="528"/>
      <c r="JSU66" s="528"/>
      <c r="JSV66" s="528"/>
      <c r="JSW66" s="528"/>
      <c r="JSX66" s="528"/>
      <c r="JSY66" s="528"/>
      <c r="JSZ66" s="528"/>
      <c r="JTA66" s="528"/>
      <c r="JTB66" s="528"/>
      <c r="JTC66" s="528"/>
      <c r="JTD66" s="528"/>
      <c r="JTE66" s="528"/>
      <c r="JTF66" s="528"/>
      <c r="JTG66" s="528"/>
      <c r="JTH66" s="528"/>
      <c r="JTI66" s="528"/>
      <c r="JTJ66" s="528"/>
      <c r="JTK66" s="528"/>
      <c r="JTL66" s="528"/>
      <c r="JTM66" s="528"/>
      <c r="JTN66" s="528"/>
      <c r="JTO66" s="528"/>
      <c r="JTP66" s="528"/>
      <c r="JTQ66" s="528"/>
      <c r="JTR66" s="528"/>
      <c r="JTS66" s="528"/>
      <c r="JTT66" s="528"/>
      <c r="JTU66" s="528"/>
      <c r="JTV66" s="528"/>
      <c r="JTW66" s="528"/>
      <c r="JTX66" s="528"/>
      <c r="JTY66" s="528"/>
      <c r="JTZ66" s="528"/>
      <c r="JUA66" s="528"/>
      <c r="JUB66" s="528"/>
      <c r="JUC66" s="528"/>
      <c r="JUD66" s="528"/>
      <c r="JUE66" s="528"/>
      <c r="JUF66" s="528"/>
      <c r="JUG66" s="528"/>
      <c r="JUH66" s="528"/>
      <c r="JUI66" s="528"/>
      <c r="JUJ66" s="528"/>
      <c r="JUK66" s="528"/>
      <c r="JUL66" s="528"/>
      <c r="JUM66" s="528"/>
      <c r="JUN66" s="528"/>
      <c r="JUO66" s="528"/>
      <c r="JUP66" s="528"/>
      <c r="JUQ66" s="528"/>
      <c r="JUR66" s="528"/>
      <c r="JUS66" s="528"/>
      <c r="JUT66" s="528"/>
      <c r="JUU66" s="528"/>
      <c r="JUV66" s="528"/>
      <c r="JUW66" s="528"/>
      <c r="JUX66" s="528"/>
      <c r="JUY66" s="528"/>
      <c r="JUZ66" s="528"/>
      <c r="JVA66" s="528"/>
      <c r="JVB66" s="528"/>
      <c r="JVC66" s="528"/>
      <c r="JVD66" s="528"/>
      <c r="JVE66" s="528"/>
      <c r="JVF66" s="528"/>
      <c r="JVG66" s="528"/>
      <c r="JVH66" s="528"/>
      <c r="JVI66" s="528"/>
      <c r="JVJ66" s="528"/>
      <c r="JVK66" s="528"/>
      <c r="JVL66" s="528"/>
      <c r="JVM66" s="528"/>
      <c r="JVN66" s="528"/>
      <c r="JVO66" s="528"/>
      <c r="JVP66" s="528"/>
      <c r="JVQ66" s="528"/>
      <c r="JVR66" s="528"/>
      <c r="JVS66" s="528"/>
      <c r="JVT66" s="528"/>
      <c r="JVU66" s="528"/>
      <c r="JVV66" s="528"/>
      <c r="JVW66" s="528"/>
      <c r="JVX66" s="528"/>
      <c r="JVY66" s="528"/>
      <c r="JVZ66" s="528"/>
      <c r="JWA66" s="528"/>
      <c r="JWB66" s="528"/>
      <c r="JWC66" s="528"/>
      <c r="JWD66" s="528"/>
      <c r="JWE66" s="528"/>
      <c r="JWF66" s="528"/>
      <c r="JWG66" s="528"/>
      <c r="JWH66" s="528"/>
      <c r="JWI66" s="528"/>
      <c r="JWJ66" s="528"/>
      <c r="JWK66" s="528"/>
      <c r="JWL66" s="528"/>
      <c r="JWM66" s="528"/>
      <c r="JWN66" s="528"/>
      <c r="JWO66" s="528"/>
      <c r="JWP66" s="528"/>
      <c r="JWQ66" s="528"/>
      <c r="JWR66" s="528"/>
      <c r="JWS66" s="528"/>
      <c r="JWT66" s="528"/>
      <c r="JWU66" s="528"/>
      <c r="JWV66" s="528"/>
      <c r="JWW66" s="528"/>
      <c r="JWX66" s="528"/>
      <c r="JWY66" s="528"/>
      <c r="JWZ66" s="528"/>
      <c r="JXA66" s="528"/>
      <c r="JXB66" s="528"/>
      <c r="JXC66" s="528"/>
      <c r="JXD66" s="528"/>
      <c r="JXE66" s="528"/>
      <c r="JXF66" s="528"/>
      <c r="JXG66" s="528"/>
      <c r="JXH66" s="528"/>
      <c r="JXI66" s="528"/>
      <c r="JXJ66" s="528"/>
      <c r="JXK66" s="528"/>
      <c r="JXL66" s="528"/>
      <c r="JXM66" s="528"/>
      <c r="JXN66" s="528"/>
      <c r="JXO66" s="528"/>
      <c r="JXP66" s="528"/>
      <c r="JXQ66" s="528"/>
      <c r="JXR66" s="528"/>
      <c r="JXS66" s="528"/>
      <c r="JXT66" s="528"/>
      <c r="JXU66" s="528"/>
      <c r="JXV66" s="528"/>
      <c r="JXW66" s="528"/>
      <c r="JXX66" s="528"/>
      <c r="JXY66" s="528"/>
      <c r="JXZ66" s="528"/>
      <c r="JYA66" s="528"/>
      <c r="JYB66" s="528"/>
      <c r="JYC66" s="528"/>
      <c r="JYD66" s="528"/>
      <c r="JYE66" s="528"/>
      <c r="JYF66" s="528"/>
      <c r="JYG66" s="528"/>
      <c r="JYH66" s="528"/>
      <c r="JYI66" s="528"/>
      <c r="JYJ66" s="528"/>
      <c r="JYK66" s="528"/>
      <c r="JYL66" s="528"/>
      <c r="JYM66" s="528"/>
      <c r="JYN66" s="528"/>
      <c r="JYO66" s="528"/>
      <c r="JYP66" s="528"/>
      <c r="JYQ66" s="528"/>
      <c r="JYR66" s="528"/>
      <c r="JYS66" s="528"/>
      <c r="JYT66" s="528"/>
      <c r="JYU66" s="528"/>
      <c r="JYV66" s="528"/>
      <c r="JYW66" s="528"/>
      <c r="JYX66" s="528"/>
      <c r="JYY66" s="528"/>
      <c r="JYZ66" s="528"/>
      <c r="JZA66" s="528"/>
      <c r="JZB66" s="528"/>
      <c r="JZC66" s="528"/>
      <c r="JZD66" s="528"/>
      <c r="JZE66" s="528"/>
      <c r="JZF66" s="528"/>
      <c r="JZG66" s="528"/>
      <c r="JZH66" s="528"/>
      <c r="JZI66" s="528"/>
      <c r="JZJ66" s="528"/>
      <c r="JZK66" s="528"/>
      <c r="JZL66" s="528"/>
      <c r="JZM66" s="528"/>
      <c r="JZN66" s="528"/>
      <c r="JZO66" s="528"/>
      <c r="JZP66" s="528"/>
      <c r="JZQ66" s="528"/>
      <c r="JZR66" s="528"/>
      <c r="JZS66" s="528"/>
      <c r="JZT66" s="528"/>
      <c r="JZU66" s="528"/>
      <c r="JZV66" s="528"/>
      <c r="JZW66" s="528"/>
      <c r="JZX66" s="528"/>
      <c r="JZY66" s="528"/>
      <c r="JZZ66" s="528"/>
      <c r="KAA66" s="528"/>
      <c r="KAB66" s="528"/>
      <c r="KAC66" s="528"/>
      <c r="KAD66" s="528"/>
      <c r="KAE66" s="528"/>
      <c r="KAF66" s="528"/>
      <c r="KAG66" s="528"/>
      <c r="KAH66" s="528"/>
      <c r="KAI66" s="528"/>
      <c r="KAJ66" s="528"/>
      <c r="KAK66" s="528"/>
      <c r="KAL66" s="528"/>
      <c r="KAM66" s="528"/>
      <c r="KAN66" s="528"/>
      <c r="KAO66" s="528"/>
      <c r="KAP66" s="528"/>
      <c r="KAQ66" s="528"/>
      <c r="KAR66" s="528"/>
      <c r="KAS66" s="528"/>
      <c r="KAT66" s="528"/>
      <c r="KAU66" s="528"/>
      <c r="KAV66" s="528"/>
      <c r="KAW66" s="528"/>
      <c r="KAX66" s="528"/>
      <c r="KAY66" s="528"/>
      <c r="KAZ66" s="528"/>
      <c r="KBA66" s="528"/>
      <c r="KBB66" s="528"/>
      <c r="KBC66" s="528"/>
      <c r="KBD66" s="528"/>
      <c r="KBE66" s="528"/>
      <c r="KBF66" s="528"/>
      <c r="KBG66" s="528"/>
      <c r="KBH66" s="528"/>
      <c r="KBI66" s="528"/>
      <c r="KBJ66" s="528"/>
      <c r="KBK66" s="528"/>
      <c r="KBL66" s="528"/>
      <c r="KBM66" s="528"/>
      <c r="KBN66" s="528"/>
      <c r="KBO66" s="528"/>
      <c r="KBP66" s="528"/>
      <c r="KBQ66" s="528"/>
      <c r="KBR66" s="528"/>
      <c r="KBS66" s="528"/>
      <c r="KBT66" s="528"/>
      <c r="KBU66" s="528"/>
      <c r="KBV66" s="528"/>
      <c r="KBW66" s="528"/>
      <c r="KBX66" s="528"/>
      <c r="KBY66" s="528"/>
      <c r="KBZ66" s="528"/>
      <c r="KCA66" s="528"/>
      <c r="KCB66" s="528"/>
      <c r="KCC66" s="528"/>
      <c r="KCD66" s="528"/>
      <c r="KCE66" s="528"/>
      <c r="KCF66" s="528"/>
      <c r="KCG66" s="528"/>
      <c r="KCH66" s="528"/>
      <c r="KCI66" s="528"/>
      <c r="KCJ66" s="528"/>
      <c r="KCK66" s="528"/>
      <c r="KCL66" s="528"/>
      <c r="KCM66" s="528"/>
      <c r="KCN66" s="528"/>
      <c r="KCO66" s="528"/>
      <c r="KCP66" s="528"/>
      <c r="KCQ66" s="528"/>
      <c r="KCR66" s="528"/>
      <c r="KCS66" s="528"/>
      <c r="KCT66" s="528"/>
      <c r="KCU66" s="528"/>
      <c r="KCV66" s="528"/>
      <c r="KCW66" s="528"/>
      <c r="KCX66" s="528"/>
      <c r="KCY66" s="528"/>
      <c r="KCZ66" s="528"/>
      <c r="KDA66" s="528"/>
      <c r="KDB66" s="528"/>
      <c r="KDC66" s="528"/>
      <c r="KDD66" s="528"/>
      <c r="KDE66" s="528"/>
      <c r="KDF66" s="528"/>
      <c r="KDG66" s="528"/>
      <c r="KDH66" s="528"/>
      <c r="KDI66" s="528"/>
      <c r="KDJ66" s="528"/>
      <c r="KDK66" s="528"/>
      <c r="KDL66" s="528"/>
      <c r="KDM66" s="528"/>
      <c r="KDN66" s="528"/>
      <c r="KDO66" s="528"/>
      <c r="KDP66" s="528"/>
      <c r="KDQ66" s="528"/>
      <c r="KDR66" s="528"/>
      <c r="KDS66" s="528"/>
      <c r="KDT66" s="528"/>
      <c r="KDU66" s="528"/>
      <c r="KDV66" s="528"/>
      <c r="KDW66" s="528"/>
      <c r="KDX66" s="528"/>
      <c r="KDY66" s="528"/>
      <c r="KDZ66" s="528"/>
      <c r="KEA66" s="528"/>
      <c r="KEB66" s="528"/>
      <c r="KEC66" s="528"/>
      <c r="KED66" s="528"/>
      <c r="KEE66" s="528"/>
      <c r="KEF66" s="528"/>
      <c r="KEG66" s="528"/>
      <c r="KEH66" s="528"/>
      <c r="KEI66" s="528"/>
      <c r="KEJ66" s="528"/>
      <c r="KEK66" s="528"/>
      <c r="KEL66" s="528"/>
      <c r="KEM66" s="528"/>
      <c r="KEN66" s="528"/>
      <c r="KEO66" s="528"/>
      <c r="KEP66" s="528"/>
      <c r="KEQ66" s="528"/>
      <c r="KER66" s="528"/>
      <c r="KES66" s="528"/>
      <c r="KET66" s="528"/>
      <c r="KEU66" s="528"/>
      <c r="KEV66" s="528"/>
      <c r="KEW66" s="528"/>
      <c r="KEX66" s="528"/>
      <c r="KEY66" s="528"/>
      <c r="KEZ66" s="528"/>
      <c r="KFA66" s="528"/>
      <c r="KFB66" s="528"/>
      <c r="KFC66" s="528"/>
      <c r="KFD66" s="528"/>
      <c r="KFE66" s="528"/>
      <c r="KFF66" s="528"/>
      <c r="KFG66" s="528"/>
      <c r="KFH66" s="528"/>
      <c r="KFI66" s="528"/>
      <c r="KFJ66" s="528"/>
      <c r="KFK66" s="528"/>
      <c r="KFL66" s="528"/>
      <c r="KFM66" s="528"/>
      <c r="KFN66" s="528"/>
      <c r="KFO66" s="528"/>
      <c r="KFP66" s="528"/>
      <c r="KFQ66" s="528"/>
      <c r="KFR66" s="528"/>
      <c r="KFS66" s="528"/>
      <c r="KFT66" s="528"/>
      <c r="KFU66" s="528"/>
      <c r="KFV66" s="528"/>
      <c r="KFW66" s="528"/>
      <c r="KFX66" s="528"/>
      <c r="KFY66" s="528"/>
      <c r="KFZ66" s="528"/>
      <c r="KGA66" s="528"/>
      <c r="KGB66" s="528"/>
      <c r="KGC66" s="528"/>
      <c r="KGD66" s="528"/>
      <c r="KGE66" s="528"/>
      <c r="KGF66" s="528"/>
      <c r="KGG66" s="528"/>
      <c r="KGH66" s="528"/>
      <c r="KGI66" s="528"/>
      <c r="KGJ66" s="528"/>
      <c r="KGK66" s="528"/>
      <c r="KGL66" s="528"/>
      <c r="KGM66" s="528"/>
      <c r="KGN66" s="528"/>
      <c r="KGO66" s="528"/>
      <c r="KGP66" s="528"/>
      <c r="KGQ66" s="528"/>
      <c r="KGR66" s="528"/>
      <c r="KGS66" s="528"/>
      <c r="KGT66" s="528"/>
      <c r="KGU66" s="528"/>
      <c r="KGV66" s="528"/>
      <c r="KGW66" s="528"/>
      <c r="KGX66" s="528"/>
      <c r="KGY66" s="528"/>
      <c r="KGZ66" s="528"/>
      <c r="KHA66" s="528"/>
      <c r="KHB66" s="528"/>
      <c r="KHC66" s="528"/>
      <c r="KHD66" s="528"/>
      <c r="KHE66" s="528"/>
      <c r="KHF66" s="528"/>
      <c r="KHG66" s="528"/>
      <c r="KHH66" s="528"/>
      <c r="KHI66" s="528"/>
      <c r="KHJ66" s="528"/>
      <c r="KHK66" s="528"/>
      <c r="KHL66" s="528"/>
      <c r="KHM66" s="528"/>
      <c r="KHN66" s="528"/>
      <c r="KHO66" s="528"/>
      <c r="KHP66" s="528"/>
      <c r="KHQ66" s="528"/>
      <c r="KHR66" s="528"/>
      <c r="KHS66" s="528"/>
      <c r="KHT66" s="528"/>
      <c r="KHU66" s="528"/>
      <c r="KHV66" s="528"/>
      <c r="KHW66" s="528"/>
      <c r="KHX66" s="528"/>
      <c r="KHY66" s="528"/>
      <c r="KHZ66" s="528"/>
      <c r="KIA66" s="528"/>
      <c r="KIB66" s="528"/>
      <c r="KIC66" s="528"/>
      <c r="KID66" s="528"/>
      <c r="KIE66" s="528"/>
      <c r="KIF66" s="528"/>
      <c r="KIG66" s="528"/>
      <c r="KIH66" s="528"/>
      <c r="KII66" s="528"/>
      <c r="KIJ66" s="528"/>
      <c r="KIK66" s="528"/>
      <c r="KIL66" s="528"/>
      <c r="KIM66" s="528"/>
      <c r="KIN66" s="528"/>
      <c r="KIO66" s="528"/>
      <c r="KIP66" s="528"/>
      <c r="KIQ66" s="528"/>
      <c r="KIR66" s="528"/>
      <c r="KIS66" s="528"/>
      <c r="KIT66" s="528"/>
      <c r="KIU66" s="528"/>
      <c r="KIV66" s="528"/>
      <c r="KIW66" s="528"/>
      <c r="KIX66" s="528"/>
      <c r="KIY66" s="528"/>
      <c r="KIZ66" s="528"/>
      <c r="KJA66" s="528"/>
      <c r="KJB66" s="528"/>
      <c r="KJC66" s="528"/>
      <c r="KJD66" s="528"/>
      <c r="KJE66" s="528"/>
      <c r="KJF66" s="528"/>
      <c r="KJG66" s="528"/>
      <c r="KJH66" s="528"/>
      <c r="KJI66" s="528"/>
      <c r="KJJ66" s="528"/>
      <c r="KJK66" s="528"/>
      <c r="KJL66" s="528"/>
      <c r="KJM66" s="528"/>
      <c r="KJN66" s="528"/>
      <c r="KJO66" s="528"/>
      <c r="KJP66" s="528"/>
      <c r="KJQ66" s="528"/>
      <c r="KJR66" s="528"/>
      <c r="KJS66" s="528"/>
      <c r="KJT66" s="528"/>
      <c r="KJU66" s="528"/>
      <c r="KJV66" s="528"/>
      <c r="KJW66" s="528"/>
      <c r="KJX66" s="528"/>
      <c r="KJY66" s="528"/>
      <c r="KJZ66" s="528"/>
      <c r="KKA66" s="528"/>
      <c r="KKB66" s="528"/>
      <c r="KKC66" s="528"/>
      <c r="KKD66" s="528"/>
      <c r="KKE66" s="528"/>
      <c r="KKF66" s="528"/>
      <c r="KKG66" s="528"/>
      <c r="KKH66" s="528"/>
      <c r="KKI66" s="528"/>
      <c r="KKJ66" s="528"/>
      <c r="KKK66" s="528"/>
      <c r="KKL66" s="528"/>
      <c r="KKM66" s="528"/>
      <c r="KKN66" s="528"/>
      <c r="KKO66" s="528"/>
      <c r="KKP66" s="528"/>
      <c r="KKQ66" s="528"/>
      <c r="KKR66" s="528"/>
      <c r="KKS66" s="528"/>
      <c r="KKT66" s="528"/>
      <c r="KKU66" s="528"/>
      <c r="KKV66" s="528"/>
      <c r="KKW66" s="528"/>
      <c r="KKX66" s="528"/>
      <c r="KKY66" s="528"/>
      <c r="KKZ66" s="528"/>
      <c r="KLA66" s="528"/>
      <c r="KLB66" s="528"/>
      <c r="KLC66" s="528"/>
      <c r="KLD66" s="528"/>
      <c r="KLE66" s="528"/>
      <c r="KLF66" s="528"/>
      <c r="KLG66" s="528"/>
      <c r="KLH66" s="528"/>
      <c r="KLI66" s="528"/>
      <c r="KLJ66" s="528"/>
      <c r="KLK66" s="528"/>
      <c r="KLL66" s="528"/>
      <c r="KLM66" s="528"/>
      <c r="KLN66" s="528"/>
      <c r="KLO66" s="528"/>
      <c r="KLP66" s="528"/>
      <c r="KLQ66" s="528"/>
      <c r="KLR66" s="528"/>
      <c r="KLS66" s="528"/>
      <c r="KLT66" s="528"/>
      <c r="KLU66" s="528"/>
      <c r="KLV66" s="528"/>
      <c r="KLW66" s="528"/>
      <c r="KLX66" s="528"/>
      <c r="KLY66" s="528"/>
      <c r="KLZ66" s="528"/>
      <c r="KMA66" s="528"/>
      <c r="KMB66" s="528"/>
      <c r="KMC66" s="528"/>
      <c r="KMD66" s="528"/>
      <c r="KME66" s="528"/>
      <c r="KMF66" s="528"/>
      <c r="KMG66" s="528"/>
      <c r="KMH66" s="528"/>
      <c r="KMI66" s="528"/>
      <c r="KMJ66" s="528"/>
      <c r="KMK66" s="528"/>
      <c r="KML66" s="528"/>
      <c r="KMM66" s="528"/>
      <c r="KMN66" s="528"/>
      <c r="KMO66" s="528"/>
      <c r="KMP66" s="528"/>
      <c r="KMQ66" s="528"/>
      <c r="KMR66" s="528"/>
      <c r="KMS66" s="528"/>
      <c r="KMT66" s="528"/>
      <c r="KMU66" s="528"/>
      <c r="KMV66" s="528"/>
      <c r="KMW66" s="528"/>
      <c r="KMX66" s="528"/>
      <c r="KMY66" s="528"/>
      <c r="KMZ66" s="528"/>
      <c r="KNA66" s="528"/>
      <c r="KNB66" s="528"/>
      <c r="KNC66" s="528"/>
      <c r="KND66" s="528"/>
      <c r="KNE66" s="528"/>
      <c r="KNF66" s="528"/>
      <c r="KNG66" s="528"/>
      <c r="KNH66" s="528"/>
      <c r="KNI66" s="528"/>
      <c r="KNJ66" s="528"/>
      <c r="KNK66" s="528"/>
      <c r="KNL66" s="528"/>
      <c r="KNM66" s="528"/>
      <c r="KNN66" s="528"/>
      <c r="KNO66" s="528"/>
      <c r="KNP66" s="528"/>
      <c r="KNQ66" s="528"/>
      <c r="KNR66" s="528"/>
      <c r="KNS66" s="528"/>
      <c r="KNT66" s="528"/>
      <c r="KNU66" s="528"/>
      <c r="KNV66" s="528"/>
      <c r="KNW66" s="528"/>
      <c r="KNX66" s="528"/>
      <c r="KNY66" s="528"/>
      <c r="KNZ66" s="528"/>
      <c r="KOA66" s="528"/>
      <c r="KOB66" s="528"/>
      <c r="KOC66" s="528"/>
      <c r="KOD66" s="528"/>
      <c r="KOE66" s="528"/>
      <c r="KOF66" s="528"/>
      <c r="KOG66" s="528"/>
      <c r="KOH66" s="528"/>
      <c r="KOI66" s="528"/>
      <c r="KOJ66" s="528"/>
      <c r="KOK66" s="528"/>
      <c r="KOL66" s="528"/>
      <c r="KOM66" s="528"/>
      <c r="KON66" s="528"/>
      <c r="KOO66" s="528"/>
      <c r="KOP66" s="528"/>
      <c r="KOQ66" s="528"/>
      <c r="KOR66" s="528"/>
      <c r="KOS66" s="528"/>
      <c r="KOT66" s="528"/>
      <c r="KOU66" s="528"/>
      <c r="KOV66" s="528"/>
      <c r="KOW66" s="528"/>
      <c r="KOX66" s="528"/>
      <c r="KOY66" s="528"/>
      <c r="KOZ66" s="528"/>
      <c r="KPA66" s="528"/>
      <c r="KPB66" s="528"/>
      <c r="KPC66" s="528"/>
      <c r="KPD66" s="528"/>
      <c r="KPE66" s="528"/>
      <c r="KPF66" s="528"/>
      <c r="KPG66" s="528"/>
      <c r="KPH66" s="528"/>
      <c r="KPI66" s="528"/>
      <c r="KPJ66" s="528"/>
      <c r="KPK66" s="528"/>
      <c r="KPL66" s="528"/>
      <c r="KPM66" s="528"/>
      <c r="KPN66" s="528"/>
      <c r="KPO66" s="528"/>
      <c r="KPP66" s="528"/>
      <c r="KPQ66" s="528"/>
      <c r="KPR66" s="528"/>
      <c r="KPS66" s="528"/>
      <c r="KPT66" s="528"/>
      <c r="KPU66" s="528"/>
      <c r="KPV66" s="528"/>
      <c r="KPW66" s="528"/>
      <c r="KPX66" s="528"/>
      <c r="KPY66" s="528"/>
      <c r="KPZ66" s="528"/>
      <c r="KQA66" s="528"/>
      <c r="KQB66" s="528"/>
      <c r="KQC66" s="528"/>
      <c r="KQD66" s="528"/>
      <c r="KQE66" s="528"/>
      <c r="KQF66" s="528"/>
      <c r="KQG66" s="528"/>
      <c r="KQH66" s="528"/>
      <c r="KQI66" s="528"/>
      <c r="KQJ66" s="528"/>
      <c r="KQK66" s="528"/>
      <c r="KQL66" s="528"/>
      <c r="KQM66" s="528"/>
      <c r="KQN66" s="528"/>
      <c r="KQO66" s="528"/>
      <c r="KQP66" s="528"/>
      <c r="KQQ66" s="528"/>
      <c r="KQR66" s="528"/>
      <c r="KQS66" s="528"/>
      <c r="KQT66" s="528"/>
      <c r="KQU66" s="528"/>
      <c r="KQV66" s="528"/>
      <c r="KQW66" s="528"/>
      <c r="KQX66" s="528"/>
      <c r="KQY66" s="528"/>
      <c r="KQZ66" s="528"/>
      <c r="KRA66" s="528"/>
      <c r="KRB66" s="528"/>
      <c r="KRC66" s="528"/>
      <c r="KRD66" s="528"/>
      <c r="KRE66" s="528"/>
      <c r="KRF66" s="528"/>
      <c r="KRG66" s="528"/>
      <c r="KRH66" s="528"/>
      <c r="KRI66" s="528"/>
      <c r="KRJ66" s="528"/>
      <c r="KRK66" s="528"/>
      <c r="KRL66" s="528"/>
      <c r="KRM66" s="528"/>
      <c r="KRN66" s="528"/>
      <c r="KRO66" s="528"/>
      <c r="KRP66" s="528"/>
      <c r="KRQ66" s="528"/>
      <c r="KRR66" s="528"/>
      <c r="KRS66" s="528"/>
      <c r="KRT66" s="528"/>
      <c r="KRU66" s="528"/>
      <c r="KRV66" s="528"/>
      <c r="KRW66" s="528"/>
      <c r="KRX66" s="528"/>
      <c r="KRY66" s="528"/>
      <c r="KRZ66" s="528"/>
      <c r="KSA66" s="528"/>
      <c r="KSB66" s="528"/>
      <c r="KSC66" s="528"/>
      <c r="KSD66" s="528"/>
      <c r="KSE66" s="528"/>
      <c r="KSF66" s="528"/>
      <c r="KSG66" s="528"/>
      <c r="KSH66" s="528"/>
      <c r="KSI66" s="528"/>
      <c r="KSJ66" s="528"/>
      <c r="KSK66" s="528"/>
      <c r="KSL66" s="528"/>
      <c r="KSM66" s="528"/>
      <c r="KSN66" s="528"/>
      <c r="KSO66" s="528"/>
      <c r="KSP66" s="528"/>
      <c r="KSQ66" s="528"/>
      <c r="KSR66" s="528"/>
      <c r="KSS66" s="528"/>
      <c r="KST66" s="528"/>
      <c r="KSU66" s="528"/>
      <c r="KSV66" s="528"/>
      <c r="KSW66" s="528"/>
      <c r="KSX66" s="528"/>
      <c r="KSY66" s="528"/>
      <c r="KSZ66" s="528"/>
      <c r="KTA66" s="528"/>
      <c r="KTB66" s="528"/>
      <c r="KTC66" s="528"/>
      <c r="KTD66" s="528"/>
      <c r="KTE66" s="528"/>
      <c r="KTF66" s="528"/>
      <c r="KTG66" s="528"/>
      <c r="KTH66" s="528"/>
      <c r="KTI66" s="528"/>
      <c r="KTJ66" s="528"/>
      <c r="KTK66" s="528"/>
      <c r="KTL66" s="528"/>
      <c r="KTM66" s="528"/>
      <c r="KTN66" s="528"/>
      <c r="KTO66" s="528"/>
      <c r="KTP66" s="528"/>
      <c r="KTQ66" s="528"/>
      <c r="KTR66" s="528"/>
      <c r="KTS66" s="528"/>
      <c r="KTT66" s="528"/>
      <c r="KTU66" s="528"/>
      <c r="KTV66" s="528"/>
      <c r="KTW66" s="528"/>
      <c r="KTX66" s="528"/>
      <c r="KTY66" s="528"/>
      <c r="KTZ66" s="528"/>
      <c r="KUA66" s="528"/>
      <c r="KUB66" s="528"/>
      <c r="KUC66" s="528"/>
      <c r="KUD66" s="528"/>
      <c r="KUE66" s="528"/>
      <c r="KUF66" s="528"/>
      <c r="KUG66" s="528"/>
      <c r="KUH66" s="528"/>
      <c r="KUI66" s="528"/>
      <c r="KUJ66" s="528"/>
      <c r="KUK66" s="528"/>
      <c r="KUL66" s="528"/>
      <c r="KUM66" s="528"/>
      <c r="KUN66" s="528"/>
      <c r="KUO66" s="528"/>
      <c r="KUP66" s="528"/>
      <c r="KUQ66" s="528"/>
      <c r="KUR66" s="528"/>
      <c r="KUS66" s="528"/>
      <c r="KUT66" s="528"/>
      <c r="KUU66" s="528"/>
      <c r="KUV66" s="528"/>
      <c r="KUW66" s="528"/>
      <c r="KUX66" s="528"/>
      <c r="KUY66" s="528"/>
      <c r="KUZ66" s="528"/>
      <c r="KVA66" s="528"/>
      <c r="KVB66" s="528"/>
      <c r="KVC66" s="528"/>
      <c r="KVD66" s="528"/>
      <c r="KVE66" s="528"/>
      <c r="KVF66" s="528"/>
      <c r="KVG66" s="528"/>
      <c r="KVH66" s="528"/>
      <c r="KVI66" s="528"/>
      <c r="KVJ66" s="528"/>
      <c r="KVK66" s="528"/>
      <c r="KVL66" s="528"/>
      <c r="KVM66" s="528"/>
      <c r="KVN66" s="528"/>
      <c r="KVO66" s="528"/>
      <c r="KVP66" s="528"/>
      <c r="KVQ66" s="528"/>
      <c r="KVR66" s="528"/>
      <c r="KVS66" s="528"/>
      <c r="KVT66" s="528"/>
      <c r="KVU66" s="528"/>
      <c r="KVV66" s="528"/>
      <c r="KVW66" s="528"/>
      <c r="KVX66" s="528"/>
      <c r="KVY66" s="528"/>
      <c r="KVZ66" s="528"/>
      <c r="KWA66" s="528"/>
      <c r="KWB66" s="528"/>
      <c r="KWC66" s="528"/>
      <c r="KWD66" s="528"/>
      <c r="KWE66" s="528"/>
      <c r="KWF66" s="528"/>
      <c r="KWG66" s="528"/>
      <c r="KWH66" s="528"/>
      <c r="KWI66" s="528"/>
      <c r="KWJ66" s="528"/>
      <c r="KWK66" s="528"/>
      <c r="KWL66" s="528"/>
      <c r="KWM66" s="528"/>
      <c r="KWN66" s="528"/>
      <c r="KWO66" s="528"/>
      <c r="KWP66" s="528"/>
      <c r="KWQ66" s="528"/>
      <c r="KWR66" s="528"/>
      <c r="KWS66" s="528"/>
      <c r="KWT66" s="528"/>
      <c r="KWU66" s="528"/>
      <c r="KWV66" s="528"/>
      <c r="KWW66" s="528"/>
      <c r="KWX66" s="528"/>
      <c r="KWY66" s="528"/>
      <c r="KWZ66" s="528"/>
      <c r="KXA66" s="528"/>
      <c r="KXB66" s="528"/>
      <c r="KXC66" s="528"/>
      <c r="KXD66" s="528"/>
      <c r="KXE66" s="528"/>
      <c r="KXF66" s="528"/>
      <c r="KXG66" s="528"/>
      <c r="KXH66" s="528"/>
      <c r="KXI66" s="528"/>
      <c r="KXJ66" s="528"/>
      <c r="KXK66" s="528"/>
      <c r="KXL66" s="528"/>
      <c r="KXM66" s="528"/>
      <c r="KXN66" s="528"/>
      <c r="KXO66" s="528"/>
      <c r="KXP66" s="528"/>
      <c r="KXQ66" s="528"/>
      <c r="KXR66" s="528"/>
      <c r="KXS66" s="528"/>
      <c r="KXT66" s="528"/>
      <c r="KXU66" s="528"/>
      <c r="KXV66" s="528"/>
      <c r="KXW66" s="528"/>
      <c r="KXX66" s="528"/>
      <c r="KXY66" s="528"/>
      <c r="KXZ66" s="528"/>
      <c r="KYA66" s="528"/>
      <c r="KYB66" s="528"/>
      <c r="KYC66" s="528"/>
      <c r="KYD66" s="528"/>
      <c r="KYE66" s="528"/>
      <c r="KYF66" s="528"/>
      <c r="KYG66" s="528"/>
      <c r="KYH66" s="528"/>
      <c r="KYI66" s="528"/>
      <c r="KYJ66" s="528"/>
      <c r="KYK66" s="528"/>
      <c r="KYL66" s="528"/>
      <c r="KYM66" s="528"/>
      <c r="KYN66" s="528"/>
      <c r="KYO66" s="528"/>
      <c r="KYP66" s="528"/>
      <c r="KYQ66" s="528"/>
      <c r="KYR66" s="528"/>
      <c r="KYS66" s="528"/>
      <c r="KYT66" s="528"/>
      <c r="KYU66" s="528"/>
      <c r="KYV66" s="528"/>
      <c r="KYW66" s="528"/>
      <c r="KYX66" s="528"/>
      <c r="KYY66" s="528"/>
      <c r="KYZ66" s="528"/>
      <c r="KZA66" s="528"/>
      <c r="KZB66" s="528"/>
      <c r="KZC66" s="528"/>
      <c r="KZD66" s="528"/>
      <c r="KZE66" s="528"/>
      <c r="KZF66" s="528"/>
      <c r="KZG66" s="528"/>
      <c r="KZH66" s="528"/>
      <c r="KZI66" s="528"/>
      <c r="KZJ66" s="528"/>
      <c r="KZK66" s="528"/>
      <c r="KZL66" s="528"/>
      <c r="KZM66" s="528"/>
      <c r="KZN66" s="528"/>
      <c r="KZO66" s="528"/>
      <c r="KZP66" s="528"/>
      <c r="KZQ66" s="528"/>
      <c r="KZR66" s="528"/>
      <c r="KZS66" s="528"/>
      <c r="KZT66" s="528"/>
      <c r="KZU66" s="528"/>
      <c r="KZV66" s="528"/>
      <c r="KZW66" s="528"/>
      <c r="KZX66" s="528"/>
      <c r="KZY66" s="528"/>
      <c r="KZZ66" s="528"/>
      <c r="LAA66" s="528"/>
      <c r="LAB66" s="528"/>
      <c r="LAC66" s="528"/>
      <c r="LAD66" s="528"/>
      <c r="LAE66" s="528"/>
      <c r="LAF66" s="528"/>
      <c r="LAG66" s="528"/>
      <c r="LAH66" s="528"/>
      <c r="LAI66" s="528"/>
      <c r="LAJ66" s="528"/>
      <c r="LAK66" s="528"/>
      <c r="LAL66" s="528"/>
      <c r="LAM66" s="528"/>
      <c r="LAN66" s="528"/>
      <c r="LAO66" s="528"/>
      <c r="LAP66" s="528"/>
      <c r="LAQ66" s="528"/>
      <c r="LAR66" s="528"/>
      <c r="LAS66" s="528"/>
      <c r="LAT66" s="528"/>
      <c r="LAU66" s="528"/>
      <c r="LAV66" s="528"/>
      <c r="LAW66" s="528"/>
      <c r="LAX66" s="528"/>
      <c r="LAY66" s="528"/>
      <c r="LAZ66" s="528"/>
      <c r="LBA66" s="528"/>
      <c r="LBB66" s="528"/>
      <c r="LBC66" s="528"/>
      <c r="LBD66" s="528"/>
      <c r="LBE66" s="528"/>
      <c r="LBF66" s="528"/>
      <c r="LBG66" s="528"/>
      <c r="LBH66" s="528"/>
      <c r="LBI66" s="528"/>
      <c r="LBJ66" s="528"/>
      <c r="LBK66" s="528"/>
      <c r="LBL66" s="528"/>
      <c r="LBM66" s="528"/>
      <c r="LBN66" s="528"/>
      <c r="LBO66" s="528"/>
      <c r="LBP66" s="528"/>
      <c r="LBQ66" s="528"/>
      <c r="LBR66" s="528"/>
      <c r="LBS66" s="528"/>
      <c r="LBT66" s="528"/>
      <c r="LBU66" s="528"/>
      <c r="LBV66" s="528"/>
      <c r="LBW66" s="528"/>
      <c r="LBX66" s="528"/>
      <c r="LBY66" s="528"/>
      <c r="LBZ66" s="528"/>
      <c r="LCA66" s="528"/>
      <c r="LCB66" s="528"/>
      <c r="LCC66" s="528"/>
      <c r="LCD66" s="528"/>
      <c r="LCE66" s="528"/>
      <c r="LCF66" s="528"/>
      <c r="LCG66" s="528"/>
      <c r="LCH66" s="528"/>
      <c r="LCI66" s="528"/>
      <c r="LCJ66" s="528"/>
      <c r="LCK66" s="528"/>
      <c r="LCL66" s="528"/>
      <c r="LCM66" s="528"/>
      <c r="LCN66" s="528"/>
      <c r="LCO66" s="528"/>
      <c r="LCP66" s="528"/>
      <c r="LCQ66" s="528"/>
      <c r="LCR66" s="528"/>
      <c r="LCS66" s="528"/>
      <c r="LCT66" s="528"/>
      <c r="LCU66" s="528"/>
      <c r="LCV66" s="528"/>
      <c r="LCW66" s="528"/>
      <c r="LCX66" s="528"/>
      <c r="LCY66" s="528"/>
      <c r="LCZ66" s="528"/>
      <c r="LDA66" s="528"/>
      <c r="LDB66" s="528"/>
      <c r="LDC66" s="528"/>
      <c r="LDD66" s="528"/>
      <c r="LDE66" s="528"/>
      <c r="LDF66" s="528"/>
      <c r="LDG66" s="528"/>
      <c r="LDH66" s="528"/>
      <c r="LDI66" s="528"/>
      <c r="LDJ66" s="528"/>
      <c r="LDK66" s="528"/>
      <c r="LDL66" s="528"/>
      <c r="LDM66" s="528"/>
      <c r="LDN66" s="528"/>
      <c r="LDO66" s="528"/>
      <c r="LDP66" s="528"/>
      <c r="LDQ66" s="528"/>
      <c r="LDR66" s="528"/>
      <c r="LDS66" s="528"/>
      <c r="LDT66" s="528"/>
      <c r="LDU66" s="528"/>
      <c r="LDV66" s="528"/>
      <c r="LDW66" s="528"/>
      <c r="LDX66" s="528"/>
      <c r="LDY66" s="528"/>
      <c r="LDZ66" s="528"/>
      <c r="LEA66" s="528"/>
      <c r="LEB66" s="528"/>
      <c r="LEC66" s="528"/>
      <c r="LED66" s="528"/>
      <c r="LEE66" s="528"/>
      <c r="LEF66" s="528"/>
      <c r="LEG66" s="528"/>
      <c r="LEH66" s="528"/>
      <c r="LEI66" s="528"/>
      <c r="LEJ66" s="528"/>
      <c r="LEK66" s="528"/>
      <c r="LEL66" s="528"/>
      <c r="LEM66" s="528"/>
      <c r="LEN66" s="528"/>
      <c r="LEO66" s="528"/>
      <c r="LEP66" s="528"/>
      <c r="LEQ66" s="528"/>
      <c r="LER66" s="528"/>
      <c r="LES66" s="528"/>
      <c r="LET66" s="528"/>
      <c r="LEU66" s="528"/>
      <c r="LEV66" s="528"/>
      <c r="LEW66" s="528"/>
      <c r="LEX66" s="528"/>
      <c r="LEY66" s="528"/>
      <c r="LEZ66" s="528"/>
      <c r="LFA66" s="528"/>
      <c r="LFB66" s="528"/>
      <c r="LFC66" s="528"/>
      <c r="LFD66" s="528"/>
      <c r="LFE66" s="528"/>
      <c r="LFF66" s="528"/>
      <c r="LFG66" s="528"/>
      <c r="LFH66" s="528"/>
      <c r="LFI66" s="528"/>
      <c r="LFJ66" s="528"/>
      <c r="LFK66" s="528"/>
      <c r="LFL66" s="528"/>
      <c r="LFM66" s="528"/>
      <c r="LFN66" s="528"/>
      <c r="LFO66" s="528"/>
      <c r="LFP66" s="528"/>
      <c r="LFQ66" s="528"/>
      <c r="LFR66" s="528"/>
      <c r="LFS66" s="528"/>
      <c r="LFT66" s="528"/>
      <c r="LFU66" s="528"/>
      <c r="LFV66" s="528"/>
      <c r="LFW66" s="528"/>
      <c r="LFX66" s="528"/>
      <c r="LFY66" s="528"/>
      <c r="LFZ66" s="528"/>
      <c r="LGA66" s="528"/>
      <c r="LGB66" s="528"/>
      <c r="LGC66" s="528"/>
      <c r="LGD66" s="528"/>
      <c r="LGE66" s="528"/>
      <c r="LGF66" s="528"/>
      <c r="LGG66" s="528"/>
      <c r="LGH66" s="528"/>
      <c r="LGI66" s="528"/>
      <c r="LGJ66" s="528"/>
      <c r="LGK66" s="528"/>
      <c r="LGL66" s="528"/>
      <c r="LGM66" s="528"/>
      <c r="LGN66" s="528"/>
      <c r="LGO66" s="528"/>
      <c r="LGP66" s="528"/>
      <c r="LGQ66" s="528"/>
      <c r="LGR66" s="528"/>
      <c r="LGS66" s="528"/>
      <c r="LGT66" s="528"/>
      <c r="LGU66" s="528"/>
      <c r="LGV66" s="528"/>
      <c r="LGW66" s="528"/>
      <c r="LGX66" s="528"/>
      <c r="LGY66" s="528"/>
      <c r="LGZ66" s="528"/>
      <c r="LHA66" s="528"/>
      <c r="LHB66" s="528"/>
      <c r="LHC66" s="528"/>
      <c r="LHD66" s="528"/>
      <c r="LHE66" s="528"/>
      <c r="LHF66" s="528"/>
      <c r="LHG66" s="528"/>
      <c r="LHH66" s="528"/>
      <c r="LHI66" s="528"/>
      <c r="LHJ66" s="528"/>
      <c r="LHK66" s="528"/>
      <c r="LHL66" s="528"/>
      <c r="LHM66" s="528"/>
      <c r="LHN66" s="528"/>
      <c r="LHO66" s="528"/>
      <c r="LHP66" s="528"/>
      <c r="LHQ66" s="528"/>
      <c r="LHR66" s="528"/>
      <c r="LHS66" s="528"/>
      <c r="LHT66" s="528"/>
      <c r="LHU66" s="528"/>
      <c r="LHV66" s="528"/>
      <c r="LHW66" s="528"/>
      <c r="LHX66" s="528"/>
      <c r="LHY66" s="528"/>
      <c r="LHZ66" s="528"/>
      <c r="LIA66" s="528"/>
      <c r="LIB66" s="528"/>
      <c r="LIC66" s="528"/>
      <c r="LID66" s="528"/>
      <c r="LIE66" s="528"/>
      <c r="LIF66" s="528"/>
      <c r="LIG66" s="528"/>
      <c r="LIH66" s="528"/>
      <c r="LII66" s="528"/>
      <c r="LIJ66" s="528"/>
      <c r="LIK66" s="528"/>
      <c r="LIL66" s="528"/>
      <c r="LIM66" s="528"/>
      <c r="LIN66" s="528"/>
      <c r="LIO66" s="528"/>
      <c r="LIP66" s="528"/>
      <c r="LIQ66" s="528"/>
      <c r="LIR66" s="528"/>
      <c r="LIS66" s="528"/>
      <c r="LIT66" s="528"/>
      <c r="LIU66" s="528"/>
      <c r="LIV66" s="528"/>
      <c r="LIW66" s="528"/>
      <c r="LIX66" s="528"/>
      <c r="LIY66" s="528"/>
      <c r="LIZ66" s="528"/>
      <c r="LJA66" s="528"/>
      <c r="LJB66" s="528"/>
      <c r="LJC66" s="528"/>
      <c r="LJD66" s="528"/>
      <c r="LJE66" s="528"/>
      <c r="LJF66" s="528"/>
      <c r="LJG66" s="528"/>
      <c r="LJH66" s="528"/>
      <c r="LJI66" s="528"/>
      <c r="LJJ66" s="528"/>
      <c r="LJK66" s="528"/>
      <c r="LJL66" s="528"/>
      <c r="LJM66" s="528"/>
      <c r="LJN66" s="528"/>
      <c r="LJO66" s="528"/>
      <c r="LJP66" s="528"/>
      <c r="LJQ66" s="528"/>
      <c r="LJR66" s="528"/>
      <c r="LJS66" s="528"/>
      <c r="LJT66" s="528"/>
      <c r="LJU66" s="528"/>
      <c r="LJV66" s="528"/>
      <c r="LJW66" s="528"/>
      <c r="LJX66" s="528"/>
      <c r="LJY66" s="528"/>
      <c r="LJZ66" s="528"/>
      <c r="LKA66" s="528"/>
      <c r="LKB66" s="528"/>
      <c r="LKC66" s="528"/>
      <c r="LKD66" s="528"/>
      <c r="LKE66" s="528"/>
      <c r="LKF66" s="528"/>
      <c r="LKG66" s="528"/>
      <c r="LKH66" s="528"/>
      <c r="LKI66" s="528"/>
      <c r="LKJ66" s="528"/>
      <c r="LKK66" s="528"/>
      <c r="LKL66" s="528"/>
      <c r="LKM66" s="528"/>
      <c r="LKN66" s="528"/>
      <c r="LKO66" s="528"/>
      <c r="LKP66" s="528"/>
      <c r="LKQ66" s="528"/>
      <c r="LKR66" s="528"/>
      <c r="LKS66" s="528"/>
      <c r="LKT66" s="528"/>
      <c r="LKU66" s="528"/>
      <c r="LKV66" s="528"/>
      <c r="LKW66" s="528"/>
      <c r="LKX66" s="528"/>
      <c r="LKY66" s="528"/>
      <c r="LKZ66" s="528"/>
      <c r="LLA66" s="528"/>
      <c r="LLB66" s="528"/>
      <c r="LLC66" s="528"/>
      <c r="LLD66" s="528"/>
      <c r="LLE66" s="528"/>
      <c r="LLF66" s="528"/>
      <c r="LLG66" s="528"/>
      <c r="LLH66" s="528"/>
      <c r="LLI66" s="528"/>
      <c r="LLJ66" s="528"/>
      <c r="LLK66" s="528"/>
      <c r="LLL66" s="528"/>
      <c r="LLM66" s="528"/>
      <c r="LLN66" s="528"/>
      <c r="LLO66" s="528"/>
      <c r="LLP66" s="528"/>
      <c r="LLQ66" s="528"/>
      <c r="LLR66" s="528"/>
      <c r="LLS66" s="528"/>
      <c r="LLT66" s="528"/>
      <c r="LLU66" s="528"/>
      <c r="LLV66" s="528"/>
      <c r="LLW66" s="528"/>
      <c r="LLX66" s="528"/>
      <c r="LLY66" s="528"/>
      <c r="LLZ66" s="528"/>
      <c r="LMA66" s="528"/>
      <c r="LMB66" s="528"/>
      <c r="LMC66" s="528"/>
      <c r="LMD66" s="528"/>
      <c r="LME66" s="528"/>
      <c r="LMF66" s="528"/>
      <c r="LMG66" s="528"/>
      <c r="LMH66" s="528"/>
      <c r="LMI66" s="528"/>
      <c r="LMJ66" s="528"/>
      <c r="LMK66" s="528"/>
      <c r="LML66" s="528"/>
      <c r="LMM66" s="528"/>
      <c r="LMN66" s="528"/>
      <c r="LMO66" s="528"/>
      <c r="LMP66" s="528"/>
      <c r="LMQ66" s="528"/>
      <c r="LMR66" s="528"/>
      <c r="LMS66" s="528"/>
      <c r="LMT66" s="528"/>
      <c r="LMU66" s="528"/>
      <c r="LMV66" s="528"/>
      <c r="LMW66" s="528"/>
      <c r="LMX66" s="528"/>
      <c r="LMY66" s="528"/>
      <c r="LMZ66" s="528"/>
      <c r="LNA66" s="528"/>
      <c r="LNB66" s="528"/>
      <c r="LNC66" s="528"/>
      <c r="LND66" s="528"/>
      <c r="LNE66" s="528"/>
      <c r="LNF66" s="528"/>
      <c r="LNG66" s="528"/>
      <c r="LNH66" s="528"/>
      <c r="LNI66" s="528"/>
      <c r="LNJ66" s="528"/>
      <c r="LNK66" s="528"/>
      <c r="LNL66" s="528"/>
      <c r="LNM66" s="528"/>
      <c r="LNN66" s="528"/>
      <c r="LNO66" s="528"/>
      <c r="LNP66" s="528"/>
      <c r="LNQ66" s="528"/>
      <c r="LNR66" s="528"/>
      <c r="LNS66" s="528"/>
      <c r="LNT66" s="528"/>
      <c r="LNU66" s="528"/>
      <c r="LNV66" s="528"/>
      <c r="LNW66" s="528"/>
      <c r="LNX66" s="528"/>
      <c r="LNY66" s="528"/>
      <c r="LNZ66" s="528"/>
      <c r="LOA66" s="528"/>
      <c r="LOB66" s="528"/>
      <c r="LOC66" s="528"/>
      <c r="LOD66" s="528"/>
      <c r="LOE66" s="528"/>
      <c r="LOF66" s="528"/>
      <c r="LOG66" s="528"/>
      <c r="LOH66" s="528"/>
      <c r="LOI66" s="528"/>
      <c r="LOJ66" s="528"/>
      <c r="LOK66" s="528"/>
      <c r="LOL66" s="528"/>
      <c r="LOM66" s="528"/>
      <c r="LON66" s="528"/>
      <c r="LOO66" s="528"/>
      <c r="LOP66" s="528"/>
      <c r="LOQ66" s="528"/>
      <c r="LOR66" s="528"/>
      <c r="LOS66" s="528"/>
      <c r="LOT66" s="528"/>
      <c r="LOU66" s="528"/>
      <c r="LOV66" s="528"/>
      <c r="LOW66" s="528"/>
      <c r="LOX66" s="528"/>
      <c r="LOY66" s="528"/>
      <c r="LOZ66" s="528"/>
      <c r="LPA66" s="528"/>
      <c r="LPB66" s="528"/>
      <c r="LPC66" s="528"/>
      <c r="LPD66" s="528"/>
      <c r="LPE66" s="528"/>
      <c r="LPF66" s="528"/>
      <c r="LPG66" s="528"/>
      <c r="LPH66" s="528"/>
      <c r="LPI66" s="528"/>
      <c r="LPJ66" s="528"/>
      <c r="LPK66" s="528"/>
      <c r="LPL66" s="528"/>
      <c r="LPM66" s="528"/>
      <c r="LPN66" s="528"/>
      <c r="LPO66" s="528"/>
      <c r="LPP66" s="528"/>
      <c r="LPQ66" s="528"/>
      <c r="LPR66" s="528"/>
      <c r="LPS66" s="528"/>
      <c r="LPT66" s="528"/>
      <c r="LPU66" s="528"/>
      <c r="LPV66" s="528"/>
      <c r="LPW66" s="528"/>
      <c r="LPX66" s="528"/>
      <c r="LPY66" s="528"/>
      <c r="LPZ66" s="528"/>
      <c r="LQA66" s="528"/>
      <c r="LQB66" s="528"/>
      <c r="LQC66" s="528"/>
      <c r="LQD66" s="528"/>
      <c r="LQE66" s="528"/>
      <c r="LQF66" s="528"/>
      <c r="LQG66" s="528"/>
      <c r="LQH66" s="528"/>
      <c r="LQI66" s="528"/>
      <c r="LQJ66" s="528"/>
      <c r="LQK66" s="528"/>
      <c r="LQL66" s="528"/>
      <c r="LQM66" s="528"/>
      <c r="LQN66" s="528"/>
      <c r="LQO66" s="528"/>
      <c r="LQP66" s="528"/>
      <c r="LQQ66" s="528"/>
      <c r="LQR66" s="528"/>
      <c r="LQS66" s="528"/>
      <c r="LQT66" s="528"/>
      <c r="LQU66" s="528"/>
      <c r="LQV66" s="528"/>
      <c r="LQW66" s="528"/>
      <c r="LQX66" s="528"/>
      <c r="LQY66" s="528"/>
      <c r="LQZ66" s="528"/>
      <c r="LRA66" s="528"/>
      <c r="LRB66" s="528"/>
      <c r="LRC66" s="528"/>
      <c r="LRD66" s="528"/>
      <c r="LRE66" s="528"/>
      <c r="LRF66" s="528"/>
      <c r="LRG66" s="528"/>
      <c r="LRH66" s="528"/>
      <c r="LRI66" s="528"/>
      <c r="LRJ66" s="528"/>
      <c r="LRK66" s="528"/>
      <c r="LRL66" s="528"/>
      <c r="LRM66" s="528"/>
      <c r="LRN66" s="528"/>
      <c r="LRO66" s="528"/>
      <c r="LRP66" s="528"/>
      <c r="LRQ66" s="528"/>
      <c r="LRR66" s="528"/>
      <c r="LRS66" s="528"/>
      <c r="LRT66" s="528"/>
      <c r="LRU66" s="528"/>
      <c r="LRV66" s="528"/>
      <c r="LRW66" s="528"/>
      <c r="LRX66" s="528"/>
      <c r="LRY66" s="528"/>
      <c r="LRZ66" s="528"/>
      <c r="LSA66" s="528"/>
      <c r="LSB66" s="528"/>
      <c r="LSC66" s="528"/>
      <c r="LSD66" s="528"/>
      <c r="LSE66" s="528"/>
      <c r="LSF66" s="528"/>
      <c r="LSG66" s="528"/>
      <c r="LSH66" s="528"/>
      <c r="LSI66" s="528"/>
      <c r="LSJ66" s="528"/>
      <c r="LSK66" s="528"/>
      <c r="LSL66" s="528"/>
      <c r="LSM66" s="528"/>
      <c r="LSN66" s="528"/>
      <c r="LSO66" s="528"/>
      <c r="LSP66" s="528"/>
      <c r="LSQ66" s="528"/>
      <c r="LSR66" s="528"/>
      <c r="LSS66" s="528"/>
      <c r="LST66" s="528"/>
      <c r="LSU66" s="528"/>
      <c r="LSV66" s="528"/>
      <c r="LSW66" s="528"/>
      <c r="LSX66" s="528"/>
      <c r="LSY66" s="528"/>
      <c r="LSZ66" s="528"/>
      <c r="LTA66" s="528"/>
      <c r="LTB66" s="528"/>
      <c r="LTC66" s="528"/>
      <c r="LTD66" s="528"/>
      <c r="LTE66" s="528"/>
      <c r="LTF66" s="528"/>
      <c r="LTG66" s="528"/>
      <c r="LTH66" s="528"/>
      <c r="LTI66" s="528"/>
      <c r="LTJ66" s="528"/>
      <c r="LTK66" s="528"/>
      <c r="LTL66" s="528"/>
      <c r="LTM66" s="528"/>
      <c r="LTN66" s="528"/>
      <c r="LTO66" s="528"/>
      <c r="LTP66" s="528"/>
      <c r="LTQ66" s="528"/>
      <c r="LTR66" s="528"/>
      <c r="LTS66" s="528"/>
      <c r="LTT66" s="528"/>
      <c r="LTU66" s="528"/>
      <c r="LTV66" s="528"/>
      <c r="LTW66" s="528"/>
      <c r="LTX66" s="528"/>
      <c r="LTY66" s="528"/>
      <c r="LTZ66" s="528"/>
      <c r="LUA66" s="528"/>
      <c r="LUB66" s="528"/>
      <c r="LUC66" s="528"/>
      <c r="LUD66" s="528"/>
      <c r="LUE66" s="528"/>
      <c r="LUF66" s="528"/>
      <c r="LUG66" s="528"/>
      <c r="LUH66" s="528"/>
      <c r="LUI66" s="528"/>
      <c r="LUJ66" s="528"/>
      <c r="LUK66" s="528"/>
      <c r="LUL66" s="528"/>
      <c r="LUM66" s="528"/>
      <c r="LUN66" s="528"/>
      <c r="LUO66" s="528"/>
      <c r="LUP66" s="528"/>
      <c r="LUQ66" s="528"/>
      <c r="LUR66" s="528"/>
      <c r="LUS66" s="528"/>
      <c r="LUT66" s="528"/>
      <c r="LUU66" s="528"/>
      <c r="LUV66" s="528"/>
      <c r="LUW66" s="528"/>
      <c r="LUX66" s="528"/>
      <c r="LUY66" s="528"/>
      <c r="LUZ66" s="528"/>
      <c r="LVA66" s="528"/>
      <c r="LVB66" s="528"/>
      <c r="LVC66" s="528"/>
      <c r="LVD66" s="528"/>
      <c r="LVE66" s="528"/>
      <c r="LVF66" s="528"/>
      <c r="LVG66" s="528"/>
      <c r="LVH66" s="528"/>
      <c r="LVI66" s="528"/>
      <c r="LVJ66" s="528"/>
      <c r="LVK66" s="528"/>
      <c r="LVL66" s="528"/>
      <c r="LVM66" s="528"/>
      <c r="LVN66" s="528"/>
      <c r="LVO66" s="528"/>
      <c r="LVP66" s="528"/>
      <c r="LVQ66" s="528"/>
      <c r="LVR66" s="528"/>
      <c r="LVS66" s="528"/>
      <c r="LVT66" s="528"/>
      <c r="LVU66" s="528"/>
      <c r="LVV66" s="528"/>
      <c r="LVW66" s="528"/>
      <c r="LVX66" s="528"/>
      <c r="LVY66" s="528"/>
      <c r="LVZ66" s="528"/>
      <c r="LWA66" s="528"/>
      <c r="LWB66" s="528"/>
      <c r="LWC66" s="528"/>
      <c r="LWD66" s="528"/>
      <c r="LWE66" s="528"/>
      <c r="LWF66" s="528"/>
      <c r="LWG66" s="528"/>
      <c r="LWH66" s="528"/>
      <c r="LWI66" s="528"/>
      <c r="LWJ66" s="528"/>
      <c r="LWK66" s="528"/>
      <c r="LWL66" s="528"/>
      <c r="LWM66" s="528"/>
      <c r="LWN66" s="528"/>
      <c r="LWO66" s="528"/>
      <c r="LWP66" s="528"/>
      <c r="LWQ66" s="528"/>
      <c r="LWR66" s="528"/>
      <c r="LWS66" s="528"/>
      <c r="LWT66" s="528"/>
      <c r="LWU66" s="528"/>
      <c r="LWV66" s="528"/>
      <c r="LWW66" s="528"/>
      <c r="LWX66" s="528"/>
      <c r="LWY66" s="528"/>
      <c r="LWZ66" s="528"/>
      <c r="LXA66" s="528"/>
      <c r="LXB66" s="528"/>
      <c r="LXC66" s="528"/>
      <c r="LXD66" s="528"/>
      <c r="LXE66" s="528"/>
      <c r="LXF66" s="528"/>
      <c r="LXG66" s="528"/>
      <c r="LXH66" s="528"/>
      <c r="LXI66" s="528"/>
      <c r="LXJ66" s="528"/>
      <c r="LXK66" s="528"/>
      <c r="LXL66" s="528"/>
      <c r="LXM66" s="528"/>
      <c r="LXN66" s="528"/>
      <c r="LXO66" s="528"/>
      <c r="LXP66" s="528"/>
      <c r="LXQ66" s="528"/>
      <c r="LXR66" s="528"/>
      <c r="LXS66" s="528"/>
      <c r="LXT66" s="528"/>
      <c r="LXU66" s="528"/>
      <c r="LXV66" s="528"/>
      <c r="LXW66" s="528"/>
      <c r="LXX66" s="528"/>
      <c r="LXY66" s="528"/>
      <c r="LXZ66" s="528"/>
      <c r="LYA66" s="528"/>
      <c r="LYB66" s="528"/>
      <c r="LYC66" s="528"/>
      <c r="LYD66" s="528"/>
      <c r="LYE66" s="528"/>
      <c r="LYF66" s="528"/>
      <c r="LYG66" s="528"/>
      <c r="LYH66" s="528"/>
      <c r="LYI66" s="528"/>
      <c r="LYJ66" s="528"/>
      <c r="LYK66" s="528"/>
      <c r="LYL66" s="528"/>
      <c r="LYM66" s="528"/>
      <c r="LYN66" s="528"/>
      <c r="LYO66" s="528"/>
      <c r="LYP66" s="528"/>
      <c r="LYQ66" s="528"/>
      <c r="LYR66" s="528"/>
      <c r="LYS66" s="528"/>
      <c r="LYT66" s="528"/>
      <c r="LYU66" s="528"/>
      <c r="LYV66" s="528"/>
      <c r="LYW66" s="528"/>
      <c r="LYX66" s="528"/>
      <c r="LYY66" s="528"/>
      <c r="LYZ66" s="528"/>
      <c r="LZA66" s="528"/>
      <c r="LZB66" s="528"/>
      <c r="LZC66" s="528"/>
      <c r="LZD66" s="528"/>
      <c r="LZE66" s="528"/>
      <c r="LZF66" s="528"/>
      <c r="LZG66" s="528"/>
      <c r="LZH66" s="528"/>
      <c r="LZI66" s="528"/>
      <c r="LZJ66" s="528"/>
      <c r="LZK66" s="528"/>
      <c r="LZL66" s="528"/>
      <c r="LZM66" s="528"/>
      <c r="LZN66" s="528"/>
      <c r="LZO66" s="528"/>
      <c r="LZP66" s="528"/>
      <c r="LZQ66" s="528"/>
      <c r="LZR66" s="528"/>
      <c r="LZS66" s="528"/>
      <c r="LZT66" s="528"/>
      <c r="LZU66" s="528"/>
      <c r="LZV66" s="528"/>
      <c r="LZW66" s="528"/>
      <c r="LZX66" s="528"/>
      <c r="LZY66" s="528"/>
      <c r="LZZ66" s="528"/>
      <c r="MAA66" s="528"/>
      <c r="MAB66" s="528"/>
      <c r="MAC66" s="528"/>
      <c r="MAD66" s="528"/>
      <c r="MAE66" s="528"/>
      <c r="MAF66" s="528"/>
      <c r="MAG66" s="528"/>
      <c r="MAH66" s="528"/>
      <c r="MAI66" s="528"/>
      <c r="MAJ66" s="528"/>
      <c r="MAK66" s="528"/>
      <c r="MAL66" s="528"/>
      <c r="MAM66" s="528"/>
      <c r="MAN66" s="528"/>
      <c r="MAO66" s="528"/>
      <c r="MAP66" s="528"/>
      <c r="MAQ66" s="528"/>
      <c r="MAR66" s="528"/>
      <c r="MAS66" s="528"/>
      <c r="MAT66" s="528"/>
      <c r="MAU66" s="528"/>
      <c r="MAV66" s="528"/>
      <c r="MAW66" s="528"/>
      <c r="MAX66" s="528"/>
      <c r="MAY66" s="528"/>
      <c r="MAZ66" s="528"/>
      <c r="MBA66" s="528"/>
      <c r="MBB66" s="528"/>
      <c r="MBC66" s="528"/>
      <c r="MBD66" s="528"/>
      <c r="MBE66" s="528"/>
      <c r="MBF66" s="528"/>
      <c r="MBG66" s="528"/>
      <c r="MBH66" s="528"/>
      <c r="MBI66" s="528"/>
      <c r="MBJ66" s="528"/>
      <c r="MBK66" s="528"/>
      <c r="MBL66" s="528"/>
      <c r="MBM66" s="528"/>
      <c r="MBN66" s="528"/>
      <c r="MBO66" s="528"/>
      <c r="MBP66" s="528"/>
      <c r="MBQ66" s="528"/>
      <c r="MBR66" s="528"/>
      <c r="MBS66" s="528"/>
      <c r="MBT66" s="528"/>
      <c r="MBU66" s="528"/>
      <c r="MBV66" s="528"/>
      <c r="MBW66" s="528"/>
      <c r="MBX66" s="528"/>
      <c r="MBY66" s="528"/>
      <c r="MBZ66" s="528"/>
      <c r="MCA66" s="528"/>
      <c r="MCB66" s="528"/>
      <c r="MCC66" s="528"/>
      <c r="MCD66" s="528"/>
      <c r="MCE66" s="528"/>
      <c r="MCF66" s="528"/>
      <c r="MCG66" s="528"/>
      <c r="MCH66" s="528"/>
      <c r="MCI66" s="528"/>
      <c r="MCJ66" s="528"/>
      <c r="MCK66" s="528"/>
      <c r="MCL66" s="528"/>
      <c r="MCM66" s="528"/>
      <c r="MCN66" s="528"/>
      <c r="MCO66" s="528"/>
      <c r="MCP66" s="528"/>
      <c r="MCQ66" s="528"/>
      <c r="MCR66" s="528"/>
      <c r="MCS66" s="528"/>
      <c r="MCT66" s="528"/>
      <c r="MCU66" s="528"/>
      <c r="MCV66" s="528"/>
      <c r="MCW66" s="528"/>
      <c r="MCX66" s="528"/>
      <c r="MCY66" s="528"/>
      <c r="MCZ66" s="528"/>
      <c r="MDA66" s="528"/>
      <c r="MDB66" s="528"/>
      <c r="MDC66" s="528"/>
      <c r="MDD66" s="528"/>
      <c r="MDE66" s="528"/>
      <c r="MDF66" s="528"/>
      <c r="MDG66" s="528"/>
      <c r="MDH66" s="528"/>
      <c r="MDI66" s="528"/>
      <c r="MDJ66" s="528"/>
      <c r="MDK66" s="528"/>
      <c r="MDL66" s="528"/>
      <c r="MDM66" s="528"/>
      <c r="MDN66" s="528"/>
      <c r="MDO66" s="528"/>
      <c r="MDP66" s="528"/>
      <c r="MDQ66" s="528"/>
      <c r="MDR66" s="528"/>
      <c r="MDS66" s="528"/>
      <c r="MDT66" s="528"/>
      <c r="MDU66" s="528"/>
      <c r="MDV66" s="528"/>
      <c r="MDW66" s="528"/>
      <c r="MDX66" s="528"/>
      <c r="MDY66" s="528"/>
      <c r="MDZ66" s="528"/>
      <c r="MEA66" s="528"/>
      <c r="MEB66" s="528"/>
      <c r="MEC66" s="528"/>
      <c r="MED66" s="528"/>
      <c r="MEE66" s="528"/>
      <c r="MEF66" s="528"/>
      <c r="MEG66" s="528"/>
      <c r="MEH66" s="528"/>
      <c r="MEI66" s="528"/>
      <c r="MEJ66" s="528"/>
      <c r="MEK66" s="528"/>
      <c r="MEL66" s="528"/>
      <c r="MEM66" s="528"/>
      <c r="MEN66" s="528"/>
      <c r="MEO66" s="528"/>
      <c r="MEP66" s="528"/>
      <c r="MEQ66" s="528"/>
      <c r="MER66" s="528"/>
      <c r="MES66" s="528"/>
      <c r="MET66" s="528"/>
      <c r="MEU66" s="528"/>
      <c r="MEV66" s="528"/>
      <c r="MEW66" s="528"/>
      <c r="MEX66" s="528"/>
      <c r="MEY66" s="528"/>
      <c r="MEZ66" s="528"/>
      <c r="MFA66" s="528"/>
      <c r="MFB66" s="528"/>
      <c r="MFC66" s="528"/>
      <c r="MFD66" s="528"/>
      <c r="MFE66" s="528"/>
      <c r="MFF66" s="528"/>
      <c r="MFG66" s="528"/>
      <c r="MFH66" s="528"/>
      <c r="MFI66" s="528"/>
      <c r="MFJ66" s="528"/>
      <c r="MFK66" s="528"/>
      <c r="MFL66" s="528"/>
      <c r="MFM66" s="528"/>
      <c r="MFN66" s="528"/>
      <c r="MFO66" s="528"/>
      <c r="MFP66" s="528"/>
      <c r="MFQ66" s="528"/>
      <c r="MFR66" s="528"/>
      <c r="MFS66" s="528"/>
      <c r="MFT66" s="528"/>
      <c r="MFU66" s="528"/>
      <c r="MFV66" s="528"/>
      <c r="MFW66" s="528"/>
      <c r="MFX66" s="528"/>
      <c r="MFY66" s="528"/>
      <c r="MFZ66" s="528"/>
      <c r="MGA66" s="528"/>
      <c r="MGB66" s="528"/>
      <c r="MGC66" s="528"/>
      <c r="MGD66" s="528"/>
      <c r="MGE66" s="528"/>
      <c r="MGF66" s="528"/>
      <c r="MGG66" s="528"/>
      <c r="MGH66" s="528"/>
      <c r="MGI66" s="528"/>
      <c r="MGJ66" s="528"/>
      <c r="MGK66" s="528"/>
      <c r="MGL66" s="528"/>
      <c r="MGM66" s="528"/>
      <c r="MGN66" s="528"/>
      <c r="MGO66" s="528"/>
      <c r="MGP66" s="528"/>
      <c r="MGQ66" s="528"/>
      <c r="MGR66" s="528"/>
      <c r="MGS66" s="528"/>
      <c r="MGT66" s="528"/>
      <c r="MGU66" s="528"/>
      <c r="MGV66" s="528"/>
      <c r="MGW66" s="528"/>
      <c r="MGX66" s="528"/>
      <c r="MGY66" s="528"/>
      <c r="MGZ66" s="528"/>
      <c r="MHA66" s="528"/>
      <c r="MHB66" s="528"/>
      <c r="MHC66" s="528"/>
      <c r="MHD66" s="528"/>
      <c r="MHE66" s="528"/>
      <c r="MHF66" s="528"/>
      <c r="MHG66" s="528"/>
      <c r="MHH66" s="528"/>
      <c r="MHI66" s="528"/>
      <c r="MHJ66" s="528"/>
      <c r="MHK66" s="528"/>
      <c r="MHL66" s="528"/>
      <c r="MHM66" s="528"/>
      <c r="MHN66" s="528"/>
      <c r="MHO66" s="528"/>
      <c r="MHP66" s="528"/>
      <c r="MHQ66" s="528"/>
      <c r="MHR66" s="528"/>
      <c r="MHS66" s="528"/>
      <c r="MHT66" s="528"/>
      <c r="MHU66" s="528"/>
      <c r="MHV66" s="528"/>
      <c r="MHW66" s="528"/>
      <c r="MHX66" s="528"/>
      <c r="MHY66" s="528"/>
      <c r="MHZ66" s="528"/>
      <c r="MIA66" s="528"/>
      <c r="MIB66" s="528"/>
      <c r="MIC66" s="528"/>
      <c r="MID66" s="528"/>
      <c r="MIE66" s="528"/>
      <c r="MIF66" s="528"/>
      <c r="MIG66" s="528"/>
      <c r="MIH66" s="528"/>
      <c r="MII66" s="528"/>
      <c r="MIJ66" s="528"/>
      <c r="MIK66" s="528"/>
      <c r="MIL66" s="528"/>
      <c r="MIM66" s="528"/>
      <c r="MIN66" s="528"/>
      <c r="MIO66" s="528"/>
      <c r="MIP66" s="528"/>
      <c r="MIQ66" s="528"/>
      <c r="MIR66" s="528"/>
      <c r="MIS66" s="528"/>
      <c r="MIT66" s="528"/>
      <c r="MIU66" s="528"/>
      <c r="MIV66" s="528"/>
      <c r="MIW66" s="528"/>
      <c r="MIX66" s="528"/>
      <c r="MIY66" s="528"/>
      <c r="MIZ66" s="528"/>
      <c r="MJA66" s="528"/>
      <c r="MJB66" s="528"/>
      <c r="MJC66" s="528"/>
      <c r="MJD66" s="528"/>
      <c r="MJE66" s="528"/>
      <c r="MJF66" s="528"/>
      <c r="MJG66" s="528"/>
      <c r="MJH66" s="528"/>
      <c r="MJI66" s="528"/>
      <c r="MJJ66" s="528"/>
      <c r="MJK66" s="528"/>
      <c r="MJL66" s="528"/>
      <c r="MJM66" s="528"/>
      <c r="MJN66" s="528"/>
      <c r="MJO66" s="528"/>
      <c r="MJP66" s="528"/>
      <c r="MJQ66" s="528"/>
      <c r="MJR66" s="528"/>
      <c r="MJS66" s="528"/>
      <c r="MJT66" s="528"/>
      <c r="MJU66" s="528"/>
      <c r="MJV66" s="528"/>
      <c r="MJW66" s="528"/>
      <c r="MJX66" s="528"/>
      <c r="MJY66" s="528"/>
      <c r="MJZ66" s="528"/>
      <c r="MKA66" s="528"/>
      <c r="MKB66" s="528"/>
      <c r="MKC66" s="528"/>
      <c r="MKD66" s="528"/>
      <c r="MKE66" s="528"/>
      <c r="MKF66" s="528"/>
      <c r="MKG66" s="528"/>
      <c r="MKH66" s="528"/>
      <c r="MKI66" s="528"/>
      <c r="MKJ66" s="528"/>
      <c r="MKK66" s="528"/>
      <c r="MKL66" s="528"/>
      <c r="MKM66" s="528"/>
      <c r="MKN66" s="528"/>
      <c r="MKO66" s="528"/>
      <c r="MKP66" s="528"/>
      <c r="MKQ66" s="528"/>
      <c r="MKR66" s="528"/>
      <c r="MKS66" s="528"/>
      <c r="MKT66" s="528"/>
      <c r="MKU66" s="528"/>
      <c r="MKV66" s="528"/>
      <c r="MKW66" s="528"/>
      <c r="MKX66" s="528"/>
      <c r="MKY66" s="528"/>
      <c r="MKZ66" s="528"/>
      <c r="MLA66" s="528"/>
      <c r="MLB66" s="528"/>
      <c r="MLC66" s="528"/>
      <c r="MLD66" s="528"/>
      <c r="MLE66" s="528"/>
      <c r="MLF66" s="528"/>
      <c r="MLG66" s="528"/>
      <c r="MLH66" s="528"/>
      <c r="MLI66" s="528"/>
      <c r="MLJ66" s="528"/>
      <c r="MLK66" s="528"/>
      <c r="MLL66" s="528"/>
      <c r="MLM66" s="528"/>
      <c r="MLN66" s="528"/>
      <c r="MLO66" s="528"/>
      <c r="MLP66" s="528"/>
      <c r="MLQ66" s="528"/>
      <c r="MLR66" s="528"/>
      <c r="MLS66" s="528"/>
      <c r="MLT66" s="528"/>
      <c r="MLU66" s="528"/>
      <c r="MLV66" s="528"/>
      <c r="MLW66" s="528"/>
      <c r="MLX66" s="528"/>
      <c r="MLY66" s="528"/>
      <c r="MLZ66" s="528"/>
      <c r="MMA66" s="528"/>
      <c r="MMB66" s="528"/>
      <c r="MMC66" s="528"/>
      <c r="MMD66" s="528"/>
      <c r="MME66" s="528"/>
      <c r="MMF66" s="528"/>
      <c r="MMG66" s="528"/>
      <c r="MMH66" s="528"/>
      <c r="MMI66" s="528"/>
      <c r="MMJ66" s="528"/>
      <c r="MMK66" s="528"/>
      <c r="MML66" s="528"/>
      <c r="MMM66" s="528"/>
      <c r="MMN66" s="528"/>
      <c r="MMO66" s="528"/>
      <c r="MMP66" s="528"/>
      <c r="MMQ66" s="528"/>
      <c r="MMR66" s="528"/>
      <c r="MMS66" s="528"/>
      <c r="MMT66" s="528"/>
      <c r="MMU66" s="528"/>
      <c r="MMV66" s="528"/>
      <c r="MMW66" s="528"/>
      <c r="MMX66" s="528"/>
      <c r="MMY66" s="528"/>
      <c r="MMZ66" s="528"/>
      <c r="MNA66" s="528"/>
      <c r="MNB66" s="528"/>
      <c r="MNC66" s="528"/>
      <c r="MND66" s="528"/>
      <c r="MNE66" s="528"/>
      <c r="MNF66" s="528"/>
      <c r="MNG66" s="528"/>
      <c r="MNH66" s="528"/>
      <c r="MNI66" s="528"/>
      <c r="MNJ66" s="528"/>
      <c r="MNK66" s="528"/>
      <c r="MNL66" s="528"/>
      <c r="MNM66" s="528"/>
      <c r="MNN66" s="528"/>
      <c r="MNO66" s="528"/>
      <c r="MNP66" s="528"/>
      <c r="MNQ66" s="528"/>
      <c r="MNR66" s="528"/>
      <c r="MNS66" s="528"/>
      <c r="MNT66" s="528"/>
      <c r="MNU66" s="528"/>
      <c r="MNV66" s="528"/>
      <c r="MNW66" s="528"/>
      <c r="MNX66" s="528"/>
      <c r="MNY66" s="528"/>
      <c r="MNZ66" s="528"/>
      <c r="MOA66" s="528"/>
      <c r="MOB66" s="528"/>
      <c r="MOC66" s="528"/>
      <c r="MOD66" s="528"/>
      <c r="MOE66" s="528"/>
      <c r="MOF66" s="528"/>
      <c r="MOG66" s="528"/>
      <c r="MOH66" s="528"/>
      <c r="MOI66" s="528"/>
      <c r="MOJ66" s="528"/>
      <c r="MOK66" s="528"/>
      <c r="MOL66" s="528"/>
      <c r="MOM66" s="528"/>
      <c r="MON66" s="528"/>
      <c r="MOO66" s="528"/>
      <c r="MOP66" s="528"/>
      <c r="MOQ66" s="528"/>
      <c r="MOR66" s="528"/>
      <c r="MOS66" s="528"/>
      <c r="MOT66" s="528"/>
      <c r="MOU66" s="528"/>
      <c r="MOV66" s="528"/>
      <c r="MOW66" s="528"/>
      <c r="MOX66" s="528"/>
      <c r="MOY66" s="528"/>
      <c r="MOZ66" s="528"/>
      <c r="MPA66" s="528"/>
      <c r="MPB66" s="528"/>
      <c r="MPC66" s="528"/>
      <c r="MPD66" s="528"/>
      <c r="MPE66" s="528"/>
      <c r="MPF66" s="528"/>
      <c r="MPG66" s="528"/>
      <c r="MPH66" s="528"/>
      <c r="MPI66" s="528"/>
      <c r="MPJ66" s="528"/>
      <c r="MPK66" s="528"/>
      <c r="MPL66" s="528"/>
      <c r="MPM66" s="528"/>
      <c r="MPN66" s="528"/>
      <c r="MPO66" s="528"/>
      <c r="MPP66" s="528"/>
      <c r="MPQ66" s="528"/>
      <c r="MPR66" s="528"/>
      <c r="MPS66" s="528"/>
      <c r="MPT66" s="528"/>
      <c r="MPU66" s="528"/>
      <c r="MPV66" s="528"/>
      <c r="MPW66" s="528"/>
      <c r="MPX66" s="528"/>
      <c r="MPY66" s="528"/>
      <c r="MPZ66" s="528"/>
      <c r="MQA66" s="528"/>
      <c r="MQB66" s="528"/>
      <c r="MQC66" s="528"/>
      <c r="MQD66" s="528"/>
      <c r="MQE66" s="528"/>
      <c r="MQF66" s="528"/>
      <c r="MQG66" s="528"/>
      <c r="MQH66" s="528"/>
      <c r="MQI66" s="528"/>
      <c r="MQJ66" s="528"/>
      <c r="MQK66" s="528"/>
      <c r="MQL66" s="528"/>
      <c r="MQM66" s="528"/>
      <c r="MQN66" s="528"/>
      <c r="MQO66" s="528"/>
      <c r="MQP66" s="528"/>
      <c r="MQQ66" s="528"/>
      <c r="MQR66" s="528"/>
      <c r="MQS66" s="528"/>
      <c r="MQT66" s="528"/>
      <c r="MQU66" s="528"/>
      <c r="MQV66" s="528"/>
      <c r="MQW66" s="528"/>
      <c r="MQX66" s="528"/>
      <c r="MQY66" s="528"/>
      <c r="MQZ66" s="528"/>
      <c r="MRA66" s="528"/>
      <c r="MRB66" s="528"/>
      <c r="MRC66" s="528"/>
      <c r="MRD66" s="528"/>
      <c r="MRE66" s="528"/>
      <c r="MRF66" s="528"/>
      <c r="MRG66" s="528"/>
      <c r="MRH66" s="528"/>
      <c r="MRI66" s="528"/>
      <c r="MRJ66" s="528"/>
      <c r="MRK66" s="528"/>
      <c r="MRL66" s="528"/>
      <c r="MRM66" s="528"/>
      <c r="MRN66" s="528"/>
      <c r="MRO66" s="528"/>
      <c r="MRP66" s="528"/>
      <c r="MRQ66" s="528"/>
      <c r="MRR66" s="528"/>
      <c r="MRS66" s="528"/>
      <c r="MRT66" s="528"/>
      <c r="MRU66" s="528"/>
      <c r="MRV66" s="528"/>
      <c r="MRW66" s="528"/>
      <c r="MRX66" s="528"/>
      <c r="MRY66" s="528"/>
      <c r="MRZ66" s="528"/>
      <c r="MSA66" s="528"/>
      <c r="MSB66" s="528"/>
      <c r="MSC66" s="528"/>
      <c r="MSD66" s="528"/>
      <c r="MSE66" s="528"/>
      <c r="MSF66" s="528"/>
      <c r="MSG66" s="528"/>
      <c r="MSH66" s="528"/>
      <c r="MSI66" s="528"/>
      <c r="MSJ66" s="528"/>
      <c r="MSK66" s="528"/>
      <c r="MSL66" s="528"/>
      <c r="MSM66" s="528"/>
      <c r="MSN66" s="528"/>
      <c r="MSO66" s="528"/>
      <c r="MSP66" s="528"/>
      <c r="MSQ66" s="528"/>
      <c r="MSR66" s="528"/>
      <c r="MSS66" s="528"/>
      <c r="MST66" s="528"/>
      <c r="MSU66" s="528"/>
      <c r="MSV66" s="528"/>
      <c r="MSW66" s="528"/>
      <c r="MSX66" s="528"/>
      <c r="MSY66" s="528"/>
      <c r="MSZ66" s="528"/>
      <c r="MTA66" s="528"/>
      <c r="MTB66" s="528"/>
      <c r="MTC66" s="528"/>
      <c r="MTD66" s="528"/>
      <c r="MTE66" s="528"/>
      <c r="MTF66" s="528"/>
      <c r="MTG66" s="528"/>
      <c r="MTH66" s="528"/>
      <c r="MTI66" s="528"/>
      <c r="MTJ66" s="528"/>
      <c r="MTK66" s="528"/>
      <c r="MTL66" s="528"/>
      <c r="MTM66" s="528"/>
      <c r="MTN66" s="528"/>
      <c r="MTO66" s="528"/>
      <c r="MTP66" s="528"/>
      <c r="MTQ66" s="528"/>
      <c r="MTR66" s="528"/>
      <c r="MTS66" s="528"/>
      <c r="MTT66" s="528"/>
      <c r="MTU66" s="528"/>
      <c r="MTV66" s="528"/>
      <c r="MTW66" s="528"/>
      <c r="MTX66" s="528"/>
      <c r="MTY66" s="528"/>
      <c r="MTZ66" s="528"/>
      <c r="MUA66" s="528"/>
      <c r="MUB66" s="528"/>
      <c r="MUC66" s="528"/>
      <c r="MUD66" s="528"/>
      <c r="MUE66" s="528"/>
      <c r="MUF66" s="528"/>
      <c r="MUG66" s="528"/>
      <c r="MUH66" s="528"/>
      <c r="MUI66" s="528"/>
      <c r="MUJ66" s="528"/>
      <c r="MUK66" s="528"/>
      <c r="MUL66" s="528"/>
      <c r="MUM66" s="528"/>
      <c r="MUN66" s="528"/>
      <c r="MUO66" s="528"/>
      <c r="MUP66" s="528"/>
      <c r="MUQ66" s="528"/>
      <c r="MUR66" s="528"/>
      <c r="MUS66" s="528"/>
      <c r="MUT66" s="528"/>
      <c r="MUU66" s="528"/>
      <c r="MUV66" s="528"/>
      <c r="MUW66" s="528"/>
      <c r="MUX66" s="528"/>
      <c r="MUY66" s="528"/>
      <c r="MUZ66" s="528"/>
      <c r="MVA66" s="528"/>
      <c r="MVB66" s="528"/>
      <c r="MVC66" s="528"/>
      <c r="MVD66" s="528"/>
      <c r="MVE66" s="528"/>
      <c r="MVF66" s="528"/>
      <c r="MVG66" s="528"/>
      <c r="MVH66" s="528"/>
      <c r="MVI66" s="528"/>
      <c r="MVJ66" s="528"/>
      <c r="MVK66" s="528"/>
      <c r="MVL66" s="528"/>
      <c r="MVM66" s="528"/>
      <c r="MVN66" s="528"/>
      <c r="MVO66" s="528"/>
      <c r="MVP66" s="528"/>
      <c r="MVQ66" s="528"/>
      <c r="MVR66" s="528"/>
      <c r="MVS66" s="528"/>
      <c r="MVT66" s="528"/>
      <c r="MVU66" s="528"/>
      <c r="MVV66" s="528"/>
      <c r="MVW66" s="528"/>
      <c r="MVX66" s="528"/>
      <c r="MVY66" s="528"/>
      <c r="MVZ66" s="528"/>
      <c r="MWA66" s="528"/>
      <c r="MWB66" s="528"/>
      <c r="MWC66" s="528"/>
      <c r="MWD66" s="528"/>
      <c r="MWE66" s="528"/>
      <c r="MWF66" s="528"/>
      <c r="MWG66" s="528"/>
      <c r="MWH66" s="528"/>
      <c r="MWI66" s="528"/>
      <c r="MWJ66" s="528"/>
      <c r="MWK66" s="528"/>
      <c r="MWL66" s="528"/>
      <c r="MWM66" s="528"/>
      <c r="MWN66" s="528"/>
      <c r="MWO66" s="528"/>
      <c r="MWP66" s="528"/>
      <c r="MWQ66" s="528"/>
      <c r="MWR66" s="528"/>
      <c r="MWS66" s="528"/>
      <c r="MWT66" s="528"/>
      <c r="MWU66" s="528"/>
      <c r="MWV66" s="528"/>
      <c r="MWW66" s="528"/>
      <c r="MWX66" s="528"/>
      <c r="MWY66" s="528"/>
      <c r="MWZ66" s="528"/>
      <c r="MXA66" s="528"/>
      <c r="MXB66" s="528"/>
      <c r="MXC66" s="528"/>
      <c r="MXD66" s="528"/>
      <c r="MXE66" s="528"/>
      <c r="MXF66" s="528"/>
      <c r="MXG66" s="528"/>
      <c r="MXH66" s="528"/>
      <c r="MXI66" s="528"/>
      <c r="MXJ66" s="528"/>
      <c r="MXK66" s="528"/>
      <c r="MXL66" s="528"/>
      <c r="MXM66" s="528"/>
      <c r="MXN66" s="528"/>
      <c r="MXO66" s="528"/>
      <c r="MXP66" s="528"/>
      <c r="MXQ66" s="528"/>
      <c r="MXR66" s="528"/>
      <c r="MXS66" s="528"/>
      <c r="MXT66" s="528"/>
      <c r="MXU66" s="528"/>
      <c r="MXV66" s="528"/>
      <c r="MXW66" s="528"/>
      <c r="MXX66" s="528"/>
      <c r="MXY66" s="528"/>
      <c r="MXZ66" s="528"/>
      <c r="MYA66" s="528"/>
      <c r="MYB66" s="528"/>
      <c r="MYC66" s="528"/>
      <c r="MYD66" s="528"/>
      <c r="MYE66" s="528"/>
      <c r="MYF66" s="528"/>
      <c r="MYG66" s="528"/>
      <c r="MYH66" s="528"/>
      <c r="MYI66" s="528"/>
      <c r="MYJ66" s="528"/>
      <c r="MYK66" s="528"/>
      <c r="MYL66" s="528"/>
      <c r="MYM66" s="528"/>
      <c r="MYN66" s="528"/>
      <c r="MYO66" s="528"/>
      <c r="MYP66" s="528"/>
      <c r="MYQ66" s="528"/>
      <c r="MYR66" s="528"/>
      <c r="MYS66" s="528"/>
      <c r="MYT66" s="528"/>
      <c r="MYU66" s="528"/>
      <c r="MYV66" s="528"/>
      <c r="MYW66" s="528"/>
      <c r="MYX66" s="528"/>
      <c r="MYY66" s="528"/>
      <c r="MYZ66" s="528"/>
      <c r="MZA66" s="528"/>
      <c r="MZB66" s="528"/>
      <c r="MZC66" s="528"/>
      <c r="MZD66" s="528"/>
      <c r="MZE66" s="528"/>
      <c r="MZF66" s="528"/>
      <c r="MZG66" s="528"/>
      <c r="MZH66" s="528"/>
      <c r="MZI66" s="528"/>
      <c r="MZJ66" s="528"/>
      <c r="MZK66" s="528"/>
      <c r="MZL66" s="528"/>
      <c r="MZM66" s="528"/>
      <c r="MZN66" s="528"/>
      <c r="MZO66" s="528"/>
      <c r="MZP66" s="528"/>
      <c r="MZQ66" s="528"/>
      <c r="MZR66" s="528"/>
      <c r="MZS66" s="528"/>
      <c r="MZT66" s="528"/>
      <c r="MZU66" s="528"/>
      <c r="MZV66" s="528"/>
      <c r="MZW66" s="528"/>
      <c r="MZX66" s="528"/>
      <c r="MZY66" s="528"/>
      <c r="MZZ66" s="528"/>
      <c r="NAA66" s="528"/>
      <c r="NAB66" s="528"/>
      <c r="NAC66" s="528"/>
      <c r="NAD66" s="528"/>
      <c r="NAE66" s="528"/>
      <c r="NAF66" s="528"/>
      <c r="NAG66" s="528"/>
      <c r="NAH66" s="528"/>
      <c r="NAI66" s="528"/>
      <c r="NAJ66" s="528"/>
      <c r="NAK66" s="528"/>
      <c r="NAL66" s="528"/>
      <c r="NAM66" s="528"/>
      <c r="NAN66" s="528"/>
      <c r="NAO66" s="528"/>
      <c r="NAP66" s="528"/>
      <c r="NAQ66" s="528"/>
      <c r="NAR66" s="528"/>
      <c r="NAS66" s="528"/>
      <c r="NAT66" s="528"/>
      <c r="NAU66" s="528"/>
      <c r="NAV66" s="528"/>
      <c r="NAW66" s="528"/>
      <c r="NAX66" s="528"/>
      <c r="NAY66" s="528"/>
      <c r="NAZ66" s="528"/>
      <c r="NBA66" s="528"/>
      <c r="NBB66" s="528"/>
      <c r="NBC66" s="528"/>
      <c r="NBD66" s="528"/>
      <c r="NBE66" s="528"/>
      <c r="NBF66" s="528"/>
      <c r="NBG66" s="528"/>
      <c r="NBH66" s="528"/>
      <c r="NBI66" s="528"/>
      <c r="NBJ66" s="528"/>
      <c r="NBK66" s="528"/>
      <c r="NBL66" s="528"/>
      <c r="NBM66" s="528"/>
      <c r="NBN66" s="528"/>
      <c r="NBO66" s="528"/>
      <c r="NBP66" s="528"/>
      <c r="NBQ66" s="528"/>
      <c r="NBR66" s="528"/>
      <c r="NBS66" s="528"/>
      <c r="NBT66" s="528"/>
      <c r="NBU66" s="528"/>
      <c r="NBV66" s="528"/>
      <c r="NBW66" s="528"/>
      <c r="NBX66" s="528"/>
      <c r="NBY66" s="528"/>
      <c r="NBZ66" s="528"/>
      <c r="NCA66" s="528"/>
      <c r="NCB66" s="528"/>
      <c r="NCC66" s="528"/>
      <c r="NCD66" s="528"/>
      <c r="NCE66" s="528"/>
      <c r="NCF66" s="528"/>
      <c r="NCG66" s="528"/>
      <c r="NCH66" s="528"/>
      <c r="NCI66" s="528"/>
      <c r="NCJ66" s="528"/>
      <c r="NCK66" s="528"/>
      <c r="NCL66" s="528"/>
      <c r="NCM66" s="528"/>
      <c r="NCN66" s="528"/>
      <c r="NCO66" s="528"/>
      <c r="NCP66" s="528"/>
      <c r="NCQ66" s="528"/>
      <c r="NCR66" s="528"/>
      <c r="NCS66" s="528"/>
      <c r="NCT66" s="528"/>
      <c r="NCU66" s="528"/>
      <c r="NCV66" s="528"/>
      <c r="NCW66" s="528"/>
      <c r="NCX66" s="528"/>
      <c r="NCY66" s="528"/>
      <c r="NCZ66" s="528"/>
      <c r="NDA66" s="528"/>
      <c r="NDB66" s="528"/>
      <c r="NDC66" s="528"/>
      <c r="NDD66" s="528"/>
      <c r="NDE66" s="528"/>
      <c r="NDF66" s="528"/>
      <c r="NDG66" s="528"/>
      <c r="NDH66" s="528"/>
      <c r="NDI66" s="528"/>
      <c r="NDJ66" s="528"/>
      <c r="NDK66" s="528"/>
      <c r="NDL66" s="528"/>
      <c r="NDM66" s="528"/>
      <c r="NDN66" s="528"/>
      <c r="NDO66" s="528"/>
      <c r="NDP66" s="528"/>
      <c r="NDQ66" s="528"/>
      <c r="NDR66" s="528"/>
      <c r="NDS66" s="528"/>
      <c r="NDT66" s="528"/>
      <c r="NDU66" s="528"/>
      <c r="NDV66" s="528"/>
      <c r="NDW66" s="528"/>
      <c r="NDX66" s="528"/>
      <c r="NDY66" s="528"/>
      <c r="NDZ66" s="528"/>
      <c r="NEA66" s="528"/>
      <c r="NEB66" s="528"/>
      <c r="NEC66" s="528"/>
      <c r="NED66" s="528"/>
      <c r="NEE66" s="528"/>
      <c r="NEF66" s="528"/>
      <c r="NEG66" s="528"/>
      <c r="NEH66" s="528"/>
      <c r="NEI66" s="528"/>
      <c r="NEJ66" s="528"/>
      <c r="NEK66" s="528"/>
      <c r="NEL66" s="528"/>
      <c r="NEM66" s="528"/>
      <c r="NEN66" s="528"/>
      <c r="NEO66" s="528"/>
      <c r="NEP66" s="528"/>
      <c r="NEQ66" s="528"/>
      <c r="NER66" s="528"/>
      <c r="NES66" s="528"/>
      <c r="NET66" s="528"/>
      <c r="NEU66" s="528"/>
      <c r="NEV66" s="528"/>
      <c r="NEW66" s="528"/>
      <c r="NEX66" s="528"/>
      <c r="NEY66" s="528"/>
      <c r="NEZ66" s="528"/>
      <c r="NFA66" s="528"/>
      <c r="NFB66" s="528"/>
      <c r="NFC66" s="528"/>
      <c r="NFD66" s="528"/>
      <c r="NFE66" s="528"/>
      <c r="NFF66" s="528"/>
      <c r="NFG66" s="528"/>
      <c r="NFH66" s="528"/>
      <c r="NFI66" s="528"/>
      <c r="NFJ66" s="528"/>
      <c r="NFK66" s="528"/>
      <c r="NFL66" s="528"/>
      <c r="NFM66" s="528"/>
      <c r="NFN66" s="528"/>
      <c r="NFO66" s="528"/>
      <c r="NFP66" s="528"/>
      <c r="NFQ66" s="528"/>
      <c r="NFR66" s="528"/>
      <c r="NFS66" s="528"/>
      <c r="NFT66" s="528"/>
      <c r="NFU66" s="528"/>
      <c r="NFV66" s="528"/>
      <c r="NFW66" s="528"/>
      <c r="NFX66" s="528"/>
      <c r="NFY66" s="528"/>
      <c r="NFZ66" s="528"/>
      <c r="NGA66" s="528"/>
      <c r="NGB66" s="528"/>
      <c r="NGC66" s="528"/>
      <c r="NGD66" s="528"/>
      <c r="NGE66" s="528"/>
      <c r="NGF66" s="528"/>
      <c r="NGG66" s="528"/>
      <c r="NGH66" s="528"/>
      <c r="NGI66" s="528"/>
      <c r="NGJ66" s="528"/>
      <c r="NGK66" s="528"/>
      <c r="NGL66" s="528"/>
      <c r="NGM66" s="528"/>
      <c r="NGN66" s="528"/>
      <c r="NGO66" s="528"/>
      <c r="NGP66" s="528"/>
      <c r="NGQ66" s="528"/>
      <c r="NGR66" s="528"/>
      <c r="NGS66" s="528"/>
      <c r="NGT66" s="528"/>
      <c r="NGU66" s="528"/>
      <c r="NGV66" s="528"/>
      <c r="NGW66" s="528"/>
      <c r="NGX66" s="528"/>
      <c r="NGY66" s="528"/>
      <c r="NGZ66" s="528"/>
      <c r="NHA66" s="528"/>
      <c r="NHB66" s="528"/>
      <c r="NHC66" s="528"/>
      <c r="NHD66" s="528"/>
      <c r="NHE66" s="528"/>
      <c r="NHF66" s="528"/>
      <c r="NHG66" s="528"/>
      <c r="NHH66" s="528"/>
      <c r="NHI66" s="528"/>
      <c r="NHJ66" s="528"/>
      <c r="NHK66" s="528"/>
      <c r="NHL66" s="528"/>
      <c r="NHM66" s="528"/>
      <c r="NHN66" s="528"/>
      <c r="NHO66" s="528"/>
      <c r="NHP66" s="528"/>
      <c r="NHQ66" s="528"/>
      <c r="NHR66" s="528"/>
      <c r="NHS66" s="528"/>
      <c r="NHT66" s="528"/>
      <c r="NHU66" s="528"/>
      <c r="NHV66" s="528"/>
      <c r="NHW66" s="528"/>
      <c r="NHX66" s="528"/>
      <c r="NHY66" s="528"/>
      <c r="NHZ66" s="528"/>
      <c r="NIA66" s="528"/>
      <c r="NIB66" s="528"/>
      <c r="NIC66" s="528"/>
      <c r="NID66" s="528"/>
      <c r="NIE66" s="528"/>
      <c r="NIF66" s="528"/>
      <c r="NIG66" s="528"/>
      <c r="NIH66" s="528"/>
      <c r="NII66" s="528"/>
      <c r="NIJ66" s="528"/>
      <c r="NIK66" s="528"/>
      <c r="NIL66" s="528"/>
      <c r="NIM66" s="528"/>
      <c r="NIN66" s="528"/>
      <c r="NIO66" s="528"/>
      <c r="NIP66" s="528"/>
      <c r="NIQ66" s="528"/>
      <c r="NIR66" s="528"/>
      <c r="NIS66" s="528"/>
      <c r="NIT66" s="528"/>
      <c r="NIU66" s="528"/>
      <c r="NIV66" s="528"/>
      <c r="NIW66" s="528"/>
      <c r="NIX66" s="528"/>
      <c r="NIY66" s="528"/>
      <c r="NIZ66" s="528"/>
      <c r="NJA66" s="528"/>
      <c r="NJB66" s="528"/>
      <c r="NJC66" s="528"/>
      <c r="NJD66" s="528"/>
      <c r="NJE66" s="528"/>
      <c r="NJF66" s="528"/>
      <c r="NJG66" s="528"/>
      <c r="NJH66" s="528"/>
      <c r="NJI66" s="528"/>
      <c r="NJJ66" s="528"/>
      <c r="NJK66" s="528"/>
      <c r="NJL66" s="528"/>
      <c r="NJM66" s="528"/>
      <c r="NJN66" s="528"/>
      <c r="NJO66" s="528"/>
      <c r="NJP66" s="528"/>
      <c r="NJQ66" s="528"/>
      <c r="NJR66" s="528"/>
      <c r="NJS66" s="528"/>
      <c r="NJT66" s="528"/>
      <c r="NJU66" s="528"/>
      <c r="NJV66" s="528"/>
      <c r="NJW66" s="528"/>
      <c r="NJX66" s="528"/>
      <c r="NJY66" s="528"/>
      <c r="NJZ66" s="528"/>
      <c r="NKA66" s="528"/>
      <c r="NKB66" s="528"/>
      <c r="NKC66" s="528"/>
      <c r="NKD66" s="528"/>
      <c r="NKE66" s="528"/>
      <c r="NKF66" s="528"/>
      <c r="NKG66" s="528"/>
      <c r="NKH66" s="528"/>
      <c r="NKI66" s="528"/>
      <c r="NKJ66" s="528"/>
      <c r="NKK66" s="528"/>
      <c r="NKL66" s="528"/>
      <c r="NKM66" s="528"/>
      <c r="NKN66" s="528"/>
      <c r="NKO66" s="528"/>
      <c r="NKP66" s="528"/>
      <c r="NKQ66" s="528"/>
      <c r="NKR66" s="528"/>
      <c r="NKS66" s="528"/>
      <c r="NKT66" s="528"/>
      <c r="NKU66" s="528"/>
      <c r="NKV66" s="528"/>
      <c r="NKW66" s="528"/>
      <c r="NKX66" s="528"/>
      <c r="NKY66" s="528"/>
      <c r="NKZ66" s="528"/>
      <c r="NLA66" s="528"/>
      <c r="NLB66" s="528"/>
      <c r="NLC66" s="528"/>
      <c r="NLD66" s="528"/>
      <c r="NLE66" s="528"/>
      <c r="NLF66" s="528"/>
      <c r="NLG66" s="528"/>
      <c r="NLH66" s="528"/>
      <c r="NLI66" s="528"/>
      <c r="NLJ66" s="528"/>
      <c r="NLK66" s="528"/>
      <c r="NLL66" s="528"/>
      <c r="NLM66" s="528"/>
      <c r="NLN66" s="528"/>
      <c r="NLO66" s="528"/>
      <c r="NLP66" s="528"/>
      <c r="NLQ66" s="528"/>
      <c r="NLR66" s="528"/>
      <c r="NLS66" s="528"/>
      <c r="NLT66" s="528"/>
      <c r="NLU66" s="528"/>
      <c r="NLV66" s="528"/>
      <c r="NLW66" s="528"/>
      <c r="NLX66" s="528"/>
      <c r="NLY66" s="528"/>
      <c r="NLZ66" s="528"/>
      <c r="NMA66" s="528"/>
      <c r="NMB66" s="528"/>
      <c r="NMC66" s="528"/>
      <c r="NMD66" s="528"/>
      <c r="NME66" s="528"/>
      <c r="NMF66" s="528"/>
      <c r="NMG66" s="528"/>
      <c r="NMH66" s="528"/>
      <c r="NMI66" s="528"/>
      <c r="NMJ66" s="528"/>
      <c r="NMK66" s="528"/>
      <c r="NML66" s="528"/>
      <c r="NMM66" s="528"/>
      <c r="NMN66" s="528"/>
      <c r="NMO66" s="528"/>
      <c r="NMP66" s="528"/>
      <c r="NMQ66" s="528"/>
      <c r="NMR66" s="528"/>
      <c r="NMS66" s="528"/>
      <c r="NMT66" s="528"/>
      <c r="NMU66" s="528"/>
      <c r="NMV66" s="528"/>
      <c r="NMW66" s="528"/>
      <c r="NMX66" s="528"/>
      <c r="NMY66" s="528"/>
      <c r="NMZ66" s="528"/>
      <c r="NNA66" s="528"/>
      <c r="NNB66" s="528"/>
      <c r="NNC66" s="528"/>
      <c r="NND66" s="528"/>
      <c r="NNE66" s="528"/>
      <c r="NNF66" s="528"/>
      <c r="NNG66" s="528"/>
      <c r="NNH66" s="528"/>
      <c r="NNI66" s="528"/>
      <c r="NNJ66" s="528"/>
      <c r="NNK66" s="528"/>
      <c r="NNL66" s="528"/>
      <c r="NNM66" s="528"/>
      <c r="NNN66" s="528"/>
      <c r="NNO66" s="528"/>
      <c r="NNP66" s="528"/>
      <c r="NNQ66" s="528"/>
      <c r="NNR66" s="528"/>
      <c r="NNS66" s="528"/>
      <c r="NNT66" s="528"/>
      <c r="NNU66" s="528"/>
      <c r="NNV66" s="528"/>
      <c r="NNW66" s="528"/>
      <c r="NNX66" s="528"/>
      <c r="NNY66" s="528"/>
      <c r="NNZ66" s="528"/>
      <c r="NOA66" s="528"/>
      <c r="NOB66" s="528"/>
      <c r="NOC66" s="528"/>
      <c r="NOD66" s="528"/>
      <c r="NOE66" s="528"/>
      <c r="NOF66" s="528"/>
      <c r="NOG66" s="528"/>
      <c r="NOH66" s="528"/>
      <c r="NOI66" s="528"/>
      <c r="NOJ66" s="528"/>
      <c r="NOK66" s="528"/>
      <c r="NOL66" s="528"/>
      <c r="NOM66" s="528"/>
      <c r="NON66" s="528"/>
      <c r="NOO66" s="528"/>
      <c r="NOP66" s="528"/>
      <c r="NOQ66" s="528"/>
      <c r="NOR66" s="528"/>
      <c r="NOS66" s="528"/>
      <c r="NOT66" s="528"/>
      <c r="NOU66" s="528"/>
      <c r="NOV66" s="528"/>
      <c r="NOW66" s="528"/>
      <c r="NOX66" s="528"/>
      <c r="NOY66" s="528"/>
      <c r="NOZ66" s="528"/>
      <c r="NPA66" s="528"/>
      <c r="NPB66" s="528"/>
      <c r="NPC66" s="528"/>
      <c r="NPD66" s="528"/>
      <c r="NPE66" s="528"/>
      <c r="NPF66" s="528"/>
      <c r="NPG66" s="528"/>
      <c r="NPH66" s="528"/>
      <c r="NPI66" s="528"/>
      <c r="NPJ66" s="528"/>
      <c r="NPK66" s="528"/>
      <c r="NPL66" s="528"/>
      <c r="NPM66" s="528"/>
      <c r="NPN66" s="528"/>
      <c r="NPO66" s="528"/>
      <c r="NPP66" s="528"/>
      <c r="NPQ66" s="528"/>
      <c r="NPR66" s="528"/>
      <c r="NPS66" s="528"/>
      <c r="NPT66" s="528"/>
      <c r="NPU66" s="528"/>
      <c r="NPV66" s="528"/>
      <c r="NPW66" s="528"/>
      <c r="NPX66" s="528"/>
      <c r="NPY66" s="528"/>
      <c r="NPZ66" s="528"/>
      <c r="NQA66" s="528"/>
      <c r="NQB66" s="528"/>
      <c r="NQC66" s="528"/>
      <c r="NQD66" s="528"/>
      <c r="NQE66" s="528"/>
      <c r="NQF66" s="528"/>
      <c r="NQG66" s="528"/>
      <c r="NQH66" s="528"/>
      <c r="NQI66" s="528"/>
      <c r="NQJ66" s="528"/>
      <c r="NQK66" s="528"/>
      <c r="NQL66" s="528"/>
      <c r="NQM66" s="528"/>
      <c r="NQN66" s="528"/>
      <c r="NQO66" s="528"/>
      <c r="NQP66" s="528"/>
      <c r="NQQ66" s="528"/>
      <c r="NQR66" s="528"/>
      <c r="NQS66" s="528"/>
      <c r="NQT66" s="528"/>
      <c r="NQU66" s="528"/>
      <c r="NQV66" s="528"/>
      <c r="NQW66" s="528"/>
      <c r="NQX66" s="528"/>
      <c r="NQY66" s="528"/>
      <c r="NQZ66" s="528"/>
      <c r="NRA66" s="528"/>
      <c r="NRB66" s="528"/>
      <c r="NRC66" s="528"/>
      <c r="NRD66" s="528"/>
      <c r="NRE66" s="528"/>
      <c r="NRF66" s="528"/>
      <c r="NRG66" s="528"/>
      <c r="NRH66" s="528"/>
      <c r="NRI66" s="528"/>
      <c r="NRJ66" s="528"/>
      <c r="NRK66" s="528"/>
      <c r="NRL66" s="528"/>
      <c r="NRM66" s="528"/>
      <c r="NRN66" s="528"/>
      <c r="NRO66" s="528"/>
      <c r="NRP66" s="528"/>
      <c r="NRQ66" s="528"/>
      <c r="NRR66" s="528"/>
      <c r="NRS66" s="528"/>
      <c r="NRT66" s="528"/>
      <c r="NRU66" s="528"/>
      <c r="NRV66" s="528"/>
      <c r="NRW66" s="528"/>
      <c r="NRX66" s="528"/>
      <c r="NRY66" s="528"/>
      <c r="NRZ66" s="528"/>
      <c r="NSA66" s="528"/>
      <c r="NSB66" s="528"/>
      <c r="NSC66" s="528"/>
      <c r="NSD66" s="528"/>
      <c r="NSE66" s="528"/>
      <c r="NSF66" s="528"/>
      <c r="NSG66" s="528"/>
      <c r="NSH66" s="528"/>
      <c r="NSI66" s="528"/>
      <c r="NSJ66" s="528"/>
      <c r="NSK66" s="528"/>
      <c r="NSL66" s="528"/>
      <c r="NSM66" s="528"/>
      <c r="NSN66" s="528"/>
      <c r="NSO66" s="528"/>
      <c r="NSP66" s="528"/>
      <c r="NSQ66" s="528"/>
      <c r="NSR66" s="528"/>
      <c r="NSS66" s="528"/>
      <c r="NST66" s="528"/>
      <c r="NSU66" s="528"/>
      <c r="NSV66" s="528"/>
      <c r="NSW66" s="528"/>
      <c r="NSX66" s="528"/>
      <c r="NSY66" s="528"/>
      <c r="NSZ66" s="528"/>
      <c r="NTA66" s="528"/>
      <c r="NTB66" s="528"/>
      <c r="NTC66" s="528"/>
      <c r="NTD66" s="528"/>
      <c r="NTE66" s="528"/>
      <c r="NTF66" s="528"/>
      <c r="NTG66" s="528"/>
      <c r="NTH66" s="528"/>
      <c r="NTI66" s="528"/>
      <c r="NTJ66" s="528"/>
      <c r="NTK66" s="528"/>
      <c r="NTL66" s="528"/>
      <c r="NTM66" s="528"/>
      <c r="NTN66" s="528"/>
      <c r="NTO66" s="528"/>
      <c r="NTP66" s="528"/>
      <c r="NTQ66" s="528"/>
      <c r="NTR66" s="528"/>
      <c r="NTS66" s="528"/>
      <c r="NTT66" s="528"/>
      <c r="NTU66" s="528"/>
      <c r="NTV66" s="528"/>
      <c r="NTW66" s="528"/>
      <c r="NTX66" s="528"/>
      <c r="NTY66" s="528"/>
      <c r="NTZ66" s="528"/>
      <c r="NUA66" s="528"/>
      <c r="NUB66" s="528"/>
      <c r="NUC66" s="528"/>
      <c r="NUD66" s="528"/>
      <c r="NUE66" s="528"/>
      <c r="NUF66" s="528"/>
      <c r="NUG66" s="528"/>
      <c r="NUH66" s="528"/>
      <c r="NUI66" s="528"/>
      <c r="NUJ66" s="528"/>
      <c r="NUK66" s="528"/>
      <c r="NUL66" s="528"/>
      <c r="NUM66" s="528"/>
      <c r="NUN66" s="528"/>
      <c r="NUO66" s="528"/>
      <c r="NUP66" s="528"/>
      <c r="NUQ66" s="528"/>
      <c r="NUR66" s="528"/>
      <c r="NUS66" s="528"/>
      <c r="NUT66" s="528"/>
      <c r="NUU66" s="528"/>
      <c r="NUV66" s="528"/>
      <c r="NUW66" s="528"/>
      <c r="NUX66" s="528"/>
      <c r="NUY66" s="528"/>
      <c r="NUZ66" s="528"/>
      <c r="NVA66" s="528"/>
      <c r="NVB66" s="528"/>
      <c r="NVC66" s="528"/>
      <c r="NVD66" s="528"/>
      <c r="NVE66" s="528"/>
      <c r="NVF66" s="528"/>
      <c r="NVG66" s="528"/>
      <c r="NVH66" s="528"/>
      <c r="NVI66" s="528"/>
      <c r="NVJ66" s="528"/>
      <c r="NVK66" s="528"/>
      <c r="NVL66" s="528"/>
      <c r="NVM66" s="528"/>
      <c r="NVN66" s="528"/>
      <c r="NVO66" s="528"/>
      <c r="NVP66" s="528"/>
      <c r="NVQ66" s="528"/>
      <c r="NVR66" s="528"/>
      <c r="NVS66" s="528"/>
      <c r="NVT66" s="528"/>
      <c r="NVU66" s="528"/>
      <c r="NVV66" s="528"/>
      <c r="NVW66" s="528"/>
      <c r="NVX66" s="528"/>
      <c r="NVY66" s="528"/>
      <c r="NVZ66" s="528"/>
      <c r="NWA66" s="528"/>
      <c r="NWB66" s="528"/>
      <c r="NWC66" s="528"/>
      <c r="NWD66" s="528"/>
      <c r="NWE66" s="528"/>
      <c r="NWF66" s="528"/>
      <c r="NWG66" s="528"/>
      <c r="NWH66" s="528"/>
      <c r="NWI66" s="528"/>
      <c r="NWJ66" s="528"/>
      <c r="NWK66" s="528"/>
      <c r="NWL66" s="528"/>
      <c r="NWM66" s="528"/>
      <c r="NWN66" s="528"/>
      <c r="NWO66" s="528"/>
      <c r="NWP66" s="528"/>
      <c r="NWQ66" s="528"/>
      <c r="NWR66" s="528"/>
      <c r="NWS66" s="528"/>
      <c r="NWT66" s="528"/>
      <c r="NWU66" s="528"/>
      <c r="NWV66" s="528"/>
      <c r="NWW66" s="528"/>
      <c r="NWX66" s="528"/>
      <c r="NWY66" s="528"/>
      <c r="NWZ66" s="528"/>
      <c r="NXA66" s="528"/>
      <c r="NXB66" s="528"/>
      <c r="NXC66" s="528"/>
      <c r="NXD66" s="528"/>
      <c r="NXE66" s="528"/>
      <c r="NXF66" s="528"/>
      <c r="NXG66" s="528"/>
      <c r="NXH66" s="528"/>
      <c r="NXI66" s="528"/>
      <c r="NXJ66" s="528"/>
      <c r="NXK66" s="528"/>
      <c r="NXL66" s="528"/>
      <c r="NXM66" s="528"/>
      <c r="NXN66" s="528"/>
      <c r="NXO66" s="528"/>
      <c r="NXP66" s="528"/>
      <c r="NXQ66" s="528"/>
      <c r="NXR66" s="528"/>
      <c r="NXS66" s="528"/>
      <c r="NXT66" s="528"/>
      <c r="NXU66" s="528"/>
      <c r="NXV66" s="528"/>
      <c r="NXW66" s="528"/>
      <c r="NXX66" s="528"/>
      <c r="NXY66" s="528"/>
      <c r="NXZ66" s="528"/>
      <c r="NYA66" s="528"/>
      <c r="NYB66" s="528"/>
      <c r="NYC66" s="528"/>
      <c r="NYD66" s="528"/>
      <c r="NYE66" s="528"/>
      <c r="NYF66" s="528"/>
      <c r="NYG66" s="528"/>
      <c r="NYH66" s="528"/>
      <c r="NYI66" s="528"/>
      <c r="NYJ66" s="528"/>
      <c r="NYK66" s="528"/>
      <c r="NYL66" s="528"/>
      <c r="NYM66" s="528"/>
      <c r="NYN66" s="528"/>
      <c r="NYO66" s="528"/>
      <c r="NYP66" s="528"/>
      <c r="NYQ66" s="528"/>
      <c r="NYR66" s="528"/>
      <c r="NYS66" s="528"/>
      <c r="NYT66" s="528"/>
      <c r="NYU66" s="528"/>
      <c r="NYV66" s="528"/>
      <c r="NYW66" s="528"/>
      <c r="NYX66" s="528"/>
      <c r="NYY66" s="528"/>
      <c r="NYZ66" s="528"/>
      <c r="NZA66" s="528"/>
      <c r="NZB66" s="528"/>
      <c r="NZC66" s="528"/>
      <c r="NZD66" s="528"/>
      <c r="NZE66" s="528"/>
      <c r="NZF66" s="528"/>
      <c r="NZG66" s="528"/>
      <c r="NZH66" s="528"/>
      <c r="NZI66" s="528"/>
      <c r="NZJ66" s="528"/>
      <c r="NZK66" s="528"/>
      <c r="NZL66" s="528"/>
      <c r="NZM66" s="528"/>
      <c r="NZN66" s="528"/>
      <c r="NZO66" s="528"/>
      <c r="NZP66" s="528"/>
      <c r="NZQ66" s="528"/>
      <c r="NZR66" s="528"/>
      <c r="NZS66" s="528"/>
      <c r="NZT66" s="528"/>
      <c r="NZU66" s="528"/>
      <c r="NZV66" s="528"/>
      <c r="NZW66" s="528"/>
      <c r="NZX66" s="528"/>
      <c r="NZY66" s="528"/>
      <c r="NZZ66" s="528"/>
      <c r="OAA66" s="528"/>
      <c r="OAB66" s="528"/>
      <c r="OAC66" s="528"/>
      <c r="OAD66" s="528"/>
      <c r="OAE66" s="528"/>
      <c r="OAF66" s="528"/>
      <c r="OAG66" s="528"/>
      <c r="OAH66" s="528"/>
      <c r="OAI66" s="528"/>
      <c r="OAJ66" s="528"/>
      <c r="OAK66" s="528"/>
      <c r="OAL66" s="528"/>
      <c r="OAM66" s="528"/>
      <c r="OAN66" s="528"/>
      <c r="OAO66" s="528"/>
      <c r="OAP66" s="528"/>
      <c r="OAQ66" s="528"/>
      <c r="OAR66" s="528"/>
      <c r="OAS66" s="528"/>
      <c r="OAT66" s="528"/>
      <c r="OAU66" s="528"/>
      <c r="OAV66" s="528"/>
      <c r="OAW66" s="528"/>
      <c r="OAX66" s="528"/>
      <c r="OAY66" s="528"/>
      <c r="OAZ66" s="528"/>
      <c r="OBA66" s="528"/>
      <c r="OBB66" s="528"/>
      <c r="OBC66" s="528"/>
      <c r="OBD66" s="528"/>
      <c r="OBE66" s="528"/>
      <c r="OBF66" s="528"/>
      <c r="OBG66" s="528"/>
      <c r="OBH66" s="528"/>
      <c r="OBI66" s="528"/>
      <c r="OBJ66" s="528"/>
      <c r="OBK66" s="528"/>
      <c r="OBL66" s="528"/>
      <c r="OBM66" s="528"/>
      <c r="OBN66" s="528"/>
      <c r="OBO66" s="528"/>
      <c r="OBP66" s="528"/>
      <c r="OBQ66" s="528"/>
      <c r="OBR66" s="528"/>
      <c r="OBS66" s="528"/>
      <c r="OBT66" s="528"/>
      <c r="OBU66" s="528"/>
      <c r="OBV66" s="528"/>
      <c r="OBW66" s="528"/>
      <c r="OBX66" s="528"/>
      <c r="OBY66" s="528"/>
      <c r="OBZ66" s="528"/>
      <c r="OCA66" s="528"/>
      <c r="OCB66" s="528"/>
      <c r="OCC66" s="528"/>
      <c r="OCD66" s="528"/>
      <c r="OCE66" s="528"/>
      <c r="OCF66" s="528"/>
      <c r="OCG66" s="528"/>
      <c r="OCH66" s="528"/>
      <c r="OCI66" s="528"/>
      <c r="OCJ66" s="528"/>
      <c r="OCK66" s="528"/>
      <c r="OCL66" s="528"/>
      <c r="OCM66" s="528"/>
      <c r="OCN66" s="528"/>
      <c r="OCO66" s="528"/>
      <c r="OCP66" s="528"/>
      <c r="OCQ66" s="528"/>
      <c r="OCR66" s="528"/>
      <c r="OCS66" s="528"/>
      <c r="OCT66" s="528"/>
      <c r="OCU66" s="528"/>
      <c r="OCV66" s="528"/>
      <c r="OCW66" s="528"/>
      <c r="OCX66" s="528"/>
      <c r="OCY66" s="528"/>
      <c r="OCZ66" s="528"/>
      <c r="ODA66" s="528"/>
      <c r="ODB66" s="528"/>
      <c r="ODC66" s="528"/>
      <c r="ODD66" s="528"/>
      <c r="ODE66" s="528"/>
      <c r="ODF66" s="528"/>
      <c r="ODG66" s="528"/>
      <c r="ODH66" s="528"/>
      <c r="ODI66" s="528"/>
      <c r="ODJ66" s="528"/>
      <c r="ODK66" s="528"/>
      <c r="ODL66" s="528"/>
      <c r="ODM66" s="528"/>
      <c r="ODN66" s="528"/>
      <c r="ODO66" s="528"/>
      <c r="ODP66" s="528"/>
      <c r="ODQ66" s="528"/>
      <c r="ODR66" s="528"/>
      <c r="ODS66" s="528"/>
      <c r="ODT66" s="528"/>
      <c r="ODU66" s="528"/>
      <c r="ODV66" s="528"/>
      <c r="ODW66" s="528"/>
      <c r="ODX66" s="528"/>
      <c r="ODY66" s="528"/>
      <c r="ODZ66" s="528"/>
      <c r="OEA66" s="528"/>
      <c r="OEB66" s="528"/>
      <c r="OEC66" s="528"/>
      <c r="OED66" s="528"/>
      <c r="OEE66" s="528"/>
      <c r="OEF66" s="528"/>
      <c r="OEG66" s="528"/>
      <c r="OEH66" s="528"/>
      <c r="OEI66" s="528"/>
      <c r="OEJ66" s="528"/>
      <c r="OEK66" s="528"/>
      <c r="OEL66" s="528"/>
      <c r="OEM66" s="528"/>
      <c r="OEN66" s="528"/>
      <c r="OEO66" s="528"/>
      <c r="OEP66" s="528"/>
      <c r="OEQ66" s="528"/>
      <c r="OER66" s="528"/>
      <c r="OES66" s="528"/>
      <c r="OET66" s="528"/>
      <c r="OEU66" s="528"/>
      <c r="OEV66" s="528"/>
      <c r="OEW66" s="528"/>
      <c r="OEX66" s="528"/>
      <c r="OEY66" s="528"/>
      <c r="OEZ66" s="528"/>
      <c r="OFA66" s="528"/>
      <c r="OFB66" s="528"/>
      <c r="OFC66" s="528"/>
      <c r="OFD66" s="528"/>
      <c r="OFE66" s="528"/>
      <c r="OFF66" s="528"/>
      <c r="OFG66" s="528"/>
      <c r="OFH66" s="528"/>
      <c r="OFI66" s="528"/>
      <c r="OFJ66" s="528"/>
      <c r="OFK66" s="528"/>
      <c r="OFL66" s="528"/>
      <c r="OFM66" s="528"/>
      <c r="OFN66" s="528"/>
      <c r="OFO66" s="528"/>
      <c r="OFP66" s="528"/>
      <c r="OFQ66" s="528"/>
      <c r="OFR66" s="528"/>
      <c r="OFS66" s="528"/>
      <c r="OFT66" s="528"/>
      <c r="OFU66" s="528"/>
      <c r="OFV66" s="528"/>
      <c r="OFW66" s="528"/>
      <c r="OFX66" s="528"/>
      <c r="OFY66" s="528"/>
      <c r="OFZ66" s="528"/>
      <c r="OGA66" s="528"/>
      <c r="OGB66" s="528"/>
      <c r="OGC66" s="528"/>
      <c r="OGD66" s="528"/>
      <c r="OGE66" s="528"/>
      <c r="OGF66" s="528"/>
      <c r="OGG66" s="528"/>
      <c r="OGH66" s="528"/>
      <c r="OGI66" s="528"/>
      <c r="OGJ66" s="528"/>
      <c r="OGK66" s="528"/>
      <c r="OGL66" s="528"/>
      <c r="OGM66" s="528"/>
      <c r="OGN66" s="528"/>
      <c r="OGO66" s="528"/>
      <c r="OGP66" s="528"/>
      <c r="OGQ66" s="528"/>
      <c r="OGR66" s="528"/>
      <c r="OGS66" s="528"/>
      <c r="OGT66" s="528"/>
      <c r="OGU66" s="528"/>
      <c r="OGV66" s="528"/>
      <c r="OGW66" s="528"/>
      <c r="OGX66" s="528"/>
      <c r="OGY66" s="528"/>
      <c r="OGZ66" s="528"/>
      <c r="OHA66" s="528"/>
      <c r="OHB66" s="528"/>
      <c r="OHC66" s="528"/>
      <c r="OHD66" s="528"/>
      <c r="OHE66" s="528"/>
      <c r="OHF66" s="528"/>
      <c r="OHG66" s="528"/>
      <c r="OHH66" s="528"/>
      <c r="OHI66" s="528"/>
      <c r="OHJ66" s="528"/>
      <c r="OHK66" s="528"/>
      <c r="OHL66" s="528"/>
      <c r="OHM66" s="528"/>
      <c r="OHN66" s="528"/>
      <c r="OHO66" s="528"/>
      <c r="OHP66" s="528"/>
      <c r="OHQ66" s="528"/>
      <c r="OHR66" s="528"/>
      <c r="OHS66" s="528"/>
      <c r="OHT66" s="528"/>
      <c r="OHU66" s="528"/>
      <c r="OHV66" s="528"/>
      <c r="OHW66" s="528"/>
      <c r="OHX66" s="528"/>
      <c r="OHY66" s="528"/>
      <c r="OHZ66" s="528"/>
      <c r="OIA66" s="528"/>
      <c r="OIB66" s="528"/>
      <c r="OIC66" s="528"/>
      <c r="OID66" s="528"/>
      <c r="OIE66" s="528"/>
      <c r="OIF66" s="528"/>
      <c r="OIG66" s="528"/>
      <c r="OIH66" s="528"/>
      <c r="OII66" s="528"/>
      <c r="OIJ66" s="528"/>
      <c r="OIK66" s="528"/>
      <c r="OIL66" s="528"/>
      <c r="OIM66" s="528"/>
      <c r="OIN66" s="528"/>
      <c r="OIO66" s="528"/>
      <c r="OIP66" s="528"/>
      <c r="OIQ66" s="528"/>
      <c r="OIR66" s="528"/>
      <c r="OIS66" s="528"/>
      <c r="OIT66" s="528"/>
      <c r="OIU66" s="528"/>
      <c r="OIV66" s="528"/>
      <c r="OIW66" s="528"/>
      <c r="OIX66" s="528"/>
      <c r="OIY66" s="528"/>
      <c r="OIZ66" s="528"/>
      <c r="OJA66" s="528"/>
      <c r="OJB66" s="528"/>
      <c r="OJC66" s="528"/>
      <c r="OJD66" s="528"/>
      <c r="OJE66" s="528"/>
      <c r="OJF66" s="528"/>
      <c r="OJG66" s="528"/>
      <c r="OJH66" s="528"/>
      <c r="OJI66" s="528"/>
      <c r="OJJ66" s="528"/>
      <c r="OJK66" s="528"/>
      <c r="OJL66" s="528"/>
      <c r="OJM66" s="528"/>
      <c r="OJN66" s="528"/>
      <c r="OJO66" s="528"/>
      <c r="OJP66" s="528"/>
      <c r="OJQ66" s="528"/>
      <c r="OJR66" s="528"/>
      <c r="OJS66" s="528"/>
      <c r="OJT66" s="528"/>
      <c r="OJU66" s="528"/>
      <c r="OJV66" s="528"/>
      <c r="OJW66" s="528"/>
      <c r="OJX66" s="528"/>
      <c r="OJY66" s="528"/>
      <c r="OJZ66" s="528"/>
      <c r="OKA66" s="528"/>
      <c r="OKB66" s="528"/>
      <c r="OKC66" s="528"/>
      <c r="OKD66" s="528"/>
      <c r="OKE66" s="528"/>
      <c r="OKF66" s="528"/>
      <c r="OKG66" s="528"/>
      <c r="OKH66" s="528"/>
      <c r="OKI66" s="528"/>
      <c r="OKJ66" s="528"/>
      <c r="OKK66" s="528"/>
      <c r="OKL66" s="528"/>
      <c r="OKM66" s="528"/>
      <c r="OKN66" s="528"/>
      <c r="OKO66" s="528"/>
      <c r="OKP66" s="528"/>
      <c r="OKQ66" s="528"/>
      <c r="OKR66" s="528"/>
      <c r="OKS66" s="528"/>
      <c r="OKT66" s="528"/>
      <c r="OKU66" s="528"/>
      <c r="OKV66" s="528"/>
      <c r="OKW66" s="528"/>
      <c r="OKX66" s="528"/>
      <c r="OKY66" s="528"/>
      <c r="OKZ66" s="528"/>
      <c r="OLA66" s="528"/>
      <c r="OLB66" s="528"/>
      <c r="OLC66" s="528"/>
      <c r="OLD66" s="528"/>
      <c r="OLE66" s="528"/>
      <c r="OLF66" s="528"/>
      <c r="OLG66" s="528"/>
      <c r="OLH66" s="528"/>
      <c r="OLI66" s="528"/>
      <c r="OLJ66" s="528"/>
      <c r="OLK66" s="528"/>
      <c r="OLL66" s="528"/>
      <c r="OLM66" s="528"/>
      <c r="OLN66" s="528"/>
      <c r="OLO66" s="528"/>
      <c r="OLP66" s="528"/>
      <c r="OLQ66" s="528"/>
      <c r="OLR66" s="528"/>
      <c r="OLS66" s="528"/>
      <c r="OLT66" s="528"/>
      <c r="OLU66" s="528"/>
      <c r="OLV66" s="528"/>
      <c r="OLW66" s="528"/>
      <c r="OLX66" s="528"/>
      <c r="OLY66" s="528"/>
      <c r="OLZ66" s="528"/>
      <c r="OMA66" s="528"/>
      <c r="OMB66" s="528"/>
      <c r="OMC66" s="528"/>
      <c r="OMD66" s="528"/>
      <c r="OME66" s="528"/>
      <c r="OMF66" s="528"/>
      <c r="OMG66" s="528"/>
      <c r="OMH66" s="528"/>
      <c r="OMI66" s="528"/>
      <c r="OMJ66" s="528"/>
      <c r="OMK66" s="528"/>
      <c r="OML66" s="528"/>
      <c r="OMM66" s="528"/>
      <c r="OMN66" s="528"/>
      <c r="OMO66" s="528"/>
      <c r="OMP66" s="528"/>
      <c r="OMQ66" s="528"/>
      <c r="OMR66" s="528"/>
      <c r="OMS66" s="528"/>
      <c r="OMT66" s="528"/>
      <c r="OMU66" s="528"/>
      <c r="OMV66" s="528"/>
      <c r="OMW66" s="528"/>
      <c r="OMX66" s="528"/>
      <c r="OMY66" s="528"/>
      <c r="OMZ66" s="528"/>
      <c r="ONA66" s="528"/>
      <c r="ONB66" s="528"/>
      <c r="ONC66" s="528"/>
      <c r="OND66" s="528"/>
      <c r="ONE66" s="528"/>
      <c r="ONF66" s="528"/>
      <c r="ONG66" s="528"/>
      <c r="ONH66" s="528"/>
      <c r="ONI66" s="528"/>
      <c r="ONJ66" s="528"/>
      <c r="ONK66" s="528"/>
      <c r="ONL66" s="528"/>
      <c r="ONM66" s="528"/>
      <c r="ONN66" s="528"/>
      <c r="ONO66" s="528"/>
      <c r="ONP66" s="528"/>
      <c r="ONQ66" s="528"/>
      <c r="ONR66" s="528"/>
      <c r="ONS66" s="528"/>
      <c r="ONT66" s="528"/>
      <c r="ONU66" s="528"/>
      <c r="ONV66" s="528"/>
      <c r="ONW66" s="528"/>
      <c r="ONX66" s="528"/>
      <c r="ONY66" s="528"/>
      <c r="ONZ66" s="528"/>
      <c r="OOA66" s="528"/>
      <c r="OOB66" s="528"/>
      <c r="OOC66" s="528"/>
      <c r="OOD66" s="528"/>
      <c r="OOE66" s="528"/>
      <c r="OOF66" s="528"/>
      <c r="OOG66" s="528"/>
      <c r="OOH66" s="528"/>
      <c r="OOI66" s="528"/>
      <c r="OOJ66" s="528"/>
      <c r="OOK66" s="528"/>
      <c r="OOL66" s="528"/>
      <c r="OOM66" s="528"/>
      <c r="OON66" s="528"/>
      <c r="OOO66" s="528"/>
      <c r="OOP66" s="528"/>
      <c r="OOQ66" s="528"/>
      <c r="OOR66" s="528"/>
      <c r="OOS66" s="528"/>
      <c r="OOT66" s="528"/>
      <c r="OOU66" s="528"/>
      <c r="OOV66" s="528"/>
      <c r="OOW66" s="528"/>
      <c r="OOX66" s="528"/>
      <c r="OOY66" s="528"/>
      <c r="OOZ66" s="528"/>
      <c r="OPA66" s="528"/>
      <c r="OPB66" s="528"/>
      <c r="OPC66" s="528"/>
      <c r="OPD66" s="528"/>
      <c r="OPE66" s="528"/>
      <c r="OPF66" s="528"/>
      <c r="OPG66" s="528"/>
      <c r="OPH66" s="528"/>
      <c r="OPI66" s="528"/>
      <c r="OPJ66" s="528"/>
      <c r="OPK66" s="528"/>
      <c r="OPL66" s="528"/>
      <c r="OPM66" s="528"/>
      <c r="OPN66" s="528"/>
      <c r="OPO66" s="528"/>
      <c r="OPP66" s="528"/>
      <c r="OPQ66" s="528"/>
      <c r="OPR66" s="528"/>
      <c r="OPS66" s="528"/>
      <c r="OPT66" s="528"/>
      <c r="OPU66" s="528"/>
      <c r="OPV66" s="528"/>
      <c r="OPW66" s="528"/>
      <c r="OPX66" s="528"/>
      <c r="OPY66" s="528"/>
      <c r="OPZ66" s="528"/>
      <c r="OQA66" s="528"/>
      <c r="OQB66" s="528"/>
      <c r="OQC66" s="528"/>
      <c r="OQD66" s="528"/>
      <c r="OQE66" s="528"/>
      <c r="OQF66" s="528"/>
      <c r="OQG66" s="528"/>
      <c r="OQH66" s="528"/>
      <c r="OQI66" s="528"/>
      <c r="OQJ66" s="528"/>
      <c r="OQK66" s="528"/>
      <c r="OQL66" s="528"/>
      <c r="OQM66" s="528"/>
      <c r="OQN66" s="528"/>
      <c r="OQO66" s="528"/>
      <c r="OQP66" s="528"/>
      <c r="OQQ66" s="528"/>
      <c r="OQR66" s="528"/>
      <c r="OQS66" s="528"/>
      <c r="OQT66" s="528"/>
      <c r="OQU66" s="528"/>
      <c r="OQV66" s="528"/>
      <c r="OQW66" s="528"/>
      <c r="OQX66" s="528"/>
      <c r="OQY66" s="528"/>
      <c r="OQZ66" s="528"/>
      <c r="ORA66" s="528"/>
      <c r="ORB66" s="528"/>
      <c r="ORC66" s="528"/>
      <c r="ORD66" s="528"/>
      <c r="ORE66" s="528"/>
      <c r="ORF66" s="528"/>
      <c r="ORG66" s="528"/>
      <c r="ORH66" s="528"/>
      <c r="ORI66" s="528"/>
      <c r="ORJ66" s="528"/>
      <c r="ORK66" s="528"/>
      <c r="ORL66" s="528"/>
      <c r="ORM66" s="528"/>
      <c r="ORN66" s="528"/>
      <c r="ORO66" s="528"/>
      <c r="ORP66" s="528"/>
      <c r="ORQ66" s="528"/>
      <c r="ORR66" s="528"/>
      <c r="ORS66" s="528"/>
      <c r="ORT66" s="528"/>
      <c r="ORU66" s="528"/>
      <c r="ORV66" s="528"/>
      <c r="ORW66" s="528"/>
      <c r="ORX66" s="528"/>
      <c r="ORY66" s="528"/>
      <c r="ORZ66" s="528"/>
      <c r="OSA66" s="528"/>
      <c r="OSB66" s="528"/>
      <c r="OSC66" s="528"/>
      <c r="OSD66" s="528"/>
      <c r="OSE66" s="528"/>
      <c r="OSF66" s="528"/>
      <c r="OSG66" s="528"/>
      <c r="OSH66" s="528"/>
      <c r="OSI66" s="528"/>
      <c r="OSJ66" s="528"/>
      <c r="OSK66" s="528"/>
      <c r="OSL66" s="528"/>
      <c r="OSM66" s="528"/>
      <c r="OSN66" s="528"/>
      <c r="OSO66" s="528"/>
      <c r="OSP66" s="528"/>
      <c r="OSQ66" s="528"/>
      <c r="OSR66" s="528"/>
      <c r="OSS66" s="528"/>
      <c r="OST66" s="528"/>
      <c r="OSU66" s="528"/>
      <c r="OSV66" s="528"/>
      <c r="OSW66" s="528"/>
      <c r="OSX66" s="528"/>
      <c r="OSY66" s="528"/>
      <c r="OSZ66" s="528"/>
      <c r="OTA66" s="528"/>
      <c r="OTB66" s="528"/>
      <c r="OTC66" s="528"/>
      <c r="OTD66" s="528"/>
      <c r="OTE66" s="528"/>
      <c r="OTF66" s="528"/>
      <c r="OTG66" s="528"/>
      <c r="OTH66" s="528"/>
      <c r="OTI66" s="528"/>
      <c r="OTJ66" s="528"/>
      <c r="OTK66" s="528"/>
      <c r="OTL66" s="528"/>
      <c r="OTM66" s="528"/>
      <c r="OTN66" s="528"/>
      <c r="OTO66" s="528"/>
      <c r="OTP66" s="528"/>
      <c r="OTQ66" s="528"/>
      <c r="OTR66" s="528"/>
      <c r="OTS66" s="528"/>
      <c r="OTT66" s="528"/>
      <c r="OTU66" s="528"/>
      <c r="OTV66" s="528"/>
      <c r="OTW66" s="528"/>
      <c r="OTX66" s="528"/>
      <c r="OTY66" s="528"/>
      <c r="OTZ66" s="528"/>
      <c r="OUA66" s="528"/>
      <c r="OUB66" s="528"/>
      <c r="OUC66" s="528"/>
      <c r="OUD66" s="528"/>
      <c r="OUE66" s="528"/>
      <c r="OUF66" s="528"/>
      <c r="OUG66" s="528"/>
      <c r="OUH66" s="528"/>
      <c r="OUI66" s="528"/>
      <c r="OUJ66" s="528"/>
      <c r="OUK66" s="528"/>
      <c r="OUL66" s="528"/>
      <c r="OUM66" s="528"/>
      <c r="OUN66" s="528"/>
      <c r="OUO66" s="528"/>
      <c r="OUP66" s="528"/>
      <c r="OUQ66" s="528"/>
      <c r="OUR66" s="528"/>
      <c r="OUS66" s="528"/>
      <c r="OUT66" s="528"/>
      <c r="OUU66" s="528"/>
      <c r="OUV66" s="528"/>
      <c r="OUW66" s="528"/>
      <c r="OUX66" s="528"/>
      <c r="OUY66" s="528"/>
      <c r="OUZ66" s="528"/>
      <c r="OVA66" s="528"/>
      <c r="OVB66" s="528"/>
      <c r="OVC66" s="528"/>
      <c r="OVD66" s="528"/>
      <c r="OVE66" s="528"/>
      <c r="OVF66" s="528"/>
      <c r="OVG66" s="528"/>
      <c r="OVH66" s="528"/>
      <c r="OVI66" s="528"/>
      <c r="OVJ66" s="528"/>
      <c r="OVK66" s="528"/>
      <c r="OVL66" s="528"/>
      <c r="OVM66" s="528"/>
      <c r="OVN66" s="528"/>
      <c r="OVO66" s="528"/>
      <c r="OVP66" s="528"/>
      <c r="OVQ66" s="528"/>
      <c r="OVR66" s="528"/>
      <c r="OVS66" s="528"/>
      <c r="OVT66" s="528"/>
      <c r="OVU66" s="528"/>
      <c r="OVV66" s="528"/>
      <c r="OVW66" s="528"/>
      <c r="OVX66" s="528"/>
      <c r="OVY66" s="528"/>
      <c r="OVZ66" s="528"/>
      <c r="OWA66" s="528"/>
      <c r="OWB66" s="528"/>
      <c r="OWC66" s="528"/>
      <c r="OWD66" s="528"/>
      <c r="OWE66" s="528"/>
      <c r="OWF66" s="528"/>
      <c r="OWG66" s="528"/>
      <c r="OWH66" s="528"/>
      <c r="OWI66" s="528"/>
      <c r="OWJ66" s="528"/>
      <c r="OWK66" s="528"/>
      <c r="OWL66" s="528"/>
      <c r="OWM66" s="528"/>
      <c r="OWN66" s="528"/>
      <c r="OWO66" s="528"/>
      <c r="OWP66" s="528"/>
      <c r="OWQ66" s="528"/>
      <c r="OWR66" s="528"/>
      <c r="OWS66" s="528"/>
      <c r="OWT66" s="528"/>
      <c r="OWU66" s="528"/>
      <c r="OWV66" s="528"/>
      <c r="OWW66" s="528"/>
      <c r="OWX66" s="528"/>
      <c r="OWY66" s="528"/>
      <c r="OWZ66" s="528"/>
      <c r="OXA66" s="528"/>
      <c r="OXB66" s="528"/>
      <c r="OXC66" s="528"/>
      <c r="OXD66" s="528"/>
      <c r="OXE66" s="528"/>
      <c r="OXF66" s="528"/>
      <c r="OXG66" s="528"/>
      <c r="OXH66" s="528"/>
      <c r="OXI66" s="528"/>
      <c r="OXJ66" s="528"/>
      <c r="OXK66" s="528"/>
      <c r="OXL66" s="528"/>
      <c r="OXM66" s="528"/>
      <c r="OXN66" s="528"/>
      <c r="OXO66" s="528"/>
      <c r="OXP66" s="528"/>
      <c r="OXQ66" s="528"/>
      <c r="OXR66" s="528"/>
      <c r="OXS66" s="528"/>
      <c r="OXT66" s="528"/>
      <c r="OXU66" s="528"/>
      <c r="OXV66" s="528"/>
      <c r="OXW66" s="528"/>
      <c r="OXX66" s="528"/>
      <c r="OXY66" s="528"/>
      <c r="OXZ66" s="528"/>
      <c r="OYA66" s="528"/>
      <c r="OYB66" s="528"/>
      <c r="OYC66" s="528"/>
      <c r="OYD66" s="528"/>
      <c r="OYE66" s="528"/>
      <c r="OYF66" s="528"/>
      <c r="OYG66" s="528"/>
      <c r="OYH66" s="528"/>
      <c r="OYI66" s="528"/>
      <c r="OYJ66" s="528"/>
      <c r="OYK66" s="528"/>
      <c r="OYL66" s="528"/>
      <c r="OYM66" s="528"/>
      <c r="OYN66" s="528"/>
      <c r="OYO66" s="528"/>
      <c r="OYP66" s="528"/>
      <c r="OYQ66" s="528"/>
      <c r="OYR66" s="528"/>
      <c r="OYS66" s="528"/>
      <c r="OYT66" s="528"/>
      <c r="OYU66" s="528"/>
      <c r="OYV66" s="528"/>
      <c r="OYW66" s="528"/>
      <c r="OYX66" s="528"/>
      <c r="OYY66" s="528"/>
      <c r="OYZ66" s="528"/>
      <c r="OZA66" s="528"/>
      <c r="OZB66" s="528"/>
      <c r="OZC66" s="528"/>
      <c r="OZD66" s="528"/>
      <c r="OZE66" s="528"/>
      <c r="OZF66" s="528"/>
      <c r="OZG66" s="528"/>
      <c r="OZH66" s="528"/>
      <c r="OZI66" s="528"/>
      <c r="OZJ66" s="528"/>
      <c r="OZK66" s="528"/>
      <c r="OZL66" s="528"/>
      <c r="OZM66" s="528"/>
      <c r="OZN66" s="528"/>
      <c r="OZO66" s="528"/>
      <c r="OZP66" s="528"/>
      <c r="OZQ66" s="528"/>
      <c r="OZR66" s="528"/>
      <c r="OZS66" s="528"/>
      <c r="OZT66" s="528"/>
      <c r="OZU66" s="528"/>
      <c r="OZV66" s="528"/>
      <c r="OZW66" s="528"/>
      <c r="OZX66" s="528"/>
      <c r="OZY66" s="528"/>
      <c r="OZZ66" s="528"/>
      <c r="PAA66" s="528"/>
      <c r="PAB66" s="528"/>
      <c r="PAC66" s="528"/>
      <c r="PAD66" s="528"/>
      <c r="PAE66" s="528"/>
      <c r="PAF66" s="528"/>
      <c r="PAG66" s="528"/>
      <c r="PAH66" s="528"/>
      <c r="PAI66" s="528"/>
      <c r="PAJ66" s="528"/>
      <c r="PAK66" s="528"/>
      <c r="PAL66" s="528"/>
      <c r="PAM66" s="528"/>
      <c r="PAN66" s="528"/>
      <c r="PAO66" s="528"/>
      <c r="PAP66" s="528"/>
      <c r="PAQ66" s="528"/>
      <c r="PAR66" s="528"/>
      <c r="PAS66" s="528"/>
      <c r="PAT66" s="528"/>
      <c r="PAU66" s="528"/>
      <c r="PAV66" s="528"/>
      <c r="PAW66" s="528"/>
      <c r="PAX66" s="528"/>
      <c r="PAY66" s="528"/>
      <c r="PAZ66" s="528"/>
      <c r="PBA66" s="528"/>
      <c r="PBB66" s="528"/>
      <c r="PBC66" s="528"/>
      <c r="PBD66" s="528"/>
      <c r="PBE66" s="528"/>
      <c r="PBF66" s="528"/>
      <c r="PBG66" s="528"/>
      <c r="PBH66" s="528"/>
      <c r="PBI66" s="528"/>
      <c r="PBJ66" s="528"/>
      <c r="PBK66" s="528"/>
      <c r="PBL66" s="528"/>
      <c r="PBM66" s="528"/>
      <c r="PBN66" s="528"/>
      <c r="PBO66" s="528"/>
      <c r="PBP66" s="528"/>
      <c r="PBQ66" s="528"/>
      <c r="PBR66" s="528"/>
      <c r="PBS66" s="528"/>
      <c r="PBT66" s="528"/>
      <c r="PBU66" s="528"/>
      <c r="PBV66" s="528"/>
      <c r="PBW66" s="528"/>
      <c r="PBX66" s="528"/>
      <c r="PBY66" s="528"/>
      <c r="PBZ66" s="528"/>
      <c r="PCA66" s="528"/>
      <c r="PCB66" s="528"/>
      <c r="PCC66" s="528"/>
      <c r="PCD66" s="528"/>
      <c r="PCE66" s="528"/>
      <c r="PCF66" s="528"/>
      <c r="PCG66" s="528"/>
      <c r="PCH66" s="528"/>
      <c r="PCI66" s="528"/>
      <c r="PCJ66" s="528"/>
      <c r="PCK66" s="528"/>
      <c r="PCL66" s="528"/>
      <c r="PCM66" s="528"/>
      <c r="PCN66" s="528"/>
      <c r="PCO66" s="528"/>
      <c r="PCP66" s="528"/>
      <c r="PCQ66" s="528"/>
      <c r="PCR66" s="528"/>
      <c r="PCS66" s="528"/>
      <c r="PCT66" s="528"/>
      <c r="PCU66" s="528"/>
      <c r="PCV66" s="528"/>
      <c r="PCW66" s="528"/>
      <c r="PCX66" s="528"/>
      <c r="PCY66" s="528"/>
      <c r="PCZ66" s="528"/>
      <c r="PDA66" s="528"/>
      <c r="PDB66" s="528"/>
      <c r="PDC66" s="528"/>
      <c r="PDD66" s="528"/>
      <c r="PDE66" s="528"/>
      <c r="PDF66" s="528"/>
      <c r="PDG66" s="528"/>
      <c r="PDH66" s="528"/>
      <c r="PDI66" s="528"/>
      <c r="PDJ66" s="528"/>
      <c r="PDK66" s="528"/>
      <c r="PDL66" s="528"/>
      <c r="PDM66" s="528"/>
      <c r="PDN66" s="528"/>
      <c r="PDO66" s="528"/>
      <c r="PDP66" s="528"/>
      <c r="PDQ66" s="528"/>
      <c r="PDR66" s="528"/>
      <c r="PDS66" s="528"/>
      <c r="PDT66" s="528"/>
      <c r="PDU66" s="528"/>
      <c r="PDV66" s="528"/>
      <c r="PDW66" s="528"/>
      <c r="PDX66" s="528"/>
      <c r="PDY66" s="528"/>
      <c r="PDZ66" s="528"/>
      <c r="PEA66" s="528"/>
      <c r="PEB66" s="528"/>
      <c r="PEC66" s="528"/>
      <c r="PED66" s="528"/>
      <c r="PEE66" s="528"/>
      <c r="PEF66" s="528"/>
      <c r="PEG66" s="528"/>
      <c r="PEH66" s="528"/>
      <c r="PEI66" s="528"/>
      <c r="PEJ66" s="528"/>
      <c r="PEK66" s="528"/>
      <c r="PEL66" s="528"/>
      <c r="PEM66" s="528"/>
      <c r="PEN66" s="528"/>
      <c r="PEO66" s="528"/>
      <c r="PEP66" s="528"/>
      <c r="PEQ66" s="528"/>
      <c r="PER66" s="528"/>
      <c r="PES66" s="528"/>
      <c r="PET66" s="528"/>
      <c r="PEU66" s="528"/>
      <c r="PEV66" s="528"/>
      <c r="PEW66" s="528"/>
      <c r="PEX66" s="528"/>
      <c r="PEY66" s="528"/>
      <c r="PEZ66" s="528"/>
      <c r="PFA66" s="528"/>
      <c r="PFB66" s="528"/>
      <c r="PFC66" s="528"/>
      <c r="PFD66" s="528"/>
      <c r="PFE66" s="528"/>
      <c r="PFF66" s="528"/>
      <c r="PFG66" s="528"/>
      <c r="PFH66" s="528"/>
      <c r="PFI66" s="528"/>
      <c r="PFJ66" s="528"/>
      <c r="PFK66" s="528"/>
      <c r="PFL66" s="528"/>
      <c r="PFM66" s="528"/>
      <c r="PFN66" s="528"/>
      <c r="PFO66" s="528"/>
      <c r="PFP66" s="528"/>
      <c r="PFQ66" s="528"/>
      <c r="PFR66" s="528"/>
      <c r="PFS66" s="528"/>
      <c r="PFT66" s="528"/>
      <c r="PFU66" s="528"/>
      <c r="PFV66" s="528"/>
      <c r="PFW66" s="528"/>
      <c r="PFX66" s="528"/>
      <c r="PFY66" s="528"/>
      <c r="PFZ66" s="528"/>
      <c r="PGA66" s="528"/>
      <c r="PGB66" s="528"/>
      <c r="PGC66" s="528"/>
      <c r="PGD66" s="528"/>
      <c r="PGE66" s="528"/>
      <c r="PGF66" s="528"/>
      <c r="PGG66" s="528"/>
      <c r="PGH66" s="528"/>
      <c r="PGI66" s="528"/>
      <c r="PGJ66" s="528"/>
      <c r="PGK66" s="528"/>
      <c r="PGL66" s="528"/>
      <c r="PGM66" s="528"/>
      <c r="PGN66" s="528"/>
      <c r="PGO66" s="528"/>
      <c r="PGP66" s="528"/>
      <c r="PGQ66" s="528"/>
      <c r="PGR66" s="528"/>
      <c r="PGS66" s="528"/>
      <c r="PGT66" s="528"/>
      <c r="PGU66" s="528"/>
      <c r="PGV66" s="528"/>
      <c r="PGW66" s="528"/>
      <c r="PGX66" s="528"/>
      <c r="PGY66" s="528"/>
      <c r="PGZ66" s="528"/>
      <c r="PHA66" s="528"/>
      <c r="PHB66" s="528"/>
      <c r="PHC66" s="528"/>
      <c r="PHD66" s="528"/>
      <c r="PHE66" s="528"/>
      <c r="PHF66" s="528"/>
      <c r="PHG66" s="528"/>
      <c r="PHH66" s="528"/>
      <c r="PHI66" s="528"/>
      <c r="PHJ66" s="528"/>
      <c r="PHK66" s="528"/>
      <c r="PHL66" s="528"/>
      <c r="PHM66" s="528"/>
      <c r="PHN66" s="528"/>
      <c r="PHO66" s="528"/>
      <c r="PHP66" s="528"/>
      <c r="PHQ66" s="528"/>
      <c r="PHR66" s="528"/>
      <c r="PHS66" s="528"/>
      <c r="PHT66" s="528"/>
      <c r="PHU66" s="528"/>
      <c r="PHV66" s="528"/>
      <c r="PHW66" s="528"/>
      <c r="PHX66" s="528"/>
      <c r="PHY66" s="528"/>
      <c r="PHZ66" s="528"/>
      <c r="PIA66" s="528"/>
      <c r="PIB66" s="528"/>
      <c r="PIC66" s="528"/>
      <c r="PID66" s="528"/>
      <c r="PIE66" s="528"/>
      <c r="PIF66" s="528"/>
      <c r="PIG66" s="528"/>
      <c r="PIH66" s="528"/>
      <c r="PII66" s="528"/>
      <c r="PIJ66" s="528"/>
      <c r="PIK66" s="528"/>
      <c r="PIL66" s="528"/>
      <c r="PIM66" s="528"/>
      <c r="PIN66" s="528"/>
      <c r="PIO66" s="528"/>
      <c r="PIP66" s="528"/>
      <c r="PIQ66" s="528"/>
      <c r="PIR66" s="528"/>
      <c r="PIS66" s="528"/>
      <c r="PIT66" s="528"/>
      <c r="PIU66" s="528"/>
      <c r="PIV66" s="528"/>
      <c r="PIW66" s="528"/>
      <c r="PIX66" s="528"/>
      <c r="PIY66" s="528"/>
      <c r="PIZ66" s="528"/>
      <c r="PJA66" s="528"/>
      <c r="PJB66" s="528"/>
      <c r="PJC66" s="528"/>
      <c r="PJD66" s="528"/>
      <c r="PJE66" s="528"/>
      <c r="PJF66" s="528"/>
      <c r="PJG66" s="528"/>
      <c r="PJH66" s="528"/>
      <c r="PJI66" s="528"/>
      <c r="PJJ66" s="528"/>
      <c r="PJK66" s="528"/>
      <c r="PJL66" s="528"/>
      <c r="PJM66" s="528"/>
      <c r="PJN66" s="528"/>
      <c r="PJO66" s="528"/>
      <c r="PJP66" s="528"/>
      <c r="PJQ66" s="528"/>
      <c r="PJR66" s="528"/>
      <c r="PJS66" s="528"/>
      <c r="PJT66" s="528"/>
      <c r="PJU66" s="528"/>
      <c r="PJV66" s="528"/>
      <c r="PJW66" s="528"/>
      <c r="PJX66" s="528"/>
      <c r="PJY66" s="528"/>
      <c r="PJZ66" s="528"/>
      <c r="PKA66" s="528"/>
      <c r="PKB66" s="528"/>
      <c r="PKC66" s="528"/>
      <c r="PKD66" s="528"/>
      <c r="PKE66" s="528"/>
      <c r="PKF66" s="528"/>
      <c r="PKG66" s="528"/>
      <c r="PKH66" s="528"/>
      <c r="PKI66" s="528"/>
      <c r="PKJ66" s="528"/>
      <c r="PKK66" s="528"/>
      <c r="PKL66" s="528"/>
      <c r="PKM66" s="528"/>
      <c r="PKN66" s="528"/>
      <c r="PKO66" s="528"/>
      <c r="PKP66" s="528"/>
      <c r="PKQ66" s="528"/>
      <c r="PKR66" s="528"/>
      <c r="PKS66" s="528"/>
      <c r="PKT66" s="528"/>
      <c r="PKU66" s="528"/>
      <c r="PKV66" s="528"/>
      <c r="PKW66" s="528"/>
      <c r="PKX66" s="528"/>
      <c r="PKY66" s="528"/>
      <c r="PKZ66" s="528"/>
      <c r="PLA66" s="528"/>
      <c r="PLB66" s="528"/>
      <c r="PLC66" s="528"/>
      <c r="PLD66" s="528"/>
      <c r="PLE66" s="528"/>
      <c r="PLF66" s="528"/>
      <c r="PLG66" s="528"/>
      <c r="PLH66" s="528"/>
      <c r="PLI66" s="528"/>
      <c r="PLJ66" s="528"/>
      <c r="PLK66" s="528"/>
      <c r="PLL66" s="528"/>
      <c r="PLM66" s="528"/>
      <c r="PLN66" s="528"/>
      <c r="PLO66" s="528"/>
      <c r="PLP66" s="528"/>
      <c r="PLQ66" s="528"/>
      <c r="PLR66" s="528"/>
      <c r="PLS66" s="528"/>
      <c r="PLT66" s="528"/>
      <c r="PLU66" s="528"/>
      <c r="PLV66" s="528"/>
      <c r="PLW66" s="528"/>
      <c r="PLX66" s="528"/>
      <c r="PLY66" s="528"/>
      <c r="PLZ66" s="528"/>
      <c r="PMA66" s="528"/>
      <c r="PMB66" s="528"/>
      <c r="PMC66" s="528"/>
      <c r="PMD66" s="528"/>
      <c r="PME66" s="528"/>
      <c r="PMF66" s="528"/>
      <c r="PMG66" s="528"/>
      <c r="PMH66" s="528"/>
      <c r="PMI66" s="528"/>
      <c r="PMJ66" s="528"/>
      <c r="PMK66" s="528"/>
      <c r="PML66" s="528"/>
      <c r="PMM66" s="528"/>
      <c r="PMN66" s="528"/>
      <c r="PMO66" s="528"/>
      <c r="PMP66" s="528"/>
      <c r="PMQ66" s="528"/>
      <c r="PMR66" s="528"/>
      <c r="PMS66" s="528"/>
      <c r="PMT66" s="528"/>
      <c r="PMU66" s="528"/>
      <c r="PMV66" s="528"/>
      <c r="PMW66" s="528"/>
      <c r="PMX66" s="528"/>
      <c r="PMY66" s="528"/>
      <c r="PMZ66" s="528"/>
      <c r="PNA66" s="528"/>
      <c r="PNB66" s="528"/>
      <c r="PNC66" s="528"/>
      <c r="PND66" s="528"/>
      <c r="PNE66" s="528"/>
      <c r="PNF66" s="528"/>
      <c r="PNG66" s="528"/>
      <c r="PNH66" s="528"/>
      <c r="PNI66" s="528"/>
      <c r="PNJ66" s="528"/>
      <c r="PNK66" s="528"/>
      <c r="PNL66" s="528"/>
      <c r="PNM66" s="528"/>
      <c r="PNN66" s="528"/>
      <c r="PNO66" s="528"/>
      <c r="PNP66" s="528"/>
      <c r="PNQ66" s="528"/>
      <c r="PNR66" s="528"/>
      <c r="PNS66" s="528"/>
      <c r="PNT66" s="528"/>
      <c r="PNU66" s="528"/>
      <c r="PNV66" s="528"/>
      <c r="PNW66" s="528"/>
      <c r="PNX66" s="528"/>
      <c r="PNY66" s="528"/>
      <c r="PNZ66" s="528"/>
      <c r="POA66" s="528"/>
      <c r="POB66" s="528"/>
      <c r="POC66" s="528"/>
      <c r="POD66" s="528"/>
      <c r="POE66" s="528"/>
      <c r="POF66" s="528"/>
      <c r="POG66" s="528"/>
      <c r="POH66" s="528"/>
      <c r="POI66" s="528"/>
      <c r="POJ66" s="528"/>
      <c r="POK66" s="528"/>
      <c r="POL66" s="528"/>
      <c r="POM66" s="528"/>
      <c r="PON66" s="528"/>
      <c r="POO66" s="528"/>
      <c r="POP66" s="528"/>
      <c r="POQ66" s="528"/>
      <c r="POR66" s="528"/>
      <c r="POS66" s="528"/>
      <c r="POT66" s="528"/>
      <c r="POU66" s="528"/>
      <c r="POV66" s="528"/>
      <c r="POW66" s="528"/>
      <c r="POX66" s="528"/>
      <c r="POY66" s="528"/>
      <c r="POZ66" s="528"/>
      <c r="PPA66" s="528"/>
      <c r="PPB66" s="528"/>
      <c r="PPC66" s="528"/>
      <c r="PPD66" s="528"/>
      <c r="PPE66" s="528"/>
      <c r="PPF66" s="528"/>
      <c r="PPG66" s="528"/>
      <c r="PPH66" s="528"/>
      <c r="PPI66" s="528"/>
      <c r="PPJ66" s="528"/>
      <c r="PPK66" s="528"/>
      <c r="PPL66" s="528"/>
      <c r="PPM66" s="528"/>
      <c r="PPN66" s="528"/>
      <c r="PPO66" s="528"/>
      <c r="PPP66" s="528"/>
      <c r="PPQ66" s="528"/>
      <c r="PPR66" s="528"/>
      <c r="PPS66" s="528"/>
      <c r="PPT66" s="528"/>
      <c r="PPU66" s="528"/>
      <c r="PPV66" s="528"/>
      <c r="PPW66" s="528"/>
      <c r="PPX66" s="528"/>
      <c r="PPY66" s="528"/>
      <c r="PPZ66" s="528"/>
      <c r="PQA66" s="528"/>
      <c r="PQB66" s="528"/>
      <c r="PQC66" s="528"/>
      <c r="PQD66" s="528"/>
      <c r="PQE66" s="528"/>
      <c r="PQF66" s="528"/>
      <c r="PQG66" s="528"/>
      <c r="PQH66" s="528"/>
      <c r="PQI66" s="528"/>
      <c r="PQJ66" s="528"/>
      <c r="PQK66" s="528"/>
      <c r="PQL66" s="528"/>
      <c r="PQM66" s="528"/>
      <c r="PQN66" s="528"/>
      <c r="PQO66" s="528"/>
      <c r="PQP66" s="528"/>
      <c r="PQQ66" s="528"/>
      <c r="PQR66" s="528"/>
      <c r="PQS66" s="528"/>
      <c r="PQT66" s="528"/>
      <c r="PQU66" s="528"/>
      <c r="PQV66" s="528"/>
      <c r="PQW66" s="528"/>
      <c r="PQX66" s="528"/>
      <c r="PQY66" s="528"/>
      <c r="PQZ66" s="528"/>
      <c r="PRA66" s="528"/>
      <c r="PRB66" s="528"/>
      <c r="PRC66" s="528"/>
      <c r="PRD66" s="528"/>
      <c r="PRE66" s="528"/>
      <c r="PRF66" s="528"/>
      <c r="PRG66" s="528"/>
      <c r="PRH66" s="528"/>
      <c r="PRI66" s="528"/>
      <c r="PRJ66" s="528"/>
      <c r="PRK66" s="528"/>
      <c r="PRL66" s="528"/>
      <c r="PRM66" s="528"/>
      <c r="PRN66" s="528"/>
      <c r="PRO66" s="528"/>
      <c r="PRP66" s="528"/>
      <c r="PRQ66" s="528"/>
      <c r="PRR66" s="528"/>
      <c r="PRS66" s="528"/>
      <c r="PRT66" s="528"/>
      <c r="PRU66" s="528"/>
      <c r="PRV66" s="528"/>
      <c r="PRW66" s="528"/>
      <c r="PRX66" s="528"/>
      <c r="PRY66" s="528"/>
      <c r="PRZ66" s="528"/>
      <c r="PSA66" s="528"/>
      <c r="PSB66" s="528"/>
      <c r="PSC66" s="528"/>
      <c r="PSD66" s="528"/>
      <c r="PSE66" s="528"/>
      <c r="PSF66" s="528"/>
      <c r="PSG66" s="528"/>
      <c r="PSH66" s="528"/>
      <c r="PSI66" s="528"/>
      <c r="PSJ66" s="528"/>
      <c r="PSK66" s="528"/>
      <c r="PSL66" s="528"/>
      <c r="PSM66" s="528"/>
      <c r="PSN66" s="528"/>
      <c r="PSO66" s="528"/>
      <c r="PSP66" s="528"/>
      <c r="PSQ66" s="528"/>
      <c r="PSR66" s="528"/>
      <c r="PSS66" s="528"/>
      <c r="PST66" s="528"/>
      <c r="PSU66" s="528"/>
      <c r="PSV66" s="528"/>
      <c r="PSW66" s="528"/>
      <c r="PSX66" s="528"/>
      <c r="PSY66" s="528"/>
      <c r="PSZ66" s="528"/>
      <c r="PTA66" s="528"/>
      <c r="PTB66" s="528"/>
      <c r="PTC66" s="528"/>
      <c r="PTD66" s="528"/>
      <c r="PTE66" s="528"/>
      <c r="PTF66" s="528"/>
      <c r="PTG66" s="528"/>
      <c r="PTH66" s="528"/>
      <c r="PTI66" s="528"/>
      <c r="PTJ66" s="528"/>
      <c r="PTK66" s="528"/>
      <c r="PTL66" s="528"/>
      <c r="PTM66" s="528"/>
      <c r="PTN66" s="528"/>
      <c r="PTO66" s="528"/>
      <c r="PTP66" s="528"/>
      <c r="PTQ66" s="528"/>
      <c r="PTR66" s="528"/>
      <c r="PTS66" s="528"/>
      <c r="PTT66" s="528"/>
      <c r="PTU66" s="528"/>
      <c r="PTV66" s="528"/>
      <c r="PTW66" s="528"/>
      <c r="PTX66" s="528"/>
      <c r="PTY66" s="528"/>
      <c r="PTZ66" s="528"/>
      <c r="PUA66" s="528"/>
      <c r="PUB66" s="528"/>
      <c r="PUC66" s="528"/>
      <c r="PUD66" s="528"/>
      <c r="PUE66" s="528"/>
      <c r="PUF66" s="528"/>
      <c r="PUG66" s="528"/>
      <c r="PUH66" s="528"/>
      <c r="PUI66" s="528"/>
      <c r="PUJ66" s="528"/>
      <c r="PUK66" s="528"/>
      <c r="PUL66" s="528"/>
      <c r="PUM66" s="528"/>
      <c r="PUN66" s="528"/>
      <c r="PUO66" s="528"/>
      <c r="PUP66" s="528"/>
      <c r="PUQ66" s="528"/>
      <c r="PUR66" s="528"/>
      <c r="PUS66" s="528"/>
      <c r="PUT66" s="528"/>
      <c r="PUU66" s="528"/>
      <c r="PUV66" s="528"/>
      <c r="PUW66" s="528"/>
      <c r="PUX66" s="528"/>
      <c r="PUY66" s="528"/>
      <c r="PUZ66" s="528"/>
      <c r="PVA66" s="528"/>
      <c r="PVB66" s="528"/>
      <c r="PVC66" s="528"/>
      <c r="PVD66" s="528"/>
      <c r="PVE66" s="528"/>
      <c r="PVF66" s="528"/>
      <c r="PVG66" s="528"/>
      <c r="PVH66" s="528"/>
      <c r="PVI66" s="528"/>
      <c r="PVJ66" s="528"/>
      <c r="PVK66" s="528"/>
      <c r="PVL66" s="528"/>
      <c r="PVM66" s="528"/>
      <c r="PVN66" s="528"/>
      <c r="PVO66" s="528"/>
      <c r="PVP66" s="528"/>
      <c r="PVQ66" s="528"/>
      <c r="PVR66" s="528"/>
      <c r="PVS66" s="528"/>
      <c r="PVT66" s="528"/>
      <c r="PVU66" s="528"/>
      <c r="PVV66" s="528"/>
      <c r="PVW66" s="528"/>
      <c r="PVX66" s="528"/>
      <c r="PVY66" s="528"/>
      <c r="PVZ66" s="528"/>
      <c r="PWA66" s="528"/>
      <c r="PWB66" s="528"/>
      <c r="PWC66" s="528"/>
      <c r="PWD66" s="528"/>
      <c r="PWE66" s="528"/>
      <c r="PWF66" s="528"/>
      <c r="PWG66" s="528"/>
      <c r="PWH66" s="528"/>
      <c r="PWI66" s="528"/>
      <c r="PWJ66" s="528"/>
      <c r="PWK66" s="528"/>
      <c r="PWL66" s="528"/>
      <c r="PWM66" s="528"/>
      <c r="PWN66" s="528"/>
      <c r="PWO66" s="528"/>
      <c r="PWP66" s="528"/>
      <c r="PWQ66" s="528"/>
      <c r="PWR66" s="528"/>
      <c r="PWS66" s="528"/>
      <c r="PWT66" s="528"/>
      <c r="PWU66" s="528"/>
      <c r="PWV66" s="528"/>
      <c r="PWW66" s="528"/>
      <c r="PWX66" s="528"/>
      <c r="PWY66" s="528"/>
      <c r="PWZ66" s="528"/>
      <c r="PXA66" s="528"/>
      <c r="PXB66" s="528"/>
      <c r="PXC66" s="528"/>
      <c r="PXD66" s="528"/>
      <c r="PXE66" s="528"/>
      <c r="PXF66" s="528"/>
      <c r="PXG66" s="528"/>
      <c r="PXH66" s="528"/>
      <c r="PXI66" s="528"/>
      <c r="PXJ66" s="528"/>
      <c r="PXK66" s="528"/>
      <c r="PXL66" s="528"/>
      <c r="PXM66" s="528"/>
      <c r="PXN66" s="528"/>
      <c r="PXO66" s="528"/>
      <c r="PXP66" s="528"/>
      <c r="PXQ66" s="528"/>
      <c r="PXR66" s="528"/>
      <c r="PXS66" s="528"/>
      <c r="PXT66" s="528"/>
      <c r="PXU66" s="528"/>
      <c r="PXV66" s="528"/>
      <c r="PXW66" s="528"/>
      <c r="PXX66" s="528"/>
      <c r="PXY66" s="528"/>
      <c r="PXZ66" s="528"/>
      <c r="PYA66" s="528"/>
      <c r="PYB66" s="528"/>
      <c r="PYC66" s="528"/>
      <c r="PYD66" s="528"/>
      <c r="PYE66" s="528"/>
      <c r="PYF66" s="528"/>
      <c r="PYG66" s="528"/>
      <c r="PYH66" s="528"/>
      <c r="PYI66" s="528"/>
      <c r="PYJ66" s="528"/>
      <c r="PYK66" s="528"/>
      <c r="PYL66" s="528"/>
      <c r="PYM66" s="528"/>
      <c r="PYN66" s="528"/>
      <c r="PYO66" s="528"/>
      <c r="PYP66" s="528"/>
      <c r="PYQ66" s="528"/>
      <c r="PYR66" s="528"/>
      <c r="PYS66" s="528"/>
      <c r="PYT66" s="528"/>
      <c r="PYU66" s="528"/>
      <c r="PYV66" s="528"/>
      <c r="PYW66" s="528"/>
      <c r="PYX66" s="528"/>
      <c r="PYY66" s="528"/>
      <c r="PYZ66" s="528"/>
      <c r="PZA66" s="528"/>
      <c r="PZB66" s="528"/>
      <c r="PZC66" s="528"/>
      <c r="PZD66" s="528"/>
      <c r="PZE66" s="528"/>
      <c r="PZF66" s="528"/>
      <c r="PZG66" s="528"/>
      <c r="PZH66" s="528"/>
      <c r="PZI66" s="528"/>
      <c r="PZJ66" s="528"/>
      <c r="PZK66" s="528"/>
      <c r="PZL66" s="528"/>
      <c r="PZM66" s="528"/>
      <c r="PZN66" s="528"/>
      <c r="PZO66" s="528"/>
      <c r="PZP66" s="528"/>
      <c r="PZQ66" s="528"/>
      <c r="PZR66" s="528"/>
      <c r="PZS66" s="528"/>
      <c r="PZT66" s="528"/>
      <c r="PZU66" s="528"/>
      <c r="PZV66" s="528"/>
      <c r="PZW66" s="528"/>
      <c r="PZX66" s="528"/>
      <c r="PZY66" s="528"/>
      <c r="PZZ66" s="528"/>
      <c r="QAA66" s="528"/>
      <c r="QAB66" s="528"/>
      <c r="QAC66" s="528"/>
      <c r="QAD66" s="528"/>
      <c r="QAE66" s="528"/>
      <c r="QAF66" s="528"/>
      <c r="QAG66" s="528"/>
      <c r="QAH66" s="528"/>
      <c r="QAI66" s="528"/>
      <c r="QAJ66" s="528"/>
      <c r="QAK66" s="528"/>
      <c r="QAL66" s="528"/>
      <c r="QAM66" s="528"/>
      <c r="QAN66" s="528"/>
      <c r="QAO66" s="528"/>
      <c r="QAP66" s="528"/>
      <c r="QAQ66" s="528"/>
      <c r="QAR66" s="528"/>
      <c r="QAS66" s="528"/>
      <c r="QAT66" s="528"/>
      <c r="QAU66" s="528"/>
      <c r="QAV66" s="528"/>
      <c r="QAW66" s="528"/>
      <c r="QAX66" s="528"/>
      <c r="QAY66" s="528"/>
      <c r="QAZ66" s="528"/>
      <c r="QBA66" s="528"/>
      <c r="QBB66" s="528"/>
      <c r="QBC66" s="528"/>
      <c r="QBD66" s="528"/>
      <c r="QBE66" s="528"/>
      <c r="QBF66" s="528"/>
      <c r="QBG66" s="528"/>
      <c r="QBH66" s="528"/>
      <c r="QBI66" s="528"/>
      <c r="QBJ66" s="528"/>
      <c r="QBK66" s="528"/>
      <c r="QBL66" s="528"/>
      <c r="QBM66" s="528"/>
      <c r="QBN66" s="528"/>
      <c r="QBO66" s="528"/>
      <c r="QBP66" s="528"/>
      <c r="QBQ66" s="528"/>
      <c r="QBR66" s="528"/>
      <c r="QBS66" s="528"/>
      <c r="QBT66" s="528"/>
      <c r="QBU66" s="528"/>
      <c r="QBV66" s="528"/>
      <c r="QBW66" s="528"/>
      <c r="QBX66" s="528"/>
      <c r="QBY66" s="528"/>
      <c r="QBZ66" s="528"/>
      <c r="QCA66" s="528"/>
      <c r="QCB66" s="528"/>
      <c r="QCC66" s="528"/>
      <c r="QCD66" s="528"/>
      <c r="QCE66" s="528"/>
      <c r="QCF66" s="528"/>
      <c r="QCG66" s="528"/>
      <c r="QCH66" s="528"/>
      <c r="QCI66" s="528"/>
      <c r="QCJ66" s="528"/>
      <c r="QCK66" s="528"/>
      <c r="QCL66" s="528"/>
      <c r="QCM66" s="528"/>
      <c r="QCN66" s="528"/>
      <c r="QCO66" s="528"/>
      <c r="QCP66" s="528"/>
      <c r="QCQ66" s="528"/>
      <c r="QCR66" s="528"/>
      <c r="QCS66" s="528"/>
      <c r="QCT66" s="528"/>
      <c r="QCU66" s="528"/>
      <c r="QCV66" s="528"/>
      <c r="QCW66" s="528"/>
      <c r="QCX66" s="528"/>
      <c r="QCY66" s="528"/>
      <c r="QCZ66" s="528"/>
      <c r="QDA66" s="528"/>
      <c r="QDB66" s="528"/>
      <c r="QDC66" s="528"/>
      <c r="QDD66" s="528"/>
      <c r="QDE66" s="528"/>
      <c r="QDF66" s="528"/>
      <c r="QDG66" s="528"/>
      <c r="QDH66" s="528"/>
      <c r="QDI66" s="528"/>
      <c r="QDJ66" s="528"/>
      <c r="QDK66" s="528"/>
      <c r="QDL66" s="528"/>
      <c r="QDM66" s="528"/>
      <c r="QDN66" s="528"/>
      <c r="QDO66" s="528"/>
      <c r="QDP66" s="528"/>
      <c r="QDQ66" s="528"/>
      <c r="QDR66" s="528"/>
      <c r="QDS66" s="528"/>
      <c r="QDT66" s="528"/>
      <c r="QDU66" s="528"/>
      <c r="QDV66" s="528"/>
      <c r="QDW66" s="528"/>
      <c r="QDX66" s="528"/>
      <c r="QDY66" s="528"/>
      <c r="QDZ66" s="528"/>
      <c r="QEA66" s="528"/>
      <c r="QEB66" s="528"/>
      <c r="QEC66" s="528"/>
      <c r="QED66" s="528"/>
      <c r="QEE66" s="528"/>
      <c r="QEF66" s="528"/>
      <c r="QEG66" s="528"/>
      <c r="QEH66" s="528"/>
      <c r="QEI66" s="528"/>
      <c r="QEJ66" s="528"/>
      <c r="QEK66" s="528"/>
      <c r="QEL66" s="528"/>
      <c r="QEM66" s="528"/>
      <c r="QEN66" s="528"/>
      <c r="QEO66" s="528"/>
      <c r="QEP66" s="528"/>
      <c r="QEQ66" s="528"/>
      <c r="QER66" s="528"/>
      <c r="QES66" s="528"/>
      <c r="QET66" s="528"/>
      <c r="QEU66" s="528"/>
      <c r="QEV66" s="528"/>
      <c r="QEW66" s="528"/>
      <c r="QEX66" s="528"/>
      <c r="QEY66" s="528"/>
      <c r="QEZ66" s="528"/>
      <c r="QFA66" s="528"/>
      <c r="QFB66" s="528"/>
      <c r="QFC66" s="528"/>
      <c r="QFD66" s="528"/>
      <c r="QFE66" s="528"/>
      <c r="QFF66" s="528"/>
      <c r="QFG66" s="528"/>
      <c r="QFH66" s="528"/>
      <c r="QFI66" s="528"/>
      <c r="QFJ66" s="528"/>
      <c r="QFK66" s="528"/>
      <c r="QFL66" s="528"/>
      <c r="QFM66" s="528"/>
      <c r="QFN66" s="528"/>
      <c r="QFO66" s="528"/>
      <c r="QFP66" s="528"/>
      <c r="QFQ66" s="528"/>
      <c r="QFR66" s="528"/>
      <c r="QFS66" s="528"/>
      <c r="QFT66" s="528"/>
      <c r="QFU66" s="528"/>
      <c r="QFV66" s="528"/>
      <c r="QFW66" s="528"/>
      <c r="QFX66" s="528"/>
      <c r="QFY66" s="528"/>
      <c r="QFZ66" s="528"/>
      <c r="QGA66" s="528"/>
      <c r="QGB66" s="528"/>
      <c r="QGC66" s="528"/>
      <c r="QGD66" s="528"/>
      <c r="QGE66" s="528"/>
      <c r="QGF66" s="528"/>
      <c r="QGG66" s="528"/>
      <c r="QGH66" s="528"/>
      <c r="QGI66" s="528"/>
      <c r="QGJ66" s="528"/>
      <c r="QGK66" s="528"/>
      <c r="QGL66" s="528"/>
      <c r="QGM66" s="528"/>
      <c r="QGN66" s="528"/>
      <c r="QGO66" s="528"/>
      <c r="QGP66" s="528"/>
      <c r="QGQ66" s="528"/>
      <c r="QGR66" s="528"/>
      <c r="QGS66" s="528"/>
      <c r="QGT66" s="528"/>
      <c r="QGU66" s="528"/>
      <c r="QGV66" s="528"/>
      <c r="QGW66" s="528"/>
      <c r="QGX66" s="528"/>
      <c r="QGY66" s="528"/>
      <c r="QGZ66" s="528"/>
      <c r="QHA66" s="528"/>
      <c r="QHB66" s="528"/>
      <c r="QHC66" s="528"/>
      <c r="QHD66" s="528"/>
      <c r="QHE66" s="528"/>
      <c r="QHF66" s="528"/>
      <c r="QHG66" s="528"/>
      <c r="QHH66" s="528"/>
      <c r="QHI66" s="528"/>
      <c r="QHJ66" s="528"/>
      <c r="QHK66" s="528"/>
      <c r="QHL66" s="528"/>
      <c r="QHM66" s="528"/>
      <c r="QHN66" s="528"/>
      <c r="QHO66" s="528"/>
      <c r="QHP66" s="528"/>
      <c r="QHQ66" s="528"/>
      <c r="QHR66" s="528"/>
      <c r="QHS66" s="528"/>
      <c r="QHT66" s="528"/>
      <c r="QHU66" s="528"/>
      <c r="QHV66" s="528"/>
      <c r="QHW66" s="528"/>
      <c r="QHX66" s="528"/>
      <c r="QHY66" s="528"/>
      <c r="QHZ66" s="528"/>
      <c r="QIA66" s="528"/>
      <c r="QIB66" s="528"/>
      <c r="QIC66" s="528"/>
      <c r="QID66" s="528"/>
      <c r="QIE66" s="528"/>
      <c r="QIF66" s="528"/>
      <c r="QIG66" s="528"/>
      <c r="QIH66" s="528"/>
      <c r="QII66" s="528"/>
      <c r="QIJ66" s="528"/>
      <c r="QIK66" s="528"/>
      <c r="QIL66" s="528"/>
      <c r="QIM66" s="528"/>
      <c r="QIN66" s="528"/>
      <c r="QIO66" s="528"/>
      <c r="QIP66" s="528"/>
      <c r="QIQ66" s="528"/>
      <c r="QIR66" s="528"/>
      <c r="QIS66" s="528"/>
      <c r="QIT66" s="528"/>
      <c r="QIU66" s="528"/>
      <c r="QIV66" s="528"/>
      <c r="QIW66" s="528"/>
      <c r="QIX66" s="528"/>
      <c r="QIY66" s="528"/>
      <c r="QIZ66" s="528"/>
      <c r="QJA66" s="528"/>
      <c r="QJB66" s="528"/>
      <c r="QJC66" s="528"/>
      <c r="QJD66" s="528"/>
      <c r="QJE66" s="528"/>
      <c r="QJF66" s="528"/>
      <c r="QJG66" s="528"/>
      <c r="QJH66" s="528"/>
      <c r="QJI66" s="528"/>
      <c r="QJJ66" s="528"/>
      <c r="QJK66" s="528"/>
      <c r="QJL66" s="528"/>
      <c r="QJM66" s="528"/>
      <c r="QJN66" s="528"/>
      <c r="QJO66" s="528"/>
      <c r="QJP66" s="528"/>
      <c r="QJQ66" s="528"/>
      <c r="QJR66" s="528"/>
      <c r="QJS66" s="528"/>
      <c r="QJT66" s="528"/>
      <c r="QJU66" s="528"/>
      <c r="QJV66" s="528"/>
      <c r="QJW66" s="528"/>
      <c r="QJX66" s="528"/>
      <c r="QJY66" s="528"/>
      <c r="QJZ66" s="528"/>
      <c r="QKA66" s="528"/>
      <c r="QKB66" s="528"/>
      <c r="QKC66" s="528"/>
      <c r="QKD66" s="528"/>
      <c r="QKE66" s="528"/>
      <c r="QKF66" s="528"/>
      <c r="QKG66" s="528"/>
      <c r="QKH66" s="528"/>
      <c r="QKI66" s="528"/>
      <c r="QKJ66" s="528"/>
      <c r="QKK66" s="528"/>
      <c r="QKL66" s="528"/>
      <c r="QKM66" s="528"/>
      <c r="QKN66" s="528"/>
      <c r="QKO66" s="528"/>
      <c r="QKP66" s="528"/>
      <c r="QKQ66" s="528"/>
      <c r="QKR66" s="528"/>
      <c r="QKS66" s="528"/>
      <c r="QKT66" s="528"/>
      <c r="QKU66" s="528"/>
      <c r="QKV66" s="528"/>
      <c r="QKW66" s="528"/>
      <c r="QKX66" s="528"/>
      <c r="QKY66" s="528"/>
      <c r="QKZ66" s="528"/>
      <c r="QLA66" s="528"/>
      <c r="QLB66" s="528"/>
      <c r="QLC66" s="528"/>
      <c r="QLD66" s="528"/>
      <c r="QLE66" s="528"/>
      <c r="QLF66" s="528"/>
      <c r="QLG66" s="528"/>
      <c r="QLH66" s="528"/>
      <c r="QLI66" s="528"/>
      <c r="QLJ66" s="528"/>
      <c r="QLK66" s="528"/>
      <c r="QLL66" s="528"/>
      <c r="QLM66" s="528"/>
      <c r="QLN66" s="528"/>
      <c r="QLO66" s="528"/>
      <c r="QLP66" s="528"/>
      <c r="QLQ66" s="528"/>
      <c r="QLR66" s="528"/>
      <c r="QLS66" s="528"/>
      <c r="QLT66" s="528"/>
      <c r="QLU66" s="528"/>
      <c r="QLV66" s="528"/>
      <c r="QLW66" s="528"/>
      <c r="QLX66" s="528"/>
      <c r="QLY66" s="528"/>
      <c r="QLZ66" s="528"/>
      <c r="QMA66" s="528"/>
      <c r="QMB66" s="528"/>
      <c r="QMC66" s="528"/>
      <c r="QMD66" s="528"/>
      <c r="QME66" s="528"/>
      <c r="QMF66" s="528"/>
      <c r="QMG66" s="528"/>
      <c r="QMH66" s="528"/>
      <c r="QMI66" s="528"/>
      <c r="QMJ66" s="528"/>
      <c r="QMK66" s="528"/>
      <c r="QML66" s="528"/>
      <c r="QMM66" s="528"/>
      <c r="QMN66" s="528"/>
      <c r="QMO66" s="528"/>
      <c r="QMP66" s="528"/>
      <c r="QMQ66" s="528"/>
      <c r="QMR66" s="528"/>
      <c r="QMS66" s="528"/>
      <c r="QMT66" s="528"/>
      <c r="QMU66" s="528"/>
      <c r="QMV66" s="528"/>
      <c r="QMW66" s="528"/>
      <c r="QMX66" s="528"/>
      <c r="QMY66" s="528"/>
      <c r="QMZ66" s="528"/>
      <c r="QNA66" s="528"/>
      <c r="QNB66" s="528"/>
      <c r="QNC66" s="528"/>
      <c r="QND66" s="528"/>
      <c r="QNE66" s="528"/>
      <c r="QNF66" s="528"/>
      <c r="QNG66" s="528"/>
      <c r="QNH66" s="528"/>
      <c r="QNI66" s="528"/>
      <c r="QNJ66" s="528"/>
      <c r="QNK66" s="528"/>
      <c r="QNL66" s="528"/>
      <c r="QNM66" s="528"/>
      <c r="QNN66" s="528"/>
      <c r="QNO66" s="528"/>
      <c r="QNP66" s="528"/>
      <c r="QNQ66" s="528"/>
      <c r="QNR66" s="528"/>
      <c r="QNS66" s="528"/>
      <c r="QNT66" s="528"/>
      <c r="QNU66" s="528"/>
      <c r="QNV66" s="528"/>
      <c r="QNW66" s="528"/>
      <c r="QNX66" s="528"/>
      <c r="QNY66" s="528"/>
      <c r="QNZ66" s="528"/>
      <c r="QOA66" s="528"/>
      <c r="QOB66" s="528"/>
      <c r="QOC66" s="528"/>
      <c r="QOD66" s="528"/>
      <c r="QOE66" s="528"/>
      <c r="QOF66" s="528"/>
      <c r="QOG66" s="528"/>
      <c r="QOH66" s="528"/>
      <c r="QOI66" s="528"/>
      <c r="QOJ66" s="528"/>
      <c r="QOK66" s="528"/>
      <c r="QOL66" s="528"/>
      <c r="QOM66" s="528"/>
      <c r="QON66" s="528"/>
      <c r="QOO66" s="528"/>
      <c r="QOP66" s="528"/>
      <c r="QOQ66" s="528"/>
      <c r="QOR66" s="528"/>
      <c r="QOS66" s="528"/>
      <c r="QOT66" s="528"/>
      <c r="QOU66" s="528"/>
      <c r="QOV66" s="528"/>
      <c r="QOW66" s="528"/>
      <c r="QOX66" s="528"/>
      <c r="QOY66" s="528"/>
      <c r="QOZ66" s="528"/>
      <c r="QPA66" s="528"/>
      <c r="QPB66" s="528"/>
      <c r="QPC66" s="528"/>
      <c r="QPD66" s="528"/>
      <c r="QPE66" s="528"/>
      <c r="QPF66" s="528"/>
      <c r="QPG66" s="528"/>
      <c r="QPH66" s="528"/>
      <c r="QPI66" s="528"/>
      <c r="QPJ66" s="528"/>
      <c r="QPK66" s="528"/>
      <c r="QPL66" s="528"/>
      <c r="QPM66" s="528"/>
      <c r="QPN66" s="528"/>
      <c r="QPO66" s="528"/>
      <c r="QPP66" s="528"/>
      <c r="QPQ66" s="528"/>
      <c r="QPR66" s="528"/>
      <c r="QPS66" s="528"/>
      <c r="QPT66" s="528"/>
      <c r="QPU66" s="528"/>
      <c r="QPV66" s="528"/>
      <c r="QPW66" s="528"/>
      <c r="QPX66" s="528"/>
      <c r="QPY66" s="528"/>
      <c r="QPZ66" s="528"/>
      <c r="QQA66" s="528"/>
      <c r="QQB66" s="528"/>
      <c r="QQC66" s="528"/>
      <c r="QQD66" s="528"/>
      <c r="QQE66" s="528"/>
      <c r="QQF66" s="528"/>
      <c r="QQG66" s="528"/>
      <c r="QQH66" s="528"/>
      <c r="QQI66" s="528"/>
      <c r="QQJ66" s="528"/>
      <c r="QQK66" s="528"/>
      <c r="QQL66" s="528"/>
      <c r="QQM66" s="528"/>
      <c r="QQN66" s="528"/>
      <c r="QQO66" s="528"/>
      <c r="QQP66" s="528"/>
      <c r="QQQ66" s="528"/>
      <c r="QQR66" s="528"/>
      <c r="QQS66" s="528"/>
      <c r="QQT66" s="528"/>
      <c r="QQU66" s="528"/>
      <c r="QQV66" s="528"/>
      <c r="QQW66" s="528"/>
      <c r="QQX66" s="528"/>
      <c r="QQY66" s="528"/>
      <c r="QQZ66" s="528"/>
      <c r="QRA66" s="528"/>
      <c r="QRB66" s="528"/>
      <c r="QRC66" s="528"/>
      <c r="QRD66" s="528"/>
      <c r="QRE66" s="528"/>
      <c r="QRF66" s="528"/>
      <c r="QRG66" s="528"/>
      <c r="QRH66" s="528"/>
      <c r="QRI66" s="528"/>
      <c r="QRJ66" s="528"/>
      <c r="QRK66" s="528"/>
      <c r="QRL66" s="528"/>
      <c r="QRM66" s="528"/>
      <c r="QRN66" s="528"/>
      <c r="QRO66" s="528"/>
      <c r="QRP66" s="528"/>
      <c r="QRQ66" s="528"/>
      <c r="QRR66" s="528"/>
      <c r="QRS66" s="528"/>
      <c r="QRT66" s="528"/>
      <c r="QRU66" s="528"/>
      <c r="QRV66" s="528"/>
      <c r="QRW66" s="528"/>
      <c r="QRX66" s="528"/>
      <c r="QRY66" s="528"/>
      <c r="QRZ66" s="528"/>
      <c r="QSA66" s="528"/>
      <c r="QSB66" s="528"/>
      <c r="QSC66" s="528"/>
      <c r="QSD66" s="528"/>
      <c r="QSE66" s="528"/>
      <c r="QSF66" s="528"/>
      <c r="QSG66" s="528"/>
      <c r="QSH66" s="528"/>
      <c r="QSI66" s="528"/>
      <c r="QSJ66" s="528"/>
      <c r="QSK66" s="528"/>
      <c r="QSL66" s="528"/>
      <c r="QSM66" s="528"/>
      <c r="QSN66" s="528"/>
      <c r="QSO66" s="528"/>
      <c r="QSP66" s="528"/>
      <c r="QSQ66" s="528"/>
      <c r="QSR66" s="528"/>
      <c r="QSS66" s="528"/>
      <c r="QST66" s="528"/>
      <c r="QSU66" s="528"/>
      <c r="QSV66" s="528"/>
      <c r="QSW66" s="528"/>
      <c r="QSX66" s="528"/>
      <c r="QSY66" s="528"/>
      <c r="QSZ66" s="528"/>
      <c r="QTA66" s="528"/>
      <c r="QTB66" s="528"/>
      <c r="QTC66" s="528"/>
      <c r="QTD66" s="528"/>
      <c r="QTE66" s="528"/>
      <c r="QTF66" s="528"/>
      <c r="QTG66" s="528"/>
      <c r="QTH66" s="528"/>
      <c r="QTI66" s="528"/>
      <c r="QTJ66" s="528"/>
      <c r="QTK66" s="528"/>
      <c r="QTL66" s="528"/>
      <c r="QTM66" s="528"/>
      <c r="QTN66" s="528"/>
      <c r="QTO66" s="528"/>
      <c r="QTP66" s="528"/>
      <c r="QTQ66" s="528"/>
      <c r="QTR66" s="528"/>
      <c r="QTS66" s="528"/>
      <c r="QTT66" s="528"/>
      <c r="QTU66" s="528"/>
      <c r="QTV66" s="528"/>
      <c r="QTW66" s="528"/>
      <c r="QTX66" s="528"/>
      <c r="QTY66" s="528"/>
      <c r="QTZ66" s="528"/>
      <c r="QUA66" s="528"/>
      <c r="QUB66" s="528"/>
      <c r="QUC66" s="528"/>
      <c r="QUD66" s="528"/>
      <c r="QUE66" s="528"/>
      <c r="QUF66" s="528"/>
      <c r="QUG66" s="528"/>
      <c r="QUH66" s="528"/>
      <c r="QUI66" s="528"/>
      <c r="QUJ66" s="528"/>
      <c r="QUK66" s="528"/>
      <c r="QUL66" s="528"/>
      <c r="QUM66" s="528"/>
      <c r="QUN66" s="528"/>
      <c r="QUO66" s="528"/>
      <c r="QUP66" s="528"/>
      <c r="QUQ66" s="528"/>
      <c r="QUR66" s="528"/>
      <c r="QUS66" s="528"/>
      <c r="QUT66" s="528"/>
      <c r="QUU66" s="528"/>
      <c r="QUV66" s="528"/>
      <c r="QUW66" s="528"/>
      <c r="QUX66" s="528"/>
      <c r="QUY66" s="528"/>
      <c r="QUZ66" s="528"/>
      <c r="QVA66" s="528"/>
      <c r="QVB66" s="528"/>
      <c r="QVC66" s="528"/>
      <c r="QVD66" s="528"/>
      <c r="QVE66" s="528"/>
      <c r="QVF66" s="528"/>
      <c r="QVG66" s="528"/>
      <c r="QVH66" s="528"/>
      <c r="QVI66" s="528"/>
      <c r="QVJ66" s="528"/>
      <c r="QVK66" s="528"/>
      <c r="QVL66" s="528"/>
      <c r="QVM66" s="528"/>
      <c r="QVN66" s="528"/>
      <c r="QVO66" s="528"/>
      <c r="QVP66" s="528"/>
      <c r="QVQ66" s="528"/>
      <c r="QVR66" s="528"/>
      <c r="QVS66" s="528"/>
      <c r="QVT66" s="528"/>
      <c r="QVU66" s="528"/>
      <c r="QVV66" s="528"/>
      <c r="QVW66" s="528"/>
      <c r="QVX66" s="528"/>
      <c r="QVY66" s="528"/>
      <c r="QVZ66" s="528"/>
      <c r="QWA66" s="528"/>
      <c r="QWB66" s="528"/>
      <c r="QWC66" s="528"/>
      <c r="QWD66" s="528"/>
      <c r="QWE66" s="528"/>
      <c r="QWF66" s="528"/>
      <c r="QWG66" s="528"/>
      <c r="QWH66" s="528"/>
      <c r="QWI66" s="528"/>
      <c r="QWJ66" s="528"/>
      <c r="QWK66" s="528"/>
      <c r="QWL66" s="528"/>
      <c r="QWM66" s="528"/>
      <c r="QWN66" s="528"/>
      <c r="QWO66" s="528"/>
      <c r="QWP66" s="528"/>
      <c r="QWQ66" s="528"/>
      <c r="QWR66" s="528"/>
      <c r="QWS66" s="528"/>
      <c r="QWT66" s="528"/>
      <c r="QWU66" s="528"/>
      <c r="QWV66" s="528"/>
      <c r="QWW66" s="528"/>
      <c r="QWX66" s="528"/>
      <c r="QWY66" s="528"/>
      <c r="QWZ66" s="528"/>
      <c r="QXA66" s="528"/>
      <c r="QXB66" s="528"/>
      <c r="QXC66" s="528"/>
      <c r="QXD66" s="528"/>
      <c r="QXE66" s="528"/>
      <c r="QXF66" s="528"/>
      <c r="QXG66" s="528"/>
      <c r="QXH66" s="528"/>
      <c r="QXI66" s="528"/>
      <c r="QXJ66" s="528"/>
      <c r="QXK66" s="528"/>
      <c r="QXL66" s="528"/>
      <c r="QXM66" s="528"/>
      <c r="QXN66" s="528"/>
      <c r="QXO66" s="528"/>
      <c r="QXP66" s="528"/>
      <c r="QXQ66" s="528"/>
      <c r="QXR66" s="528"/>
      <c r="QXS66" s="528"/>
      <c r="QXT66" s="528"/>
      <c r="QXU66" s="528"/>
      <c r="QXV66" s="528"/>
      <c r="QXW66" s="528"/>
      <c r="QXX66" s="528"/>
      <c r="QXY66" s="528"/>
      <c r="QXZ66" s="528"/>
      <c r="QYA66" s="528"/>
      <c r="QYB66" s="528"/>
      <c r="QYC66" s="528"/>
      <c r="QYD66" s="528"/>
      <c r="QYE66" s="528"/>
      <c r="QYF66" s="528"/>
      <c r="QYG66" s="528"/>
      <c r="QYH66" s="528"/>
      <c r="QYI66" s="528"/>
      <c r="QYJ66" s="528"/>
      <c r="QYK66" s="528"/>
      <c r="QYL66" s="528"/>
      <c r="QYM66" s="528"/>
      <c r="QYN66" s="528"/>
      <c r="QYO66" s="528"/>
      <c r="QYP66" s="528"/>
      <c r="QYQ66" s="528"/>
      <c r="QYR66" s="528"/>
      <c r="QYS66" s="528"/>
      <c r="QYT66" s="528"/>
      <c r="QYU66" s="528"/>
      <c r="QYV66" s="528"/>
      <c r="QYW66" s="528"/>
      <c r="QYX66" s="528"/>
      <c r="QYY66" s="528"/>
      <c r="QYZ66" s="528"/>
      <c r="QZA66" s="528"/>
      <c r="QZB66" s="528"/>
      <c r="QZC66" s="528"/>
      <c r="QZD66" s="528"/>
      <c r="QZE66" s="528"/>
      <c r="QZF66" s="528"/>
      <c r="QZG66" s="528"/>
      <c r="QZH66" s="528"/>
      <c r="QZI66" s="528"/>
      <c r="QZJ66" s="528"/>
      <c r="QZK66" s="528"/>
      <c r="QZL66" s="528"/>
      <c r="QZM66" s="528"/>
      <c r="QZN66" s="528"/>
      <c r="QZO66" s="528"/>
      <c r="QZP66" s="528"/>
      <c r="QZQ66" s="528"/>
      <c r="QZR66" s="528"/>
      <c r="QZS66" s="528"/>
      <c r="QZT66" s="528"/>
      <c r="QZU66" s="528"/>
      <c r="QZV66" s="528"/>
      <c r="QZW66" s="528"/>
      <c r="QZX66" s="528"/>
      <c r="QZY66" s="528"/>
      <c r="QZZ66" s="528"/>
      <c r="RAA66" s="528"/>
      <c r="RAB66" s="528"/>
      <c r="RAC66" s="528"/>
      <c r="RAD66" s="528"/>
      <c r="RAE66" s="528"/>
      <c r="RAF66" s="528"/>
      <c r="RAG66" s="528"/>
      <c r="RAH66" s="528"/>
      <c r="RAI66" s="528"/>
      <c r="RAJ66" s="528"/>
      <c r="RAK66" s="528"/>
      <c r="RAL66" s="528"/>
      <c r="RAM66" s="528"/>
      <c r="RAN66" s="528"/>
      <c r="RAO66" s="528"/>
      <c r="RAP66" s="528"/>
      <c r="RAQ66" s="528"/>
      <c r="RAR66" s="528"/>
      <c r="RAS66" s="528"/>
      <c r="RAT66" s="528"/>
      <c r="RAU66" s="528"/>
      <c r="RAV66" s="528"/>
      <c r="RAW66" s="528"/>
      <c r="RAX66" s="528"/>
      <c r="RAY66" s="528"/>
      <c r="RAZ66" s="528"/>
      <c r="RBA66" s="528"/>
      <c r="RBB66" s="528"/>
      <c r="RBC66" s="528"/>
      <c r="RBD66" s="528"/>
      <c r="RBE66" s="528"/>
      <c r="RBF66" s="528"/>
      <c r="RBG66" s="528"/>
      <c r="RBH66" s="528"/>
      <c r="RBI66" s="528"/>
      <c r="RBJ66" s="528"/>
      <c r="RBK66" s="528"/>
      <c r="RBL66" s="528"/>
      <c r="RBM66" s="528"/>
      <c r="RBN66" s="528"/>
      <c r="RBO66" s="528"/>
      <c r="RBP66" s="528"/>
      <c r="RBQ66" s="528"/>
      <c r="RBR66" s="528"/>
      <c r="RBS66" s="528"/>
      <c r="RBT66" s="528"/>
      <c r="RBU66" s="528"/>
      <c r="RBV66" s="528"/>
      <c r="RBW66" s="528"/>
      <c r="RBX66" s="528"/>
      <c r="RBY66" s="528"/>
      <c r="RBZ66" s="528"/>
      <c r="RCA66" s="528"/>
      <c r="RCB66" s="528"/>
      <c r="RCC66" s="528"/>
      <c r="RCD66" s="528"/>
      <c r="RCE66" s="528"/>
      <c r="RCF66" s="528"/>
      <c r="RCG66" s="528"/>
      <c r="RCH66" s="528"/>
      <c r="RCI66" s="528"/>
      <c r="RCJ66" s="528"/>
      <c r="RCK66" s="528"/>
      <c r="RCL66" s="528"/>
      <c r="RCM66" s="528"/>
      <c r="RCN66" s="528"/>
      <c r="RCO66" s="528"/>
      <c r="RCP66" s="528"/>
      <c r="RCQ66" s="528"/>
      <c r="RCR66" s="528"/>
      <c r="RCS66" s="528"/>
      <c r="RCT66" s="528"/>
      <c r="RCU66" s="528"/>
      <c r="RCV66" s="528"/>
      <c r="RCW66" s="528"/>
      <c r="RCX66" s="528"/>
      <c r="RCY66" s="528"/>
      <c r="RCZ66" s="528"/>
      <c r="RDA66" s="528"/>
      <c r="RDB66" s="528"/>
      <c r="RDC66" s="528"/>
      <c r="RDD66" s="528"/>
      <c r="RDE66" s="528"/>
      <c r="RDF66" s="528"/>
      <c r="RDG66" s="528"/>
      <c r="RDH66" s="528"/>
      <c r="RDI66" s="528"/>
      <c r="RDJ66" s="528"/>
      <c r="RDK66" s="528"/>
      <c r="RDL66" s="528"/>
      <c r="RDM66" s="528"/>
      <c r="RDN66" s="528"/>
      <c r="RDO66" s="528"/>
      <c r="RDP66" s="528"/>
      <c r="RDQ66" s="528"/>
      <c r="RDR66" s="528"/>
      <c r="RDS66" s="528"/>
      <c r="RDT66" s="528"/>
      <c r="RDU66" s="528"/>
      <c r="RDV66" s="528"/>
      <c r="RDW66" s="528"/>
      <c r="RDX66" s="528"/>
      <c r="RDY66" s="528"/>
      <c r="RDZ66" s="528"/>
      <c r="REA66" s="528"/>
      <c r="REB66" s="528"/>
      <c r="REC66" s="528"/>
      <c r="RED66" s="528"/>
      <c r="REE66" s="528"/>
      <c r="REF66" s="528"/>
      <c r="REG66" s="528"/>
      <c r="REH66" s="528"/>
      <c r="REI66" s="528"/>
      <c r="REJ66" s="528"/>
      <c r="REK66" s="528"/>
      <c r="REL66" s="528"/>
      <c r="REM66" s="528"/>
      <c r="REN66" s="528"/>
      <c r="REO66" s="528"/>
      <c r="REP66" s="528"/>
      <c r="REQ66" s="528"/>
      <c r="RER66" s="528"/>
      <c r="RES66" s="528"/>
      <c r="RET66" s="528"/>
      <c r="REU66" s="528"/>
      <c r="REV66" s="528"/>
      <c r="REW66" s="528"/>
      <c r="REX66" s="528"/>
      <c r="REY66" s="528"/>
      <c r="REZ66" s="528"/>
      <c r="RFA66" s="528"/>
      <c r="RFB66" s="528"/>
      <c r="RFC66" s="528"/>
      <c r="RFD66" s="528"/>
      <c r="RFE66" s="528"/>
      <c r="RFF66" s="528"/>
      <c r="RFG66" s="528"/>
      <c r="RFH66" s="528"/>
      <c r="RFI66" s="528"/>
      <c r="RFJ66" s="528"/>
      <c r="RFK66" s="528"/>
      <c r="RFL66" s="528"/>
      <c r="RFM66" s="528"/>
      <c r="RFN66" s="528"/>
      <c r="RFO66" s="528"/>
      <c r="RFP66" s="528"/>
      <c r="RFQ66" s="528"/>
      <c r="RFR66" s="528"/>
      <c r="RFS66" s="528"/>
      <c r="RFT66" s="528"/>
      <c r="RFU66" s="528"/>
      <c r="RFV66" s="528"/>
      <c r="RFW66" s="528"/>
      <c r="RFX66" s="528"/>
      <c r="RFY66" s="528"/>
      <c r="RFZ66" s="528"/>
      <c r="RGA66" s="528"/>
      <c r="RGB66" s="528"/>
      <c r="RGC66" s="528"/>
      <c r="RGD66" s="528"/>
      <c r="RGE66" s="528"/>
      <c r="RGF66" s="528"/>
      <c r="RGG66" s="528"/>
      <c r="RGH66" s="528"/>
      <c r="RGI66" s="528"/>
      <c r="RGJ66" s="528"/>
      <c r="RGK66" s="528"/>
      <c r="RGL66" s="528"/>
      <c r="RGM66" s="528"/>
      <c r="RGN66" s="528"/>
      <c r="RGO66" s="528"/>
      <c r="RGP66" s="528"/>
      <c r="RGQ66" s="528"/>
      <c r="RGR66" s="528"/>
      <c r="RGS66" s="528"/>
      <c r="RGT66" s="528"/>
      <c r="RGU66" s="528"/>
      <c r="RGV66" s="528"/>
      <c r="RGW66" s="528"/>
      <c r="RGX66" s="528"/>
      <c r="RGY66" s="528"/>
      <c r="RGZ66" s="528"/>
      <c r="RHA66" s="528"/>
      <c r="RHB66" s="528"/>
      <c r="RHC66" s="528"/>
      <c r="RHD66" s="528"/>
      <c r="RHE66" s="528"/>
      <c r="RHF66" s="528"/>
      <c r="RHG66" s="528"/>
      <c r="RHH66" s="528"/>
      <c r="RHI66" s="528"/>
      <c r="RHJ66" s="528"/>
      <c r="RHK66" s="528"/>
      <c r="RHL66" s="528"/>
      <c r="RHM66" s="528"/>
      <c r="RHN66" s="528"/>
      <c r="RHO66" s="528"/>
      <c r="RHP66" s="528"/>
      <c r="RHQ66" s="528"/>
      <c r="RHR66" s="528"/>
      <c r="RHS66" s="528"/>
      <c r="RHT66" s="528"/>
      <c r="RHU66" s="528"/>
      <c r="RHV66" s="528"/>
      <c r="RHW66" s="528"/>
      <c r="RHX66" s="528"/>
      <c r="RHY66" s="528"/>
      <c r="RHZ66" s="528"/>
      <c r="RIA66" s="528"/>
      <c r="RIB66" s="528"/>
      <c r="RIC66" s="528"/>
      <c r="RID66" s="528"/>
      <c r="RIE66" s="528"/>
      <c r="RIF66" s="528"/>
      <c r="RIG66" s="528"/>
      <c r="RIH66" s="528"/>
      <c r="RII66" s="528"/>
      <c r="RIJ66" s="528"/>
      <c r="RIK66" s="528"/>
      <c r="RIL66" s="528"/>
      <c r="RIM66" s="528"/>
      <c r="RIN66" s="528"/>
      <c r="RIO66" s="528"/>
      <c r="RIP66" s="528"/>
      <c r="RIQ66" s="528"/>
      <c r="RIR66" s="528"/>
      <c r="RIS66" s="528"/>
      <c r="RIT66" s="528"/>
      <c r="RIU66" s="528"/>
      <c r="RIV66" s="528"/>
      <c r="RIW66" s="528"/>
      <c r="RIX66" s="528"/>
      <c r="RIY66" s="528"/>
      <c r="RIZ66" s="528"/>
      <c r="RJA66" s="528"/>
      <c r="RJB66" s="528"/>
      <c r="RJC66" s="528"/>
      <c r="RJD66" s="528"/>
      <c r="RJE66" s="528"/>
      <c r="RJF66" s="528"/>
      <c r="RJG66" s="528"/>
      <c r="RJH66" s="528"/>
      <c r="RJI66" s="528"/>
      <c r="RJJ66" s="528"/>
      <c r="RJK66" s="528"/>
      <c r="RJL66" s="528"/>
      <c r="RJM66" s="528"/>
      <c r="RJN66" s="528"/>
      <c r="RJO66" s="528"/>
      <c r="RJP66" s="528"/>
      <c r="RJQ66" s="528"/>
      <c r="RJR66" s="528"/>
      <c r="RJS66" s="528"/>
      <c r="RJT66" s="528"/>
      <c r="RJU66" s="528"/>
      <c r="RJV66" s="528"/>
      <c r="RJW66" s="528"/>
      <c r="RJX66" s="528"/>
      <c r="RJY66" s="528"/>
      <c r="RJZ66" s="528"/>
      <c r="RKA66" s="528"/>
      <c r="RKB66" s="528"/>
      <c r="RKC66" s="528"/>
      <c r="RKD66" s="528"/>
      <c r="RKE66" s="528"/>
      <c r="RKF66" s="528"/>
      <c r="RKG66" s="528"/>
      <c r="RKH66" s="528"/>
      <c r="RKI66" s="528"/>
      <c r="RKJ66" s="528"/>
      <c r="RKK66" s="528"/>
      <c r="RKL66" s="528"/>
      <c r="RKM66" s="528"/>
      <c r="RKN66" s="528"/>
      <c r="RKO66" s="528"/>
      <c r="RKP66" s="528"/>
      <c r="RKQ66" s="528"/>
      <c r="RKR66" s="528"/>
      <c r="RKS66" s="528"/>
      <c r="RKT66" s="528"/>
      <c r="RKU66" s="528"/>
      <c r="RKV66" s="528"/>
      <c r="RKW66" s="528"/>
      <c r="RKX66" s="528"/>
      <c r="RKY66" s="528"/>
      <c r="RKZ66" s="528"/>
      <c r="RLA66" s="528"/>
      <c r="RLB66" s="528"/>
      <c r="RLC66" s="528"/>
      <c r="RLD66" s="528"/>
      <c r="RLE66" s="528"/>
      <c r="RLF66" s="528"/>
      <c r="RLG66" s="528"/>
      <c r="RLH66" s="528"/>
      <c r="RLI66" s="528"/>
      <c r="RLJ66" s="528"/>
      <c r="RLK66" s="528"/>
      <c r="RLL66" s="528"/>
      <c r="RLM66" s="528"/>
      <c r="RLN66" s="528"/>
      <c r="RLO66" s="528"/>
      <c r="RLP66" s="528"/>
      <c r="RLQ66" s="528"/>
      <c r="RLR66" s="528"/>
      <c r="RLS66" s="528"/>
      <c r="RLT66" s="528"/>
      <c r="RLU66" s="528"/>
      <c r="RLV66" s="528"/>
      <c r="RLW66" s="528"/>
      <c r="RLX66" s="528"/>
      <c r="RLY66" s="528"/>
      <c r="RLZ66" s="528"/>
      <c r="RMA66" s="528"/>
      <c r="RMB66" s="528"/>
      <c r="RMC66" s="528"/>
      <c r="RMD66" s="528"/>
      <c r="RME66" s="528"/>
      <c r="RMF66" s="528"/>
      <c r="RMG66" s="528"/>
      <c r="RMH66" s="528"/>
      <c r="RMI66" s="528"/>
      <c r="RMJ66" s="528"/>
      <c r="RMK66" s="528"/>
      <c r="RML66" s="528"/>
      <c r="RMM66" s="528"/>
      <c r="RMN66" s="528"/>
      <c r="RMO66" s="528"/>
      <c r="RMP66" s="528"/>
      <c r="RMQ66" s="528"/>
      <c r="RMR66" s="528"/>
      <c r="RMS66" s="528"/>
      <c r="RMT66" s="528"/>
      <c r="RMU66" s="528"/>
      <c r="RMV66" s="528"/>
      <c r="RMW66" s="528"/>
      <c r="RMX66" s="528"/>
      <c r="RMY66" s="528"/>
      <c r="RMZ66" s="528"/>
      <c r="RNA66" s="528"/>
      <c r="RNB66" s="528"/>
      <c r="RNC66" s="528"/>
      <c r="RND66" s="528"/>
      <c r="RNE66" s="528"/>
      <c r="RNF66" s="528"/>
      <c r="RNG66" s="528"/>
      <c r="RNH66" s="528"/>
      <c r="RNI66" s="528"/>
      <c r="RNJ66" s="528"/>
      <c r="RNK66" s="528"/>
      <c r="RNL66" s="528"/>
      <c r="RNM66" s="528"/>
      <c r="RNN66" s="528"/>
      <c r="RNO66" s="528"/>
      <c r="RNP66" s="528"/>
      <c r="RNQ66" s="528"/>
      <c r="RNR66" s="528"/>
      <c r="RNS66" s="528"/>
      <c r="RNT66" s="528"/>
      <c r="RNU66" s="528"/>
      <c r="RNV66" s="528"/>
      <c r="RNW66" s="528"/>
      <c r="RNX66" s="528"/>
      <c r="RNY66" s="528"/>
      <c r="RNZ66" s="528"/>
      <c r="ROA66" s="528"/>
      <c r="ROB66" s="528"/>
      <c r="ROC66" s="528"/>
      <c r="ROD66" s="528"/>
      <c r="ROE66" s="528"/>
      <c r="ROF66" s="528"/>
      <c r="ROG66" s="528"/>
      <c r="ROH66" s="528"/>
      <c r="ROI66" s="528"/>
      <c r="ROJ66" s="528"/>
      <c r="ROK66" s="528"/>
      <c r="ROL66" s="528"/>
      <c r="ROM66" s="528"/>
      <c r="RON66" s="528"/>
      <c r="ROO66" s="528"/>
      <c r="ROP66" s="528"/>
      <c r="ROQ66" s="528"/>
      <c r="ROR66" s="528"/>
      <c r="ROS66" s="528"/>
      <c r="ROT66" s="528"/>
      <c r="ROU66" s="528"/>
      <c r="ROV66" s="528"/>
      <c r="ROW66" s="528"/>
      <c r="ROX66" s="528"/>
      <c r="ROY66" s="528"/>
      <c r="ROZ66" s="528"/>
      <c r="RPA66" s="528"/>
      <c r="RPB66" s="528"/>
      <c r="RPC66" s="528"/>
      <c r="RPD66" s="528"/>
      <c r="RPE66" s="528"/>
      <c r="RPF66" s="528"/>
      <c r="RPG66" s="528"/>
      <c r="RPH66" s="528"/>
      <c r="RPI66" s="528"/>
      <c r="RPJ66" s="528"/>
      <c r="RPK66" s="528"/>
      <c r="RPL66" s="528"/>
      <c r="RPM66" s="528"/>
      <c r="RPN66" s="528"/>
      <c r="RPO66" s="528"/>
      <c r="RPP66" s="528"/>
      <c r="RPQ66" s="528"/>
      <c r="RPR66" s="528"/>
      <c r="RPS66" s="528"/>
      <c r="RPT66" s="528"/>
      <c r="RPU66" s="528"/>
      <c r="RPV66" s="528"/>
      <c r="RPW66" s="528"/>
      <c r="RPX66" s="528"/>
      <c r="RPY66" s="528"/>
      <c r="RPZ66" s="528"/>
      <c r="RQA66" s="528"/>
      <c r="RQB66" s="528"/>
      <c r="RQC66" s="528"/>
      <c r="RQD66" s="528"/>
      <c r="RQE66" s="528"/>
      <c r="RQF66" s="528"/>
      <c r="RQG66" s="528"/>
      <c r="RQH66" s="528"/>
      <c r="RQI66" s="528"/>
      <c r="RQJ66" s="528"/>
      <c r="RQK66" s="528"/>
      <c r="RQL66" s="528"/>
      <c r="RQM66" s="528"/>
      <c r="RQN66" s="528"/>
      <c r="RQO66" s="528"/>
      <c r="RQP66" s="528"/>
      <c r="RQQ66" s="528"/>
      <c r="RQR66" s="528"/>
      <c r="RQS66" s="528"/>
      <c r="RQT66" s="528"/>
      <c r="RQU66" s="528"/>
      <c r="RQV66" s="528"/>
      <c r="RQW66" s="528"/>
      <c r="RQX66" s="528"/>
      <c r="RQY66" s="528"/>
      <c r="RQZ66" s="528"/>
      <c r="RRA66" s="528"/>
      <c r="RRB66" s="528"/>
      <c r="RRC66" s="528"/>
      <c r="RRD66" s="528"/>
      <c r="RRE66" s="528"/>
      <c r="RRF66" s="528"/>
      <c r="RRG66" s="528"/>
      <c r="RRH66" s="528"/>
      <c r="RRI66" s="528"/>
      <c r="RRJ66" s="528"/>
      <c r="RRK66" s="528"/>
      <c r="RRL66" s="528"/>
      <c r="RRM66" s="528"/>
      <c r="RRN66" s="528"/>
      <c r="RRO66" s="528"/>
      <c r="RRP66" s="528"/>
      <c r="RRQ66" s="528"/>
      <c r="RRR66" s="528"/>
      <c r="RRS66" s="528"/>
      <c r="RRT66" s="528"/>
      <c r="RRU66" s="528"/>
      <c r="RRV66" s="528"/>
      <c r="RRW66" s="528"/>
      <c r="RRX66" s="528"/>
      <c r="RRY66" s="528"/>
      <c r="RRZ66" s="528"/>
      <c r="RSA66" s="528"/>
      <c r="RSB66" s="528"/>
      <c r="RSC66" s="528"/>
      <c r="RSD66" s="528"/>
      <c r="RSE66" s="528"/>
      <c r="RSF66" s="528"/>
      <c r="RSG66" s="528"/>
      <c r="RSH66" s="528"/>
      <c r="RSI66" s="528"/>
      <c r="RSJ66" s="528"/>
      <c r="RSK66" s="528"/>
      <c r="RSL66" s="528"/>
      <c r="RSM66" s="528"/>
      <c r="RSN66" s="528"/>
      <c r="RSO66" s="528"/>
      <c r="RSP66" s="528"/>
      <c r="RSQ66" s="528"/>
      <c r="RSR66" s="528"/>
      <c r="RSS66" s="528"/>
      <c r="RST66" s="528"/>
      <c r="RSU66" s="528"/>
      <c r="RSV66" s="528"/>
      <c r="RSW66" s="528"/>
      <c r="RSX66" s="528"/>
      <c r="RSY66" s="528"/>
      <c r="RSZ66" s="528"/>
      <c r="RTA66" s="528"/>
      <c r="RTB66" s="528"/>
      <c r="RTC66" s="528"/>
      <c r="RTD66" s="528"/>
      <c r="RTE66" s="528"/>
      <c r="RTF66" s="528"/>
      <c r="RTG66" s="528"/>
      <c r="RTH66" s="528"/>
      <c r="RTI66" s="528"/>
      <c r="RTJ66" s="528"/>
      <c r="RTK66" s="528"/>
      <c r="RTL66" s="528"/>
      <c r="RTM66" s="528"/>
      <c r="RTN66" s="528"/>
      <c r="RTO66" s="528"/>
      <c r="RTP66" s="528"/>
      <c r="RTQ66" s="528"/>
      <c r="RTR66" s="528"/>
      <c r="RTS66" s="528"/>
      <c r="RTT66" s="528"/>
      <c r="RTU66" s="528"/>
      <c r="RTV66" s="528"/>
      <c r="RTW66" s="528"/>
      <c r="RTX66" s="528"/>
      <c r="RTY66" s="528"/>
      <c r="RTZ66" s="528"/>
      <c r="RUA66" s="528"/>
      <c r="RUB66" s="528"/>
      <c r="RUC66" s="528"/>
      <c r="RUD66" s="528"/>
      <c r="RUE66" s="528"/>
      <c r="RUF66" s="528"/>
      <c r="RUG66" s="528"/>
      <c r="RUH66" s="528"/>
      <c r="RUI66" s="528"/>
      <c r="RUJ66" s="528"/>
      <c r="RUK66" s="528"/>
      <c r="RUL66" s="528"/>
      <c r="RUM66" s="528"/>
      <c r="RUN66" s="528"/>
      <c r="RUO66" s="528"/>
      <c r="RUP66" s="528"/>
      <c r="RUQ66" s="528"/>
      <c r="RUR66" s="528"/>
      <c r="RUS66" s="528"/>
      <c r="RUT66" s="528"/>
      <c r="RUU66" s="528"/>
      <c r="RUV66" s="528"/>
      <c r="RUW66" s="528"/>
      <c r="RUX66" s="528"/>
      <c r="RUY66" s="528"/>
      <c r="RUZ66" s="528"/>
      <c r="RVA66" s="528"/>
      <c r="RVB66" s="528"/>
      <c r="RVC66" s="528"/>
      <c r="RVD66" s="528"/>
      <c r="RVE66" s="528"/>
      <c r="RVF66" s="528"/>
      <c r="RVG66" s="528"/>
      <c r="RVH66" s="528"/>
      <c r="RVI66" s="528"/>
      <c r="RVJ66" s="528"/>
      <c r="RVK66" s="528"/>
      <c r="RVL66" s="528"/>
      <c r="RVM66" s="528"/>
      <c r="RVN66" s="528"/>
      <c r="RVO66" s="528"/>
      <c r="RVP66" s="528"/>
      <c r="RVQ66" s="528"/>
      <c r="RVR66" s="528"/>
      <c r="RVS66" s="528"/>
      <c r="RVT66" s="528"/>
      <c r="RVU66" s="528"/>
      <c r="RVV66" s="528"/>
      <c r="RVW66" s="528"/>
      <c r="RVX66" s="528"/>
      <c r="RVY66" s="528"/>
      <c r="RVZ66" s="528"/>
      <c r="RWA66" s="528"/>
      <c r="RWB66" s="528"/>
      <c r="RWC66" s="528"/>
      <c r="RWD66" s="528"/>
      <c r="RWE66" s="528"/>
      <c r="RWF66" s="528"/>
      <c r="RWG66" s="528"/>
      <c r="RWH66" s="528"/>
      <c r="RWI66" s="528"/>
      <c r="RWJ66" s="528"/>
      <c r="RWK66" s="528"/>
      <c r="RWL66" s="528"/>
      <c r="RWM66" s="528"/>
      <c r="RWN66" s="528"/>
      <c r="RWO66" s="528"/>
      <c r="RWP66" s="528"/>
      <c r="RWQ66" s="528"/>
      <c r="RWR66" s="528"/>
      <c r="RWS66" s="528"/>
      <c r="RWT66" s="528"/>
      <c r="RWU66" s="528"/>
      <c r="RWV66" s="528"/>
      <c r="RWW66" s="528"/>
      <c r="RWX66" s="528"/>
      <c r="RWY66" s="528"/>
      <c r="RWZ66" s="528"/>
      <c r="RXA66" s="528"/>
      <c r="RXB66" s="528"/>
      <c r="RXC66" s="528"/>
      <c r="RXD66" s="528"/>
      <c r="RXE66" s="528"/>
      <c r="RXF66" s="528"/>
      <c r="RXG66" s="528"/>
      <c r="RXH66" s="528"/>
      <c r="RXI66" s="528"/>
      <c r="RXJ66" s="528"/>
      <c r="RXK66" s="528"/>
      <c r="RXL66" s="528"/>
      <c r="RXM66" s="528"/>
      <c r="RXN66" s="528"/>
      <c r="RXO66" s="528"/>
      <c r="RXP66" s="528"/>
      <c r="RXQ66" s="528"/>
      <c r="RXR66" s="528"/>
      <c r="RXS66" s="528"/>
      <c r="RXT66" s="528"/>
      <c r="RXU66" s="528"/>
      <c r="RXV66" s="528"/>
      <c r="RXW66" s="528"/>
      <c r="RXX66" s="528"/>
      <c r="RXY66" s="528"/>
      <c r="RXZ66" s="528"/>
      <c r="RYA66" s="528"/>
      <c r="RYB66" s="528"/>
      <c r="RYC66" s="528"/>
      <c r="RYD66" s="528"/>
      <c r="RYE66" s="528"/>
      <c r="RYF66" s="528"/>
      <c r="RYG66" s="528"/>
      <c r="RYH66" s="528"/>
      <c r="RYI66" s="528"/>
      <c r="RYJ66" s="528"/>
      <c r="RYK66" s="528"/>
      <c r="RYL66" s="528"/>
      <c r="RYM66" s="528"/>
      <c r="RYN66" s="528"/>
      <c r="RYO66" s="528"/>
      <c r="RYP66" s="528"/>
      <c r="RYQ66" s="528"/>
      <c r="RYR66" s="528"/>
      <c r="RYS66" s="528"/>
      <c r="RYT66" s="528"/>
      <c r="RYU66" s="528"/>
      <c r="RYV66" s="528"/>
      <c r="RYW66" s="528"/>
      <c r="RYX66" s="528"/>
      <c r="RYY66" s="528"/>
      <c r="RYZ66" s="528"/>
      <c r="RZA66" s="528"/>
      <c r="RZB66" s="528"/>
      <c r="RZC66" s="528"/>
      <c r="RZD66" s="528"/>
      <c r="RZE66" s="528"/>
      <c r="RZF66" s="528"/>
      <c r="RZG66" s="528"/>
      <c r="RZH66" s="528"/>
      <c r="RZI66" s="528"/>
      <c r="RZJ66" s="528"/>
      <c r="RZK66" s="528"/>
      <c r="RZL66" s="528"/>
      <c r="RZM66" s="528"/>
      <c r="RZN66" s="528"/>
      <c r="RZO66" s="528"/>
      <c r="RZP66" s="528"/>
      <c r="RZQ66" s="528"/>
      <c r="RZR66" s="528"/>
      <c r="RZS66" s="528"/>
      <c r="RZT66" s="528"/>
      <c r="RZU66" s="528"/>
      <c r="RZV66" s="528"/>
      <c r="RZW66" s="528"/>
      <c r="RZX66" s="528"/>
      <c r="RZY66" s="528"/>
      <c r="RZZ66" s="528"/>
      <c r="SAA66" s="528"/>
      <c r="SAB66" s="528"/>
      <c r="SAC66" s="528"/>
      <c r="SAD66" s="528"/>
      <c r="SAE66" s="528"/>
      <c r="SAF66" s="528"/>
      <c r="SAG66" s="528"/>
      <c r="SAH66" s="528"/>
      <c r="SAI66" s="528"/>
      <c r="SAJ66" s="528"/>
      <c r="SAK66" s="528"/>
      <c r="SAL66" s="528"/>
      <c r="SAM66" s="528"/>
      <c r="SAN66" s="528"/>
      <c r="SAO66" s="528"/>
      <c r="SAP66" s="528"/>
      <c r="SAQ66" s="528"/>
      <c r="SAR66" s="528"/>
      <c r="SAS66" s="528"/>
      <c r="SAT66" s="528"/>
      <c r="SAU66" s="528"/>
      <c r="SAV66" s="528"/>
      <c r="SAW66" s="528"/>
      <c r="SAX66" s="528"/>
      <c r="SAY66" s="528"/>
      <c r="SAZ66" s="528"/>
      <c r="SBA66" s="528"/>
      <c r="SBB66" s="528"/>
      <c r="SBC66" s="528"/>
      <c r="SBD66" s="528"/>
      <c r="SBE66" s="528"/>
      <c r="SBF66" s="528"/>
      <c r="SBG66" s="528"/>
      <c r="SBH66" s="528"/>
      <c r="SBI66" s="528"/>
      <c r="SBJ66" s="528"/>
      <c r="SBK66" s="528"/>
      <c r="SBL66" s="528"/>
      <c r="SBM66" s="528"/>
      <c r="SBN66" s="528"/>
      <c r="SBO66" s="528"/>
      <c r="SBP66" s="528"/>
      <c r="SBQ66" s="528"/>
      <c r="SBR66" s="528"/>
      <c r="SBS66" s="528"/>
      <c r="SBT66" s="528"/>
      <c r="SBU66" s="528"/>
      <c r="SBV66" s="528"/>
      <c r="SBW66" s="528"/>
      <c r="SBX66" s="528"/>
      <c r="SBY66" s="528"/>
      <c r="SBZ66" s="528"/>
      <c r="SCA66" s="528"/>
      <c r="SCB66" s="528"/>
      <c r="SCC66" s="528"/>
      <c r="SCD66" s="528"/>
      <c r="SCE66" s="528"/>
      <c r="SCF66" s="528"/>
      <c r="SCG66" s="528"/>
      <c r="SCH66" s="528"/>
      <c r="SCI66" s="528"/>
      <c r="SCJ66" s="528"/>
      <c r="SCK66" s="528"/>
      <c r="SCL66" s="528"/>
      <c r="SCM66" s="528"/>
      <c r="SCN66" s="528"/>
      <c r="SCO66" s="528"/>
      <c r="SCP66" s="528"/>
      <c r="SCQ66" s="528"/>
      <c r="SCR66" s="528"/>
      <c r="SCS66" s="528"/>
      <c r="SCT66" s="528"/>
      <c r="SCU66" s="528"/>
      <c r="SCV66" s="528"/>
      <c r="SCW66" s="528"/>
      <c r="SCX66" s="528"/>
      <c r="SCY66" s="528"/>
      <c r="SCZ66" s="528"/>
      <c r="SDA66" s="528"/>
      <c r="SDB66" s="528"/>
      <c r="SDC66" s="528"/>
      <c r="SDD66" s="528"/>
      <c r="SDE66" s="528"/>
      <c r="SDF66" s="528"/>
      <c r="SDG66" s="528"/>
      <c r="SDH66" s="528"/>
      <c r="SDI66" s="528"/>
      <c r="SDJ66" s="528"/>
      <c r="SDK66" s="528"/>
      <c r="SDL66" s="528"/>
      <c r="SDM66" s="528"/>
      <c r="SDN66" s="528"/>
      <c r="SDO66" s="528"/>
      <c r="SDP66" s="528"/>
      <c r="SDQ66" s="528"/>
      <c r="SDR66" s="528"/>
      <c r="SDS66" s="528"/>
      <c r="SDT66" s="528"/>
      <c r="SDU66" s="528"/>
      <c r="SDV66" s="528"/>
      <c r="SDW66" s="528"/>
      <c r="SDX66" s="528"/>
      <c r="SDY66" s="528"/>
      <c r="SDZ66" s="528"/>
      <c r="SEA66" s="528"/>
      <c r="SEB66" s="528"/>
      <c r="SEC66" s="528"/>
      <c r="SED66" s="528"/>
      <c r="SEE66" s="528"/>
      <c r="SEF66" s="528"/>
      <c r="SEG66" s="528"/>
      <c r="SEH66" s="528"/>
      <c r="SEI66" s="528"/>
      <c r="SEJ66" s="528"/>
      <c r="SEK66" s="528"/>
      <c r="SEL66" s="528"/>
      <c r="SEM66" s="528"/>
      <c r="SEN66" s="528"/>
      <c r="SEO66" s="528"/>
      <c r="SEP66" s="528"/>
      <c r="SEQ66" s="528"/>
      <c r="SER66" s="528"/>
      <c r="SES66" s="528"/>
      <c r="SET66" s="528"/>
      <c r="SEU66" s="528"/>
      <c r="SEV66" s="528"/>
      <c r="SEW66" s="528"/>
      <c r="SEX66" s="528"/>
      <c r="SEY66" s="528"/>
      <c r="SEZ66" s="528"/>
      <c r="SFA66" s="528"/>
      <c r="SFB66" s="528"/>
      <c r="SFC66" s="528"/>
      <c r="SFD66" s="528"/>
      <c r="SFE66" s="528"/>
      <c r="SFF66" s="528"/>
      <c r="SFG66" s="528"/>
      <c r="SFH66" s="528"/>
      <c r="SFI66" s="528"/>
      <c r="SFJ66" s="528"/>
      <c r="SFK66" s="528"/>
      <c r="SFL66" s="528"/>
      <c r="SFM66" s="528"/>
      <c r="SFN66" s="528"/>
      <c r="SFO66" s="528"/>
      <c r="SFP66" s="528"/>
      <c r="SFQ66" s="528"/>
      <c r="SFR66" s="528"/>
      <c r="SFS66" s="528"/>
      <c r="SFT66" s="528"/>
      <c r="SFU66" s="528"/>
      <c r="SFV66" s="528"/>
      <c r="SFW66" s="528"/>
      <c r="SFX66" s="528"/>
      <c r="SFY66" s="528"/>
      <c r="SFZ66" s="528"/>
      <c r="SGA66" s="528"/>
      <c r="SGB66" s="528"/>
      <c r="SGC66" s="528"/>
      <c r="SGD66" s="528"/>
      <c r="SGE66" s="528"/>
      <c r="SGF66" s="528"/>
      <c r="SGG66" s="528"/>
      <c r="SGH66" s="528"/>
      <c r="SGI66" s="528"/>
      <c r="SGJ66" s="528"/>
      <c r="SGK66" s="528"/>
      <c r="SGL66" s="528"/>
      <c r="SGM66" s="528"/>
      <c r="SGN66" s="528"/>
      <c r="SGO66" s="528"/>
      <c r="SGP66" s="528"/>
      <c r="SGQ66" s="528"/>
      <c r="SGR66" s="528"/>
      <c r="SGS66" s="528"/>
      <c r="SGT66" s="528"/>
      <c r="SGU66" s="528"/>
      <c r="SGV66" s="528"/>
      <c r="SGW66" s="528"/>
      <c r="SGX66" s="528"/>
      <c r="SGY66" s="528"/>
      <c r="SGZ66" s="528"/>
      <c r="SHA66" s="528"/>
      <c r="SHB66" s="528"/>
      <c r="SHC66" s="528"/>
      <c r="SHD66" s="528"/>
      <c r="SHE66" s="528"/>
      <c r="SHF66" s="528"/>
      <c r="SHG66" s="528"/>
      <c r="SHH66" s="528"/>
      <c r="SHI66" s="528"/>
      <c r="SHJ66" s="528"/>
      <c r="SHK66" s="528"/>
      <c r="SHL66" s="528"/>
      <c r="SHM66" s="528"/>
      <c r="SHN66" s="528"/>
      <c r="SHO66" s="528"/>
      <c r="SHP66" s="528"/>
      <c r="SHQ66" s="528"/>
      <c r="SHR66" s="528"/>
      <c r="SHS66" s="528"/>
      <c r="SHT66" s="528"/>
      <c r="SHU66" s="528"/>
      <c r="SHV66" s="528"/>
      <c r="SHW66" s="528"/>
      <c r="SHX66" s="528"/>
      <c r="SHY66" s="528"/>
      <c r="SHZ66" s="528"/>
      <c r="SIA66" s="528"/>
      <c r="SIB66" s="528"/>
      <c r="SIC66" s="528"/>
      <c r="SID66" s="528"/>
      <c r="SIE66" s="528"/>
      <c r="SIF66" s="528"/>
      <c r="SIG66" s="528"/>
      <c r="SIH66" s="528"/>
      <c r="SII66" s="528"/>
      <c r="SIJ66" s="528"/>
      <c r="SIK66" s="528"/>
      <c r="SIL66" s="528"/>
      <c r="SIM66" s="528"/>
      <c r="SIN66" s="528"/>
      <c r="SIO66" s="528"/>
      <c r="SIP66" s="528"/>
      <c r="SIQ66" s="528"/>
      <c r="SIR66" s="528"/>
      <c r="SIS66" s="528"/>
      <c r="SIT66" s="528"/>
      <c r="SIU66" s="528"/>
      <c r="SIV66" s="528"/>
      <c r="SIW66" s="528"/>
      <c r="SIX66" s="528"/>
      <c r="SIY66" s="528"/>
      <c r="SIZ66" s="528"/>
      <c r="SJA66" s="528"/>
      <c r="SJB66" s="528"/>
      <c r="SJC66" s="528"/>
      <c r="SJD66" s="528"/>
      <c r="SJE66" s="528"/>
      <c r="SJF66" s="528"/>
      <c r="SJG66" s="528"/>
      <c r="SJH66" s="528"/>
      <c r="SJI66" s="528"/>
      <c r="SJJ66" s="528"/>
      <c r="SJK66" s="528"/>
      <c r="SJL66" s="528"/>
      <c r="SJM66" s="528"/>
      <c r="SJN66" s="528"/>
      <c r="SJO66" s="528"/>
      <c r="SJP66" s="528"/>
      <c r="SJQ66" s="528"/>
      <c r="SJR66" s="528"/>
      <c r="SJS66" s="528"/>
      <c r="SJT66" s="528"/>
      <c r="SJU66" s="528"/>
      <c r="SJV66" s="528"/>
      <c r="SJW66" s="528"/>
      <c r="SJX66" s="528"/>
      <c r="SJY66" s="528"/>
      <c r="SJZ66" s="528"/>
      <c r="SKA66" s="528"/>
      <c r="SKB66" s="528"/>
      <c r="SKC66" s="528"/>
      <c r="SKD66" s="528"/>
      <c r="SKE66" s="528"/>
      <c r="SKF66" s="528"/>
      <c r="SKG66" s="528"/>
      <c r="SKH66" s="528"/>
      <c r="SKI66" s="528"/>
      <c r="SKJ66" s="528"/>
      <c r="SKK66" s="528"/>
      <c r="SKL66" s="528"/>
      <c r="SKM66" s="528"/>
      <c r="SKN66" s="528"/>
      <c r="SKO66" s="528"/>
      <c r="SKP66" s="528"/>
      <c r="SKQ66" s="528"/>
      <c r="SKR66" s="528"/>
      <c r="SKS66" s="528"/>
      <c r="SKT66" s="528"/>
      <c r="SKU66" s="528"/>
      <c r="SKV66" s="528"/>
      <c r="SKW66" s="528"/>
      <c r="SKX66" s="528"/>
      <c r="SKY66" s="528"/>
      <c r="SKZ66" s="528"/>
      <c r="SLA66" s="528"/>
      <c r="SLB66" s="528"/>
      <c r="SLC66" s="528"/>
      <c r="SLD66" s="528"/>
      <c r="SLE66" s="528"/>
      <c r="SLF66" s="528"/>
      <c r="SLG66" s="528"/>
      <c r="SLH66" s="528"/>
      <c r="SLI66" s="528"/>
      <c r="SLJ66" s="528"/>
      <c r="SLK66" s="528"/>
      <c r="SLL66" s="528"/>
      <c r="SLM66" s="528"/>
      <c r="SLN66" s="528"/>
      <c r="SLO66" s="528"/>
      <c r="SLP66" s="528"/>
      <c r="SLQ66" s="528"/>
      <c r="SLR66" s="528"/>
      <c r="SLS66" s="528"/>
      <c r="SLT66" s="528"/>
      <c r="SLU66" s="528"/>
      <c r="SLV66" s="528"/>
      <c r="SLW66" s="528"/>
      <c r="SLX66" s="528"/>
      <c r="SLY66" s="528"/>
      <c r="SLZ66" s="528"/>
      <c r="SMA66" s="528"/>
      <c r="SMB66" s="528"/>
      <c r="SMC66" s="528"/>
      <c r="SMD66" s="528"/>
      <c r="SME66" s="528"/>
      <c r="SMF66" s="528"/>
      <c r="SMG66" s="528"/>
      <c r="SMH66" s="528"/>
      <c r="SMI66" s="528"/>
      <c r="SMJ66" s="528"/>
      <c r="SMK66" s="528"/>
      <c r="SML66" s="528"/>
      <c r="SMM66" s="528"/>
      <c r="SMN66" s="528"/>
      <c r="SMO66" s="528"/>
      <c r="SMP66" s="528"/>
      <c r="SMQ66" s="528"/>
      <c r="SMR66" s="528"/>
      <c r="SMS66" s="528"/>
      <c r="SMT66" s="528"/>
      <c r="SMU66" s="528"/>
      <c r="SMV66" s="528"/>
      <c r="SMW66" s="528"/>
      <c r="SMX66" s="528"/>
      <c r="SMY66" s="528"/>
      <c r="SMZ66" s="528"/>
      <c r="SNA66" s="528"/>
      <c r="SNB66" s="528"/>
      <c r="SNC66" s="528"/>
      <c r="SND66" s="528"/>
      <c r="SNE66" s="528"/>
      <c r="SNF66" s="528"/>
      <c r="SNG66" s="528"/>
      <c r="SNH66" s="528"/>
      <c r="SNI66" s="528"/>
      <c r="SNJ66" s="528"/>
      <c r="SNK66" s="528"/>
      <c r="SNL66" s="528"/>
      <c r="SNM66" s="528"/>
      <c r="SNN66" s="528"/>
      <c r="SNO66" s="528"/>
      <c r="SNP66" s="528"/>
      <c r="SNQ66" s="528"/>
      <c r="SNR66" s="528"/>
      <c r="SNS66" s="528"/>
      <c r="SNT66" s="528"/>
      <c r="SNU66" s="528"/>
      <c r="SNV66" s="528"/>
      <c r="SNW66" s="528"/>
      <c r="SNX66" s="528"/>
      <c r="SNY66" s="528"/>
      <c r="SNZ66" s="528"/>
      <c r="SOA66" s="528"/>
      <c r="SOB66" s="528"/>
      <c r="SOC66" s="528"/>
      <c r="SOD66" s="528"/>
      <c r="SOE66" s="528"/>
      <c r="SOF66" s="528"/>
      <c r="SOG66" s="528"/>
      <c r="SOH66" s="528"/>
      <c r="SOI66" s="528"/>
      <c r="SOJ66" s="528"/>
      <c r="SOK66" s="528"/>
      <c r="SOL66" s="528"/>
      <c r="SOM66" s="528"/>
      <c r="SON66" s="528"/>
      <c r="SOO66" s="528"/>
      <c r="SOP66" s="528"/>
      <c r="SOQ66" s="528"/>
      <c r="SOR66" s="528"/>
      <c r="SOS66" s="528"/>
      <c r="SOT66" s="528"/>
      <c r="SOU66" s="528"/>
      <c r="SOV66" s="528"/>
      <c r="SOW66" s="528"/>
      <c r="SOX66" s="528"/>
      <c r="SOY66" s="528"/>
      <c r="SOZ66" s="528"/>
      <c r="SPA66" s="528"/>
      <c r="SPB66" s="528"/>
      <c r="SPC66" s="528"/>
      <c r="SPD66" s="528"/>
      <c r="SPE66" s="528"/>
      <c r="SPF66" s="528"/>
      <c r="SPG66" s="528"/>
      <c r="SPH66" s="528"/>
      <c r="SPI66" s="528"/>
      <c r="SPJ66" s="528"/>
      <c r="SPK66" s="528"/>
      <c r="SPL66" s="528"/>
      <c r="SPM66" s="528"/>
      <c r="SPN66" s="528"/>
      <c r="SPO66" s="528"/>
      <c r="SPP66" s="528"/>
      <c r="SPQ66" s="528"/>
      <c r="SPR66" s="528"/>
      <c r="SPS66" s="528"/>
      <c r="SPT66" s="528"/>
      <c r="SPU66" s="528"/>
      <c r="SPV66" s="528"/>
      <c r="SPW66" s="528"/>
      <c r="SPX66" s="528"/>
      <c r="SPY66" s="528"/>
      <c r="SPZ66" s="528"/>
      <c r="SQA66" s="528"/>
      <c r="SQB66" s="528"/>
      <c r="SQC66" s="528"/>
      <c r="SQD66" s="528"/>
      <c r="SQE66" s="528"/>
      <c r="SQF66" s="528"/>
      <c r="SQG66" s="528"/>
      <c r="SQH66" s="528"/>
      <c r="SQI66" s="528"/>
      <c r="SQJ66" s="528"/>
      <c r="SQK66" s="528"/>
      <c r="SQL66" s="528"/>
      <c r="SQM66" s="528"/>
      <c r="SQN66" s="528"/>
      <c r="SQO66" s="528"/>
      <c r="SQP66" s="528"/>
      <c r="SQQ66" s="528"/>
      <c r="SQR66" s="528"/>
      <c r="SQS66" s="528"/>
      <c r="SQT66" s="528"/>
      <c r="SQU66" s="528"/>
      <c r="SQV66" s="528"/>
      <c r="SQW66" s="528"/>
      <c r="SQX66" s="528"/>
      <c r="SQY66" s="528"/>
      <c r="SQZ66" s="528"/>
      <c r="SRA66" s="528"/>
      <c r="SRB66" s="528"/>
      <c r="SRC66" s="528"/>
      <c r="SRD66" s="528"/>
      <c r="SRE66" s="528"/>
      <c r="SRF66" s="528"/>
      <c r="SRG66" s="528"/>
      <c r="SRH66" s="528"/>
      <c r="SRI66" s="528"/>
      <c r="SRJ66" s="528"/>
      <c r="SRK66" s="528"/>
      <c r="SRL66" s="528"/>
      <c r="SRM66" s="528"/>
      <c r="SRN66" s="528"/>
      <c r="SRO66" s="528"/>
      <c r="SRP66" s="528"/>
      <c r="SRQ66" s="528"/>
      <c r="SRR66" s="528"/>
      <c r="SRS66" s="528"/>
      <c r="SRT66" s="528"/>
      <c r="SRU66" s="528"/>
      <c r="SRV66" s="528"/>
      <c r="SRW66" s="528"/>
      <c r="SRX66" s="528"/>
      <c r="SRY66" s="528"/>
      <c r="SRZ66" s="528"/>
      <c r="SSA66" s="528"/>
      <c r="SSB66" s="528"/>
      <c r="SSC66" s="528"/>
      <c r="SSD66" s="528"/>
      <c r="SSE66" s="528"/>
      <c r="SSF66" s="528"/>
      <c r="SSG66" s="528"/>
      <c r="SSH66" s="528"/>
      <c r="SSI66" s="528"/>
      <c r="SSJ66" s="528"/>
      <c r="SSK66" s="528"/>
      <c r="SSL66" s="528"/>
      <c r="SSM66" s="528"/>
      <c r="SSN66" s="528"/>
      <c r="SSO66" s="528"/>
      <c r="SSP66" s="528"/>
      <c r="SSQ66" s="528"/>
      <c r="SSR66" s="528"/>
      <c r="SSS66" s="528"/>
      <c r="SST66" s="528"/>
      <c r="SSU66" s="528"/>
      <c r="SSV66" s="528"/>
      <c r="SSW66" s="528"/>
      <c r="SSX66" s="528"/>
      <c r="SSY66" s="528"/>
      <c r="SSZ66" s="528"/>
      <c r="STA66" s="528"/>
      <c r="STB66" s="528"/>
      <c r="STC66" s="528"/>
      <c r="STD66" s="528"/>
      <c r="STE66" s="528"/>
      <c r="STF66" s="528"/>
      <c r="STG66" s="528"/>
      <c r="STH66" s="528"/>
      <c r="STI66" s="528"/>
      <c r="STJ66" s="528"/>
      <c r="STK66" s="528"/>
      <c r="STL66" s="528"/>
      <c r="STM66" s="528"/>
      <c r="STN66" s="528"/>
      <c r="STO66" s="528"/>
      <c r="STP66" s="528"/>
      <c r="STQ66" s="528"/>
      <c r="STR66" s="528"/>
      <c r="STS66" s="528"/>
      <c r="STT66" s="528"/>
      <c r="STU66" s="528"/>
      <c r="STV66" s="528"/>
      <c r="STW66" s="528"/>
      <c r="STX66" s="528"/>
      <c r="STY66" s="528"/>
      <c r="STZ66" s="528"/>
      <c r="SUA66" s="528"/>
      <c r="SUB66" s="528"/>
      <c r="SUC66" s="528"/>
      <c r="SUD66" s="528"/>
      <c r="SUE66" s="528"/>
      <c r="SUF66" s="528"/>
      <c r="SUG66" s="528"/>
      <c r="SUH66" s="528"/>
      <c r="SUI66" s="528"/>
      <c r="SUJ66" s="528"/>
      <c r="SUK66" s="528"/>
      <c r="SUL66" s="528"/>
      <c r="SUM66" s="528"/>
      <c r="SUN66" s="528"/>
      <c r="SUO66" s="528"/>
      <c r="SUP66" s="528"/>
      <c r="SUQ66" s="528"/>
      <c r="SUR66" s="528"/>
      <c r="SUS66" s="528"/>
      <c r="SUT66" s="528"/>
      <c r="SUU66" s="528"/>
      <c r="SUV66" s="528"/>
      <c r="SUW66" s="528"/>
      <c r="SUX66" s="528"/>
      <c r="SUY66" s="528"/>
      <c r="SUZ66" s="528"/>
      <c r="SVA66" s="528"/>
      <c r="SVB66" s="528"/>
      <c r="SVC66" s="528"/>
      <c r="SVD66" s="528"/>
      <c r="SVE66" s="528"/>
      <c r="SVF66" s="528"/>
      <c r="SVG66" s="528"/>
      <c r="SVH66" s="528"/>
      <c r="SVI66" s="528"/>
      <c r="SVJ66" s="528"/>
      <c r="SVK66" s="528"/>
      <c r="SVL66" s="528"/>
      <c r="SVM66" s="528"/>
      <c r="SVN66" s="528"/>
      <c r="SVO66" s="528"/>
      <c r="SVP66" s="528"/>
      <c r="SVQ66" s="528"/>
      <c r="SVR66" s="528"/>
      <c r="SVS66" s="528"/>
      <c r="SVT66" s="528"/>
      <c r="SVU66" s="528"/>
      <c r="SVV66" s="528"/>
      <c r="SVW66" s="528"/>
      <c r="SVX66" s="528"/>
      <c r="SVY66" s="528"/>
      <c r="SVZ66" s="528"/>
      <c r="SWA66" s="528"/>
      <c r="SWB66" s="528"/>
      <c r="SWC66" s="528"/>
      <c r="SWD66" s="528"/>
      <c r="SWE66" s="528"/>
      <c r="SWF66" s="528"/>
      <c r="SWG66" s="528"/>
      <c r="SWH66" s="528"/>
      <c r="SWI66" s="528"/>
      <c r="SWJ66" s="528"/>
      <c r="SWK66" s="528"/>
      <c r="SWL66" s="528"/>
      <c r="SWM66" s="528"/>
      <c r="SWN66" s="528"/>
      <c r="SWO66" s="528"/>
      <c r="SWP66" s="528"/>
      <c r="SWQ66" s="528"/>
      <c r="SWR66" s="528"/>
      <c r="SWS66" s="528"/>
      <c r="SWT66" s="528"/>
      <c r="SWU66" s="528"/>
      <c r="SWV66" s="528"/>
      <c r="SWW66" s="528"/>
      <c r="SWX66" s="528"/>
      <c r="SWY66" s="528"/>
      <c r="SWZ66" s="528"/>
      <c r="SXA66" s="528"/>
      <c r="SXB66" s="528"/>
      <c r="SXC66" s="528"/>
      <c r="SXD66" s="528"/>
      <c r="SXE66" s="528"/>
      <c r="SXF66" s="528"/>
      <c r="SXG66" s="528"/>
      <c r="SXH66" s="528"/>
      <c r="SXI66" s="528"/>
      <c r="SXJ66" s="528"/>
      <c r="SXK66" s="528"/>
      <c r="SXL66" s="528"/>
      <c r="SXM66" s="528"/>
      <c r="SXN66" s="528"/>
      <c r="SXO66" s="528"/>
      <c r="SXP66" s="528"/>
      <c r="SXQ66" s="528"/>
      <c r="SXR66" s="528"/>
      <c r="SXS66" s="528"/>
      <c r="SXT66" s="528"/>
      <c r="SXU66" s="528"/>
      <c r="SXV66" s="528"/>
      <c r="SXW66" s="528"/>
      <c r="SXX66" s="528"/>
      <c r="SXY66" s="528"/>
      <c r="SXZ66" s="528"/>
      <c r="SYA66" s="528"/>
      <c r="SYB66" s="528"/>
      <c r="SYC66" s="528"/>
      <c r="SYD66" s="528"/>
      <c r="SYE66" s="528"/>
      <c r="SYF66" s="528"/>
      <c r="SYG66" s="528"/>
      <c r="SYH66" s="528"/>
      <c r="SYI66" s="528"/>
      <c r="SYJ66" s="528"/>
      <c r="SYK66" s="528"/>
      <c r="SYL66" s="528"/>
      <c r="SYM66" s="528"/>
      <c r="SYN66" s="528"/>
      <c r="SYO66" s="528"/>
      <c r="SYP66" s="528"/>
      <c r="SYQ66" s="528"/>
      <c r="SYR66" s="528"/>
      <c r="SYS66" s="528"/>
      <c r="SYT66" s="528"/>
      <c r="SYU66" s="528"/>
      <c r="SYV66" s="528"/>
      <c r="SYW66" s="528"/>
      <c r="SYX66" s="528"/>
      <c r="SYY66" s="528"/>
      <c r="SYZ66" s="528"/>
      <c r="SZA66" s="528"/>
      <c r="SZB66" s="528"/>
      <c r="SZC66" s="528"/>
      <c r="SZD66" s="528"/>
      <c r="SZE66" s="528"/>
      <c r="SZF66" s="528"/>
      <c r="SZG66" s="528"/>
      <c r="SZH66" s="528"/>
      <c r="SZI66" s="528"/>
      <c r="SZJ66" s="528"/>
      <c r="SZK66" s="528"/>
      <c r="SZL66" s="528"/>
      <c r="SZM66" s="528"/>
      <c r="SZN66" s="528"/>
      <c r="SZO66" s="528"/>
      <c r="SZP66" s="528"/>
      <c r="SZQ66" s="528"/>
      <c r="SZR66" s="528"/>
      <c r="SZS66" s="528"/>
      <c r="SZT66" s="528"/>
      <c r="SZU66" s="528"/>
      <c r="SZV66" s="528"/>
      <c r="SZW66" s="528"/>
      <c r="SZX66" s="528"/>
      <c r="SZY66" s="528"/>
      <c r="SZZ66" s="528"/>
      <c r="TAA66" s="528"/>
      <c r="TAB66" s="528"/>
      <c r="TAC66" s="528"/>
      <c r="TAD66" s="528"/>
      <c r="TAE66" s="528"/>
      <c r="TAF66" s="528"/>
      <c r="TAG66" s="528"/>
      <c r="TAH66" s="528"/>
      <c r="TAI66" s="528"/>
      <c r="TAJ66" s="528"/>
      <c r="TAK66" s="528"/>
      <c r="TAL66" s="528"/>
      <c r="TAM66" s="528"/>
      <c r="TAN66" s="528"/>
      <c r="TAO66" s="528"/>
      <c r="TAP66" s="528"/>
      <c r="TAQ66" s="528"/>
      <c r="TAR66" s="528"/>
      <c r="TAS66" s="528"/>
      <c r="TAT66" s="528"/>
      <c r="TAU66" s="528"/>
      <c r="TAV66" s="528"/>
      <c r="TAW66" s="528"/>
      <c r="TAX66" s="528"/>
      <c r="TAY66" s="528"/>
      <c r="TAZ66" s="528"/>
      <c r="TBA66" s="528"/>
      <c r="TBB66" s="528"/>
      <c r="TBC66" s="528"/>
      <c r="TBD66" s="528"/>
      <c r="TBE66" s="528"/>
      <c r="TBF66" s="528"/>
      <c r="TBG66" s="528"/>
      <c r="TBH66" s="528"/>
      <c r="TBI66" s="528"/>
      <c r="TBJ66" s="528"/>
      <c r="TBK66" s="528"/>
      <c r="TBL66" s="528"/>
      <c r="TBM66" s="528"/>
      <c r="TBN66" s="528"/>
      <c r="TBO66" s="528"/>
      <c r="TBP66" s="528"/>
      <c r="TBQ66" s="528"/>
      <c r="TBR66" s="528"/>
      <c r="TBS66" s="528"/>
      <c r="TBT66" s="528"/>
      <c r="TBU66" s="528"/>
      <c r="TBV66" s="528"/>
      <c r="TBW66" s="528"/>
      <c r="TBX66" s="528"/>
      <c r="TBY66" s="528"/>
      <c r="TBZ66" s="528"/>
      <c r="TCA66" s="528"/>
      <c r="TCB66" s="528"/>
      <c r="TCC66" s="528"/>
      <c r="TCD66" s="528"/>
      <c r="TCE66" s="528"/>
      <c r="TCF66" s="528"/>
      <c r="TCG66" s="528"/>
      <c r="TCH66" s="528"/>
      <c r="TCI66" s="528"/>
      <c r="TCJ66" s="528"/>
      <c r="TCK66" s="528"/>
      <c r="TCL66" s="528"/>
      <c r="TCM66" s="528"/>
      <c r="TCN66" s="528"/>
      <c r="TCO66" s="528"/>
      <c r="TCP66" s="528"/>
      <c r="TCQ66" s="528"/>
      <c r="TCR66" s="528"/>
      <c r="TCS66" s="528"/>
      <c r="TCT66" s="528"/>
      <c r="TCU66" s="528"/>
      <c r="TCV66" s="528"/>
      <c r="TCW66" s="528"/>
      <c r="TCX66" s="528"/>
      <c r="TCY66" s="528"/>
      <c r="TCZ66" s="528"/>
      <c r="TDA66" s="528"/>
      <c r="TDB66" s="528"/>
      <c r="TDC66" s="528"/>
      <c r="TDD66" s="528"/>
      <c r="TDE66" s="528"/>
      <c r="TDF66" s="528"/>
      <c r="TDG66" s="528"/>
      <c r="TDH66" s="528"/>
      <c r="TDI66" s="528"/>
      <c r="TDJ66" s="528"/>
      <c r="TDK66" s="528"/>
      <c r="TDL66" s="528"/>
      <c r="TDM66" s="528"/>
      <c r="TDN66" s="528"/>
      <c r="TDO66" s="528"/>
      <c r="TDP66" s="528"/>
      <c r="TDQ66" s="528"/>
      <c r="TDR66" s="528"/>
      <c r="TDS66" s="528"/>
      <c r="TDT66" s="528"/>
      <c r="TDU66" s="528"/>
      <c r="TDV66" s="528"/>
      <c r="TDW66" s="528"/>
      <c r="TDX66" s="528"/>
      <c r="TDY66" s="528"/>
      <c r="TDZ66" s="528"/>
      <c r="TEA66" s="528"/>
      <c r="TEB66" s="528"/>
      <c r="TEC66" s="528"/>
      <c r="TED66" s="528"/>
      <c r="TEE66" s="528"/>
      <c r="TEF66" s="528"/>
      <c r="TEG66" s="528"/>
      <c r="TEH66" s="528"/>
      <c r="TEI66" s="528"/>
      <c r="TEJ66" s="528"/>
      <c r="TEK66" s="528"/>
      <c r="TEL66" s="528"/>
      <c r="TEM66" s="528"/>
      <c r="TEN66" s="528"/>
      <c r="TEO66" s="528"/>
      <c r="TEP66" s="528"/>
      <c r="TEQ66" s="528"/>
      <c r="TER66" s="528"/>
      <c r="TES66" s="528"/>
      <c r="TET66" s="528"/>
      <c r="TEU66" s="528"/>
      <c r="TEV66" s="528"/>
      <c r="TEW66" s="528"/>
      <c r="TEX66" s="528"/>
      <c r="TEY66" s="528"/>
      <c r="TEZ66" s="528"/>
      <c r="TFA66" s="528"/>
      <c r="TFB66" s="528"/>
      <c r="TFC66" s="528"/>
      <c r="TFD66" s="528"/>
      <c r="TFE66" s="528"/>
      <c r="TFF66" s="528"/>
      <c r="TFG66" s="528"/>
      <c r="TFH66" s="528"/>
      <c r="TFI66" s="528"/>
      <c r="TFJ66" s="528"/>
      <c r="TFK66" s="528"/>
      <c r="TFL66" s="528"/>
      <c r="TFM66" s="528"/>
      <c r="TFN66" s="528"/>
      <c r="TFO66" s="528"/>
      <c r="TFP66" s="528"/>
      <c r="TFQ66" s="528"/>
      <c r="TFR66" s="528"/>
      <c r="TFS66" s="528"/>
      <c r="TFT66" s="528"/>
      <c r="TFU66" s="528"/>
      <c r="TFV66" s="528"/>
      <c r="TFW66" s="528"/>
      <c r="TFX66" s="528"/>
      <c r="TFY66" s="528"/>
      <c r="TFZ66" s="528"/>
      <c r="TGA66" s="528"/>
      <c r="TGB66" s="528"/>
      <c r="TGC66" s="528"/>
      <c r="TGD66" s="528"/>
      <c r="TGE66" s="528"/>
      <c r="TGF66" s="528"/>
      <c r="TGG66" s="528"/>
      <c r="TGH66" s="528"/>
      <c r="TGI66" s="528"/>
      <c r="TGJ66" s="528"/>
      <c r="TGK66" s="528"/>
      <c r="TGL66" s="528"/>
      <c r="TGM66" s="528"/>
      <c r="TGN66" s="528"/>
      <c r="TGO66" s="528"/>
      <c r="TGP66" s="528"/>
      <c r="TGQ66" s="528"/>
      <c r="TGR66" s="528"/>
      <c r="TGS66" s="528"/>
      <c r="TGT66" s="528"/>
      <c r="TGU66" s="528"/>
      <c r="TGV66" s="528"/>
      <c r="TGW66" s="528"/>
      <c r="TGX66" s="528"/>
      <c r="TGY66" s="528"/>
      <c r="TGZ66" s="528"/>
      <c r="THA66" s="528"/>
      <c r="THB66" s="528"/>
      <c r="THC66" s="528"/>
      <c r="THD66" s="528"/>
      <c r="THE66" s="528"/>
      <c r="THF66" s="528"/>
      <c r="THG66" s="528"/>
      <c r="THH66" s="528"/>
      <c r="THI66" s="528"/>
      <c r="THJ66" s="528"/>
      <c r="THK66" s="528"/>
      <c r="THL66" s="528"/>
      <c r="THM66" s="528"/>
      <c r="THN66" s="528"/>
      <c r="THO66" s="528"/>
      <c r="THP66" s="528"/>
      <c r="THQ66" s="528"/>
      <c r="THR66" s="528"/>
      <c r="THS66" s="528"/>
      <c r="THT66" s="528"/>
      <c r="THU66" s="528"/>
      <c r="THV66" s="528"/>
      <c r="THW66" s="528"/>
      <c r="THX66" s="528"/>
      <c r="THY66" s="528"/>
      <c r="THZ66" s="528"/>
      <c r="TIA66" s="528"/>
      <c r="TIB66" s="528"/>
      <c r="TIC66" s="528"/>
      <c r="TID66" s="528"/>
      <c r="TIE66" s="528"/>
      <c r="TIF66" s="528"/>
      <c r="TIG66" s="528"/>
      <c r="TIH66" s="528"/>
      <c r="TII66" s="528"/>
      <c r="TIJ66" s="528"/>
      <c r="TIK66" s="528"/>
      <c r="TIL66" s="528"/>
      <c r="TIM66" s="528"/>
      <c r="TIN66" s="528"/>
      <c r="TIO66" s="528"/>
      <c r="TIP66" s="528"/>
      <c r="TIQ66" s="528"/>
      <c r="TIR66" s="528"/>
      <c r="TIS66" s="528"/>
      <c r="TIT66" s="528"/>
      <c r="TIU66" s="528"/>
      <c r="TIV66" s="528"/>
      <c r="TIW66" s="528"/>
      <c r="TIX66" s="528"/>
      <c r="TIY66" s="528"/>
      <c r="TIZ66" s="528"/>
      <c r="TJA66" s="528"/>
      <c r="TJB66" s="528"/>
      <c r="TJC66" s="528"/>
      <c r="TJD66" s="528"/>
      <c r="TJE66" s="528"/>
      <c r="TJF66" s="528"/>
      <c r="TJG66" s="528"/>
      <c r="TJH66" s="528"/>
      <c r="TJI66" s="528"/>
      <c r="TJJ66" s="528"/>
      <c r="TJK66" s="528"/>
      <c r="TJL66" s="528"/>
      <c r="TJM66" s="528"/>
      <c r="TJN66" s="528"/>
      <c r="TJO66" s="528"/>
      <c r="TJP66" s="528"/>
      <c r="TJQ66" s="528"/>
      <c r="TJR66" s="528"/>
      <c r="TJS66" s="528"/>
      <c r="TJT66" s="528"/>
      <c r="TJU66" s="528"/>
      <c r="TJV66" s="528"/>
      <c r="TJW66" s="528"/>
      <c r="TJX66" s="528"/>
      <c r="TJY66" s="528"/>
      <c r="TJZ66" s="528"/>
      <c r="TKA66" s="528"/>
      <c r="TKB66" s="528"/>
      <c r="TKC66" s="528"/>
      <c r="TKD66" s="528"/>
      <c r="TKE66" s="528"/>
      <c r="TKF66" s="528"/>
      <c r="TKG66" s="528"/>
      <c r="TKH66" s="528"/>
      <c r="TKI66" s="528"/>
      <c r="TKJ66" s="528"/>
      <c r="TKK66" s="528"/>
      <c r="TKL66" s="528"/>
      <c r="TKM66" s="528"/>
      <c r="TKN66" s="528"/>
      <c r="TKO66" s="528"/>
      <c r="TKP66" s="528"/>
      <c r="TKQ66" s="528"/>
      <c r="TKR66" s="528"/>
      <c r="TKS66" s="528"/>
      <c r="TKT66" s="528"/>
      <c r="TKU66" s="528"/>
      <c r="TKV66" s="528"/>
      <c r="TKW66" s="528"/>
      <c r="TKX66" s="528"/>
      <c r="TKY66" s="528"/>
      <c r="TKZ66" s="528"/>
      <c r="TLA66" s="528"/>
      <c r="TLB66" s="528"/>
      <c r="TLC66" s="528"/>
      <c r="TLD66" s="528"/>
      <c r="TLE66" s="528"/>
      <c r="TLF66" s="528"/>
      <c r="TLG66" s="528"/>
      <c r="TLH66" s="528"/>
      <c r="TLI66" s="528"/>
      <c r="TLJ66" s="528"/>
      <c r="TLK66" s="528"/>
      <c r="TLL66" s="528"/>
      <c r="TLM66" s="528"/>
      <c r="TLN66" s="528"/>
      <c r="TLO66" s="528"/>
      <c r="TLP66" s="528"/>
      <c r="TLQ66" s="528"/>
      <c r="TLR66" s="528"/>
      <c r="TLS66" s="528"/>
      <c r="TLT66" s="528"/>
      <c r="TLU66" s="528"/>
      <c r="TLV66" s="528"/>
      <c r="TLW66" s="528"/>
      <c r="TLX66" s="528"/>
      <c r="TLY66" s="528"/>
      <c r="TLZ66" s="528"/>
      <c r="TMA66" s="528"/>
      <c r="TMB66" s="528"/>
      <c r="TMC66" s="528"/>
      <c r="TMD66" s="528"/>
      <c r="TME66" s="528"/>
      <c r="TMF66" s="528"/>
      <c r="TMG66" s="528"/>
      <c r="TMH66" s="528"/>
      <c r="TMI66" s="528"/>
      <c r="TMJ66" s="528"/>
      <c r="TMK66" s="528"/>
      <c r="TML66" s="528"/>
      <c r="TMM66" s="528"/>
      <c r="TMN66" s="528"/>
      <c r="TMO66" s="528"/>
      <c r="TMP66" s="528"/>
      <c r="TMQ66" s="528"/>
      <c r="TMR66" s="528"/>
      <c r="TMS66" s="528"/>
      <c r="TMT66" s="528"/>
      <c r="TMU66" s="528"/>
      <c r="TMV66" s="528"/>
      <c r="TMW66" s="528"/>
      <c r="TMX66" s="528"/>
      <c r="TMY66" s="528"/>
      <c r="TMZ66" s="528"/>
      <c r="TNA66" s="528"/>
      <c r="TNB66" s="528"/>
      <c r="TNC66" s="528"/>
      <c r="TND66" s="528"/>
      <c r="TNE66" s="528"/>
      <c r="TNF66" s="528"/>
      <c r="TNG66" s="528"/>
      <c r="TNH66" s="528"/>
      <c r="TNI66" s="528"/>
      <c r="TNJ66" s="528"/>
      <c r="TNK66" s="528"/>
      <c r="TNL66" s="528"/>
      <c r="TNM66" s="528"/>
      <c r="TNN66" s="528"/>
      <c r="TNO66" s="528"/>
      <c r="TNP66" s="528"/>
      <c r="TNQ66" s="528"/>
      <c r="TNR66" s="528"/>
      <c r="TNS66" s="528"/>
      <c r="TNT66" s="528"/>
      <c r="TNU66" s="528"/>
      <c r="TNV66" s="528"/>
      <c r="TNW66" s="528"/>
      <c r="TNX66" s="528"/>
      <c r="TNY66" s="528"/>
      <c r="TNZ66" s="528"/>
      <c r="TOA66" s="528"/>
      <c r="TOB66" s="528"/>
      <c r="TOC66" s="528"/>
      <c r="TOD66" s="528"/>
      <c r="TOE66" s="528"/>
      <c r="TOF66" s="528"/>
      <c r="TOG66" s="528"/>
      <c r="TOH66" s="528"/>
      <c r="TOI66" s="528"/>
      <c r="TOJ66" s="528"/>
      <c r="TOK66" s="528"/>
      <c r="TOL66" s="528"/>
      <c r="TOM66" s="528"/>
      <c r="TON66" s="528"/>
      <c r="TOO66" s="528"/>
      <c r="TOP66" s="528"/>
      <c r="TOQ66" s="528"/>
      <c r="TOR66" s="528"/>
      <c r="TOS66" s="528"/>
      <c r="TOT66" s="528"/>
      <c r="TOU66" s="528"/>
      <c r="TOV66" s="528"/>
      <c r="TOW66" s="528"/>
      <c r="TOX66" s="528"/>
      <c r="TOY66" s="528"/>
      <c r="TOZ66" s="528"/>
      <c r="TPA66" s="528"/>
      <c r="TPB66" s="528"/>
      <c r="TPC66" s="528"/>
      <c r="TPD66" s="528"/>
      <c r="TPE66" s="528"/>
      <c r="TPF66" s="528"/>
      <c r="TPG66" s="528"/>
      <c r="TPH66" s="528"/>
      <c r="TPI66" s="528"/>
      <c r="TPJ66" s="528"/>
      <c r="TPK66" s="528"/>
      <c r="TPL66" s="528"/>
      <c r="TPM66" s="528"/>
      <c r="TPN66" s="528"/>
      <c r="TPO66" s="528"/>
      <c r="TPP66" s="528"/>
      <c r="TPQ66" s="528"/>
      <c r="TPR66" s="528"/>
      <c r="TPS66" s="528"/>
      <c r="TPT66" s="528"/>
      <c r="TPU66" s="528"/>
      <c r="TPV66" s="528"/>
      <c r="TPW66" s="528"/>
      <c r="TPX66" s="528"/>
      <c r="TPY66" s="528"/>
      <c r="TPZ66" s="528"/>
      <c r="TQA66" s="528"/>
      <c r="TQB66" s="528"/>
      <c r="TQC66" s="528"/>
      <c r="TQD66" s="528"/>
      <c r="TQE66" s="528"/>
      <c r="TQF66" s="528"/>
      <c r="TQG66" s="528"/>
      <c r="TQH66" s="528"/>
      <c r="TQI66" s="528"/>
      <c r="TQJ66" s="528"/>
      <c r="TQK66" s="528"/>
      <c r="TQL66" s="528"/>
      <c r="TQM66" s="528"/>
      <c r="TQN66" s="528"/>
      <c r="TQO66" s="528"/>
      <c r="TQP66" s="528"/>
      <c r="TQQ66" s="528"/>
      <c r="TQR66" s="528"/>
      <c r="TQS66" s="528"/>
      <c r="TQT66" s="528"/>
      <c r="TQU66" s="528"/>
      <c r="TQV66" s="528"/>
      <c r="TQW66" s="528"/>
      <c r="TQX66" s="528"/>
      <c r="TQY66" s="528"/>
      <c r="TQZ66" s="528"/>
      <c r="TRA66" s="528"/>
      <c r="TRB66" s="528"/>
      <c r="TRC66" s="528"/>
      <c r="TRD66" s="528"/>
      <c r="TRE66" s="528"/>
      <c r="TRF66" s="528"/>
      <c r="TRG66" s="528"/>
      <c r="TRH66" s="528"/>
      <c r="TRI66" s="528"/>
      <c r="TRJ66" s="528"/>
      <c r="TRK66" s="528"/>
      <c r="TRL66" s="528"/>
      <c r="TRM66" s="528"/>
      <c r="TRN66" s="528"/>
      <c r="TRO66" s="528"/>
      <c r="TRP66" s="528"/>
      <c r="TRQ66" s="528"/>
      <c r="TRR66" s="528"/>
      <c r="TRS66" s="528"/>
      <c r="TRT66" s="528"/>
      <c r="TRU66" s="528"/>
      <c r="TRV66" s="528"/>
      <c r="TRW66" s="528"/>
      <c r="TRX66" s="528"/>
      <c r="TRY66" s="528"/>
      <c r="TRZ66" s="528"/>
      <c r="TSA66" s="528"/>
      <c r="TSB66" s="528"/>
      <c r="TSC66" s="528"/>
      <c r="TSD66" s="528"/>
      <c r="TSE66" s="528"/>
      <c r="TSF66" s="528"/>
      <c r="TSG66" s="528"/>
      <c r="TSH66" s="528"/>
      <c r="TSI66" s="528"/>
      <c r="TSJ66" s="528"/>
      <c r="TSK66" s="528"/>
      <c r="TSL66" s="528"/>
      <c r="TSM66" s="528"/>
      <c r="TSN66" s="528"/>
      <c r="TSO66" s="528"/>
      <c r="TSP66" s="528"/>
      <c r="TSQ66" s="528"/>
      <c r="TSR66" s="528"/>
      <c r="TSS66" s="528"/>
      <c r="TST66" s="528"/>
      <c r="TSU66" s="528"/>
      <c r="TSV66" s="528"/>
      <c r="TSW66" s="528"/>
      <c r="TSX66" s="528"/>
      <c r="TSY66" s="528"/>
      <c r="TSZ66" s="528"/>
      <c r="TTA66" s="528"/>
      <c r="TTB66" s="528"/>
      <c r="TTC66" s="528"/>
      <c r="TTD66" s="528"/>
      <c r="TTE66" s="528"/>
      <c r="TTF66" s="528"/>
      <c r="TTG66" s="528"/>
      <c r="TTH66" s="528"/>
      <c r="TTI66" s="528"/>
      <c r="TTJ66" s="528"/>
      <c r="TTK66" s="528"/>
      <c r="TTL66" s="528"/>
      <c r="TTM66" s="528"/>
      <c r="TTN66" s="528"/>
      <c r="TTO66" s="528"/>
      <c r="TTP66" s="528"/>
      <c r="TTQ66" s="528"/>
      <c r="TTR66" s="528"/>
      <c r="TTS66" s="528"/>
      <c r="TTT66" s="528"/>
      <c r="TTU66" s="528"/>
      <c r="TTV66" s="528"/>
      <c r="TTW66" s="528"/>
      <c r="TTX66" s="528"/>
      <c r="TTY66" s="528"/>
      <c r="TTZ66" s="528"/>
      <c r="TUA66" s="528"/>
      <c r="TUB66" s="528"/>
      <c r="TUC66" s="528"/>
      <c r="TUD66" s="528"/>
      <c r="TUE66" s="528"/>
      <c r="TUF66" s="528"/>
      <c r="TUG66" s="528"/>
      <c r="TUH66" s="528"/>
      <c r="TUI66" s="528"/>
      <c r="TUJ66" s="528"/>
      <c r="TUK66" s="528"/>
      <c r="TUL66" s="528"/>
      <c r="TUM66" s="528"/>
      <c r="TUN66" s="528"/>
      <c r="TUO66" s="528"/>
      <c r="TUP66" s="528"/>
      <c r="TUQ66" s="528"/>
      <c r="TUR66" s="528"/>
      <c r="TUS66" s="528"/>
      <c r="TUT66" s="528"/>
      <c r="TUU66" s="528"/>
      <c r="TUV66" s="528"/>
      <c r="TUW66" s="528"/>
      <c r="TUX66" s="528"/>
      <c r="TUY66" s="528"/>
      <c r="TUZ66" s="528"/>
      <c r="TVA66" s="528"/>
      <c r="TVB66" s="528"/>
      <c r="TVC66" s="528"/>
      <c r="TVD66" s="528"/>
      <c r="TVE66" s="528"/>
      <c r="TVF66" s="528"/>
      <c r="TVG66" s="528"/>
      <c r="TVH66" s="528"/>
      <c r="TVI66" s="528"/>
      <c r="TVJ66" s="528"/>
      <c r="TVK66" s="528"/>
      <c r="TVL66" s="528"/>
      <c r="TVM66" s="528"/>
      <c r="TVN66" s="528"/>
      <c r="TVO66" s="528"/>
      <c r="TVP66" s="528"/>
      <c r="TVQ66" s="528"/>
      <c r="TVR66" s="528"/>
      <c r="TVS66" s="528"/>
      <c r="TVT66" s="528"/>
      <c r="TVU66" s="528"/>
      <c r="TVV66" s="528"/>
      <c r="TVW66" s="528"/>
      <c r="TVX66" s="528"/>
      <c r="TVY66" s="528"/>
      <c r="TVZ66" s="528"/>
      <c r="TWA66" s="528"/>
      <c r="TWB66" s="528"/>
      <c r="TWC66" s="528"/>
      <c r="TWD66" s="528"/>
      <c r="TWE66" s="528"/>
      <c r="TWF66" s="528"/>
      <c r="TWG66" s="528"/>
      <c r="TWH66" s="528"/>
      <c r="TWI66" s="528"/>
      <c r="TWJ66" s="528"/>
      <c r="TWK66" s="528"/>
      <c r="TWL66" s="528"/>
      <c r="TWM66" s="528"/>
      <c r="TWN66" s="528"/>
      <c r="TWO66" s="528"/>
      <c r="TWP66" s="528"/>
      <c r="TWQ66" s="528"/>
      <c r="TWR66" s="528"/>
      <c r="TWS66" s="528"/>
      <c r="TWT66" s="528"/>
      <c r="TWU66" s="528"/>
      <c r="TWV66" s="528"/>
      <c r="TWW66" s="528"/>
      <c r="TWX66" s="528"/>
      <c r="TWY66" s="528"/>
      <c r="TWZ66" s="528"/>
      <c r="TXA66" s="528"/>
      <c r="TXB66" s="528"/>
      <c r="TXC66" s="528"/>
      <c r="TXD66" s="528"/>
      <c r="TXE66" s="528"/>
      <c r="TXF66" s="528"/>
      <c r="TXG66" s="528"/>
      <c r="TXH66" s="528"/>
      <c r="TXI66" s="528"/>
      <c r="TXJ66" s="528"/>
      <c r="TXK66" s="528"/>
      <c r="TXL66" s="528"/>
      <c r="TXM66" s="528"/>
      <c r="TXN66" s="528"/>
      <c r="TXO66" s="528"/>
      <c r="TXP66" s="528"/>
      <c r="TXQ66" s="528"/>
      <c r="TXR66" s="528"/>
      <c r="TXS66" s="528"/>
      <c r="TXT66" s="528"/>
      <c r="TXU66" s="528"/>
      <c r="TXV66" s="528"/>
      <c r="TXW66" s="528"/>
      <c r="TXX66" s="528"/>
      <c r="TXY66" s="528"/>
      <c r="TXZ66" s="528"/>
      <c r="TYA66" s="528"/>
      <c r="TYB66" s="528"/>
      <c r="TYC66" s="528"/>
      <c r="TYD66" s="528"/>
      <c r="TYE66" s="528"/>
      <c r="TYF66" s="528"/>
      <c r="TYG66" s="528"/>
      <c r="TYH66" s="528"/>
      <c r="TYI66" s="528"/>
      <c r="TYJ66" s="528"/>
      <c r="TYK66" s="528"/>
      <c r="TYL66" s="528"/>
      <c r="TYM66" s="528"/>
      <c r="TYN66" s="528"/>
      <c r="TYO66" s="528"/>
      <c r="TYP66" s="528"/>
      <c r="TYQ66" s="528"/>
      <c r="TYR66" s="528"/>
      <c r="TYS66" s="528"/>
      <c r="TYT66" s="528"/>
      <c r="TYU66" s="528"/>
      <c r="TYV66" s="528"/>
      <c r="TYW66" s="528"/>
      <c r="TYX66" s="528"/>
      <c r="TYY66" s="528"/>
      <c r="TYZ66" s="528"/>
      <c r="TZA66" s="528"/>
      <c r="TZB66" s="528"/>
      <c r="TZC66" s="528"/>
      <c r="TZD66" s="528"/>
      <c r="TZE66" s="528"/>
      <c r="TZF66" s="528"/>
      <c r="TZG66" s="528"/>
      <c r="TZH66" s="528"/>
      <c r="TZI66" s="528"/>
      <c r="TZJ66" s="528"/>
      <c r="TZK66" s="528"/>
      <c r="TZL66" s="528"/>
      <c r="TZM66" s="528"/>
      <c r="TZN66" s="528"/>
      <c r="TZO66" s="528"/>
      <c r="TZP66" s="528"/>
      <c r="TZQ66" s="528"/>
      <c r="TZR66" s="528"/>
      <c r="TZS66" s="528"/>
      <c r="TZT66" s="528"/>
      <c r="TZU66" s="528"/>
      <c r="TZV66" s="528"/>
      <c r="TZW66" s="528"/>
      <c r="TZX66" s="528"/>
      <c r="TZY66" s="528"/>
      <c r="TZZ66" s="528"/>
      <c r="UAA66" s="528"/>
      <c r="UAB66" s="528"/>
      <c r="UAC66" s="528"/>
      <c r="UAD66" s="528"/>
      <c r="UAE66" s="528"/>
      <c r="UAF66" s="528"/>
      <c r="UAG66" s="528"/>
      <c r="UAH66" s="528"/>
      <c r="UAI66" s="528"/>
      <c r="UAJ66" s="528"/>
      <c r="UAK66" s="528"/>
      <c r="UAL66" s="528"/>
      <c r="UAM66" s="528"/>
      <c r="UAN66" s="528"/>
      <c r="UAO66" s="528"/>
      <c r="UAP66" s="528"/>
      <c r="UAQ66" s="528"/>
      <c r="UAR66" s="528"/>
      <c r="UAS66" s="528"/>
      <c r="UAT66" s="528"/>
      <c r="UAU66" s="528"/>
      <c r="UAV66" s="528"/>
      <c r="UAW66" s="528"/>
      <c r="UAX66" s="528"/>
      <c r="UAY66" s="528"/>
      <c r="UAZ66" s="528"/>
      <c r="UBA66" s="528"/>
      <c r="UBB66" s="528"/>
      <c r="UBC66" s="528"/>
      <c r="UBD66" s="528"/>
      <c r="UBE66" s="528"/>
      <c r="UBF66" s="528"/>
      <c r="UBG66" s="528"/>
      <c r="UBH66" s="528"/>
      <c r="UBI66" s="528"/>
      <c r="UBJ66" s="528"/>
      <c r="UBK66" s="528"/>
      <c r="UBL66" s="528"/>
      <c r="UBM66" s="528"/>
      <c r="UBN66" s="528"/>
      <c r="UBO66" s="528"/>
      <c r="UBP66" s="528"/>
      <c r="UBQ66" s="528"/>
      <c r="UBR66" s="528"/>
      <c r="UBS66" s="528"/>
      <c r="UBT66" s="528"/>
      <c r="UBU66" s="528"/>
      <c r="UBV66" s="528"/>
      <c r="UBW66" s="528"/>
      <c r="UBX66" s="528"/>
      <c r="UBY66" s="528"/>
      <c r="UBZ66" s="528"/>
      <c r="UCA66" s="528"/>
      <c r="UCB66" s="528"/>
      <c r="UCC66" s="528"/>
      <c r="UCD66" s="528"/>
      <c r="UCE66" s="528"/>
      <c r="UCF66" s="528"/>
      <c r="UCG66" s="528"/>
      <c r="UCH66" s="528"/>
      <c r="UCI66" s="528"/>
      <c r="UCJ66" s="528"/>
      <c r="UCK66" s="528"/>
      <c r="UCL66" s="528"/>
      <c r="UCM66" s="528"/>
      <c r="UCN66" s="528"/>
      <c r="UCO66" s="528"/>
      <c r="UCP66" s="528"/>
      <c r="UCQ66" s="528"/>
      <c r="UCR66" s="528"/>
      <c r="UCS66" s="528"/>
      <c r="UCT66" s="528"/>
      <c r="UCU66" s="528"/>
      <c r="UCV66" s="528"/>
      <c r="UCW66" s="528"/>
      <c r="UCX66" s="528"/>
      <c r="UCY66" s="528"/>
      <c r="UCZ66" s="528"/>
      <c r="UDA66" s="528"/>
      <c r="UDB66" s="528"/>
      <c r="UDC66" s="528"/>
      <c r="UDD66" s="528"/>
      <c r="UDE66" s="528"/>
      <c r="UDF66" s="528"/>
      <c r="UDG66" s="528"/>
      <c r="UDH66" s="528"/>
      <c r="UDI66" s="528"/>
      <c r="UDJ66" s="528"/>
      <c r="UDK66" s="528"/>
      <c r="UDL66" s="528"/>
      <c r="UDM66" s="528"/>
      <c r="UDN66" s="528"/>
      <c r="UDO66" s="528"/>
      <c r="UDP66" s="528"/>
      <c r="UDQ66" s="528"/>
      <c r="UDR66" s="528"/>
      <c r="UDS66" s="528"/>
      <c r="UDT66" s="528"/>
      <c r="UDU66" s="528"/>
      <c r="UDV66" s="528"/>
      <c r="UDW66" s="528"/>
      <c r="UDX66" s="528"/>
      <c r="UDY66" s="528"/>
      <c r="UDZ66" s="528"/>
      <c r="UEA66" s="528"/>
      <c r="UEB66" s="528"/>
      <c r="UEC66" s="528"/>
      <c r="UED66" s="528"/>
      <c r="UEE66" s="528"/>
      <c r="UEF66" s="528"/>
      <c r="UEG66" s="528"/>
      <c r="UEH66" s="528"/>
      <c r="UEI66" s="528"/>
      <c r="UEJ66" s="528"/>
      <c r="UEK66" s="528"/>
      <c r="UEL66" s="528"/>
      <c r="UEM66" s="528"/>
      <c r="UEN66" s="528"/>
      <c r="UEO66" s="528"/>
      <c r="UEP66" s="528"/>
      <c r="UEQ66" s="528"/>
      <c r="UER66" s="528"/>
      <c r="UES66" s="528"/>
      <c r="UET66" s="528"/>
      <c r="UEU66" s="528"/>
      <c r="UEV66" s="528"/>
      <c r="UEW66" s="528"/>
      <c r="UEX66" s="528"/>
      <c r="UEY66" s="528"/>
      <c r="UEZ66" s="528"/>
      <c r="UFA66" s="528"/>
      <c r="UFB66" s="528"/>
      <c r="UFC66" s="528"/>
      <c r="UFD66" s="528"/>
      <c r="UFE66" s="528"/>
      <c r="UFF66" s="528"/>
      <c r="UFG66" s="528"/>
      <c r="UFH66" s="528"/>
      <c r="UFI66" s="528"/>
      <c r="UFJ66" s="528"/>
      <c r="UFK66" s="528"/>
      <c r="UFL66" s="528"/>
      <c r="UFM66" s="528"/>
      <c r="UFN66" s="528"/>
      <c r="UFO66" s="528"/>
      <c r="UFP66" s="528"/>
      <c r="UFQ66" s="528"/>
      <c r="UFR66" s="528"/>
      <c r="UFS66" s="528"/>
      <c r="UFT66" s="528"/>
      <c r="UFU66" s="528"/>
      <c r="UFV66" s="528"/>
      <c r="UFW66" s="528"/>
      <c r="UFX66" s="528"/>
      <c r="UFY66" s="528"/>
      <c r="UFZ66" s="528"/>
      <c r="UGA66" s="528"/>
      <c r="UGB66" s="528"/>
      <c r="UGC66" s="528"/>
      <c r="UGD66" s="528"/>
      <c r="UGE66" s="528"/>
      <c r="UGF66" s="528"/>
      <c r="UGG66" s="528"/>
      <c r="UGH66" s="528"/>
      <c r="UGI66" s="528"/>
      <c r="UGJ66" s="528"/>
      <c r="UGK66" s="528"/>
      <c r="UGL66" s="528"/>
      <c r="UGM66" s="528"/>
      <c r="UGN66" s="528"/>
      <c r="UGO66" s="528"/>
      <c r="UGP66" s="528"/>
      <c r="UGQ66" s="528"/>
      <c r="UGR66" s="528"/>
      <c r="UGS66" s="528"/>
      <c r="UGT66" s="528"/>
      <c r="UGU66" s="528"/>
      <c r="UGV66" s="528"/>
      <c r="UGW66" s="528"/>
      <c r="UGX66" s="528"/>
      <c r="UGY66" s="528"/>
      <c r="UGZ66" s="528"/>
      <c r="UHA66" s="528"/>
      <c r="UHB66" s="528"/>
      <c r="UHC66" s="528"/>
      <c r="UHD66" s="528"/>
      <c r="UHE66" s="528"/>
      <c r="UHF66" s="528"/>
      <c r="UHG66" s="528"/>
      <c r="UHH66" s="528"/>
      <c r="UHI66" s="528"/>
      <c r="UHJ66" s="528"/>
      <c r="UHK66" s="528"/>
      <c r="UHL66" s="528"/>
      <c r="UHM66" s="528"/>
      <c r="UHN66" s="528"/>
      <c r="UHO66" s="528"/>
      <c r="UHP66" s="528"/>
      <c r="UHQ66" s="528"/>
      <c r="UHR66" s="528"/>
      <c r="UHS66" s="528"/>
      <c r="UHT66" s="528"/>
      <c r="UHU66" s="528"/>
      <c r="UHV66" s="528"/>
      <c r="UHW66" s="528"/>
      <c r="UHX66" s="528"/>
      <c r="UHY66" s="528"/>
      <c r="UHZ66" s="528"/>
      <c r="UIA66" s="528"/>
      <c r="UIB66" s="528"/>
      <c r="UIC66" s="528"/>
      <c r="UID66" s="528"/>
      <c r="UIE66" s="528"/>
      <c r="UIF66" s="528"/>
      <c r="UIG66" s="528"/>
      <c r="UIH66" s="528"/>
      <c r="UII66" s="528"/>
      <c r="UIJ66" s="528"/>
      <c r="UIK66" s="528"/>
      <c r="UIL66" s="528"/>
      <c r="UIM66" s="528"/>
      <c r="UIN66" s="528"/>
      <c r="UIO66" s="528"/>
      <c r="UIP66" s="528"/>
      <c r="UIQ66" s="528"/>
      <c r="UIR66" s="528"/>
      <c r="UIS66" s="528"/>
      <c r="UIT66" s="528"/>
      <c r="UIU66" s="528"/>
      <c r="UIV66" s="528"/>
      <c r="UIW66" s="528"/>
      <c r="UIX66" s="528"/>
      <c r="UIY66" s="528"/>
      <c r="UIZ66" s="528"/>
      <c r="UJA66" s="528"/>
      <c r="UJB66" s="528"/>
      <c r="UJC66" s="528"/>
      <c r="UJD66" s="528"/>
      <c r="UJE66" s="528"/>
      <c r="UJF66" s="528"/>
      <c r="UJG66" s="528"/>
      <c r="UJH66" s="528"/>
      <c r="UJI66" s="528"/>
      <c r="UJJ66" s="528"/>
      <c r="UJK66" s="528"/>
      <c r="UJL66" s="528"/>
      <c r="UJM66" s="528"/>
      <c r="UJN66" s="528"/>
      <c r="UJO66" s="528"/>
      <c r="UJP66" s="528"/>
      <c r="UJQ66" s="528"/>
      <c r="UJR66" s="528"/>
      <c r="UJS66" s="528"/>
      <c r="UJT66" s="528"/>
      <c r="UJU66" s="528"/>
      <c r="UJV66" s="528"/>
      <c r="UJW66" s="528"/>
      <c r="UJX66" s="528"/>
      <c r="UJY66" s="528"/>
      <c r="UJZ66" s="528"/>
      <c r="UKA66" s="528"/>
      <c r="UKB66" s="528"/>
      <c r="UKC66" s="528"/>
      <c r="UKD66" s="528"/>
      <c r="UKE66" s="528"/>
      <c r="UKF66" s="528"/>
      <c r="UKG66" s="528"/>
      <c r="UKH66" s="528"/>
      <c r="UKI66" s="528"/>
      <c r="UKJ66" s="528"/>
      <c r="UKK66" s="528"/>
      <c r="UKL66" s="528"/>
      <c r="UKM66" s="528"/>
      <c r="UKN66" s="528"/>
      <c r="UKO66" s="528"/>
      <c r="UKP66" s="528"/>
      <c r="UKQ66" s="528"/>
      <c r="UKR66" s="528"/>
      <c r="UKS66" s="528"/>
      <c r="UKT66" s="528"/>
      <c r="UKU66" s="528"/>
      <c r="UKV66" s="528"/>
      <c r="UKW66" s="528"/>
      <c r="UKX66" s="528"/>
      <c r="UKY66" s="528"/>
      <c r="UKZ66" s="528"/>
      <c r="ULA66" s="528"/>
      <c r="ULB66" s="528"/>
      <c r="ULC66" s="528"/>
      <c r="ULD66" s="528"/>
      <c r="ULE66" s="528"/>
      <c r="ULF66" s="528"/>
      <c r="ULG66" s="528"/>
      <c r="ULH66" s="528"/>
      <c r="ULI66" s="528"/>
      <c r="ULJ66" s="528"/>
      <c r="ULK66" s="528"/>
      <c r="ULL66" s="528"/>
      <c r="ULM66" s="528"/>
      <c r="ULN66" s="528"/>
      <c r="ULO66" s="528"/>
      <c r="ULP66" s="528"/>
      <c r="ULQ66" s="528"/>
      <c r="ULR66" s="528"/>
      <c r="ULS66" s="528"/>
      <c r="ULT66" s="528"/>
      <c r="ULU66" s="528"/>
      <c r="ULV66" s="528"/>
      <c r="ULW66" s="528"/>
      <c r="ULX66" s="528"/>
      <c r="ULY66" s="528"/>
      <c r="ULZ66" s="528"/>
      <c r="UMA66" s="528"/>
      <c r="UMB66" s="528"/>
      <c r="UMC66" s="528"/>
      <c r="UMD66" s="528"/>
      <c r="UME66" s="528"/>
      <c r="UMF66" s="528"/>
      <c r="UMG66" s="528"/>
      <c r="UMH66" s="528"/>
      <c r="UMI66" s="528"/>
      <c r="UMJ66" s="528"/>
      <c r="UMK66" s="528"/>
      <c r="UML66" s="528"/>
      <c r="UMM66" s="528"/>
      <c r="UMN66" s="528"/>
      <c r="UMO66" s="528"/>
      <c r="UMP66" s="528"/>
      <c r="UMQ66" s="528"/>
      <c r="UMR66" s="528"/>
      <c r="UMS66" s="528"/>
      <c r="UMT66" s="528"/>
      <c r="UMU66" s="528"/>
      <c r="UMV66" s="528"/>
      <c r="UMW66" s="528"/>
      <c r="UMX66" s="528"/>
      <c r="UMY66" s="528"/>
      <c r="UMZ66" s="528"/>
      <c r="UNA66" s="528"/>
      <c r="UNB66" s="528"/>
      <c r="UNC66" s="528"/>
      <c r="UND66" s="528"/>
      <c r="UNE66" s="528"/>
      <c r="UNF66" s="528"/>
      <c r="UNG66" s="528"/>
      <c r="UNH66" s="528"/>
      <c r="UNI66" s="528"/>
      <c r="UNJ66" s="528"/>
      <c r="UNK66" s="528"/>
      <c r="UNL66" s="528"/>
      <c r="UNM66" s="528"/>
      <c r="UNN66" s="528"/>
      <c r="UNO66" s="528"/>
      <c r="UNP66" s="528"/>
      <c r="UNQ66" s="528"/>
      <c r="UNR66" s="528"/>
      <c r="UNS66" s="528"/>
      <c r="UNT66" s="528"/>
      <c r="UNU66" s="528"/>
      <c r="UNV66" s="528"/>
      <c r="UNW66" s="528"/>
      <c r="UNX66" s="528"/>
      <c r="UNY66" s="528"/>
      <c r="UNZ66" s="528"/>
      <c r="UOA66" s="528"/>
      <c r="UOB66" s="528"/>
      <c r="UOC66" s="528"/>
      <c r="UOD66" s="528"/>
      <c r="UOE66" s="528"/>
      <c r="UOF66" s="528"/>
      <c r="UOG66" s="528"/>
      <c r="UOH66" s="528"/>
      <c r="UOI66" s="528"/>
      <c r="UOJ66" s="528"/>
      <c r="UOK66" s="528"/>
      <c r="UOL66" s="528"/>
      <c r="UOM66" s="528"/>
      <c r="UON66" s="528"/>
      <c r="UOO66" s="528"/>
      <c r="UOP66" s="528"/>
      <c r="UOQ66" s="528"/>
      <c r="UOR66" s="528"/>
      <c r="UOS66" s="528"/>
      <c r="UOT66" s="528"/>
      <c r="UOU66" s="528"/>
      <c r="UOV66" s="528"/>
      <c r="UOW66" s="528"/>
      <c r="UOX66" s="528"/>
      <c r="UOY66" s="528"/>
      <c r="UOZ66" s="528"/>
      <c r="UPA66" s="528"/>
      <c r="UPB66" s="528"/>
      <c r="UPC66" s="528"/>
      <c r="UPD66" s="528"/>
      <c r="UPE66" s="528"/>
      <c r="UPF66" s="528"/>
      <c r="UPG66" s="528"/>
      <c r="UPH66" s="528"/>
      <c r="UPI66" s="528"/>
      <c r="UPJ66" s="528"/>
      <c r="UPK66" s="528"/>
      <c r="UPL66" s="528"/>
      <c r="UPM66" s="528"/>
      <c r="UPN66" s="528"/>
      <c r="UPO66" s="528"/>
      <c r="UPP66" s="528"/>
      <c r="UPQ66" s="528"/>
      <c r="UPR66" s="528"/>
      <c r="UPS66" s="528"/>
      <c r="UPT66" s="528"/>
      <c r="UPU66" s="528"/>
      <c r="UPV66" s="528"/>
      <c r="UPW66" s="528"/>
      <c r="UPX66" s="528"/>
      <c r="UPY66" s="528"/>
      <c r="UPZ66" s="528"/>
      <c r="UQA66" s="528"/>
      <c r="UQB66" s="528"/>
      <c r="UQC66" s="528"/>
      <c r="UQD66" s="528"/>
      <c r="UQE66" s="528"/>
      <c r="UQF66" s="528"/>
      <c r="UQG66" s="528"/>
      <c r="UQH66" s="528"/>
      <c r="UQI66" s="528"/>
      <c r="UQJ66" s="528"/>
      <c r="UQK66" s="528"/>
      <c r="UQL66" s="528"/>
      <c r="UQM66" s="528"/>
      <c r="UQN66" s="528"/>
      <c r="UQO66" s="528"/>
      <c r="UQP66" s="528"/>
      <c r="UQQ66" s="528"/>
      <c r="UQR66" s="528"/>
      <c r="UQS66" s="528"/>
      <c r="UQT66" s="528"/>
      <c r="UQU66" s="528"/>
      <c r="UQV66" s="528"/>
      <c r="UQW66" s="528"/>
      <c r="UQX66" s="528"/>
      <c r="UQY66" s="528"/>
      <c r="UQZ66" s="528"/>
      <c r="URA66" s="528"/>
      <c r="URB66" s="528"/>
      <c r="URC66" s="528"/>
      <c r="URD66" s="528"/>
      <c r="URE66" s="528"/>
      <c r="URF66" s="528"/>
      <c r="URG66" s="528"/>
      <c r="URH66" s="528"/>
      <c r="URI66" s="528"/>
      <c r="URJ66" s="528"/>
      <c r="URK66" s="528"/>
      <c r="URL66" s="528"/>
      <c r="URM66" s="528"/>
      <c r="URN66" s="528"/>
      <c r="URO66" s="528"/>
      <c r="URP66" s="528"/>
      <c r="URQ66" s="528"/>
      <c r="URR66" s="528"/>
      <c r="URS66" s="528"/>
      <c r="URT66" s="528"/>
      <c r="URU66" s="528"/>
      <c r="URV66" s="528"/>
      <c r="URW66" s="528"/>
      <c r="URX66" s="528"/>
      <c r="URY66" s="528"/>
      <c r="URZ66" s="528"/>
      <c r="USA66" s="528"/>
      <c r="USB66" s="528"/>
      <c r="USC66" s="528"/>
      <c r="USD66" s="528"/>
      <c r="USE66" s="528"/>
      <c r="USF66" s="528"/>
      <c r="USG66" s="528"/>
      <c r="USH66" s="528"/>
      <c r="USI66" s="528"/>
      <c r="USJ66" s="528"/>
      <c r="USK66" s="528"/>
      <c r="USL66" s="528"/>
      <c r="USM66" s="528"/>
      <c r="USN66" s="528"/>
      <c r="USO66" s="528"/>
      <c r="USP66" s="528"/>
      <c r="USQ66" s="528"/>
      <c r="USR66" s="528"/>
      <c r="USS66" s="528"/>
      <c r="UST66" s="528"/>
      <c r="USU66" s="528"/>
      <c r="USV66" s="528"/>
      <c r="USW66" s="528"/>
      <c r="USX66" s="528"/>
      <c r="USY66" s="528"/>
      <c r="USZ66" s="528"/>
      <c r="UTA66" s="528"/>
      <c r="UTB66" s="528"/>
      <c r="UTC66" s="528"/>
      <c r="UTD66" s="528"/>
      <c r="UTE66" s="528"/>
      <c r="UTF66" s="528"/>
      <c r="UTG66" s="528"/>
      <c r="UTH66" s="528"/>
      <c r="UTI66" s="528"/>
      <c r="UTJ66" s="528"/>
      <c r="UTK66" s="528"/>
      <c r="UTL66" s="528"/>
      <c r="UTM66" s="528"/>
      <c r="UTN66" s="528"/>
      <c r="UTO66" s="528"/>
      <c r="UTP66" s="528"/>
      <c r="UTQ66" s="528"/>
      <c r="UTR66" s="528"/>
      <c r="UTS66" s="528"/>
      <c r="UTT66" s="528"/>
      <c r="UTU66" s="528"/>
      <c r="UTV66" s="528"/>
      <c r="UTW66" s="528"/>
      <c r="UTX66" s="528"/>
      <c r="UTY66" s="528"/>
      <c r="UTZ66" s="528"/>
      <c r="UUA66" s="528"/>
      <c r="UUB66" s="528"/>
      <c r="UUC66" s="528"/>
      <c r="UUD66" s="528"/>
      <c r="UUE66" s="528"/>
      <c r="UUF66" s="528"/>
      <c r="UUG66" s="528"/>
      <c r="UUH66" s="528"/>
      <c r="UUI66" s="528"/>
      <c r="UUJ66" s="528"/>
      <c r="UUK66" s="528"/>
      <c r="UUL66" s="528"/>
      <c r="UUM66" s="528"/>
      <c r="UUN66" s="528"/>
      <c r="UUO66" s="528"/>
      <c r="UUP66" s="528"/>
      <c r="UUQ66" s="528"/>
      <c r="UUR66" s="528"/>
      <c r="UUS66" s="528"/>
      <c r="UUT66" s="528"/>
      <c r="UUU66" s="528"/>
      <c r="UUV66" s="528"/>
      <c r="UUW66" s="528"/>
      <c r="UUX66" s="528"/>
      <c r="UUY66" s="528"/>
      <c r="UUZ66" s="528"/>
      <c r="UVA66" s="528"/>
      <c r="UVB66" s="528"/>
      <c r="UVC66" s="528"/>
      <c r="UVD66" s="528"/>
      <c r="UVE66" s="528"/>
      <c r="UVF66" s="528"/>
      <c r="UVG66" s="528"/>
      <c r="UVH66" s="528"/>
      <c r="UVI66" s="528"/>
      <c r="UVJ66" s="528"/>
      <c r="UVK66" s="528"/>
      <c r="UVL66" s="528"/>
      <c r="UVM66" s="528"/>
      <c r="UVN66" s="528"/>
      <c r="UVO66" s="528"/>
      <c r="UVP66" s="528"/>
      <c r="UVQ66" s="528"/>
      <c r="UVR66" s="528"/>
      <c r="UVS66" s="528"/>
      <c r="UVT66" s="528"/>
      <c r="UVU66" s="528"/>
      <c r="UVV66" s="528"/>
      <c r="UVW66" s="528"/>
      <c r="UVX66" s="528"/>
      <c r="UVY66" s="528"/>
      <c r="UVZ66" s="528"/>
      <c r="UWA66" s="528"/>
      <c r="UWB66" s="528"/>
      <c r="UWC66" s="528"/>
      <c r="UWD66" s="528"/>
      <c r="UWE66" s="528"/>
      <c r="UWF66" s="528"/>
      <c r="UWG66" s="528"/>
      <c r="UWH66" s="528"/>
      <c r="UWI66" s="528"/>
      <c r="UWJ66" s="528"/>
      <c r="UWK66" s="528"/>
      <c r="UWL66" s="528"/>
      <c r="UWM66" s="528"/>
      <c r="UWN66" s="528"/>
      <c r="UWO66" s="528"/>
      <c r="UWP66" s="528"/>
      <c r="UWQ66" s="528"/>
      <c r="UWR66" s="528"/>
      <c r="UWS66" s="528"/>
      <c r="UWT66" s="528"/>
      <c r="UWU66" s="528"/>
      <c r="UWV66" s="528"/>
      <c r="UWW66" s="528"/>
      <c r="UWX66" s="528"/>
      <c r="UWY66" s="528"/>
      <c r="UWZ66" s="528"/>
      <c r="UXA66" s="528"/>
      <c r="UXB66" s="528"/>
      <c r="UXC66" s="528"/>
      <c r="UXD66" s="528"/>
      <c r="UXE66" s="528"/>
      <c r="UXF66" s="528"/>
      <c r="UXG66" s="528"/>
      <c r="UXH66" s="528"/>
      <c r="UXI66" s="528"/>
      <c r="UXJ66" s="528"/>
      <c r="UXK66" s="528"/>
      <c r="UXL66" s="528"/>
      <c r="UXM66" s="528"/>
      <c r="UXN66" s="528"/>
      <c r="UXO66" s="528"/>
      <c r="UXP66" s="528"/>
      <c r="UXQ66" s="528"/>
      <c r="UXR66" s="528"/>
      <c r="UXS66" s="528"/>
      <c r="UXT66" s="528"/>
      <c r="UXU66" s="528"/>
      <c r="UXV66" s="528"/>
      <c r="UXW66" s="528"/>
      <c r="UXX66" s="528"/>
      <c r="UXY66" s="528"/>
      <c r="UXZ66" s="528"/>
      <c r="UYA66" s="528"/>
      <c r="UYB66" s="528"/>
      <c r="UYC66" s="528"/>
      <c r="UYD66" s="528"/>
      <c r="UYE66" s="528"/>
      <c r="UYF66" s="528"/>
      <c r="UYG66" s="528"/>
      <c r="UYH66" s="528"/>
      <c r="UYI66" s="528"/>
      <c r="UYJ66" s="528"/>
      <c r="UYK66" s="528"/>
      <c r="UYL66" s="528"/>
      <c r="UYM66" s="528"/>
      <c r="UYN66" s="528"/>
      <c r="UYO66" s="528"/>
      <c r="UYP66" s="528"/>
      <c r="UYQ66" s="528"/>
      <c r="UYR66" s="528"/>
      <c r="UYS66" s="528"/>
      <c r="UYT66" s="528"/>
      <c r="UYU66" s="528"/>
      <c r="UYV66" s="528"/>
      <c r="UYW66" s="528"/>
      <c r="UYX66" s="528"/>
      <c r="UYY66" s="528"/>
      <c r="UYZ66" s="528"/>
      <c r="UZA66" s="528"/>
      <c r="UZB66" s="528"/>
      <c r="UZC66" s="528"/>
      <c r="UZD66" s="528"/>
      <c r="UZE66" s="528"/>
      <c r="UZF66" s="528"/>
      <c r="UZG66" s="528"/>
      <c r="UZH66" s="528"/>
      <c r="UZI66" s="528"/>
      <c r="UZJ66" s="528"/>
      <c r="UZK66" s="528"/>
      <c r="UZL66" s="528"/>
      <c r="UZM66" s="528"/>
      <c r="UZN66" s="528"/>
      <c r="UZO66" s="528"/>
      <c r="UZP66" s="528"/>
      <c r="UZQ66" s="528"/>
      <c r="UZR66" s="528"/>
      <c r="UZS66" s="528"/>
      <c r="UZT66" s="528"/>
      <c r="UZU66" s="528"/>
      <c r="UZV66" s="528"/>
      <c r="UZW66" s="528"/>
      <c r="UZX66" s="528"/>
      <c r="UZY66" s="528"/>
      <c r="UZZ66" s="528"/>
      <c r="VAA66" s="528"/>
      <c r="VAB66" s="528"/>
      <c r="VAC66" s="528"/>
      <c r="VAD66" s="528"/>
      <c r="VAE66" s="528"/>
      <c r="VAF66" s="528"/>
      <c r="VAG66" s="528"/>
      <c r="VAH66" s="528"/>
      <c r="VAI66" s="528"/>
      <c r="VAJ66" s="528"/>
      <c r="VAK66" s="528"/>
      <c r="VAL66" s="528"/>
      <c r="VAM66" s="528"/>
      <c r="VAN66" s="528"/>
      <c r="VAO66" s="528"/>
      <c r="VAP66" s="528"/>
      <c r="VAQ66" s="528"/>
      <c r="VAR66" s="528"/>
      <c r="VAS66" s="528"/>
      <c r="VAT66" s="528"/>
      <c r="VAU66" s="528"/>
      <c r="VAV66" s="528"/>
      <c r="VAW66" s="528"/>
      <c r="VAX66" s="528"/>
      <c r="VAY66" s="528"/>
      <c r="VAZ66" s="528"/>
      <c r="VBA66" s="528"/>
      <c r="VBB66" s="528"/>
      <c r="VBC66" s="528"/>
      <c r="VBD66" s="528"/>
      <c r="VBE66" s="528"/>
      <c r="VBF66" s="528"/>
      <c r="VBG66" s="528"/>
      <c r="VBH66" s="528"/>
      <c r="VBI66" s="528"/>
      <c r="VBJ66" s="528"/>
      <c r="VBK66" s="528"/>
      <c r="VBL66" s="528"/>
      <c r="VBM66" s="528"/>
      <c r="VBN66" s="528"/>
      <c r="VBO66" s="528"/>
      <c r="VBP66" s="528"/>
      <c r="VBQ66" s="528"/>
      <c r="VBR66" s="528"/>
      <c r="VBS66" s="528"/>
      <c r="VBT66" s="528"/>
      <c r="VBU66" s="528"/>
      <c r="VBV66" s="528"/>
      <c r="VBW66" s="528"/>
      <c r="VBX66" s="528"/>
      <c r="VBY66" s="528"/>
      <c r="VBZ66" s="528"/>
      <c r="VCA66" s="528"/>
      <c r="VCB66" s="528"/>
      <c r="VCC66" s="528"/>
      <c r="VCD66" s="528"/>
      <c r="VCE66" s="528"/>
      <c r="VCF66" s="528"/>
      <c r="VCG66" s="528"/>
      <c r="VCH66" s="528"/>
      <c r="VCI66" s="528"/>
      <c r="VCJ66" s="528"/>
      <c r="VCK66" s="528"/>
      <c r="VCL66" s="528"/>
      <c r="VCM66" s="528"/>
      <c r="VCN66" s="528"/>
      <c r="VCO66" s="528"/>
      <c r="VCP66" s="528"/>
      <c r="VCQ66" s="528"/>
      <c r="VCR66" s="528"/>
      <c r="VCS66" s="528"/>
      <c r="VCT66" s="528"/>
      <c r="VCU66" s="528"/>
      <c r="VCV66" s="528"/>
      <c r="VCW66" s="528"/>
      <c r="VCX66" s="528"/>
      <c r="VCY66" s="528"/>
      <c r="VCZ66" s="528"/>
      <c r="VDA66" s="528"/>
      <c r="VDB66" s="528"/>
      <c r="VDC66" s="528"/>
      <c r="VDD66" s="528"/>
      <c r="VDE66" s="528"/>
      <c r="VDF66" s="528"/>
      <c r="VDG66" s="528"/>
      <c r="VDH66" s="528"/>
      <c r="VDI66" s="528"/>
      <c r="VDJ66" s="528"/>
      <c r="VDK66" s="528"/>
      <c r="VDL66" s="528"/>
      <c r="VDM66" s="528"/>
      <c r="VDN66" s="528"/>
      <c r="VDO66" s="528"/>
      <c r="VDP66" s="528"/>
      <c r="VDQ66" s="528"/>
      <c r="VDR66" s="528"/>
      <c r="VDS66" s="528"/>
      <c r="VDT66" s="528"/>
      <c r="VDU66" s="528"/>
      <c r="VDV66" s="528"/>
      <c r="VDW66" s="528"/>
      <c r="VDX66" s="528"/>
      <c r="VDY66" s="528"/>
      <c r="VDZ66" s="528"/>
      <c r="VEA66" s="528"/>
      <c r="VEB66" s="528"/>
      <c r="VEC66" s="528"/>
      <c r="VED66" s="528"/>
      <c r="VEE66" s="528"/>
      <c r="VEF66" s="528"/>
      <c r="VEG66" s="528"/>
      <c r="VEH66" s="528"/>
      <c r="VEI66" s="528"/>
      <c r="VEJ66" s="528"/>
      <c r="VEK66" s="528"/>
      <c r="VEL66" s="528"/>
      <c r="VEM66" s="528"/>
      <c r="VEN66" s="528"/>
      <c r="VEO66" s="528"/>
      <c r="VEP66" s="528"/>
      <c r="VEQ66" s="528"/>
      <c r="VER66" s="528"/>
      <c r="VES66" s="528"/>
      <c r="VET66" s="528"/>
      <c r="VEU66" s="528"/>
      <c r="VEV66" s="528"/>
      <c r="VEW66" s="528"/>
      <c r="VEX66" s="528"/>
      <c r="VEY66" s="528"/>
      <c r="VEZ66" s="528"/>
      <c r="VFA66" s="528"/>
      <c r="VFB66" s="528"/>
      <c r="VFC66" s="528"/>
      <c r="VFD66" s="528"/>
      <c r="VFE66" s="528"/>
      <c r="VFF66" s="528"/>
      <c r="VFG66" s="528"/>
      <c r="VFH66" s="528"/>
      <c r="VFI66" s="528"/>
      <c r="VFJ66" s="528"/>
      <c r="VFK66" s="528"/>
      <c r="VFL66" s="528"/>
      <c r="VFM66" s="528"/>
      <c r="VFN66" s="528"/>
      <c r="VFO66" s="528"/>
      <c r="VFP66" s="528"/>
      <c r="VFQ66" s="528"/>
      <c r="VFR66" s="528"/>
      <c r="VFS66" s="528"/>
      <c r="VFT66" s="528"/>
      <c r="VFU66" s="528"/>
      <c r="VFV66" s="528"/>
      <c r="VFW66" s="528"/>
      <c r="VFX66" s="528"/>
      <c r="VFY66" s="528"/>
      <c r="VFZ66" s="528"/>
      <c r="VGA66" s="528"/>
      <c r="VGB66" s="528"/>
      <c r="VGC66" s="528"/>
      <c r="VGD66" s="528"/>
      <c r="VGE66" s="528"/>
      <c r="VGF66" s="528"/>
      <c r="VGG66" s="528"/>
      <c r="VGH66" s="528"/>
      <c r="VGI66" s="528"/>
      <c r="VGJ66" s="528"/>
      <c r="VGK66" s="528"/>
      <c r="VGL66" s="528"/>
      <c r="VGM66" s="528"/>
      <c r="VGN66" s="528"/>
      <c r="VGO66" s="528"/>
      <c r="VGP66" s="528"/>
      <c r="VGQ66" s="528"/>
      <c r="VGR66" s="528"/>
      <c r="VGS66" s="528"/>
      <c r="VGT66" s="528"/>
      <c r="VGU66" s="528"/>
      <c r="VGV66" s="528"/>
      <c r="VGW66" s="528"/>
      <c r="VGX66" s="528"/>
      <c r="VGY66" s="528"/>
      <c r="VGZ66" s="528"/>
      <c r="VHA66" s="528"/>
      <c r="VHB66" s="528"/>
      <c r="VHC66" s="528"/>
      <c r="VHD66" s="528"/>
      <c r="VHE66" s="528"/>
      <c r="VHF66" s="528"/>
      <c r="VHG66" s="528"/>
      <c r="VHH66" s="528"/>
      <c r="VHI66" s="528"/>
      <c r="VHJ66" s="528"/>
      <c r="VHK66" s="528"/>
      <c r="VHL66" s="528"/>
      <c r="VHM66" s="528"/>
      <c r="VHN66" s="528"/>
      <c r="VHO66" s="528"/>
      <c r="VHP66" s="528"/>
      <c r="VHQ66" s="528"/>
      <c r="VHR66" s="528"/>
      <c r="VHS66" s="528"/>
      <c r="VHT66" s="528"/>
      <c r="VHU66" s="528"/>
      <c r="VHV66" s="528"/>
      <c r="VHW66" s="528"/>
      <c r="VHX66" s="528"/>
      <c r="VHY66" s="528"/>
      <c r="VHZ66" s="528"/>
      <c r="VIA66" s="528"/>
      <c r="VIB66" s="528"/>
      <c r="VIC66" s="528"/>
      <c r="VID66" s="528"/>
      <c r="VIE66" s="528"/>
      <c r="VIF66" s="528"/>
      <c r="VIG66" s="528"/>
      <c r="VIH66" s="528"/>
      <c r="VII66" s="528"/>
      <c r="VIJ66" s="528"/>
      <c r="VIK66" s="528"/>
      <c r="VIL66" s="528"/>
      <c r="VIM66" s="528"/>
      <c r="VIN66" s="528"/>
      <c r="VIO66" s="528"/>
      <c r="VIP66" s="528"/>
      <c r="VIQ66" s="528"/>
      <c r="VIR66" s="528"/>
      <c r="VIS66" s="528"/>
      <c r="VIT66" s="528"/>
      <c r="VIU66" s="528"/>
      <c r="VIV66" s="528"/>
      <c r="VIW66" s="528"/>
      <c r="VIX66" s="528"/>
      <c r="VIY66" s="528"/>
      <c r="VIZ66" s="528"/>
      <c r="VJA66" s="528"/>
      <c r="VJB66" s="528"/>
      <c r="VJC66" s="528"/>
      <c r="VJD66" s="528"/>
      <c r="VJE66" s="528"/>
      <c r="VJF66" s="528"/>
      <c r="VJG66" s="528"/>
      <c r="VJH66" s="528"/>
      <c r="VJI66" s="528"/>
      <c r="VJJ66" s="528"/>
      <c r="VJK66" s="528"/>
      <c r="VJL66" s="528"/>
      <c r="VJM66" s="528"/>
      <c r="VJN66" s="528"/>
      <c r="VJO66" s="528"/>
      <c r="VJP66" s="528"/>
      <c r="VJQ66" s="528"/>
      <c r="VJR66" s="528"/>
      <c r="VJS66" s="528"/>
      <c r="VJT66" s="528"/>
      <c r="VJU66" s="528"/>
      <c r="VJV66" s="528"/>
      <c r="VJW66" s="528"/>
      <c r="VJX66" s="528"/>
      <c r="VJY66" s="528"/>
      <c r="VJZ66" s="528"/>
      <c r="VKA66" s="528"/>
      <c r="VKB66" s="528"/>
      <c r="VKC66" s="528"/>
      <c r="VKD66" s="528"/>
      <c r="VKE66" s="528"/>
      <c r="VKF66" s="528"/>
      <c r="VKG66" s="528"/>
      <c r="VKH66" s="528"/>
      <c r="VKI66" s="528"/>
      <c r="VKJ66" s="528"/>
      <c r="VKK66" s="528"/>
      <c r="VKL66" s="528"/>
      <c r="VKM66" s="528"/>
      <c r="VKN66" s="528"/>
      <c r="VKO66" s="528"/>
      <c r="VKP66" s="528"/>
      <c r="VKQ66" s="528"/>
      <c r="VKR66" s="528"/>
      <c r="VKS66" s="528"/>
      <c r="VKT66" s="528"/>
      <c r="VKU66" s="528"/>
      <c r="VKV66" s="528"/>
      <c r="VKW66" s="528"/>
      <c r="VKX66" s="528"/>
      <c r="VKY66" s="528"/>
      <c r="VKZ66" s="528"/>
      <c r="VLA66" s="528"/>
      <c r="VLB66" s="528"/>
      <c r="VLC66" s="528"/>
      <c r="VLD66" s="528"/>
      <c r="VLE66" s="528"/>
      <c r="VLF66" s="528"/>
      <c r="VLG66" s="528"/>
      <c r="VLH66" s="528"/>
      <c r="VLI66" s="528"/>
      <c r="VLJ66" s="528"/>
      <c r="VLK66" s="528"/>
      <c r="VLL66" s="528"/>
      <c r="VLM66" s="528"/>
      <c r="VLN66" s="528"/>
      <c r="VLO66" s="528"/>
      <c r="VLP66" s="528"/>
      <c r="VLQ66" s="528"/>
      <c r="VLR66" s="528"/>
      <c r="VLS66" s="528"/>
      <c r="VLT66" s="528"/>
      <c r="VLU66" s="528"/>
      <c r="VLV66" s="528"/>
      <c r="VLW66" s="528"/>
      <c r="VLX66" s="528"/>
      <c r="VLY66" s="528"/>
      <c r="VLZ66" s="528"/>
      <c r="VMA66" s="528"/>
      <c r="VMB66" s="528"/>
      <c r="VMC66" s="528"/>
      <c r="VMD66" s="528"/>
      <c r="VME66" s="528"/>
      <c r="VMF66" s="528"/>
      <c r="VMG66" s="528"/>
      <c r="VMH66" s="528"/>
      <c r="VMI66" s="528"/>
      <c r="VMJ66" s="528"/>
      <c r="VMK66" s="528"/>
      <c r="VML66" s="528"/>
      <c r="VMM66" s="528"/>
      <c r="VMN66" s="528"/>
      <c r="VMO66" s="528"/>
      <c r="VMP66" s="528"/>
      <c r="VMQ66" s="528"/>
      <c r="VMR66" s="528"/>
      <c r="VMS66" s="528"/>
      <c r="VMT66" s="528"/>
      <c r="VMU66" s="528"/>
      <c r="VMV66" s="528"/>
      <c r="VMW66" s="528"/>
      <c r="VMX66" s="528"/>
      <c r="VMY66" s="528"/>
      <c r="VMZ66" s="528"/>
      <c r="VNA66" s="528"/>
      <c r="VNB66" s="528"/>
      <c r="VNC66" s="528"/>
      <c r="VND66" s="528"/>
      <c r="VNE66" s="528"/>
      <c r="VNF66" s="528"/>
      <c r="VNG66" s="528"/>
      <c r="VNH66" s="528"/>
      <c r="VNI66" s="528"/>
      <c r="VNJ66" s="528"/>
      <c r="VNK66" s="528"/>
      <c r="VNL66" s="528"/>
      <c r="VNM66" s="528"/>
      <c r="VNN66" s="528"/>
      <c r="VNO66" s="528"/>
      <c r="VNP66" s="528"/>
      <c r="VNQ66" s="528"/>
      <c r="VNR66" s="528"/>
      <c r="VNS66" s="528"/>
      <c r="VNT66" s="528"/>
      <c r="VNU66" s="528"/>
      <c r="VNV66" s="528"/>
      <c r="VNW66" s="528"/>
      <c r="VNX66" s="528"/>
      <c r="VNY66" s="528"/>
      <c r="VNZ66" s="528"/>
      <c r="VOA66" s="528"/>
      <c r="VOB66" s="528"/>
      <c r="VOC66" s="528"/>
      <c r="VOD66" s="528"/>
      <c r="VOE66" s="528"/>
      <c r="VOF66" s="528"/>
      <c r="VOG66" s="528"/>
      <c r="VOH66" s="528"/>
      <c r="VOI66" s="528"/>
      <c r="VOJ66" s="528"/>
      <c r="VOK66" s="528"/>
      <c r="VOL66" s="528"/>
      <c r="VOM66" s="528"/>
      <c r="VON66" s="528"/>
      <c r="VOO66" s="528"/>
      <c r="VOP66" s="528"/>
      <c r="VOQ66" s="528"/>
      <c r="VOR66" s="528"/>
      <c r="VOS66" s="528"/>
      <c r="VOT66" s="528"/>
      <c r="VOU66" s="528"/>
      <c r="VOV66" s="528"/>
      <c r="VOW66" s="528"/>
      <c r="VOX66" s="528"/>
      <c r="VOY66" s="528"/>
      <c r="VOZ66" s="528"/>
      <c r="VPA66" s="528"/>
      <c r="VPB66" s="528"/>
      <c r="VPC66" s="528"/>
      <c r="VPD66" s="528"/>
      <c r="VPE66" s="528"/>
      <c r="VPF66" s="528"/>
      <c r="VPG66" s="528"/>
      <c r="VPH66" s="528"/>
      <c r="VPI66" s="528"/>
      <c r="VPJ66" s="528"/>
      <c r="VPK66" s="528"/>
      <c r="VPL66" s="528"/>
      <c r="VPM66" s="528"/>
      <c r="VPN66" s="528"/>
      <c r="VPO66" s="528"/>
      <c r="VPP66" s="528"/>
      <c r="VPQ66" s="528"/>
      <c r="VPR66" s="528"/>
      <c r="VPS66" s="528"/>
      <c r="VPT66" s="528"/>
      <c r="VPU66" s="528"/>
      <c r="VPV66" s="528"/>
      <c r="VPW66" s="528"/>
      <c r="VPX66" s="528"/>
      <c r="VPY66" s="528"/>
      <c r="VPZ66" s="528"/>
      <c r="VQA66" s="528"/>
      <c r="VQB66" s="528"/>
      <c r="VQC66" s="528"/>
      <c r="VQD66" s="528"/>
      <c r="VQE66" s="528"/>
      <c r="VQF66" s="528"/>
      <c r="VQG66" s="528"/>
      <c r="VQH66" s="528"/>
      <c r="VQI66" s="528"/>
      <c r="VQJ66" s="528"/>
      <c r="VQK66" s="528"/>
      <c r="VQL66" s="528"/>
      <c r="VQM66" s="528"/>
      <c r="VQN66" s="528"/>
      <c r="VQO66" s="528"/>
      <c r="VQP66" s="528"/>
      <c r="VQQ66" s="528"/>
      <c r="VQR66" s="528"/>
      <c r="VQS66" s="528"/>
      <c r="VQT66" s="528"/>
      <c r="VQU66" s="528"/>
      <c r="VQV66" s="528"/>
      <c r="VQW66" s="528"/>
      <c r="VQX66" s="528"/>
      <c r="VQY66" s="528"/>
      <c r="VQZ66" s="528"/>
      <c r="VRA66" s="528"/>
      <c r="VRB66" s="528"/>
      <c r="VRC66" s="528"/>
      <c r="VRD66" s="528"/>
      <c r="VRE66" s="528"/>
      <c r="VRF66" s="528"/>
      <c r="VRG66" s="528"/>
      <c r="VRH66" s="528"/>
      <c r="VRI66" s="528"/>
      <c r="VRJ66" s="528"/>
      <c r="VRK66" s="528"/>
      <c r="VRL66" s="528"/>
      <c r="VRM66" s="528"/>
      <c r="VRN66" s="528"/>
      <c r="VRO66" s="528"/>
      <c r="VRP66" s="528"/>
      <c r="VRQ66" s="528"/>
      <c r="VRR66" s="528"/>
      <c r="VRS66" s="528"/>
      <c r="VRT66" s="528"/>
      <c r="VRU66" s="528"/>
      <c r="VRV66" s="528"/>
      <c r="VRW66" s="528"/>
      <c r="VRX66" s="528"/>
      <c r="VRY66" s="528"/>
      <c r="VRZ66" s="528"/>
      <c r="VSA66" s="528"/>
      <c r="VSB66" s="528"/>
      <c r="VSC66" s="528"/>
      <c r="VSD66" s="528"/>
      <c r="VSE66" s="528"/>
      <c r="VSF66" s="528"/>
      <c r="VSG66" s="528"/>
      <c r="VSH66" s="528"/>
      <c r="VSI66" s="528"/>
      <c r="VSJ66" s="528"/>
      <c r="VSK66" s="528"/>
      <c r="VSL66" s="528"/>
      <c r="VSM66" s="528"/>
      <c r="VSN66" s="528"/>
      <c r="VSO66" s="528"/>
      <c r="VSP66" s="528"/>
      <c r="VSQ66" s="528"/>
      <c r="VSR66" s="528"/>
      <c r="VSS66" s="528"/>
      <c r="VST66" s="528"/>
      <c r="VSU66" s="528"/>
      <c r="VSV66" s="528"/>
      <c r="VSW66" s="528"/>
      <c r="VSX66" s="528"/>
      <c r="VSY66" s="528"/>
      <c r="VSZ66" s="528"/>
      <c r="VTA66" s="528"/>
      <c r="VTB66" s="528"/>
      <c r="VTC66" s="528"/>
      <c r="VTD66" s="528"/>
      <c r="VTE66" s="528"/>
      <c r="VTF66" s="528"/>
      <c r="VTG66" s="528"/>
      <c r="VTH66" s="528"/>
      <c r="VTI66" s="528"/>
      <c r="VTJ66" s="528"/>
      <c r="VTK66" s="528"/>
      <c r="VTL66" s="528"/>
      <c r="VTM66" s="528"/>
      <c r="VTN66" s="528"/>
      <c r="VTO66" s="528"/>
      <c r="VTP66" s="528"/>
      <c r="VTQ66" s="528"/>
      <c r="VTR66" s="528"/>
      <c r="VTS66" s="528"/>
      <c r="VTT66" s="528"/>
      <c r="VTU66" s="528"/>
      <c r="VTV66" s="528"/>
      <c r="VTW66" s="528"/>
      <c r="VTX66" s="528"/>
      <c r="VTY66" s="528"/>
      <c r="VTZ66" s="528"/>
      <c r="VUA66" s="528"/>
      <c r="VUB66" s="528"/>
      <c r="VUC66" s="528"/>
      <c r="VUD66" s="528"/>
      <c r="VUE66" s="528"/>
      <c r="VUF66" s="528"/>
      <c r="VUG66" s="528"/>
      <c r="VUH66" s="528"/>
      <c r="VUI66" s="528"/>
      <c r="VUJ66" s="528"/>
      <c r="VUK66" s="528"/>
      <c r="VUL66" s="528"/>
      <c r="VUM66" s="528"/>
      <c r="VUN66" s="528"/>
      <c r="VUO66" s="528"/>
      <c r="VUP66" s="528"/>
      <c r="VUQ66" s="528"/>
      <c r="VUR66" s="528"/>
      <c r="VUS66" s="528"/>
      <c r="VUT66" s="528"/>
      <c r="VUU66" s="528"/>
      <c r="VUV66" s="528"/>
      <c r="VUW66" s="528"/>
      <c r="VUX66" s="528"/>
      <c r="VUY66" s="528"/>
      <c r="VUZ66" s="528"/>
      <c r="VVA66" s="528"/>
      <c r="VVB66" s="528"/>
      <c r="VVC66" s="528"/>
      <c r="VVD66" s="528"/>
      <c r="VVE66" s="528"/>
      <c r="VVF66" s="528"/>
      <c r="VVG66" s="528"/>
      <c r="VVH66" s="528"/>
      <c r="VVI66" s="528"/>
      <c r="VVJ66" s="528"/>
      <c r="VVK66" s="528"/>
      <c r="VVL66" s="528"/>
      <c r="VVM66" s="528"/>
      <c r="VVN66" s="528"/>
      <c r="VVO66" s="528"/>
      <c r="VVP66" s="528"/>
      <c r="VVQ66" s="528"/>
      <c r="VVR66" s="528"/>
      <c r="VVS66" s="528"/>
      <c r="VVT66" s="528"/>
      <c r="VVU66" s="528"/>
      <c r="VVV66" s="528"/>
      <c r="VVW66" s="528"/>
      <c r="VVX66" s="528"/>
      <c r="VVY66" s="528"/>
      <c r="VVZ66" s="528"/>
      <c r="VWA66" s="528"/>
      <c r="VWB66" s="528"/>
      <c r="VWC66" s="528"/>
      <c r="VWD66" s="528"/>
      <c r="VWE66" s="528"/>
      <c r="VWF66" s="528"/>
      <c r="VWG66" s="528"/>
      <c r="VWH66" s="528"/>
      <c r="VWI66" s="528"/>
      <c r="VWJ66" s="528"/>
      <c r="VWK66" s="528"/>
      <c r="VWL66" s="528"/>
      <c r="VWM66" s="528"/>
      <c r="VWN66" s="528"/>
      <c r="VWO66" s="528"/>
      <c r="VWP66" s="528"/>
      <c r="VWQ66" s="528"/>
      <c r="VWR66" s="528"/>
      <c r="VWS66" s="528"/>
      <c r="VWT66" s="528"/>
      <c r="VWU66" s="528"/>
      <c r="VWV66" s="528"/>
      <c r="VWW66" s="528"/>
      <c r="VWX66" s="528"/>
      <c r="VWY66" s="528"/>
      <c r="VWZ66" s="528"/>
      <c r="VXA66" s="528"/>
      <c r="VXB66" s="528"/>
      <c r="VXC66" s="528"/>
      <c r="VXD66" s="528"/>
      <c r="VXE66" s="528"/>
      <c r="VXF66" s="528"/>
      <c r="VXG66" s="528"/>
      <c r="VXH66" s="528"/>
      <c r="VXI66" s="528"/>
      <c r="VXJ66" s="528"/>
      <c r="VXK66" s="528"/>
      <c r="VXL66" s="528"/>
      <c r="VXM66" s="528"/>
      <c r="VXN66" s="528"/>
      <c r="VXO66" s="528"/>
      <c r="VXP66" s="528"/>
      <c r="VXQ66" s="528"/>
      <c r="VXR66" s="528"/>
      <c r="VXS66" s="528"/>
      <c r="VXT66" s="528"/>
      <c r="VXU66" s="528"/>
      <c r="VXV66" s="528"/>
      <c r="VXW66" s="528"/>
      <c r="VXX66" s="528"/>
      <c r="VXY66" s="528"/>
      <c r="VXZ66" s="528"/>
      <c r="VYA66" s="528"/>
      <c r="VYB66" s="528"/>
      <c r="VYC66" s="528"/>
      <c r="VYD66" s="528"/>
      <c r="VYE66" s="528"/>
      <c r="VYF66" s="528"/>
      <c r="VYG66" s="528"/>
      <c r="VYH66" s="528"/>
      <c r="VYI66" s="528"/>
      <c r="VYJ66" s="528"/>
      <c r="VYK66" s="528"/>
      <c r="VYL66" s="528"/>
      <c r="VYM66" s="528"/>
      <c r="VYN66" s="528"/>
      <c r="VYO66" s="528"/>
      <c r="VYP66" s="528"/>
      <c r="VYQ66" s="528"/>
      <c r="VYR66" s="528"/>
      <c r="VYS66" s="528"/>
      <c r="VYT66" s="528"/>
      <c r="VYU66" s="528"/>
      <c r="VYV66" s="528"/>
      <c r="VYW66" s="528"/>
      <c r="VYX66" s="528"/>
      <c r="VYY66" s="528"/>
      <c r="VYZ66" s="528"/>
      <c r="VZA66" s="528"/>
      <c r="VZB66" s="528"/>
      <c r="VZC66" s="528"/>
      <c r="VZD66" s="528"/>
      <c r="VZE66" s="528"/>
      <c r="VZF66" s="528"/>
      <c r="VZG66" s="528"/>
      <c r="VZH66" s="528"/>
      <c r="VZI66" s="528"/>
      <c r="VZJ66" s="528"/>
      <c r="VZK66" s="528"/>
      <c r="VZL66" s="528"/>
      <c r="VZM66" s="528"/>
      <c r="VZN66" s="528"/>
      <c r="VZO66" s="528"/>
      <c r="VZP66" s="528"/>
      <c r="VZQ66" s="528"/>
      <c r="VZR66" s="528"/>
      <c r="VZS66" s="528"/>
      <c r="VZT66" s="528"/>
      <c r="VZU66" s="528"/>
      <c r="VZV66" s="528"/>
      <c r="VZW66" s="528"/>
      <c r="VZX66" s="528"/>
      <c r="VZY66" s="528"/>
      <c r="VZZ66" s="528"/>
      <c r="WAA66" s="528"/>
      <c r="WAB66" s="528"/>
      <c r="WAC66" s="528"/>
      <c r="WAD66" s="528"/>
      <c r="WAE66" s="528"/>
      <c r="WAF66" s="528"/>
      <c r="WAG66" s="528"/>
      <c r="WAH66" s="528"/>
      <c r="WAI66" s="528"/>
      <c r="WAJ66" s="528"/>
      <c r="WAK66" s="528"/>
      <c r="WAL66" s="528"/>
      <c r="WAM66" s="528"/>
      <c r="WAN66" s="528"/>
      <c r="WAO66" s="528"/>
      <c r="WAP66" s="528"/>
      <c r="WAQ66" s="528"/>
      <c r="WAR66" s="528"/>
      <c r="WAS66" s="528"/>
      <c r="WAT66" s="528"/>
      <c r="WAU66" s="528"/>
      <c r="WAV66" s="528"/>
      <c r="WAW66" s="528"/>
      <c r="WAX66" s="528"/>
      <c r="WAY66" s="528"/>
      <c r="WAZ66" s="528"/>
      <c r="WBA66" s="528"/>
      <c r="WBB66" s="528"/>
      <c r="WBC66" s="528"/>
      <c r="WBD66" s="528"/>
      <c r="WBE66" s="528"/>
      <c r="WBF66" s="528"/>
      <c r="WBG66" s="528"/>
      <c r="WBH66" s="528"/>
      <c r="WBI66" s="528"/>
      <c r="WBJ66" s="528"/>
      <c r="WBK66" s="528"/>
      <c r="WBL66" s="528"/>
      <c r="WBM66" s="528"/>
      <c r="WBN66" s="528"/>
      <c r="WBO66" s="528"/>
      <c r="WBP66" s="528"/>
      <c r="WBQ66" s="528"/>
      <c r="WBR66" s="528"/>
      <c r="WBS66" s="528"/>
      <c r="WBT66" s="528"/>
      <c r="WBU66" s="528"/>
      <c r="WBV66" s="528"/>
      <c r="WBW66" s="528"/>
      <c r="WBX66" s="528"/>
      <c r="WBY66" s="528"/>
      <c r="WBZ66" s="528"/>
      <c r="WCA66" s="528"/>
      <c r="WCB66" s="528"/>
      <c r="WCC66" s="528"/>
      <c r="WCD66" s="528"/>
      <c r="WCE66" s="528"/>
      <c r="WCF66" s="528"/>
      <c r="WCG66" s="528"/>
      <c r="WCH66" s="528"/>
      <c r="WCI66" s="528"/>
      <c r="WCJ66" s="528"/>
      <c r="WCK66" s="528"/>
      <c r="WCL66" s="528"/>
      <c r="WCM66" s="528"/>
      <c r="WCN66" s="528"/>
      <c r="WCO66" s="528"/>
      <c r="WCP66" s="528"/>
      <c r="WCQ66" s="528"/>
      <c r="WCR66" s="528"/>
      <c r="WCS66" s="528"/>
      <c r="WCT66" s="528"/>
      <c r="WCU66" s="528"/>
      <c r="WCV66" s="528"/>
      <c r="WCW66" s="528"/>
      <c r="WCX66" s="528"/>
      <c r="WCY66" s="528"/>
      <c r="WCZ66" s="528"/>
      <c r="WDA66" s="528"/>
      <c r="WDB66" s="528"/>
      <c r="WDC66" s="528"/>
      <c r="WDD66" s="528"/>
      <c r="WDE66" s="528"/>
      <c r="WDF66" s="528"/>
      <c r="WDG66" s="528"/>
      <c r="WDH66" s="528"/>
      <c r="WDI66" s="528"/>
      <c r="WDJ66" s="528"/>
      <c r="WDK66" s="528"/>
      <c r="WDL66" s="528"/>
      <c r="WDM66" s="528"/>
      <c r="WDN66" s="528"/>
      <c r="WDO66" s="528"/>
      <c r="WDP66" s="528"/>
      <c r="WDQ66" s="528"/>
      <c r="WDR66" s="528"/>
      <c r="WDS66" s="528"/>
      <c r="WDT66" s="528"/>
      <c r="WDU66" s="528"/>
      <c r="WDV66" s="528"/>
      <c r="WDW66" s="528"/>
      <c r="WDX66" s="528"/>
      <c r="WDY66" s="528"/>
      <c r="WDZ66" s="528"/>
      <c r="WEA66" s="528"/>
      <c r="WEB66" s="528"/>
      <c r="WEC66" s="528"/>
      <c r="WED66" s="528"/>
      <c r="WEE66" s="528"/>
      <c r="WEF66" s="528"/>
      <c r="WEG66" s="528"/>
      <c r="WEH66" s="528"/>
      <c r="WEI66" s="528"/>
      <c r="WEJ66" s="528"/>
      <c r="WEK66" s="528"/>
      <c r="WEL66" s="528"/>
      <c r="WEM66" s="528"/>
      <c r="WEN66" s="528"/>
      <c r="WEO66" s="528"/>
      <c r="WEP66" s="528"/>
      <c r="WEQ66" s="528"/>
      <c r="WER66" s="528"/>
      <c r="WES66" s="528"/>
      <c r="WET66" s="528"/>
      <c r="WEU66" s="528"/>
      <c r="WEV66" s="528"/>
      <c r="WEW66" s="528"/>
      <c r="WEX66" s="528"/>
      <c r="WEY66" s="528"/>
      <c r="WEZ66" s="528"/>
      <c r="WFA66" s="528"/>
      <c r="WFB66" s="528"/>
      <c r="WFC66" s="528"/>
      <c r="WFD66" s="528"/>
      <c r="WFE66" s="528"/>
      <c r="WFF66" s="528"/>
      <c r="WFG66" s="528"/>
      <c r="WFH66" s="528"/>
      <c r="WFI66" s="528"/>
      <c r="WFJ66" s="528"/>
      <c r="WFK66" s="528"/>
      <c r="WFL66" s="528"/>
      <c r="WFM66" s="528"/>
      <c r="WFN66" s="528"/>
      <c r="WFO66" s="528"/>
      <c r="WFP66" s="528"/>
      <c r="WFQ66" s="528"/>
      <c r="WFR66" s="528"/>
      <c r="WFS66" s="528"/>
      <c r="WFT66" s="528"/>
      <c r="WFU66" s="528"/>
      <c r="WFV66" s="528"/>
      <c r="WFW66" s="528"/>
      <c r="WFX66" s="528"/>
      <c r="WFY66" s="528"/>
      <c r="WFZ66" s="528"/>
      <c r="WGA66" s="528"/>
      <c r="WGB66" s="528"/>
      <c r="WGC66" s="528"/>
      <c r="WGD66" s="528"/>
      <c r="WGE66" s="528"/>
      <c r="WGF66" s="528"/>
      <c r="WGG66" s="528"/>
      <c r="WGH66" s="528"/>
      <c r="WGI66" s="528"/>
      <c r="WGJ66" s="528"/>
      <c r="WGK66" s="528"/>
      <c r="WGL66" s="528"/>
      <c r="WGM66" s="528"/>
      <c r="WGN66" s="528"/>
      <c r="WGO66" s="528"/>
      <c r="WGP66" s="528"/>
      <c r="WGQ66" s="528"/>
      <c r="WGR66" s="528"/>
      <c r="WGS66" s="528"/>
      <c r="WGT66" s="528"/>
      <c r="WGU66" s="528"/>
      <c r="WGV66" s="528"/>
      <c r="WGW66" s="528"/>
      <c r="WGX66" s="528"/>
      <c r="WGY66" s="528"/>
      <c r="WGZ66" s="528"/>
      <c r="WHA66" s="528"/>
      <c r="WHB66" s="528"/>
      <c r="WHC66" s="528"/>
      <c r="WHD66" s="528"/>
      <c r="WHE66" s="528"/>
      <c r="WHF66" s="528"/>
      <c r="WHG66" s="528"/>
      <c r="WHH66" s="528"/>
      <c r="WHI66" s="528"/>
      <c r="WHJ66" s="528"/>
      <c r="WHK66" s="528"/>
      <c r="WHL66" s="528"/>
      <c r="WHM66" s="528"/>
      <c r="WHN66" s="528"/>
      <c r="WHO66" s="528"/>
      <c r="WHP66" s="528"/>
      <c r="WHQ66" s="528"/>
      <c r="WHR66" s="528"/>
      <c r="WHS66" s="528"/>
      <c r="WHT66" s="528"/>
      <c r="WHU66" s="528"/>
      <c r="WHV66" s="528"/>
      <c r="WHW66" s="528"/>
      <c r="WHX66" s="528"/>
      <c r="WHY66" s="528"/>
      <c r="WHZ66" s="528"/>
      <c r="WIA66" s="528"/>
      <c r="WIB66" s="528"/>
      <c r="WIC66" s="528"/>
      <c r="WID66" s="528"/>
      <c r="WIE66" s="528"/>
      <c r="WIF66" s="528"/>
      <c r="WIG66" s="528"/>
      <c r="WIH66" s="528"/>
      <c r="WII66" s="528"/>
      <c r="WIJ66" s="528"/>
      <c r="WIK66" s="528"/>
      <c r="WIL66" s="528"/>
      <c r="WIM66" s="528"/>
      <c r="WIN66" s="528"/>
      <c r="WIO66" s="528"/>
      <c r="WIP66" s="528"/>
      <c r="WIQ66" s="528"/>
      <c r="WIR66" s="528"/>
      <c r="WIS66" s="528"/>
      <c r="WIT66" s="528"/>
      <c r="WIU66" s="528"/>
      <c r="WIV66" s="528"/>
      <c r="WIW66" s="528"/>
      <c r="WIX66" s="528"/>
      <c r="WIY66" s="528"/>
      <c r="WIZ66" s="528"/>
      <c r="WJA66" s="528"/>
      <c r="WJB66" s="528"/>
      <c r="WJC66" s="528"/>
      <c r="WJD66" s="528"/>
      <c r="WJE66" s="528"/>
      <c r="WJF66" s="528"/>
      <c r="WJG66" s="528"/>
      <c r="WJH66" s="528"/>
      <c r="WJI66" s="528"/>
      <c r="WJJ66" s="528"/>
      <c r="WJK66" s="528"/>
      <c r="WJL66" s="528"/>
      <c r="WJM66" s="528"/>
      <c r="WJN66" s="528"/>
      <c r="WJO66" s="528"/>
      <c r="WJP66" s="528"/>
      <c r="WJQ66" s="528"/>
      <c r="WJR66" s="528"/>
      <c r="WJS66" s="528"/>
      <c r="WJT66" s="528"/>
      <c r="WJU66" s="528"/>
      <c r="WJV66" s="528"/>
      <c r="WJW66" s="528"/>
      <c r="WJX66" s="528"/>
      <c r="WJY66" s="528"/>
      <c r="WJZ66" s="528"/>
      <c r="WKA66" s="528"/>
      <c r="WKB66" s="528"/>
      <c r="WKC66" s="528"/>
      <c r="WKD66" s="528"/>
      <c r="WKE66" s="528"/>
      <c r="WKF66" s="528"/>
      <c r="WKG66" s="528"/>
      <c r="WKH66" s="528"/>
      <c r="WKI66" s="528"/>
      <c r="WKJ66" s="528"/>
      <c r="WKK66" s="528"/>
      <c r="WKL66" s="528"/>
      <c r="WKM66" s="528"/>
      <c r="WKN66" s="528"/>
      <c r="WKO66" s="528"/>
      <c r="WKP66" s="528"/>
      <c r="WKQ66" s="528"/>
      <c r="WKR66" s="528"/>
      <c r="WKS66" s="528"/>
      <c r="WKT66" s="528"/>
      <c r="WKU66" s="528"/>
      <c r="WKV66" s="528"/>
      <c r="WKW66" s="528"/>
      <c r="WKX66" s="528"/>
      <c r="WKY66" s="528"/>
      <c r="WKZ66" s="528"/>
      <c r="WLA66" s="528"/>
      <c r="WLB66" s="528"/>
      <c r="WLC66" s="528"/>
      <c r="WLD66" s="528"/>
      <c r="WLE66" s="528"/>
      <c r="WLF66" s="528"/>
      <c r="WLG66" s="528"/>
      <c r="WLH66" s="528"/>
      <c r="WLI66" s="528"/>
      <c r="WLJ66" s="528"/>
      <c r="WLK66" s="528"/>
      <c r="WLL66" s="528"/>
      <c r="WLM66" s="528"/>
      <c r="WLN66" s="528"/>
      <c r="WLO66" s="528"/>
      <c r="WLP66" s="528"/>
      <c r="WLQ66" s="528"/>
      <c r="WLR66" s="528"/>
      <c r="WLS66" s="528"/>
      <c r="WLT66" s="528"/>
      <c r="WLU66" s="528"/>
      <c r="WLV66" s="528"/>
      <c r="WLW66" s="528"/>
      <c r="WLX66" s="528"/>
      <c r="WLY66" s="528"/>
      <c r="WLZ66" s="528"/>
      <c r="WMA66" s="528"/>
      <c r="WMB66" s="528"/>
      <c r="WMC66" s="528"/>
      <c r="WMD66" s="528"/>
      <c r="WME66" s="528"/>
      <c r="WMF66" s="528"/>
      <c r="WMG66" s="528"/>
      <c r="WMH66" s="528"/>
      <c r="WMI66" s="528"/>
      <c r="WMJ66" s="528"/>
      <c r="WMK66" s="528"/>
      <c r="WML66" s="528"/>
      <c r="WMM66" s="528"/>
      <c r="WMN66" s="528"/>
      <c r="WMO66" s="528"/>
      <c r="WMP66" s="528"/>
      <c r="WMQ66" s="528"/>
      <c r="WMR66" s="528"/>
      <c r="WMS66" s="528"/>
      <c r="WMT66" s="528"/>
      <c r="WMU66" s="528"/>
      <c r="WMV66" s="528"/>
      <c r="WMW66" s="528"/>
      <c r="WMX66" s="528"/>
      <c r="WMY66" s="528"/>
      <c r="WMZ66" s="528"/>
      <c r="WNA66" s="528"/>
      <c r="WNB66" s="528"/>
      <c r="WNC66" s="528"/>
      <c r="WND66" s="528"/>
      <c r="WNE66" s="528"/>
      <c r="WNF66" s="528"/>
      <c r="WNG66" s="528"/>
      <c r="WNH66" s="528"/>
      <c r="WNI66" s="528"/>
      <c r="WNJ66" s="528"/>
      <c r="WNK66" s="528"/>
      <c r="WNL66" s="528"/>
      <c r="WNM66" s="528"/>
      <c r="WNN66" s="528"/>
      <c r="WNO66" s="528"/>
      <c r="WNP66" s="528"/>
      <c r="WNQ66" s="528"/>
      <c r="WNR66" s="528"/>
      <c r="WNS66" s="528"/>
      <c r="WNT66" s="528"/>
      <c r="WNU66" s="528"/>
      <c r="WNV66" s="528"/>
      <c r="WNW66" s="528"/>
      <c r="WNX66" s="528"/>
      <c r="WNY66" s="528"/>
      <c r="WNZ66" s="528"/>
      <c r="WOA66" s="528"/>
      <c r="WOB66" s="528"/>
      <c r="WOC66" s="528"/>
      <c r="WOD66" s="528"/>
      <c r="WOE66" s="528"/>
      <c r="WOF66" s="528"/>
      <c r="WOG66" s="528"/>
      <c r="WOH66" s="528"/>
      <c r="WOI66" s="528"/>
      <c r="WOJ66" s="528"/>
      <c r="WOK66" s="528"/>
      <c r="WOL66" s="528"/>
      <c r="WOM66" s="528"/>
      <c r="WON66" s="528"/>
      <c r="WOO66" s="528"/>
      <c r="WOP66" s="528"/>
      <c r="WOQ66" s="528"/>
      <c r="WOR66" s="528"/>
      <c r="WOS66" s="528"/>
      <c r="WOT66" s="528"/>
      <c r="WOU66" s="528"/>
      <c r="WOV66" s="528"/>
      <c r="WOW66" s="528"/>
      <c r="WOX66" s="528"/>
      <c r="WOY66" s="528"/>
      <c r="WOZ66" s="528"/>
      <c r="WPA66" s="528"/>
      <c r="WPB66" s="528"/>
      <c r="WPC66" s="528"/>
      <c r="WPD66" s="528"/>
      <c r="WPE66" s="528"/>
      <c r="WPF66" s="528"/>
      <c r="WPG66" s="528"/>
      <c r="WPH66" s="528"/>
      <c r="WPI66" s="528"/>
      <c r="WPJ66" s="528"/>
      <c r="WPK66" s="528"/>
      <c r="WPL66" s="528"/>
      <c r="WPM66" s="528"/>
      <c r="WPN66" s="528"/>
      <c r="WPO66" s="528"/>
      <c r="WPP66" s="528"/>
      <c r="WPQ66" s="528"/>
      <c r="WPR66" s="528"/>
      <c r="WPS66" s="528"/>
      <c r="WPT66" s="528"/>
      <c r="WPU66" s="528"/>
      <c r="WPV66" s="528"/>
      <c r="WPW66" s="528"/>
      <c r="WPX66" s="528"/>
      <c r="WPY66" s="528"/>
      <c r="WPZ66" s="528"/>
      <c r="WQA66" s="528"/>
      <c r="WQB66" s="528"/>
      <c r="WQC66" s="528"/>
      <c r="WQD66" s="528"/>
      <c r="WQE66" s="528"/>
      <c r="WQF66" s="528"/>
      <c r="WQG66" s="528"/>
      <c r="WQH66" s="528"/>
      <c r="WQI66" s="528"/>
      <c r="WQJ66" s="528"/>
      <c r="WQK66" s="528"/>
      <c r="WQL66" s="528"/>
      <c r="WQM66" s="528"/>
      <c r="WQN66" s="528"/>
      <c r="WQO66" s="528"/>
      <c r="WQP66" s="528"/>
      <c r="WQQ66" s="528"/>
      <c r="WQR66" s="528"/>
      <c r="WQS66" s="528"/>
      <c r="WQT66" s="528"/>
      <c r="WQU66" s="528"/>
      <c r="WQV66" s="528"/>
      <c r="WQW66" s="528"/>
      <c r="WQX66" s="528"/>
      <c r="WQY66" s="528"/>
      <c r="WQZ66" s="528"/>
      <c r="WRA66" s="528"/>
      <c r="WRB66" s="528"/>
      <c r="WRC66" s="528"/>
      <c r="WRD66" s="528"/>
      <c r="WRE66" s="528"/>
      <c r="WRF66" s="528"/>
      <c r="WRG66" s="528"/>
      <c r="WRH66" s="528"/>
      <c r="WRI66" s="528"/>
      <c r="WRJ66" s="528"/>
      <c r="WRK66" s="528"/>
      <c r="WRL66" s="528"/>
      <c r="WRM66" s="528"/>
      <c r="WRN66" s="528"/>
      <c r="WRO66" s="528"/>
      <c r="WRP66" s="528"/>
      <c r="WRQ66" s="528"/>
      <c r="WRR66" s="528"/>
      <c r="WRS66" s="528"/>
      <c r="WRT66" s="528"/>
      <c r="WRU66" s="528"/>
      <c r="WRV66" s="528"/>
      <c r="WRW66" s="528"/>
      <c r="WRX66" s="528"/>
      <c r="WRY66" s="528"/>
      <c r="WRZ66" s="528"/>
      <c r="WSA66" s="528"/>
      <c r="WSB66" s="528"/>
      <c r="WSC66" s="528"/>
      <c r="WSD66" s="528"/>
      <c r="WSE66" s="528"/>
      <c r="WSF66" s="528"/>
      <c r="WSG66" s="528"/>
      <c r="WSH66" s="528"/>
      <c r="WSI66" s="528"/>
      <c r="WSJ66" s="528"/>
      <c r="WSK66" s="528"/>
      <c r="WSL66" s="528"/>
      <c r="WSM66" s="528"/>
      <c r="WSN66" s="528"/>
      <c r="WSO66" s="528"/>
      <c r="WSP66" s="528"/>
      <c r="WSQ66" s="528"/>
      <c r="WSR66" s="528"/>
      <c r="WSS66" s="528"/>
      <c r="WST66" s="528"/>
      <c r="WSU66" s="528"/>
      <c r="WSV66" s="528"/>
      <c r="WSW66" s="528"/>
      <c r="WSX66" s="528"/>
      <c r="WSY66" s="528"/>
      <c r="WSZ66" s="528"/>
      <c r="WTA66" s="528"/>
      <c r="WTB66" s="528"/>
      <c r="WTC66" s="528"/>
      <c r="WTD66" s="528"/>
      <c r="WTE66" s="528"/>
      <c r="WTF66" s="528"/>
      <c r="WTG66" s="528"/>
      <c r="WTH66" s="528"/>
      <c r="WTI66" s="528"/>
      <c r="WTJ66" s="528"/>
      <c r="WTK66" s="528"/>
      <c r="WTL66" s="528"/>
      <c r="WTM66" s="528"/>
      <c r="WTN66" s="528"/>
      <c r="WTO66" s="528"/>
      <c r="WTP66" s="528"/>
      <c r="WTQ66" s="528"/>
      <c r="WTR66" s="528"/>
      <c r="WTS66" s="528"/>
      <c r="WTT66" s="528"/>
      <c r="WTU66" s="528"/>
      <c r="WTV66" s="528"/>
      <c r="WTW66" s="528"/>
      <c r="WTX66" s="528"/>
      <c r="WTY66" s="528"/>
      <c r="WTZ66" s="528"/>
      <c r="WUA66" s="528"/>
      <c r="WUB66" s="528"/>
      <c r="WUC66" s="528"/>
      <c r="WUD66" s="528"/>
      <c r="WUE66" s="528"/>
      <c r="WUF66" s="528"/>
      <c r="WUG66" s="528"/>
      <c r="WUH66" s="528"/>
      <c r="WUI66" s="528"/>
      <c r="WUJ66" s="528"/>
      <c r="WUK66" s="528"/>
      <c r="WUL66" s="528"/>
      <c r="WUM66" s="528"/>
      <c r="WUN66" s="528"/>
      <c r="WUO66" s="528"/>
      <c r="WUP66" s="528"/>
      <c r="WUQ66" s="528"/>
      <c r="WUR66" s="528"/>
      <c r="WUS66" s="528"/>
      <c r="WUT66" s="528"/>
      <c r="WUU66" s="528"/>
      <c r="WUV66" s="528"/>
      <c r="WUW66" s="528"/>
      <c r="WUX66" s="528"/>
      <c r="WUY66" s="528"/>
      <c r="WUZ66" s="528"/>
      <c r="WVA66" s="528"/>
      <c r="WVB66" s="528"/>
      <c r="WVC66" s="528"/>
      <c r="WVD66" s="528"/>
      <c r="WVE66" s="528"/>
      <c r="WVF66" s="528"/>
      <c r="WVG66" s="528"/>
      <c r="WVH66" s="528"/>
      <c r="WVI66" s="528"/>
      <c r="WVJ66" s="528"/>
      <c r="WVK66" s="528"/>
      <c r="WVL66" s="528"/>
      <c r="WVM66" s="528"/>
      <c r="WVN66" s="528"/>
      <c r="WVO66" s="528"/>
      <c r="WVP66" s="528"/>
      <c r="WVQ66" s="528"/>
      <c r="WVR66" s="528"/>
      <c r="WVS66" s="528"/>
      <c r="WVT66" s="528"/>
      <c r="WVU66" s="528"/>
      <c r="WVV66" s="528"/>
      <c r="WVW66" s="528"/>
      <c r="WVX66" s="528"/>
      <c r="WVY66" s="528"/>
      <c r="WVZ66" s="528"/>
      <c r="WWA66" s="528"/>
      <c r="WWB66" s="528"/>
      <c r="WWC66" s="528"/>
      <c r="WWD66" s="528"/>
      <c r="WWE66" s="528"/>
      <c r="WWF66" s="528"/>
      <c r="WWG66" s="528"/>
      <c r="WWH66" s="528"/>
      <c r="WWI66" s="528"/>
      <c r="WWJ66" s="528"/>
      <c r="WWK66" s="528"/>
      <c r="WWL66" s="528"/>
      <c r="WWM66" s="528"/>
      <c r="WWN66" s="528"/>
      <c r="WWO66" s="528"/>
      <c r="WWP66" s="528"/>
      <c r="WWQ66" s="528"/>
      <c r="WWR66" s="528"/>
      <c r="WWS66" s="528"/>
      <c r="WWT66" s="528"/>
      <c r="WWU66" s="528"/>
      <c r="WWV66" s="528"/>
      <c r="WWW66" s="528"/>
      <c r="WWX66" s="528"/>
      <c r="WWY66" s="528"/>
      <c r="WWZ66" s="528"/>
      <c r="WXA66" s="528"/>
      <c r="WXB66" s="528"/>
      <c r="WXC66" s="528"/>
      <c r="WXD66" s="528"/>
      <c r="WXE66" s="528"/>
      <c r="WXF66" s="528"/>
      <c r="WXG66" s="528"/>
      <c r="WXH66" s="528"/>
      <c r="WXI66" s="528"/>
      <c r="WXJ66" s="528"/>
      <c r="WXK66" s="528"/>
      <c r="WXL66" s="528"/>
      <c r="WXM66" s="528"/>
      <c r="WXN66" s="528"/>
      <c r="WXO66" s="528"/>
      <c r="WXP66" s="528"/>
      <c r="WXQ66" s="528"/>
      <c r="WXR66" s="528"/>
      <c r="WXS66" s="528"/>
      <c r="WXT66" s="528"/>
      <c r="WXU66" s="528"/>
      <c r="WXV66" s="528"/>
      <c r="WXW66" s="528"/>
      <c r="WXX66" s="528"/>
      <c r="WXY66" s="528"/>
      <c r="WXZ66" s="528"/>
      <c r="WYA66" s="528"/>
      <c r="WYB66" s="528"/>
      <c r="WYC66" s="528"/>
      <c r="WYD66" s="528"/>
      <c r="WYE66" s="528"/>
      <c r="WYF66" s="528"/>
      <c r="WYG66" s="528"/>
      <c r="WYH66" s="528"/>
      <c r="WYI66" s="528"/>
      <c r="WYJ66" s="528"/>
      <c r="WYK66" s="528"/>
      <c r="WYL66" s="528"/>
      <c r="WYM66" s="528"/>
      <c r="WYN66" s="528"/>
      <c r="WYO66" s="528"/>
      <c r="WYP66" s="528"/>
      <c r="WYQ66" s="528"/>
      <c r="WYR66" s="528"/>
      <c r="WYS66" s="528"/>
      <c r="WYT66" s="528"/>
      <c r="WYU66" s="528"/>
      <c r="WYV66" s="528"/>
      <c r="WYW66" s="528"/>
      <c r="WYX66" s="528"/>
      <c r="WYY66" s="528"/>
      <c r="WYZ66" s="528"/>
      <c r="WZA66" s="528"/>
      <c r="WZB66" s="528"/>
      <c r="WZC66" s="528"/>
      <c r="WZD66" s="528"/>
      <c r="WZE66" s="528"/>
      <c r="WZF66" s="528"/>
      <c r="WZG66" s="528"/>
      <c r="WZH66" s="528"/>
      <c r="WZI66" s="528"/>
      <c r="WZJ66" s="528"/>
      <c r="WZK66" s="528"/>
      <c r="WZL66" s="528"/>
      <c r="WZM66" s="528"/>
      <c r="WZN66" s="528"/>
      <c r="WZO66" s="528"/>
      <c r="WZP66" s="528"/>
      <c r="WZQ66" s="528"/>
      <c r="WZR66" s="528"/>
      <c r="WZS66" s="528"/>
      <c r="WZT66" s="528"/>
      <c r="WZU66" s="528"/>
      <c r="WZV66" s="528"/>
      <c r="WZW66" s="528"/>
      <c r="WZX66" s="528"/>
      <c r="WZY66" s="528"/>
      <c r="WZZ66" s="528"/>
      <c r="XAA66" s="528"/>
      <c r="XAB66" s="528"/>
      <c r="XAC66" s="528"/>
      <c r="XAD66" s="528"/>
      <c r="XAE66" s="528"/>
      <c r="XAF66" s="528"/>
      <c r="XAG66" s="528"/>
      <c r="XAH66" s="528"/>
      <c r="XAI66" s="528"/>
      <c r="XAJ66" s="528"/>
      <c r="XAK66" s="528"/>
      <c r="XAL66" s="528"/>
      <c r="XAM66" s="528"/>
      <c r="XAN66" s="528"/>
      <c r="XAO66" s="528"/>
      <c r="XAP66" s="528"/>
      <c r="XAQ66" s="528"/>
      <c r="XAR66" s="528"/>
      <c r="XAS66" s="528"/>
      <c r="XAT66" s="528"/>
      <c r="XAU66" s="528"/>
      <c r="XAV66" s="528"/>
      <c r="XAW66" s="528"/>
      <c r="XAX66" s="528"/>
      <c r="XAY66" s="528"/>
      <c r="XAZ66" s="528"/>
      <c r="XBA66" s="528"/>
      <c r="XBB66" s="528"/>
      <c r="XBC66" s="528"/>
      <c r="XBD66" s="528"/>
      <c r="XBE66" s="528"/>
      <c r="XBF66" s="528"/>
      <c r="XBG66" s="528"/>
      <c r="XBH66" s="528"/>
      <c r="XBI66" s="528"/>
      <c r="XBJ66" s="528"/>
      <c r="XBK66" s="528"/>
      <c r="XBL66" s="528"/>
      <c r="XBM66" s="528"/>
      <c r="XBN66" s="528"/>
      <c r="XBO66" s="528"/>
      <c r="XBP66" s="528"/>
      <c r="XBQ66" s="528"/>
      <c r="XBR66" s="528"/>
      <c r="XBS66" s="528"/>
      <c r="XBT66" s="528"/>
      <c r="XBU66" s="528"/>
      <c r="XBV66" s="528"/>
      <c r="XBW66" s="528"/>
      <c r="XBX66" s="528"/>
      <c r="XBY66" s="528"/>
      <c r="XBZ66" s="528"/>
      <c r="XCA66" s="528"/>
      <c r="XCB66" s="528"/>
      <c r="XCC66" s="528"/>
      <c r="XCD66" s="528"/>
      <c r="XCE66" s="528"/>
      <c r="XCF66" s="528"/>
      <c r="XCG66" s="528"/>
      <c r="XCH66" s="528"/>
      <c r="XCI66" s="528"/>
      <c r="XCJ66" s="528"/>
      <c r="XCK66" s="528"/>
      <c r="XCL66" s="528"/>
      <c r="XCM66" s="528"/>
      <c r="XCN66" s="528"/>
      <c r="XCO66" s="528"/>
      <c r="XCP66" s="528"/>
      <c r="XCQ66" s="528"/>
      <c r="XCR66" s="528"/>
      <c r="XCS66" s="528"/>
      <c r="XCT66" s="528"/>
      <c r="XCU66" s="528"/>
      <c r="XCV66" s="528"/>
      <c r="XCW66" s="528"/>
      <c r="XCX66" s="528"/>
      <c r="XCY66" s="528"/>
      <c r="XCZ66" s="528"/>
      <c r="XDA66" s="528"/>
      <c r="XDB66" s="528"/>
      <c r="XDC66" s="528"/>
      <c r="XDD66" s="528"/>
      <c r="XDE66" s="528"/>
      <c r="XDF66" s="528"/>
      <c r="XDG66" s="528"/>
      <c r="XDH66" s="528"/>
      <c r="XDI66" s="528"/>
      <c r="XDJ66" s="528"/>
      <c r="XDK66" s="528"/>
      <c r="XDL66" s="528"/>
      <c r="XDM66" s="528"/>
      <c r="XDN66" s="528"/>
      <c r="XDO66" s="528"/>
      <c r="XDP66" s="528"/>
      <c r="XDQ66" s="528"/>
      <c r="XDR66" s="528"/>
      <c r="XDS66" s="528"/>
      <c r="XDT66" s="528"/>
      <c r="XDU66" s="528"/>
      <c r="XDV66" s="528"/>
      <c r="XDW66" s="528"/>
      <c r="XDX66" s="528"/>
      <c r="XDY66" s="528"/>
      <c r="XDZ66" s="528"/>
      <c r="XEA66" s="528"/>
      <c r="XEB66" s="528"/>
      <c r="XEC66" s="528"/>
      <c r="XED66" s="528"/>
      <c r="XEE66" s="528"/>
      <c r="XEF66" s="528"/>
      <c r="XEG66" s="528"/>
      <c r="XEH66" s="528"/>
      <c r="XEI66" s="528"/>
      <c r="XEJ66" s="528"/>
      <c r="XEK66" s="528"/>
      <c r="XEL66" s="528"/>
      <c r="XEM66" s="528"/>
      <c r="XEN66" s="528"/>
    </row>
    <row r="67" spans="1:16368" s="192" customFormat="1">
      <c r="A67" s="46"/>
      <c r="B67" s="229"/>
      <c r="C67" s="314"/>
      <c r="D67" s="83"/>
      <c r="E67" s="48"/>
      <c r="F67" s="112"/>
      <c r="G67" s="109"/>
      <c r="H67" s="109"/>
      <c r="I67" s="109"/>
      <c r="J67" s="90"/>
      <c r="K67" s="61"/>
      <c r="L67" s="220"/>
      <c r="M67" s="220"/>
      <c r="N67" s="400"/>
      <c r="O67" s="323">
        <f>1</f>
        <v>1</v>
      </c>
      <c r="P67" s="186"/>
      <c r="R67" s="194"/>
      <c r="S67" s="193"/>
      <c r="V67" s="322"/>
      <c r="W67" s="322" t="str">
        <f t="shared" si="7"/>
        <v/>
      </c>
      <c r="X67" s="186" t="str">
        <f t="shared" ref="X67:X130" si="9">IF(R67="yes",W67,"")</f>
        <v/>
      </c>
    </row>
    <row r="68" spans="1:16368" s="192" customFormat="1" ht="204">
      <c r="A68" s="46">
        <f>A64+1</f>
        <v>20</v>
      </c>
      <c r="B68" s="231" t="s">
        <v>246</v>
      </c>
      <c r="C68" s="191" t="s">
        <v>246</v>
      </c>
      <c r="D68" s="211" t="s">
        <v>247</v>
      </c>
      <c r="E68" s="197">
        <f>LEN(D68)</f>
        <v>297</v>
      </c>
      <c r="F68" s="206" t="s">
        <v>30</v>
      </c>
      <c r="G68" s="197" t="s">
        <v>23</v>
      </c>
      <c r="H68" s="197" t="s">
        <v>23</v>
      </c>
      <c r="I68" s="197" t="s">
        <v>31</v>
      </c>
      <c r="J68" s="221" t="s">
        <v>248</v>
      </c>
      <c r="K68" s="266" t="s">
        <v>23</v>
      </c>
      <c r="L68" s="221" t="s">
        <v>249</v>
      </c>
      <c r="M68" s="61"/>
      <c r="N68" s="10"/>
      <c r="O68" s="318">
        <f>1</f>
        <v>1</v>
      </c>
      <c r="P68" s="186"/>
      <c r="R68" s="472" t="s">
        <v>57</v>
      </c>
      <c r="S68" s="193"/>
      <c r="V68" s="321">
        <v>22.126214981079102</v>
      </c>
      <c r="W68" s="321">
        <f t="shared" si="7"/>
        <v>22.126214981079102</v>
      </c>
      <c r="X68" s="186">
        <f t="shared" si="9"/>
        <v>22.126214981079102</v>
      </c>
    </row>
    <row r="69" spans="1:16368" s="192" customFormat="1">
      <c r="A69" s="46"/>
      <c r="B69" s="229"/>
      <c r="C69" s="103"/>
      <c r="D69" s="227"/>
      <c r="E69" s="48"/>
      <c r="F69" s="104"/>
      <c r="G69" s="48"/>
      <c r="H69" s="48"/>
      <c r="I69" s="48"/>
      <c r="J69" s="94"/>
      <c r="K69" s="61"/>
      <c r="L69" s="94"/>
      <c r="M69" s="94"/>
      <c r="N69" s="10"/>
      <c r="O69" s="323">
        <f>1</f>
        <v>1</v>
      </c>
      <c r="P69" s="186"/>
      <c r="R69" s="194"/>
      <c r="S69" s="193"/>
      <c r="V69" s="322"/>
      <c r="W69" s="322" t="str">
        <f t="shared" ref="W69:W100" si="10">IF(V69="","",V69*O69)</f>
        <v/>
      </c>
      <c r="X69" s="186" t="str">
        <f t="shared" si="9"/>
        <v/>
      </c>
    </row>
    <row r="70" spans="1:16368" s="192" customFormat="1" ht="408" customHeight="1">
      <c r="A70" s="46">
        <f>A68+1</f>
        <v>21</v>
      </c>
      <c r="B70" s="231" t="s">
        <v>250</v>
      </c>
      <c r="C70" s="191" t="s">
        <v>250</v>
      </c>
      <c r="D70" s="211" t="s">
        <v>251</v>
      </c>
      <c r="E70" s="197">
        <f>LEN(D70)</f>
        <v>1236</v>
      </c>
      <c r="F70" s="206" t="s">
        <v>30</v>
      </c>
      <c r="G70" s="197" t="s">
        <v>23</v>
      </c>
      <c r="H70" s="197" t="s">
        <v>23</v>
      </c>
      <c r="I70" s="197" t="s">
        <v>252</v>
      </c>
      <c r="J70" s="188" t="s">
        <v>253</v>
      </c>
      <c r="K70" s="266" t="s">
        <v>23</v>
      </c>
      <c r="L70" s="195" t="s">
        <v>254</v>
      </c>
      <c r="M70" s="53"/>
      <c r="N70" s="10"/>
      <c r="O70" s="318">
        <f>1</f>
        <v>1</v>
      </c>
      <c r="P70" s="186"/>
      <c r="R70" s="472" t="s">
        <v>57</v>
      </c>
      <c r="S70" s="193"/>
      <c r="V70" s="321">
        <v>18.710653305053711</v>
      </c>
      <c r="W70" s="321">
        <f t="shared" si="10"/>
        <v>18.710653305053711</v>
      </c>
      <c r="X70" s="186">
        <f t="shared" si="9"/>
        <v>18.710653305053711</v>
      </c>
    </row>
    <row r="71" spans="1:16368" s="279" customFormat="1" ht="182" customHeight="1">
      <c r="A71" s="46"/>
      <c r="B71" s="281" t="s">
        <v>255</v>
      </c>
      <c r="C71" s="292" t="s">
        <v>256</v>
      </c>
      <c r="D71" s="196" t="s">
        <v>218</v>
      </c>
      <c r="E71" s="189">
        <f>LEN(D71)</f>
        <v>134</v>
      </c>
      <c r="F71" s="191" t="s">
        <v>30</v>
      </c>
      <c r="G71" s="189" t="s">
        <v>23</v>
      </c>
      <c r="H71" s="189" t="s">
        <v>23</v>
      </c>
      <c r="I71" s="189" t="s">
        <v>31</v>
      </c>
      <c r="J71" s="188" t="s">
        <v>257</v>
      </c>
      <c r="K71" s="266" t="s">
        <v>23</v>
      </c>
      <c r="L71" s="195" t="s">
        <v>258</v>
      </c>
      <c r="M71" s="53"/>
      <c r="N71" s="52"/>
      <c r="O71" s="439">
        <f>1</f>
        <v>1</v>
      </c>
      <c r="P71" s="187"/>
      <c r="R71" s="476" t="s">
        <v>57</v>
      </c>
      <c r="S71" s="273"/>
      <c r="V71" s="325">
        <v>8</v>
      </c>
      <c r="W71" s="325">
        <f t="shared" si="10"/>
        <v>8</v>
      </c>
      <c r="X71" s="187">
        <f>IF(R71="yes",W71,"")</f>
        <v>8</v>
      </c>
    </row>
    <row r="72" spans="1:16368" s="279" customFormat="1" ht="182" customHeight="1">
      <c r="A72" s="46"/>
      <c r="B72" s="281" t="s">
        <v>259</v>
      </c>
      <c r="C72" s="292" t="s">
        <v>260</v>
      </c>
      <c r="D72" s="196" t="s">
        <v>223</v>
      </c>
      <c r="E72" s="189">
        <f>LEN(D72)</f>
        <v>160</v>
      </c>
      <c r="F72" s="191" t="s">
        <v>30</v>
      </c>
      <c r="G72" s="189" t="s">
        <v>23</v>
      </c>
      <c r="H72" s="189" t="s">
        <v>23</v>
      </c>
      <c r="I72" s="189" t="s">
        <v>31</v>
      </c>
      <c r="J72" s="188" t="s">
        <v>257</v>
      </c>
      <c r="K72" s="266" t="s">
        <v>23</v>
      </c>
      <c r="L72" s="195" t="s">
        <v>261</v>
      </c>
      <c r="M72" s="53"/>
      <c r="N72" s="52"/>
      <c r="O72" s="439">
        <f>1</f>
        <v>1</v>
      </c>
      <c r="P72" s="187"/>
      <c r="R72" s="476" t="s">
        <v>57</v>
      </c>
      <c r="S72" s="273"/>
      <c r="V72" s="325">
        <v>8</v>
      </c>
      <c r="W72" s="325">
        <f t="shared" si="10"/>
        <v>8</v>
      </c>
      <c r="X72" s="187">
        <f>IF(R72="yes",W72,"")</f>
        <v>8</v>
      </c>
    </row>
    <row r="73" spans="1:16368" s="192" customFormat="1" ht="182" customHeight="1">
      <c r="A73" s="46"/>
      <c r="B73" s="281" t="s">
        <v>262</v>
      </c>
      <c r="C73" s="292" t="s">
        <v>263</v>
      </c>
      <c r="D73" s="196" t="s">
        <v>227</v>
      </c>
      <c r="E73" s="189">
        <f>LEN(D73)</f>
        <v>163</v>
      </c>
      <c r="F73" s="191" t="s">
        <v>30</v>
      </c>
      <c r="G73" s="189" t="s">
        <v>23</v>
      </c>
      <c r="H73" s="189" t="s">
        <v>23</v>
      </c>
      <c r="I73" s="189" t="s">
        <v>31</v>
      </c>
      <c r="J73" s="188" t="s">
        <v>257</v>
      </c>
      <c r="K73" s="266" t="s">
        <v>23</v>
      </c>
      <c r="L73" s="195" t="s">
        <v>264</v>
      </c>
      <c r="M73" s="53"/>
      <c r="N73" s="52"/>
      <c r="O73" s="318">
        <f>1</f>
        <v>1</v>
      </c>
      <c r="P73" s="186"/>
      <c r="R73" s="472" t="s">
        <v>57</v>
      </c>
      <c r="S73" s="193"/>
      <c r="V73" s="321">
        <v>8</v>
      </c>
      <c r="W73" s="321">
        <f t="shared" si="10"/>
        <v>8</v>
      </c>
      <c r="X73" s="186">
        <f>IF(R73="yes",W73,"")</f>
        <v>8</v>
      </c>
    </row>
    <row r="74" spans="1:16368" s="192" customFormat="1">
      <c r="A74" s="102"/>
      <c r="B74" s="309"/>
      <c r="C74" s="314"/>
      <c r="D74" s="315"/>
      <c r="E74" s="109"/>
      <c r="F74" s="103"/>
      <c r="G74" s="109"/>
      <c r="H74" s="109"/>
      <c r="I74" s="109"/>
      <c r="J74" s="90"/>
      <c r="K74" s="61"/>
      <c r="L74" s="220"/>
      <c r="M74" s="220"/>
      <c r="N74" s="52"/>
      <c r="O74" s="323">
        <f>1</f>
        <v>1</v>
      </c>
      <c r="P74" s="186"/>
      <c r="R74" s="194"/>
      <c r="S74" s="193"/>
      <c r="V74" s="322"/>
      <c r="W74" s="322" t="str">
        <f>IF(V74="","",V74*O74)</f>
        <v/>
      </c>
      <c r="X74" s="186" t="str">
        <f>IF(R74="yes",W74,"")</f>
        <v/>
      </c>
    </row>
    <row r="75" spans="1:16368" s="192" customFormat="1" ht="136">
      <c r="A75" s="14">
        <v>19</v>
      </c>
      <c r="B75" s="282" t="s">
        <v>265</v>
      </c>
      <c r="C75" s="17" t="s">
        <v>265</v>
      </c>
      <c r="D75" s="22" t="s">
        <v>266</v>
      </c>
      <c r="E75" s="20">
        <f>LEN(D75)</f>
        <v>239</v>
      </c>
      <c r="F75" s="20" t="s">
        <v>97</v>
      </c>
      <c r="G75" s="20" t="s">
        <v>23</v>
      </c>
      <c r="H75" s="20" t="s">
        <v>23</v>
      </c>
      <c r="I75" s="20" t="s">
        <v>26</v>
      </c>
      <c r="J75" s="31" t="s">
        <v>267</v>
      </c>
      <c r="K75" s="84" t="s">
        <v>23</v>
      </c>
      <c r="L75" s="32" t="s">
        <v>268</v>
      </c>
      <c r="M75" s="32"/>
      <c r="N75" s="555" t="s">
        <v>233</v>
      </c>
      <c r="O75" s="323">
        <f>1</f>
        <v>1</v>
      </c>
      <c r="P75" s="186"/>
      <c r="R75" s="194" t="s">
        <v>22</v>
      </c>
      <c r="S75" s="193"/>
      <c r="V75" s="322">
        <v>23.200380325317383</v>
      </c>
      <c r="W75" s="322">
        <f t="shared" si="10"/>
        <v>23.200380325317383</v>
      </c>
      <c r="X75" s="186" t="str">
        <f t="shared" si="9"/>
        <v/>
      </c>
    </row>
    <row r="76" spans="1:16368" s="192" customFormat="1" ht="119">
      <c r="A76" s="14" t="e">
        <f>#REF!+1</f>
        <v>#REF!</v>
      </c>
      <c r="B76" s="282" t="s">
        <v>269</v>
      </c>
      <c r="C76" s="291" t="s">
        <v>269</v>
      </c>
      <c r="D76" s="22" t="s">
        <v>235</v>
      </c>
      <c r="E76" s="20">
        <f>LEN(D76)</f>
        <v>253</v>
      </c>
      <c r="F76" s="33" t="s">
        <v>30</v>
      </c>
      <c r="G76" s="16" t="s">
        <v>23</v>
      </c>
      <c r="H76" s="16" t="s">
        <v>23</v>
      </c>
      <c r="I76" s="16" t="s">
        <v>31</v>
      </c>
      <c r="J76" s="34" t="s">
        <v>270</v>
      </c>
      <c r="K76" s="84" t="s">
        <v>23</v>
      </c>
      <c r="L76" s="34" t="s">
        <v>271</v>
      </c>
      <c r="M76" s="34"/>
      <c r="N76" s="556"/>
      <c r="O76" s="323">
        <f>1</f>
        <v>1</v>
      </c>
      <c r="P76" s="186"/>
      <c r="R76" s="194" t="s">
        <v>22</v>
      </c>
      <c r="S76" s="193"/>
      <c r="V76" s="322">
        <v>1.9277389049530029</v>
      </c>
      <c r="W76" s="322">
        <f t="shared" si="10"/>
        <v>1.9277389049530029</v>
      </c>
      <c r="X76" s="186" t="str">
        <f t="shared" si="9"/>
        <v/>
      </c>
    </row>
    <row r="77" spans="1:16368" s="192" customFormat="1" ht="170">
      <c r="A77" s="59">
        <v>18</v>
      </c>
      <c r="B77" s="423" t="s">
        <v>272</v>
      </c>
      <c r="C77" s="424" t="s">
        <v>272</v>
      </c>
      <c r="D77" s="58" t="s">
        <v>239</v>
      </c>
      <c r="E77" s="16">
        <f>LEN(D77)</f>
        <v>181</v>
      </c>
      <c r="F77" s="17" t="s">
        <v>30</v>
      </c>
      <c r="G77" s="16" t="s">
        <v>23</v>
      </c>
      <c r="H77" s="16" t="s">
        <v>23</v>
      </c>
      <c r="I77" s="16" t="s">
        <v>31</v>
      </c>
      <c r="J77" s="34" t="s">
        <v>273</v>
      </c>
      <c r="K77" s="84" t="s">
        <v>23</v>
      </c>
      <c r="L77" s="409" t="s">
        <v>274</v>
      </c>
      <c r="M77" s="410"/>
      <c r="N77" s="52"/>
      <c r="O77" s="323">
        <f>1</f>
        <v>1</v>
      </c>
      <c r="P77" s="186"/>
      <c r="R77" s="194" t="s">
        <v>22</v>
      </c>
      <c r="S77" s="193"/>
      <c r="V77" s="322">
        <v>4.7874016761779785</v>
      </c>
      <c r="W77" s="322">
        <f t="shared" si="10"/>
        <v>4.7874016761779785</v>
      </c>
      <c r="X77" s="186" t="str">
        <f t="shared" si="9"/>
        <v/>
      </c>
    </row>
    <row r="78" spans="1:16368" s="192" customFormat="1" ht="153">
      <c r="A78" s="408"/>
      <c r="B78" s="282" t="s">
        <v>275</v>
      </c>
      <c r="C78" s="291" t="s">
        <v>275</v>
      </c>
      <c r="D78" s="37" t="s">
        <v>243</v>
      </c>
      <c r="E78" s="24">
        <f>LEN(D78)</f>
        <v>215</v>
      </c>
      <c r="F78" s="36" t="s">
        <v>30</v>
      </c>
      <c r="G78" s="20" t="s">
        <v>23</v>
      </c>
      <c r="H78" s="20" t="s">
        <v>23</v>
      </c>
      <c r="I78" s="20" t="s">
        <v>31</v>
      </c>
      <c r="J78" s="425" t="s">
        <v>276</v>
      </c>
      <c r="K78" s="84" t="s">
        <v>23</v>
      </c>
      <c r="L78" s="422" t="s">
        <v>277</v>
      </c>
      <c r="M78" s="411"/>
      <c r="N78" s="10"/>
      <c r="O78" s="323">
        <f>1</f>
        <v>1</v>
      </c>
      <c r="P78" s="186"/>
      <c r="Q78" s="528"/>
      <c r="R78" s="194" t="s">
        <v>22</v>
      </c>
      <c r="S78" s="193"/>
      <c r="T78" s="528"/>
      <c r="U78" s="528"/>
      <c r="V78" s="322">
        <v>20.918367385864258</v>
      </c>
      <c r="W78" s="322">
        <f t="shared" si="10"/>
        <v>20.918367385864258</v>
      </c>
      <c r="X78" s="186" t="str">
        <f t="shared" si="9"/>
        <v/>
      </c>
      <c r="Y78" s="528"/>
      <c r="Z78" s="528"/>
      <c r="AA78" s="528"/>
      <c r="AB78" s="528"/>
      <c r="AC78" s="528"/>
      <c r="AD78" s="528"/>
      <c r="AE78" s="528"/>
      <c r="AF78" s="528"/>
      <c r="AG78" s="528"/>
      <c r="AH78" s="528"/>
      <c r="AI78" s="528"/>
      <c r="AJ78" s="528"/>
      <c r="AK78" s="528"/>
      <c r="AL78" s="528"/>
      <c r="AM78" s="528"/>
      <c r="AN78" s="528"/>
      <c r="AO78" s="528"/>
      <c r="AP78" s="528"/>
      <c r="AQ78" s="528"/>
      <c r="AR78" s="528"/>
      <c r="AS78" s="528"/>
      <c r="AT78" s="528"/>
      <c r="AU78" s="528"/>
      <c r="AV78" s="528"/>
      <c r="AW78" s="528"/>
      <c r="AX78" s="528"/>
      <c r="AY78" s="528"/>
      <c r="AZ78" s="528"/>
      <c r="BA78" s="528"/>
      <c r="BB78" s="528"/>
      <c r="BC78" s="528"/>
      <c r="BD78" s="528"/>
      <c r="BE78" s="528"/>
      <c r="BF78" s="528"/>
      <c r="BG78" s="528"/>
      <c r="BH78" s="528"/>
      <c r="BI78" s="528"/>
      <c r="BJ78" s="528"/>
      <c r="BK78" s="528"/>
      <c r="BL78" s="528"/>
      <c r="BM78" s="528"/>
      <c r="BN78" s="528"/>
      <c r="BO78" s="528"/>
      <c r="BP78" s="528"/>
      <c r="BQ78" s="528"/>
      <c r="BR78" s="528"/>
      <c r="BS78" s="528"/>
      <c r="BT78" s="528"/>
      <c r="BU78" s="528"/>
      <c r="BV78" s="528"/>
      <c r="BW78" s="528"/>
      <c r="BX78" s="528"/>
      <c r="BY78" s="528"/>
      <c r="BZ78" s="528"/>
      <c r="CA78" s="528"/>
      <c r="CB78" s="528"/>
      <c r="CC78" s="528"/>
      <c r="CD78" s="528"/>
      <c r="CE78" s="528"/>
      <c r="CF78" s="528"/>
      <c r="CG78" s="528"/>
      <c r="CH78" s="528"/>
      <c r="CI78" s="528"/>
      <c r="CJ78" s="528"/>
      <c r="CK78" s="528"/>
      <c r="CL78" s="528"/>
      <c r="CM78" s="528"/>
      <c r="CN78" s="528"/>
      <c r="CO78" s="528"/>
      <c r="CP78" s="528"/>
      <c r="CQ78" s="528"/>
      <c r="CR78" s="528"/>
      <c r="CS78" s="528"/>
      <c r="CT78" s="528"/>
      <c r="CU78" s="528"/>
      <c r="CV78" s="528"/>
      <c r="CW78" s="528"/>
      <c r="CX78" s="528"/>
      <c r="CY78" s="528"/>
      <c r="CZ78" s="528"/>
      <c r="DA78" s="528"/>
      <c r="DB78" s="528"/>
      <c r="DC78" s="528"/>
      <c r="DD78" s="528"/>
      <c r="DE78" s="528"/>
      <c r="DF78" s="528"/>
      <c r="DG78" s="528"/>
      <c r="DH78" s="528"/>
      <c r="DI78" s="528"/>
      <c r="DJ78" s="528"/>
      <c r="DK78" s="528"/>
      <c r="DL78" s="528"/>
      <c r="DM78" s="528"/>
      <c r="DN78" s="528"/>
      <c r="DO78" s="528"/>
      <c r="DP78" s="528"/>
      <c r="DQ78" s="528"/>
      <c r="DR78" s="528"/>
      <c r="DS78" s="528"/>
      <c r="DT78" s="528"/>
      <c r="DU78" s="528"/>
      <c r="DV78" s="528"/>
      <c r="DW78" s="528"/>
      <c r="DX78" s="528"/>
      <c r="DY78" s="528"/>
      <c r="DZ78" s="528"/>
      <c r="EA78" s="528"/>
      <c r="EB78" s="528"/>
      <c r="EC78" s="528"/>
      <c r="ED78" s="528"/>
      <c r="EE78" s="528"/>
      <c r="EF78" s="528"/>
      <c r="EG78" s="528"/>
      <c r="EH78" s="528"/>
      <c r="EI78" s="528"/>
      <c r="EJ78" s="528"/>
      <c r="EK78" s="528"/>
      <c r="EL78" s="528"/>
      <c r="EM78" s="528"/>
      <c r="EN78" s="528"/>
      <c r="EO78" s="528"/>
      <c r="EP78" s="528"/>
      <c r="EQ78" s="528"/>
      <c r="ER78" s="528"/>
      <c r="ES78" s="528"/>
      <c r="ET78" s="528"/>
      <c r="EU78" s="528"/>
      <c r="EV78" s="528"/>
      <c r="EW78" s="528"/>
      <c r="EX78" s="528"/>
      <c r="EY78" s="528"/>
      <c r="EZ78" s="528"/>
      <c r="FA78" s="528"/>
      <c r="FB78" s="528"/>
      <c r="FC78" s="528"/>
      <c r="FD78" s="528"/>
      <c r="FE78" s="528"/>
      <c r="FF78" s="528"/>
      <c r="FG78" s="528"/>
      <c r="FH78" s="528"/>
      <c r="FI78" s="528"/>
      <c r="FJ78" s="528"/>
      <c r="FK78" s="528"/>
      <c r="FL78" s="528"/>
      <c r="FM78" s="528"/>
      <c r="FN78" s="528"/>
      <c r="FO78" s="528"/>
      <c r="FP78" s="528"/>
      <c r="FQ78" s="528"/>
      <c r="FR78" s="528"/>
      <c r="FS78" s="528"/>
      <c r="FT78" s="528"/>
      <c r="FU78" s="528"/>
      <c r="FV78" s="528"/>
      <c r="FW78" s="528"/>
      <c r="FX78" s="528"/>
      <c r="FY78" s="528"/>
      <c r="FZ78" s="528"/>
      <c r="GA78" s="528"/>
      <c r="GB78" s="528"/>
      <c r="GC78" s="528"/>
      <c r="GD78" s="528"/>
      <c r="GE78" s="528"/>
      <c r="GF78" s="528"/>
      <c r="GG78" s="528"/>
      <c r="GH78" s="528"/>
      <c r="GI78" s="528"/>
      <c r="GJ78" s="528"/>
      <c r="GK78" s="528"/>
      <c r="GL78" s="528"/>
      <c r="GM78" s="528"/>
      <c r="GN78" s="528"/>
      <c r="GO78" s="528"/>
      <c r="GP78" s="528"/>
      <c r="GQ78" s="528"/>
      <c r="GR78" s="528"/>
      <c r="GS78" s="528"/>
      <c r="GT78" s="528"/>
      <c r="GU78" s="528"/>
      <c r="GV78" s="528"/>
      <c r="GW78" s="528"/>
      <c r="GX78" s="528"/>
      <c r="GY78" s="528"/>
      <c r="GZ78" s="528"/>
      <c r="HA78" s="528"/>
      <c r="HB78" s="528"/>
      <c r="HC78" s="528"/>
      <c r="HD78" s="528"/>
      <c r="HE78" s="528"/>
      <c r="HF78" s="528"/>
      <c r="HG78" s="528"/>
      <c r="HH78" s="528"/>
      <c r="HI78" s="528"/>
      <c r="HJ78" s="528"/>
      <c r="HK78" s="528"/>
      <c r="HL78" s="528"/>
      <c r="HM78" s="528"/>
      <c r="HN78" s="528"/>
      <c r="HO78" s="528"/>
      <c r="HP78" s="528"/>
      <c r="HQ78" s="528"/>
      <c r="HR78" s="528"/>
      <c r="HS78" s="528"/>
      <c r="HT78" s="528"/>
      <c r="HU78" s="528"/>
      <c r="HV78" s="528"/>
      <c r="HW78" s="528"/>
      <c r="HX78" s="528"/>
      <c r="HY78" s="528"/>
      <c r="HZ78" s="528"/>
      <c r="IA78" s="528"/>
      <c r="IB78" s="528"/>
      <c r="IC78" s="528"/>
      <c r="ID78" s="528"/>
      <c r="IE78" s="528"/>
      <c r="IF78" s="528"/>
      <c r="IG78" s="528"/>
      <c r="IH78" s="528"/>
      <c r="II78" s="528"/>
      <c r="IJ78" s="528"/>
      <c r="IK78" s="528"/>
      <c r="IL78" s="528"/>
      <c r="IM78" s="528"/>
      <c r="IN78" s="528"/>
      <c r="IO78" s="528"/>
      <c r="IP78" s="528"/>
      <c r="IQ78" s="528"/>
      <c r="IR78" s="528"/>
      <c r="IS78" s="528"/>
      <c r="IT78" s="528"/>
      <c r="IU78" s="528"/>
      <c r="IV78" s="528"/>
      <c r="IW78" s="528"/>
      <c r="IX78" s="528"/>
      <c r="IY78" s="528"/>
      <c r="IZ78" s="528"/>
      <c r="JA78" s="528"/>
      <c r="JB78" s="528"/>
      <c r="JC78" s="528"/>
      <c r="JD78" s="528"/>
      <c r="JE78" s="528"/>
      <c r="JF78" s="528"/>
      <c r="JG78" s="528"/>
      <c r="JH78" s="528"/>
      <c r="JI78" s="528"/>
      <c r="JJ78" s="528"/>
      <c r="JK78" s="528"/>
      <c r="JL78" s="528"/>
      <c r="JM78" s="528"/>
      <c r="JN78" s="528"/>
      <c r="JO78" s="528"/>
      <c r="JP78" s="528"/>
      <c r="JQ78" s="528"/>
      <c r="JR78" s="528"/>
      <c r="JS78" s="528"/>
      <c r="JT78" s="528"/>
      <c r="JU78" s="528"/>
      <c r="JV78" s="528"/>
      <c r="JW78" s="528"/>
      <c r="JX78" s="528"/>
      <c r="JY78" s="528"/>
      <c r="JZ78" s="528"/>
      <c r="KA78" s="528"/>
      <c r="KB78" s="528"/>
      <c r="KC78" s="528"/>
      <c r="KD78" s="528"/>
      <c r="KE78" s="528"/>
      <c r="KF78" s="528"/>
      <c r="KG78" s="528"/>
      <c r="KH78" s="528"/>
      <c r="KI78" s="528"/>
      <c r="KJ78" s="528"/>
      <c r="KK78" s="528"/>
      <c r="KL78" s="528"/>
      <c r="KM78" s="528"/>
      <c r="KN78" s="528"/>
      <c r="KO78" s="528"/>
      <c r="KP78" s="528"/>
      <c r="KQ78" s="528"/>
      <c r="KR78" s="528"/>
      <c r="KS78" s="528"/>
      <c r="KT78" s="528"/>
      <c r="KU78" s="528"/>
      <c r="KV78" s="528"/>
      <c r="KW78" s="528"/>
      <c r="KX78" s="528"/>
      <c r="KY78" s="528"/>
      <c r="KZ78" s="528"/>
      <c r="LA78" s="528"/>
      <c r="LB78" s="528"/>
      <c r="LC78" s="528"/>
      <c r="LD78" s="528"/>
      <c r="LE78" s="528"/>
      <c r="LF78" s="528"/>
      <c r="LG78" s="528"/>
      <c r="LH78" s="528"/>
      <c r="LI78" s="528"/>
      <c r="LJ78" s="528"/>
      <c r="LK78" s="528"/>
      <c r="LL78" s="528"/>
      <c r="LM78" s="528"/>
      <c r="LN78" s="528"/>
      <c r="LO78" s="528"/>
      <c r="LP78" s="528"/>
      <c r="LQ78" s="528"/>
      <c r="LR78" s="528"/>
      <c r="LS78" s="528"/>
      <c r="LT78" s="528"/>
      <c r="LU78" s="528"/>
      <c r="LV78" s="528"/>
      <c r="LW78" s="528"/>
      <c r="LX78" s="528"/>
      <c r="LY78" s="528"/>
      <c r="LZ78" s="528"/>
      <c r="MA78" s="528"/>
      <c r="MB78" s="528"/>
      <c r="MC78" s="528"/>
      <c r="MD78" s="528"/>
      <c r="ME78" s="528"/>
      <c r="MF78" s="528"/>
      <c r="MG78" s="528"/>
      <c r="MH78" s="528"/>
      <c r="MI78" s="528"/>
      <c r="MJ78" s="528"/>
      <c r="MK78" s="528"/>
      <c r="ML78" s="528"/>
      <c r="MM78" s="528"/>
      <c r="MN78" s="528"/>
      <c r="MO78" s="528"/>
      <c r="MP78" s="528"/>
      <c r="MQ78" s="528"/>
      <c r="MR78" s="528"/>
      <c r="MS78" s="528"/>
      <c r="MT78" s="528"/>
      <c r="MU78" s="528"/>
      <c r="MV78" s="528"/>
      <c r="MW78" s="528"/>
      <c r="MX78" s="528"/>
      <c r="MY78" s="528"/>
      <c r="MZ78" s="528"/>
      <c r="NA78" s="528"/>
      <c r="NB78" s="528"/>
      <c r="NC78" s="528"/>
      <c r="ND78" s="528"/>
      <c r="NE78" s="528"/>
      <c r="NF78" s="528"/>
      <c r="NG78" s="528"/>
      <c r="NH78" s="528"/>
      <c r="NI78" s="528"/>
      <c r="NJ78" s="528"/>
      <c r="NK78" s="528"/>
      <c r="NL78" s="528"/>
      <c r="NM78" s="528"/>
      <c r="NN78" s="528"/>
      <c r="NO78" s="528"/>
      <c r="NP78" s="528"/>
      <c r="NQ78" s="528"/>
      <c r="NR78" s="528"/>
      <c r="NS78" s="528"/>
      <c r="NT78" s="528"/>
      <c r="NU78" s="528"/>
      <c r="NV78" s="528"/>
      <c r="NW78" s="528"/>
      <c r="NX78" s="528"/>
      <c r="NY78" s="528"/>
      <c r="NZ78" s="528"/>
      <c r="OA78" s="528"/>
      <c r="OB78" s="528"/>
      <c r="OC78" s="528"/>
      <c r="OD78" s="528"/>
      <c r="OE78" s="528"/>
      <c r="OF78" s="528"/>
      <c r="OG78" s="528"/>
      <c r="OH78" s="528"/>
      <c r="OI78" s="528"/>
      <c r="OJ78" s="528"/>
      <c r="OK78" s="528"/>
      <c r="OL78" s="528"/>
      <c r="OM78" s="528"/>
      <c r="ON78" s="528"/>
      <c r="OO78" s="528"/>
      <c r="OP78" s="528"/>
      <c r="OQ78" s="528"/>
      <c r="OR78" s="528"/>
      <c r="OS78" s="528"/>
      <c r="OT78" s="528"/>
      <c r="OU78" s="528"/>
      <c r="OV78" s="528"/>
      <c r="OW78" s="528"/>
      <c r="OX78" s="528"/>
      <c r="OY78" s="528"/>
      <c r="OZ78" s="528"/>
      <c r="PA78" s="528"/>
      <c r="PB78" s="528"/>
      <c r="PC78" s="528"/>
      <c r="PD78" s="528"/>
      <c r="PE78" s="528"/>
      <c r="PF78" s="528"/>
      <c r="PG78" s="528"/>
      <c r="PH78" s="528"/>
      <c r="PI78" s="528"/>
      <c r="PJ78" s="528"/>
      <c r="PK78" s="528"/>
      <c r="PL78" s="528"/>
      <c r="PM78" s="528"/>
      <c r="PN78" s="528"/>
      <c r="PO78" s="528"/>
      <c r="PP78" s="528"/>
      <c r="PQ78" s="528"/>
      <c r="PR78" s="528"/>
      <c r="PS78" s="528"/>
      <c r="PT78" s="528"/>
      <c r="PU78" s="528"/>
      <c r="PV78" s="528"/>
      <c r="PW78" s="528"/>
      <c r="PX78" s="528"/>
      <c r="PY78" s="528"/>
      <c r="PZ78" s="528"/>
      <c r="QA78" s="528"/>
      <c r="QB78" s="528"/>
      <c r="QC78" s="528"/>
      <c r="QD78" s="528"/>
      <c r="QE78" s="528"/>
      <c r="QF78" s="528"/>
      <c r="QG78" s="528"/>
      <c r="QH78" s="528"/>
      <c r="QI78" s="528"/>
      <c r="QJ78" s="528"/>
      <c r="QK78" s="528"/>
      <c r="QL78" s="528"/>
      <c r="QM78" s="528"/>
      <c r="QN78" s="528"/>
      <c r="QO78" s="528"/>
      <c r="QP78" s="528"/>
      <c r="QQ78" s="528"/>
      <c r="QR78" s="528"/>
      <c r="QS78" s="528"/>
      <c r="QT78" s="528"/>
      <c r="QU78" s="528"/>
      <c r="QV78" s="528"/>
      <c r="QW78" s="528"/>
      <c r="QX78" s="528"/>
      <c r="QY78" s="528"/>
      <c r="QZ78" s="528"/>
      <c r="RA78" s="528"/>
      <c r="RB78" s="528"/>
      <c r="RC78" s="528"/>
      <c r="RD78" s="528"/>
      <c r="RE78" s="528"/>
      <c r="RF78" s="528"/>
      <c r="RG78" s="528"/>
      <c r="RH78" s="528"/>
      <c r="RI78" s="528"/>
      <c r="RJ78" s="528"/>
      <c r="RK78" s="528"/>
      <c r="RL78" s="528"/>
      <c r="RM78" s="528"/>
      <c r="RN78" s="528"/>
      <c r="RO78" s="528"/>
      <c r="RP78" s="528"/>
      <c r="RQ78" s="528"/>
      <c r="RR78" s="528"/>
      <c r="RS78" s="528"/>
      <c r="RT78" s="528"/>
      <c r="RU78" s="528"/>
      <c r="RV78" s="528"/>
      <c r="RW78" s="528"/>
      <c r="RX78" s="528"/>
      <c r="RY78" s="528"/>
      <c r="RZ78" s="528"/>
      <c r="SA78" s="528"/>
      <c r="SB78" s="528"/>
      <c r="SC78" s="528"/>
      <c r="SD78" s="528"/>
      <c r="SE78" s="528"/>
      <c r="SF78" s="528"/>
      <c r="SG78" s="528"/>
      <c r="SH78" s="528"/>
      <c r="SI78" s="528"/>
      <c r="SJ78" s="528"/>
      <c r="SK78" s="528"/>
      <c r="SL78" s="528"/>
      <c r="SM78" s="528"/>
      <c r="SN78" s="528"/>
      <c r="SO78" s="528"/>
      <c r="SP78" s="528"/>
      <c r="SQ78" s="528"/>
      <c r="SR78" s="528"/>
      <c r="SS78" s="528"/>
      <c r="ST78" s="528"/>
      <c r="SU78" s="528"/>
      <c r="SV78" s="528"/>
      <c r="SW78" s="528"/>
      <c r="SX78" s="528"/>
      <c r="SY78" s="528"/>
      <c r="SZ78" s="528"/>
      <c r="TA78" s="528"/>
      <c r="TB78" s="528"/>
      <c r="TC78" s="528"/>
      <c r="TD78" s="528"/>
      <c r="TE78" s="528"/>
      <c r="TF78" s="528"/>
      <c r="TG78" s="528"/>
      <c r="TH78" s="528"/>
      <c r="TI78" s="528"/>
      <c r="TJ78" s="528"/>
      <c r="TK78" s="528"/>
      <c r="TL78" s="528"/>
      <c r="TM78" s="528"/>
      <c r="TN78" s="528"/>
      <c r="TO78" s="528"/>
      <c r="TP78" s="528"/>
      <c r="TQ78" s="528"/>
      <c r="TR78" s="528"/>
      <c r="TS78" s="528"/>
      <c r="TT78" s="528"/>
      <c r="TU78" s="528"/>
      <c r="TV78" s="528"/>
      <c r="TW78" s="528"/>
      <c r="TX78" s="528"/>
      <c r="TY78" s="528"/>
      <c r="TZ78" s="528"/>
      <c r="UA78" s="528"/>
      <c r="UB78" s="528"/>
      <c r="UC78" s="528"/>
      <c r="UD78" s="528"/>
      <c r="UE78" s="528"/>
      <c r="UF78" s="528"/>
      <c r="UG78" s="528"/>
      <c r="UH78" s="528"/>
      <c r="UI78" s="528"/>
      <c r="UJ78" s="528"/>
      <c r="UK78" s="528"/>
      <c r="UL78" s="528"/>
      <c r="UM78" s="528"/>
      <c r="UN78" s="528"/>
      <c r="UO78" s="528"/>
      <c r="UP78" s="528"/>
      <c r="UQ78" s="528"/>
      <c r="UR78" s="528"/>
      <c r="US78" s="528"/>
      <c r="UT78" s="528"/>
      <c r="UU78" s="528"/>
      <c r="UV78" s="528"/>
      <c r="UW78" s="528"/>
      <c r="UX78" s="528"/>
      <c r="UY78" s="528"/>
      <c r="UZ78" s="528"/>
      <c r="VA78" s="528"/>
      <c r="VB78" s="528"/>
      <c r="VC78" s="528"/>
      <c r="VD78" s="528"/>
      <c r="VE78" s="528"/>
      <c r="VF78" s="528"/>
      <c r="VG78" s="528"/>
      <c r="VH78" s="528"/>
      <c r="VI78" s="528"/>
      <c r="VJ78" s="528"/>
      <c r="VK78" s="528"/>
      <c r="VL78" s="528"/>
      <c r="VM78" s="528"/>
      <c r="VN78" s="528"/>
      <c r="VO78" s="528"/>
      <c r="VP78" s="528"/>
      <c r="VQ78" s="528"/>
      <c r="VR78" s="528"/>
      <c r="VS78" s="528"/>
      <c r="VT78" s="528"/>
      <c r="VU78" s="528"/>
      <c r="VV78" s="528"/>
      <c r="VW78" s="528"/>
      <c r="VX78" s="528"/>
      <c r="VY78" s="528"/>
      <c r="VZ78" s="528"/>
      <c r="WA78" s="528"/>
      <c r="WB78" s="528"/>
      <c r="WC78" s="528"/>
      <c r="WD78" s="528"/>
      <c r="WE78" s="528"/>
      <c r="WF78" s="528"/>
      <c r="WG78" s="528"/>
      <c r="WH78" s="528"/>
      <c r="WI78" s="528"/>
      <c r="WJ78" s="528"/>
      <c r="WK78" s="528"/>
      <c r="WL78" s="528"/>
      <c r="WM78" s="528"/>
      <c r="WN78" s="528"/>
      <c r="WO78" s="528"/>
      <c r="WP78" s="528"/>
      <c r="WQ78" s="528"/>
      <c r="WR78" s="528"/>
      <c r="WS78" s="528"/>
      <c r="WT78" s="528"/>
      <c r="WU78" s="528"/>
      <c r="WV78" s="528"/>
      <c r="WW78" s="528"/>
      <c r="WX78" s="528"/>
      <c r="WY78" s="528"/>
      <c r="WZ78" s="528"/>
      <c r="XA78" s="528"/>
      <c r="XB78" s="528"/>
      <c r="XC78" s="528"/>
      <c r="XD78" s="528"/>
      <c r="XE78" s="528"/>
      <c r="XF78" s="528"/>
      <c r="XG78" s="528"/>
      <c r="XH78" s="528"/>
      <c r="XI78" s="528"/>
      <c r="XJ78" s="528"/>
      <c r="XK78" s="528"/>
      <c r="XL78" s="528"/>
      <c r="XM78" s="528"/>
      <c r="XN78" s="528"/>
      <c r="XO78" s="528"/>
      <c r="XP78" s="528"/>
      <c r="XQ78" s="528"/>
      <c r="XR78" s="528"/>
      <c r="XS78" s="528"/>
      <c r="XT78" s="528"/>
      <c r="XU78" s="528"/>
      <c r="XV78" s="528"/>
      <c r="XW78" s="528"/>
      <c r="XX78" s="528"/>
      <c r="XY78" s="528"/>
      <c r="XZ78" s="528"/>
      <c r="YA78" s="528"/>
      <c r="YB78" s="528"/>
      <c r="YC78" s="528"/>
      <c r="YD78" s="528"/>
      <c r="YE78" s="528"/>
      <c r="YF78" s="528"/>
      <c r="YG78" s="528"/>
      <c r="YH78" s="528"/>
      <c r="YI78" s="528"/>
      <c r="YJ78" s="528"/>
      <c r="YK78" s="528"/>
      <c r="YL78" s="528"/>
      <c r="YM78" s="528"/>
      <c r="YN78" s="528"/>
      <c r="YO78" s="528"/>
      <c r="YP78" s="528"/>
      <c r="YQ78" s="528"/>
      <c r="YR78" s="528"/>
      <c r="YS78" s="528"/>
      <c r="YT78" s="528"/>
      <c r="YU78" s="528"/>
      <c r="YV78" s="528"/>
      <c r="YW78" s="528"/>
      <c r="YX78" s="528"/>
      <c r="YY78" s="528"/>
      <c r="YZ78" s="528"/>
      <c r="ZA78" s="528"/>
      <c r="ZB78" s="528"/>
      <c r="ZC78" s="528"/>
      <c r="ZD78" s="528"/>
      <c r="ZE78" s="528"/>
      <c r="ZF78" s="528"/>
      <c r="ZG78" s="528"/>
      <c r="ZH78" s="528"/>
      <c r="ZI78" s="528"/>
      <c r="ZJ78" s="528"/>
      <c r="ZK78" s="528"/>
      <c r="ZL78" s="528"/>
      <c r="ZM78" s="528"/>
      <c r="ZN78" s="528"/>
      <c r="ZO78" s="528"/>
      <c r="ZP78" s="528"/>
      <c r="ZQ78" s="528"/>
      <c r="ZR78" s="528"/>
      <c r="ZS78" s="528"/>
      <c r="ZT78" s="528"/>
      <c r="ZU78" s="528"/>
      <c r="ZV78" s="528"/>
      <c r="ZW78" s="528"/>
      <c r="ZX78" s="528"/>
      <c r="ZY78" s="528"/>
      <c r="ZZ78" s="528"/>
      <c r="AAA78" s="528"/>
      <c r="AAB78" s="528"/>
      <c r="AAC78" s="528"/>
      <c r="AAD78" s="528"/>
      <c r="AAE78" s="528"/>
      <c r="AAF78" s="528"/>
      <c r="AAG78" s="528"/>
      <c r="AAH78" s="528"/>
      <c r="AAI78" s="528"/>
      <c r="AAJ78" s="528"/>
      <c r="AAK78" s="528"/>
      <c r="AAL78" s="528"/>
      <c r="AAM78" s="528"/>
      <c r="AAN78" s="528"/>
      <c r="AAO78" s="528"/>
      <c r="AAP78" s="528"/>
      <c r="AAQ78" s="528"/>
      <c r="AAR78" s="528"/>
      <c r="AAS78" s="528"/>
      <c r="AAT78" s="528"/>
      <c r="AAU78" s="528"/>
      <c r="AAV78" s="528"/>
      <c r="AAW78" s="528"/>
      <c r="AAX78" s="528"/>
      <c r="AAY78" s="528"/>
      <c r="AAZ78" s="528"/>
      <c r="ABA78" s="528"/>
      <c r="ABB78" s="528"/>
      <c r="ABC78" s="528"/>
      <c r="ABD78" s="528"/>
      <c r="ABE78" s="528"/>
      <c r="ABF78" s="528"/>
      <c r="ABG78" s="528"/>
      <c r="ABH78" s="528"/>
      <c r="ABI78" s="528"/>
      <c r="ABJ78" s="528"/>
      <c r="ABK78" s="528"/>
      <c r="ABL78" s="528"/>
      <c r="ABM78" s="528"/>
      <c r="ABN78" s="528"/>
      <c r="ABO78" s="528"/>
      <c r="ABP78" s="528"/>
      <c r="ABQ78" s="528"/>
      <c r="ABR78" s="528"/>
      <c r="ABS78" s="528"/>
      <c r="ABT78" s="528"/>
      <c r="ABU78" s="528"/>
      <c r="ABV78" s="528"/>
      <c r="ABW78" s="528"/>
      <c r="ABX78" s="528"/>
      <c r="ABY78" s="528"/>
      <c r="ABZ78" s="528"/>
      <c r="ACA78" s="528"/>
      <c r="ACB78" s="528"/>
      <c r="ACC78" s="528"/>
      <c r="ACD78" s="528"/>
      <c r="ACE78" s="528"/>
      <c r="ACF78" s="528"/>
      <c r="ACG78" s="528"/>
      <c r="ACH78" s="528"/>
      <c r="ACI78" s="528"/>
      <c r="ACJ78" s="528"/>
      <c r="ACK78" s="528"/>
      <c r="ACL78" s="528"/>
      <c r="ACM78" s="528"/>
      <c r="ACN78" s="528"/>
      <c r="ACO78" s="528"/>
      <c r="ACP78" s="528"/>
      <c r="ACQ78" s="528"/>
      <c r="ACR78" s="528"/>
      <c r="ACS78" s="528"/>
      <c r="ACT78" s="528"/>
      <c r="ACU78" s="528"/>
      <c r="ACV78" s="528"/>
      <c r="ACW78" s="528"/>
      <c r="ACX78" s="528"/>
      <c r="ACY78" s="528"/>
      <c r="ACZ78" s="528"/>
      <c r="ADA78" s="528"/>
      <c r="ADB78" s="528"/>
      <c r="ADC78" s="528"/>
      <c r="ADD78" s="528"/>
      <c r="ADE78" s="528"/>
      <c r="ADF78" s="528"/>
      <c r="ADG78" s="528"/>
      <c r="ADH78" s="528"/>
      <c r="ADI78" s="528"/>
      <c r="ADJ78" s="528"/>
      <c r="ADK78" s="528"/>
      <c r="ADL78" s="528"/>
      <c r="ADM78" s="528"/>
      <c r="ADN78" s="528"/>
      <c r="ADO78" s="528"/>
      <c r="ADP78" s="528"/>
      <c r="ADQ78" s="528"/>
      <c r="ADR78" s="528"/>
      <c r="ADS78" s="528"/>
      <c r="ADT78" s="528"/>
      <c r="ADU78" s="528"/>
      <c r="ADV78" s="528"/>
      <c r="ADW78" s="528"/>
      <c r="ADX78" s="528"/>
      <c r="ADY78" s="528"/>
      <c r="ADZ78" s="528"/>
      <c r="AEA78" s="528"/>
      <c r="AEB78" s="528"/>
      <c r="AEC78" s="528"/>
      <c r="AED78" s="528"/>
      <c r="AEE78" s="528"/>
      <c r="AEF78" s="528"/>
      <c r="AEG78" s="528"/>
      <c r="AEH78" s="528"/>
      <c r="AEI78" s="528"/>
      <c r="AEJ78" s="528"/>
      <c r="AEK78" s="528"/>
      <c r="AEL78" s="528"/>
      <c r="AEM78" s="528"/>
      <c r="AEN78" s="528"/>
      <c r="AEO78" s="528"/>
      <c r="AEP78" s="528"/>
      <c r="AEQ78" s="528"/>
      <c r="AER78" s="528"/>
      <c r="AES78" s="528"/>
      <c r="AET78" s="528"/>
      <c r="AEU78" s="528"/>
      <c r="AEV78" s="528"/>
      <c r="AEW78" s="528"/>
      <c r="AEX78" s="528"/>
      <c r="AEY78" s="528"/>
      <c r="AEZ78" s="528"/>
      <c r="AFA78" s="528"/>
      <c r="AFB78" s="528"/>
      <c r="AFC78" s="528"/>
      <c r="AFD78" s="528"/>
      <c r="AFE78" s="528"/>
      <c r="AFF78" s="528"/>
      <c r="AFG78" s="528"/>
      <c r="AFH78" s="528"/>
      <c r="AFI78" s="528"/>
      <c r="AFJ78" s="528"/>
      <c r="AFK78" s="528"/>
      <c r="AFL78" s="528"/>
      <c r="AFM78" s="528"/>
      <c r="AFN78" s="528"/>
      <c r="AFO78" s="528"/>
      <c r="AFP78" s="528"/>
      <c r="AFQ78" s="528"/>
      <c r="AFR78" s="528"/>
      <c r="AFS78" s="528"/>
      <c r="AFT78" s="528"/>
      <c r="AFU78" s="528"/>
      <c r="AFV78" s="528"/>
      <c r="AFW78" s="528"/>
      <c r="AFX78" s="528"/>
      <c r="AFY78" s="528"/>
      <c r="AFZ78" s="528"/>
      <c r="AGA78" s="528"/>
      <c r="AGB78" s="528"/>
      <c r="AGC78" s="528"/>
      <c r="AGD78" s="528"/>
      <c r="AGE78" s="528"/>
      <c r="AGF78" s="528"/>
      <c r="AGG78" s="528"/>
      <c r="AGH78" s="528"/>
      <c r="AGI78" s="528"/>
      <c r="AGJ78" s="528"/>
      <c r="AGK78" s="528"/>
      <c r="AGL78" s="528"/>
      <c r="AGM78" s="528"/>
      <c r="AGN78" s="528"/>
      <c r="AGO78" s="528"/>
      <c r="AGP78" s="528"/>
      <c r="AGQ78" s="528"/>
      <c r="AGR78" s="528"/>
      <c r="AGS78" s="528"/>
      <c r="AGT78" s="528"/>
      <c r="AGU78" s="528"/>
      <c r="AGV78" s="528"/>
      <c r="AGW78" s="528"/>
      <c r="AGX78" s="528"/>
      <c r="AGY78" s="528"/>
      <c r="AGZ78" s="528"/>
      <c r="AHA78" s="528"/>
      <c r="AHB78" s="528"/>
      <c r="AHC78" s="528"/>
      <c r="AHD78" s="528"/>
      <c r="AHE78" s="528"/>
      <c r="AHF78" s="528"/>
      <c r="AHG78" s="528"/>
      <c r="AHH78" s="528"/>
      <c r="AHI78" s="528"/>
      <c r="AHJ78" s="528"/>
      <c r="AHK78" s="528"/>
      <c r="AHL78" s="528"/>
      <c r="AHM78" s="528"/>
      <c r="AHN78" s="528"/>
      <c r="AHO78" s="528"/>
      <c r="AHP78" s="528"/>
      <c r="AHQ78" s="528"/>
      <c r="AHR78" s="528"/>
      <c r="AHS78" s="528"/>
      <c r="AHT78" s="528"/>
      <c r="AHU78" s="528"/>
      <c r="AHV78" s="528"/>
      <c r="AHW78" s="528"/>
      <c r="AHX78" s="528"/>
      <c r="AHY78" s="528"/>
      <c r="AHZ78" s="528"/>
      <c r="AIA78" s="528"/>
      <c r="AIB78" s="528"/>
      <c r="AIC78" s="528"/>
      <c r="AID78" s="528"/>
      <c r="AIE78" s="528"/>
      <c r="AIF78" s="528"/>
      <c r="AIG78" s="528"/>
      <c r="AIH78" s="528"/>
      <c r="AII78" s="528"/>
      <c r="AIJ78" s="528"/>
      <c r="AIK78" s="528"/>
      <c r="AIL78" s="528"/>
      <c r="AIM78" s="528"/>
      <c r="AIN78" s="528"/>
      <c r="AIO78" s="528"/>
      <c r="AIP78" s="528"/>
      <c r="AIQ78" s="528"/>
      <c r="AIR78" s="528"/>
      <c r="AIS78" s="528"/>
      <c r="AIT78" s="528"/>
      <c r="AIU78" s="528"/>
      <c r="AIV78" s="528"/>
      <c r="AIW78" s="528"/>
      <c r="AIX78" s="528"/>
      <c r="AIY78" s="528"/>
      <c r="AIZ78" s="528"/>
      <c r="AJA78" s="528"/>
      <c r="AJB78" s="528"/>
      <c r="AJC78" s="528"/>
      <c r="AJD78" s="528"/>
      <c r="AJE78" s="528"/>
      <c r="AJF78" s="528"/>
      <c r="AJG78" s="528"/>
      <c r="AJH78" s="528"/>
      <c r="AJI78" s="528"/>
      <c r="AJJ78" s="528"/>
      <c r="AJK78" s="528"/>
      <c r="AJL78" s="528"/>
      <c r="AJM78" s="528"/>
      <c r="AJN78" s="528"/>
      <c r="AJO78" s="528"/>
      <c r="AJP78" s="528"/>
      <c r="AJQ78" s="528"/>
      <c r="AJR78" s="528"/>
      <c r="AJS78" s="528"/>
      <c r="AJT78" s="528"/>
      <c r="AJU78" s="528"/>
      <c r="AJV78" s="528"/>
      <c r="AJW78" s="528"/>
      <c r="AJX78" s="528"/>
      <c r="AJY78" s="528"/>
      <c r="AJZ78" s="528"/>
      <c r="AKA78" s="528"/>
      <c r="AKB78" s="528"/>
      <c r="AKC78" s="528"/>
      <c r="AKD78" s="528"/>
      <c r="AKE78" s="528"/>
      <c r="AKF78" s="528"/>
      <c r="AKG78" s="528"/>
      <c r="AKH78" s="528"/>
      <c r="AKI78" s="528"/>
      <c r="AKJ78" s="528"/>
      <c r="AKK78" s="528"/>
      <c r="AKL78" s="528"/>
      <c r="AKM78" s="528"/>
      <c r="AKN78" s="528"/>
      <c r="AKO78" s="528"/>
      <c r="AKP78" s="528"/>
      <c r="AKQ78" s="528"/>
      <c r="AKR78" s="528"/>
      <c r="AKS78" s="528"/>
      <c r="AKT78" s="528"/>
      <c r="AKU78" s="528"/>
      <c r="AKV78" s="528"/>
      <c r="AKW78" s="528"/>
      <c r="AKX78" s="528"/>
      <c r="AKY78" s="528"/>
      <c r="AKZ78" s="528"/>
      <c r="ALA78" s="528"/>
      <c r="ALB78" s="528"/>
      <c r="ALC78" s="528"/>
      <c r="ALD78" s="528"/>
      <c r="ALE78" s="528"/>
      <c r="ALF78" s="528"/>
      <c r="ALG78" s="528"/>
      <c r="ALH78" s="528"/>
      <c r="ALI78" s="528"/>
      <c r="ALJ78" s="528"/>
      <c r="ALK78" s="528"/>
      <c r="ALL78" s="528"/>
      <c r="ALM78" s="528"/>
      <c r="ALN78" s="528"/>
      <c r="ALO78" s="528"/>
      <c r="ALP78" s="528"/>
      <c r="ALQ78" s="528"/>
      <c r="ALR78" s="528"/>
      <c r="ALS78" s="528"/>
      <c r="ALT78" s="528"/>
      <c r="ALU78" s="528"/>
      <c r="ALV78" s="528"/>
      <c r="ALW78" s="528"/>
      <c r="ALX78" s="528"/>
      <c r="ALY78" s="528"/>
      <c r="ALZ78" s="528"/>
      <c r="AMA78" s="528"/>
      <c r="AMB78" s="528"/>
      <c r="AMC78" s="528"/>
      <c r="AMD78" s="528"/>
      <c r="AME78" s="528"/>
      <c r="AMF78" s="528"/>
      <c r="AMG78" s="528"/>
      <c r="AMH78" s="528"/>
      <c r="AMI78" s="528"/>
      <c r="AMJ78" s="528"/>
      <c r="AMK78" s="528"/>
      <c r="AML78" s="528"/>
      <c r="AMM78" s="528"/>
      <c r="AMN78" s="528"/>
      <c r="AMO78" s="528"/>
      <c r="AMP78" s="528"/>
      <c r="AMQ78" s="528"/>
      <c r="AMR78" s="528"/>
      <c r="AMS78" s="528"/>
      <c r="AMT78" s="528"/>
      <c r="AMU78" s="528"/>
      <c r="AMV78" s="528"/>
      <c r="AMW78" s="528"/>
      <c r="AMX78" s="528"/>
      <c r="AMY78" s="528"/>
      <c r="AMZ78" s="528"/>
      <c r="ANA78" s="528"/>
      <c r="ANB78" s="528"/>
      <c r="ANC78" s="528"/>
      <c r="AND78" s="528"/>
      <c r="ANE78" s="528"/>
      <c r="ANF78" s="528"/>
      <c r="ANG78" s="528"/>
      <c r="ANH78" s="528"/>
      <c r="ANI78" s="528"/>
      <c r="ANJ78" s="528"/>
      <c r="ANK78" s="528"/>
      <c r="ANL78" s="528"/>
      <c r="ANM78" s="528"/>
      <c r="ANN78" s="528"/>
      <c r="ANO78" s="528"/>
      <c r="ANP78" s="528"/>
      <c r="ANQ78" s="528"/>
      <c r="ANR78" s="528"/>
      <c r="ANS78" s="528"/>
      <c r="ANT78" s="528"/>
      <c r="ANU78" s="528"/>
      <c r="ANV78" s="528"/>
      <c r="ANW78" s="528"/>
      <c r="ANX78" s="528"/>
      <c r="ANY78" s="528"/>
      <c r="ANZ78" s="528"/>
      <c r="AOA78" s="528"/>
      <c r="AOB78" s="528"/>
      <c r="AOC78" s="528"/>
      <c r="AOD78" s="528"/>
      <c r="AOE78" s="528"/>
      <c r="AOF78" s="528"/>
      <c r="AOG78" s="528"/>
      <c r="AOH78" s="528"/>
      <c r="AOI78" s="528"/>
      <c r="AOJ78" s="528"/>
      <c r="AOK78" s="528"/>
      <c r="AOL78" s="528"/>
      <c r="AOM78" s="528"/>
      <c r="AON78" s="528"/>
      <c r="AOO78" s="528"/>
      <c r="AOP78" s="528"/>
      <c r="AOQ78" s="528"/>
      <c r="AOR78" s="528"/>
      <c r="AOS78" s="528"/>
      <c r="AOT78" s="528"/>
      <c r="AOU78" s="528"/>
      <c r="AOV78" s="528"/>
      <c r="AOW78" s="528"/>
      <c r="AOX78" s="528"/>
      <c r="AOY78" s="528"/>
      <c r="AOZ78" s="528"/>
      <c r="APA78" s="528"/>
      <c r="APB78" s="528"/>
      <c r="APC78" s="528"/>
      <c r="APD78" s="528"/>
      <c r="APE78" s="528"/>
      <c r="APF78" s="528"/>
      <c r="APG78" s="528"/>
      <c r="APH78" s="528"/>
      <c r="API78" s="528"/>
      <c r="APJ78" s="528"/>
      <c r="APK78" s="528"/>
      <c r="APL78" s="528"/>
      <c r="APM78" s="528"/>
      <c r="APN78" s="528"/>
      <c r="APO78" s="528"/>
      <c r="APP78" s="528"/>
      <c r="APQ78" s="528"/>
      <c r="APR78" s="528"/>
      <c r="APS78" s="528"/>
      <c r="APT78" s="528"/>
      <c r="APU78" s="528"/>
      <c r="APV78" s="528"/>
      <c r="APW78" s="528"/>
      <c r="APX78" s="528"/>
      <c r="APY78" s="528"/>
      <c r="APZ78" s="528"/>
      <c r="AQA78" s="528"/>
      <c r="AQB78" s="528"/>
      <c r="AQC78" s="528"/>
      <c r="AQD78" s="528"/>
      <c r="AQE78" s="528"/>
      <c r="AQF78" s="528"/>
      <c r="AQG78" s="528"/>
      <c r="AQH78" s="528"/>
      <c r="AQI78" s="528"/>
      <c r="AQJ78" s="528"/>
      <c r="AQK78" s="528"/>
      <c r="AQL78" s="528"/>
      <c r="AQM78" s="528"/>
      <c r="AQN78" s="528"/>
      <c r="AQO78" s="528"/>
      <c r="AQP78" s="528"/>
      <c r="AQQ78" s="528"/>
      <c r="AQR78" s="528"/>
      <c r="AQS78" s="528"/>
      <c r="AQT78" s="528"/>
      <c r="AQU78" s="528"/>
      <c r="AQV78" s="528"/>
      <c r="AQW78" s="528"/>
      <c r="AQX78" s="528"/>
      <c r="AQY78" s="528"/>
      <c r="AQZ78" s="528"/>
      <c r="ARA78" s="528"/>
      <c r="ARB78" s="528"/>
      <c r="ARC78" s="528"/>
      <c r="ARD78" s="528"/>
      <c r="ARE78" s="528"/>
      <c r="ARF78" s="528"/>
      <c r="ARG78" s="528"/>
      <c r="ARH78" s="528"/>
      <c r="ARI78" s="528"/>
      <c r="ARJ78" s="528"/>
      <c r="ARK78" s="528"/>
      <c r="ARL78" s="528"/>
      <c r="ARM78" s="528"/>
      <c r="ARN78" s="528"/>
      <c r="ARO78" s="528"/>
      <c r="ARP78" s="528"/>
      <c r="ARQ78" s="528"/>
      <c r="ARR78" s="528"/>
      <c r="ARS78" s="528"/>
      <c r="ART78" s="528"/>
      <c r="ARU78" s="528"/>
      <c r="ARV78" s="528"/>
      <c r="ARW78" s="528"/>
      <c r="ARX78" s="528"/>
      <c r="ARY78" s="528"/>
      <c r="ARZ78" s="528"/>
      <c r="ASA78" s="528"/>
      <c r="ASB78" s="528"/>
      <c r="ASC78" s="528"/>
      <c r="ASD78" s="528"/>
      <c r="ASE78" s="528"/>
      <c r="ASF78" s="528"/>
      <c r="ASG78" s="528"/>
      <c r="ASH78" s="528"/>
      <c r="ASI78" s="528"/>
      <c r="ASJ78" s="528"/>
      <c r="ASK78" s="528"/>
      <c r="ASL78" s="528"/>
      <c r="ASM78" s="528"/>
      <c r="ASN78" s="528"/>
      <c r="ASO78" s="528"/>
      <c r="ASP78" s="528"/>
      <c r="ASQ78" s="528"/>
      <c r="ASR78" s="528"/>
      <c r="ASS78" s="528"/>
      <c r="AST78" s="528"/>
      <c r="ASU78" s="528"/>
      <c r="ASV78" s="528"/>
      <c r="ASW78" s="528"/>
      <c r="ASX78" s="528"/>
      <c r="ASY78" s="528"/>
      <c r="ASZ78" s="528"/>
      <c r="ATA78" s="528"/>
      <c r="ATB78" s="528"/>
      <c r="ATC78" s="528"/>
      <c r="ATD78" s="528"/>
      <c r="ATE78" s="528"/>
      <c r="ATF78" s="528"/>
      <c r="ATG78" s="528"/>
      <c r="ATH78" s="528"/>
      <c r="ATI78" s="528"/>
      <c r="ATJ78" s="528"/>
      <c r="ATK78" s="528"/>
      <c r="ATL78" s="528"/>
      <c r="ATM78" s="528"/>
      <c r="ATN78" s="528"/>
      <c r="ATO78" s="528"/>
      <c r="ATP78" s="528"/>
      <c r="ATQ78" s="528"/>
      <c r="ATR78" s="528"/>
      <c r="ATS78" s="528"/>
      <c r="ATT78" s="528"/>
      <c r="ATU78" s="528"/>
      <c r="ATV78" s="528"/>
      <c r="ATW78" s="528"/>
      <c r="ATX78" s="528"/>
      <c r="ATY78" s="528"/>
      <c r="ATZ78" s="528"/>
      <c r="AUA78" s="528"/>
      <c r="AUB78" s="528"/>
      <c r="AUC78" s="528"/>
      <c r="AUD78" s="528"/>
      <c r="AUE78" s="528"/>
      <c r="AUF78" s="528"/>
      <c r="AUG78" s="528"/>
      <c r="AUH78" s="528"/>
      <c r="AUI78" s="528"/>
      <c r="AUJ78" s="528"/>
      <c r="AUK78" s="528"/>
      <c r="AUL78" s="528"/>
      <c r="AUM78" s="528"/>
      <c r="AUN78" s="528"/>
      <c r="AUO78" s="528"/>
      <c r="AUP78" s="528"/>
      <c r="AUQ78" s="528"/>
      <c r="AUR78" s="528"/>
      <c r="AUS78" s="528"/>
      <c r="AUT78" s="528"/>
      <c r="AUU78" s="528"/>
      <c r="AUV78" s="528"/>
      <c r="AUW78" s="528"/>
      <c r="AUX78" s="528"/>
      <c r="AUY78" s="528"/>
      <c r="AUZ78" s="528"/>
      <c r="AVA78" s="528"/>
      <c r="AVB78" s="528"/>
      <c r="AVC78" s="528"/>
      <c r="AVD78" s="528"/>
      <c r="AVE78" s="528"/>
      <c r="AVF78" s="528"/>
      <c r="AVG78" s="528"/>
      <c r="AVH78" s="528"/>
      <c r="AVI78" s="528"/>
      <c r="AVJ78" s="528"/>
      <c r="AVK78" s="528"/>
      <c r="AVL78" s="528"/>
      <c r="AVM78" s="528"/>
      <c r="AVN78" s="528"/>
      <c r="AVO78" s="528"/>
      <c r="AVP78" s="528"/>
      <c r="AVQ78" s="528"/>
      <c r="AVR78" s="528"/>
      <c r="AVS78" s="528"/>
      <c r="AVT78" s="528"/>
      <c r="AVU78" s="528"/>
      <c r="AVV78" s="528"/>
      <c r="AVW78" s="528"/>
      <c r="AVX78" s="528"/>
      <c r="AVY78" s="528"/>
      <c r="AVZ78" s="528"/>
      <c r="AWA78" s="528"/>
      <c r="AWB78" s="528"/>
      <c r="AWC78" s="528"/>
      <c r="AWD78" s="528"/>
      <c r="AWE78" s="528"/>
      <c r="AWF78" s="528"/>
      <c r="AWG78" s="528"/>
      <c r="AWH78" s="528"/>
      <c r="AWI78" s="528"/>
      <c r="AWJ78" s="528"/>
      <c r="AWK78" s="528"/>
      <c r="AWL78" s="528"/>
      <c r="AWM78" s="528"/>
      <c r="AWN78" s="528"/>
      <c r="AWO78" s="528"/>
      <c r="AWP78" s="528"/>
      <c r="AWQ78" s="528"/>
      <c r="AWR78" s="528"/>
      <c r="AWS78" s="528"/>
      <c r="AWT78" s="528"/>
      <c r="AWU78" s="528"/>
      <c r="AWV78" s="528"/>
      <c r="AWW78" s="528"/>
      <c r="AWX78" s="528"/>
      <c r="AWY78" s="528"/>
      <c r="AWZ78" s="528"/>
      <c r="AXA78" s="528"/>
      <c r="AXB78" s="528"/>
      <c r="AXC78" s="528"/>
      <c r="AXD78" s="528"/>
      <c r="AXE78" s="528"/>
      <c r="AXF78" s="528"/>
      <c r="AXG78" s="528"/>
      <c r="AXH78" s="528"/>
      <c r="AXI78" s="528"/>
      <c r="AXJ78" s="528"/>
      <c r="AXK78" s="528"/>
      <c r="AXL78" s="528"/>
      <c r="AXM78" s="528"/>
      <c r="AXN78" s="528"/>
      <c r="AXO78" s="528"/>
      <c r="AXP78" s="528"/>
      <c r="AXQ78" s="528"/>
      <c r="AXR78" s="528"/>
      <c r="AXS78" s="528"/>
      <c r="AXT78" s="528"/>
      <c r="AXU78" s="528"/>
      <c r="AXV78" s="528"/>
      <c r="AXW78" s="528"/>
      <c r="AXX78" s="528"/>
      <c r="AXY78" s="528"/>
      <c r="AXZ78" s="528"/>
      <c r="AYA78" s="528"/>
      <c r="AYB78" s="528"/>
      <c r="AYC78" s="528"/>
      <c r="AYD78" s="528"/>
      <c r="AYE78" s="528"/>
      <c r="AYF78" s="528"/>
      <c r="AYG78" s="528"/>
      <c r="AYH78" s="528"/>
      <c r="AYI78" s="528"/>
      <c r="AYJ78" s="528"/>
      <c r="AYK78" s="528"/>
      <c r="AYL78" s="528"/>
      <c r="AYM78" s="528"/>
      <c r="AYN78" s="528"/>
      <c r="AYO78" s="528"/>
      <c r="AYP78" s="528"/>
      <c r="AYQ78" s="528"/>
      <c r="AYR78" s="528"/>
      <c r="AYS78" s="528"/>
      <c r="AYT78" s="528"/>
      <c r="AYU78" s="528"/>
      <c r="AYV78" s="528"/>
      <c r="AYW78" s="528"/>
      <c r="AYX78" s="528"/>
      <c r="AYY78" s="528"/>
      <c r="AYZ78" s="528"/>
      <c r="AZA78" s="528"/>
      <c r="AZB78" s="528"/>
      <c r="AZC78" s="528"/>
      <c r="AZD78" s="528"/>
      <c r="AZE78" s="528"/>
      <c r="AZF78" s="528"/>
      <c r="AZG78" s="528"/>
      <c r="AZH78" s="528"/>
      <c r="AZI78" s="528"/>
      <c r="AZJ78" s="528"/>
      <c r="AZK78" s="528"/>
      <c r="AZL78" s="528"/>
      <c r="AZM78" s="528"/>
      <c r="AZN78" s="528"/>
      <c r="AZO78" s="528"/>
      <c r="AZP78" s="528"/>
      <c r="AZQ78" s="528"/>
      <c r="AZR78" s="528"/>
      <c r="AZS78" s="528"/>
      <c r="AZT78" s="528"/>
      <c r="AZU78" s="528"/>
      <c r="AZV78" s="528"/>
      <c r="AZW78" s="528"/>
      <c r="AZX78" s="528"/>
      <c r="AZY78" s="528"/>
      <c r="AZZ78" s="528"/>
      <c r="BAA78" s="528"/>
      <c r="BAB78" s="528"/>
      <c r="BAC78" s="528"/>
      <c r="BAD78" s="528"/>
      <c r="BAE78" s="528"/>
      <c r="BAF78" s="528"/>
      <c r="BAG78" s="528"/>
      <c r="BAH78" s="528"/>
      <c r="BAI78" s="528"/>
      <c r="BAJ78" s="528"/>
      <c r="BAK78" s="528"/>
      <c r="BAL78" s="528"/>
      <c r="BAM78" s="528"/>
      <c r="BAN78" s="528"/>
      <c r="BAO78" s="528"/>
      <c r="BAP78" s="528"/>
      <c r="BAQ78" s="528"/>
      <c r="BAR78" s="528"/>
      <c r="BAS78" s="528"/>
      <c r="BAT78" s="528"/>
      <c r="BAU78" s="528"/>
      <c r="BAV78" s="528"/>
      <c r="BAW78" s="528"/>
      <c r="BAX78" s="528"/>
      <c r="BAY78" s="528"/>
      <c r="BAZ78" s="528"/>
      <c r="BBA78" s="528"/>
      <c r="BBB78" s="528"/>
      <c r="BBC78" s="528"/>
      <c r="BBD78" s="528"/>
      <c r="BBE78" s="528"/>
      <c r="BBF78" s="528"/>
      <c r="BBG78" s="528"/>
      <c r="BBH78" s="528"/>
      <c r="BBI78" s="528"/>
      <c r="BBJ78" s="528"/>
      <c r="BBK78" s="528"/>
      <c r="BBL78" s="528"/>
      <c r="BBM78" s="528"/>
      <c r="BBN78" s="528"/>
      <c r="BBO78" s="528"/>
      <c r="BBP78" s="528"/>
      <c r="BBQ78" s="528"/>
      <c r="BBR78" s="528"/>
      <c r="BBS78" s="528"/>
      <c r="BBT78" s="528"/>
      <c r="BBU78" s="528"/>
      <c r="BBV78" s="528"/>
      <c r="BBW78" s="528"/>
      <c r="BBX78" s="528"/>
      <c r="BBY78" s="528"/>
      <c r="BBZ78" s="528"/>
      <c r="BCA78" s="528"/>
      <c r="BCB78" s="528"/>
      <c r="BCC78" s="528"/>
      <c r="BCD78" s="528"/>
      <c r="BCE78" s="528"/>
      <c r="BCF78" s="528"/>
      <c r="BCG78" s="528"/>
      <c r="BCH78" s="528"/>
      <c r="BCI78" s="528"/>
      <c r="BCJ78" s="528"/>
      <c r="BCK78" s="528"/>
      <c r="BCL78" s="528"/>
      <c r="BCM78" s="528"/>
      <c r="BCN78" s="528"/>
      <c r="BCO78" s="528"/>
      <c r="BCP78" s="528"/>
      <c r="BCQ78" s="528"/>
      <c r="BCR78" s="528"/>
      <c r="BCS78" s="528"/>
      <c r="BCT78" s="528"/>
      <c r="BCU78" s="528"/>
      <c r="BCV78" s="528"/>
      <c r="BCW78" s="528"/>
      <c r="BCX78" s="528"/>
      <c r="BCY78" s="528"/>
      <c r="BCZ78" s="528"/>
      <c r="BDA78" s="528"/>
      <c r="BDB78" s="528"/>
      <c r="BDC78" s="528"/>
      <c r="BDD78" s="528"/>
      <c r="BDE78" s="528"/>
      <c r="BDF78" s="528"/>
      <c r="BDG78" s="528"/>
      <c r="BDH78" s="528"/>
      <c r="BDI78" s="528"/>
      <c r="BDJ78" s="528"/>
      <c r="BDK78" s="528"/>
      <c r="BDL78" s="528"/>
      <c r="BDM78" s="528"/>
      <c r="BDN78" s="528"/>
      <c r="BDO78" s="528"/>
      <c r="BDP78" s="528"/>
      <c r="BDQ78" s="528"/>
      <c r="BDR78" s="528"/>
      <c r="BDS78" s="528"/>
      <c r="BDT78" s="528"/>
      <c r="BDU78" s="528"/>
      <c r="BDV78" s="528"/>
      <c r="BDW78" s="528"/>
      <c r="BDX78" s="528"/>
      <c r="BDY78" s="528"/>
      <c r="BDZ78" s="528"/>
      <c r="BEA78" s="528"/>
      <c r="BEB78" s="528"/>
      <c r="BEC78" s="528"/>
      <c r="BED78" s="528"/>
      <c r="BEE78" s="528"/>
      <c r="BEF78" s="528"/>
      <c r="BEG78" s="528"/>
      <c r="BEH78" s="528"/>
      <c r="BEI78" s="528"/>
      <c r="BEJ78" s="528"/>
      <c r="BEK78" s="528"/>
      <c r="BEL78" s="528"/>
      <c r="BEM78" s="528"/>
      <c r="BEN78" s="528"/>
      <c r="BEO78" s="528"/>
      <c r="BEP78" s="528"/>
      <c r="BEQ78" s="528"/>
      <c r="BER78" s="528"/>
      <c r="BES78" s="528"/>
      <c r="BET78" s="528"/>
      <c r="BEU78" s="528"/>
      <c r="BEV78" s="528"/>
      <c r="BEW78" s="528"/>
      <c r="BEX78" s="528"/>
      <c r="BEY78" s="528"/>
      <c r="BEZ78" s="528"/>
      <c r="BFA78" s="528"/>
      <c r="BFB78" s="528"/>
      <c r="BFC78" s="528"/>
      <c r="BFD78" s="528"/>
      <c r="BFE78" s="528"/>
      <c r="BFF78" s="528"/>
      <c r="BFG78" s="528"/>
      <c r="BFH78" s="528"/>
      <c r="BFI78" s="528"/>
      <c r="BFJ78" s="528"/>
      <c r="BFK78" s="528"/>
      <c r="BFL78" s="528"/>
      <c r="BFM78" s="528"/>
      <c r="BFN78" s="528"/>
      <c r="BFO78" s="528"/>
      <c r="BFP78" s="528"/>
      <c r="BFQ78" s="528"/>
      <c r="BFR78" s="528"/>
      <c r="BFS78" s="528"/>
      <c r="BFT78" s="528"/>
      <c r="BFU78" s="528"/>
      <c r="BFV78" s="528"/>
      <c r="BFW78" s="528"/>
      <c r="BFX78" s="528"/>
      <c r="BFY78" s="528"/>
      <c r="BFZ78" s="528"/>
      <c r="BGA78" s="528"/>
      <c r="BGB78" s="528"/>
      <c r="BGC78" s="528"/>
      <c r="BGD78" s="528"/>
      <c r="BGE78" s="528"/>
      <c r="BGF78" s="528"/>
      <c r="BGG78" s="528"/>
      <c r="BGH78" s="528"/>
      <c r="BGI78" s="528"/>
      <c r="BGJ78" s="528"/>
      <c r="BGK78" s="528"/>
      <c r="BGL78" s="528"/>
      <c r="BGM78" s="528"/>
      <c r="BGN78" s="528"/>
      <c r="BGO78" s="528"/>
      <c r="BGP78" s="528"/>
      <c r="BGQ78" s="528"/>
      <c r="BGR78" s="528"/>
      <c r="BGS78" s="528"/>
      <c r="BGT78" s="528"/>
      <c r="BGU78" s="528"/>
      <c r="BGV78" s="528"/>
      <c r="BGW78" s="528"/>
      <c r="BGX78" s="528"/>
      <c r="BGY78" s="528"/>
      <c r="BGZ78" s="528"/>
      <c r="BHA78" s="528"/>
      <c r="BHB78" s="528"/>
      <c r="BHC78" s="528"/>
      <c r="BHD78" s="528"/>
      <c r="BHE78" s="528"/>
      <c r="BHF78" s="528"/>
      <c r="BHG78" s="528"/>
      <c r="BHH78" s="528"/>
      <c r="BHI78" s="528"/>
      <c r="BHJ78" s="528"/>
      <c r="BHK78" s="528"/>
      <c r="BHL78" s="528"/>
      <c r="BHM78" s="528"/>
      <c r="BHN78" s="528"/>
      <c r="BHO78" s="528"/>
      <c r="BHP78" s="528"/>
      <c r="BHQ78" s="528"/>
      <c r="BHR78" s="528"/>
      <c r="BHS78" s="528"/>
      <c r="BHT78" s="528"/>
      <c r="BHU78" s="528"/>
      <c r="BHV78" s="528"/>
      <c r="BHW78" s="528"/>
      <c r="BHX78" s="528"/>
      <c r="BHY78" s="528"/>
      <c r="BHZ78" s="528"/>
      <c r="BIA78" s="528"/>
      <c r="BIB78" s="528"/>
      <c r="BIC78" s="528"/>
      <c r="BID78" s="528"/>
      <c r="BIE78" s="528"/>
      <c r="BIF78" s="528"/>
      <c r="BIG78" s="528"/>
      <c r="BIH78" s="528"/>
      <c r="BII78" s="528"/>
      <c r="BIJ78" s="528"/>
      <c r="BIK78" s="528"/>
      <c r="BIL78" s="528"/>
      <c r="BIM78" s="528"/>
      <c r="BIN78" s="528"/>
      <c r="BIO78" s="528"/>
      <c r="BIP78" s="528"/>
      <c r="BIQ78" s="528"/>
      <c r="BIR78" s="528"/>
      <c r="BIS78" s="528"/>
      <c r="BIT78" s="528"/>
      <c r="BIU78" s="528"/>
      <c r="BIV78" s="528"/>
      <c r="BIW78" s="528"/>
      <c r="BIX78" s="528"/>
      <c r="BIY78" s="528"/>
      <c r="BIZ78" s="528"/>
      <c r="BJA78" s="528"/>
      <c r="BJB78" s="528"/>
      <c r="BJC78" s="528"/>
      <c r="BJD78" s="528"/>
      <c r="BJE78" s="528"/>
      <c r="BJF78" s="528"/>
      <c r="BJG78" s="528"/>
      <c r="BJH78" s="528"/>
      <c r="BJI78" s="528"/>
      <c r="BJJ78" s="528"/>
      <c r="BJK78" s="528"/>
      <c r="BJL78" s="528"/>
      <c r="BJM78" s="528"/>
      <c r="BJN78" s="528"/>
      <c r="BJO78" s="528"/>
      <c r="BJP78" s="528"/>
      <c r="BJQ78" s="528"/>
      <c r="BJR78" s="528"/>
      <c r="BJS78" s="528"/>
      <c r="BJT78" s="528"/>
      <c r="BJU78" s="528"/>
      <c r="BJV78" s="528"/>
      <c r="BJW78" s="528"/>
      <c r="BJX78" s="528"/>
      <c r="BJY78" s="528"/>
      <c r="BJZ78" s="528"/>
      <c r="BKA78" s="528"/>
      <c r="BKB78" s="528"/>
      <c r="BKC78" s="528"/>
      <c r="BKD78" s="528"/>
      <c r="BKE78" s="528"/>
      <c r="BKF78" s="528"/>
      <c r="BKG78" s="528"/>
      <c r="BKH78" s="528"/>
      <c r="BKI78" s="528"/>
      <c r="BKJ78" s="528"/>
      <c r="BKK78" s="528"/>
      <c r="BKL78" s="528"/>
      <c r="BKM78" s="528"/>
      <c r="BKN78" s="528"/>
      <c r="BKO78" s="528"/>
      <c r="BKP78" s="528"/>
      <c r="BKQ78" s="528"/>
      <c r="BKR78" s="528"/>
      <c r="BKS78" s="528"/>
      <c r="BKT78" s="528"/>
      <c r="BKU78" s="528"/>
      <c r="BKV78" s="528"/>
      <c r="BKW78" s="528"/>
      <c r="BKX78" s="528"/>
      <c r="BKY78" s="528"/>
      <c r="BKZ78" s="528"/>
      <c r="BLA78" s="528"/>
      <c r="BLB78" s="528"/>
      <c r="BLC78" s="528"/>
      <c r="BLD78" s="528"/>
      <c r="BLE78" s="528"/>
      <c r="BLF78" s="528"/>
      <c r="BLG78" s="528"/>
      <c r="BLH78" s="528"/>
      <c r="BLI78" s="528"/>
      <c r="BLJ78" s="528"/>
      <c r="BLK78" s="528"/>
      <c r="BLL78" s="528"/>
      <c r="BLM78" s="528"/>
      <c r="BLN78" s="528"/>
      <c r="BLO78" s="528"/>
      <c r="BLP78" s="528"/>
      <c r="BLQ78" s="528"/>
      <c r="BLR78" s="528"/>
      <c r="BLS78" s="528"/>
      <c r="BLT78" s="528"/>
      <c r="BLU78" s="528"/>
      <c r="BLV78" s="528"/>
      <c r="BLW78" s="528"/>
      <c r="BLX78" s="528"/>
      <c r="BLY78" s="528"/>
      <c r="BLZ78" s="528"/>
      <c r="BMA78" s="528"/>
      <c r="BMB78" s="528"/>
      <c r="BMC78" s="528"/>
      <c r="BMD78" s="528"/>
      <c r="BME78" s="528"/>
      <c r="BMF78" s="528"/>
      <c r="BMG78" s="528"/>
      <c r="BMH78" s="528"/>
      <c r="BMI78" s="528"/>
      <c r="BMJ78" s="528"/>
      <c r="BMK78" s="528"/>
      <c r="BML78" s="528"/>
      <c r="BMM78" s="528"/>
      <c r="BMN78" s="528"/>
      <c r="BMO78" s="528"/>
      <c r="BMP78" s="528"/>
      <c r="BMQ78" s="528"/>
      <c r="BMR78" s="528"/>
      <c r="BMS78" s="528"/>
      <c r="BMT78" s="528"/>
      <c r="BMU78" s="528"/>
      <c r="BMV78" s="528"/>
      <c r="BMW78" s="528"/>
      <c r="BMX78" s="528"/>
      <c r="BMY78" s="528"/>
      <c r="BMZ78" s="528"/>
      <c r="BNA78" s="528"/>
      <c r="BNB78" s="528"/>
      <c r="BNC78" s="528"/>
      <c r="BND78" s="528"/>
      <c r="BNE78" s="528"/>
      <c r="BNF78" s="528"/>
      <c r="BNG78" s="528"/>
      <c r="BNH78" s="528"/>
      <c r="BNI78" s="528"/>
      <c r="BNJ78" s="528"/>
      <c r="BNK78" s="528"/>
      <c r="BNL78" s="528"/>
      <c r="BNM78" s="528"/>
      <c r="BNN78" s="528"/>
      <c r="BNO78" s="528"/>
      <c r="BNP78" s="528"/>
      <c r="BNQ78" s="528"/>
      <c r="BNR78" s="528"/>
      <c r="BNS78" s="528"/>
      <c r="BNT78" s="528"/>
      <c r="BNU78" s="528"/>
      <c r="BNV78" s="528"/>
      <c r="BNW78" s="528"/>
      <c r="BNX78" s="528"/>
      <c r="BNY78" s="528"/>
      <c r="BNZ78" s="528"/>
      <c r="BOA78" s="528"/>
      <c r="BOB78" s="528"/>
      <c r="BOC78" s="528"/>
      <c r="BOD78" s="528"/>
      <c r="BOE78" s="528"/>
      <c r="BOF78" s="528"/>
      <c r="BOG78" s="528"/>
      <c r="BOH78" s="528"/>
      <c r="BOI78" s="528"/>
      <c r="BOJ78" s="528"/>
      <c r="BOK78" s="528"/>
      <c r="BOL78" s="528"/>
      <c r="BOM78" s="528"/>
      <c r="BON78" s="528"/>
      <c r="BOO78" s="528"/>
      <c r="BOP78" s="528"/>
      <c r="BOQ78" s="528"/>
      <c r="BOR78" s="528"/>
      <c r="BOS78" s="528"/>
      <c r="BOT78" s="528"/>
      <c r="BOU78" s="528"/>
      <c r="BOV78" s="528"/>
      <c r="BOW78" s="528"/>
      <c r="BOX78" s="528"/>
      <c r="BOY78" s="528"/>
      <c r="BOZ78" s="528"/>
      <c r="BPA78" s="528"/>
      <c r="BPB78" s="528"/>
      <c r="BPC78" s="528"/>
      <c r="BPD78" s="528"/>
      <c r="BPE78" s="528"/>
      <c r="BPF78" s="528"/>
      <c r="BPG78" s="528"/>
      <c r="BPH78" s="528"/>
      <c r="BPI78" s="528"/>
      <c r="BPJ78" s="528"/>
      <c r="BPK78" s="528"/>
      <c r="BPL78" s="528"/>
      <c r="BPM78" s="528"/>
      <c r="BPN78" s="528"/>
      <c r="BPO78" s="528"/>
      <c r="BPP78" s="528"/>
      <c r="BPQ78" s="528"/>
      <c r="BPR78" s="528"/>
      <c r="BPS78" s="528"/>
      <c r="BPT78" s="528"/>
      <c r="BPU78" s="528"/>
      <c r="BPV78" s="528"/>
      <c r="BPW78" s="528"/>
      <c r="BPX78" s="528"/>
      <c r="BPY78" s="528"/>
      <c r="BPZ78" s="528"/>
      <c r="BQA78" s="528"/>
      <c r="BQB78" s="528"/>
      <c r="BQC78" s="528"/>
      <c r="BQD78" s="528"/>
      <c r="BQE78" s="528"/>
      <c r="BQF78" s="528"/>
      <c r="BQG78" s="528"/>
      <c r="BQH78" s="528"/>
      <c r="BQI78" s="528"/>
      <c r="BQJ78" s="528"/>
      <c r="BQK78" s="528"/>
      <c r="BQL78" s="528"/>
      <c r="BQM78" s="528"/>
      <c r="BQN78" s="528"/>
      <c r="BQO78" s="528"/>
      <c r="BQP78" s="528"/>
      <c r="BQQ78" s="528"/>
      <c r="BQR78" s="528"/>
      <c r="BQS78" s="528"/>
      <c r="BQT78" s="528"/>
      <c r="BQU78" s="528"/>
      <c r="BQV78" s="528"/>
      <c r="BQW78" s="528"/>
      <c r="BQX78" s="528"/>
      <c r="BQY78" s="528"/>
      <c r="BQZ78" s="528"/>
      <c r="BRA78" s="528"/>
      <c r="BRB78" s="528"/>
      <c r="BRC78" s="528"/>
      <c r="BRD78" s="528"/>
      <c r="BRE78" s="528"/>
      <c r="BRF78" s="528"/>
      <c r="BRG78" s="528"/>
      <c r="BRH78" s="528"/>
      <c r="BRI78" s="528"/>
      <c r="BRJ78" s="528"/>
      <c r="BRK78" s="528"/>
      <c r="BRL78" s="528"/>
      <c r="BRM78" s="528"/>
      <c r="BRN78" s="528"/>
      <c r="BRO78" s="528"/>
      <c r="BRP78" s="528"/>
      <c r="BRQ78" s="528"/>
      <c r="BRR78" s="528"/>
      <c r="BRS78" s="528"/>
      <c r="BRT78" s="528"/>
      <c r="BRU78" s="528"/>
      <c r="BRV78" s="528"/>
      <c r="BRW78" s="528"/>
      <c r="BRX78" s="528"/>
      <c r="BRY78" s="528"/>
      <c r="BRZ78" s="528"/>
      <c r="BSA78" s="528"/>
      <c r="BSB78" s="528"/>
      <c r="BSC78" s="528"/>
      <c r="BSD78" s="528"/>
      <c r="BSE78" s="528"/>
      <c r="BSF78" s="528"/>
      <c r="BSG78" s="528"/>
      <c r="BSH78" s="528"/>
      <c r="BSI78" s="528"/>
      <c r="BSJ78" s="528"/>
      <c r="BSK78" s="528"/>
      <c r="BSL78" s="528"/>
      <c r="BSM78" s="528"/>
      <c r="BSN78" s="528"/>
      <c r="BSO78" s="528"/>
      <c r="BSP78" s="528"/>
      <c r="BSQ78" s="528"/>
      <c r="BSR78" s="528"/>
      <c r="BSS78" s="528"/>
      <c r="BST78" s="528"/>
      <c r="BSU78" s="528"/>
      <c r="BSV78" s="528"/>
      <c r="BSW78" s="528"/>
      <c r="BSX78" s="528"/>
      <c r="BSY78" s="528"/>
      <c r="BSZ78" s="528"/>
      <c r="BTA78" s="528"/>
      <c r="BTB78" s="528"/>
      <c r="BTC78" s="528"/>
      <c r="BTD78" s="528"/>
      <c r="BTE78" s="528"/>
      <c r="BTF78" s="528"/>
      <c r="BTG78" s="528"/>
      <c r="BTH78" s="528"/>
      <c r="BTI78" s="528"/>
      <c r="BTJ78" s="528"/>
      <c r="BTK78" s="528"/>
      <c r="BTL78" s="528"/>
      <c r="BTM78" s="528"/>
      <c r="BTN78" s="528"/>
      <c r="BTO78" s="528"/>
      <c r="BTP78" s="528"/>
      <c r="BTQ78" s="528"/>
      <c r="BTR78" s="528"/>
      <c r="BTS78" s="528"/>
      <c r="BTT78" s="528"/>
      <c r="BTU78" s="528"/>
      <c r="BTV78" s="528"/>
      <c r="BTW78" s="528"/>
      <c r="BTX78" s="528"/>
      <c r="BTY78" s="528"/>
      <c r="BTZ78" s="528"/>
      <c r="BUA78" s="528"/>
      <c r="BUB78" s="528"/>
      <c r="BUC78" s="528"/>
      <c r="BUD78" s="528"/>
      <c r="BUE78" s="528"/>
      <c r="BUF78" s="528"/>
      <c r="BUG78" s="528"/>
      <c r="BUH78" s="528"/>
      <c r="BUI78" s="528"/>
      <c r="BUJ78" s="528"/>
      <c r="BUK78" s="528"/>
      <c r="BUL78" s="528"/>
      <c r="BUM78" s="528"/>
      <c r="BUN78" s="528"/>
      <c r="BUO78" s="528"/>
      <c r="BUP78" s="528"/>
      <c r="BUQ78" s="528"/>
      <c r="BUR78" s="528"/>
      <c r="BUS78" s="528"/>
      <c r="BUT78" s="528"/>
      <c r="BUU78" s="528"/>
      <c r="BUV78" s="528"/>
      <c r="BUW78" s="528"/>
      <c r="BUX78" s="528"/>
      <c r="BUY78" s="528"/>
      <c r="BUZ78" s="528"/>
      <c r="BVA78" s="528"/>
      <c r="BVB78" s="528"/>
      <c r="BVC78" s="528"/>
      <c r="BVD78" s="528"/>
      <c r="BVE78" s="528"/>
      <c r="BVF78" s="528"/>
      <c r="BVG78" s="528"/>
      <c r="BVH78" s="528"/>
      <c r="BVI78" s="528"/>
      <c r="BVJ78" s="528"/>
      <c r="BVK78" s="528"/>
      <c r="BVL78" s="528"/>
      <c r="BVM78" s="528"/>
      <c r="BVN78" s="528"/>
      <c r="BVO78" s="528"/>
      <c r="BVP78" s="528"/>
      <c r="BVQ78" s="528"/>
      <c r="BVR78" s="528"/>
      <c r="BVS78" s="528"/>
      <c r="BVT78" s="528"/>
      <c r="BVU78" s="528"/>
      <c r="BVV78" s="528"/>
      <c r="BVW78" s="528"/>
      <c r="BVX78" s="528"/>
      <c r="BVY78" s="528"/>
      <c r="BVZ78" s="528"/>
      <c r="BWA78" s="528"/>
      <c r="BWB78" s="528"/>
      <c r="BWC78" s="528"/>
      <c r="BWD78" s="528"/>
      <c r="BWE78" s="528"/>
      <c r="BWF78" s="528"/>
      <c r="BWG78" s="528"/>
      <c r="BWH78" s="528"/>
      <c r="BWI78" s="528"/>
      <c r="BWJ78" s="528"/>
      <c r="BWK78" s="528"/>
      <c r="BWL78" s="528"/>
      <c r="BWM78" s="528"/>
      <c r="BWN78" s="528"/>
      <c r="BWO78" s="528"/>
      <c r="BWP78" s="528"/>
      <c r="BWQ78" s="528"/>
      <c r="BWR78" s="528"/>
      <c r="BWS78" s="528"/>
      <c r="BWT78" s="528"/>
      <c r="BWU78" s="528"/>
      <c r="BWV78" s="528"/>
      <c r="BWW78" s="528"/>
      <c r="BWX78" s="528"/>
      <c r="BWY78" s="528"/>
      <c r="BWZ78" s="528"/>
      <c r="BXA78" s="528"/>
      <c r="BXB78" s="528"/>
      <c r="BXC78" s="528"/>
      <c r="BXD78" s="528"/>
      <c r="BXE78" s="528"/>
      <c r="BXF78" s="528"/>
      <c r="BXG78" s="528"/>
      <c r="BXH78" s="528"/>
      <c r="BXI78" s="528"/>
      <c r="BXJ78" s="528"/>
      <c r="BXK78" s="528"/>
      <c r="BXL78" s="528"/>
      <c r="BXM78" s="528"/>
      <c r="BXN78" s="528"/>
      <c r="BXO78" s="528"/>
      <c r="BXP78" s="528"/>
      <c r="BXQ78" s="528"/>
      <c r="BXR78" s="528"/>
      <c r="BXS78" s="528"/>
      <c r="BXT78" s="528"/>
      <c r="BXU78" s="528"/>
      <c r="BXV78" s="528"/>
      <c r="BXW78" s="528"/>
      <c r="BXX78" s="528"/>
      <c r="BXY78" s="528"/>
      <c r="BXZ78" s="528"/>
      <c r="BYA78" s="528"/>
      <c r="BYB78" s="528"/>
      <c r="BYC78" s="528"/>
      <c r="BYD78" s="528"/>
      <c r="BYE78" s="528"/>
      <c r="BYF78" s="528"/>
      <c r="BYG78" s="528"/>
      <c r="BYH78" s="528"/>
      <c r="BYI78" s="528"/>
      <c r="BYJ78" s="528"/>
      <c r="BYK78" s="528"/>
      <c r="BYL78" s="528"/>
      <c r="BYM78" s="528"/>
      <c r="BYN78" s="528"/>
      <c r="BYO78" s="528"/>
      <c r="BYP78" s="528"/>
      <c r="BYQ78" s="528"/>
      <c r="BYR78" s="528"/>
      <c r="BYS78" s="528"/>
      <c r="BYT78" s="528"/>
      <c r="BYU78" s="528"/>
      <c r="BYV78" s="528"/>
      <c r="BYW78" s="528"/>
      <c r="BYX78" s="528"/>
      <c r="BYY78" s="528"/>
      <c r="BYZ78" s="528"/>
      <c r="BZA78" s="528"/>
      <c r="BZB78" s="528"/>
      <c r="BZC78" s="528"/>
      <c r="BZD78" s="528"/>
      <c r="BZE78" s="528"/>
      <c r="BZF78" s="528"/>
      <c r="BZG78" s="528"/>
      <c r="BZH78" s="528"/>
      <c r="BZI78" s="528"/>
      <c r="BZJ78" s="528"/>
      <c r="BZK78" s="528"/>
      <c r="BZL78" s="528"/>
      <c r="BZM78" s="528"/>
      <c r="BZN78" s="528"/>
      <c r="BZO78" s="528"/>
      <c r="BZP78" s="528"/>
      <c r="BZQ78" s="528"/>
      <c r="BZR78" s="528"/>
      <c r="BZS78" s="528"/>
      <c r="BZT78" s="528"/>
      <c r="BZU78" s="528"/>
      <c r="BZV78" s="528"/>
      <c r="BZW78" s="528"/>
      <c r="BZX78" s="528"/>
      <c r="BZY78" s="528"/>
      <c r="BZZ78" s="528"/>
      <c r="CAA78" s="528"/>
      <c r="CAB78" s="528"/>
      <c r="CAC78" s="528"/>
      <c r="CAD78" s="528"/>
      <c r="CAE78" s="528"/>
      <c r="CAF78" s="528"/>
      <c r="CAG78" s="528"/>
      <c r="CAH78" s="528"/>
      <c r="CAI78" s="528"/>
      <c r="CAJ78" s="528"/>
      <c r="CAK78" s="528"/>
      <c r="CAL78" s="528"/>
      <c r="CAM78" s="528"/>
      <c r="CAN78" s="528"/>
      <c r="CAO78" s="528"/>
      <c r="CAP78" s="528"/>
      <c r="CAQ78" s="528"/>
      <c r="CAR78" s="528"/>
      <c r="CAS78" s="528"/>
      <c r="CAT78" s="528"/>
      <c r="CAU78" s="528"/>
      <c r="CAV78" s="528"/>
      <c r="CAW78" s="528"/>
      <c r="CAX78" s="528"/>
      <c r="CAY78" s="528"/>
      <c r="CAZ78" s="528"/>
      <c r="CBA78" s="528"/>
      <c r="CBB78" s="528"/>
      <c r="CBC78" s="528"/>
      <c r="CBD78" s="528"/>
      <c r="CBE78" s="528"/>
      <c r="CBF78" s="528"/>
      <c r="CBG78" s="528"/>
      <c r="CBH78" s="528"/>
      <c r="CBI78" s="528"/>
      <c r="CBJ78" s="528"/>
      <c r="CBK78" s="528"/>
      <c r="CBL78" s="528"/>
      <c r="CBM78" s="528"/>
      <c r="CBN78" s="528"/>
      <c r="CBO78" s="528"/>
      <c r="CBP78" s="528"/>
      <c r="CBQ78" s="528"/>
      <c r="CBR78" s="528"/>
      <c r="CBS78" s="528"/>
      <c r="CBT78" s="528"/>
      <c r="CBU78" s="528"/>
      <c r="CBV78" s="528"/>
      <c r="CBW78" s="528"/>
      <c r="CBX78" s="528"/>
      <c r="CBY78" s="528"/>
      <c r="CBZ78" s="528"/>
      <c r="CCA78" s="528"/>
      <c r="CCB78" s="528"/>
      <c r="CCC78" s="528"/>
      <c r="CCD78" s="528"/>
      <c r="CCE78" s="528"/>
      <c r="CCF78" s="528"/>
      <c r="CCG78" s="528"/>
      <c r="CCH78" s="528"/>
      <c r="CCI78" s="528"/>
      <c r="CCJ78" s="528"/>
      <c r="CCK78" s="528"/>
      <c r="CCL78" s="528"/>
      <c r="CCM78" s="528"/>
      <c r="CCN78" s="528"/>
      <c r="CCO78" s="528"/>
      <c r="CCP78" s="528"/>
      <c r="CCQ78" s="528"/>
      <c r="CCR78" s="528"/>
      <c r="CCS78" s="528"/>
      <c r="CCT78" s="528"/>
      <c r="CCU78" s="528"/>
      <c r="CCV78" s="528"/>
      <c r="CCW78" s="528"/>
      <c r="CCX78" s="528"/>
      <c r="CCY78" s="528"/>
      <c r="CCZ78" s="528"/>
      <c r="CDA78" s="528"/>
      <c r="CDB78" s="528"/>
      <c r="CDC78" s="528"/>
      <c r="CDD78" s="528"/>
      <c r="CDE78" s="528"/>
      <c r="CDF78" s="528"/>
      <c r="CDG78" s="528"/>
      <c r="CDH78" s="528"/>
      <c r="CDI78" s="528"/>
      <c r="CDJ78" s="528"/>
      <c r="CDK78" s="528"/>
      <c r="CDL78" s="528"/>
      <c r="CDM78" s="528"/>
      <c r="CDN78" s="528"/>
      <c r="CDO78" s="528"/>
      <c r="CDP78" s="528"/>
      <c r="CDQ78" s="528"/>
      <c r="CDR78" s="528"/>
      <c r="CDS78" s="528"/>
      <c r="CDT78" s="528"/>
      <c r="CDU78" s="528"/>
      <c r="CDV78" s="528"/>
      <c r="CDW78" s="528"/>
      <c r="CDX78" s="528"/>
      <c r="CDY78" s="528"/>
      <c r="CDZ78" s="528"/>
      <c r="CEA78" s="528"/>
      <c r="CEB78" s="528"/>
      <c r="CEC78" s="528"/>
      <c r="CED78" s="528"/>
      <c r="CEE78" s="528"/>
      <c r="CEF78" s="528"/>
      <c r="CEG78" s="528"/>
      <c r="CEH78" s="528"/>
      <c r="CEI78" s="528"/>
      <c r="CEJ78" s="528"/>
      <c r="CEK78" s="528"/>
      <c r="CEL78" s="528"/>
      <c r="CEM78" s="528"/>
      <c r="CEN78" s="528"/>
      <c r="CEO78" s="528"/>
      <c r="CEP78" s="528"/>
      <c r="CEQ78" s="528"/>
      <c r="CER78" s="528"/>
      <c r="CES78" s="528"/>
      <c r="CET78" s="528"/>
      <c r="CEU78" s="528"/>
      <c r="CEV78" s="528"/>
      <c r="CEW78" s="528"/>
      <c r="CEX78" s="528"/>
      <c r="CEY78" s="528"/>
      <c r="CEZ78" s="528"/>
      <c r="CFA78" s="528"/>
      <c r="CFB78" s="528"/>
      <c r="CFC78" s="528"/>
      <c r="CFD78" s="528"/>
      <c r="CFE78" s="528"/>
      <c r="CFF78" s="528"/>
      <c r="CFG78" s="528"/>
      <c r="CFH78" s="528"/>
      <c r="CFI78" s="528"/>
      <c r="CFJ78" s="528"/>
      <c r="CFK78" s="528"/>
      <c r="CFL78" s="528"/>
      <c r="CFM78" s="528"/>
      <c r="CFN78" s="528"/>
      <c r="CFO78" s="528"/>
      <c r="CFP78" s="528"/>
      <c r="CFQ78" s="528"/>
      <c r="CFR78" s="528"/>
      <c r="CFS78" s="528"/>
      <c r="CFT78" s="528"/>
      <c r="CFU78" s="528"/>
      <c r="CFV78" s="528"/>
      <c r="CFW78" s="528"/>
      <c r="CFX78" s="528"/>
      <c r="CFY78" s="528"/>
      <c r="CFZ78" s="528"/>
      <c r="CGA78" s="528"/>
      <c r="CGB78" s="528"/>
      <c r="CGC78" s="528"/>
      <c r="CGD78" s="528"/>
      <c r="CGE78" s="528"/>
      <c r="CGF78" s="528"/>
      <c r="CGG78" s="528"/>
      <c r="CGH78" s="528"/>
      <c r="CGI78" s="528"/>
      <c r="CGJ78" s="528"/>
      <c r="CGK78" s="528"/>
      <c r="CGL78" s="528"/>
      <c r="CGM78" s="528"/>
      <c r="CGN78" s="528"/>
      <c r="CGO78" s="528"/>
      <c r="CGP78" s="528"/>
      <c r="CGQ78" s="528"/>
      <c r="CGR78" s="528"/>
      <c r="CGS78" s="528"/>
      <c r="CGT78" s="528"/>
      <c r="CGU78" s="528"/>
      <c r="CGV78" s="528"/>
      <c r="CGW78" s="528"/>
      <c r="CGX78" s="528"/>
      <c r="CGY78" s="528"/>
      <c r="CGZ78" s="528"/>
      <c r="CHA78" s="528"/>
      <c r="CHB78" s="528"/>
      <c r="CHC78" s="528"/>
      <c r="CHD78" s="528"/>
      <c r="CHE78" s="528"/>
      <c r="CHF78" s="528"/>
      <c r="CHG78" s="528"/>
      <c r="CHH78" s="528"/>
      <c r="CHI78" s="528"/>
      <c r="CHJ78" s="528"/>
      <c r="CHK78" s="528"/>
      <c r="CHL78" s="528"/>
      <c r="CHM78" s="528"/>
      <c r="CHN78" s="528"/>
      <c r="CHO78" s="528"/>
      <c r="CHP78" s="528"/>
      <c r="CHQ78" s="528"/>
      <c r="CHR78" s="528"/>
      <c r="CHS78" s="528"/>
      <c r="CHT78" s="528"/>
      <c r="CHU78" s="528"/>
      <c r="CHV78" s="528"/>
      <c r="CHW78" s="528"/>
      <c r="CHX78" s="528"/>
      <c r="CHY78" s="528"/>
      <c r="CHZ78" s="528"/>
      <c r="CIA78" s="528"/>
      <c r="CIB78" s="528"/>
      <c r="CIC78" s="528"/>
      <c r="CID78" s="528"/>
      <c r="CIE78" s="528"/>
      <c r="CIF78" s="528"/>
      <c r="CIG78" s="528"/>
      <c r="CIH78" s="528"/>
      <c r="CII78" s="528"/>
      <c r="CIJ78" s="528"/>
      <c r="CIK78" s="528"/>
      <c r="CIL78" s="528"/>
      <c r="CIM78" s="528"/>
      <c r="CIN78" s="528"/>
      <c r="CIO78" s="528"/>
      <c r="CIP78" s="528"/>
      <c r="CIQ78" s="528"/>
      <c r="CIR78" s="528"/>
      <c r="CIS78" s="528"/>
      <c r="CIT78" s="528"/>
      <c r="CIU78" s="528"/>
      <c r="CIV78" s="528"/>
      <c r="CIW78" s="528"/>
      <c r="CIX78" s="528"/>
      <c r="CIY78" s="528"/>
      <c r="CIZ78" s="528"/>
      <c r="CJA78" s="528"/>
      <c r="CJB78" s="528"/>
      <c r="CJC78" s="528"/>
      <c r="CJD78" s="528"/>
      <c r="CJE78" s="528"/>
      <c r="CJF78" s="528"/>
      <c r="CJG78" s="528"/>
      <c r="CJH78" s="528"/>
      <c r="CJI78" s="528"/>
      <c r="CJJ78" s="528"/>
      <c r="CJK78" s="528"/>
      <c r="CJL78" s="528"/>
      <c r="CJM78" s="528"/>
      <c r="CJN78" s="528"/>
      <c r="CJO78" s="528"/>
      <c r="CJP78" s="528"/>
      <c r="CJQ78" s="528"/>
      <c r="CJR78" s="528"/>
      <c r="CJS78" s="528"/>
      <c r="CJT78" s="528"/>
      <c r="CJU78" s="528"/>
      <c r="CJV78" s="528"/>
      <c r="CJW78" s="528"/>
      <c r="CJX78" s="528"/>
      <c r="CJY78" s="528"/>
      <c r="CJZ78" s="528"/>
      <c r="CKA78" s="528"/>
      <c r="CKB78" s="528"/>
      <c r="CKC78" s="528"/>
      <c r="CKD78" s="528"/>
      <c r="CKE78" s="528"/>
      <c r="CKF78" s="528"/>
      <c r="CKG78" s="528"/>
      <c r="CKH78" s="528"/>
      <c r="CKI78" s="528"/>
      <c r="CKJ78" s="528"/>
      <c r="CKK78" s="528"/>
      <c r="CKL78" s="528"/>
      <c r="CKM78" s="528"/>
      <c r="CKN78" s="528"/>
      <c r="CKO78" s="528"/>
      <c r="CKP78" s="528"/>
      <c r="CKQ78" s="528"/>
      <c r="CKR78" s="528"/>
      <c r="CKS78" s="528"/>
      <c r="CKT78" s="528"/>
      <c r="CKU78" s="528"/>
      <c r="CKV78" s="528"/>
      <c r="CKW78" s="528"/>
      <c r="CKX78" s="528"/>
      <c r="CKY78" s="528"/>
      <c r="CKZ78" s="528"/>
      <c r="CLA78" s="528"/>
      <c r="CLB78" s="528"/>
      <c r="CLC78" s="528"/>
      <c r="CLD78" s="528"/>
      <c r="CLE78" s="528"/>
      <c r="CLF78" s="528"/>
      <c r="CLG78" s="528"/>
      <c r="CLH78" s="528"/>
      <c r="CLI78" s="528"/>
      <c r="CLJ78" s="528"/>
      <c r="CLK78" s="528"/>
      <c r="CLL78" s="528"/>
      <c r="CLM78" s="528"/>
      <c r="CLN78" s="528"/>
      <c r="CLO78" s="528"/>
      <c r="CLP78" s="528"/>
      <c r="CLQ78" s="528"/>
      <c r="CLR78" s="528"/>
      <c r="CLS78" s="528"/>
      <c r="CLT78" s="528"/>
      <c r="CLU78" s="528"/>
      <c r="CLV78" s="528"/>
      <c r="CLW78" s="528"/>
      <c r="CLX78" s="528"/>
      <c r="CLY78" s="528"/>
      <c r="CLZ78" s="528"/>
      <c r="CMA78" s="528"/>
      <c r="CMB78" s="528"/>
      <c r="CMC78" s="528"/>
      <c r="CMD78" s="528"/>
      <c r="CME78" s="528"/>
      <c r="CMF78" s="528"/>
      <c r="CMG78" s="528"/>
      <c r="CMH78" s="528"/>
      <c r="CMI78" s="528"/>
      <c r="CMJ78" s="528"/>
      <c r="CMK78" s="528"/>
      <c r="CML78" s="528"/>
      <c r="CMM78" s="528"/>
      <c r="CMN78" s="528"/>
      <c r="CMO78" s="528"/>
      <c r="CMP78" s="528"/>
      <c r="CMQ78" s="528"/>
      <c r="CMR78" s="528"/>
      <c r="CMS78" s="528"/>
      <c r="CMT78" s="528"/>
      <c r="CMU78" s="528"/>
      <c r="CMV78" s="528"/>
      <c r="CMW78" s="528"/>
      <c r="CMX78" s="528"/>
      <c r="CMY78" s="528"/>
      <c r="CMZ78" s="528"/>
      <c r="CNA78" s="528"/>
      <c r="CNB78" s="528"/>
      <c r="CNC78" s="528"/>
      <c r="CND78" s="528"/>
      <c r="CNE78" s="528"/>
      <c r="CNF78" s="528"/>
      <c r="CNG78" s="528"/>
      <c r="CNH78" s="528"/>
      <c r="CNI78" s="528"/>
      <c r="CNJ78" s="528"/>
      <c r="CNK78" s="528"/>
      <c r="CNL78" s="528"/>
      <c r="CNM78" s="528"/>
      <c r="CNN78" s="528"/>
      <c r="CNO78" s="528"/>
      <c r="CNP78" s="528"/>
      <c r="CNQ78" s="528"/>
      <c r="CNR78" s="528"/>
      <c r="CNS78" s="528"/>
      <c r="CNT78" s="528"/>
      <c r="CNU78" s="528"/>
      <c r="CNV78" s="528"/>
      <c r="CNW78" s="528"/>
      <c r="CNX78" s="528"/>
      <c r="CNY78" s="528"/>
      <c r="CNZ78" s="528"/>
      <c r="COA78" s="528"/>
      <c r="COB78" s="528"/>
      <c r="COC78" s="528"/>
      <c r="COD78" s="528"/>
      <c r="COE78" s="528"/>
      <c r="COF78" s="528"/>
      <c r="COG78" s="528"/>
      <c r="COH78" s="528"/>
      <c r="COI78" s="528"/>
      <c r="COJ78" s="528"/>
      <c r="COK78" s="528"/>
      <c r="COL78" s="528"/>
      <c r="COM78" s="528"/>
      <c r="CON78" s="528"/>
      <c r="COO78" s="528"/>
      <c r="COP78" s="528"/>
      <c r="COQ78" s="528"/>
      <c r="COR78" s="528"/>
      <c r="COS78" s="528"/>
      <c r="COT78" s="528"/>
      <c r="COU78" s="528"/>
      <c r="COV78" s="528"/>
      <c r="COW78" s="528"/>
      <c r="COX78" s="528"/>
      <c r="COY78" s="528"/>
      <c r="COZ78" s="528"/>
      <c r="CPA78" s="528"/>
      <c r="CPB78" s="528"/>
      <c r="CPC78" s="528"/>
      <c r="CPD78" s="528"/>
      <c r="CPE78" s="528"/>
      <c r="CPF78" s="528"/>
      <c r="CPG78" s="528"/>
      <c r="CPH78" s="528"/>
      <c r="CPI78" s="528"/>
      <c r="CPJ78" s="528"/>
      <c r="CPK78" s="528"/>
      <c r="CPL78" s="528"/>
      <c r="CPM78" s="528"/>
      <c r="CPN78" s="528"/>
      <c r="CPO78" s="528"/>
      <c r="CPP78" s="528"/>
      <c r="CPQ78" s="528"/>
      <c r="CPR78" s="528"/>
      <c r="CPS78" s="528"/>
      <c r="CPT78" s="528"/>
      <c r="CPU78" s="528"/>
      <c r="CPV78" s="528"/>
      <c r="CPW78" s="528"/>
      <c r="CPX78" s="528"/>
      <c r="CPY78" s="528"/>
      <c r="CPZ78" s="528"/>
      <c r="CQA78" s="528"/>
      <c r="CQB78" s="528"/>
      <c r="CQC78" s="528"/>
      <c r="CQD78" s="528"/>
      <c r="CQE78" s="528"/>
      <c r="CQF78" s="528"/>
      <c r="CQG78" s="528"/>
      <c r="CQH78" s="528"/>
      <c r="CQI78" s="528"/>
      <c r="CQJ78" s="528"/>
      <c r="CQK78" s="528"/>
      <c r="CQL78" s="528"/>
      <c r="CQM78" s="528"/>
      <c r="CQN78" s="528"/>
      <c r="CQO78" s="528"/>
      <c r="CQP78" s="528"/>
      <c r="CQQ78" s="528"/>
      <c r="CQR78" s="528"/>
      <c r="CQS78" s="528"/>
      <c r="CQT78" s="528"/>
      <c r="CQU78" s="528"/>
      <c r="CQV78" s="528"/>
      <c r="CQW78" s="528"/>
      <c r="CQX78" s="528"/>
      <c r="CQY78" s="528"/>
      <c r="CQZ78" s="528"/>
      <c r="CRA78" s="528"/>
      <c r="CRB78" s="528"/>
      <c r="CRC78" s="528"/>
      <c r="CRD78" s="528"/>
      <c r="CRE78" s="528"/>
      <c r="CRF78" s="528"/>
      <c r="CRG78" s="528"/>
      <c r="CRH78" s="528"/>
      <c r="CRI78" s="528"/>
      <c r="CRJ78" s="528"/>
      <c r="CRK78" s="528"/>
      <c r="CRL78" s="528"/>
      <c r="CRM78" s="528"/>
      <c r="CRN78" s="528"/>
      <c r="CRO78" s="528"/>
      <c r="CRP78" s="528"/>
      <c r="CRQ78" s="528"/>
      <c r="CRR78" s="528"/>
      <c r="CRS78" s="528"/>
      <c r="CRT78" s="528"/>
      <c r="CRU78" s="528"/>
      <c r="CRV78" s="528"/>
      <c r="CRW78" s="528"/>
      <c r="CRX78" s="528"/>
      <c r="CRY78" s="528"/>
      <c r="CRZ78" s="528"/>
      <c r="CSA78" s="528"/>
      <c r="CSB78" s="528"/>
      <c r="CSC78" s="528"/>
      <c r="CSD78" s="528"/>
      <c r="CSE78" s="528"/>
      <c r="CSF78" s="528"/>
      <c r="CSG78" s="528"/>
      <c r="CSH78" s="528"/>
      <c r="CSI78" s="528"/>
      <c r="CSJ78" s="528"/>
      <c r="CSK78" s="528"/>
      <c r="CSL78" s="528"/>
      <c r="CSM78" s="528"/>
      <c r="CSN78" s="528"/>
      <c r="CSO78" s="528"/>
      <c r="CSP78" s="528"/>
      <c r="CSQ78" s="528"/>
      <c r="CSR78" s="528"/>
      <c r="CSS78" s="528"/>
      <c r="CST78" s="528"/>
      <c r="CSU78" s="528"/>
      <c r="CSV78" s="528"/>
      <c r="CSW78" s="528"/>
      <c r="CSX78" s="528"/>
      <c r="CSY78" s="528"/>
      <c r="CSZ78" s="528"/>
      <c r="CTA78" s="528"/>
      <c r="CTB78" s="528"/>
      <c r="CTC78" s="528"/>
      <c r="CTD78" s="528"/>
      <c r="CTE78" s="528"/>
      <c r="CTF78" s="528"/>
      <c r="CTG78" s="528"/>
      <c r="CTH78" s="528"/>
      <c r="CTI78" s="528"/>
      <c r="CTJ78" s="528"/>
      <c r="CTK78" s="528"/>
      <c r="CTL78" s="528"/>
      <c r="CTM78" s="528"/>
      <c r="CTN78" s="528"/>
      <c r="CTO78" s="528"/>
      <c r="CTP78" s="528"/>
      <c r="CTQ78" s="528"/>
      <c r="CTR78" s="528"/>
      <c r="CTS78" s="528"/>
      <c r="CTT78" s="528"/>
      <c r="CTU78" s="528"/>
      <c r="CTV78" s="528"/>
      <c r="CTW78" s="528"/>
      <c r="CTX78" s="528"/>
      <c r="CTY78" s="528"/>
      <c r="CTZ78" s="528"/>
      <c r="CUA78" s="528"/>
      <c r="CUB78" s="528"/>
      <c r="CUC78" s="528"/>
      <c r="CUD78" s="528"/>
      <c r="CUE78" s="528"/>
      <c r="CUF78" s="528"/>
      <c r="CUG78" s="528"/>
      <c r="CUH78" s="528"/>
      <c r="CUI78" s="528"/>
      <c r="CUJ78" s="528"/>
      <c r="CUK78" s="528"/>
      <c r="CUL78" s="528"/>
      <c r="CUM78" s="528"/>
      <c r="CUN78" s="528"/>
      <c r="CUO78" s="528"/>
      <c r="CUP78" s="528"/>
      <c r="CUQ78" s="528"/>
      <c r="CUR78" s="528"/>
      <c r="CUS78" s="528"/>
      <c r="CUT78" s="528"/>
      <c r="CUU78" s="528"/>
      <c r="CUV78" s="528"/>
      <c r="CUW78" s="528"/>
      <c r="CUX78" s="528"/>
      <c r="CUY78" s="528"/>
      <c r="CUZ78" s="528"/>
      <c r="CVA78" s="528"/>
      <c r="CVB78" s="528"/>
      <c r="CVC78" s="528"/>
      <c r="CVD78" s="528"/>
      <c r="CVE78" s="528"/>
      <c r="CVF78" s="528"/>
      <c r="CVG78" s="528"/>
      <c r="CVH78" s="528"/>
      <c r="CVI78" s="528"/>
      <c r="CVJ78" s="528"/>
      <c r="CVK78" s="528"/>
      <c r="CVL78" s="528"/>
      <c r="CVM78" s="528"/>
      <c r="CVN78" s="528"/>
      <c r="CVO78" s="528"/>
      <c r="CVP78" s="528"/>
      <c r="CVQ78" s="528"/>
      <c r="CVR78" s="528"/>
      <c r="CVS78" s="528"/>
      <c r="CVT78" s="528"/>
      <c r="CVU78" s="528"/>
      <c r="CVV78" s="528"/>
      <c r="CVW78" s="528"/>
      <c r="CVX78" s="528"/>
      <c r="CVY78" s="528"/>
      <c r="CVZ78" s="528"/>
      <c r="CWA78" s="528"/>
      <c r="CWB78" s="528"/>
      <c r="CWC78" s="528"/>
      <c r="CWD78" s="528"/>
      <c r="CWE78" s="528"/>
      <c r="CWF78" s="528"/>
      <c r="CWG78" s="528"/>
      <c r="CWH78" s="528"/>
      <c r="CWI78" s="528"/>
      <c r="CWJ78" s="528"/>
      <c r="CWK78" s="528"/>
      <c r="CWL78" s="528"/>
      <c r="CWM78" s="528"/>
      <c r="CWN78" s="528"/>
      <c r="CWO78" s="528"/>
      <c r="CWP78" s="528"/>
      <c r="CWQ78" s="528"/>
      <c r="CWR78" s="528"/>
      <c r="CWS78" s="528"/>
      <c r="CWT78" s="528"/>
      <c r="CWU78" s="528"/>
      <c r="CWV78" s="528"/>
      <c r="CWW78" s="528"/>
      <c r="CWX78" s="528"/>
      <c r="CWY78" s="528"/>
      <c r="CWZ78" s="528"/>
      <c r="CXA78" s="528"/>
      <c r="CXB78" s="528"/>
      <c r="CXC78" s="528"/>
      <c r="CXD78" s="528"/>
      <c r="CXE78" s="528"/>
      <c r="CXF78" s="528"/>
      <c r="CXG78" s="528"/>
      <c r="CXH78" s="528"/>
      <c r="CXI78" s="528"/>
      <c r="CXJ78" s="528"/>
      <c r="CXK78" s="528"/>
      <c r="CXL78" s="528"/>
      <c r="CXM78" s="528"/>
      <c r="CXN78" s="528"/>
      <c r="CXO78" s="528"/>
      <c r="CXP78" s="528"/>
      <c r="CXQ78" s="528"/>
      <c r="CXR78" s="528"/>
      <c r="CXS78" s="528"/>
      <c r="CXT78" s="528"/>
      <c r="CXU78" s="528"/>
      <c r="CXV78" s="528"/>
      <c r="CXW78" s="528"/>
      <c r="CXX78" s="528"/>
      <c r="CXY78" s="528"/>
      <c r="CXZ78" s="528"/>
      <c r="CYA78" s="528"/>
      <c r="CYB78" s="528"/>
      <c r="CYC78" s="528"/>
      <c r="CYD78" s="528"/>
      <c r="CYE78" s="528"/>
      <c r="CYF78" s="528"/>
      <c r="CYG78" s="528"/>
      <c r="CYH78" s="528"/>
      <c r="CYI78" s="528"/>
      <c r="CYJ78" s="528"/>
      <c r="CYK78" s="528"/>
      <c r="CYL78" s="528"/>
      <c r="CYM78" s="528"/>
      <c r="CYN78" s="528"/>
      <c r="CYO78" s="528"/>
      <c r="CYP78" s="528"/>
      <c r="CYQ78" s="528"/>
      <c r="CYR78" s="528"/>
      <c r="CYS78" s="528"/>
      <c r="CYT78" s="528"/>
      <c r="CYU78" s="528"/>
      <c r="CYV78" s="528"/>
      <c r="CYW78" s="528"/>
      <c r="CYX78" s="528"/>
      <c r="CYY78" s="528"/>
      <c r="CYZ78" s="528"/>
      <c r="CZA78" s="528"/>
      <c r="CZB78" s="528"/>
      <c r="CZC78" s="528"/>
      <c r="CZD78" s="528"/>
      <c r="CZE78" s="528"/>
      <c r="CZF78" s="528"/>
      <c r="CZG78" s="528"/>
      <c r="CZH78" s="528"/>
      <c r="CZI78" s="528"/>
      <c r="CZJ78" s="528"/>
      <c r="CZK78" s="528"/>
      <c r="CZL78" s="528"/>
      <c r="CZM78" s="528"/>
      <c r="CZN78" s="528"/>
      <c r="CZO78" s="528"/>
      <c r="CZP78" s="528"/>
      <c r="CZQ78" s="528"/>
      <c r="CZR78" s="528"/>
      <c r="CZS78" s="528"/>
      <c r="CZT78" s="528"/>
      <c r="CZU78" s="528"/>
      <c r="CZV78" s="528"/>
      <c r="CZW78" s="528"/>
      <c r="CZX78" s="528"/>
      <c r="CZY78" s="528"/>
      <c r="CZZ78" s="528"/>
      <c r="DAA78" s="528"/>
      <c r="DAB78" s="528"/>
      <c r="DAC78" s="528"/>
      <c r="DAD78" s="528"/>
      <c r="DAE78" s="528"/>
      <c r="DAF78" s="528"/>
      <c r="DAG78" s="528"/>
      <c r="DAH78" s="528"/>
      <c r="DAI78" s="528"/>
      <c r="DAJ78" s="528"/>
      <c r="DAK78" s="528"/>
      <c r="DAL78" s="528"/>
      <c r="DAM78" s="528"/>
      <c r="DAN78" s="528"/>
      <c r="DAO78" s="528"/>
      <c r="DAP78" s="528"/>
      <c r="DAQ78" s="528"/>
      <c r="DAR78" s="528"/>
      <c r="DAS78" s="528"/>
      <c r="DAT78" s="528"/>
      <c r="DAU78" s="528"/>
      <c r="DAV78" s="528"/>
      <c r="DAW78" s="528"/>
      <c r="DAX78" s="528"/>
      <c r="DAY78" s="528"/>
      <c r="DAZ78" s="528"/>
      <c r="DBA78" s="528"/>
      <c r="DBB78" s="528"/>
      <c r="DBC78" s="528"/>
      <c r="DBD78" s="528"/>
      <c r="DBE78" s="528"/>
      <c r="DBF78" s="528"/>
      <c r="DBG78" s="528"/>
      <c r="DBH78" s="528"/>
      <c r="DBI78" s="528"/>
      <c r="DBJ78" s="528"/>
      <c r="DBK78" s="528"/>
      <c r="DBL78" s="528"/>
      <c r="DBM78" s="528"/>
      <c r="DBN78" s="528"/>
      <c r="DBO78" s="528"/>
      <c r="DBP78" s="528"/>
      <c r="DBQ78" s="528"/>
      <c r="DBR78" s="528"/>
      <c r="DBS78" s="528"/>
      <c r="DBT78" s="528"/>
      <c r="DBU78" s="528"/>
      <c r="DBV78" s="528"/>
      <c r="DBW78" s="528"/>
      <c r="DBX78" s="528"/>
      <c r="DBY78" s="528"/>
      <c r="DBZ78" s="528"/>
      <c r="DCA78" s="528"/>
      <c r="DCB78" s="528"/>
      <c r="DCC78" s="528"/>
      <c r="DCD78" s="528"/>
      <c r="DCE78" s="528"/>
      <c r="DCF78" s="528"/>
      <c r="DCG78" s="528"/>
      <c r="DCH78" s="528"/>
      <c r="DCI78" s="528"/>
      <c r="DCJ78" s="528"/>
      <c r="DCK78" s="528"/>
      <c r="DCL78" s="528"/>
      <c r="DCM78" s="528"/>
      <c r="DCN78" s="528"/>
      <c r="DCO78" s="528"/>
      <c r="DCP78" s="528"/>
      <c r="DCQ78" s="528"/>
      <c r="DCR78" s="528"/>
      <c r="DCS78" s="528"/>
      <c r="DCT78" s="528"/>
      <c r="DCU78" s="528"/>
      <c r="DCV78" s="528"/>
      <c r="DCW78" s="528"/>
      <c r="DCX78" s="528"/>
      <c r="DCY78" s="528"/>
      <c r="DCZ78" s="528"/>
      <c r="DDA78" s="528"/>
      <c r="DDB78" s="528"/>
      <c r="DDC78" s="528"/>
      <c r="DDD78" s="528"/>
      <c r="DDE78" s="528"/>
      <c r="DDF78" s="528"/>
      <c r="DDG78" s="528"/>
      <c r="DDH78" s="528"/>
      <c r="DDI78" s="528"/>
      <c r="DDJ78" s="528"/>
      <c r="DDK78" s="528"/>
      <c r="DDL78" s="528"/>
      <c r="DDM78" s="528"/>
      <c r="DDN78" s="528"/>
      <c r="DDO78" s="528"/>
      <c r="DDP78" s="528"/>
      <c r="DDQ78" s="528"/>
      <c r="DDR78" s="528"/>
      <c r="DDS78" s="528"/>
      <c r="DDT78" s="528"/>
      <c r="DDU78" s="528"/>
      <c r="DDV78" s="528"/>
      <c r="DDW78" s="528"/>
      <c r="DDX78" s="528"/>
      <c r="DDY78" s="528"/>
      <c r="DDZ78" s="528"/>
      <c r="DEA78" s="528"/>
      <c r="DEB78" s="528"/>
      <c r="DEC78" s="528"/>
      <c r="DED78" s="528"/>
      <c r="DEE78" s="528"/>
      <c r="DEF78" s="528"/>
      <c r="DEG78" s="528"/>
      <c r="DEH78" s="528"/>
      <c r="DEI78" s="528"/>
      <c r="DEJ78" s="528"/>
      <c r="DEK78" s="528"/>
      <c r="DEL78" s="528"/>
      <c r="DEM78" s="528"/>
      <c r="DEN78" s="528"/>
      <c r="DEO78" s="528"/>
      <c r="DEP78" s="528"/>
      <c r="DEQ78" s="528"/>
      <c r="DER78" s="528"/>
      <c r="DES78" s="528"/>
      <c r="DET78" s="528"/>
      <c r="DEU78" s="528"/>
      <c r="DEV78" s="528"/>
      <c r="DEW78" s="528"/>
      <c r="DEX78" s="528"/>
      <c r="DEY78" s="528"/>
      <c r="DEZ78" s="528"/>
      <c r="DFA78" s="528"/>
      <c r="DFB78" s="528"/>
      <c r="DFC78" s="528"/>
      <c r="DFD78" s="528"/>
      <c r="DFE78" s="528"/>
      <c r="DFF78" s="528"/>
      <c r="DFG78" s="528"/>
      <c r="DFH78" s="528"/>
      <c r="DFI78" s="528"/>
      <c r="DFJ78" s="528"/>
      <c r="DFK78" s="528"/>
      <c r="DFL78" s="528"/>
      <c r="DFM78" s="528"/>
      <c r="DFN78" s="528"/>
      <c r="DFO78" s="528"/>
      <c r="DFP78" s="528"/>
      <c r="DFQ78" s="528"/>
      <c r="DFR78" s="528"/>
      <c r="DFS78" s="528"/>
      <c r="DFT78" s="528"/>
      <c r="DFU78" s="528"/>
      <c r="DFV78" s="528"/>
      <c r="DFW78" s="528"/>
      <c r="DFX78" s="528"/>
      <c r="DFY78" s="528"/>
      <c r="DFZ78" s="528"/>
      <c r="DGA78" s="528"/>
      <c r="DGB78" s="528"/>
      <c r="DGC78" s="528"/>
      <c r="DGD78" s="528"/>
      <c r="DGE78" s="528"/>
      <c r="DGF78" s="528"/>
      <c r="DGG78" s="528"/>
      <c r="DGH78" s="528"/>
      <c r="DGI78" s="528"/>
      <c r="DGJ78" s="528"/>
      <c r="DGK78" s="528"/>
      <c r="DGL78" s="528"/>
      <c r="DGM78" s="528"/>
      <c r="DGN78" s="528"/>
      <c r="DGO78" s="528"/>
      <c r="DGP78" s="528"/>
      <c r="DGQ78" s="528"/>
      <c r="DGR78" s="528"/>
      <c r="DGS78" s="528"/>
      <c r="DGT78" s="528"/>
      <c r="DGU78" s="528"/>
      <c r="DGV78" s="528"/>
      <c r="DGW78" s="528"/>
      <c r="DGX78" s="528"/>
      <c r="DGY78" s="528"/>
      <c r="DGZ78" s="528"/>
      <c r="DHA78" s="528"/>
      <c r="DHB78" s="528"/>
      <c r="DHC78" s="528"/>
      <c r="DHD78" s="528"/>
      <c r="DHE78" s="528"/>
      <c r="DHF78" s="528"/>
      <c r="DHG78" s="528"/>
      <c r="DHH78" s="528"/>
      <c r="DHI78" s="528"/>
      <c r="DHJ78" s="528"/>
      <c r="DHK78" s="528"/>
      <c r="DHL78" s="528"/>
      <c r="DHM78" s="528"/>
      <c r="DHN78" s="528"/>
      <c r="DHO78" s="528"/>
      <c r="DHP78" s="528"/>
      <c r="DHQ78" s="528"/>
      <c r="DHR78" s="528"/>
      <c r="DHS78" s="528"/>
      <c r="DHT78" s="528"/>
      <c r="DHU78" s="528"/>
      <c r="DHV78" s="528"/>
      <c r="DHW78" s="528"/>
      <c r="DHX78" s="528"/>
      <c r="DHY78" s="528"/>
      <c r="DHZ78" s="528"/>
      <c r="DIA78" s="528"/>
      <c r="DIB78" s="528"/>
      <c r="DIC78" s="528"/>
      <c r="DID78" s="528"/>
      <c r="DIE78" s="528"/>
      <c r="DIF78" s="528"/>
      <c r="DIG78" s="528"/>
      <c r="DIH78" s="528"/>
      <c r="DII78" s="528"/>
      <c r="DIJ78" s="528"/>
      <c r="DIK78" s="528"/>
      <c r="DIL78" s="528"/>
      <c r="DIM78" s="528"/>
      <c r="DIN78" s="528"/>
      <c r="DIO78" s="528"/>
      <c r="DIP78" s="528"/>
      <c r="DIQ78" s="528"/>
      <c r="DIR78" s="528"/>
      <c r="DIS78" s="528"/>
      <c r="DIT78" s="528"/>
      <c r="DIU78" s="528"/>
      <c r="DIV78" s="528"/>
      <c r="DIW78" s="528"/>
      <c r="DIX78" s="528"/>
      <c r="DIY78" s="528"/>
      <c r="DIZ78" s="528"/>
      <c r="DJA78" s="528"/>
      <c r="DJB78" s="528"/>
      <c r="DJC78" s="528"/>
      <c r="DJD78" s="528"/>
      <c r="DJE78" s="528"/>
      <c r="DJF78" s="528"/>
      <c r="DJG78" s="528"/>
      <c r="DJH78" s="528"/>
      <c r="DJI78" s="528"/>
      <c r="DJJ78" s="528"/>
      <c r="DJK78" s="528"/>
      <c r="DJL78" s="528"/>
      <c r="DJM78" s="528"/>
      <c r="DJN78" s="528"/>
      <c r="DJO78" s="528"/>
      <c r="DJP78" s="528"/>
      <c r="DJQ78" s="528"/>
      <c r="DJR78" s="528"/>
      <c r="DJS78" s="528"/>
      <c r="DJT78" s="528"/>
      <c r="DJU78" s="528"/>
      <c r="DJV78" s="528"/>
      <c r="DJW78" s="528"/>
      <c r="DJX78" s="528"/>
      <c r="DJY78" s="528"/>
      <c r="DJZ78" s="528"/>
      <c r="DKA78" s="528"/>
      <c r="DKB78" s="528"/>
      <c r="DKC78" s="528"/>
      <c r="DKD78" s="528"/>
      <c r="DKE78" s="528"/>
      <c r="DKF78" s="528"/>
      <c r="DKG78" s="528"/>
      <c r="DKH78" s="528"/>
      <c r="DKI78" s="528"/>
      <c r="DKJ78" s="528"/>
      <c r="DKK78" s="528"/>
      <c r="DKL78" s="528"/>
      <c r="DKM78" s="528"/>
      <c r="DKN78" s="528"/>
      <c r="DKO78" s="528"/>
      <c r="DKP78" s="528"/>
      <c r="DKQ78" s="528"/>
      <c r="DKR78" s="528"/>
      <c r="DKS78" s="528"/>
      <c r="DKT78" s="528"/>
      <c r="DKU78" s="528"/>
      <c r="DKV78" s="528"/>
      <c r="DKW78" s="528"/>
      <c r="DKX78" s="528"/>
      <c r="DKY78" s="528"/>
      <c r="DKZ78" s="528"/>
      <c r="DLA78" s="528"/>
      <c r="DLB78" s="528"/>
      <c r="DLC78" s="528"/>
      <c r="DLD78" s="528"/>
      <c r="DLE78" s="528"/>
      <c r="DLF78" s="528"/>
      <c r="DLG78" s="528"/>
      <c r="DLH78" s="528"/>
      <c r="DLI78" s="528"/>
      <c r="DLJ78" s="528"/>
      <c r="DLK78" s="528"/>
      <c r="DLL78" s="528"/>
      <c r="DLM78" s="528"/>
      <c r="DLN78" s="528"/>
      <c r="DLO78" s="528"/>
      <c r="DLP78" s="528"/>
      <c r="DLQ78" s="528"/>
      <c r="DLR78" s="528"/>
      <c r="DLS78" s="528"/>
      <c r="DLT78" s="528"/>
      <c r="DLU78" s="528"/>
      <c r="DLV78" s="528"/>
      <c r="DLW78" s="528"/>
      <c r="DLX78" s="528"/>
      <c r="DLY78" s="528"/>
      <c r="DLZ78" s="528"/>
      <c r="DMA78" s="528"/>
      <c r="DMB78" s="528"/>
      <c r="DMC78" s="528"/>
      <c r="DMD78" s="528"/>
      <c r="DME78" s="528"/>
      <c r="DMF78" s="528"/>
      <c r="DMG78" s="528"/>
      <c r="DMH78" s="528"/>
      <c r="DMI78" s="528"/>
      <c r="DMJ78" s="528"/>
      <c r="DMK78" s="528"/>
      <c r="DML78" s="528"/>
      <c r="DMM78" s="528"/>
      <c r="DMN78" s="528"/>
      <c r="DMO78" s="528"/>
      <c r="DMP78" s="528"/>
      <c r="DMQ78" s="528"/>
      <c r="DMR78" s="528"/>
      <c r="DMS78" s="528"/>
      <c r="DMT78" s="528"/>
      <c r="DMU78" s="528"/>
      <c r="DMV78" s="528"/>
      <c r="DMW78" s="528"/>
      <c r="DMX78" s="528"/>
      <c r="DMY78" s="528"/>
      <c r="DMZ78" s="528"/>
      <c r="DNA78" s="528"/>
      <c r="DNB78" s="528"/>
      <c r="DNC78" s="528"/>
      <c r="DND78" s="528"/>
      <c r="DNE78" s="528"/>
      <c r="DNF78" s="528"/>
      <c r="DNG78" s="528"/>
      <c r="DNH78" s="528"/>
      <c r="DNI78" s="528"/>
      <c r="DNJ78" s="528"/>
      <c r="DNK78" s="528"/>
      <c r="DNL78" s="528"/>
      <c r="DNM78" s="528"/>
      <c r="DNN78" s="528"/>
      <c r="DNO78" s="528"/>
      <c r="DNP78" s="528"/>
      <c r="DNQ78" s="528"/>
      <c r="DNR78" s="528"/>
      <c r="DNS78" s="528"/>
      <c r="DNT78" s="528"/>
      <c r="DNU78" s="528"/>
      <c r="DNV78" s="528"/>
      <c r="DNW78" s="528"/>
      <c r="DNX78" s="528"/>
      <c r="DNY78" s="528"/>
      <c r="DNZ78" s="528"/>
      <c r="DOA78" s="528"/>
      <c r="DOB78" s="528"/>
      <c r="DOC78" s="528"/>
      <c r="DOD78" s="528"/>
      <c r="DOE78" s="528"/>
      <c r="DOF78" s="528"/>
      <c r="DOG78" s="528"/>
      <c r="DOH78" s="528"/>
      <c r="DOI78" s="528"/>
      <c r="DOJ78" s="528"/>
      <c r="DOK78" s="528"/>
      <c r="DOL78" s="528"/>
      <c r="DOM78" s="528"/>
      <c r="DON78" s="528"/>
      <c r="DOO78" s="528"/>
      <c r="DOP78" s="528"/>
      <c r="DOQ78" s="528"/>
      <c r="DOR78" s="528"/>
      <c r="DOS78" s="528"/>
      <c r="DOT78" s="528"/>
      <c r="DOU78" s="528"/>
      <c r="DOV78" s="528"/>
      <c r="DOW78" s="528"/>
      <c r="DOX78" s="528"/>
      <c r="DOY78" s="528"/>
      <c r="DOZ78" s="528"/>
      <c r="DPA78" s="528"/>
      <c r="DPB78" s="528"/>
      <c r="DPC78" s="528"/>
      <c r="DPD78" s="528"/>
      <c r="DPE78" s="528"/>
      <c r="DPF78" s="528"/>
      <c r="DPG78" s="528"/>
      <c r="DPH78" s="528"/>
      <c r="DPI78" s="528"/>
      <c r="DPJ78" s="528"/>
      <c r="DPK78" s="528"/>
      <c r="DPL78" s="528"/>
      <c r="DPM78" s="528"/>
      <c r="DPN78" s="528"/>
      <c r="DPO78" s="528"/>
      <c r="DPP78" s="528"/>
      <c r="DPQ78" s="528"/>
      <c r="DPR78" s="528"/>
      <c r="DPS78" s="528"/>
      <c r="DPT78" s="528"/>
      <c r="DPU78" s="528"/>
      <c r="DPV78" s="528"/>
      <c r="DPW78" s="528"/>
      <c r="DPX78" s="528"/>
      <c r="DPY78" s="528"/>
      <c r="DPZ78" s="528"/>
      <c r="DQA78" s="528"/>
      <c r="DQB78" s="528"/>
      <c r="DQC78" s="528"/>
      <c r="DQD78" s="528"/>
      <c r="DQE78" s="528"/>
      <c r="DQF78" s="528"/>
      <c r="DQG78" s="528"/>
      <c r="DQH78" s="528"/>
      <c r="DQI78" s="528"/>
      <c r="DQJ78" s="528"/>
      <c r="DQK78" s="528"/>
      <c r="DQL78" s="528"/>
      <c r="DQM78" s="528"/>
      <c r="DQN78" s="528"/>
      <c r="DQO78" s="528"/>
      <c r="DQP78" s="528"/>
      <c r="DQQ78" s="528"/>
      <c r="DQR78" s="528"/>
      <c r="DQS78" s="528"/>
      <c r="DQT78" s="528"/>
      <c r="DQU78" s="528"/>
      <c r="DQV78" s="528"/>
      <c r="DQW78" s="528"/>
      <c r="DQX78" s="528"/>
      <c r="DQY78" s="528"/>
      <c r="DQZ78" s="528"/>
      <c r="DRA78" s="528"/>
      <c r="DRB78" s="528"/>
      <c r="DRC78" s="528"/>
      <c r="DRD78" s="528"/>
      <c r="DRE78" s="528"/>
      <c r="DRF78" s="528"/>
      <c r="DRG78" s="528"/>
      <c r="DRH78" s="528"/>
      <c r="DRI78" s="528"/>
      <c r="DRJ78" s="528"/>
      <c r="DRK78" s="528"/>
      <c r="DRL78" s="528"/>
      <c r="DRM78" s="528"/>
      <c r="DRN78" s="528"/>
      <c r="DRO78" s="528"/>
      <c r="DRP78" s="528"/>
      <c r="DRQ78" s="528"/>
      <c r="DRR78" s="528"/>
      <c r="DRS78" s="528"/>
      <c r="DRT78" s="528"/>
      <c r="DRU78" s="528"/>
      <c r="DRV78" s="528"/>
      <c r="DRW78" s="528"/>
      <c r="DRX78" s="528"/>
      <c r="DRY78" s="528"/>
      <c r="DRZ78" s="528"/>
      <c r="DSA78" s="528"/>
      <c r="DSB78" s="528"/>
      <c r="DSC78" s="528"/>
      <c r="DSD78" s="528"/>
      <c r="DSE78" s="528"/>
      <c r="DSF78" s="528"/>
      <c r="DSG78" s="528"/>
      <c r="DSH78" s="528"/>
      <c r="DSI78" s="528"/>
      <c r="DSJ78" s="528"/>
      <c r="DSK78" s="528"/>
      <c r="DSL78" s="528"/>
      <c r="DSM78" s="528"/>
      <c r="DSN78" s="528"/>
      <c r="DSO78" s="528"/>
      <c r="DSP78" s="528"/>
      <c r="DSQ78" s="528"/>
      <c r="DSR78" s="528"/>
      <c r="DSS78" s="528"/>
      <c r="DST78" s="528"/>
      <c r="DSU78" s="528"/>
      <c r="DSV78" s="528"/>
      <c r="DSW78" s="528"/>
      <c r="DSX78" s="528"/>
      <c r="DSY78" s="528"/>
      <c r="DSZ78" s="528"/>
      <c r="DTA78" s="528"/>
      <c r="DTB78" s="528"/>
      <c r="DTC78" s="528"/>
      <c r="DTD78" s="528"/>
      <c r="DTE78" s="528"/>
      <c r="DTF78" s="528"/>
      <c r="DTG78" s="528"/>
      <c r="DTH78" s="528"/>
      <c r="DTI78" s="528"/>
      <c r="DTJ78" s="528"/>
      <c r="DTK78" s="528"/>
      <c r="DTL78" s="528"/>
      <c r="DTM78" s="528"/>
      <c r="DTN78" s="528"/>
      <c r="DTO78" s="528"/>
      <c r="DTP78" s="528"/>
      <c r="DTQ78" s="528"/>
      <c r="DTR78" s="528"/>
      <c r="DTS78" s="528"/>
      <c r="DTT78" s="528"/>
      <c r="DTU78" s="528"/>
      <c r="DTV78" s="528"/>
      <c r="DTW78" s="528"/>
      <c r="DTX78" s="528"/>
      <c r="DTY78" s="528"/>
      <c r="DTZ78" s="528"/>
      <c r="DUA78" s="528"/>
      <c r="DUB78" s="528"/>
      <c r="DUC78" s="528"/>
      <c r="DUD78" s="528"/>
      <c r="DUE78" s="528"/>
      <c r="DUF78" s="528"/>
      <c r="DUG78" s="528"/>
      <c r="DUH78" s="528"/>
      <c r="DUI78" s="528"/>
      <c r="DUJ78" s="528"/>
      <c r="DUK78" s="528"/>
      <c r="DUL78" s="528"/>
      <c r="DUM78" s="528"/>
      <c r="DUN78" s="528"/>
      <c r="DUO78" s="528"/>
      <c r="DUP78" s="528"/>
      <c r="DUQ78" s="528"/>
      <c r="DUR78" s="528"/>
      <c r="DUS78" s="528"/>
      <c r="DUT78" s="528"/>
      <c r="DUU78" s="528"/>
      <c r="DUV78" s="528"/>
      <c r="DUW78" s="528"/>
      <c r="DUX78" s="528"/>
      <c r="DUY78" s="528"/>
      <c r="DUZ78" s="528"/>
      <c r="DVA78" s="528"/>
      <c r="DVB78" s="528"/>
      <c r="DVC78" s="528"/>
      <c r="DVD78" s="528"/>
      <c r="DVE78" s="528"/>
      <c r="DVF78" s="528"/>
      <c r="DVG78" s="528"/>
      <c r="DVH78" s="528"/>
      <c r="DVI78" s="528"/>
      <c r="DVJ78" s="528"/>
      <c r="DVK78" s="528"/>
      <c r="DVL78" s="528"/>
      <c r="DVM78" s="528"/>
      <c r="DVN78" s="528"/>
      <c r="DVO78" s="528"/>
      <c r="DVP78" s="528"/>
      <c r="DVQ78" s="528"/>
      <c r="DVR78" s="528"/>
      <c r="DVS78" s="528"/>
      <c r="DVT78" s="528"/>
      <c r="DVU78" s="528"/>
      <c r="DVV78" s="528"/>
      <c r="DVW78" s="528"/>
      <c r="DVX78" s="528"/>
      <c r="DVY78" s="528"/>
      <c r="DVZ78" s="528"/>
      <c r="DWA78" s="528"/>
      <c r="DWB78" s="528"/>
      <c r="DWC78" s="528"/>
      <c r="DWD78" s="528"/>
      <c r="DWE78" s="528"/>
      <c r="DWF78" s="528"/>
      <c r="DWG78" s="528"/>
      <c r="DWH78" s="528"/>
      <c r="DWI78" s="528"/>
      <c r="DWJ78" s="528"/>
      <c r="DWK78" s="528"/>
      <c r="DWL78" s="528"/>
      <c r="DWM78" s="528"/>
      <c r="DWN78" s="528"/>
      <c r="DWO78" s="528"/>
      <c r="DWP78" s="528"/>
      <c r="DWQ78" s="528"/>
      <c r="DWR78" s="528"/>
      <c r="DWS78" s="528"/>
      <c r="DWT78" s="528"/>
      <c r="DWU78" s="528"/>
      <c r="DWV78" s="528"/>
      <c r="DWW78" s="528"/>
      <c r="DWX78" s="528"/>
      <c r="DWY78" s="528"/>
      <c r="DWZ78" s="528"/>
      <c r="DXA78" s="528"/>
      <c r="DXB78" s="528"/>
      <c r="DXC78" s="528"/>
      <c r="DXD78" s="528"/>
      <c r="DXE78" s="528"/>
      <c r="DXF78" s="528"/>
      <c r="DXG78" s="528"/>
      <c r="DXH78" s="528"/>
      <c r="DXI78" s="528"/>
      <c r="DXJ78" s="528"/>
      <c r="DXK78" s="528"/>
      <c r="DXL78" s="528"/>
      <c r="DXM78" s="528"/>
      <c r="DXN78" s="528"/>
      <c r="DXO78" s="528"/>
      <c r="DXP78" s="528"/>
      <c r="DXQ78" s="528"/>
      <c r="DXR78" s="528"/>
      <c r="DXS78" s="528"/>
      <c r="DXT78" s="528"/>
      <c r="DXU78" s="528"/>
      <c r="DXV78" s="528"/>
      <c r="DXW78" s="528"/>
      <c r="DXX78" s="528"/>
      <c r="DXY78" s="528"/>
      <c r="DXZ78" s="528"/>
      <c r="DYA78" s="528"/>
      <c r="DYB78" s="528"/>
      <c r="DYC78" s="528"/>
      <c r="DYD78" s="528"/>
      <c r="DYE78" s="528"/>
      <c r="DYF78" s="528"/>
      <c r="DYG78" s="528"/>
      <c r="DYH78" s="528"/>
      <c r="DYI78" s="528"/>
      <c r="DYJ78" s="528"/>
      <c r="DYK78" s="528"/>
      <c r="DYL78" s="528"/>
      <c r="DYM78" s="528"/>
      <c r="DYN78" s="528"/>
      <c r="DYO78" s="528"/>
      <c r="DYP78" s="528"/>
      <c r="DYQ78" s="528"/>
      <c r="DYR78" s="528"/>
      <c r="DYS78" s="528"/>
      <c r="DYT78" s="528"/>
      <c r="DYU78" s="528"/>
      <c r="DYV78" s="528"/>
      <c r="DYW78" s="528"/>
      <c r="DYX78" s="528"/>
      <c r="DYY78" s="528"/>
      <c r="DYZ78" s="528"/>
      <c r="DZA78" s="528"/>
      <c r="DZB78" s="528"/>
      <c r="DZC78" s="528"/>
      <c r="DZD78" s="528"/>
      <c r="DZE78" s="528"/>
      <c r="DZF78" s="528"/>
      <c r="DZG78" s="528"/>
      <c r="DZH78" s="528"/>
      <c r="DZI78" s="528"/>
      <c r="DZJ78" s="528"/>
      <c r="DZK78" s="528"/>
      <c r="DZL78" s="528"/>
      <c r="DZM78" s="528"/>
      <c r="DZN78" s="528"/>
      <c r="DZO78" s="528"/>
      <c r="DZP78" s="528"/>
      <c r="DZQ78" s="528"/>
      <c r="DZR78" s="528"/>
      <c r="DZS78" s="528"/>
      <c r="DZT78" s="528"/>
      <c r="DZU78" s="528"/>
      <c r="DZV78" s="528"/>
      <c r="DZW78" s="528"/>
      <c r="DZX78" s="528"/>
      <c r="DZY78" s="528"/>
      <c r="DZZ78" s="528"/>
      <c r="EAA78" s="528"/>
      <c r="EAB78" s="528"/>
      <c r="EAC78" s="528"/>
      <c r="EAD78" s="528"/>
      <c r="EAE78" s="528"/>
      <c r="EAF78" s="528"/>
      <c r="EAG78" s="528"/>
      <c r="EAH78" s="528"/>
      <c r="EAI78" s="528"/>
      <c r="EAJ78" s="528"/>
      <c r="EAK78" s="528"/>
      <c r="EAL78" s="528"/>
      <c r="EAM78" s="528"/>
      <c r="EAN78" s="528"/>
      <c r="EAO78" s="528"/>
      <c r="EAP78" s="528"/>
      <c r="EAQ78" s="528"/>
      <c r="EAR78" s="528"/>
      <c r="EAS78" s="528"/>
      <c r="EAT78" s="528"/>
      <c r="EAU78" s="528"/>
      <c r="EAV78" s="528"/>
      <c r="EAW78" s="528"/>
      <c r="EAX78" s="528"/>
      <c r="EAY78" s="528"/>
      <c r="EAZ78" s="528"/>
      <c r="EBA78" s="528"/>
      <c r="EBB78" s="528"/>
      <c r="EBC78" s="528"/>
      <c r="EBD78" s="528"/>
      <c r="EBE78" s="528"/>
      <c r="EBF78" s="528"/>
      <c r="EBG78" s="528"/>
      <c r="EBH78" s="528"/>
      <c r="EBI78" s="528"/>
      <c r="EBJ78" s="528"/>
      <c r="EBK78" s="528"/>
      <c r="EBL78" s="528"/>
      <c r="EBM78" s="528"/>
      <c r="EBN78" s="528"/>
      <c r="EBO78" s="528"/>
      <c r="EBP78" s="528"/>
      <c r="EBQ78" s="528"/>
      <c r="EBR78" s="528"/>
      <c r="EBS78" s="528"/>
      <c r="EBT78" s="528"/>
      <c r="EBU78" s="528"/>
      <c r="EBV78" s="528"/>
      <c r="EBW78" s="528"/>
      <c r="EBX78" s="528"/>
      <c r="EBY78" s="528"/>
      <c r="EBZ78" s="528"/>
      <c r="ECA78" s="528"/>
      <c r="ECB78" s="528"/>
      <c r="ECC78" s="528"/>
      <c r="ECD78" s="528"/>
      <c r="ECE78" s="528"/>
      <c r="ECF78" s="528"/>
      <c r="ECG78" s="528"/>
      <c r="ECH78" s="528"/>
      <c r="ECI78" s="528"/>
      <c r="ECJ78" s="528"/>
      <c r="ECK78" s="528"/>
      <c r="ECL78" s="528"/>
      <c r="ECM78" s="528"/>
      <c r="ECN78" s="528"/>
      <c r="ECO78" s="528"/>
      <c r="ECP78" s="528"/>
      <c r="ECQ78" s="528"/>
      <c r="ECR78" s="528"/>
      <c r="ECS78" s="528"/>
      <c r="ECT78" s="528"/>
      <c r="ECU78" s="528"/>
      <c r="ECV78" s="528"/>
      <c r="ECW78" s="528"/>
      <c r="ECX78" s="528"/>
      <c r="ECY78" s="528"/>
      <c r="ECZ78" s="528"/>
      <c r="EDA78" s="528"/>
      <c r="EDB78" s="528"/>
      <c r="EDC78" s="528"/>
      <c r="EDD78" s="528"/>
      <c r="EDE78" s="528"/>
      <c r="EDF78" s="528"/>
      <c r="EDG78" s="528"/>
      <c r="EDH78" s="528"/>
      <c r="EDI78" s="528"/>
      <c r="EDJ78" s="528"/>
      <c r="EDK78" s="528"/>
      <c r="EDL78" s="528"/>
      <c r="EDM78" s="528"/>
      <c r="EDN78" s="528"/>
      <c r="EDO78" s="528"/>
      <c r="EDP78" s="528"/>
      <c r="EDQ78" s="528"/>
      <c r="EDR78" s="528"/>
      <c r="EDS78" s="528"/>
      <c r="EDT78" s="528"/>
      <c r="EDU78" s="528"/>
      <c r="EDV78" s="528"/>
      <c r="EDW78" s="528"/>
      <c r="EDX78" s="528"/>
      <c r="EDY78" s="528"/>
      <c r="EDZ78" s="528"/>
      <c r="EEA78" s="528"/>
      <c r="EEB78" s="528"/>
      <c r="EEC78" s="528"/>
      <c r="EED78" s="528"/>
      <c r="EEE78" s="528"/>
      <c r="EEF78" s="528"/>
      <c r="EEG78" s="528"/>
      <c r="EEH78" s="528"/>
      <c r="EEI78" s="528"/>
      <c r="EEJ78" s="528"/>
      <c r="EEK78" s="528"/>
      <c r="EEL78" s="528"/>
      <c r="EEM78" s="528"/>
      <c r="EEN78" s="528"/>
      <c r="EEO78" s="528"/>
      <c r="EEP78" s="528"/>
      <c r="EEQ78" s="528"/>
      <c r="EER78" s="528"/>
      <c r="EES78" s="528"/>
      <c r="EET78" s="528"/>
      <c r="EEU78" s="528"/>
      <c r="EEV78" s="528"/>
      <c r="EEW78" s="528"/>
      <c r="EEX78" s="528"/>
      <c r="EEY78" s="528"/>
      <c r="EEZ78" s="528"/>
      <c r="EFA78" s="528"/>
      <c r="EFB78" s="528"/>
      <c r="EFC78" s="528"/>
      <c r="EFD78" s="528"/>
      <c r="EFE78" s="528"/>
      <c r="EFF78" s="528"/>
      <c r="EFG78" s="528"/>
      <c r="EFH78" s="528"/>
      <c r="EFI78" s="528"/>
      <c r="EFJ78" s="528"/>
      <c r="EFK78" s="528"/>
      <c r="EFL78" s="528"/>
      <c r="EFM78" s="528"/>
      <c r="EFN78" s="528"/>
      <c r="EFO78" s="528"/>
      <c r="EFP78" s="528"/>
      <c r="EFQ78" s="528"/>
      <c r="EFR78" s="528"/>
      <c r="EFS78" s="528"/>
      <c r="EFT78" s="528"/>
      <c r="EFU78" s="528"/>
      <c r="EFV78" s="528"/>
      <c r="EFW78" s="528"/>
      <c r="EFX78" s="528"/>
      <c r="EFY78" s="528"/>
      <c r="EFZ78" s="528"/>
      <c r="EGA78" s="528"/>
      <c r="EGB78" s="528"/>
      <c r="EGC78" s="528"/>
      <c r="EGD78" s="528"/>
      <c r="EGE78" s="528"/>
      <c r="EGF78" s="528"/>
      <c r="EGG78" s="528"/>
      <c r="EGH78" s="528"/>
      <c r="EGI78" s="528"/>
      <c r="EGJ78" s="528"/>
      <c r="EGK78" s="528"/>
      <c r="EGL78" s="528"/>
      <c r="EGM78" s="528"/>
      <c r="EGN78" s="528"/>
      <c r="EGO78" s="528"/>
      <c r="EGP78" s="528"/>
      <c r="EGQ78" s="528"/>
      <c r="EGR78" s="528"/>
      <c r="EGS78" s="528"/>
      <c r="EGT78" s="528"/>
      <c r="EGU78" s="528"/>
      <c r="EGV78" s="528"/>
      <c r="EGW78" s="528"/>
      <c r="EGX78" s="528"/>
      <c r="EGY78" s="528"/>
      <c r="EGZ78" s="528"/>
      <c r="EHA78" s="528"/>
      <c r="EHB78" s="528"/>
      <c r="EHC78" s="528"/>
      <c r="EHD78" s="528"/>
      <c r="EHE78" s="528"/>
      <c r="EHF78" s="528"/>
      <c r="EHG78" s="528"/>
      <c r="EHH78" s="528"/>
      <c r="EHI78" s="528"/>
      <c r="EHJ78" s="528"/>
      <c r="EHK78" s="528"/>
      <c r="EHL78" s="528"/>
      <c r="EHM78" s="528"/>
      <c r="EHN78" s="528"/>
      <c r="EHO78" s="528"/>
      <c r="EHP78" s="528"/>
      <c r="EHQ78" s="528"/>
      <c r="EHR78" s="528"/>
      <c r="EHS78" s="528"/>
      <c r="EHT78" s="528"/>
      <c r="EHU78" s="528"/>
      <c r="EHV78" s="528"/>
      <c r="EHW78" s="528"/>
      <c r="EHX78" s="528"/>
      <c r="EHY78" s="528"/>
      <c r="EHZ78" s="528"/>
      <c r="EIA78" s="528"/>
      <c r="EIB78" s="528"/>
      <c r="EIC78" s="528"/>
      <c r="EID78" s="528"/>
      <c r="EIE78" s="528"/>
      <c r="EIF78" s="528"/>
      <c r="EIG78" s="528"/>
      <c r="EIH78" s="528"/>
      <c r="EII78" s="528"/>
      <c r="EIJ78" s="528"/>
      <c r="EIK78" s="528"/>
      <c r="EIL78" s="528"/>
      <c r="EIM78" s="528"/>
      <c r="EIN78" s="528"/>
      <c r="EIO78" s="528"/>
      <c r="EIP78" s="528"/>
      <c r="EIQ78" s="528"/>
      <c r="EIR78" s="528"/>
      <c r="EIS78" s="528"/>
      <c r="EIT78" s="528"/>
      <c r="EIU78" s="528"/>
      <c r="EIV78" s="528"/>
      <c r="EIW78" s="528"/>
      <c r="EIX78" s="528"/>
      <c r="EIY78" s="528"/>
      <c r="EIZ78" s="528"/>
      <c r="EJA78" s="528"/>
      <c r="EJB78" s="528"/>
      <c r="EJC78" s="528"/>
      <c r="EJD78" s="528"/>
      <c r="EJE78" s="528"/>
      <c r="EJF78" s="528"/>
      <c r="EJG78" s="528"/>
      <c r="EJH78" s="528"/>
      <c r="EJI78" s="528"/>
      <c r="EJJ78" s="528"/>
      <c r="EJK78" s="528"/>
      <c r="EJL78" s="528"/>
      <c r="EJM78" s="528"/>
      <c r="EJN78" s="528"/>
      <c r="EJO78" s="528"/>
      <c r="EJP78" s="528"/>
      <c r="EJQ78" s="528"/>
      <c r="EJR78" s="528"/>
      <c r="EJS78" s="528"/>
      <c r="EJT78" s="528"/>
      <c r="EJU78" s="528"/>
      <c r="EJV78" s="528"/>
      <c r="EJW78" s="528"/>
      <c r="EJX78" s="528"/>
      <c r="EJY78" s="528"/>
      <c r="EJZ78" s="528"/>
      <c r="EKA78" s="528"/>
      <c r="EKB78" s="528"/>
      <c r="EKC78" s="528"/>
      <c r="EKD78" s="528"/>
      <c r="EKE78" s="528"/>
      <c r="EKF78" s="528"/>
      <c r="EKG78" s="528"/>
      <c r="EKH78" s="528"/>
      <c r="EKI78" s="528"/>
      <c r="EKJ78" s="528"/>
      <c r="EKK78" s="528"/>
      <c r="EKL78" s="528"/>
      <c r="EKM78" s="528"/>
      <c r="EKN78" s="528"/>
      <c r="EKO78" s="528"/>
      <c r="EKP78" s="528"/>
      <c r="EKQ78" s="528"/>
      <c r="EKR78" s="528"/>
      <c r="EKS78" s="528"/>
      <c r="EKT78" s="528"/>
      <c r="EKU78" s="528"/>
      <c r="EKV78" s="528"/>
      <c r="EKW78" s="528"/>
      <c r="EKX78" s="528"/>
      <c r="EKY78" s="528"/>
      <c r="EKZ78" s="528"/>
      <c r="ELA78" s="528"/>
      <c r="ELB78" s="528"/>
      <c r="ELC78" s="528"/>
      <c r="ELD78" s="528"/>
      <c r="ELE78" s="528"/>
      <c r="ELF78" s="528"/>
      <c r="ELG78" s="528"/>
      <c r="ELH78" s="528"/>
      <c r="ELI78" s="528"/>
      <c r="ELJ78" s="528"/>
      <c r="ELK78" s="528"/>
      <c r="ELL78" s="528"/>
      <c r="ELM78" s="528"/>
      <c r="ELN78" s="528"/>
      <c r="ELO78" s="528"/>
      <c r="ELP78" s="528"/>
      <c r="ELQ78" s="528"/>
      <c r="ELR78" s="528"/>
      <c r="ELS78" s="528"/>
      <c r="ELT78" s="528"/>
      <c r="ELU78" s="528"/>
      <c r="ELV78" s="528"/>
      <c r="ELW78" s="528"/>
      <c r="ELX78" s="528"/>
      <c r="ELY78" s="528"/>
      <c r="ELZ78" s="528"/>
      <c r="EMA78" s="528"/>
      <c r="EMB78" s="528"/>
      <c r="EMC78" s="528"/>
      <c r="EMD78" s="528"/>
      <c r="EME78" s="528"/>
      <c r="EMF78" s="528"/>
      <c r="EMG78" s="528"/>
      <c r="EMH78" s="528"/>
      <c r="EMI78" s="528"/>
      <c r="EMJ78" s="528"/>
      <c r="EMK78" s="528"/>
      <c r="EML78" s="528"/>
      <c r="EMM78" s="528"/>
      <c r="EMN78" s="528"/>
      <c r="EMO78" s="528"/>
      <c r="EMP78" s="528"/>
      <c r="EMQ78" s="528"/>
      <c r="EMR78" s="528"/>
      <c r="EMS78" s="528"/>
      <c r="EMT78" s="528"/>
      <c r="EMU78" s="528"/>
      <c r="EMV78" s="528"/>
      <c r="EMW78" s="528"/>
      <c r="EMX78" s="528"/>
      <c r="EMY78" s="528"/>
      <c r="EMZ78" s="528"/>
      <c r="ENA78" s="528"/>
      <c r="ENB78" s="528"/>
      <c r="ENC78" s="528"/>
      <c r="END78" s="528"/>
      <c r="ENE78" s="528"/>
      <c r="ENF78" s="528"/>
      <c r="ENG78" s="528"/>
      <c r="ENH78" s="528"/>
      <c r="ENI78" s="528"/>
      <c r="ENJ78" s="528"/>
      <c r="ENK78" s="528"/>
      <c r="ENL78" s="528"/>
      <c r="ENM78" s="528"/>
      <c r="ENN78" s="528"/>
      <c r="ENO78" s="528"/>
      <c r="ENP78" s="528"/>
      <c r="ENQ78" s="528"/>
      <c r="ENR78" s="528"/>
      <c r="ENS78" s="528"/>
      <c r="ENT78" s="528"/>
      <c r="ENU78" s="528"/>
      <c r="ENV78" s="528"/>
      <c r="ENW78" s="528"/>
      <c r="ENX78" s="528"/>
      <c r="ENY78" s="528"/>
      <c r="ENZ78" s="528"/>
      <c r="EOA78" s="528"/>
      <c r="EOB78" s="528"/>
      <c r="EOC78" s="528"/>
      <c r="EOD78" s="528"/>
      <c r="EOE78" s="528"/>
      <c r="EOF78" s="528"/>
      <c r="EOG78" s="528"/>
      <c r="EOH78" s="528"/>
      <c r="EOI78" s="528"/>
      <c r="EOJ78" s="528"/>
      <c r="EOK78" s="528"/>
      <c r="EOL78" s="528"/>
      <c r="EOM78" s="528"/>
      <c r="EON78" s="528"/>
      <c r="EOO78" s="528"/>
      <c r="EOP78" s="528"/>
      <c r="EOQ78" s="528"/>
      <c r="EOR78" s="528"/>
      <c r="EOS78" s="528"/>
      <c r="EOT78" s="528"/>
      <c r="EOU78" s="528"/>
      <c r="EOV78" s="528"/>
      <c r="EOW78" s="528"/>
      <c r="EOX78" s="528"/>
      <c r="EOY78" s="528"/>
      <c r="EOZ78" s="528"/>
      <c r="EPA78" s="528"/>
      <c r="EPB78" s="528"/>
      <c r="EPC78" s="528"/>
      <c r="EPD78" s="528"/>
      <c r="EPE78" s="528"/>
      <c r="EPF78" s="528"/>
      <c r="EPG78" s="528"/>
      <c r="EPH78" s="528"/>
      <c r="EPI78" s="528"/>
      <c r="EPJ78" s="528"/>
      <c r="EPK78" s="528"/>
      <c r="EPL78" s="528"/>
      <c r="EPM78" s="528"/>
      <c r="EPN78" s="528"/>
      <c r="EPO78" s="528"/>
      <c r="EPP78" s="528"/>
      <c r="EPQ78" s="528"/>
      <c r="EPR78" s="528"/>
      <c r="EPS78" s="528"/>
      <c r="EPT78" s="528"/>
      <c r="EPU78" s="528"/>
      <c r="EPV78" s="528"/>
      <c r="EPW78" s="528"/>
      <c r="EPX78" s="528"/>
      <c r="EPY78" s="528"/>
      <c r="EPZ78" s="528"/>
      <c r="EQA78" s="528"/>
      <c r="EQB78" s="528"/>
      <c r="EQC78" s="528"/>
      <c r="EQD78" s="528"/>
      <c r="EQE78" s="528"/>
      <c r="EQF78" s="528"/>
      <c r="EQG78" s="528"/>
      <c r="EQH78" s="528"/>
      <c r="EQI78" s="528"/>
      <c r="EQJ78" s="528"/>
      <c r="EQK78" s="528"/>
      <c r="EQL78" s="528"/>
      <c r="EQM78" s="528"/>
      <c r="EQN78" s="528"/>
      <c r="EQO78" s="528"/>
      <c r="EQP78" s="528"/>
      <c r="EQQ78" s="528"/>
      <c r="EQR78" s="528"/>
      <c r="EQS78" s="528"/>
      <c r="EQT78" s="528"/>
      <c r="EQU78" s="528"/>
      <c r="EQV78" s="528"/>
      <c r="EQW78" s="528"/>
      <c r="EQX78" s="528"/>
      <c r="EQY78" s="528"/>
      <c r="EQZ78" s="528"/>
      <c r="ERA78" s="528"/>
      <c r="ERB78" s="528"/>
      <c r="ERC78" s="528"/>
      <c r="ERD78" s="528"/>
      <c r="ERE78" s="528"/>
      <c r="ERF78" s="528"/>
      <c r="ERG78" s="528"/>
      <c r="ERH78" s="528"/>
      <c r="ERI78" s="528"/>
      <c r="ERJ78" s="528"/>
      <c r="ERK78" s="528"/>
      <c r="ERL78" s="528"/>
      <c r="ERM78" s="528"/>
      <c r="ERN78" s="528"/>
      <c r="ERO78" s="528"/>
      <c r="ERP78" s="528"/>
      <c r="ERQ78" s="528"/>
      <c r="ERR78" s="528"/>
      <c r="ERS78" s="528"/>
      <c r="ERT78" s="528"/>
      <c r="ERU78" s="528"/>
      <c r="ERV78" s="528"/>
      <c r="ERW78" s="528"/>
      <c r="ERX78" s="528"/>
      <c r="ERY78" s="528"/>
      <c r="ERZ78" s="528"/>
      <c r="ESA78" s="528"/>
      <c r="ESB78" s="528"/>
      <c r="ESC78" s="528"/>
      <c r="ESD78" s="528"/>
      <c r="ESE78" s="528"/>
      <c r="ESF78" s="528"/>
      <c r="ESG78" s="528"/>
      <c r="ESH78" s="528"/>
      <c r="ESI78" s="528"/>
      <c r="ESJ78" s="528"/>
      <c r="ESK78" s="528"/>
      <c r="ESL78" s="528"/>
      <c r="ESM78" s="528"/>
      <c r="ESN78" s="528"/>
      <c r="ESO78" s="528"/>
      <c r="ESP78" s="528"/>
      <c r="ESQ78" s="528"/>
      <c r="ESR78" s="528"/>
      <c r="ESS78" s="528"/>
      <c r="EST78" s="528"/>
      <c r="ESU78" s="528"/>
      <c r="ESV78" s="528"/>
      <c r="ESW78" s="528"/>
      <c r="ESX78" s="528"/>
      <c r="ESY78" s="528"/>
      <c r="ESZ78" s="528"/>
      <c r="ETA78" s="528"/>
      <c r="ETB78" s="528"/>
      <c r="ETC78" s="528"/>
      <c r="ETD78" s="528"/>
      <c r="ETE78" s="528"/>
      <c r="ETF78" s="528"/>
      <c r="ETG78" s="528"/>
      <c r="ETH78" s="528"/>
      <c r="ETI78" s="528"/>
      <c r="ETJ78" s="528"/>
      <c r="ETK78" s="528"/>
      <c r="ETL78" s="528"/>
      <c r="ETM78" s="528"/>
      <c r="ETN78" s="528"/>
      <c r="ETO78" s="528"/>
      <c r="ETP78" s="528"/>
      <c r="ETQ78" s="528"/>
      <c r="ETR78" s="528"/>
      <c r="ETS78" s="528"/>
      <c r="ETT78" s="528"/>
      <c r="ETU78" s="528"/>
      <c r="ETV78" s="528"/>
      <c r="ETW78" s="528"/>
      <c r="ETX78" s="528"/>
      <c r="ETY78" s="528"/>
      <c r="ETZ78" s="528"/>
      <c r="EUA78" s="528"/>
      <c r="EUB78" s="528"/>
      <c r="EUC78" s="528"/>
      <c r="EUD78" s="528"/>
      <c r="EUE78" s="528"/>
      <c r="EUF78" s="528"/>
      <c r="EUG78" s="528"/>
      <c r="EUH78" s="528"/>
      <c r="EUI78" s="528"/>
      <c r="EUJ78" s="528"/>
      <c r="EUK78" s="528"/>
      <c r="EUL78" s="528"/>
      <c r="EUM78" s="528"/>
      <c r="EUN78" s="528"/>
      <c r="EUO78" s="528"/>
      <c r="EUP78" s="528"/>
      <c r="EUQ78" s="528"/>
      <c r="EUR78" s="528"/>
      <c r="EUS78" s="528"/>
      <c r="EUT78" s="528"/>
      <c r="EUU78" s="528"/>
      <c r="EUV78" s="528"/>
      <c r="EUW78" s="528"/>
      <c r="EUX78" s="528"/>
      <c r="EUY78" s="528"/>
      <c r="EUZ78" s="528"/>
      <c r="EVA78" s="528"/>
      <c r="EVB78" s="528"/>
      <c r="EVC78" s="528"/>
      <c r="EVD78" s="528"/>
      <c r="EVE78" s="528"/>
      <c r="EVF78" s="528"/>
      <c r="EVG78" s="528"/>
      <c r="EVH78" s="528"/>
      <c r="EVI78" s="528"/>
      <c r="EVJ78" s="528"/>
      <c r="EVK78" s="528"/>
      <c r="EVL78" s="528"/>
      <c r="EVM78" s="528"/>
      <c r="EVN78" s="528"/>
      <c r="EVO78" s="528"/>
      <c r="EVP78" s="528"/>
      <c r="EVQ78" s="528"/>
      <c r="EVR78" s="528"/>
      <c r="EVS78" s="528"/>
      <c r="EVT78" s="528"/>
      <c r="EVU78" s="528"/>
      <c r="EVV78" s="528"/>
      <c r="EVW78" s="528"/>
      <c r="EVX78" s="528"/>
      <c r="EVY78" s="528"/>
      <c r="EVZ78" s="528"/>
      <c r="EWA78" s="528"/>
      <c r="EWB78" s="528"/>
      <c r="EWC78" s="528"/>
      <c r="EWD78" s="528"/>
      <c r="EWE78" s="528"/>
      <c r="EWF78" s="528"/>
      <c r="EWG78" s="528"/>
      <c r="EWH78" s="528"/>
      <c r="EWI78" s="528"/>
      <c r="EWJ78" s="528"/>
      <c r="EWK78" s="528"/>
      <c r="EWL78" s="528"/>
      <c r="EWM78" s="528"/>
      <c r="EWN78" s="528"/>
      <c r="EWO78" s="528"/>
      <c r="EWP78" s="528"/>
      <c r="EWQ78" s="528"/>
      <c r="EWR78" s="528"/>
      <c r="EWS78" s="528"/>
      <c r="EWT78" s="528"/>
      <c r="EWU78" s="528"/>
      <c r="EWV78" s="528"/>
      <c r="EWW78" s="528"/>
      <c r="EWX78" s="528"/>
      <c r="EWY78" s="528"/>
      <c r="EWZ78" s="528"/>
      <c r="EXA78" s="528"/>
      <c r="EXB78" s="528"/>
      <c r="EXC78" s="528"/>
      <c r="EXD78" s="528"/>
      <c r="EXE78" s="528"/>
      <c r="EXF78" s="528"/>
      <c r="EXG78" s="528"/>
      <c r="EXH78" s="528"/>
      <c r="EXI78" s="528"/>
      <c r="EXJ78" s="528"/>
      <c r="EXK78" s="528"/>
      <c r="EXL78" s="528"/>
      <c r="EXM78" s="528"/>
      <c r="EXN78" s="528"/>
      <c r="EXO78" s="528"/>
      <c r="EXP78" s="528"/>
      <c r="EXQ78" s="528"/>
      <c r="EXR78" s="528"/>
      <c r="EXS78" s="528"/>
      <c r="EXT78" s="528"/>
      <c r="EXU78" s="528"/>
      <c r="EXV78" s="528"/>
      <c r="EXW78" s="528"/>
      <c r="EXX78" s="528"/>
      <c r="EXY78" s="528"/>
      <c r="EXZ78" s="528"/>
      <c r="EYA78" s="528"/>
      <c r="EYB78" s="528"/>
      <c r="EYC78" s="528"/>
      <c r="EYD78" s="528"/>
      <c r="EYE78" s="528"/>
      <c r="EYF78" s="528"/>
      <c r="EYG78" s="528"/>
      <c r="EYH78" s="528"/>
      <c r="EYI78" s="528"/>
      <c r="EYJ78" s="528"/>
      <c r="EYK78" s="528"/>
      <c r="EYL78" s="528"/>
      <c r="EYM78" s="528"/>
      <c r="EYN78" s="528"/>
      <c r="EYO78" s="528"/>
      <c r="EYP78" s="528"/>
      <c r="EYQ78" s="528"/>
      <c r="EYR78" s="528"/>
      <c r="EYS78" s="528"/>
      <c r="EYT78" s="528"/>
      <c r="EYU78" s="528"/>
      <c r="EYV78" s="528"/>
      <c r="EYW78" s="528"/>
      <c r="EYX78" s="528"/>
      <c r="EYY78" s="528"/>
      <c r="EYZ78" s="528"/>
      <c r="EZA78" s="528"/>
      <c r="EZB78" s="528"/>
      <c r="EZC78" s="528"/>
      <c r="EZD78" s="528"/>
      <c r="EZE78" s="528"/>
      <c r="EZF78" s="528"/>
      <c r="EZG78" s="528"/>
      <c r="EZH78" s="528"/>
      <c r="EZI78" s="528"/>
      <c r="EZJ78" s="528"/>
      <c r="EZK78" s="528"/>
      <c r="EZL78" s="528"/>
      <c r="EZM78" s="528"/>
      <c r="EZN78" s="528"/>
      <c r="EZO78" s="528"/>
      <c r="EZP78" s="528"/>
      <c r="EZQ78" s="528"/>
      <c r="EZR78" s="528"/>
      <c r="EZS78" s="528"/>
      <c r="EZT78" s="528"/>
      <c r="EZU78" s="528"/>
      <c r="EZV78" s="528"/>
      <c r="EZW78" s="528"/>
      <c r="EZX78" s="528"/>
      <c r="EZY78" s="528"/>
      <c r="EZZ78" s="528"/>
      <c r="FAA78" s="528"/>
      <c r="FAB78" s="528"/>
      <c r="FAC78" s="528"/>
      <c r="FAD78" s="528"/>
      <c r="FAE78" s="528"/>
      <c r="FAF78" s="528"/>
      <c r="FAG78" s="528"/>
      <c r="FAH78" s="528"/>
      <c r="FAI78" s="528"/>
      <c r="FAJ78" s="528"/>
      <c r="FAK78" s="528"/>
      <c r="FAL78" s="528"/>
      <c r="FAM78" s="528"/>
      <c r="FAN78" s="528"/>
      <c r="FAO78" s="528"/>
      <c r="FAP78" s="528"/>
      <c r="FAQ78" s="528"/>
      <c r="FAR78" s="528"/>
      <c r="FAS78" s="528"/>
      <c r="FAT78" s="528"/>
      <c r="FAU78" s="528"/>
      <c r="FAV78" s="528"/>
      <c r="FAW78" s="528"/>
      <c r="FAX78" s="528"/>
      <c r="FAY78" s="528"/>
      <c r="FAZ78" s="528"/>
      <c r="FBA78" s="528"/>
      <c r="FBB78" s="528"/>
      <c r="FBC78" s="528"/>
      <c r="FBD78" s="528"/>
      <c r="FBE78" s="528"/>
      <c r="FBF78" s="528"/>
      <c r="FBG78" s="528"/>
      <c r="FBH78" s="528"/>
      <c r="FBI78" s="528"/>
      <c r="FBJ78" s="528"/>
      <c r="FBK78" s="528"/>
      <c r="FBL78" s="528"/>
      <c r="FBM78" s="528"/>
      <c r="FBN78" s="528"/>
      <c r="FBO78" s="528"/>
      <c r="FBP78" s="528"/>
      <c r="FBQ78" s="528"/>
      <c r="FBR78" s="528"/>
      <c r="FBS78" s="528"/>
      <c r="FBT78" s="528"/>
      <c r="FBU78" s="528"/>
      <c r="FBV78" s="528"/>
      <c r="FBW78" s="528"/>
      <c r="FBX78" s="528"/>
      <c r="FBY78" s="528"/>
      <c r="FBZ78" s="528"/>
      <c r="FCA78" s="528"/>
      <c r="FCB78" s="528"/>
      <c r="FCC78" s="528"/>
      <c r="FCD78" s="528"/>
      <c r="FCE78" s="528"/>
      <c r="FCF78" s="528"/>
      <c r="FCG78" s="528"/>
      <c r="FCH78" s="528"/>
      <c r="FCI78" s="528"/>
      <c r="FCJ78" s="528"/>
      <c r="FCK78" s="528"/>
      <c r="FCL78" s="528"/>
      <c r="FCM78" s="528"/>
      <c r="FCN78" s="528"/>
      <c r="FCO78" s="528"/>
      <c r="FCP78" s="528"/>
      <c r="FCQ78" s="528"/>
      <c r="FCR78" s="528"/>
      <c r="FCS78" s="528"/>
      <c r="FCT78" s="528"/>
      <c r="FCU78" s="528"/>
      <c r="FCV78" s="528"/>
      <c r="FCW78" s="528"/>
      <c r="FCX78" s="528"/>
      <c r="FCY78" s="528"/>
      <c r="FCZ78" s="528"/>
      <c r="FDA78" s="528"/>
      <c r="FDB78" s="528"/>
      <c r="FDC78" s="528"/>
      <c r="FDD78" s="528"/>
      <c r="FDE78" s="528"/>
      <c r="FDF78" s="528"/>
      <c r="FDG78" s="528"/>
      <c r="FDH78" s="528"/>
      <c r="FDI78" s="528"/>
      <c r="FDJ78" s="528"/>
      <c r="FDK78" s="528"/>
      <c r="FDL78" s="528"/>
      <c r="FDM78" s="528"/>
      <c r="FDN78" s="528"/>
      <c r="FDO78" s="528"/>
      <c r="FDP78" s="528"/>
      <c r="FDQ78" s="528"/>
      <c r="FDR78" s="528"/>
      <c r="FDS78" s="528"/>
      <c r="FDT78" s="528"/>
      <c r="FDU78" s="528"/>
      <c r="FDV78" s="528"/>
      <c r="FDW78" s="528"/>
      <c r="FDX78" s="528"/>
      <c r="FDY78" s="528"/>
      <c r="FDZ78" s="528"/>
      <c r="FEA78" s="528"/>
      <c r="FEB78" s="528"/>
      <c r="FEC78" s="528"/>
      <c r="FED78" s="528"/>
      <c r="FEE78" s="528"/>
      <c r="FEF78" s="528"/>
      <c r="FEG78" s="528"/>
      <c r="FEH78" s="528"/>
      <c r="FEI78" s="528"/>
      <c r="FEJ78" s="528"/>
      <c r="FEK78" s="528"/>
      <c r="FEL78" s="528"/>
      <c r="FEM78" s="528"/>
      <c r="FEN78" s="528"/>
      <c r="FEO78" s="528"/>
      <c r="FEP78" s="528"/>
      <c r="FEQ78" s="528"/>
      <c r="FER78" s="528"/>
      <c r="FES78" s="528"/>
      <c r="FET78" s="528"/>
      <c r="FEU78" s="528"/>
      <c r="FEV78" s="528"/>
      <c r="FEW78" s="528"/>
      <c r="FEX78" s="528"/>
      <c r="FEY78" s="528"/>
      <c r="FEZ78" s="528"/>
      <c r="FFA78" s="528"/>
      <c r="FFB78" s="528"/>
      <c r="FFC78" s="528"/>
      <c r="FFD78" s="528"/>
      <c r="FFE78" s="528"/>
      <c r="FFF78" s="528"/>
      <c r="FFG78" s="528"/>
      <c r="FFH78" s="528"/>
      <c r="FFI78" s="528"/>
      <c r="FFJ78" s="528"/>
      <c r="FFK78" s="528"/>
      <c r="FFL78" s="528"/>
      <c r="FFM78" s="528"/>
      <c r="FFN78" s="528"/>
      <c r="FFO78" s="528"/>
      <c r="FFP78" s="528"/>
      <c r="FFQ78" s="528"/>
      <c r="FFR78" s="528"/>
      <c r="FFS78" s="528"/>
      <c r="FFT78" s="528"/>
      <c r="FFU78" s="528"/>
      <c r="FFV78" s="528"/>
      <c r="FFW78" s="528"/>
      <c r="FFX78" s="528"/>
      <c r="FFY78" s="528"/>
      <c r="FFZ78" s="528"/>
      <c r="FGA78" s="528"/>
      <c r="FGB78" s="528"/>
      <c r="FGC78" s="528"/>
      <c r="FGD78" s="528"/>
      <c r="FGE78" s="528"/>
      <c r="FGF78" s="528"/>
      <c r="FGG78" s="528"/>
      <c r="FGH78" s="528"/>
      <c r="FGI78" s="528"/>
      <c r="FGJ78" s="528"/>
      <c r="FGK78" s="528"/>
      <c r="FGL78" s="528"/>
      <c r="FGM78" s="528"/>
      <c r="FGN78" s="528"/>
      <c r="FGO78" s="528"/>
      <c r="FGP78" s="528"/>
      <c r="FGQ78" s="528"/>
      <c r="FGR78" s="528"/>
      <c r="FGS78" s="528"/>
      <c r="FGT78" s="528"/>
      <c r="FGU78" s="528"/>
      <c r="FGV78" s="528"/>
      <c r="FGW78" s="528"/>
      <c r="FGX78" s="528"/>
      <c r="FGY78" s="528"/>
      <c r="FGZ78" s="528"/>
      <c r="FHA78" s="528"/>
      <c r="FHB78" s="528"/>
      <c r="FHC78" s="528"/>
      <c r="FHD78" s="528"/>
      <c r="FHE78" s="528"/>
      <c r="FHF78" s="528"/>
      <c r="FHG78" s="528"/>
      <c r="FHH78" s="528"/>
      <c r="FHI78" s="528"/>
      <c r="FHJ78" s="528"/>
      <c r="FHK78" s="528"/>
      <c r="FHL78" s="528"/>
      <c r="FHM78" s="528"/>
      <c r="FHN78" s="528"/>
      <c r="FHO78" s="528"/>
      <c r="FHP78" s="528"/>
      <c r="FHQ78" s="528"/>
      <c r="FHR78" s="528"/>
      <c r="FHS78" s="528"/>
      <c r="FHT78" s="528"/>
      <c r="FHU78" s="528"/>
      <c r="FHV78" s="528"/>
      <c r="FHW78" s="528"/>
      <c r="FHX78" s="528"/>
      <c r="FHY78" s="528"/>
      <c r="FHZ78" s="528"/>
      <c r="FIA78" s="528"/>
      <c r="FIB78" s="528"/>
      <c r="FIC78" s="528"/>
      <c r="FID78" s="528"/>
      <c r="FIE78" s="528"/>
      <c r="FIF78" s="528"/>
      <c r="FIG78" s="528"/>
      <c r="FIH78" s="528"/>
      <c r="FII78" s="528"/>
      <c r="FIJ78" s="528"/>
      <c r="FIK78" s="528"/>
      <c r="FIL78" s="528"/>
      <c r="FIM78" s="528"/>
      <c r="FIN78" s="528"/>
      <c r="FIO78" s="528"/>
      <c r="FIP78" s="528"/>
      <c r="FIQ78" s="528"/>
      <c r="FIR78" s="528"/>
      <c r="FIS78" s="528"/>
      <c r="FIT78" s="528"/>
      <c r="FIU78" s="528"/>
      <c r="FIV78" s="528"/>
      <c r="FIW78" s="528"/>
      <c r="FIX78" s="528"/>
      <c r="FIY78" s="528"/>
      <c r="FIZ78" s="528"/>
      <c r="FJA78" s="528"/>
      <c r="FJB78" s="528"/>
      <c r="FJC78" s="528"/>
      <c r="FJD78" s="528"/>
      <c r="FJE78" s="528"/>
      <c r="FJF78" s="528"/>
      <c r="FJG78" s="528"/>
      <c r="FJH78" s="528"/>
      <c r="FJI78" s="528"/>
      <c r="FJJ78" s="528"/>
      <c r="FJK78" s="528"/>
      <c r="FJL78" s="528"/>
      <c r="FJM78" s="528"/>
      <c r="FJN78" s="528"/>
      <c r="FJO78" s="528"/>
      <c r="FJP78" s="528"/>
      <c r="FJQ78" s="528"/>
      <c r="FJR78" s="528"/>
      <c r="FJS78" s="528"/>
      <c r="FJT78" s="528"/>
      <c r="FJU78" s="528"/>
      <c r="FJV78" s="528"/>
      <c r="FJW78" s="528"/>
      <c r="FJX78" s="528"/>
      <c r="FJY78" s="528"/>
      <c r="FJZ78" s="528"/>
      <c r="FKA78" s="528"/>
      <c r="FKB78" s="528"/>
      <c r="FKC78" s="528"/>
      <c r="FKD78" s="528"/>
      <c r="FKE78" s="528"/>
      <c r="FKF78" s="528"/>
      <c r="FKG78" s="528"/>
      <c r="FKH78" s="528"/>
      <c r="FKI78" s="528"/>
      <c r="FKJ78" s="528"/>
      <c r="FKK78" s="528"/>
      <c r="FKL78" s="528"/>
      <c r="FKM78" s="528"/>
      <c r="FKN78" s="528"/>
      <c r="FKO78" s="528"/>
      <c r="FKP78" s="528"/>
      <c r="FKQ78" s="528"/>
      <c r="FKR78" s="528"/>
      <c r="FKS78" s="528"/>
      <c r="FKT78" s="528"/>
      <c r="FKU78" s="528"/>
      <c r="FKV78" s="528"/>
      <c r="FKW78" s="528"/>
      <c r="FKX78" s="528"/>
      <c r="FKY78" s="528"/>
      <c r="FKZ78" s="528"/>
      <c r="FLA78" s="528"/>
      <c r="FLB78" s="528"/>
      <c r="FLC78" s="528"/>
      <c r="FLD78" s="528"/>
      <c r="FLE78" s="528"/>
      <c r="FLF78" s="528"/>
      <c r="FLG78" s="528"/>
      <c r="FLH78" s="528"/>
      <c r="FLI78" s="528"/>
      <c r="FLJ78" s="528"/>
      <c r="FLK78" s="528"/>
      <c r="FLL78" s="528"/>
      <c r="FLM78" s="528"/>
      <c r="FLN78" s="528"/>
      <c r="FLO78" s="528"/>
      <c r="FLP78" s="528"/>
      <c r="FLQ78" s="528"/>
      <c r="FLR78" s="528"/>
      <c r="FLS78" s="528"/>
      <c r="FLT78" s="528"/>
      <c r="FLU78" s="528"/>
      <c r="FLV78" s="528"/>
      <c r="FLW78" s="528"/>
      <c r="FLX78" s="528"/>
      <c r="FLY78" s="528"/>
      <c r="FLZ78" s="528"/>
      <c r="FMA78" s="528"/>
      <c r="FMB78" s="528"/>
      <c r="FMC78" s="528"/>
      <c r="FMD78" s="528"/>
      <c r="FME78" s="528"/>
      <c r="FMF78" s="528"/>
      <c r="FMG78" s="528"/>
      <c r="FMH78" s="528"/>
      <c r="FMI78" s="528"/>
      <c r="FMJ78" s="528"/>
      <c r="FMK78" s="528"/>
      <c r="FML78" s="528"/>
      <c r="FMM78" s="528"/>
      <c r="FMN78" s="528"/>
      <c r="FMO78" s="528"/>
      <c r="FMP78" s="528"/>
      <c r="FMQ78" s="528"/>
      <c r="FMR78" s="528"/>
      <c r="FMS78" s="528"/>
      <c r="FMT78" s="528"/>
      <c r="FMU78" s="528"/>
      <c r="FMV78" s="528"/>
      <c r="FMW78" s="528"/>
      <c r="FMX78" s="528"/>
      <c r="FMY78" s="528"/>
      <c r="FMZ78" s="528"/>
      <c r="FNA78" s="528"/>
      <c r="FNB78" s="528"/>
      <c r="FNC78" s="528"/>
      <c r="FND78" s="528"/>
      <c r="FNE78" s="528"/>
      <c r="FNF78" s="528"/>
      <c r="FNG78" s="528"/>
      <c r="FNH78" s="528"/>
      <c r="FNI78" s="528"/>
      <c r="FNJ78" s="528"/>
      <c r="FNK78" s="528"/>
      <c r="FNL78" s="528"/>
      <c r="FNM78" s="528"/>
      <c r="FNN78" s="528"/>
      <c r="FNO78" s="528"/>
      <c r="FNP78" s="528"/>
      <c r="FNQ78" s="528"/>
      <c r="FNR78" s="528"/>
      <c r="FNS78" s="528"/>
      <c r="FNT78" s="528"/>
      <c r="FNU78" s="528"/>
      <c r="FNV78" s="528"/>
      <c r="FNW78" s="528"/>
      <c r="FNX78" s="528"/>
      <c r="FNY78" s="528"/>
      <c r="FNZ78" s="528"/>
      <c r="FOA78" s="528"/>
      <c r="FOB78" s="528"/>
      <c r="FOC78" s="528"/>
      <c r="FOD78" s="528"/>
      <c r="FOE78" s="528"/>
      <c r="FOF78" s="528"/>
      <c r="FOG78" s="528"/>
      <c r="FOH78" s="528"/>
      <c r="FOI78" s="528"/>
      <c r="FOJ78" s="528"/>
      <c r="FOK78" s="528"/>
      <c r="FOL78" s="528"/>
      <c r="FOM78" s="528"/>
      <c r="FON78" s="528"/>
      <c r="FOO78" s="528"/>
      <c r="FOP78" s="528"/>
      <c r="FOQ78" s="528"/>
      <c r="FOR78" s="528"/>
      <c r="FOS78" s="528"/>
      <c r="FOT78" s="528"/>
      <c r="FOU78" s="528"/>
      <c r="FOV78" s="528"/>
      <c r="FOW78" s="528"/>
      <c r="FOX78" s="528"/>
      <c r="FOY78" s="528"/>
      <c r="FOZ78" s="528"/>
      <c r="FPA78" s="528"/>
      <c r="FPB78" s="528"/>
      <c r="FPC78" s="528"/>
      <c r="FPD78" s="528"/>
      <c r="FPE78" s="528"/>
      <c r="FPF78" s="528"/>
      <c r="FPG78" s="528"/>
      <c r="FPH78" s="528"/>
      <c r="FPI78" s="528"/>
      <c r="FPJ78" s="528"/>
      <c r="FPK78" s="528"/>
      <c r="FPL78" s="528"/>
      <c r="FPM78" s="528"/>
      <c r="FPN78" s="528"/>
      <c r="FPO78" s="528"/>
      <c r="FPP78" s="528"/>
      <c r="FPQ78" s="528"/>
      <c r="FPR78" s="528"/>
      <c r="FPS78" s="528"/>
      <c r="FPT78" s="528"/>
      <c r="FPU78" s="528"/>
      <c r="FPV78" s="528"/>
      <c r="FPW78" s="528"/>
      <c r="FPX78" s="528"/>
      <c r="FPY78" s="528"/>
      <c r="FPZ78" s="528"/>
      <c r="FQA78" s="528"/>
      <c r="FQB78" s="528"/>
      <c r="FQC78" s="528"/>
      <c r="FQD78" s="528"/>
      <c r="FQE78" s="528"/>
      <c r="FQF78" s="528"/>
      <c r="FQG78" s="528"/>
      <c r="FQH78" s="528"/>
      <c r="FQI78" s="528"/>
      <c r="FQJ78" s="528"/>
      <c r="FQK78" s="528"/>
      <c r="FQL78" s="528"/>
      <c r="FQM78" s="528"/>
      <c r="FQN78" s="528"/>
      <c r="FQO78" s="528"/>
      <c r="FQP78" s="528"/>
      <c r="FQQ78" s="528"/>
      <c r="FQR78" s="528"/>
      <c r="FQS78" s="528"/>
      <c r="FQT78" s="528"/>
      <c r="FQU78" s="528"/>
      <c r="FQV78" s="528"/>
      <c r="FQW78" s="528"/>
      <c r="FQX78" s="528"/>
      <c r="FQY78" s="528"/>
      <c r="FQZ78" s="528"/>
      <c r="FRA78" s="528"/>
      <c r="FRB78" s="528"/>
      <c r="FRC78" s="528"/>
      <c r="FRD78" s="528"/>
      <c r="FRE78" s="528"/>
      <c r="FRF78" s="528"/>
      <c r="FRG78" s="528"/>
      <c r="FRH78" s="528"/>
      <c r="FRI78" s="528"/>
      <c r="FRJ78" s="528"/>
      <c r="FRK78" s="528"/>
      <c r="FRL78" s="528"/>
      <c r="FRM78" s="528"/>
      <c r="FRN78" s="528"/>
      <c r="FRO78" s="528"/>
      <c r="FRP78" s="528"/>
      <c r="FRQ78" s="528"/>
      <c r="FRR78" s="528"/>
      <c r="FRS78" s="528"/>
      <c r="FRT78" s="528"/>
      <c r="FRU78" s="528"/>
      <c r="FRV78" s="528"/>
      <c r="FRW78" s="528"/>
      <c r="FRX78" s="528"/>
      <c r="FRY78" s="528"/>
      <c r="FRZ78" s="528"/>
      <c r="FSA78" s="528"/>
      <c r="FSB78" s="528"/>
      <c r="FSC78" s="528"/>
      <c r="FSD78" s="528"/>
      <c r="FSE78" s="528"/>
      <c r="FSF78" s="528"/>
      <c r="FSG78" s="528"/>
      <c r="FSH78" s="528"/>
      <c r="FSI78" s="528"/>
      <c r="FSJ78" s="528"/>
      <c r="FSK78" s="528"/>
      <c r="FSL78" s="528"/>
      <c r="FSM78" s="528"/>
      <c r="FSN78" s="528"/>
      <c r="FSO78" s="528"/>
      <c r="FSP78" s="528"/>
      <c r="FSQ78" s="528"/>
      <c r="FSR78" s="528"/>
      <c r="FSS78" s="528"/>
      <c r="FST78" s="528"/>
      <c r="FSU78" s="528"/>
      <c r="FSV78" s="528"/>
      <c r="FSW78" s="528"/>
      <c r="FSX78" s="528"/>
      <c r="FSY78" s="528"/>
      <c r="FSZ78" s="528"/>
      <c r="FTA78" s="528"/>
      <c r="FTB78" s="528"/>
      <c r="FTC78" s="528"/>
      <c r="FTD78" s="528"/>
      <c r="FTE78" s="528"/>
      <c r="FTF78" s="528"/>
      <c r="FTG78" s="528"/>
      <c r="FTH78" s="528"/>
      <c r="FTI78" s="528"/>
      <c r="FTJ78" s="528"/>
      <c r="FTK78" s="528"/>
      <c r="FTL78" s="528"/>
      <c r="FTM78" s="528"/>
      <c r="FTN78" s="528"/>
      <c r="FTO78" s="528"/>
      <c r="FTP78" s="528"/>
      <c r="FTQ78" s="528"/>
      <c r="FTR78" s="528"/>
      <c r="FTS78" s="528"/>
      <c r="FTT78" s="528"/>
      <c r="FTU78" s="528"/>
      <c r="FTV78" s="528"/>
      <c r="FTW78" s="528"/>
      <c r="FTX78" s="528"/>
      <c r="FTY78" s="528"/>
      <c r="FTZ78" s="528"/>
      <c r="FUA78" s="528"/>
      <c r="FUB78" s="528"/>
      <c r="FUC78" s="528"/>
      <c r="FUD78" s="528"/>
      <c r="FUE78" s="528"/>
      <c r="FUF78" s="528"/>
      <c r="FUG78" s="528"/>
      <c r="FUH78" s="528"/>
      <c r="FUI78" s="528"/>
      <c r="FUJ78" s="528"/>
      <c r="FUK78" s="528"/>
      <c r="FUL78" s="528"/>
      <c r="FUM78" s="528"/>
      <c r="FUN78" s="528"/>
      <c r="FUO78" s="528"/>
      <c r="FUP78" s="528"/>
      <c r="FUQ78" s="528"/>
      <c r="FUR78" s="528"/>
      <c r="FUS78" s="528"/>
      <c r="FUT78" s="528"/>
      <c r="FUU78" s="528"/>
      <c r="FUV78" s="528"/>
      <c r="FUW78" s="528"/>
      <c r="FUX78" s="528"/>
      <c r="FUY78" s="528"/>
      <c r="FUZ78" s="528"/>
      <c r="FVA78" s="528"/>
      <c r="FVB78" s="528"/>
      <c r="FVC78" s="528"/>
      <c r="FVD78" s="528"/>
      <c r="FVE78" s="528"/>
      <c r="FVF78" s="528"/>
      <c r="FVG78" s="528"/>
      <c r="FVH78" s="528"/>
      <c r="FVI78" s="528"/>
      <c r="FVJ78" s="528"/>
      <c r="FVK78" s="528"/>
      <c r="FVL78" s="528"/>
      <c r="FVM78" s="528"/>
      <c r="FVN78" s="528"/>
      <c r="FVO78" s="528"/>
      <c r="FVP78" s="528"/>
      <c r="FVQ78" s="528"/>
      <c r="FVR78" s="528"/>
      <c r="FVS78" s="528"/>
      <c r="FVT78" s="528"/>
      <c r="FVU78" s="528"/>
      <c r="FVV78" s="528"/>
      <c r="FVW78" s="528"/>
      <c r="FVX78" s="528"/>
      <c r="FVY78" s="528"/>
      <c r="FVZ78" s="528"/>
      <c r="FWA78" s="528"/>
      <c r="FWB78" s="528"/>
      <c r="FWC78" s="528"/>
      <c r="FWD78" s="528"/>
      <c r="FWE78" s="528"/>
      <c r="FWF78" s="528"/>
      <c r="FWG78" s="528"/>
      <c r="FWH78" s="528"/>
      <c r="FWI78" s="528"/>
      <c r="FWJ78" s="528"/>
      <c r="FWK78" s="528"/>
      <c r="FWL78" s="528"/>
      <c r="FWM78" s="528"/>
      <c r="FWN78" s="528"/>
      <c r="FWO78" s="528"/>
      <c r="FWP78" s="528"/>
      <c r="FWQ78" s="528"/>
      <c r="FWR78" s="528"/>
      <c r="FWS78" s="528"/>
      <c r="FWT78" s="528"/>
      <c r="FWU78" s="528"/>
      <c r="FWV78" s="528"/>
      <c r="FWW78" s="528"/>
      <c r="FWX78" s="528"/>
      <c r="FWY78" s="528"/>
      <c r="FWZ78" s="528"/>
      <c r="FXA78" s="528"/>
      <c r="FXB78" s="528"/>
      <c r="FXC78" s="528"/>
      <c r="FXD78" s="528"/>
      <c r="FXE78" s="528"/>
      <c r="FXF78" s="528"/>
      <c r="FXG78" s="528"/>
      <c r="FXH78" s="528"/>
      <c r="FXI78" s="528"/>
      <c r="FXJ78" s="528"/>
      <c r="FXK78" s="528"/>
      <c r="FXL78" s="528"/>
      <c r="FXM78" s="528"/>
      <c r="FXN78" s="528"/>
      <c r="FXO78" s="528"/>
      <c r="FXP78" s="528"/>
      <c r="FXQ78" s="528"/>
      <c r="FXR78" s="528"/>
      <c r="FXS78" s="528"/>
      <c r="FXT78" s="528"/>
      <c r="FXU78" s="528"/>
      <c r="FXV78" s="528"/>
      <c r="FXW78" s="528"/>
      <c r="FXX78" s="528"/>
      <c r="FXY78" s="528"/>
      <c r="FXZ78" s="528"/>
      <c r="FYA78" s="528"/>
      <c r="FYB78" s="528"/>
      <c r="FYC78" s="528"/>
      <c r="FYD78" s="528"/>
      <c r="FYE78" s="528"/>
      <c r="FYF78" s="528"/>
      <c r="FYG78" s="528"/>
      <c r="FYH78" s="528"/>
      <c r="FYI78" s="528"/>
      <c r="FYJ78" s="528"/>
      <c r="FYK78" s="528"/>
      <c r="FYL78" s="528"/>
      <c r="FYM78" s="528"/>
      <c r="FYN78" s="528"/>
      <c r="FYO78" s="528"/>
      <c r="FYP78" s="528"/>
      <c r="FYQ78" s="528"/>
      <c r="FYR78" s="528"/>
      <c r="FYS78" s="528"/>
      <c r="FYT78" s="528"/>
      <c r="FYU78" s="528"/>
      <c r="FYV78" s="528"/>
      <c r="FYW78" s="528"/>
      <c r="FYX78" s="528"/>
      <c r="FYY78" s="528"/>
      <c r="FYZ78" s="528"/>
      <c r="FZA78" s="528"/>
      <c r="FZB78" s="528"/>
      <c r="FZC78" s="528"/>
      <c r="FZD78" s="528"/>
      <c r="FZE78" s="528"/>
      <c r="FZF78" s="528"/>
      <c r="FZG78" s="528"/>
      <c r="FZH78" s="528"/>
      <c r="FZI78" s="528"/>
      <c r="FZJ78" s="528"/>
      <c r="FZK78" s="528"/>
      <c r="FZL78" s="528"/>
      <c r="FZM78" s="528"/>
      <c r="FZN78" s="528"/>
      <c r="FZO78" s="528"/>
      <c r="FZP78" s="528"/>
      <c r="FZQ78" s="528"/>
      <c r="FZR78" s="528"/>
      <c r="FZS78" s="528"/>
      <c r="FZT78" s="528"/>
      <c r="FZU78" s="528"/>
      <c r="FZV78" s="528"/>
      <c r="FZW78" s="528"/>
      <c r="FZX78" s="528"/>
      <c r="FZY78" s="528"/>
      <c r="FZZ78" s="528"/>
      <c r="GAA78" s="528"/>
      <c r="GAB78" s="528"/>
      <c r="GAC78" s="528"/>
      <c r="GAD78" s="528"/>
      <c r="GAE78" s="528"/>
      <c r="GAF78" s="528"/>
      <c r="GAG78" s="528"/>
      <c r="GAH78" s="528"/>
      <c r="GAI78" s="528"/>
      <c r="GAJ78" s="528"/>
      <c r="GAK78" s="528"/>
      <c r="GAL78" s="528"/>
      <c r="GAM78" s="528"/>
      <c r="GAN78" s="528"/>
      <c r="GAO78" s="528"/>
      <c r="GAP78" s="528"/>
      <c r="GAQ78" s="528"/>
      <c r="GAR78" s="528"/>
      <c r="GAS78" s="528"/>
      <c r="GAT78" s="528"/>
      <c r="GAU78" s="528"/>
      <c r="GAV78" s="528"/>
      <c r="GAW78" s="528"/>
      <c r="GAX78" s="528"/>
      <c r="GAY78" s="528"/>
      <c r="GAZ78" s="528"/>
      <c r="GBA78" s="528"/>
      <c r="GBB78" s="528"/>
      <c r="GBC78" s="528"/>
      <c r="GBD78" s="528"/>
      <c r="GBE78" s="528"/>
      <c r="GBF78" s="528"/>
      <c r="GBG78" s="528"/>
      <c r="GBH78" s="528"/>
      <c r="GBI78" s="528"/>
      <c r="GBJ78" s="528"/>
      <c r="GBK78" s="528"/>
      <c r="GBL78" s="528"/>
      <c r="GBM78" s="528"/>
      <c r="GBN78" s="528"/>
      <c r="GBO78" s="528"/>
      <c r="GBP78" s="528"/>
      <c r="GBQ78" s="528"/>
      <c r="GBR78" s="528"/>
      <c r="GBS78" s="528"/>
      <c r="GBT78" s="528"/>
      <c r="GBU78" s="528"/>
      <c r="GBV78" s="528"/>
      <c r="GBW78" s="528"/>
      <c r="GBX78" s="528"/>
      <c r="GBY78" s="528"/>
      <c r="GBZ78" s="528"/>
      <c r="GCA78" s="528"/>
      <c r="GCB78" s="528"/>
      <c r="GCC78" s="528"/>
      <c r="GCD78" s="528"/>
      <c r="GCE78" s="528"/>
      <c r="GCF78" s="528"/>
      <c r="GCG78" s="528"/>
      <c r="GCH78" s="528"/>
      <c r="GCI78" s="528"/>
      <c r="GCJ78" s="528"/>
      <c r="GCK78" s="528"/>
      <c r="GCL78" s="528"/>
      <c r="GCM78" s="528"/>
      <c r="GCN78" s="528"/>
      <c r="GCO78" s="528"/>
      <c r="GCP78" s="528"/>
      <c r="GCQ78" s="528"/>
      <c r="GCR78" s="528"/>
      <c r="GCS78" s="528"/>
      <c r="GCT78" s="528"/>
      <c r="GCU78" s="528"/>
      <c r="GCV78" s="528"/>
      <c r="GCW78" s="528"/>
      <c r="GCX78" s="528"/>
      <c r="GCY78" s="528"/>
      <c r="GCZ78" s="528"/>
      <c r="GDA78" s="528"/>
      <c r="GDB78" s="528"/>
      <c r="GDC78" s="528"/>
      <c r="GDD78" s="528"/>
      <c r="GDE78" s="528"/>
      <c r="GDF78" s="528"/>
      <c r="GDG78" s="528"/>
      <c r="GDH78" s="528"/>
      <c r="GDI78" s="528"/>
      <c r="GDJ78" s="528"/>
      <c r="GDK78" s="528"/>
      <c r="GDL78" s="528"/>
      <c r="GDM78" s="528"/>
      <c r="GDN78" s="528"/>
      <c r="GDO78" s="528"/>
      <c r="GDP78" s="528"/>
      <c r="GDQ78" s="528"/>
      <c r="GDR78" s="528"/>
      <c r="GDS78" s="528"/>
      <c r="GDT78" s="528"/>
      <c r="GDU78" s="528"/>
      <c r="GDV78" s="528"/>
      <c r="GDW78" s="528"/>
      <c r="GDX78" s="528"/>
      <c r="GDY78" s="528"/>
      <c r="GDZ78" s="528"/>
      <c r="GEA78" s="528"/>
      <c r="GEB78" s="528"/>
      <c r="GEC78" s="528"/>
      <c r="GED78" s="528"/>
      <c r="GEE78" s="528"/>
      <c r="GEF78" s="528"/>
      <c r="GEG78" s="528"/>
      <c r="GEH78" s="528"/>
      <c r="GEI78" s="528"/>
      <c r="GEJ78" s="528"/>
      <c r="GEK78" s="528"/>
      <c r="GEL78" s="528"/>
      <c r="GEM78" s="528"/>
      <c r="GEN78" s="528"/>
      <c r="GEO78" s="528"/>
      <c r="GEP78" s="528"/>
      <c r="GEQ78" s="528"/>
      <c r="GER78" s="528"/>
      <c r="GES78" s="528"/>
      <c r="GET78" s="528"/>
      <c r="GEU78" s="528"/>
      <c r="GEV78" s="528"/>
      <c r="GEW78" s="528"/>
      <c r="GEX78" s="528"/>
      <c r="GEY78" s="528"/>
      <c r="GEZ78" s="528"/>
      <c r="GFA78" s="528"/>
      <c r="GFB78" s="528"/>
      <c r="GFC78" s="528"/>
      <c r="GFD78" s="528"/>
      <c r="GFE78" s="528"/>
      <c r="GFF78" s="528"/>
      <c r="GFG78" s="528"/>
      <c r="GFH78" s="528"/>
      <c r="GFI78" s="528"/>
      <c r="GFJ78" s="528"/>
      <c r="GFK78" s="528"/>
      <c r="GFL78" s="528"/>
      <c r="GFM78" s="528"/>
      <c r="GFN78" s="528"/>
      <c r="GFO78" s="528"/>
      <c r="GFP78" s="528"/>
      <c r="GFQ78" s="528"/>
      <c r="GFR78" s="528"/>
      <c r="GFS78" s="528"/>
      <c r="GFT78" s="528"/>
      <c r="GFU78" s="528"/>
      <c r="GFV78" s="528"/>
      <c r="GFW78" s="528"/>
      <c r="GFX78" s="528"/>
      <c r="GFY78" s="528"/>
      <c r="GFZ78" s="528"/>
      <c r="GGA78" s="528"/>
      <c r="GGB78" s="528"/>
      <c r="GGC78" s="528"/>
      <c r="GGD78" s="528"/>
      <c r="GGE78" s="528"/>
      <c r="GGF78" s="528"/>
      <c r="GGG78" s="528"/>
      <c r="GGH78" s="528"/>
      <c r="GGI78" s="528"/>
      <c r="GGJ78" s="528"/>
      <c r="GGK78" s="528"/>
      <c r="GGL78" s="528"/>
      <c r="GGM78" s="528"/>
      <c r="GGN78" s="528"/>
      <c r="GGO78" s="528"/>
      <c r="GGP78" s="528"/>
      <c r="GGQ78" s="528"/>
      <c r="GGR78" s="528"/>
      <c r="GGS78" s="528"/>
      <c r="GGT78" s="528"/>
      <c r="GGU78" s="528"/>
      <c r="GGV78" s="528"/>
      <c r="GGW78" s="528"/>
      <c r="GGX78" s="528"/>
      <c r="GGY78" s="528"/>
      <c r="GGZ78" s="528"/>
      <c r="GHA78" s="528"/>
      <c r="GHB78" s="528"/>
      <c r="GHC78" s="528"/>
      <c r="GHD78" s="528"/>
      <c r="GHE78" s="528"/>
      <c r="GHF78" s="528"/>
      <c r="GHG78" s="528"/>
      <c r="GHH78" s="528"/>
      <c r="GHI78" s="528"/>
      <c r="GHJ78" s="528"/>
      <c r="GHK78" s="528"/>
      <c r="GHL78" s="528"/>
      <c r="GHM78" s="528"/>
      <c r="GHN78" s="528"/>
      <c r="GHO78" s="528"/>
      <c r="GHP78" s="528"/>
      <c r="GHQ78" s="528"/>
      <c r="GHR78" s="528"/>
      <c r="GHS78" s="528"/>
      <c r="GHT78" s="528"/>
      <c r="GHU78" s="528"/>
      <c r="GHV78" s="528"/>
      <c r="GHW78" s="528"/>
      <c r="GHX78" s="528"/>
      <c r="GHY78" s="528"/>
      <c r="GHZ78" s="528"/>
      <c r="GIA78" s="528"/>
      <c r="GIB78" s="528"/>
      <c r="GIC78" s="528"/>
      <c r="GID78" s="528"/>
      <c r="GIE78" s="528"/>
      <c r="GIF78" s="528"/>
      <c r="GIG78" s="528"/>
      <c r="GIH78" s="528"/>
      <c r="GII78" s="528"/>
      <c r="GIJ78" s="528"/>
      <c r="GIK78" s="528"/>
      <c r="GIL78" s="528"/>
      <c r="GIM78" s="528"/>
      <c r="GIN78" s="528"/>
      <c r="GIO78" s="528"/>
      <c r="GIP78" s="528"/>
      <c r="GIQ78" s="528"/>
      <c r="GIR78" s="528"/>
      <c r="GIS78" s="528"/>
      <c r="GIT78" s="528"/>
      <c r="GIU78" s="528"/>
      <c r="GIV78" s="528"/>
      <c r="GIW78" s="528"/>
      <c r="GIX78" s="528"/>
      <c r="GIY78" s="528"/>
      <c r="GIZ78" s="528"/>
      <c r="GJA78" s="528"/>
      <c r="GJB78" s="528"/>
      <c r="GJC78" s="528"/>
      <c r="GJD78" s="528"/>
      <c r="GJE78" s="528"/>
      <c r="GJF78" s="528"/>
      <c r="GJG78" s="528"/>
      <c r="GJH78" s="528"/>
      <c r="GJI78" s="528"/>
      <c r="GJJ78" s="528"/>
      <c r="GJK78" s="528"/>
      <c r="GJL78" s="528"/>
      <c r="GJM78" s="528"/>
      <c r="GJN78" s="528"/>
      <c r="GJO78" s="528"/>
      <c r="GJP78" s="528"/>
      <c r="GJQ78" s="528"/>
      <c r="GJR78" s="528"/>
      <c r="GJS78" s="528"/>
      <c r="GJT78" s="528"/>
      <c r="GJU78" s="528"/>
      <c r="GJV78" s="528"/>
      <c r="GJW78" s="528"/>
      <c r="GJX78" s="528"/>
      <c r="GJY78" s="528"/>
      <c r="GJZ78" s="528"/>
      <c r="GKA78" s="528"/>
      <c r="GKB78" s="528"/>
      <c r="GKC78" s="528"/>
      <c r="GKD78" s="528"/>
      <c r="GKE78" s="528"/>
      <c r="GKF78" s="528"/>
      <c r="GKG78" s="528"/>
      <c r="GKH78" s="528"/>
      <c r="GKI78" s="528"/>
      <c r="GKJ78" s="528"/>
      <c r="GKK78" s="528"/>
      <c r="GKL78" s="528"/>
      <c r="GKM78" s="528"/>
      <c r="GKN78" s="528"/>
      <c r="GKO78" s="528"/>
      <c r="GKP78" s="528"/>
      <c r="GKQ78" s="528"/>
      <c r="GKR78" s="528"/>
      <c r="GKS78" s="528"/>
      <c r="GKT78" s="528"/>
      <c r="GKU78" s="528"/>
      <c r="GKV78" s="528"/>
      <c r="GKW78" s="528"/>
      <c r="GKX78" s="528"/>
      <c r="GKY78" s="528"/>
      <c r="GKZ78" s="528"/>
      <c r="GLA78" s="528"/>
      <c r="GLB78" s="528"/>
      <c r="GLC78" s="528"/>
      <c r="GLD78" s="528"/>
      <c r="GLE78" s="528"/>
      <c r="GLF78" s="528"/>
      <c r="GLG78" s="528"/>
      <c r="GLH78" s="528"/>
      <c r="GLI78" s="528"/>
      <c r="GLJ78" s="528"/>
      <c r="GLK78" s="528"/>
      <c r="GLL78" s="528"/>
      <c r="GLM78" s="528"/>
      <c r="GLN78" s="528"/>
      <c r="GLO78" s="528"/>
      <c r="GLP78" s="528"/>
      <c r="GLQ78" s="528"/>
      <c r="GLR78" s="528"/>
      <c r="GLS78" s="528"/>
      <c r="GLT78" s="528"/>
      <c r="GLU78" s="528"/>
      <c r="GLV78" s="528"/>
      <c r="GLW78" s="528"/>
      <c r="GLX78" s="528"/>
      <c r="GLY78" s="528"/>
      <c r="GLZ78" s="528"/>
      <c r="GMA78" s="528"/>
      <c r="GMB78" s="528"/>
      <c r="GMC78" s="528"/>
      <c r="GMD78" s="528"/>
      <c r="GME78" s="528"/>
      <c r="GMF78" s="528"/>
      <c r="GMG78" s="528"/>
      <c r="GMH78" s="528"/>
      <c r="GMI78" s="528"/>
      <c r="GMJ78" s="528"/>
      <c r="GMK78" s="528"/>
      <c r="GML78" s="528"/>
      <c r="GMM78" s="528"/>
      <c r="GMN78" s="528"/>
      <c r="GMO78" s="528"/>
      <c r="GMP78" s="528"/>
      <c r="GMQ78" s="528"/>
      <c r="GMR78" s="528"/>
      <c r="GMS78" s="528"/>
      <c r="GMT78" s="528"/>
      <c r="GMU78" s="528"/>
      <c r="GMV78" s="528"/>
      <c r="GMW78" s="528"/>
      <c r="GMX78" s="528"/>
      <c r="GMY78" s="528"/>
      <c r="GMZ78" s="528"/>
      <c r="GNA78" s="528"/>
      <c r="GNB78" s="528"/>
      <c r="GNC78" s="528"/>
      <c r="GND78" s="528"/>
      <c r="GNE78" s="528"/>
      <c r="GNF78" s="528"/>
      <c r="GNG78" s="528"/>
      <c r="GNH78" s="528"/>
      <c r="GNI78" s="528"/>
      <c r="GNJ78" s="528"/>
      <c r="GNK78" s="528"/>
      <c r="GNL78" s="528"/>
      <c r="GNM78" s="528"/>
      <c r="GNN78" s="528"/>
      <c r="GNO78" s="528"/>
      <c r="GNP78" s="528"/>
      <c r="GNQ78" s="528"/>
      <c r="GNR78" s="528"/>
      <c r="GNS78" s="528"/>
      <c r="GNT78" s="528"/>
      <c r="GNU78" s="528"/>
      <c r="GNV78" s="528"/>
      <c r="GNW78" s="528"/>
      <c r="GNX78" s="528"/>
      <c r="GNY78" s="528"/>
      <c r="GNZ78" s="528"/>
      <c r="GOA78" s="528"/>
      <c r="GOB78" s="528"/>
      <c r="GOC78" s="528"/>
      <c r="GOD78" s="528"/>
      <c r="GOE78" s="528"/>
      <c r="GOF78" s="528"/>
      <c r="GOG78" s="528"/>
      <c r="GOH78" s="528"/>
      <c r="GOI78" s="528"/>
      <c r="GOJ78" s="528"/>
      <c r="GOK78" s="528"/>
      <c r="GOL78" s="528"/>
      <c r="GOM78" s="528"/>
      <c r="GON78" s="528"/>
      <c r="GOO78" s="528"/>
      <c r="GOP78" s="528"/>
      <c r="GOQ78" s="528"/>
      <c r="GOR78" s="528"/>
      <c r="GOS78" s="528"/>
      <c r="GOT78" s="528"/>
      <c r="GOU78" s="528"/>
      <c r="GOV78" s="528"/>
      <c r="GOW78" s="528"/>
      <c r="GOX78" s="528"/>
      <c r="GOY78" s="528"/>
      <c r="GOZ78" s="528"/>
      <c r="GPA78" s="528"/>
      <c r="GPB78" s="528"/>
      <c r="GPC78" s="528"/>
      <c r="GPD78" s="528"/>
      <c r="GPE78" s="528"/>
      <c r="GPF78" s="528"/>
      <c r="GPG78" s="528"/>
      <c r="GPH78" s="528"/>
      <c r="GPI78" s="528"/>
      <c r="GPJ78" s="528"/>
      <c r="GPK78" s="528"/>
      <c r="GPL78" s="528"/>
      <c r="GPM78" s="528"/>
      <c r="GPN78" s="528"/>
      <c r="GPO78" s="528"/>
      <c r="GPP78" s="528"/>
      <c r="GPQ78" s="528"/>
      <c r="GPR78" s="528"/>
      <c r="GPS78" s="528"/>
      <c r="GPT78" s="528"/>
      <c r="GPU78" s="528"/>
      <c r="GPV78" s="528"/>
      <c r="GPW78" s="528"/>
      <c r="GPX78" s="528"/>
      <c r="GPY78" s="528"/>
      <c r="GPZ78" s="528"/>
      <c r="GQA78" s="528"/>
      <c r="GQB78" s="528"/>
      <c r="GQC78" s="528"/>
      <c r="GQD78" s="528"/>
      <c r="GQE78" s="528"/>
      <c r="GQF78" s="528"/>
      <c r="GQG78" s="528"/>
      <c r="GQH78" s="528"/>
      <c r="GQI78" s="528"/>
      <c r="GQJ78" s="528"/>
      <c r="GQK78" s="528"/>
      <c r="GQL78" s="528"/>
      <c r="GQM78" s="528"/>
      <c r="GQN78" s="528"/>
      <c r="GQO78" s="528"/>
      <c r="GQP78" s="528"/>
      <c r="GQQ78" s="528"/>
      <c r="GQR78" s="528"/>
      <c r="GQS78" s="528"/>
      <c r="GQT78" s="528"/>
      <c r="GQU78" s="528"/>
      <c r="GQV78" s="528"/>
      <c r="GQW78" s="528"/>
      <c r="GQX78" s="528"/>
      <c r="GQY78" s="528"/>
      <c r="GQZ78" s="528"/>
      <c r="GRA78" s="528"/>
      <c r="GRB78" s="528"/>
      <c r="GRC78" s="528"/>
      <c r="GRD78" s="528"/>
      <c r="GRE78" s="528"/>
      <c r="GRF78" s="528"/>
      <c r="GRG78" s="528"/>
      <c r="GRH78" s="528"/>
      <c r="GRI78" s="528"/>
      <c r="GRJ78" s="528"/>
      <c r="GRK78" s="528"/>
      <c r="GRL78" s="528"/>
      <c r="GRM78" s="528"/>
      <c r="GRN78" s="528"/>
      <c r="GRO78" s="528"/>
      <c r="GRP78" s="528"/>
      <c r="GRQ78" s="528"/>
      <c r="GRR78" s="528"/>
      <c r="GRS78" s="528"/>
      <c r="GRT78" s="528"/>
      <c r="GRU78" s="528"/>
      <c r="GRV78" s="528"/>
      <c r="GRW78" s="528"/>
      <c r="GRX78" s="528"/>
      <c r="GRY78" s="528"/>
      <c r="GRZ78" s="528"/>
      <c r="GSA78" s="528"/>
      <c r="GSB78" s="528"/>
      <c r="GSC78" s="528"/>
      <c r="GSD78" s="528"/>
      <c r="GSE78" s="528"/>
      <c r="GSF78" s="528"/>
      <c r="GSG78" s="528"/>
      <c r="GSH78" s="528"/>
      <c r="GSI78" s="528"/>
      <c r="GSJ78" s="528"/>
      <c r="GSK78" s="528"/>
      <c r="GSL78" s="528"/>
      <c r="GSM78" s="528"/>
      <c r="GSN78" s="528"/>
      <c r="GSO78" s="528"/>
      <c r="GSP78" s="528"/>
      <c r="GSQ78" s="528"/>
      <c r="GSR78" s="528"/>
      <c r="GSS78" s="528"/>
      <c r="GST78" s="528"/>
      <c r="GSU78" s="528"/>
      <c r="GSV78" s="528"/>
      <c r="GSW78" s="528"/>
      <c r="GSX78" s="528"/>
      <c r="GSY78" s="528"/>
      <c r="GSZ78" s="528"/>
      <c r="GTA78" s="528"/>
      <c r="GTB78" s="528"/>
      <c r="GTC78" s="528"/>
      <c r="GTD78" s="528"/>
      <c r="GTE78" s="528"/>
      <c r="GTF78" s="528"/>
      <c r="GTG78" s="528"/>
      <c r="GTH78" s="528"/>
      <c r="GTI78" s="528"/>
      <c r="GTJ78" s="528"/>
      <c r="GTK78" s="528"/>
      <c r="GTL78" s="528"/>
      <c r="GTM78" s="528"/>
      <c r="GTN78" s="528"/>
      <c r="GTO78" s="528"/>
      <c r="GTP78" s="528"/>
      <c r="GTQ78" s="528"/>
      <c r="GTR78" s="528"/>
      <c r="GTS78" s="528"/>
      <c r="GTT78" s="528"/>
      <c r="GTU78" s="528"/>
      <c r="GTV78" s="528"/>
      <c r="GTW78" s="528"/>
      <c r="GTX78" s="528"/>
      <c r="GTY78" s="528"/>
      <c r="GTZ78" s="528"/>
      <c r="GUA78" s="528"/>
      <c r="GUB78" s="528"/>
      <c r="GUC78" s="528"/>
      <c r="GUD78" s="528"/>
      <c r="GUE78" s="528"/>
      <c r="GUF78" s="528"/>
      <c r="GUG78" s="528"/>
      <c r="GUH78" s="528"/>
      <c r="GUI78" s="528"/>
      <c r="GUJ78" s="528"/>
      <c r="GUK78" s="528"/>
      <c r="GUL78" s="528"/>
      <c r="GUM78" s="528"/>
      <c r="GUN78" s="528"/>
      <c r="GUO78" s="528"/>
      <c r="GUP78" s="528"/>
      <c r="GUQ78" s="528"/>
      <c r="GUR78" s="528"/>
      <c r="GUS78" s="528"/>
      <c r="GUT78" s="528"/>
      <c r="GUU78" s="528"/>
      <c r="GUV78" s="528"/>
      <c r="GUW78" s="528"/>
      <c r="GUX78" s="528"/>
      <c r="GUY78" s="528"/>
      <c r="GUZ78" s="528"/>
      <c r="GVA78" s="528"/>
      <c r="GVB78" s="528"/>
      <c r="GVC78" s="528"/>
      <c r="GVD78" s="528"/>
      <c r="GVE78" s="528"/>
      <c r="GVF78" s="528"/>
      <c r="GVG78" s="528"/>
      <c r="GVH78" s="528"/>
      <c r="GVI78" s="528"/>
      <c r="GVJ78" s="528"/>
      <c r="GVK78" s="528"/>
      <c r="GVL78" s="528"/>
      <c r="GVM78" s="528"/>
      <c r="GVN78" s="528"/>
      <c r="GVO78" s="528"/>
      <c r="GVP78" s="528"/>
      <c r="GVQ78" s="528"/>
      <c r="GVR78" s="528"/>
      <c r="GVS78" s="528"/>
      <c r="GVT78" s="528"/>
      <c r="GVU78" s="528"/>
      <c r="GVV78" s="528"/>
      <c r="GVW78" s="528"/>
      <c r="GVX78" s="528"/>
      <c r="GVY78" s="528"/>
      <c r="GVZ78" s="528"/>
      <c r="GWA78" s="528"/>
      <c r="GWB78" s="528"/>
      <c r="GWC78" s="528"/>
      <c r="GWD78" s="528"/>
      <c r="GWE78" s="528"/>
      <c r="GWF78" s="528"/>
      <c r="GWG78" s="528"/>
      <c r="GWH78" s="528"/>
      <c r="GWI78" s="528"/>
      <c r="GWJ78" s="528"/>
      <c r="GWK78" s="528"/>
      <c r="GWL78" s="528"/>
      <c r="GWM78" s="528"/>
      <c r="GWN78" s="528"/>
      <c r="GWO78" s="528"/>
      <c r="GWP78" s="528"/>
      <c r="GWQ78" s="528"/>
      <c r="GWR78" s="528"/>
      <c r="GWS78" s="528"/>
      <c r="GWT78" s="528"/>
      <c r="GWU78" s="528"/>
      <c r="GWV78" s="528"/>
      <c r="GWW78" s="528"/>
      <c r="GWX78" s="528"/>
      <c r="GWY78" s="528"/>
      <c r="GWZ78" s="528"/>
      <c r="GXA78" s="528"/>
      <c r="GXB78" s="528"/>
      <c r="GXC78" s="528"/>
      <c r="GXD78" s="528"/>
      <c r="GXE78" s="528"/>
      <c r="GXF78" s="528"/>
      <c r="GXG78" s="528"/>
      <c r="GXH78" s="528"/>
      <c r="GXI78" s="528"/>
      <c r="GXJ78" s="528"/>
      <c r="GXK78" s="528"/>
      <c r="GXL78" s="528"/>
      <c r="GXM78" s="528"/>
      <c r="GXN78" s="528"/>
      <c r="GXO78" s="528"/>
      <c r="GXP78" s="528"/>
      <c r="GXQ78" s="528"/>
      <c r="GXR78" s="528"/>
      <c r="GXS78" s="528"/>
      <c r="GXT78" s="528"/>
      <c r="GXU78" s="528"/>
      <c r="GXV78" s="528"/>
      <c r="GXW78" s="528"/>
      <c r="GXX78" s="528"/>
      <c r="GXY78" s="528"/>
      <c r="GXZ78" s="528"/>
      <c r="GYA78" s="528"/>
      <c r="GYB78" s="528"/>
      <c r="GYC78" s="528"/>
      <c r="GYD78" s="528"/>
      <c r="GYE78" s="528"/>
      <c r="GYF78" s="528"/>
      <c r="GYG78" s="528"/>
      <c r="GYH78" s="528"/>
      <c r="GYI78" s="528"/>
      <c r="GYJ78" s="528"/>
      <c r="GYK78" s="528"/>
      <c r="GYL78" s="528"/>
      <c r="GYM78" s="528"/>
      <c r="GYN78" s="528"/>
      <c r="GYO78" s="528"/>
      <c r="GYP78" s="528"/>
      <c r="GYQ78" s="528"/>
      <c r="GYR78" s="528"/>
      <c r="GYS78" s="528"/>
      <c r="GYT78" s="528"/>
      <c r="GYU78" s="528"/>
      <c r="GYV78" s="528"/>
      <c r="GYW78" s="528"/>
      <c r="GYX78" s="528"/>
      <c r="GYY78" s="528"/>
      <c r="GYZ78" s="528"/>
      <c r="GZA78" s="528"/>
      <c r="GZB78" s="528"/>
      <c r="GZC78" s="528"/>
      <c r="GZD78" s="528"/>
      <c r="GZE78" s="528"/>
      <c r="GZF78" s="528"/>
      <c r="GZG78" s="528"/>
      <c r="GZH78" s="528"/>
      <c r="GZI78" s="528"/>
      <c r="GZJ78" s="528"/>
      <c r="GZK78" s="528"/>
      <c r="GZL78" s="528"/>
      <c r="GZM78" s="528"/>
      <c r="GZN78" s="528"/>
      <c r="GZO78" s="528"/>
      <c r="GZP78" s="528"/>
      <c r="GZQ78" s="528"/>
      <c r="GZR78" s="528"/>
      <c r="GZS78" s="528"/>
      <c r="GZT78" s="528"/>
      <c r="GZU78" s="528"/>
      <c r="GZV78" s="528"/>
      <c r="GZW78" s="528"/>
      <c r="GZX78" s="528"/>
      <c r="GZY78" s="528"/>
      <c r="GZZ78" s="528"/>
      <c r="HAA78" s="528"/>
      <c r="HAB78" s="528"/>
      <c r="HAC78" s="528"/>
      <c r="HAD78" s="528"/>
      <c r="HAE78" s="528"/>
      <c r="HAF78" s="528"/>
      <c r="HAG78" s="528"/>
      <c r="HAH78" s="528"/>
      <c r="HAI78" s="528"/>
      <c r="HAJ78" s="528"/>
      <c r="HAK78" s="528"/>
      <c r="HAL78" s="528"/>
      <c r="HAM78" s="528"/>
      <c r="HAN78" s="528"/>
      <c r="HAO78" s="528"/>
      <c r="HAP78" s="528"/>
      <c r="HAQ78" s="528"/>
      <c r="HAR78" s="528"/>
      <c r="HAS78" s="528"/>
      <c r="HAT78" s="528"/>
      <c r="HAU78" s="528"/>
      <c r="HAV78" s="528"/>
      <c r="HAW78" s="528"/>
      <c r="HAX78" s="528"/>
      <c r="HAY78" s="528"/>
      <c r="HAZ78" s="528"/>
      <c r="HBA78" s="528"/>
      <c r="HBB78" s="528"/>
      <c r="HBC78" s="528"/>
      <c r="HBD78" s="528"/>
      <c r="HBE78" s="528"/>
      <c r="HBF78" s="528"/>
      <c r="HBG78" s="528"/>
      <c r="HBH78" s="528"/>
      <c r="HBI78" s="528"/>
      <c r="HBJ78" s="528"/>
      <c r="HBK78" s="528"/>
      <c r="HBL78" s="528"/>
      <c r="HBM78" s="528"/>
      <c r="HBN78" s="528"/>
      <c r="HBO78" s="528"/>
      <c r="HBP78" s="528"/>
      <c r="HBQ78" s="528"/>
      <c r="HBR78" s="528"/>
      <c r="HBS78" s="528"/>
      <c r="HBT78" s="528"/>
      <c r="HBU78" s="528"/>
      <c r="HBV78" s="528"/>
      <c r="HBW78" s="528"/>
      <c r="HBX78" s="528"/>
      <c r="HBY78" s="528"/>
      <c r="HBZ78" s="528"/>
      <c r="HCA78" s="528"/>
      <c r="HCB78" s="528"/>
      <c r="HCC78" s="528"/>
      <c r="HCD78" s="528"/>
      <c r="HCE78" s="528"/>
      <c r="HCF78" s="528"/>
      <c r="HCG78" s="528"/>
      <c r="HCH78" s="528"/>
      <c r="HCI78" s="528"/>
      <c r="HCJ78" s="528"/>
      <c r="HCK78" s="528"/>
      <c r="HCL78" s="528"/>
      <c r="HCM78" s="528"/>
      <c r="HCN78" s="528"/>
      <c r="HCO78" s="528"/>
      <c r="HCP78" s="528"/>
      <c r="HCQ78" s="528"/>
      <c r="HCR78" s="528"/>
      <c r="HCS78" s="528"/>
      <c r="HCT78" s="528"/>
      <c r="HCU78" s="528"/>
      <c r="HCV78" s="528"/>
      <c r="HCW78" s="528"/>
      <c r="HCX78" s="528"/>
      <c r="HCY78" s="528"/>
      <c r="HCZ78" s="528"/>
      <c r="HDA78" s="528"/>
      <c r="HDB78" s="528"/>
      <c r="HDC78" s="528"/>
      <c r="HDD78" s="528"/>
      <c r="HDE78" s="528"/>
      <c r="HDF78" s="528"/>
      <c r="HDG78" s="528"/>
      <c r="HDH78" s="528"/>
      <c r="HDI78" s="528"/>
      <c r="HDJ78" s="528"/>
      <c r="HDK78" s="528"/>
      <c r="HDL78" s="528"/>
      <c r="HDM78" s="528"/>
      <c r="HDN78" s="528"/>
      <c r="HDO78" s="528"/>
      <c r="HDP78" s="528"/>
      <c r="HDQ78" s="528"/>
      <c r="HDR78" s="528"/>
      <c r="HDS78" s="528"/>
      <c r="HDT78" s="528"/>
      <c r="HDU78" s="528"/>
      <c r="HDV78" s="528"/>
      <c r="HDW78" s="528"/>
      <c r="HDX78" s="528"/>
      <c r="HDY78" s="528"/>
      <c r="HDZ78" s="528"/>
      <c r="HEA78" s="528"/>
      <c r="HEB78" s="528"/>
      <c r="HEC78" s="528"/>
      <c r="HED78" s="528"/>
      <c r="HEE78" s="528"/>
      <c r="HEF78" s="528"/>
      <c r="HEG78" s="528"/>
      <c r="HEH78" s="528"/>
      <c r="HEI78" s="528"/>
      <c r="HEJ78" s="528"/>
      <c r="HEK78" s="528"/>
      <c r="HEL78" s="528"/>
      <c r="HEM78" s="528"/>
      <c r="HEN78" s="528"/>
      <c r="HEO78" s="528"/>
      <c r="HEP78" s="528"/>
      <c r="HEQ78" s="528"/>
      <c r="HER78" s="528"/>
      <c r="HES78" s="528"/>
      <c r="HET78" s="528"/>
      <c r="HEU78" s="528"/>
      <c r="HEV78" s="528"/>
      <c r="HEW78" s="528"/>
      <c r="HEX78" s="528"/>
      <c r="HEY78" s="528"/>
      <c r="HEZ78" s="528"/>
      <c r="HFA78" s="528"/>
      <c r="HFB78" s="528"/>
      <c r="HFC78" s="528"/>
      <c r="HFD78" s="528"/>
      <c r="HFE78" s="528"/>
      <c r="HFF78" s="528"/>
      <c r="HFG78" s="528"/>
      <c r="HFH78" s="528"/>
      <c r="HFI78" s="528"/>
      <c r="HFJ78" s="528"/>
      <c r="HFK78" s="528"/>
      <c r="HFL78" s="528"/>
      <c r="HFM78" s="528"/>
      <c r="HFN78" s="528"/>
      <c r="HFO78" s="528"/>
      <c r="HFP78" s="528"/>
      <c r="HFQ78" s="528"/>
      <c r="HFR78" s="528"/>
      <c r="HFS78" s="528"/>
      <c r="HFT78" s="528"/>
      <c r="HFU78" s="528"/>
      <c r="HFV78" s="528"/>
      <c r="HFW78" s="528"/>
      <c r="HFX78" s="528"/>
      <c r="HFY78" s="528"/>
      <c r="HFZ78" s="528"/>
      <c r="HGA78" s="528"/>
      <c r="HGB78" s="528"/>
      <c r="HGC78" s="528"/>
      <c r="HGD78" s="528"/>
      <c r="HGE78" s="528"/>
      <c r="HGF78" s="528"/>
      <c r="HGG78" s="528"/>
      <c r="HGH78" s="528"/>
      <c r="HGI78" s="528"/>
      <c r="HGJ78" s="528"/>
      <c r="HGK78" s="528"/>
      <c r="HGL78" s="528"/>
      <c r="HGM78" s="528"/>
      <c r="HGN78" s="528"/>
      <c r="HGO78" s="528"/>
      <c r="HGP78" s="528"/>
      <c r="HGQ78" s="528"/>
      <c r="HGR78" s="528"/>
      <c r="HGS78" s="528"/>
      <c r="HGT78" s="528"/>
      <c r="HGU78" s="528"/>
      <c r="HGV78" s="528"/>
      <c r="HGW78" s="528"/>
      <c r="HGX78" s="528"/>
      <c r="HGY78" s="528"/>
      <c r="HGZ78" s="528"/>
      <c r="HHA78" s="528"/>
      <c r="HHB78" s="528"/>
      <c r="HHC78" s="528"/>
      <c r="HHD78" s="528"/>
      <c r="HHE78" s="528"/>
      <c r="HHF78" s="528"/>
      <c r="HHG78" s="528"/>
      <c r="HHH78" s="528"/>
      <c r="HHI78" s="528"/>
      <c r="HHJ78" s="528"/>
      <c r="HHK78" s="528"/>
      <c r="HHL78" s="528"/>
      <c r="HHM78" s="528"/>
      <c r="HHN78" s="528"/>
      <c r="HHO78" s="528"/>
      <c r="HHP78" s="528"/>
      <c r="HHQ78" s="528"/>
      <c r="HHR78" s="528"/>
      <c r="HHS78" s="528"/>
      <c r="HHT78" s="528"/>
      <c r="HHU78" s="528"/>
      <c r="HHV78" s="528"/>
      <c r="HHW78" s="528"/>
      <c r="HHX78" s="528"/>
      <c r="HHY78" s="528"/>
      <c r="HHZ78" s="528"/>
      <c r="HIA78" s="528"/>
      <c r="HIB78" s="528"/>
      <c r="HIC78" s="528"/>
      <c r="HID78" s="528"/>
      <c r="HIE78" s="528"/>
      <c r="HIF78" s="528"/>
      <c r="HIG78" s="528"/>
      <c r="HIH78" s="528"/>
      <c r="HII78" s="528"/>
      <c r="HIJ78" s="528"/>
      <c r="HIK78" s="528"/>
      <c r="HIL78" s="528"/>
      <c r="HIM78" s="528"/>
      <c r="HIN78" s="528"/>
      <c r="HIO78" s="528"/>
      <c r="HIP78" s="528"/>
      <c r="HIQ78" s="528"/>
      <c r="HIR78" s="528"/>
      <c r="HIS78" s="528"/>
      <c r="HIT78" s="528"/>
      <c r="HIU78" s="528"/>
      <c r="HIV78" s="528"/>
      <c r="HIW78" s="528"/>
      <c r="HIX78" s="528"/>
      <c r="HIY78" s="528"/>
      <c r="HIZ78" s="528"/>
      <c r="HJA78" s="528"/>
      <c r="HJB78" s="528"/>
      <c r="HJC78" s="528"/>
      <c r="HJD78" s="528"/>
      <c r="HJE78" s="528"/>
      <c r="HJF78" s="528"/>
      <c r="HJG78" s="528"/>
      <c r="HJH78" s="528"/>
      <c r="HJI78" s="528"/>
      <c r="HJJ78" s="528"/>
      <c r="HJK78" s="528"/>
      <c r="HJL78" s="528"/>
      <c r="HJM78" s="528"/>
      <c r="HJN78" s="528"/>
      <c r="HJO78" s="528"/>
      <c r="HJP78" s="528"/>
      <c r="HJQ78" s="528"/>
      <c r="HJR78" s="528"/>
      <c r="HJS78" s="528"/>
      <c r="HJT78" s="528"/>
      <c r="HJU78" s="528"/>
      <c r="HJV78" s="528"/>
      <c r="HJW78" s="528"/>
      <c r="HJX78" s="528"/>
      <c r="HJY78" s="528"/>
      <c r="HJZ78" s="528"/>
      <c r="HKA78" s="528"/>
      <c r="HKB78" s="528"/>
      <c r="HKC78" s="528"/>
      <c r="HKD78" s="528"/>
      <c r="HKE78" s="528"/>
      <c r="HKF78" s="528"/>
      <c r="HKG78" s="528"/>
      <c r="HKH78" s="528"/>
      <c r="HKI78" s="528"/>
      <c r="HKJ78" s="528"/>
      <c r="HKK78" s="528"/>
      <c r="HKL78" s="528"/>
      <c r="HKM78" s="528"/>
      <c r="HKN78" s="528"/>
      <c r="HKO78" s="528"/>
      <c r="HKP78" s="528"/>
      <c r="HKQ78" s="528"/>
      <c r="HKR78" s="528"/>
      <c r="HKS78" s="528"/>
      <c r="HKT78" s="528"/>
      <c r="HKU78" s="528"/>
      <c r="HKV78" s="528"/>
      <c r="HKW78" s="528"/>
      <c r="HKX78" s="528"/>
      <c r="HKY78" s="528"/>
      <c r="HKZ78" s="528"/>
      <c r="HLA78" s="528"/>
      <c r="HLB78" s="528"/>
      <c r="HLC78" s="528"/>
      <c r="HLD78" s="528"/>
      <c r="HLE78" s="528"/>
      <c r="HLF78" s="528"/>
      <c r="HLG78" s="528"/>
      <c r="HLH78" s="528"/>
      <c r="HLI78" s="528"/>
      <c r="HLJ78" s="528"/>
      <c r="HLK78" s="528"/>
      <c r="HLL78" s="528"/>
      <c r="HLM78" s="528"/>
      <c r="HLN78" s="528"/>
      <c r="HLO78" s="528"/>
      <c r="HLP78" s="528"/>
      <c r="HLQ78" s="528"/>
      <c r="HLR78" s="528"/>
      <c r="HLS78" s="528"/>
      <c r="HLT78" s="528"/>
      <c r="HLU78" s="528"/>
      <c r="HLV78" s="528"/>
      <c r="HLW78" s="528"/>
      <c r="HLX78" s="528"/>
      <c r="HLY78" s="528"/>
      <c r="HLZ78" s="528"/>
      <c r="HMA78" s="528"/>
      <c r="HMB78" s="528"/>
      <c r="HMC78" s="528"/>
      <c r="HMD78" s="528"/>
      <c r="HME78" s="528"/>
      <c r="HMF78" s="528"/>
      <c r="HMG78" s="528"/>
      <c r="HMH78" s="528"/>
      <c r="HMI78" s="528"/>
      <c r="HMJ78" s="528"/>
      <c r="HMK78" s="528"/>
      <c r="HML78" s="528"/>
      <c r="HMM78" s="528"/>
      <c r="HMN78" s="528"/>
      <c r="HMO78" s="528"/>
      <c r="HMP78" s="528"/>
      <c r="HMQ78" s="528"/>
      <c r="HMR78" s="528"/>
      <c r="HMS78" s="528"/>
      <c r="HMT78" s="528"/>
      <c r="HMU78" s="528"/>
      <c r="HMV78" s="528"/>
      <c r="HMW78" s="528"/>
      <c r="HMX78" s="528"/>
      <c r="HMY78" s="528"/>
      <c r="HMZ78" s="528"/>
      <c r="HNA78" s="528"/>
      <c r="HNB78" s="528"/>
      <c r="HNC78" s="528"/>
      <c r="HND78" s="528"/>
      <c r="HNE78" s="528"/>
      <c r="HNF78" s="528"/>
      <c r="HNG78" s="528"/>
      <c r="HNH78" s="528"/>
      <c r="HNI78" s="528"/>
      <c r="HNJ78" s="528"/>
      <c r="HNK78" s="528"/>
      <c r="HNL78" s="528"/>
      <c r="HNM78" s="528"/>
      <c r="HNN78" s="528"/>
      <c r="HNO78" s="528"/>
      <c r="HNP78" s="528"/>
      <c r="HNQ78" s="528"/>
      <c r="HNR78" s="528"/>
      <c r="HNS78" s="528"/>
      <c r="HNT78" s="528"/>
      <c r="HNU78" s="528"/>
      <c r="HNV78" s="528"/>
      <c r="HNW78" s="528"/>
      <c r="HNX78" s="528"/>
      <c r="HNY78" s="528"/>
      <c r="HNZ78" s="528"/>
      <c r="HOA78" s="528"/>
      <c r="HOB78" s="528"/>
      <c r="HOC78" s="528"/>
      <c r="HOD78" s="528"/>
      <c r="HOE78" s="528"/>
      <c r="HOF78" s="528"/>
      <c r="HOG78" s="528"/>
      <c r="HOH78" s="528"/>
      <c r="HOI78" s="528"/>
      <c r="HOJ78" s="528"/>
      <c r="HOK78" s="528"/>
      <c r="HOL78" s="528"/>
      <c r="HOM78" s="528"/>
      <c r="HON78" s="528"/>
      <c r="HOO78" s="528"/>
      <c r="HOP78" s="528"/>
      <c r="HOQ78" s="528"/>
      <c r="HOR78" s="528"/>
      <c r="HOS78" s="528"/>
      <c r="HOT78" s="528"/>
      <c r="HOU78" s="528"/>
      <c r="HOV78" s="528"/>
      <c r="HOW78" s="528"/>
      <c r="HOX78" s="528"/>
      <c r="HOY78" s="528"/>
      <c r="HOZ78" s="528"/>
      <c r="HPA78" s="528"/>
      <c r="HPB78" s="528"/>
      <c r="HPC78" s="528"/>
      <c r="HPD78" s="528"/>
      <c r="HPE78" s="528"/>
      <c r="HPF78" s="528"/>
      <c r="HPG78" s="528"/>
      <c r="HPH78" s="528"/>
      <c r="HPI78" s="528"/>
      <c r="HPJ78" s="528"/>
      <c r="HPK78" s="528"/>
      <c r="HPL78" s="528"/>
      <c r="HPM78" s="528"/>
      <c r="HPN78" s="528"/>
      <c r="HPO78" s="528"/>
      <c r="HPP78" s="528"/>
      <c r="HPQ78" s="528"/>
      <c r="HPR78" s="528"/>
      <c r="HPS78" s="528"/>
      <c r="HPT78" s="528"/>
      <c r="HPU78" s="528"/>
      <c r="HPV78" s="528"/>
      <c r="HPW78" s="528"/>
      <c r="HPX78" s="528"/>
      <c r="HPY78" s="528"/>
      <c r="HPZ78" s="528"/>
      <c r="HQA78" s="528"/>
      <c r="HQB78" s="528"/>
      <c r="HQC78" s="528"/>
      <c r="HQD78" s="528"/>
      <c r="HQE78" s="528"/>
      <c r="HQF78" s="528"/>
      <c r="HQG78" s="528"/>
      <c r="HQH78" s="528"/>
      <c r="HQI78" s="528"/>
      <c r="HQJ78" s="528"/>
      <c r="HQK78" s="528"/>
      <c r="HQL78" s="528"/>
      <c r="HQM78" s="528"/>
      <c r="HQN78" s="528"/>
      <c r="HQO78" s="528"/>
      <c r="HQP78" s="528"/>
      <c r="HQQ78" s="528"/>
      <c r="HQR78" s="528"/>
      <c r="HQS78" s="528"/>
      <c r="HQT78" s="528"/>
      <c r="HQU78" s="528"/>
      <c r="HQV78" s="528"/>
      <c r="HQW78" s="528"/>
      <c r="HQX78" s="528"/>
      <c r="HQY78" s="528"/>
      <c r="HQZ78" s="528"/>
      <c r="HRA78" s="528"/>
      <c r="HRB78" s="528"/>
      <c r="HRC78" s="528"/>
      <c r="HRD78" s="528"/>
      <c r="HRE78" s="528"/>
      <c r="HRF78" s="528"/>
      <c r="HRG78" s="528"/>
      <c r="HRH78" s="528"/>
      <c r="HRI78" s="528"/>
      <c r="HRJ78" s="528"/>
      <c r="HRK78" s="528"/>
      <c r="HRL78" s="528"/>
      <c r="HRM78" s="528"/>
      <c r="HRN78" s="528"/>
      <c r="HRO78" s="528"/>
      <c r="HRP78" s="528"/>
      <c r="HRQ78" s="528"/>
      <c r="HRR78" s="528"/>
      <c r="HRS78" s="528"/>
      <c r="HRT78" s="528"/>
      <c r="HRU78" s="528"/>
      <c r="HRV78" s="528"/>
      <c r="HRW78" s="528"/>
      <c r="HRX78" s="528"/>
      <c r="HRY78" s="528"/>
      <c r="HRZ78" s="528"/>
      <c r="HSA78" s="528"/>
      <c r="HSB78" s="528"/>
      <c r="HSC78" s="528"/>
      <c r="HSD78" s="528"/>
      <c r="HSE78" s="528"/>
      <c r="HSF78" s="528"/>
      <c r="HSG78" s="528"/>
      <c r="HSH78" s="528"/>
      <c r="HSI78" s="528"/>
      <c r="HSJ78" s="528"/>
      <c r="HSK78" s="528"/>
      <c r="HSL78" s="528"/>
      <c r="HSM78" s="528"/>
      <c r="HSN78" s="528"/>
      <c r="HSO78" s="528"/>
      <c r="HSP78" s="528"/>
      <c r="HSQ78" s="528"/>
      <c r="HSR78" s="528"/>
      <c r="HSS78" s="528"/>
      <c r="HST78" s="528"/>
      <c r="HSU78" s="528"/>
      <c r="HSV78" s="528"/>
      <c r="HSW78" s="528"/>
      <c r="HSX78" s="528"/>
      <c r="HSY78" s="528"/>
      <c r="HSZ78" s="528"/>
      <c r="HTA78" s="528"/>
      <c r="HTB78" s="528"/>
      <c r="HTC78" s="528"/>
      <c r="HTD78" s="528"/>
      <c r="HTE78" s="528"/>
      <c r="HTF78" s="528"/>
      <c r="HTG78" s="528"/>
      <c r="HTH78" s="528"/>
      <c r="HTI78" s="528"/>
      <c r="HTJ78" s="528"/>
      <c r="HTK78" s="528"/>
      <c r="HTL78" s="528"/>
      <c r="HTM78" s="528"/>
      <c r="HTN78" s="528"/>
      <c r="HTO78" s="528"/>
      <c r="HTP78" s="528"/>
      <c r="HTQ78" s="528"/>
      <c r="HTR78" s="528"/>
      <c r="HTS78" s="528"/>
      <c r="HTT78" s="528"/>
      <c r="HTU78" s="528"/>
      <c r="HTV78" s="528"/>
      <c r="HTW78" s="528"/>
      <c r="HTX78" s="528"/>
      <c r="HTY78" s="528"/>
      <c r="HTZ78" s="528"/>
      <c r="HUA78" s="528"/>
      <c r="HUB78" s="528"/>
      <c r="HUC78" s="528"/>
      <c r="HUD78" s="528"/>
      <c r="HUE78" s="528"/>
      <c r="HUF78" s="528"/>
      <c r="HUG78" s="528"/>
      <c r="HUH78" s="528"/>
      <c r="HUI78" s="528"/>
      <c r="HUJ78" s="528"/>
      <c r="HUK78" s="528"/>
      <c r="HUL78" s="528"/>
      <c r="HUM78" s="528"/>
      <c r="HUN78" s="528"/>
      <c r="HUO78" s="528"/>
      <c r="HUP78" s="528"/>
      <c r="HUQ78" s="528"/>
      <c r="HUR78" s="528"/>
      <c r="HUS78" s="528"/>
      <c r="HUT78" s="528"/>
      <c r="HUU78" s="528"/>
      <c r="HUV78" s="528"/>
      <c r="HUW78" s="528"/>
      <c r="HUX78" s="528"/>
      <c r="HUY78" s="528"/>
      <c r="HUZ78" s="528"/>
      <c r="HVA78" s="528"/>
      <c r="HVB78" s="528"/>
      <c r="HVC78" s="528"/>
      <c r="HVD78" s="528"/>
      <c r="HVE78" s="528"/>
      <c r="HVF78" s="528"/>
      <c r="HVG78" s="528"/>
      <c r="HVH78" s="528"/>
      <c r="HVI78" s="528"/>
      <c r="HVJ78" s="528"/>
      <c r="HVK78" s="528"/>
      <c r="HVL78" s="528"/>
      <c r="HVM78" s="528"/>
      <c r="HVN78" s="528"/>
      <c r="HVO78" s="528"/>
      <c r="HVP78" s="528"/>
      <c r="HVQ78" s="528"/>
      <c r="HVR78" s="528"/>
      <c r="HVS78" s="528"/>
      <c r="HVT78" s="528"/>
      <c r="HVU78" s="528"/>
      <c r="HVV78" s="528"/>
      <c r="HVW78" s="528"/>
      <c r="HVX78" s="528"/>
      <c r="HVY78" s="528"/>
      <c r="HVZ78" s="528"/>
      <c r="HWA78" s="528"/>
      <c r="HWB78" s="528"/>
      <c r="HWC78" s="528"/>
      <c r="HWD78" s="528"/>
      <c r="HWE78" s="528"/>
      <c r="HWF78" s="528"/>
      <c r="HWG78" s="528"/>
      <c r="HWH78" s="528"/>
      <c r="HWI78" s="528"/>
      <c r="HWJ78" s="528"/>
      <c r="HWK78" s="528"/>
      <c r="HWL78" s="528"/>
      <c r="HWM78" s="528"/>
      <c r="HWN78" s="528"/>
      <c r="HWO78" s="528"/>
      <c r="HWP78" s="528"/>
      <c r="HWQ78" s="528"/>
      <c r="HWR78" s="528"/>
      <c r="HWS78" s="528"/>
      <c r="HWT78" s="528"/>
      <c r="HWU78" s="528"/>
      <c r="HWV78" s="528"/>
      <c r="HWW78" s="528"/>
      <c r="HWX78" s="528"/>
      <c r="HWY78" s="528"/>
      <c r="HWZ78" s="528"/>
      <c r="HXA78" s="528"/>
      <c r="HXB78" s="528"/>
      <c r="HXC78" s="528"/>
      <c r="HXD78" s="528"/>
      <c r="HXE78" s="528"/>
      <c r="HXF78" s="528"/>
      <c r="HXG78" s="528"/>
      <c r="HXH78" s="528"/>
      <c r="HXI78" s="528"/>
      <c r="HXJ78" s="528"/>
      <c r="HXK78" s="528"/>
      <c r="HXL78" s="528"/>
      <c r="HXM78" s="528"/>
      <c r="HXN78" s="528"/>
      <c r="HXO78" s="528"/>
      <c r="HXP78" s="528"/>
      <c r="HXQ78" s="528"/>
      <c r="HXR78" s="528"/>
      <c r="HXS78" s="528"/>
      <c r="HXT78" s="528"/>
      <c r="HXU78" s="528"/>
      <c r="HXV78" s="528"/>
      <c r="HXW78" s="528"/>
      <c r="HXX78" s="528"/>
      <c r="HXY78" s="528"/>
      <c r="HXZ78" s="528"/>
      <c r="HYA78" s="528"/>
      <c r="HYB78" s="528"/>
      <c r="HYC78" s="528"/>
      <c r="HYD78" s="528"/>
      <c r="HYE78" s="528"/>
      <c r="HYF78" s="528"/>
      <c r="HYG78" s="528"/>
      <c r="HYH78" s="528"/>
      <c r="HYI78" s="528"/>
      <c r="HYJ78" s="528"/>
      <c r="HYK78" s="528"/>
      <c r="HYL78" s="528"/>
      <c r="HYM78" s="528"/>
      <c r="HYN78" s="528"/>
      <c r="HYO78" s="528"/>
      <c r="HYP78" s="528"/>
      <c r="HYQ78" s="528"/>
      <c r="HYR78" s="528"/>
      <c r="HYS78" s="528"/>
      <c r="HYT78" s="528"/>
      <c r="HYU78" s="528"/>
      <c r="HYV78" s="528"/>
      <c r="HYW78" s="528"/>
      <c r="HYX78" s="528"/>
      <c r="HYY78" s="528"/>
      <c r="HYZ78" s="528"/>
      <c r="HZA78" s="528"/>
      <c r="HZB78" s="528"/>
      <c r="HZC78" s="528"/>
      <c r="HZD78" s="528"/>
      <c r="HZE78" s="528"/>
      <c r="HZF78" s="528"/>
      <c r="HZG78" s="528"/>
      <c r="HZH78" s="528"/>
      <c r="HZI78" s="528"/>
      <c r="HZJ78" s="528"/>
      <c r="HZK78" s="528"/>
      <c r="HZL78" s="528"/>
      <c r="HZM78" s="528"/>
      <c r="HZN78" s="528"/>
      <c r="HZO78" s="528"/>
      <c r="HZP78" s="528"/>
      <c r="HZQ78" s="528"/>
      <c r="HZR78" s="528"/>
      <c r="HZS78" s="528"/>
      <c r="HZT78" s="528"/>
      <c r="HZU78" s="528"/>
      <c r="HZV78" s="528"/>
      <c r="HZW78" s="528"/>
      <c r="HZX78" s="528"/>
      <c r="HZY78" s="528"/>
      <c r="HZZ78" s="528"/>
      <c r="IAA78" s="528"/>
      <c r="IAB78" s="528"/>
      <c r="IAC78" s="528"/>
      <c r="IAD78" s="528"/>
      <c r="IAE78" s="528"/>
      <c r="IAF78" s="528"/>
      <c r="IAG78" s="528"/>
      <c r="IAH78" s="528"/>
      <c r="IAI78" s="528"/>
      <c r="IAJ78" s="528"/>
      <c r="IAK78" s="528"/>
      <c r="IAL78" s="528"/>
      <c r="IAM78" s="528"/>
      <c r="IAN78" s="528"/>
      <c r="IAO78" s="528"/>
      <c r="IAP78" s="528"/>
      <c r="IAQ78" s="528"/>
      <c r="IAR78" s="528"/>
      <c r="IAS78" s="528"/>
      <c r="IAT78" s="528"/>
      <c r="IAU78" s="528"/>
      <c r="IAV78" s="528"/>
      <c r="IAW78" s="528"/>
      <c r="IAX78" s="528"/>
      <c r="IAY78" s="528"/>
      <c r="IAZ78" s="528"/>
      <c r="IBA78" s="528"/>
      <c r="IBB78" s="528"/>
      <c r="IBC78" s="528"/>
      <c r="IBD78" s="528"/>
      <c r="IBE78" s="528"/>
      <c r="IBF78" s="528"/>
      <c r="IBG78" s="528"/>
      <c r="IBH78" s="528"/>
      <c r="IBI78" s="528"/>
      <c r="IBJ78" s="528"/>
      <c r="IBK78" s="528"/>
      <c r="IBL78" s="528"/>
      <c r="IBM78" s="528"/>
      <c r="IBN78" s="528"/>
      <c r="IBO78" s="528"/>
      <c r="IBP78" s="528"/>
      <c r="IBQ78" s="528"/>
      <c r="IBR78" s="528"/>
      <c r="IBS78" s="528"/>
      <c r="IBT78" s="528"/>
      <c r="IBU78" s="528"/>
      <c r="IBV78" s="528"/>
      <c r="IBW78" s="528"/>
      <c r="IBX78" s="528"/>
      <c r="IBY78" s="528"/>
      <c r="IBZ78" s="528"/>
      <c r="ICA78" s="528"/>
      <c r="ICB78" s="528"/>
      <c r="ICC78" s="528"/>
      <c r="ICD78" s="528"/>
      <c r="ICE78" s="528"/>
      <c r="ICF78" s="528"/>
      <c r="ICG78" s="528"/>
      <c r="ICH78" s="528"/>
      <c r="ICI78" s="528"/>
      <c r="ICJ78" s="528"/>
      <c r="ICK78" s="528"/>
      <c r="ICL78" s="528"/>
      <c r="ICM78" s="528"/>
      <c r="ICN78" s="528"/>
      <c r="ICO78" s="528"/>
      <c r="ICP78" s="528"/>
      <c r="ICQ78" s="528"/>
      <c r="ICR78" s="528"/>
      <c r="ICS78" s="528"/>
      <c r="ICT78" s="528"/>
      <c r="ICU78" s="528"/>
      <c r="ICV78" s="528"/>
      <c r="ICW78" s="528"/>
      <c r="ICX78" s="528"/>
      <c r="ICY78" s="528"/>
      <c r="ICZ78" s="528"/>
      <c r="IDA78" s="528"/>
      <c r="IDB78" s="528"/>
      <c r="IDC78" s="528"/>
      <c r="IDD78" s="528"/>
      <c r="IDE78" s="528"/>
      <c r="IDF78" s="528"/>
      <c r="IDG78" s="528"/>
      <c r="IDH78" s="528"/>
      <c r="IDI78" s="528"/>
      <c r="IDJ78" s="528"/>
      <c r="IDK78" s="528"/>
      <c r="IDL78" s="528"/>
      <c r="IDM78" s="528"/>
      <c r="IDN78" s="528"/>
      <c r="IDO78" s="528"/>
      <c r="IDP78" s="528"/>
      <c r="IDQ78" s="528"/>
      <c r="IDR78" s="528"/>
      <c r="IDS78" s="528"/>
      <c r="IDT78" s="528"/>
      <c r="IDU78" s="528"/>
      <c r="IDV78" s="528"/>
      <c r="IDW78" s="528"/>
      <c r="IDX78" s="528"/>
      <c r="IDY78" s="528"/>
      <c r="IDZ78" s="528"/>
      <c r="IEA78" s="528"/>
      <c r="IEB78" s="528"/>
      <c r="IEC78" s="528"/>
      <c r="IED78" s="528"/>
      <c r="IEE78" s="528"/>
      <c r="IEF78" s="528"/>
      <c r="IEG78" s="528"/>
      <c r="IEH78" s="528"/>
      <c r="IEI78" s="528"/>
      <c r="IEJ78" s="528"/>
      <c r="IEK78" s="528"/>
      <c r="IEL78" s="528"/>
      <c r="IEM78" s="528"/>
      <c r="IEN78" s="528"/>
      <c r="IEO78" s="528"/>
      <c r="IEP78" s="528"/>
      <c r="IEQ78" s="528"/>
      <c r="IER78" s="528"/>
      <c r="IES78" s="528"/>
      <c r="IET78" s="528"/>
      <c r="IEU78" s="528"/>
      <c r="IEV78" s="528"/>
      <c r="IEW78" s="528"/>
      <c r="IEX78" s="528"/>
      <c r="IEY78" s="528"/>
      <c r="IEZ78" s="528"/>
      <c r="IFA78" s="528"/>
      <c r="IFB78" s="528"/>
      <c r="IFC78" s="528"/>
      <c r="IFD78" s="528"/>
      <c r="IFE78" s="528"/>
      <c r="IFF78" s="528"/>
      <c r="IFG78" s="528"/>
      <c r="IFH78" s="528"/>
      <c r="IFI78" s="528"/>
      <c r="IFJ78" s="528"/>
      <c r="IFK78" s="528"/>
      <c r="IFL78" s="528"/>
      <c r="IFM78" s="528"/>
      <c r="IFN78" s="528"/>
      <c r="IFO78" s="528"/>
      <c r="IFP78" s="528"/>
      <c r="IFQ78" s="528"/>
      <c r="IFR78" s="528"/>
      <c r="IFS78" s="528"/>
      <c r="IFT78" s="528"/>
      <c r="IFU78" s="528"/>
      <c r="IFV78" s="528"/>
      <c r="IFW78" s="528"/>
      <c r="IFX78" s="528"/>
      <c r="IFY78" s="528"/>
      <c r="IFZ78" s="528"/>
      <c r="IGA78" s="528"/>
      <c r="IGB78" s="528"/>
      <c r="IGC78" s="528"/>
      <c r="IGD78" s="528"/>
      <c r="IGE78" s="528"/>
      <c r="IGF78" s="528"/>
      <c r="IGG78" s="528"/>
      <c r="IGH78" s="528"/>
      <c r="IGI78" s="528"/>
      <c r="IGJ78" s="528"/>
      <c r="IGK78" s="528"/>
      <c r="IGL78" s="528"/>
      <c r="IGM78" s="528"/>
      <c r="IGN78" s="528"/>
      <c r="IGO78" s="528"/>
      <c r="IGP78" s="528"/>
      <c r="IGQ78" s="528"/>
      <c r="IGR78" s="528"/>
      <c r="IGS78" s="528"/>
      <c r="IGT78" s="528"/>
      <c r="IGU78" s="528"/>
      <c r="IGV78" s="528"/>
      <c r="IGW78" s="528"/>
      <c r="IGX78" s="528"/>
      <c r="IGY78" s="528"/>
      <c r="IGZ78" s="528"/>
      <c r="IHA78" s="528"/>
      <c r="IHB78" s="528"/>
      <c r="IHC78" s="528"/>
      <c r="IHD78" s="528"/>
      <c r="IHE78" s="528"/>
      <c r="IHF78" s="528"/>
      <c r="IHG78" s="528"/>
      <c r="IHH78" s="528"/>
      <c r="IHI78" s="528"/>
      <c r="IHJ78" s="528"/>
      <c r="IHK78" s="528"/>
      <c r="IHL78" s="528"/>
      <c r="IHM78" s="528"/>
      <c r="IHN78" s="528"/>
      <c r="IHO78" s="528"/>
      <c r="IHP78" s="528"/>
      <c r="IHQ78" s="528"/>
      <c r="IHR78" s="528"/>
      <c r="IHS78" s="528"/>
      <c r="IHT78" s="528"/>
      <c r="IHU78" s="528"/>
      <c r="IHV78" s="528"/>
      <c r="IHW78" s="528"/>
      <c r="IHX78" s="528"/>
      <c r="IHY78" s="528"/>
      <c r="IHZ78" s="528"/>
      <c r="IIA78" s="528"/>
      <c r="IIB78" s="528"/>
      <c r="IIC78" s="528"/>
      <c r="IID78" s="528"/>
      <c r="IIE78" s="528"/>
      <c r="IIF78" s="528"/>
      <c r="IIG78" s="528"/>
      <c r="IIH78" s="528"/>
      <c r="III78" s="528"/>
      <c r="IIJ78" s="528"/>
      <c r="IIK78" s="528"/>
      <c r="IIL78" s="528"/>
      <c r="IIM78" s="528"/>
      <c r="IIN78" s="528"/>
      <c r="IIO78" s="528"/>
      <c r="IIP78" s="528"/>
      <c r="IIQ78" s="528"/>
      <c r="IIR78" s="528"/>
      <c r="IIS78" s="528"/>
      <c r="IIT78" s="528"/>
      <c r="IIU78" s="528"/>
      <c r="IIV78" s="528"/>
      <c r="IIW78" s="528"/>
      <c r="IIX78" s="528"/>
      <c r="IIY78" s="528"/>
      <c r="IIZ78" s="528"/>
      <c r="IJA78" s="528"/>
      <c r="IJB78" s="528"/>
      <c r="IJC78" s="528"/>
      <c r="IJD78" s="528"/>
      <c r="IJE78" s="528"/>
      <c r="IJF78" s="528"/>
      <c r="IJG78" s="528"/>
      <c r="IJH78" s="528"/>
      <c r="IJI78" s="528"/>
      <c r="IJJ78" s="528"/>
      <c r="IJK78" s="528"/>
      <c r="IJL78" s="528"/>
      <c r="IJM78" s="528"/>
      <c r="IJN78" s="528"/>
      <c r="IJO78" s="528"/>
      <c r="IJP78" s="528"/>
      <c r="IJQ78" s="528"/>
      <c r="IJR78" s="528"/>
      <c r="IJS78" s="528"/>
      <c r="IJT78" s="528"/>
      <c r="IJU78" s="528"/>
      <c r="IJV78" s="528"/>
      <c r="IJW78" s="528"/>
      <c r="IJX78" s="528"/>
      <c r="IJY78" s="528"/>
      <c r="IJZ78" s="528"/>
      <c r="IKA78" s="528"/>
      <c r="IKB78" s="528"/>
      <c r="IKC78" s="528"/>
      <c r="IKD78" s="528"/>
      <c r="IKE78" s="528"/>
      <c r="IKF78" s="528"/>
      <c r="IKG78" s="528"/>
      <c r="IKH78" s="528"/>
      <c r="IKI78" s="528"/>
      <c r="IKJ78" s="528"/>
      <c r="IKK78" s="528"/>
      <c r="IKL78" s="528"/>
      <c r="IKM78" s="528"/>
      <c r="IKN78" s="528"/>
      <c r="IKO78" s="528"/>
      <c r="IKP78" s="528"/>
      <c r="IKQ78" s="528"/>
      <c r="IKR78" s="528"/>
      <c r="IKS78" s="528"/>
      <c r="IKT78" s="528"/>
      <c r="IKU78" s="528"/>
      <c r="IKV78" s="528"/>
      <c r="IKW78" s="528"/>
      <c r="IKX78" s="528"/>
      <c r="IKY78" s="528"/>
      <c r="IKZ78" s="528"/>
      <c r="ILA78" s="528"/>
      <c r="ILB78" s="528"/>
      <c r="ILC78" s="528"/>
      <c r="ILD78" s="528"/>
      <c r="ILE78" s="528"/>
      <c r="ILF78" s="528"/>
      <c r="ILG78" s="528"/>
      <c r="ILH78" s="528"/>
      <c r="ILI78" s="528"/>
      <c r="ILJ78" s="528"/>
      <c r="ILK78" s="528"/>
      <c r="ILL78" s="528"/>
      <c r="ILM78" s="528"/>
      <c r="ILN78" s="528"/>
      <c r="ILO78" s="528"/>
      <c r="ILP78" s="528"/>
      <c r="ILQ78" s="528"/>
      <c r="ILR78" s="528"/>
      <c r="ILS78" s="528"/>
      <c r="ILT78" s="528"/>
      <c r="ILU78" s="528"/>
      <c r="ILV78" s="528"/>
      <c r="ILW78" s="528"/>
      <c r="ILX78" s="528"/>
      <c r="ILY78" s="528"/>
      <c r="ILZ78" s="528"/>
      <c r="IMA78" s="528"/>
      <c r="IMB78" s="528"/>
      <c r="IMC78" s="528"/>
      <c r="IMD78" s="528"/>
      <c r="IME78" s="528"/>
      <c r="IMF78" s="528"/>
      <c r="IMG78" s="528"/>
      <c r="IMH78" s="528"/>
      <c r="IMI78" s="528"/>
      <c r="IMJ78" s="528"/>
      <c r="IMK78" s="528"/>
      <c r="IML78" s="528"/>
      <c r="IMM78" s="528"/>
      <c r="IMN78" s="528"/>
      <c r="IMO78" s="528"/>
      <c r="IMP78" s="528"/>
      <c r="IMQ78" s="528"/>
      <c r="IMR78" s="528"/>
      <c r="IMS78" s="528"/>
      <c r="IMT78" s="528"/>
      <c r="IMU78" s="528"/>
      <c r="IMV78" s="528"/>
      <c r="IMW78" s="528"/>
      <c r="IMX78" s="528"/>
      <c r="IMY78" s="528"/>
      <c r="IMZ78" s="528"/>
      <c r="INA78" s="528"/>
      <c r="INB78" s="528"/>
      <c r="INC78" s="528"/>
      <c r="IND78" s="528"/>
      <c r="INE78" s="528"/>
      <c r="INF78" s="528"/>
      <c r="ING78" s="528"/>
      <c r="INH78" s="528"/>
      <c r="INI78" s="528"/>
      <c r="INJ78" s="528"/>
      <c r="INK78" s="528"/>
      <c r="INL78" s="528"/>
      <c r="INM78" s="528"/>
      <c r="INN78" s="528"/>
      <c r="INO78" s="528"/>
      <c r="INP78" s="528"/>
      <c r="INQ78" s="528"/>
      <c r="INR78" s="528"/>
      <c r="INS78" s="528"/>
      <c r="INT78" s="528"/>
      <c r="INU78" s="528"/>
      <c r="INV78" s="528"/>
      <c r="INW78" s="528"/>
      <c r="INX78" s="528"/>
      <c r="INY78" s="528"/>
      <c r="INZ78" s="528"/>
      <c r="IOA78" s="528"/>
      <c r="IOB78" s="528"/>
      <c r="IOC78" s="528"/>
      <c r="IOD78" s="528"/>
      <c r="IOE78" s="528"/>
      <c r="IOF78" s="528"/>
      <c r="IOG78" s="528"/>
      <c r="IOH78" s="528"/>
      <c r="IOI78" s="528"/>
      <c r="IOJ78" s="528"/>
      <c r="IOK78" s="528"/>
      <c r="IOL78" s="528"/>
      <c r="IOM78" s="528"/>
      <c r="ION78" s="528"/>
      <c r="IOO78" s="528"/>
      <c r="IOP78" s="528"/>
      <c r="IOQ78" s="528"/>
      <c r="IOR78" s="528"/>
      <c r="IOS78" s="528"/>
      <c r="IOT78" s="528"/>
      <c r="IOU78" s="528"/>
      <c r="IOV78" s="528"/>
      <c r="IOW78" s="528"/>
      <c r="IOX78" s="528"/>
      <c r="IOY78" s="528"/>
      <c r="IOZ78" s="528"/>
      <c r="IPA78" s="528"/>
      <c r="IPB78" s="528"/>
      <c r="IPC78" s="528"/>
      <c r="IPD78" s="528"/>
      <c r="IPE78" s="528"/>
      <c r="IPF78" s="528"/>
      <c r="IPG78" s="528"/>
      <c r="IPH78" s="528"/>
      <c r="IPI78" s="528"/>
      <c r="IPJ78" s="528"/>
      <c r="IPK78" s="528"/>
      <c r="IPL78" s="528"/>
      <c r="IPM78" s="528"/>
      <c r="IPN78" s="528"/>
      <c r="IPO78" s="528"/>
      <c r="IPP78" s="528"/>
      <c r="IPQ78" s="528"/>
      <c r="IPR78" s="528"/>
      <c r="IPS78" s="528"/>
      <c r="IPT78" s="528"/>
      <c r="IPU78" s="528"/>
      <c r="IPV78" s="528"/>
      <c r="IPW78" s="528"/>
      <c r="IPX78" s="528"/>
      <c r="IPY78" s="528"/>
      <c r="IPZ78" s="528"/>
      <c r="IQA78" s="528"/>
      <c r="IQB78" s="528"/>
      <c r="IQC78" s="528"/>
      <c r="IQD78" s="528"/>
      <c r="IQE78" s="528"/>
      <c r="IQF78" s="528"/>
      <c r="IQG78" s="528"/>
      <c r="IQH78" s="528"/>
      <c r="IQI78" s="528"/>
      <c r="IQJ78" s="528"/>
      <c r="IQK78" s="528"/>
      <c r="IQL78" s="528"/>
      <c r="IQM78" s="528"/>
      <c r="IQN78" s="528"/>
      <c r="IQO78" s="528"/>
      <c r="IQP78" s="528"/>
      <c r="IQQ78" s="528"/>
      <c r="IQR78" s="528"/>
      <c r="IQS78" s="528"/>
      <c r="IQT78" s="528"/>
      <c r="IQU78" s="528"/>
      <c r="IQV78" s="528"/>
      <c r="IQW78" s="528"/>
      <c r="IQX78" s="528"/>
      <c r="IQY78" s="528"/>
      <c r="IQZ78" s="528"/>
      <c r="IRA78" s="528"/>
      <c r="IRB78" s="528"/>
      <c r="IRC78" s="528"/>
      <c r="IRD78" s="528"/>
      <c r="IRE78" s="528"/>
      <c r="IRF78" s="528"/>
      <c r="IRG78" s="528"/>
      <c r="IRH78" s="528"/>
      <c r="IRI78" s="528"/>
      <c r="IRJ78" s="528"/>
      <c r="IRK78" s="528"/>
      <c r="IRL78" s="528"/>
      <c r="IRM78" s="528"/>
      <c r="IRN78" s="528"/>
      <c r="IRO78" s="528"/>
      <c r="IRP78" s="528"/>
      <c r="IRQ78" s="528"/>
      <c r="IRR78" s="528"/>
      <c r="IRS78" s="528"/>
      <c r="IRT78" s="528"/>
      <c r="IRU78" s="528"/>
      <c r="IRV78" s="528"/>
      <c r="IRW78" s="528"/>
      <c r="IRX78" s="528"/>
      <c r="IRY78" s="528"/>
      <c r="IRZ78" s="528"/>
      <c r="ISA78" s="528"/>
      <c r="ISB78" s="528"/>
      <c r="ISC78" s="528"/>
      <c r="ISD78" s="528"/>
      <c r="ISE78" s="528"/>
      <c r="ISF78" s="528"/>
      <c r="ISG78" s="528"/>
      <c r="ISH78" s="528"/>
      <c r="ISI78" s="528"/>
      <c r="ISJ78" s="528"/>
      <c r="ISK78" s="528"/>
      <c r="ISL78" s="528"/>
      <c r="ISM78" s="528"/>
      <c r="ISN78" s="528"/>
      <c r="ISO78" s="528"/>
      <c r="ISP78" s="528"/>
      <c r="ISQ78" s="528"/>
      <c r="ISR78" s="528"/>
      <c r="ISS78" s="528"/>
      <c r="IST78" s="528"/>
      <c r="ISU78" s="528"/>
      <c r="ISV78" s="528"/>
      <c r="ISW78" s="528"/>
      <c r="ISX78" s="528"/>
      <c r="ISY78" s="528"/>
      <c r="ISZ78" s="528"/>
      <c r="ITA78" s="528"/>
      <c r="ITB78" s="528"/>
      <c r="ITC78" s="528"/>
      <c r="ITD78" s="528"/>
      <c r="ITE78" s="528"/>
      <c r="ITF78" s="528"/>
      <c r="ITG78" s="528"/>
      <c r="ITH78" s="528"/>
      <c r="ITI78" s="528"/>
      <c r="ITJ78" s="528"/>
      <c r="ITK78" s="528"/>
      <c r="ITL78" s="528"/>
      <c r="ITM78" s="528"/>
      <c r="ITN78" s="528"/>
      <c r="ITO78" s="528"/>
      <c r="ITP78" s="528"/>
      <c r="ITQ78" s="528"/>
      <c r="ITR78" s="528"/>
      <c r="ITS78" s="528"/>
      <c r="ITT78" s="528"/>
      <c r="ITU78" s="528"/>
      <c r="ITV78" s="528"/>
      <c r="ITW78" s="528"/>
      <c r="ITX78" s="528"/>
      <c r="ITY78" s="528"/>
      <c r="ITZ78" s="528"/>
      <c r="IUA78" s="528"/>
      <c r="IUB78" s="528"/>
      <c r="IUC78" s="528"/>
      <c r="IUD78" s="528"/>
      <c r="IUE78" s="528"/>
      <c r="IUF78" s="528"/>
      <c r="IUG78" s="528"/>
      <c r="IUH78" s="528"/>
      <c r="IUI78" s="528"/>
      <c r="IUJ78" s="528"/>
      <c r="IUK78" s="528"/>
      <c r="IUL78" s="528"/>
      <c r="IUM78" s="528"/>
      <c r="IUN78" s="528"/>
      <c r="IUO78" s="528"/>
      <c r="IUP78" s="528"/>
      <c r="IUQ78" s="528"/>
      <c r="IUR78" s="528"/>
      <c r="IUS78" s="528"/>
      <c r="IUT78" s="528"/>
      <c r="IUU78" s="528"/>
      <c r="IUV78" s="528"/>
      <c r="IUW78" s="528"/>
      <c r="IUX78" s="528"/>
      <c r="IUY78" s="528"/>
      <c r="IUZ78" s="528"/>
      <c r="IVA78" s="528"/>
      <c r="IVB78" s="528"/>
      <c r="IVC78" s="528"/>
      <c r="IVD78" s="528"/>
      <c r="IVE78" s="528"/>
      <c r="IVF78" s="528"/>
      <c r="IVG78" s="528"/>
      <c r="IVH78" s="528"/>
      <c r="IVI78" s="528"/>
      <c r="IVJ78" s="528"/>
      <c r="IVK78" s="528"/>
      <c r="IVL78" s="528"/>
      <c r="IVM78" s="528"/>
      <c r="IVN78" s="528"/>
      <c r="IVO78" s="528"/>
      <c r="IVP78" s="528"/>
      <c r="IVQ78" s="528"/>
      <c r="IVR78" s="528"/>
      <c r="IVS78" s="528"/>
      <c r="IVT78" s="528"/>
      <c r="IVU78" s="528"/>
      <c r="IVV78" s="528"/>
      <c r="IVW78" s="528"/>
      <c r="IVX78" s="528"/>
      <c r="IVY78" s="528"/>
      <c r="IVZ78" s="528"/>
      <c r="IWA78" s="528"/>
      <c r="IWB78" s="528"/>
      <c r="IWC78" s="528"/>
      <c r="IWD78" s="528"/>
      <c r="IWE78" s="528"/>
      <c r="IWF78" s="528"/>
      <c r="IWG78" s="528"/>
      <c r="IWH78" s="528"/>
      <c r="IWI78" s="528"/>
      <c r="IWJ78" s="528"/>
      <c r="IWK78" s="528"/>
      <c r="IWL78" s="528"/>
      <c r="IWM78" s="528"/>
      <c r="IWN78" s="528"/>
      <c r="IWO78" s="528"/>
      <c r="IWP78" s="528"/>
      <c r="IWQ78" s="528"/>
      <c r="IWR78" s="528"/>
      <c r="IWS78" s="528"/>
      <c r="IWT78" s="528"/>
      <c r="IWU78" s="528"/>
      <c r="IWV78" s="528"/>
      <c r="IWW78" s="528"/>
      <c r="IWX78" s="528"/>
      <c r="IWY78" s="528"/>
      <c r="IWZ78" s="528"/>
      <c r="IXA78" s="528"/>
      <c r="IXB78" s="528"/>
      <c r="IXC78" s="528"/>
      <c r="IXD78" s="528"/>
      <c r="IXE78" s="528"/>
      <c r="IXF78" s="528"/>
      <c r="IXG78" s="528"/>
      <c r="IXH78" s="528"/>
      <c r="IXI78" s="528"/>
      <c r="IXJ78" s="528"/>
      <c r="IXK78" s="528"/>
      <c r="IXL78" s="528"/>
      <c r="IXM78" s="528"/>
      <c r="IXN78" s="528"/>
      <c r="IXO78" s="528"/>
      <c r="IXP78" s="528"/>
      <c r="IXQ78" s="528"/>
      <c r="IXR78" s="528"/>
      <c r="IXS78" s="528"/>
      <c r="IXT78" s="528"/>
      <c r="IXU78" s="528"/>
      <c r="IXV78" s="528"/>
      <c r="IXW78" s="528"/>
      <c r="IXX78" s="528"/>
      <c r="IXY78" s="528"/>
      <c r="IXZ78" s="528"/>
      <c r="IYA78" s="528"/>
      <c r="IYB78" s="528"/>
      <c r="IYC78" s="528"/>
      <c r="IYD78" s="528"/>
      <c r="IYE78" s="528"/>
      <c r="IYF78" s="528"/>
      <c r="IYG78" s="528"/>
      <c r="IYH78" s="528"/>
      <c r="IYI78" s="528"/>
      <c r="IYJ78" s="528"/>
      <c r="IYK78" s="528"/>
      <c r="IYL78" s="528"/>
      <c r="IYM78" s="528"/>
      <c r="IYN78" s="528"/>
      <c r="IYO78" s="528"/>
      <c r="IYP78" s="528"/>
      <c r="IYQ78" s="528"/>
      <c r="IYR78" s="528"/>
      <c r="IYS78" s="528"/>
      <c r="IYT78" s="528"/>
      <c r="IYU78" s="528"/>
      <c r="IYV78" s="528"/>
      <c r="IYW78" s="528"/>
      <c r="IYX78" s="528"/>
      <c r="IYY78" s="528"/>
      <c r="IYZ78" s="528"/>
      <c r="IZA78" s="528"/>
      <c r="IZB78" s="528"/>
      <c r="IZC78" s="528"/>
      <c r="IZD78" s="528"/>
      <c r="IZE78" s="528"/>
      <c r="IZF78" s="528"/>
      <c r="IZG78" s="528"/>
      <c r="IZH78" s="528"/>
      <c r="IZI78" s="528"/>
      <c r="IZJ78" s="528"/>
      <c r="IZK78" s="528"/>
      <c r="IZL78" s="528"/>
      <c r="IZM78" s="528"/>
      <c r="IZN78" s="528"/>
      <c r="IZO78" s="528"/>
      <c r="IZP78" s="528"/>
      <c r="IZQ78" s="528"/>
      <c r="IZR78" s="528"/>
      <c r="IZS78" s="528"/>
      <c r="IZT78" s="528"/>
      <c r="IZU78" s="528"/>
      <c r="IZV78" s="528"/>
      <c r="IZW78" s="528"/>
      <c r="IZX78" s="528"/>
      <c r="IZY78" s="528"/>
      <c r="IZZ78" s="528"/>
      <c r="JAA78" s="528"/>
      <c r="JAB78" s="528"/>
      <c r="JAC78" s="528"/>
      <c r="JAD78" s="528"/>
      <c r="JAE78" s="528"/>
      <c r="JAF78" s="528"/>
      <c r="JAG78" s="528"/>
      <c r="JAH78" s="528"/>
      <c r="JAI78" s="528"/>
      <c r="JAJ78" s="528"/>
      <c r="JAK78" s="528"/>
      <c r="JAL78" s="528"/>
      <c r="JAM78" s="528"/>
      <c r="JAN78" s="528"/>
      <c r="JAO78" s="528"/>
      <c r="JAP78" s="528"/>
      <c r="JAQ78" s="528"/>
      <c r="JAR78" s="528"/>
      <c r="JAS78" s="528"/>
      <c r="JAT78" s="528"/>
      <c r="JAU78" s="528"/>
      <c r="JAV78" s="528"/>
      <c r="JAW78" s="528"/>
      <c r="JAX78" s="528"/>
      <c r="JAY78" s="528"/>
      <c r="JAZ78" s="528"/>
      <c r="JBA78" s="528"/>
      <c r="JBB78" s="528"/>
      <c r="JBC78" s="528"/>
      <c r="JBD78" s="528"/>
      <c r="JBE78" s="528"/>
      <c r="JBF78" s="528"/>
      <c r="JBG78" s="528"/>
      <c r="JBH78" s="528"/>
      <c r="JBI78" s="528"/>
      <c r="JBJ78" s="528"/>
      <c r="JBK78" s="528"/>
      <c r="JBL78" s="528"/>
      <c r="JBM78" s="528"/>
      <c r="JBN78" s="528"/>
      <c r="JBO78" s="528"/>
      <c r="JBP78" s="528"/>
      <c r="JBQ78" s="528"/>
      <c r="JBR78" s="528"/>
      <c r="JBS78" s="528"/>
      <c r="JBT78" s="528"/>
      <c r="JBU78" s="528"/>
      <c r="JBV78" s="528"/>
      <c r="JBW78" s="528"/>
      <c r="JBX78" s="528"/>
      <c r="JBY78" s="528"/>
      <c r="JBZ78" s="528"/>
      <c r="JCA78" s="528"/>
      <c r="JCB78" s="528"/>
      <c r="JCC78" s="528"/>
      <c r="JCD78" s="528"/>
      <c r="JCE78" s="528"/>
      <c r="JCF78" s="528"/>
      <c r="JCG78" s="528"/>
      <c r="JCH78" s="528"/>
      <c r="JCI78" s="528"/>
      <c r="JCJ78" s="528"/>
      <c r="JCK78" s="528"/>
      <c r="JCL78" s="528"/>
      <c r="JCM78" s="528"/>
      <c r="JCN78" s="528"/>
      <c r="JCO78" s="528"/>
      <c r="JCP78" s="528"/>
      <c r="JCQ78" s="528"/>
      <c r="JCR78" s="528"/>
      <c r="JCS78" s="528"/>
      <c r="JCT78" s="528"/>
      <c r="JCU78" s="528"/>
      <c r="JCV78" s="528"/>
      <c r="JCW78" s="528"/>
      <c r="JCX78" s="528"/>
      <c r="JCY78" s="528"/>
      <c r="JCZ78" s="528"/>
      <c r="JDA78" s="528"/>
      <c r="JDB78" s="528"/>
      <c r="JDC78" s="528"/>
      <c r="JDD78" s="528"/>
      <c r="JDE78" s="528"/>
      <c r="JDF78" s="528"/>
      <c r="JDG78" s="528"/>
      <c r="JDH78" s="528"/>
      <c r="JDI78" s="528"/>
      <c r="JDJ78" s="528"/>
      <c r="JDK78" s="528"/>
      <c r="JDL78" s="528"/>
      <c r="JDM78" s="528"/>
      <c r="JDN78" s="528"/>
      <c r="JDO78" s="528"/>
      <c r="JDP78" s="528"/>
      <c r="JDQ78" s="528"/>
      <c r="JDR78" s="528"/>
      <c r="JDS78" s="528"/>
      <c r="JDT78" s="528"/>
      <c r="JDU78" s="528"/>
      <c r="JDV78" s="528"/>
      <c r="JDW78" s="528"/>
      <c r="JDX78" s="528"/>
      <c r="JDY78" s="528"/>
      <c r="JDZ78" s="528"/>
      <c r="JEA78" s="528"/>
      <c r="JEB78" s="528"/>
      <c r="JEC78" s="528"/>
      <c r="JED78" s="528"/>
      <c r="JEE78" s="528"/>
      <c r="JEF78" s="528"/>
      <c r="JEG78" s="528"/>
      <c r="JEH78" s="528"/>
      <c r="JEI78" s="528"/>
      <c r="JEJ78" s="528"/>
      <c r="JEK78" s="528"/>
      <c r="JEL78" s="528"/>
      <c r="JEM78" s="528"/>
      <c r="JEN78" s="528"/>
      <c r="JEO78" s="528"/>
      <c r="JEP78" s="528"/>
      <c r="JEQ78" s="528"/>
      <c r="JER78" s="528"/>
      <c r="JES78" s="528"/>
      <c r="JET78" s="528"/>
      <c r="JEU78" s="528"/>
      <c r="JEV78" s="528"/>
      <c r="JEW78" s="528"/>
      <c r="JEX78" s="528"/>
      <c r="JEY78" s="528"/>
      <c r="JEZ78" s="528"/>
      <c r="JFA78" s="528"/>
      <c r="JFB78" s="528"/>
      <c r="JFC78" s="528"/>
      <c r="JFD78" s="528"/>
      <c r="JFE78" s="528"/>
      <c r="JFF78" s="528"/>
      <c r="JFG78" s="528"/>
      <c r="JFH78" s="528"/>
      <c r="JFI78" s="528"/>
      <c r="JFJ78" s="528"/>
      <c r="JFK78" s="528"/>
      <c r="JFL78" s="528"/>
      <c r="JFM78" s="528"/>
      <c r="JFN78" s="528"/>
      <c r="JFO78" s="528"/>
      <c r="JFP78" s="528"/>
      <c r="JFQ78" s="528"/>
      <c r="JFR78" s="528"/>
      <c r="JFS78" s="528"/>
      <c r="JFT78" s="528"/>
      <c r="JFU78" s="528"/>
      <c r="JFV78" s="528"/>
      <c r="JFW78" s="528"/>
      <c r="JFX78" s="528"/>
      <c r="JFY78" s="528"/>
      <c r="JFZ78" s="528"/>
      <c r="JGA78" s="528"/>
      <c r="JGB78" s="528"/>
      <c r="JGC78" s="528"/>
      <c r="JGD78" s="528"/>
      <c r="JGE78" s="528"/>
      <c r="JGF78" s="528"/>
      <c r="JGG78" s="528"/>
      <c r="JGH78" s="528"/>
      <c r="JGI78" s="528"/>
      <c r="JGJ78" s="528"/>
      <c r="JGK78" s="528"/>
      <c r="JGL78" s="528"/>
      <c r="JGM78" s="528"/>
      <c r="JGN78" s="528"/>
      <c r="JGO78" s="528"/>
      <c r="JGP78" s="528"/>
      <c r="JGQ78" s="528"/>
      <c r="JGR78" s="528"/>
      <c r="JGS78" s="528"/>
      <c r="JGT78" s="528"/>
      <c r="JGU78" s="528"/>
      <c r="JGV78" s="528"/>
      <c r="JGW78" s="528"/>
      <c r="JGX78" s="528"/>
      <c r="JGY78" s="528"/>
      <c r="JGZ78" s="528"/>
      <c r="JHA78" s="528"/>
      <c r="JHB78" s="528"/>
      <c r="JHC78" s="528"/>
      <c r="JHD78" s="528"/>
      <c r="JHE78" s="528"/>
      <c r="JHF78" s="528"/>
      <c r="JHG78" s="528"/>
      <c r="JHH78" s="528"/>
      <c r="JHI78" s="528"/>
      <c r="JHJ78" s="528"/>
      <c r="JHK78" s="528"/>
      <c r="JHL78" s="528"/>
      <c r="JHM78" s="528"/>
      <c r="JHN78" s="528"/>
      <c r="JHO78" s="528"/>
      <c r="JHP78" s="528"/>
      <c r="JHQ78" s="528"/>
      <c r="JHR78" s="528"/>
      <c r="JHS78" s="528"/>
      <c r="JHT78" s="528"/>
      <c r="JHU78" s="528"/>
      <c r="JHV78" s="528"/>
      <c r="JHW78" s="528"/>
      <c r="JHX78" s="528"/>
      <c r="JHY78" s="528"/>
      <c r="JHZ78" s="528"/>
      <c r="JIA78" s="528"/>
      <c r="JIB78" s="528"/>
      <c r="JIC78" s="528"/>
      <c r="JID78" s="528"/>
      <c r="JIE78" s="528"/>
      <c r="JIF78" s="528"/>
      <c r="JIG78" s="528"/>
      <c r="JIH78" s="528"/>
      <c r="JII78" s="528"/>
      <c r="JIJ78" s="528"/>
      <c r="JIK78" s="528"/>
      <c r="JIL78" s="528"/>
      <c r="JIM78" s="528"/>
      <c r="JIN78" s="528"/>
      <c r="JIO78" s="528"/>
      <c r="JIP78" s="528"/>
      <c r="JIQ78" s="528"/>
      <c r="JIR78" s="528"/>
      <c r="JIS78" s="528"/>
      <c r="JIT78" s="528"/>
      <c r="JIU78" s="528"/>
      <c r="JIV78" s="528"/>
      <c r="JIW78" s="528"/>
      <c r="JIX78" s="528"/>
      <c r="JIY78" s="528"/>
      <c r="JIZ78" s="528"/>
      <c r="JJA78" s="528"/>
      <c r="JJB78" s="528"/>
      <c r="JJC78" s="528"/>
      <c r="JJD78" s="528"/>
      <c r="JJE78" s="528"/>
      <c r="JJF78" s="528"/>
      <c r="JJG78" s="528"/>
      <c r="JJH78" s="528"/>
      <c r="JJI78" s="528"/>
      <c r="JJJ78" s="528"/>
      <c r="JJK78" s="528"/>
      <c r="JJL78" s="528"/>
      <c r="JJM78" s="528"/>
      <c r="JJN78" s="528"/>
      <c r="JJO78" s="528"/>
      <c r="JJP78" s="528"/>
      <c r="JJQ78" s="528"/>
      <c r="JJR78" s="528"/>
      <c r="JJS78" s="528"/>
      <c r="JJT78" s="528"/>
      <c r="JJU78" s="528"/>
      <c r="JJV78" s="528"/>
      <c r="JJW78" s="528"/>
      <c r="JJX78" s="528"/>
      <c r="JJY78" s="528"/>
      <c r="JJZ78" s="528"/>
      <c r="JKA78" s="528"/>
      <c r="JKB78" s="528"/>
      <c r="JKC78" s="528"/>
      <c r="JKD78" s="528"/>
      <c r="JKE78" s="528"/>
      <c r="JKF78" s="528"/>
      <c r="JKG78" s="528"/>
      <c r="JKH78" s="528"/>
      <c r="JKI78" s="528"/>
      <c r="JKJ78" s="528"/>
      <c r="JKK78" s="528"/>
      <c r="JKL78" s="528"/>
      <c r="JKM78" s="528"/>
      <c r="JKN78" s="528"/>
      <c r="JKO78" s="528"/>
      <c r="JKP78" s="528"/>
      <c r="JKQ78" s="528"/>
      <c r="JKR78" s="528"/>
      <c r="JKS78" s="528"/>
      <c r="JKT78" s="528"/>
      <c r="JKU78" s="528"/>
      <c r="JKV78" s="528"/>
      <c r="JKW78" s="528"/>
      <c r="JKX78" s="528"/>
      <c r="JKY78" s="528"/>
      <c r="JKZ78" s="528"/>
      <c r="JLA78" s="528"/>
      <c r="JLB78" s="528"/>
      <c r="JLC78" s="528"/>
      <c r="JLD78" s="528"/>
      <c r="JLE78" s="528"/>
      <c r="JLF78" s="528"/>
      <c r="JLG78" s="528"/>
      <c r="JLH78" s="528"/>
      <c r="JLI78" s="528"/>
      <c r="JLJ78" s="528"/>
      <c r="JLK78" s="528"/>
      <c r="JLL78" s="528"/>
      <c r="JLM78" s="528"/>
      <c r="JLN78" s="528"/>
      <c r="JLO78" s="528"/>
      <c r="JLP78" s="528"/>
      <c r="JLQ78" s="528"/>
      <c r="JLR78" s="528"/>
      <c r="JLS78" s="528"/>
      <c r="JLT78" s="528"/>
      <c r="JLU78" s="528"/>
      <c r="JLV78" s="528"/>
      <c r="JLW78" s="528"/>
      <c r="JLX78" s="528"/>
      <c r="JLY78" s="528"/>
      <c r="JLZ78" s="528"/>
      <c r="JMA78" s="528"/>
      <c r="JMB78" s="528"/>
      <c r="JMC78" s="528"/>
      <c r="JMD78" s="528"/>
      <c r="JME78" s="528"/>
      <c r="JMF78" s="528"/>
      <c r="JMG78" s="528"/>
      <c r="JMH78" s="528"/>
      <c r="JMI78" s="528"/>
      <c r="JMJ78" s="528"/>
      <c r="JMK78" s="528"/>
      <c r="JML78" s="528"/>
      <c r="JMM78" s="528"/>
      <c r="JMN78" s="528"/>
      <c r="JMO78" s="528"/>
      <c r="JMP78" s="528"/>
      <c r="JMQ78" s="528"/>
      <c r="JMR78" s="528"/>
      <c r="JMS78" s="528"/>
      <c r="JMT78" s="528"/>
      <c r="JMU78" s="528"/>
      <c r="JMV78" s="528"/>
      <c r="JMW78" s="528"/>
      <c r="JMX78" s="528"/>
      <c r="JMY78" s="528"/>
      <c r="JMZ78" s="528"/>
      <c r="JNA78" s="528"/>
      <c r="JNB78" s="528"/>
      <c r="JNC78" s="528"/>
      <c r="JND78" s="528"/>
      <c r="JNE78" s="528"/>
      <c r="JNF78" s="528"/>
      <c r="JNG78" s="528"/>
      <c r="JNH78" s="528"/>
      <c r="JNI78" s="528"/>
      <c r="JNJ78" s="528"/>
      <c r="JNK78" s="528"/>
      <c r="JNL78" s="528"/>
      <c r="JNM78" s="528"/>
      <c r="JNN78" s="528"/>
      <c r="JNO78" s="528"/>
      <c r="JNP78" s="528"/>
      <c r="JNQ78" s="528"/>
      <c r="JNR78" s="528"/>
      <c r="JNS78" s="528"/>
      <c r="JNT78" s="528"/>
      <c r="JNU78" s="528"/>
      <c r="JNV78" s="528"/>
      <c r="JNW78" s="528"/>
      <c r="JNX78" s="528"/>
      <c r="JNY78" s="528"/>
      <c r="JNZ78" s="528"/>
      <c r="JOA78" s="528"/>
      <c r="JOB78" s="528"/>
      <c r="JOC78" s="528"/>
      <c r="JOD78" s="528"/>
      <c r="JOE78" s="528"/>
      <c r="JOF78" s="528"/>
      <c r="JOG78" s="528"/>
      <c r="JOH78" s="528"/>
      <c r="JOI78" s="528"/>
      <c r="JOJ78" s="528"/>
      <c r="JOK78" s="528"/>
      <c r="JOL78" s="528"/>
      <c r="JOM78" s="528"/>
      <c r="JON78" s="528"/>
      <c r="JOO78" s="528"/>
      <c r="JOP78" s="528"/>
      <c r="JOQ78" s="528"/>
      <c r="JOR78" s="528"/>
      <c r="JOS78" s="528"/>
      <c r="JOT78" s="528"/>
      <c r="JOU78" s="528"/>
      <c r="JOV78" s="528"/>
      <c r="JOW78" s="528"/>
      <c r="JOX78" s="528"/>
      <c r="JOY78" s="528"/>
      <c r="JOZ78" s="528"/>
      <c r="JPA78" s="528"/>
      <c r="JPB78" s="528"/>
      <c r="JPC78" s="528"/>
      <c r="JPD78" s="528"/>
      <c r="JPE78" s="528"/>
      <c r="JPF78" s="528"/>
      <c r="JPG78" s="528"/>
      <c r="JPH78" s="528"/>
      <c r="JPI78" s="528"/>
      <c r="JPJ78" s="528"/>
      <c r="JPK78" s="528"/>
      <c r="JPL78" s="528"/>
      <c r="JPM78" s="528"/>
      <c r="JPN78" s="528"/>
      <c r="JPO78" s="528"/>
      <c r="JPP78" s="528"/>
      <c r="JPQ78" s="528"/>
      <c r="JPR78" s="528"/>
      <c r="JPS78" s="528"/>
      <c r="JPT78" s="528"/>
      <c r="JPU78" s="528"/>
      <c r="JPV78" s="528"/>
      <c r="JPW78" s="528"/>
      <c r="JPX78" s="528"/>
      <c r="JPY78" s="528"/>
      <c r="JPZ78" s="528"/>
      <c r="JQA78" s="528"/>
      <c r="JQB78" s="528"/>
      <c r="JQC78" s="528"/>
      <c r="JQD78" s="528"/>
      <c r="JQE78" s="528"/>
      <c r="JQF78" s="528"/>
      <c r="JQG78" s="528"/>
      <c r="JQH78" s="528"/>
      <c r="JQI78" s="528"/>
      <c r="JQJ78" s="528"/>
      <c r="JQK78" s="528"/>
      <c r="JQL78" s="528"/>
      <c r="JQM78" s="528"/>
      <c r="JQN78" s="528"/>
      <c r="JQO78" s="528"/>
      <c r="JQP78" s="528"/>
      <c r="JQQ78" s="528"/>
      <c r="JQR78" s="528"/>
      <c r="JQS78" s="528"/>
      <c r="JQT78" s="528"/>
      <c r="JQU78" s="528"/>
      <c r="JQV78" s="528"/>
      <c r="JQW78" s="528"/>
      <c r="JQX78" s="528"/>
      <c r="JQY78" s="528"/>
      <c r="JQZ78" s="528"/>
      <c r="JRA78" s="528"/>
      <c r="JRB78" s="528"/>
      <c r="JRC78" s="528"/>
      <c r="JRD78" s="528"/>
      <c r="JRE78" s="528"/>
      <c r="JRF78" s="528"/>
      <c r="JRG78" s="528"/>
      <c r="JRH78" s="528"/>
      <c r="JRI78" s="528"/>
      <c r="JRJ78" s="528"/>
      <c r="JRK78" s="528"/>
      <c r="JRL78" s="528"/>
      <c r="JRM78" s="528"/>
      <c r="JRN78" s="528"/>
      <c r="JRO78" s="528"/>
      <c r="JRP78" s="528"/>
      <c r="JRQ78" s="528"/>
      <c r="JRR78" s="528"/>
      <c r="JRS78" s="528"/>
      <c r="JRT78" s="528"/>
      <c r="JRU78" s="528"/>
      <c r="JRV78" s="528"/>
      <c r="JRW78" s="528"/>
      <c r="JRX78" s="528"/>
      <c r="JRY78" s="528"/>
      <c r="JRZ78" s="528"/>
      <c r="JSA78" s="528"/>
      <c r="JSB78" s="528"/>
      <c r="JSC78" s="528"/>
      <c r="JSD78" s="528"/>
      <c r="JSE78" s="528"/>
      <c r="JSF78" s="528"/>
      <c r="JSG78" s="528"/>
      <c r="JSH78" s="528"/>
      <c r="JSI78" s="528"/>
      <c r="JSJ78" s="528"/>
      <c r="JSK78" s="528"/>
      <c r="JSL78" s="528"/>
      <c r="JSM78" s="528"/>
      <c r="JSN78" s="528"/>
      <c r="JSO78" s="528"/>
      <c r="JSP78" s="528"/>
      <c r="JSQ78" s="528"/>
      <c r="JSR78" s="528"/>
      <c r="JSS78" s="528"/>
      <c r="JST78" s="528"/>
      <c r="JSU78" s="528"/>
      <c r="JSV78" s="528"/>
      <c r="JSW78" s="528"/>
      <c r="JSX78" s="528"/>
      <c r="JSY78" s="528"/>
      <c r="JSZ78" s="528"/>
      <c r="JTA78" s="528"/>
      <c r="JTB78" s="528"/>
      <c r="JTC78" s="528"/>
      <c r="JTD78" s="528"/>
      <c r="JTE78" s="528"/>
      <c r="JTF78" s="528"/>
      <c r="JTG78" s="528"/>
      <c r="JTH78" s="528"/>
      <c r="JTI78" s="528"/>
      <c r="JTJ78" s="528"/>
      <c r="JTK78" s="528"/>
      <c r="JTL78" s="528"/>
      <c r="JTM78" s="528"/>
      <c r="JTN78" s="528"/>
      <c r="JTO78" s="528"/>
      <c r="JTP78" s="528"/>
      <c r="JTQ78" s="528"/>
      <c r="JTR78" s="528"/>
      <c r="JTS78" s="528"/>
      <c r="JTT78" s="528"/>
      <c r="JTU78" s="528"/>
      <c r="JTV78" s="528"/>
      <c r="JTW78" s="528"/>
      <c r="JTX78" s="528"/>
      <c r="JTY78" s="528"/>
      <c r="JTZ78" s="528"/>
      <c r="JUA78" s="528"/>
      <c r="JUB78" s="528"/>
      <c r="JUC78" s="528"/>
      <c r="JUD78" s="528"/>
      <c r="JUE78" s="528"/>
      <c r="JUF78" s="528"/>
      <c r="JUG78" s="528"/>
      <c r="JUH78" s="528"/>
      <c r="JUI78" s="528"/>
      <c r="JUJ78" s="528"/>
      <c r="JUK78" s="528"/>
      <c r="JUL78" s="528"/>
      <c r="JUM78" s="528"/>
      <c r="JUN78" s="528"/>
      <c r="JUO78" s="528"/>
      <c r="JUP78" s="528"/>
      <c r="JUQ78" s="528"/>
      <c r="JUR78" s="528"/>
      <c r="JUS78" s="528"/>
      <c r="JUT78" s="528"/>
      <c r="JUU78" s="528"/>
      <c r="JUV78" s="528"/>
      <c r="JUW78" s="528"/>
      <c r="JUX78" s="528"/>
      <c r="JUY78" s="528"/>
      <c r="JUZ78" s="528"/>
      <c r="JVA78" s="528"/>
      <c r="JVB78" s="528"/>
      <c r="JVC78" s="528"/>
      <c r="JVD78" s="528"/>
      <c r="JVE78" s="528"/>
      <c r="JVF78" s="528"/>
      <c r="JVG78" s="528"/>
      <c r="JVH78" s="528"/>
      <c r="JVI78" s="528"/>
      <c r="JVJ78" s="528"/>
      <c r="JVK78" s="528"/>
      <c r="JVL78" s="528"/>
      <c r="JVM78" s="528"/>
      <c r="JVN78" s="528"/>
      <c r="JVO78" s="528"/>
      <c r="JVP78" s="528"/>
      <c r="JVQ78" s="528"/>
      <c r="JVR78" s="528"/>
      <c r="JVS78" s="528"/>
      <c r="JVT78" s="528"/>
      <c r="JVU78" s="528"/>
      <c r="JVV78" s="528"/>
      <c r="JVW78" s="528"/>
      <c r="JVX78" s="528"/>
      <c r="JVY78" s="528"/>
      <c r="JVZ78" s="528"/>
      <c r="JWA78" s="528"/>
      <c r="JWB78" s="528"/>
      <c r="JWC78" s="528"/>
      <c r="JWD78" s="528"/>
      <c r="JWE78" s="528"/>
      <c r="JWF78" s="528"/>
      <c r="JWG78" s="528"/>
      <c r="JWH78" s="528"/>
      <c r="JWI78" s="528"/>
      <c r="JWJ78" s="528"/>
      <c r="JWK78" s="528"/>
      <c r="JWL78" s="528"/>
      <c r="JWM78" s="528"/>
      <c r="JWN78" s="528"/>
      <c r="JWO78" s="528"/>
      <c r="JWP78" s="528"/>
      <c r="JWQ78" s="528"/>
      <c r="JWR78" s="528"/>
      <c r="JWS78" s="528"/>
      <c r="JWT78" s="528"/>
      <c r="JWU78" s="528"/>
      <c r="JWV78" s="528"/>
      <c r="JWW78" s="528"/>
      <c r="JWX78" s="528"/>
      <c r="JWY78" s="528"/>
      <c r="JWZ78" s="528"/>
      <c r="JXA78" s="528"/>
      <c r="JXB78" s="528"/>
      <c r="JXC78" s="528"/>
      <c r="JXD78" s="528"/>
      <c r="JXE78" s="528"/>
      <c r="JXF78" s="528"/>
      <c r="JXG78" s="528"/>
      <c r="JXH78" s="528"/>
      <c r="JXI78" s="528"/>
      <c r="JXJ78" s="528"/>
      <c r="JXK78" s="528"/>
      <c r="JXL78" s="528"/>
      <c r="JXM78" s="528"/>
      <c r="JXN78" s="528"/>
      <c r="JXO78" s="528"/>
      <c r="JXP78" s="528"/>
      <c r="JXQ78" s="528"/>
      <c r="JXR78" s="528"/>
      <c r="JXS78" s="528"/>
      <c r="JXT78" s="528"/>
      <c r="JXU78" s="528"/>
      <c r="JXV78" s="528"/>
      <c r="JXW78" s="528"/>
      <c r="JXX78" s="528"/>
      <c r="JXY78" s="528"/>
      <c r="JXZ78" s="528"/>
      <c r="JYA78" s="528"/>
      <c r="JYB78" s="528"/>
      <c r="JYC78" s="528"/>
      <c r="JYD78" s="528"/>
      <c r="JYE78" s="528"/>
      <c r="JYF78" s="528"/>
      <c r="JYG78" s="528"/>
      <c r="JYH78" s="528"/>
      <c r="JYI78" s="528"/>
      <c r="JYJ78" s="528"/>
      <c r="JYK78" s="528"/>
      <c r="JYL78" s="528"/>
      <c r="JYM78" s="528"/>
      <c r="JYN78" s="528"/>
      <c r="JYO78" s="528"/>
      <c r="JYP78" s="528"/>
      <c r="JYQ78" s="528"/>
      <c r="JYR78" s="528"/>
      <c r="JYS78" s="528"/>
      <c r="JYT78" s="528"/>
      <c r="JYU78" s="528"/>
      <c r="JYV78" s="528"/>
      <c r="JYW78" s="528"/>
      <c r="JYX78" s="528"/>
      <c r="JYY78" s="528"/>
      <c r="JYZ78" s="528"/>
      <c r="JZA78" s="528"/>
      <c r="JZB78" s="528"/>
      <c r="JZC78" s="528"/>
      <c r="JZD78" s="528"/>
      <c r="JZE78" s="528"/>
      <c r="JZF78" s="528"/>
      <c r="JZG78" s="528"/>
      <c r="JZH78" s="528"/>
      <c r="JZI78" s="528"/>
      <c r="JZJ78" s="528"/>
      <c r="JZK78" s="528"/>
      <c r="JZL78" s="528"/>
      <c r="JZM78" s="528"/>
      <c r="JZN78" s="528"/>
      <c r="JZO78" s="528"/>
      <c r="JZP78" s="528"/>
      <c r="JZQ78" s="528"/>
      <c r="JZR78" s="528"/>
      <c r="JZS78" s="528"/>
      <c r="JZT78" s="528"/>
      <c r="JZU78" s="528"/>
      <c r="JZV78" s="528"/>
      <c r="JZW78" s="528"/>
      <c r="JZX78" s="528"/>
      <c r="JZY78" s="528"/>
      <c r="JZZ78" s="528"/>
      <c r="KAA78" s="528"/>
      <c r="KAB78" s="528"/>
      <c r="KAC78" s="528"/>
      <c r="KAD78" s="528"/>
      <c r="KAE78" s="528"/>
      <c r="KAF78" s="528"/>
      <c r="KAG78" s="528"/>
      <c r="KAH78" s="528"/>
      <c r="KAI78" s="528"/>
      <c r="KAJ78" s="528"/>
      <c r="KAK78" s="528"/>
      <c r="KAL78" s="528"/>
      <c r="KAM78" s="528"/>
      <c r="KAN78" s="528"/>
      <c r="KAO78" s="528"/>
      <c r="KAP78" s="528"/>
      <c r="KAQ78" s="528"/>
      <c r="KAR78" s="528"/>
      <c r="KAS78" s="528"/>
      <c r="KAT78" s="528"/>
      <c r="KAU78" s="528"/>
      <c r="KAV78" s="528"/>
      <c r="KAW78" s="528"/>
      <c r="KAX78" s="528"/>
      <c r="KAY78" s="528"/>
      <c r="KAZ78" s="528"/>
      <c r="KBA78" s="528"/>
      <c r="KBB78" s="528"/>
      <c r="KBC78" s="528"/>
      <c r="KBD78" s="528"/>
      <c r="KBE78" s="528"/>
      <c r="KBF78" s="528"/>
      <c r="KBG78" s="528"/>
      <c r="KBH78" s="528"/>
      <c r="KBI78" s="528"/>
      <c r="KBJ78" s="528"/>
      <c r="KBK78" s="528"/>
      <c r="KBL78" s="528"/>
      <c r="KBM78" s="528"/>
      <c r="KBN78" s="528"/>
      <c r="KBO78" s="528"/>
      <c r="KBP78" s="528"/>
      <c r="KBQ78" s="528"/>
      <c r="KBR78" s="528"/>
      <c r="KBS78" s="528"/>
      <c r="KBT78" s="528"/>
      <c r="KBU78" s="528"/>
      <c r="KBV78" s="528"/>
      <c r="KBW78" s="528"/>
      <c r="KBX78" s="528"/>
      <c r="KBY78" s="528"/>
      <c r="KBZ78" s="528"/>
      <c r="KCA78" s="528"/>
      <c r="KCB78" s="528"/>
      <c r="KCC78" s="528"/>
      <c r="KCD78" s="528"/>
      <c r="KCE78" s="528"/>
      <c r="KCF78" s="528"/>
      <c r="KCG78" s="528"/>
      <c r="KCH78" s="528"/>
      <c r="KCI78" s="528"/>
      <c r="KCJ78" s="528"/>
      <c r="KCK78" s="528"/>
      <c r="KCL78" s="528"/>
      <c r="KCM78" s="528"/>
      <c r="KCN78" s="528"/>
      <c r="KCO78" s="528"/>
      <c r="KCP78" s="528"/>
      <c r="KCQ78" s="528"/>
      <c r="KCR78" s="528"/>
      <c r="KCS78" s="528"/>
      <c r="KCT78" s="528"/>
      <c r="KCU78" s="528"/>
      <c r="KCV78" s="528"/>
      <c r="KCW78" s="528"/>
      <c r="KCX78" s="528"/>
      <c r="KCY78" s="528"/>
      <c r="KCZ78" s="528"/>
      <c r="KDA78" s="528"/>
      <c r="KDB78" s="528"/>
      <c r="KDC78" s="528"/>
      <c r="KDD78" s="528"/>
      <c r="KDE78" s="528"/>
      <c r="KDF78" s="528"/>
      <c r="KDG78" s="528"/>
      <c r="KDH78" s="528"/>
      <c r="KDI78" s="528"/>
      <c r="KDJ78" s="528"/>
      <c r="KDK78" s="528"/>
      <c r="KDL78" s="528"/>
      <c r="KDM78" s="528"/>
      <c r="KDN78" s="528"/>
      <c r="KDO78" s="528"/>
      <c r="KDP78" s="528"/>
      <c r="KDQ78" s="528"/>
      <c r="KDR78" s="528"/>
      <c r="KDS78" s="528"/>
      <c r="KDT78" s="528"/>
      <c r="KDU78" s="528"/>
      <c r="KDV78" s="528"/>
      <c r="KDW78" s="528"/>
      <c r="KDX78" s="528"/>
      <c r="KDY78" s="528"/>
      <c r="KDZ78" s="528"/>
      <c r="KEA78" s="528"/>
      <c r="KEB78" s="528"/>
      <c r="KEC78" s="528"/>
      <c r="KED78" s="528"/>
      <c r="KEE78" s="528"/>
      <c r="KEF78" s="528"/>
      <c r="KEG78" s="528"/>
      <c r="KEH78" s="528"/>
      <c r="KEI78" s="528"/>
      <c r="KEJ78" s="528"/>
      <c r="KEK78" s="528"/>
      <c r="KEL78" s="528"/>
      <c r="KEM78" s="528"/>
      <c r="KEN78" s="528"/>
      <c r="KEO78" s="528"/>
      <c r="KEP78" s="528"/>
      <c r="KEQ78" s="528"/>
      <c r="KER78" s="528"/>
      <c r="KES78" s="528"/>
      <c r="KET78" s="528"/>
      <c r="KEU78" s="528"/>
      <c r="KEV78" s="528"/>
      <c r="KEW78" s="528"/>
      <c r="KEX78" s="528"/>
      <c r="KEY78" s="528"/>
      <c r="KEZ78" s="528"/>
      <c r="KFA78" s="528"/>
      <c r="KFB78" s="528"/>
      <c r="KFC78" s="528"/>
      <c r="KFD78" s="528"/>
      <c r="KFE78" s="528"/>
      <c r="KFF78" s="528"/>
      <c r="KFG78" s="528"/>
      <c r="KFH78" s="528"/>
      <c r="KFI78" s="528"/>
      <c r="KFJ78" s="528"/>
      <c r="KFK78" s="528"/>
      <c r="KFL78" s="528"/>
      <c r="KFM78" s="528"/>
      <c r="KFN78" s="528"/>
      <c r="KFO78" s="528"/>
      <c r="KFP78" s="528"/>
      <c r="KFQ78" s="528"/>
      <c r="KFR78" s="528"/>
      <c r="KFS78" s="528"/>
      <c r="KFT78" s="528"/>
      <c r="KFU78" s="528"/>
      <c r="KFV78" s="528"/>
      <c r="KFW78" s="528"/>
      <c r="KFX78" s="528"/>
      <c r="KFY78" s="528"/>
      <c r="KFZ78" s="528"/>
      <c r="KGA78" s="528"/>
      <c r="KGB78" s="528"/>
      <c r="KGC78" s="528"/>
      <c r="KGD78" s="528"/>
      <c r="KGE78" s="528"/>
      <c r="KGF78" s="528"/>
      <c r="KGG78" s="528"/>
      <c r="KGH78" s="528"/>
      <c r="KGI78" s="528"/>
      <c r="KGJ78" s="528"/>
      <c r="KGK78" s="528"/>
      <c r="KGL78" s="528"/>
      <c r="KGM78" s="528"/>
      <c r="KGN78" s="528"/>
      <c r="KGO78" s="528"/>
      <c r="KGP78" s="528"/>
      <c r="KGQ78" s="528"/>
      <c r="KGR78" s="528"/>
      <c r="KGS78" s="528"/>
      <c r="KGT78" s="528"/>
      <c r="KGU78" s="528"/>
      <c r="KGV78" s="528"/>
      <c r="KGW78" s="528"/>
      <c r="KGX78" s="528"/>
      <c r="KGY78" s="528"/>
      <c r="KGZ78" s="528"/>
      <c r="KHA78" s="528"/>
      <c r="KHB78" s="528"/>
      <c r="KHC78" s="528"/>
      <c r="KHD78" s="528"/>
      <c r="KHE78" s="528"/>
      <c r="KHF78" s="528"/>
      <c r="KHG78" s="528"/>
      <c r="KHH78" s="528"/>
      <c r="KHI78" s="528"/>
      <c r="KHJ78" s="528"/>
      <c r="KHK78" s="528"/>
      <c r="KHL78" s="528"/>
      <c r="KHM78" s="528"/>
      <c r="KHN78" s="528"/>
      <c r="KHO78" s="528"/>
      <c r="KHP78" s="528"/>
      <c r="KHQ78" s="528"/>
      <c r="KHR78" s="528"/>
      <c r="KHS78" s="528"/>
      <c r="KHT78" s="528"/>
      <c r="KHU78" s="528"/>
      <c r="KHV78" s="528"/>
      <c r="KHW78" s="528"/>
      <c r="KHX78" s="528"/>
      <c r="KHY78" s="528"/>
      <c r="KHZ78" s="528"/>
      <c r="KIA78" s="528"/>
      <c r="KIB78" s="528"/>
      <c r="KIC78" s="528"/>
      <c r="KID78" s="528"/>
      <c r="KIE78" s="528"/>
      <c r="KIF78" s="528"/>
      <c r="KIG78" s="528"/>
      <c r="KIH78" s="528"/>
      <c r="KII78" s="528"/>
      <c r="KIJ78" s="528"/>
      <c r="KIK78" s="528"/>
      <c r="KIL78" s="528"/>
      <c r="KIM78" s="528"/>
      <c r="KIN78" s="528"/>
      <c r="KIO78" s="528"/>
      <c r="KIP78" s="528"/>
      <c r="KIQ78" s="528"/>
      <c r="KIR78" s="528"/>
      <c r="KIS78" s="528"/>
      <c r="KIT78" s="528"/>
      <c r="KIU78" s="528"/>
      <c r="KIV78" s="528"/>
      <c r="KIW78" s="528"/>
      <c r="KIX78" s="528"/>
      <c r="KIY78" s="528"/>
      <c r="KIZ78" s="528"/>
      <c r="KJA78" s="528"/>
      <c r="KJB78" s="528"/>
      <c r="KJC78" s="528"/>
      <c r="KJD78" s="528"/>
      <c r="KJE78" s="528"/>
      <c r="KJF78" s="528"/>
      <c r="KJG78" s="528"/>
      <c r="KJH78" s="528"/>
      <c r="KJI78" s="528"/>
      <c r="KJJ78" s="528"/>
      <c r="KJK78" s="528"/>
      <c r="KJL78" s="528"/>
      <c r="KJM78" s="528"/>
      <c r="KJN78" s="528"/>
      <c r="KJO78" s="528"/>
      <c r="KJP78" s="528"/>
      <c r="KJQ78" s="528"/>
      <c r="KJR78" s="528"/>
      <c r="KJS78" s="528"/>
      <c r="KJT78" s="528"/>
      <c r="KJU78" s="528"/>
      <c r="KJV78" s="528"/>
      <c r="KJW78" s="528"/>
      <c r="KJX78" s="528"/>
      <c r="KJY78" s="528"/>
      <c r="KJZ78" s="528"/>
      <c r="KKA78" s="528"/>
      <c r="KKB78" s="528"/>
      <c r="KKC78" s="528"/>
      <c r="KKD78" s="528"/>
      <c r="KKE78" s="528"/>
      <c r="KKF78" s="528"/>
      <c r="KKG78" s="528"/>
      <c r="KKH78" s="528"/>
      <c r="KKI78" s="528"/>
      <c r="KKJ78" s="528"/>
      <c r="KKK78" s="528"/>
      <c r="KKL78" s="528"/>
      <c r="KKM78" s="528"/>
      <c r="KKN78" s="528"/>
      <c r="KKO78" s="528"/>
      <c r="KKP78" s="528"/>
      <c r="KKQ78" s="528"/>
      <c r="KKR78" s="528"/>
      <c r="KKS78" s="528"/>
      <c r="KKT78" s="528"/>
      <c r="KKU78" s="528"/>
      <c r="KKV78" s="528"/>
      <c r="KKW78" s="528"/>
      <c r="KKX78" s="528"/>
      <c r="KKY78" s="528"/>
      <c r="KKZ78" s="528"/>
      <c r="KLA78" s="528"/>
      <c r="KLB78" s="528"/>
      <c r="KLC78" s="528"/>
      <c r="KLD78" s="528"/>
      <c r="KLE78" s="528"/>
      <c r="KLF78" s="528"/>
      <c r="KLG78" s="528"/>
      <c r="KLH78" s="528"/>
      <c r="KLI78" s="528"/>
      <c r="KLJ78" s="528"/>
      <c r="KLK78" s="528"/>
      <c r="KLL78" s="528"/>
      <c r="KLM78" s="528"/>
      <c r="KLN78" s="528"/>
      <c r="KLO78" s="528"/>
      <c r="KLP78" s="528"/>
      <c r="KLQ78" s="528"/>
      <c r="KLR78" s="528"/>
      <c r="KLS78" s="528"/>
      <c r="KLT78" s="528"/>
      <c r="KLU78" s="528"/>
      <c r="KLV78" s="528"/>
      <c r="KLW78" s="528"/>
      <c r="KLX78" s="528"/>
      <c r="KLY78" s="528"/>
      <c r="KLZ78" s="528"/>
      <c r="KMA78" s="528"/>
      <c r="KMB78" s="528"/>
      <c r="KMC78" s="528"/>
      <c r="KMD78" s="528"/>
      <c r="KME78" s="528"/>
      <c r="KMF78" s="528"/>
      <c r="KMG78" s="528"/>
      <c r="KMH78" s="528"/>
      <c r="KMI78" s="528"/>
      <c r="KMJ78" s="528"/>
      <c r="KMK78" s="528"/>
      <c r="KML78" s="528"/>
      <c r="KMM78" s="528"/>
      <c r="KMN78" s="528"/>
      <c r="KMO78" s="528"/>
      <c r="KMP78" s="528"/>
      <c r="KMQ78" s="528"/>
      <c r="KMR78" s="528"/>
      <c r="KMS78" s="528"/>
      <c r="KMT78" s="528"/>
      <c r="KMU78" s="528"/>
      <c r="KMV78" s="528"/>
      <c r="KMW78" s="528"/>
      <c r="KMX78" s="528"/>
      <c r="KMY78" s="528"/>
      <c r="KMZ78" s="528"/>
      <c r="KNA78" s="528"/>
      <c r="KNB78" s="528"/>
      <c r="KNC78" s="528"/>
      <c r="KND78" s="528"/>
      <c r="KNE78" s="528"/>
      <c r="KNF78" s="528"/>
      <c r="KNG78" s="528"/>
      <c r="KNH78" s="528"/>
      <c r="KNI78" s="528"/>
      <c r="KNJ78" s="528"/>
      <c r="KNK78" s="528"/>
      <c r="KNL78" s="528"/>
      <c r="KNM78" s="528"/>
      <c r="KNN78" s="528"/>
      <c r="KNO78" s="528"/>
      <c r="KNP78" s="528"/>
      <c r="KNQ78" s="528"/>
      <c r="KNR78" s="528"/>
      <c r="KNS78" s="528"/>
      <c r="KNT78" s="528"/>
      <c r="KNU78" s="528"/>
      <c r="KNV78" s="528"/>
      <c r="KNW78" s="528"/>
      <c r="KNX78" s="528"/>
      <c r="KNY78" s="528"/>
      <c r="KNZ78" s="528"/>
      <c r="KOA78" s="528"/>
      <c r="KOB78" s="528"/>
      <c r="KOC78" s="528"/>
      <c r="KOD78" s="528"/>
      <c r="KOE78" s="528"/>
      <c r="KOF78" s="528"/>
      <c r="KOG78" s="528"/>
      <c r="KOH78" s="528"/>
      <c r="KOI78" s="528"/>
      <c r="KOJ78" s="528"/>
      <c r="KOK78" s="528"/>
      <c r="KOL78" s="528"/>
      <c r="KOM78" s="528"/>
      <c r="KON78" s="528"/>
      <c r="KOO78" s="528"/>
      <c r="KOP78" s="528"/>
      <c r="KOQ78" s="528"/>
      <c r="KOR78" s="528"/>
      <c r="KOS78" s="528"/>
      <c r="KOT78" s="528"/>
      <c r="KOU78" s="528"/>
      <c r="KOV78" s="528"/>
      <c r="KOW78" s="528"/>
      <c r="KOX78" s="528"/>
      <c r="KOY78" s="528"/>
      <c r="KOZ78" s="528"/>
      <c r="KPA78" s="528"/>
      <c r="KPB78" s="528"/>
      <c r="KPC78" s="528"/>
      <c r="KPD78" s="528"/>
      <c r="KPE78" s="528"/>
      <c r="KPF78" s="528"/>
      <c r="KPG78" s="528"/>
      <c r="KPH78" s="528"/>
      <c r="KPI78" s="528"/>
      <c r="KPJ78" s="528"/>
      <c r="KPK78" s="528"/>
      <c r="KPL78" s="528"/>
      <c r="KPM78" s="528"/>
      <c r="KPN78" s="528"/>
      <c r="KPO78" s="528"/>
      <c r="KPP78" s="528"/>
      <c r="KPQ78" s="528"/>
      <c r="KPR78" s="528"/>
      <c r="KPS78" s="528"/>
      <c r="KPT78" s="528"/>
      <c r="KPU78" s="528"/>
      <c r="KPV78" s="528"/>
      <c r="KPW78" s="528"/>
      <c r="KPX78" s="528"/>
      <c r="KPY78" s="528"/>
      <c r="KPZ78" s="528"/>
      <c r="KQA78" s="528"/>
      <c r="KQB78" s="528"/>
      <c r="KQC78" s="528"/>
      <c r="KQD78" s="528"/>
      <c r="KQE78" s="528"/>
      <c r="KQF78" s="528"/>
      <c r="KQG78" s="528"/>
      <c r="KQH78" s="528"/>
      <c r="KQI78" s="528"/>
      <c r="KQJ78" s="528"/>
      <c r="KQK78" s="528"/>
      <c r="KQL78" s="528"/>
      <c r="KQM78" s="528"/>
      <c r="KQN78" s="528"/>
      <c r="KQO78" s="528"/>
      <c r="KQP78" s="528"/>
      <c r="KQQ78" s="528"/>
      <c r="KQR78" s="528"/>
      <c r="KQS78" s="528"/>
      <c r="KQT78" s="528"/>
      <c r="KQU78" s="528"/>
      <c r="KQV78" s="528"/>
      <c r="KQW78" s="528"/>
      <c r="KQX78" s="528"/>
      <c r="KQY78" s="528"/>
      <c r="KQZ78" s="528"/>
      <c r="KRA78" s="528"/>
      <c r="KRB78" s="528"/>
      <c r="KRC78" s="528"/>
      <c r="KRD78" s="528"/>
      <c r="KRE78" s="528"/>
      <c r="KRF78" s="528"/>
      <c r="KRG78" s="528"/>
      <c r="KRH78" s="528"/>
      <c r="KRI78" s="528"/>
      <c r="KRJ78" s="528"/>
      <c r="KRK78" s="528"/>
      <c r="KRL78" s="528"/>
      <c r="KRM78" s="528"/>
      <c r="KRN78" s="528"/>
      <c r="KRO78" s="528"/>
      <c r="KRP78" s="528"/>
      <c r="KRQ78" s="528"/>
      <c r="KRR78" s="528"/>
      <c r="KRS78" s="528"/>
      <c r="KRT78" s="528"/>
      <c r="KRU78" s="528"/>
      <c r="KRV78" s="528"/>
      <c r="KRW78" s="528"/>
      <c r="KRX78" s="528"/>
      <c r="KRY78" s="528"/>
      <c r="KRZ78" s="528"/>
      <c r="KSA78" s="528"/>
      <c r="KSB78" s="528"/>
      <c r="KSC78" s="528"/>
      <c r="KSD78" s="528"/>
      <c r="KSE78" s="528"/>
      <c r="KSF78" s="528"/>
      <c r="KSG78" s="528"/>
      <c r="KSH78" s="528"/>
      <c r="KSI78" s="528"/>
      <c r="KSJ78" s="528"/>
      <c r="KSK78" s="528"/>
      <c r="KSL78" s="528"/>
      <c r="KSM78" s="528"/>
      <c r="KSN78" s="528"/>
      <c r="KSO78" s="528"/>
      <c r="KSP78" s="528"/>
      <c r="KSQ78" s="528"/>
      <c r="KSR78" s="528"/>
      <c r="KSS78" s="528"/>
      <c r="KST78" s="528"/>
      <c r="KSU78" s="528"/>
      <c r="KSV78" s="528"/>
      <c r="KSW78" s="528"/>
      <c r="KSX78" s="528"/>
      <c r="KSY78" s="528"/>
      <c r="KSZ78" s="528"/>
      <c r="KTA78" s="528"/>
      <c r="KTB78" s="528"/>
      <c r="KTC78" s="528"/>
      <c r="KTD78" s="528"/>
      <c r="KTE78" s="528"/>
      <c r="KTF78" s="528"/>
      <c r="KTG78" s="528"/>
      <c r="KTH78" s="528"/>
      <c r="KTI78" s="528"/>
      <c r="KTJ78" s="528"/>
      <c r="KTK78" s="528"/>
      <c r="KTL78" s="528"/>
      <c r="KTM78" s="528"/>
      <c r="KTN78" s="528"/>
      <c r="KTO78" s="528"/>
      <c r="KTP78" s="528"/>
      <c r="KTQ78" s="528"/>
      <c r="KTR78" s="528"/>
      <c r="KTS78" s="528"/>
      <c r="KTT78" s="528"/>
      <c r="KTU78" s="528"/>
      <c r="KTV78" s="528"/>
      <c r="KTW78" s="528"/>
      <c r="KTX78" s="528"/>
      <c r="KTY78" s="528"/>
      <c r="KTZ78" s="528"/>
      <c r="KUA78" s="528"/>
      <c r="KUB78" s="528"/>
      <c r="KUC78" s="528"/>
      <c r="KUD78" s="528"/>
      <c r="KUE78" s="528"/>
      <c r="KUF78" s="528"/>
      <c r="KUG78" s="528"/>
      <c r="KUH78" s="528"/>
      <c r="KUI78" s="528"/>
      <c r="KUJ78" s="528"/>
      <c r="KUK78" s="528"/>
      <c r="KUL78" s="528"/>
      <c r="KUM78" s="528"/>
      <c r="KUN78" s="528"/>
      <c r="KUO78" s="528"/>
      <c r="KUP78" s="528"/>
      <c r="KUQ78" s="528"/>
      <c r="KUR78" s="528"/>
      <c r="KUS78" s="528"/>
      <c r="KUT78" s="528"/>
      <c r="KUU78" s="528"/>
      <c r="KUV78" s="528"/>
      <c r="KUW78" s="528"/>
      <c r="KUX78" s="528"/>
      <c r="KUY78" s="528"/>
      <c r="KUZ78" s="528"/>
      <c r="KVA78" s="528"/>
      <c r="KVB78" s="528"/>
      <c r="KVC78" s="528"/>
      <c r="KVD78" s="528"/>
      <c r="KVE78" s="528"/>
      <c r="KVF78" s="528"/>
      <c r="KVG78" s="528"/>
      <c r="KVH78" s="528"/>
      <c r="KVI78" s="528"/>
      <c r="KVJ78" s="528"/>
      <c r="KVK78" s="528"/>
      <c r="KVL78" s="528"/>
      <c r="KVM78" s="528"/>
      <c r="KVN78" s="528"/>
      <c r="KVO78" s="528"/>
      <c r="KVP78" s="528"/>
      <c r="KVQ78" s="528"/>
      <c r="KVR78" s="528"/>
      <c r="KVS78" s="528"/>
      <c r="KVT78" s="528"/>
      <c r="KVU78" s="528"/>
      <c r="KVV78" s="528"/>
      <c r="KVW78" s="528"/>
      <c r="KVX78" s="528"/>
      <c r="KVY78" s="528"/>
      <c r="KVZ78" s="528"/>
      <c r="KWA78" s="528"/>
      <c r="KWB78" s="528"/>
      <c r="KWC78" s="528"/>
      <c r="KWD78" s="528"/>
      <c r="KWE78" s="528"/>
      <c r="KWF78" s="528"/>
      <c r="KWG78" s="528"/>
      <c r="KWH78" s="528"/>
      <c r="KWI78" s="528"/>
      <c r="KWJ78" s="528"/>
      <c r="KWK78" s="528"/>
      <c r="KWL78" s="528"/>
      <c r="KWM78" s="528"/>
      <c r="KWN78" s="528"/>
      <c r="KWO78" s="528"/>
      <c r="KWP78" s="528"/>
      <c r="KWQ78" s="528"/>
      <c r="KWR78" s="528"/>
      <c r="KWS78" s="528"/>
      <c r="KWT78" s="528"/>
      <c r="KWU78" s="528"/>
      <c r="KWV78" s="528"/>
      <c r="KWW78" s="528"/>
      <c r="KWX78" s="528"/>
      <c r="KWY78" s="528"/>
      <c r="KWZ78" s="528"/>
      <c r="KXA78" s="528"/>
      <c r="KXB78" s="528"/>
      <c r="KXC78" s="528"/>
      <c r="KXD78" s="528"/>
      <c r="KXE78" s="528"/>
      <c r="KXF78" s="528"/>
      <c r="KXG78" s="528"/>
      <c r="KXH78" s="528"/>
      <c r="KXI78" s="528"/>
      <c r="KXJ78" s="528"/>
      <c r="KXK78" s="528"/>
      <c r="KXL78" s="528"/>
      <c r="KXM78" s="528"/>
      <c r="KXN78" s="528"/>
      <c r="KXO78" s="528"/>
      <c r="KXP78" s="528"/>
      <c r="KXQ78" s="528"/>
      <c r="KXR78" s="528"/>
      <c r="KXS78" s="528"/>
      <c r="KXT78" s="528"/>
      <c r="KXU78" s="528"/>
      <c r="KXV78" s="528"/>
      <c r="KXW78" s="528"/>
      <c r="KXX78" s="528"/>
      <c r="KXY78" s="528"/>
      <c r="KXZ78" s="528"/>
      <c r="KYA78" s="528"/>
      <c r="KYB78" s="528"/>
      <c r="KYC78" s="528"/>
      <c r="KYD78" s="528"/>
      <c r="KYE78" s="528"/>
      <c r="KYF78" s="528"/>
      <c r="KYG78" s="528"/>
      <c r="KYH78" s="528"/>
      <c r="KYI78" s="528"/>
      <c r="KYJ78" s="528"/>
      <c r="KYK78" s="528"/>
      <c r="KYL78" s="528"/>
      <c r="KYM78" s="528"/>
      <c r="KYN78" s="528"/>
      <c r="KYO78" s="528"/>
      <c r="KYP78" s="528"/>
      <c r="KYQ78" s="528"/>
      <c r="KYR78" s="528"/>
      <c r="KYS78" s="528"/>
      <c r="KYT78" s="528"/>
      <c r="KYU78" s="528"/>
      <c r="KYV78" s="528"/>
      <c r="KYW78" s="528"/>
      <c r="KYX78" s="528"/>
      <c r="KYY78" s="528"/>
      <c r="KYZ78" s="528"/>
      <c r="KZA78" s="528"/>
      <c r="KZB78" s="528"/>
      <c r="KZC78" s="528"/>
      <c r="KZD78" s="528"/>
      <c r="KZE78" s="528"/>
      <c r="KZF78" s="528"/>
      <c r="KZG78" s="528"/>
      <c r="KZH78" s="528"/>
      <c r="KZI78" s="528"/>
      <c r="KZJ78" s="528"/>
      <c r="KZK78" s="528"/>
      <c r="KZL78" s="528"/>
      <c r="KZM78" s="528"/>
      <c r="KZN78" s="528"/>
      <c r="KZO78" s="528"/>
      <c r="KZP78" s="528"/>
      <c r="KZQ78" s="528"/>
      <c r="KZR78" s="528"/>
      <c r="KZS78" s="528"/>
      <c r="KZT78" s="528"/>
      <c r="KZU78" s="528"/>
      <c r="KZV78" s="528"/>
      <c r="KZW78" s="528"/>
      <c r="KZX78" s="528"/>
      <c r="KZY78" s="528"/>
      <c r="KZZ78" s="528"/>
      <c r="LAA78" s="528"/>
      <c r="LAB78" s="528"/>
      <c r="LAC78" s="528"/>
      <c r="LAD78" s="528"/>
      <c r="LAE78" s="528"/>
      <c r="LAF78" s="528"/>
      <c r="LAG78" s="528"/>
      <c r="LAH78" s="528"/>
      <c r="LAI78" s="528"/>
      <c r="LAJ78" s="528"/>
      <c r="LAK78" s="528"/>
      <c r="LAL78" s="528"/>
      <c r="LAM78" s="528"/>
      <c r="LAN78" s="528"/>
      <c r="LAO78" s="528"/>
      <c r="LAP78" s="528"/>
      <c r="LAQ78" s="528"/>
      <c r="LAR78" s="528"/>
      <c r="LAS78" s="528"/>
      <c r="LAT78" s="528"/>
      <c r="LAU78" s="528"/>
      <c r="LAV78" s="528"/>
      <c r="LAW78" s="528"/>
      <c r="LAX78" s="528"/>
      <c r="LAY78" s="528"/>
      <c r="LAZ78" s="528"/>
      <c r="LBA78" s="528"/>
      <c r="LBB78" s="528"/>
      <c r="LBC78" s="528"/>
      <c r="LBD78" s="528"/>
      <c r="LBE78" s="528"/>
      <c r="LBF78" s="528"/>
      <c r="LBG78" s="528"/>
      <c r="LBH78" s="528"/>
      <c r="LBI78" s="528"/>
      <c r="LBJ78" s="528"/>
      <c r="LBK78" s="528"/>
      <c r="LBL78" s="528"/>
      <c r="LBM78" s="528"/>
      <c r="LBN78" s="528"/>
      <c r="LBO78" s="528"/>
      <c r="LBP78" s="528"/>
      <c r="LBQ78" s="528"/>
      <c r="LBR78" s="528"/>
      <c r="LBS78" s="528"/>
      <c r="LBT78" s="528"/>
      <c r="LBU78" s="528"/>
      <c r="LBV78" s="528"/>
      <c r="LBW78" s="528"/>
      <c r="LBX78" s="528"/>
      <c r="LBY78" s="528"/>
      <c r="LBZ78" s="528"/>
      <c r="LCA78" s="528"/>
      <c r="LCB78" s="528"/>
      <c r="LCC78" s="528"/>
      <c r="LCD78" s="528"/>
      <c r="LCE78" s="528"/>
      <c r="LCF78" s="528"/>
      <c r="LCG78" s="528"/>
      <c r="LCH78" s="528"/>
      <c r="LCI78" s="528"/>
      <c r="LCJ78" s="528"/>
      <c r="LCK78" s="528"/>
      <c r="LCL78" s="528"/>
      <c r="LCM78" s="528"/>
      <c r="LCN78" s="528"/>
      <c r="LCO78" s="528"/>
      <c r="LCP78" s="528"/>
      <c r="LCQ78" s="528"/>
      <c r="LCR78" s="528"/>
      <c r="LCS78" s="528"/>
      <c r="LCT78" s="528"/>
      <c r="LCU78" s="528"/>
      <c r="LCV78" s="528"/>
      <c r="LCW78" s="528"/>
      <c r="LCX78" s="528"/>
      <c r="LCY78" s="528"/>
      <c r="LCZ78" s="528"/>
      <c r="LDA78" s="528"/>
      <c r="LDB78" s="528"/>
      <c r="LDC78" s="528"/>
      <c r="LDD78" s="528"/>
      <c r="LDE78" s="528"/>
      <c r="LDF78" s="528"/>
      <c r="LDG78" s="528"/>
      <c r="LDH78" s="528"/>
      <c r="LDI78" s="528"/>
      <c r="LDJ78" s="528"/>
      <c r="LDK78" s="528"/>
      <c r="LDL78" s="528"/>
      <c r="LDM78" s="528"/>
      <c r="LDN78" s="528"/>
      <c r="LDO78" s="528"/>
      <c r="LDP78" s="528"/>
      <c r="LDQ78" s="528"/>
      <c r="LDR78" s="528"/>
      <c r="LDS78" s="528"/>
      <c r="LDT78" s="528"/>
      <c r="LDU78" s="528"/>
      <c r="LDV78" s="528"/>
      <c r="LDW78" s="528"/>
      <c r="LDX78" s="528"/>
      <c r="LDY78" s="528"/>
      <c r="LDZ78" s="528"/>
      <c r="LEA78" s="528"/>
      <c r="LEB78" s="528"/>
      <c r="LEC78" s="528"/>
      <c r="LED78" s="528"/>
      <c r="LEE78" s="528"/>
      <c r="LEF78" s="528"/>
      <c r="LEG78" s="528"/>
      <c r="LEH78" s="528"/>
      <c r="LEI78" s="528"/>
      <c r="LEJ78" s="528"/>
      <c r="LEK78" s="528"/>
      <c r="LEL78" s="528"/>
      <c r="LEM78" s="528"/>
      <c r="LEN78" s="528"/>
      <c r="LEO78" s="528"/>
      <c r="LEP78" s="528"/>
      <c r="LEQ78" s="528"/>
      <c r="LER78" s="528"/>
      <c r="LES78" s="528"/>
      <c r="LET78" s="528"/>
      <c r="LEU78" s="528"/>
      <c r="LEV78" s="528"/>
      <c r="LEW78" s="528"/>
      <c r="LEX78" s="528"/>
      <c r="LEY78" s="528"/>
      <c r="LEZ78" s="528"/>
      <c r="LFA78" s="528"/>
      <c r="LFB78" s="528"/>
      <c r="LFC78" s="528"/>
      <c r="LFD78" s="528"/>
      <c r="LFE78" s="528"/>
      <c r="LFF78" s="528"/>
      <c r="LFG78" s="528"/>
      <c r="LFH78" s="528"/>
      <c r="LFI78" s="528"/>
      <c r="LFJ78" s="528"/>
      <c r="LFK78" s="528"/>
      <c r="LFL78" s="528"/>
      <c r="LFM78" s="528"/>
      <c r="LFN78" s="528"/>
      <c r="LFO78" s="528"/>
      <c r="LFP78" s="528"/>
      <c r="LFQ78" s="528"/>
      <c r="LFR78" s="528"/>
      <c r="LFS78" s="528"/>
      <c r="LFT78" s="528"/>
      <c r="LFU78" s="528"/>
      <c r="LFV78" s="528"/>
      <c r="LFW78" s="528"/>
      <c r="LFX78" s="528"/>
      <c r="LFY78" s="528"/>
      <c r="LFZ78" s="528"/>
      <c r="LGA78" s="528"/>
      <c r="LGB78" s="528"/>
      <c r="LGC78" s="528"/>
      <c r="LGD78" s="528"/>
      <c r="LGE78" s="528"/>
      <c r="LGF78" s="528"/>
      <c r="LGG78" s="528"/>
      <c r="LGH78" s="528"/>
      <c r="LGI78" s="528"/>
      <c r="LGJ78" s="528"/>
      <c r="LGK78" s="528"/>
      <c r="LGL78" s="528"/>
      <c r="LGM78" s="528"/>
      <c r="LGN78" s="528"/>
      <c r="LGO78" s="528"/>
      <c r="LGP78" s="528"/>
      <c r="LGQ78" s="528"/>
      <c r="LGR78" s="528"/>
      <c r="LGS78" s="528"/>
      <c r="LGT78" s="528"/>
      <c r="LGU78" s="528"/>
      <c r="LGV78" s="528"/>
      <c r="LGW78" s="528"/>
      <c r="LGX78" s="528"/>
      <c r="LGY78" s="528"/>
      <c r="LGZ78" s="528"/>
      <c r="LHA78" s="528"/>
      <c r="LHB78" s="528"/>
      <c r="LHC78" s="528"/>
      <c r="LHD78" s="528"/>
      <c r="LHE78" s="528"/>
      <c r="LHF78" s="528"/>
      <c r="LHG78" s="528"/>
      <c r="LHH78" s="528"/>
      <c r="LHI78" s="528"/>
      <c r="LHJ78" s="528"/>
      <c r="LHK78" s="528"/>
      <c r="LHL78" s="528"/>
      <c r="LHM78" s="528"/>
      <c r="LHN78" s="528"/>
      <c r="LHO78" s="528"/>
      <c r="LHP78" s="528"/>
      <c r="LHQ78" s="528"/>
      <c r="LHR78" s="528"/>
      <c r="LHS78" s="528"/>
      <c r="LHT78" s="528"/>
      <c r="LHU78" s="528"/>
      <c r="LHV78" s="528"/>
      <c r="LHW78" s="528"/>
      <c r="LHX78" s="528"/>
      <c r="LHY78" s="528"/>
      <c r="LHZ78" s="528"/>
      <c r="LIA78" s="528"/>
      <c r="LIB78" s="528"/>
      <c r="LIC78" s="528"/>
      <c r="LID78" s="528"/>
      <c r="LIE78" s="528"/>
      <c r="LIF78" s="528"/>
      <c r="LIG78" s="528"/>
      <c r="LIH78" s="528"/>
      <c r="LII78" s="528"/>
      <c r="LIJ78" s="528"/>
      <c r="LIK78" s="528"/>
      <c r="LIL78" s="528"/>
      <c r="LIM78" s="528"/>
      <c r="LIN78" s="528"/>
      <c r="LIO78" s="528"/>
      <c r="LIP78" s="528"/>
      <c r="LIQ78" s="528"/>
      <c r="LIR78" s="528"/>
      <c r="LIS78" s="528"/>
      <c r="LIT78" s="528"/>
      <c r="LIU78" s="528"/>
      <c r="LIV78" s="528"/>
      <c r="LIW78" s="528"/>
      <c r="LIX78" s="528"/>
      <c r="LIY78" s="528"/>
      <c r="LIZ78" s="528"/>
      <c r="LJA78" s="528"/>
      <c r="LJB78" s="528"/>
      <c r="LJC78" s="528"/>
      <c r="LJD78" s="528"/>
      <c r="LJE78" s="528"/>
      <c r="LJF78" s="528"/>
      <c r="LJG78" s="528"/>
      <c r="LJH78" s="528"/>
      <c r="LJI78" s="528"/>
      <c r="LJJ78" s="528"/>
      <c r="LJK78" s="528"/>
      <c r="LJL78" s="528"/>
      <c r="LJM78" s="528"/>
      <c r="LJN78" s="528"/>
      <c r="LJO78" s="528"/>
      <c r="LJP78" s="528"/>
      <c r="LJQ78" s="528"/>
      <c r="LJR78" s="528"/>
      <c r="LJS78" s="528"/>
      <c r="LJT78" s="528"/>
      <c r="LJU78" s="528"/>
      <c r="LJV78" s="528"/>
      <c r="LJW78" s="528"/>
      <c r="LJX78" s="528"/>
      <c r="LJY78" s="528"/>
      <c r="LJZ78" s="528"/>
      <c r="LKA78" s="528"/>
      <c r="LKB78" s="528"/>
      <c r="LKC78" s="528"/>
      <c r="LKD78" s="528"/>
      <c r="LKE78" s="528"/>
      <c r="LKF78" s="528"/>
      <c r="LKG78" s="528"/>
      <c r="LKH78" s="528"/>
      <c r="LKI78" s="528"/>
      <c r="LKJ78" s="528"/>
      <c r="LKK78" s="528"/>
      <c r="LKL78" s="528"/>
      <c r="LKM78" s="528"/>
      <c r="LKN78" s="528"/>
      <c r="LKO78" s="528"/>
      <c r="LKP78" s="528"/>
      <c r="LKQ78" s="528"/>
      <c r="LKR78" s="528"/>
      <c r="LKS78" s="528"/>
      <c r="LKT78" s="528"/>
      <c r="LKU78" s="528"/>
      <c r="LKV78" s="528"/>
      <c r="LKW78" s="528"/>
      <c r="LKX78" s="528"/>
      <c r="LKY78" s="528"/>
      <c r="LKZ78" s="528"/>
      <c r="LLA78" s="528"/>
      <c r="LLB78" s="528"/>
      <c r="LLC78" s="528"/>
      <c r="LLD78" s="528"/>
      <c r="LLE78" s="528"/>
      <c r="LLF78" s="528"/>
      <c r="LLG78" s="528"/>
      <c r="LLH78" s="528"/>
      <c r="LLI78" s="528"/>
      <c r="LLJ78" s="528"/>
      <c r="LLK78" s="528"/>
      <c r="LLL78" s="528"/>
      <c r="LLM78" s="528"/>
      <c r="LLN78" s="528"/>
      <c r="LLO78" s="528"/>
      <c r="LLP78" s="528"/>
      <c r="LLQ78" s="528"/>
      <c r="LLR78" s="528"/>
      <c r="LLS78" s="528"/>
      <c r="LLT78" s="528"/>
      <c r="LLU78" s="528"/>
      <c r="LLV78" s="528"/>
      <c r="LLW78" s="528"/>
      <c r="LLX78" s="528"/>
      <c r="LLY78" s="528"/>
      <c r="LLZ78" s="528"/>
      <c r="LMA78" s="528"/>
      <c r="LMB78" s="528"/>
      <c r="LMC78" s="528"/>
      <c r="LMD78" s="528"/>
      <c r="LME78" s="528"/>
      <c r="LMF78" s="528"/>
      <c r="LMG78" s="528"/>
      <c r="LMH78" s="528"/>
      <c r="LMI78" s="528"/>
      <c r="LMJ78" s="528"/>
      <c r="LMK78" s="528"/>
      <c r="LML78" s="528"/>
      <c r="LMM78" s="528"/>
      <c r="LMN78" s="528"/>
      <c r="LMO78" s="528"/>
      <c r="LMP78" s="528"/>
      <c r="LMQ78" s="528"/>
      <c r="LMR78" s="528"/>
      <c r="LMS78" s="528"/>
      <c r="LMT78" s="528"/>
      <c r="LMU78" s="528"/>
      <c r="LMV78" s="528"/>
      <c r="LMW78" s="528"/>
      <c r="LMX78" s="528"/>
      <c r="LMY78" s="528"/>
      <c r="LMZ78" s="528"/>
      <c r="LNA78" s="528"/>
      <c r="LNB78" s="528"/>
      <c r="LNC78" s="528"/>
      <c r="LND78" s="528"/>
      <c r="LNE78" s="528"/>
      <c r="LNF78" s="528"/>
      <c r="LNG78" s="528"/>
      <c r="LNH78" s="528"/>
      <c r="LNI78" s="528"/>
      <c r="LNJ78" s="528"/>
      <c r="LNK78" s="528"/>
      <c r="LNL78" s="528"/>
      <c r="LNM78" s="528"/>
      <c r="LNN78" s="528"/>
      <c r="LNO78" s="528"/>
      <c r="LNP78" s="528"/>
      <c r="LNQ78" s="528"/>
      <c r="LNR78" s="528"/>
      <c r="LNS78" s="528"/>
      <c r="LNT78" s="528"/>
      <c r="LNU78" s="528"/>
      <c r="LNV78" s="528"/>
      <c r="LNW78" s="528"/>
      <c r="LNX78" s="528"/>
      <c r="LNY78" s="528"/>
      <c r="LNZ78" s="528"/>
      <c r="LOA78" s="528"/>
      <c r="LOB78" s="528"/>
      <c r="LOC78" s="528"/>
      <c r="LOD78" s="528"/>
      <c r="LOE78" s="528"/>
      <c r="LOF78" s="528"/>
      <c r="LOG78" s="528"/>
      <c r="LOH78" s="528"/>
      <c r="LOI78" s="528"/>
      <c r="LOJ78" s="528"/>
      <c r="LOK78" s="528"/>
      <c r="LOL78" s="528"/>
      <c r="LOM78" s="528"/>
      <c r="LON78" s="528"/>
      <c r="LOO78" s="528"/>
      <c r="LOP78" s="528"/>
      <c r="LOQ78" s="528"/>
      <c r="LOR78" s="528"/>
      <c r="LOS78" s="528"/>
      <c r="LOT78" s="528"/>
      <c r="LOU78" s="528"/>
      <c r="LOV78" s="528"/>
      <c r="LOW78" s="528"/>
      <c r="LOX78" s="528"/>
      <c r="LOY78" s="528"/>
      <c r="LOZ78" s="528"/>
      <c r="LPA78" s="528"/>
      <c r="LPB78" s="528"/>
      <c r="LPC78" s="528"/>
      <c r="LPD78" s="528"/>
      <c r="LPE78" s="528"/>
      <c r="LPF78" s="528"/>
      <c r="LPG78" s="528"/>
      <c r="LPH78" s="528"/>
      <c r="LPI78" s="528"/>
      <c r="LPJ78" s="528"/>
      <c r="LPK78" s="528"/>
      <c r="LPL78" s="528"/>
      <c r="LPM78" s="528"/>
      <c r="LPN78" s="528"/>
      <c r="LPO78" s="528"/>
      <c r="LPP78" s="528"/>
      <c r="LPQ78" s="528"/>
      <c r="LPR78" s="528"/>
      <c r="LPS78" s="528"/>
      <c r="LPT78" s="528"/>
      <c r="LPU78" s="528"/>
      <c r="LPV78" s="528"/>
      <c r="LPW78" s="528"/>
      <c r="LPX78" s="528"/>
      <c r="LPY78" s="528"/>
      <c r="LPZ78" s="528"/>
      <c r="LQA78" s="528"/>
      <c r="LQB78" s="528"/>
      <c r="LQC78" s="528"/>
      <c r="LQD78" s="528"/>
      <c r="LQE78" s="528"/>
      <c r="LQF78" s="528"/>
      <c r="LQG78" s="528"/>
      <c r="LQH78" s="528"/>
      <c r="LQI78" s="528"/>
      <c r="LQJ78" s="528"/>
      <c r="LQK78" s="528"/>
      <c r="LQL78" s="528"/>
      <c r="LQM78" s="528"/>
      <c r="LQN78" s="528"/>
      <c r="LQO78" s="528"/>
      <c r="LQP78" s="528"/>
      <c r="LQQ78" s="528"/>
      <c r="LQR78" s="528"/>
      <c r="LQS78" s="528"/>
      <c r="LQT78" s="528"/>
      <c r="LQU78" s="528"/>
      <c r="LQV78" s="528"/>
      <c r="LQW78" s="528"/>
      <c r="LQX78" s="528"/>
      <c r="LQY78" s="528"/>
      <c r="LQZ78" s="528"/>
      <c r="LRA78" s="528"/>
      <c r="LRB78" s="528"/>
      <c r="LRC78" s="528"/>
      <c r="LRD78" s="528"/>
      <c r="LRE78" s="528"/>
      <c r="LRF78" s="528"/>
      <c r="LRG78" s="528"/>
      <c r="LRH78" s="528"/>
      <c r="LRI78" s="528"/>
      <c r="LRJ78" s="528"/>
      <c r="LRK78" s="528"/>
      <c r="LRL78" s="528"/>
      <c r="LRM78" s="528"/>
      <c r="LRN78" s="528"/>
      <c r="LRO78" s="528"/>
      <c r="LRP78" s="528"/>
      <c r="LRQ78" s="528"/>
      <c r="LRR78" s="528"/>
      <c r="LRS78" s="528"/>
      <c r="LRT78" s="528"/>
      <c r="LRU78" s="528"/>
      <c r="LRV78" s="528"/>
      <c r="LRW78" s="528"/>
      <c r="LRX78" s="528"/>
      <c r="LRY78" s="528"/>
      <c r="LRZ78" s="528"/>
      <c r="LSA78" s="528"/>
      <c r="LSB78" s="528"/>
      <c r="LSC78" s="528"/>
      <c r="LSD78" s="528"/>
      <c r="LSE78" s="528"/>
      <c r="LSF78" s="528"/>
      <c r="LSG78" s="528"/>
      <c r="LSH78" s="528"/>
      <c r="LSI78" s="528"/>
      <c r="LSJ78" s="528"/>
      <c r="LSK78" s="528"/>
      <c r="LSL78" s="528"/>
      <c r="LSM78" s="528"/>
      <c r="LSN78" s="528"/>
      <c r="LSO78" s="528"/>
      <c r="LSP78" s="528"/>
      <c r="LSQ78" s="528"/>
      <c r="LSR78" s="528"/>
      <c r="LSS78" s="528"/>
      <c r="LST78" s="528"/>
      <c r="LSU78" s="528"/>
      <c r="LSV78" s="528"/>
      <c r="LSW78" s="528"/>
      <c r="LSX78" s="528"/>
      <c r="LSY78" s="528"/>
      <c r="LSZ78" s="528"/>
      <c r="LTA78" s="528"/>
      <c r="LTB78" s="528"/>
      <c r="LTC78" s="528"/>
      <c r="LTD78" s="528"/>
      <c r="LTE78" s="528"/>
      <c r="LTF78" s="528"/>
      <c r="LTG78" s="528"/>
      <c r="LTH78" s="528"/>
      <c r="LTI78" s="528"/>
      <c r="LTJ78" s="528"/>
      <c r="LTK78" s="528"/>
      <c r="LTL78" s="528"/>
      <c r="LTM78" s="528"/>
      <c r="LTN78" s="528"/>
      <c r="LTO78" s="528"/>
      <c r="LTP78" s="528"/>
      <c r="LTQ78" s="528"/>
      <c r="LTR78" s="528"/>
      <c r="LTS78" s="528"/>
      <c r="LTT78" s="528"/>
      <c r="LTU78" s="528"/>
      <c r="LTV78" s="528"/>
      <c r="LTW78" s="528"/>
      <c r="LTX78" s="528"/>
      <c r="LTY78" s="528"/>
      <c r="LTZ78" s="528"/>
      <c r="LUA78" s="528"/>
      <c r="LUB78" s="528"/>
      <c r="LUC78" s="528"/>
      <c r="LUD78" s="528"/>
      <c r="LUE78" s="528"/>
      <c r="LUF78" s="528"/>
      <c r="LUG78" s="528"/>
      <c r="LUH78" s="528"/>
      <c r="LUI78" s="528"/>
      <c r="LUJ78" s="528"/>
      <c r="LUK78" s="528"/>
      <c r="LUL78" s="528"/>
      <c r="LUM78" s="528"/>
      <c r="LUN78" s="528"/>
      <c r="LUO78" s="528"/>
      <c r="LUP78" s="528"/>
      <c r="LUQ78" s="528"/>
      <c r="LUR78" s="528"/>
      <c r="LUS78" s="528"/>
      <c r="LUT78" s="528"/>
      <c r="LUU78" s="528"/>
      <c r="LUV78" s="528"/>
      <c r="LUW78" s="528"/>
      <c r="LUX78" s="528"/>
      <c r="LUY78" s="528"/>
      <c r="LUZ78" s="528"/>
      <c r="LVA78" s="528"/>
      <c r="LVB78" s="528"/>
      <c r="LVC78" s="528"/>
      <c r="LVD78" s="528"/>
      <c r="LVE78" s="528"/>
      <c r="LVF78" s="528"/>
      <c r="LVG78" s="528"/>
      <c r="LVH78" s="528"/>
      <c r="LVI78" s="528"/>
      <c r="LVJ78" s="528"/>
      <c r="LVK78" s="528"/>
      <c r="LVL78" s="528"/>
      <c r="LVM78" s="528"/>
      <c r="LVN78" s="528"/>
      <c r="LVO78" s="528"/>
      <c r="LVP78" s="528"/>
      <c r="LVQ78" s="528"/>
      <c r="LVR78" s="528"/>
      <c r="LVS78" s="528"/>
      <c r="LVT78" s="528"/>
      <c r="LVU78" s="528"/>
      <c r="LVV78" s="528"/>
      <c r="LVW78" s="528"/>
      <c r="LVX78" s="528"/>
      <c r="LVY78" s="528"/>
      <c r="LVZ78" s="528"/>
      <c r="LWA78" s="528"/>
      <c r="LWB78" s="528"/>
      <c r="LWC78" s="528"/>
      <c r="LWD78" s="528"/>
      <c r="LWE78" s="528"/>
      <c r="LWF78" s="528"/>
      <c r="LWG78" s="528"/>
      <c r="LWH78" s="528"/>
      <c r="LWI78" s="528"/>
      <c r="LWJ78" s="528"/>
      <c r="LWK78" s="528"/>
      <c r="LWL78" s="528"/>
      <c r="LWM78" s="528"/>
      <c r="LWN78" s="528"/>
      <c r="LWO78" s="528"/>
      <c r="LWP78" s="528"/>
      <c r="LWQ78" s="528"/>
      <c r="LWR78" s="528"/>
      <c r="LWS78" s="528"/>
      <c r="LWT78" s="528"/>
      <c r="LWU78" s="528"/>
      <c r="LWV78" s="528"/>
      <c r="LWW78" s="528"/>
      <c r="LWX78" s="528"/>
      <c r="LWY78" s="528"/>
      <c r="LWZ78" s="528"/>
      <c r="LXA78" s="528"/>
      <c r="LXB78" s="528"/>
      <c r="LXC78" s="528"/>
      <c r="LXD78" s="528"/>
      <c r="LXE78" s="528"/>
      <c r="LXF78" s="528"/>
      <c r="LXG78" s="528"/>
      <c r="LXH78" s="528"/>
      <c r="LXI78" s="528"/>
      <c r="LXJ78" s="528"/>
      <c r="LXK78" s="528"/>
      <c r="LXL78" s="528"/>
      <c r="LXM78" s="528"/>
      <c r="LXN78" s="528"/>
      <c r="LXO78" s="528"/>
      <c r="LXP78" s="528"/>
      <c r="LXQ78" s="528"/>
      <c r="LXR78" s="528"/>
      <c r="LXS78" s="528"/>
      <c r="LXT78" s="528"/>
      <c r="LXU78" s="528"/>
      <c r="LXV78" s="528"/>
      <c r="LXW78" s="528"/>
      <c r="LXX78" s="528"/>
      <c r="LXY78" s="528"/>
      <c r="LXZ78" s="528"/>
      <c r="LYA78" s="528"/>
      <c r="LYB78" s="528"/>
      <c r="LYC78" s="528"/>
      <c r="LYD78" s="528"/>
      <c r="LYE78" s="528"/>
      <c r="LYF78" s="528"/>
      <c r="LYG78" s="528"/>
      <c r="LYH78" s="528"/>
      <c r="LYI78" s="528"/>
      <c r="LYJ78" s="528"/>
      <c r="LYK78" s="528"/>
      <c r="LYL78" s="528"/>
      <c r="LYM78" s="528"/>
      <c r="LYN78" s="528"/>
      <c r="LYO78" s="528"/>
      <c r="LYP78" s="528"/>
      <c r="LYQ78" s="528"/>
      <c r="LYR78" s="528"/>
      <c r="LYS78" s="528"/>
      <c r="LYT78" s="528"/>
      <c r="LYU78" s="528"/>
      <c r="LYV78" s="528"/>
      <c r="LYW78" s="528"/>
      <c r="LYX78" s="528"/>
      <c r="LYY78" s="528"/>
      <c r="LYZ78" s="528"/>
      <c r="LZA78" s="528"/>
      <c r="LZB78" s="528"/>
      <c r="LZC78" s="528"/>
      <c r="LZD78" s="528"/>
      <c r="LZE78" s="528"/>
      <c r="LZF78" s="528"/>
      <c r="LZG78" s="528"/>
      <c r="LZH78" s="528"/>
      <c r="LZI78" s="528"/>
      <c r="LZJ78" s="528"/>
      <c r="LZK78" s="528"/>
      <c r="LZL78" s="528"/>
      <c r="LZM78" s="528"/>
      <c r="LZN78" s="528"/>
      <c r="LZO78" s="528"/>
      <c r="LZP78" s="528"/>
      <c r="LZQ78" s="528"/>
      <c r="LZR78" s="528"/>
      <c r="LZS78" s="528"/>
      <c r="LZT78" s="528"/>
      <c r="LZU78" s="528"/>
      <c r="LZV78" s="528"/>
      <c r="LZW78" s="528"/>
      <c r="LZX78" s="528"/>
      <c r="LZY78" s="528"/>
      <c r="LZZ78" s="528"/>
      <c r="MAA78" s="528"/>
      <c r="MAB78" s="528"/>
      <c r="MAC78" s="528"/>
      <c r="MAD78" s="528"/>
      <c r="MAE78" s="528"/>
      <c r="MAF78" s="528"/>
      <c r="MAG78" s="528"/>
      <c r="MAH78" s="528"/>
      <c r="MAI78" s="528"/>
      <c r="MAJ78" s="528"/>
      <c r="MAK78" s="528"/>
      <c r="MAL78" s="528"/>
      <c r="MAM78" s="528"/>
      <c r="MAN78" s="528"/>
      <c r="MAO78" s="528"/>
      <c r="MAP78" s="528"/>
      <c r="MAQ78" s="528"/>
      <c r="MAR78" s="528"/>
      <c r="MAS78" s="528"/>
      <c r="MAT78" s="528"/>
      <c r="MAU78" s="528"/>
      <c r="MAV78" s="528"/>
      <c r="MAW78" s="528"/>
      <c r="MAX78" s="528"/>
      <c r="MAY78" s="528"/>
      <c r="MAZ78" s="528"/>
      <c r="MBA78" s="528"/>
      <c r="MBB78" s="528"/>
      <c r="MBC78" s="528"/>
      <c r="MBD78" s="528"/>
      <c r="MBE78" s="528"/>
      <c r="MBF78" s="528"/>
      <c r="MBG78" s="528"/>
      <c r="MBH78" s="528"/>
      <c r="MBI78" s="528"/>
      <c r="MBJ78" s="528"/>
      <c r="MBK78" s="528"/>
      <c r="MBL78" s="528"/>
      <c r="MBM78" s="528"/>
      <c r="MBN78" s="528"/>
      <c r="MBO78" s="528"/>
      <c r="MBP78" s="528"/>
      <c r="MBQ78" s="528"/>
      <c r="MBR78" s="528"/>
      <c r="MBS78" s="528"/>
      <c r="MBT78" s="528"/>
      <c r="MBU78" s="528"/>
      <c r="MBV78" s="528"/>
      <c r="MBW78" s="528"/>
      <c r="MBX78" s="528"/>
      <c r="MBY78" s="528"/>
      <c r="MBZ78" s="528"/>
      <c r="MCA78" s="528"/>
      <c r="MCB78" s="528"/>
      <c r="MCC78" s="528"/>
      <c r="MCD78" s="528"/>
      <c r="MCE78" s="528"/>
      <c r="MCF78" s="528"/>
      <c r="MCG78" s="528"/>
      <c r="MCH78" s="528"/>
      <c r="MCI78" s="528"/>
      <c r="MCJ78" s="528"/>
      <c r="MCK78" s="528"/>
      <c r="MCL78" s="528"/>
      <c r="MCM78" s="528"/>
      <c r="MCN78" s="528"/>
      <c r="MCO78" s="528"/>
      <c r="MCP78" s="528"/>
      <c r="MCQ78" s="528"/>
      <c r="MCR78" s="528"/>
      <c r="MCS78" s="528"/>
      <c r="MCT78" s="528"/>
      <c r="MCU78" s="528"/>
      <c r="MCV78" s="528"/>
      <c r="MCW78" s="528"/>
      <c r="MCX78" s="528"/>
      <c r="MCY78" s="528"/>
      <c r="MCZ78" s="528"/>
      <c r="MDA78" s="528"/>
      <c r="MDB78" s="528"/>
      <c r="MDC78" s="528"/>
      <c r="MDD78" s="528"/>
      <c r="MDE78" s="528"/>
      <c r="MDF78" s="528"/>
      <c r="MDG78" s="528"/>
      <c r="MDH78" s="528"/>
      <c r="MDI78" s="528"/>
      <c r="MDJ78" s="528"/>
      <c r="MDK78" s="528"/>
      <c r="MDL78" s="528"/>
      <c r="MDM78" s="528"/>
      <c r="MDN78" s="528"/>
      <c r="MDO78" s="528"/>
      <c r="MDP78" s="528"/>
      <c r="MDQ78" s="528"/>
      <c r="MDR78" s="528"/>
      <c r="MDS78" s="528"/>
      <c r="MDT78" s="528"/>
      <c r="MDU78" s="528"/>
      <c r="MDV78" s="528"/>
      <c r="MDW78" s="528"/>
      <c r="MDX78" s="528"/>
      <c r="MDY78" s="528"/>
      <c r="MDZ78" s="528"/>
      <c r="MEA78" s="528"/>
      <c r="MEB78" s="528"/>
      <c r="MEC78" s="528"/>
      <c r="MED78" s="528"/>
      <c r="MEE78" s="528"/>
      <c r="MEF78" s="528"/>
      <c r="MEG78" s="528"/>
      <c r="MEH78" s="528"/>
      <c r="MEI78" s="528"/>
      <c r="MEJ78" s="528"/>
      <c r="MEK78" s="528"/>
      <c r="MEL78" s="528"/>
      <c r="MEM78" s="528"/>
      <c r="MEN78" s="528"/>
      <c r="MEO78" s="528"/>
      <c r="MEP78" s="528"/>
      <c r="MEQ78" s="528"/>
      <c r="MER78" s="528"/>
      <c r="MES78" s="528"/>
      <c r="MET78" s="528"/>
      <c r="MEU78" s="528"/>
      <c r="MEV78" s="528"/>
      <c r="MEW78" s="528"/>
      <c r="MEX78" s="528"/>
      <c r="MEY78" s="528"/>
      <c r="MEZ78" s="528"/>
      <c r="MFA78" s="528"/>
      <c r="MFB78" s="528"/>
      <c r="MFC78" s="528"/>
      <c r="MFD78" s="528"/>
      <c r="MFE78" s="528"/>
      <c r="MFF78" s="528"/>
      <c r="MFG78" s="528"/>
      <c r="MFH78" s="528"/>
      <c r="MFI78" s="528"/>
      <c r="MFJ78" s="528"/>
      <c r="MFK78" s="528"/>
      <c r="MFL78" s="528"/>
      <c r="MFM78" s="528"/>
      <c r="MFN78" s="528"/>
      <c r="MFO78" s="528"/>
      <c r="MFP78" s="528"/>
      <c r="MFQ78" s="528"/>
      <c r="MFR78" s="528"/>
      <c r="MFS78" s="528"/>
      <c r="MFT78" s="528"/>
      <c r="MFU78" s="528"/>
      <c r="MFV78" s="528"/>
      <c r="MFW78" s="528"/>
      <c r="MFX78" s="528"/>
      <c r="MFY78" s="528"/>
      <c r="MFZ78" s="528"/>
      <c r="MGA78" s="528"/>
      <c r="MGB78" s="528"/>
      <c r="MGC78" s="528"/>
      <c r="MGD78" s="528"/>
      <c r="MGE78" s="528"/>
      <c r="MGF78" s="528"/>
      <c r="MGG78" s="528"/>
      <c r="MGH78" s="528"/>
      <c r="MGI78" s="528"/>
      <c r="MGJ78" s="528"/>
      <c r="MGK78" s="528"/>
      <c r="MGL78" s="528"/>
      <c r="MGM78" s="528"/>
      <c r="MGN78" s="528"/>
      <c r="MGO78" s="528"/>
      <c r="MGP78" s="528"/>
      <c r="MGQ78" s="528"/>
      <c r="MGR78" s="528"/>
      <c r="MGS78" s="528"/>
      <c r="MGT78" s="528"/>
      <c r="MGU78" s="528"/>
      <c r="MGV78" s="528"/>
      <c r="MGW78" s="528"/>
      <c r="MGX78" s="528"/>
      <c r="MGY78" s="528"/>
      <c r="MGZ78" s="528"/>
      <c r="MHA78" s="528"/>
      <c r="MHB78" s="528"/>
      <c r="MHC78" s="528"/>
      <c r="MHD78" s="528"/>
      <c r="MHE78" s="528"/>
      <c r="MHF78" s="528"/>
      <c r="MHG78" s="528"/>
      <c r="MHH78" s="528"/>
      <c r="MHI78" s="528"/>
      <c r="MHJ78" s="528"/>
      <c r="MHK78" s="528"/>
      <c r="MHL78" s="528"/>
      <c r="MHM78" s="528"/>
      <c r="MHN78" s="528"/>
      <c r="MHO78" s="528"/>
      <c r="MHP78" s="528"/>
      <c r="MHQ78" s="528"/>
      <c r="MHR78" s="528"/>
      <c r="MHS78" s="528"/>
      <c r="MHT78" s="528"/>
      <c r="MHU78" s="528"/>
      <c r="MHV78" s="528"/>
      <c r="MHW78" s="528"/>
      <c r="MHX78" s="528"/>
      <c r="MHY78" s="528"/>
      <c r="MHZ78" s="528"/>
      <c r="MIA78" s="528"/>
      <c r="MIB78" s="528"/>
      <c r="MIC78" s="528"/>
      <c r="MID78" s="528"/>
      <c r="MIE78" s="528"/>
      <c r="MIF78" s="528"/>
      <c r="MIG78" s="528"/>
      <c r="MIH78" s="528"/>
      <c r="MII78" s="528"/>
      <c r="MIJ78" s="528"/>
      <c r="MIK78" s="528"/>
      <c r="MIL78" s="528"/>
      <c r="MIM78" s="528"/>
      <c r="MIN78" s="528"/>
      <c r="MIO78" s="528"/>
      <c r="MIP78" s="528"/>
      <c r="MIQ78" s="528"/>
      <c r="MIR78" s="528"/>
      <c r="MIS78" s="528"/>
      <c r="MIT78" s="528"/>
      <c r="MIU78" s="528"/>
      <c r="MIV78" s="528"/>
      <c r="MIW78" s="528"/>
      <c r="MIX78" s="528"/>
      <c r="MIY78" s="528"/>
      <c r="MIZ78" s="528"/>
      <c r="MJA78" s="528"/>
      <c r="MJB78" s="528"/>
      <c r="MJC78" s="528"/>
      <c r="MJD78" s="528"/>
      <c r="MJE78" s="528"/>
      <c r="MJF78" s="528"/>
      <c r="MJG78" s="528"/>
      <c r="MJH78" s="528"/>
      <c r="MJI78" s="528"/>
      <c r="MJJ78" s="528"/>
      <c r="MJK78" s="528"/>
      <c r="MJL78" s="528"/>
      <c r="MJM78" s="528"/>
      <c r="MJN78" s="528"/>
      <c r="MJO78" s="528"/>
      <c r="MJP78" s="528"/>
      <c r="MJQ78" s="528"/>
      <c r="MJR78" s="528"/>
      <c r="MJS78" s="528"/>
      <c r="MJT78" s="528"/>
      <c r="MJU78" s="528"/>
      <c r="MJV78" s="528"/>
      <c r="MJW78" s="528"/>
      <c r="MJX78" s="528"/>
      <c r="MJY78" s="528"/>
      <c r="MJZ78" s="528"/>
      <c r="MKA78" s="528"/>
      <c r="MKB78" s="528"/>
      <c r="MKC78" s="528"/>
      <c r="MKD78" s="528"/>
      <c r="MKE78" s="528"/>
      <c r="MKF78" s="528"/>
      <c r="MKG78" s="528"/>
      <c r="MKH78" s="528"/>
      <c r="MKI78" s="528"/>
      <c r="MKJ78" s="528"/>
      <c r="MKK78" s="528"/>
      <c r="MKL78" s="528"/>
      <c r="MKM78" s="528"/>
      <c r="MKN78" s="528"/>
      <c r="MKO78" s="528"/>
      <c r="MKP78" s="528"/>
      <c r="MKQ78" s="528"/>
      <c r="MKR78" s="528"/>
      <c r="MKS78" s="528"/>
      <c r="MKT78" s="528"/>
      <c r="MKU78" s="528"/>
      <c r="MKV78" s="528"/>
      <c r="MKW78" s="528"/>
      <c r="MKX78" s="528"/>
      <c r="MKY78" s="528"/>
      <c r="MKZ78" s="528"/>
      <c r="MLA78" s="528"/>
      <c r="MLB78" s="528"/>
      <c r="MLC78" s="528"/>
      <c r="MLD78" s="528"/>
      <c r="MLE78" s="528"/>
      <c r="MLF78" s="528"/>
      <c r="MLG78" s="528"/>
      <c r="MLH78" s="528"/>
      <c r="MLI78" s="528"/>
      <c r="MLJ78" s="528"/>
      <c r="MLK78" s="528"/>
      <c r="MLL78" s="528"/>
      <c r="MLM78" s="528"/>
      <c r="MLN78" s="528"/>
      <c r="MLO78" s="528"/>
      <c r="MLP78" s="528"/>
      <c r="MLQ78" s="528"/>
      <c r="MLR78" s="528"/>
      <c r="MLS78" s="528"/>
      <c r="MLT78" s="528"/>
      <c r="MLU78" s="528"/>
      <c r="MLV78" s="528"/>
      <c r="MLW78" s="528"/>
      <c r="MLX78" s="528"/>
      <c r="MLY78" s="528"/>
      <c r="MLZ78" s="528"/>
      <c r="MMA78" s="528"/>
      <c r="MMB78" s="528"/>
      <c r="MMC78" s="528"/>
      <c r="MMD78" s="528"/>
      <c r="MME78" s="528"/>
      <c r="MMF78" s="528"/>
      <c r="MMG78" s="528"/>
      <c r="MMH78" s="528"/>
      <c r="MMI78" s="528"/>
      <c r="MMJ78" s="528"/>
      <c r="MMK78" s="528"/>
      <c r="MML78" s="528"/>
      <c r="MMM78" s="528"/>
      <c r="MMN78" s="528"/>
      <c r="MMO78" s="528"/>
      <c r="MMP78" s="528"/>
      <c r="MMQ78" s="528"/>
      <c r="MMR78" s="528"/>
      <c r="MMS78" s="528"/>
      <c r="MMT78" s="528"/>
      <c r="MMU78" s="528"/>
      <c r="MMV78" s="528"/>
      <c r="MMW78" s="528"/>
      <c r="MMX78" s="528"/>
      <c r="MMY78" s="528"/>
      <c r="MMZ78" s="528"/>
      <c r="MNA78" s="528"/>
      <c r="MNB78" s="528"/>
      <c r="MNC78" s="528"/>
      <c r="MND78" s="528"/>
      <c r="MNE78" s="528"/>
      <c r="MNF78" s="528"/>
      <c r="MNG78" s="528"/>
      <c r="MNH78" s="528"/>
      <c r="MNI78" s="528"/>
      <c r="MNJ78" s="528"/>
      <c r="MNK78" s="528"/>
      <c r="MNL78" s="528"/>
      <c r="MNM78" s="528"/>
      <c r="MNN78" s="528"/>
      <c r="MNO78" s="528"/>
      <c r="MNP78" s="528"/>
      <c r="MNQ78" s="528"/>
      <c r="MNR78" s="528"/>
      <c r="MNS78" s="528"/>
      <c r="MNT78" s="528"/>
      <c r="MNU78" s="528"/>
      <c r="MNV78" s="528"/>
      <c r="MNW78" s="528"/>
      <c r="MNX78" s="528"/>
      <c r="MNY78" s="528"/>
      <c r="MNZ78" s="528"/>
      <c r="MOA78" s="528"/>
      <c r="MOB78" s="528"/>
      <c r="MOC78" s="528"/>
      <c r="MOD78" s="528"/>
      <c r="MOE78" s="528"/>
      <c r="MOF78" s="528"/>
      <c r="MOG78" s="528"/>
      <c r="MOH78" s="528"/>
      <c r="MOI78" s="528"/>
      <c r="MOJ78" s="528"/>
      <c r="MOK78" s="528"/>
      <c r="MOL78" s="528"/>
      <c r="MOM78" s="528"/>
      <c r="MON78" s="528"/>
      <c r="MOO78" s="528"/>
      <c r="MOP78" s="528"/>
      <c r="MOQ78" s="528"/>
      <c r="MOR78" s="528"/>
      <c r="MOS78" s="528"/>
      <c r="MOT78" s="528"/>
      <c r="MOU78" s="528"/>
      <c r="MOV78" s="528"/>
      <c r="MOW78" s="528"/>
      <c r="MOX78" s="528"/>
      <c r="MOY78" s="528"/>
      <c r="MOZ78" s="528"/>
      <c r="MPA78" s="528"/>
      <c r="MPB78" s="528"/>
      <c r="MPC78" s="528"/>
      <c r="MPD78" s="528"/>
      <c r="MPE78" s="528"/>
      <c r="MPF78" s="528"/>
      <c r="MPG78" s="528"/>
      <c r="MPH78" s="528"/>
      <c r="MPI78" s="528"/>
      <c r="MPJ78" s="528"/>
      <c r="MPK78" s="528"/>
      <c r="MPL78" s="528"/>
      <c r="MPM78" s="528"/>
      <c r="MPN78" s="528"/>
      <c r="MPO78" s="528"/>
      <c r="MPP78" s="528"/>
      <c r="MPQ78" s="528"/>
      <c r="MPR78" s="528"/>
      <c r="MPS78" s="528"/>
      <c r="MPT78" s="528"/>
      <c r="MPU78" s="528"/>
      <c r="MPV78" s="528"/>
      <c r="MPW78" s="528"/>
      <c r="MPX78" s="528"/>
      <c r="MPY78" s="528"/>
      <c r="MPZ78" s="528"/>
      <c r="MQA78" s="528"/>
      <c r="MQB78" s="528"/>
      <c r="MQC78" s="528"/>
      <c r="MQD78" s="528"/>
      <c r="MQE78" s="528"/>
      <c r="MQF78" s="528"/>
      <c r="MQG78" s="528"/>
      <c r="MQH78" s="528"/>
      <c r="MQI78" s="528"/>
      <c r="MQJ78" s="528"/>
      <c r="MQK78" s="528"/>
      <c r="MQL78" s="528"/>
      <c r="MQM78" s="528"/>
      <c r="MQN78" s="528"/>
      <c r="MQO78" s="528"/>
      <c r="MQP78" s="528"/>
      <c r="MQQ78" s="528"/>
      <c r="MQR78" s="528"/>
      <c r="MQS78" s="528"/>
      <c r="MQT78" s="528"/>
      <c r="MQU78" s="528"/>
      <c r="MQV78" s="528"/>
      <c r="MQW78" s="528"/>
      <c r="MQX78" s="528"/>
      <c r="MQY78" s="528"/>
      <c r="MQZ78" s="528"/>
      <c r="MRA78" s="528"/>
      <c r="MRB78" s="528"/>
      <c r="MRC78" s="528"/>
      <c r="MRD78" s="528"/>
      <c r="MRE78" s="528"/>
      <c r="MRF78" s="528"/>
      <c r="MRG78" s="528"/>
      <c r="MRH78" s="528"/>
      <c r="MRI78" s="528"/>
      <c r="MRJ78" s="528"/>
      <c r="MRK78" s="528"/>
      <c r="MRL78" s="528"/>
      <c r="MRM78" s="528"/>
      <c r="MRN78" s="528"/>
      <c r="MRO78" s="528"/>
      <c r="MRP78" s="528"/>
      <c r="MRQ78" s="528"/>
      <c r="MRR78" s="528"/>
      <c r="MRS78" s="528"/>
      <c r="MRT78" s="528"/>
      <c r="MRU78" s="528"/>
      <c r="MRV78" s="528"/>
      <c r="MRW78" s="528"/>
      <c r="MRX78" s="528"/>
      <c r="MRY78" s="528"/>
      <c r="MRZ78" s="528"/>
      <c r="MSA78" s="528"/>
      <c r="MSB78" s="528"/>
      <c r="MSC78" s="528"/>
      <c r="MSD78" s="528"/>
      <c r="MSE78" s="528"/>
      <c r="MSF78" s="528"/>
      <c r="MSG78" s="528"/>
      <c r="MSH78" s="528"/>
      <c r="MSI78" s="528"/>
      <c r="MSJ78" s="528"/>
      <c r="MSK78" s="528"/>
      <c r="MSL78" s="528"/>
      <c r="MSM78" s="528"/>
      <c r="MSN78" s="528"/>
      <c r="MSO78" s="528"/>
      <c r="MSP78" s="528"/>
      <c r="MSQ78" s="528"/>
      <c r="MSR78" s="528"/>
      <c r="MSS78" s="528"/>
      <c r="MST78" s="528"/>
      <c r="MSU78" s="528"/>
      <c r="MSV78" s="528"/>
      <c r="MSW78" s="528"/>
      <c r="MSX78" s="528"/>
      <c r="MSY78" s="528"/>
      <c r="MSZ78" s="528"/>
      <c r="MTA78" s="528"/>
      <c r="MTB78" s="528"/>
      <c r="MTC78" s="528"/>
      <c r="MTD78" s="528"/>
      <c r="MTE78" s="528"/>
      <c r="MTF78" s="528"/>
      <c r="MTG78" s="528"/>
      <c r="MTH78" s="528"/>
      <c r="MTI78" s="528"/>
      <c r="MTJ78" s="528"/>
      <c r="MTK78" s="528"/>
      <c r="MTL78" s="528"/>
      <c r="MTM78" s="528"/>
      <c r="MTN78" s="528"/>
      <c r="MTO78" s="528"/>
      <c r="MTP78" s="528"/>
      <c r="MTQ78" s="528"/>
      <c r="MTR78" s="528"/>
      <c r="MTS78" s="528"/>
      <c r="MTT78" s="528"/>
      <c r="MTU78" s="528"/>
      <c r="MTV78" s="528"/>
      <c r="MTW78" s="528"/>
      <c r="MTX78" s="528"/>
      <c r="MTY78" s="528"/>
      <c r="MTZ78" s="528"/>
      <c r="MUA78" s="528"/>
      <c r="MUB78" s="528"/>
      <c r="MUC78" s="528"/>
      <c r="MUD78" s="528"/>
      <c r="MUE78" s="528"/>
      <c r="MUF78" s="528"/>
      <c r="MUG78" s="528"/>
      <c r="MUH78" s="528"/>
      <c r="MUI78" s="528"/>
      <c r="MUJ78" s="528"/>
      <c r="MUK78" s="528"/>
      <c r="MUL78" s="528"/>
      <c r="MUM78" s="528"/>
      <c r="MUN78" s="528"/>
      <c r="MUO78" s="528"/>
      <c r="MUP78" s="528"/>
      <c r="MUQ78" s="528"/>
      <c r="MUR78" s="528"/>
      <c r="MUS78" s="528"/>
      <c r="MUT78" s="528"/>
      <c r="MUU78" s="528"/>
      <c r="MUV78" s="528"/>
      <c r="MUW78" s="528"/>
      <c r="MUX78" s="528"/>
      <c r="MUY78" s="528"/>
      <c r="MUZ78" s="528"/>
      <c r="MVA78" s="528"/>
      <c r="MVB78" s="528"/>
      <c r="MVC78" s="528"/>
      <c r="MVD78" s="528"/>
      <c r="MVE78" s="528"/>
      <c r="MVF78" s="528"/>
      <c r="MVG78" s="528"/>
      <c r="MVH78" s="528"/>
      <c r="MVI78" s="528"/>
      <c r="MVJ78" s="528"/>
      <c r="MVK78" s="528"/>
      <c r="MVL78" s="528"/>
      <c r="MVM78" s="528"/>
      <c r="MVN78" s="528"/>
      <c r="MVO78" s="528"/>
      <c r="MVP78" s="528"/>
      <c r="MVQ78" s="528"/>
      <c r="MVR78" s="528"/>
      <c r="MVS78" s="528"/>
      <c r="MVT78" s="528"/>
      <c r="MVU78" s="528"/>
      <c r="MVV78" s="528"/>
      <c r="MVW78" s="528"/>
      <c r="MVX78" s="528"/>
      <c r="MVY78" s="528"/>
      <c r="MVZ78" s="528"/>
      <c r="MWA78" s="528"/>
      <c r="MWB78" s="528"/>
      <c r="MWC78" s="528"/>
      <c r="MWD78" s="528"/>
      <c r="MWE78" s="528"/>
      <c r="MWF78" s="528"/>
      <c r="MWG78" s="528"/>
      <c r="MWH78" s="528"/>
      <c r="MWI78" s="528"/>
      <c r="MWJ78" s="528"/>
      <c r="MWK78" s="528"/>
      <c r="MWL78" s="528"/>
      <c r="MWM78" s="528"/>
      <c r="MWN78" s="528"/>
      <c r="MWO78" s="528"/>
      <c r="MWP78" s="528"/>
      <c r="MWQ78" s="528"/>
      <c r="MWR78" s="528"/>
      <c r="MWS78" s="528"/>
      <c r="MWT78" s="528"/>
      <c r="MWU78" s="528"/>
      <c r="MWV78" s="528"/>
      <c r="MWW78" s="528"/>
      <c r="MWX78" s="528"/>
      <c r="MWY78" s="528"/>
      <c r="MWZ78" s="528"/>
      <c r="MXA78" s="528"/>
      <c r="MXB78" s="528"/>
      <c r="MXC78" s="528"/>
      <c r="MXD78" s="528"/>
      <c r="MXE78" s="528"/>
      <c r="MXF78" s="528"/>
      <c r="MXG78" s="528"/>
      <c r="MXH78" s="528"/>
      <c r="MXI78" s="528"/>
      <c r="MXJ78" s="528"/>
      <c r="MXK78" s="528"/>
      <c r="MXL78" s="528"/>
      <c r="MXM78" s="528"/>
      <c r="MXN78" s="528"/>
      <c r="MXO78" s="528"/>
      <c r="MXP78" s="528"/>
      <c r="MXQ78" s="528"/>
      <c r="MXR78" s="528"/>
      <c r="MXS78" s="528"/>
      <c r="MXT78" s="528"/>
      <c r="MXU78" s="528"/>
      <c r="MXV78" s="528"/>
      <c r="MXW78" s="528"/>
      <c r="MXX78" s="528"/>
      <c r="MXY78" s="528"/>
      <c r="MXZ78" s="528"/>
      <c r="MYA78" s="528"/>
      <c r="MYB78" s="528"/>
      <c r="MYC78" s="528"/>
      <c r="MYD78" s="528"/>
      <c r="MYE78" s="528"/>
      <c r="MYF78" s="528"/>
      <c r="MYG78" s="528"/>
      <c r="MYH78" s="528"/>
      <c r="MYI78" s="528"/>
      <c r="MYJ78" s="528"/>
      <c r="MYK78" s="528"/>
      <c r="MYL78" s="528"/>
      <c r="MYM78" s="528"/>
      <c r="MYN78" s="528"/>
      <c r="MYO78" s="528"/>
      <c r="MYP78" s="528"/>
      <c r="MYQ78" s="528"/>
      <c r="MYR78" s="528"/>
      <c r="MYS78" s="528"/>
      <c r="MYT78" s="528"/>
      <c r="MYU78" s="528"/>
      <c r="MYV78" s="528"/>
      <c r="MYW78" s="528"/>
      <c r="MYX78" s="528"/>
      <c r="MYY78" s="528"/>
      <c r="MYZ78" s="528"/>
      <c r="MZA78" s="528"/>
      <c r="MZB78" s="528"/>
      <c r="MZC78" s="528"/>
      <c r="MZD78" s="528"/>
      <c r="MZE78" s="528"/>
      <c r="MZF78" s="528"/>
      <c r="MZG78" s="528"/>
      <c r="MZH78" s="528"/>
      <c r="MZI78" s="528"/>
      <c r="MZJ78" s="528"/>
      <c r="MZK78" s="528"/>
      <c r="MZL78" s="528"/>
      <c r="MZM78" s="528"/>
      <c r="MZN78" s="528"/>
      <c r="MZO78" s="528"/>
      <c r="MZP78" s="528"/>
      <c r="MZQ78" s="528"/>
      <c r="MZR78" s="528"/>
      <c r="MZS78" s="528"/>
      <c r="MZT78" s="528"/>
      <c r="MZU78" s="528"/>
      <c r="MZV78" s="528"/>
      <c r="MZW78" s="528"/>
      <c r="MZX78" s="528"/>
      <c r="MZY78" s="528"/>
      <c r="MZZ78" s="528"/>
      <c r="NAA78" s="528"/>
      <c r="NAB78" s="528"/>
      <c r="NAC78" s="528"/>
      <c r="NAD78" s="528"/>
      <c r="NAE78" s="528"/>
      <c r="NAF78" s="528"/>
      <c r="NAG78" s="528"/>
      <c r="NAH78" s="528"/>
      <c r="NAI78" s="528"/>
      <c r="NAJ78" s="528"/>
      <c r="NAK78" s="528"/>
      <c r="NAL78" s="528"/>
      <c r="NAM78" s="528"/>
      <c r="NAN78" s="528"/>
      <c r="NAO78" s="528"/>
      <c r="NAP78" s="528"/>
      <c r="NAQ78" s="528"/>
      <c r="NAR78" s="528"/>
      <c r="NAS78" s="528"/>
      <c r="NAT78" s="528"/>
      <c r="NAU78" s="528"/>
      <c r="NAV78" s="528"/>
      <c r="NAW78" s="528"/>
      <c r="NAX78" s="528"/>
      <c r="NAY78" s="528"/>
      <c r="NAZ78" s="528"/>
      <c r="NBA78" s="528"/>
      <c r="NBB78" s="528"/>
      <c r="NBC78" s="528"/>
      <c r="NBD78" s="528"/>
      <c r="NBE78" s="528"/>
      <c r="NBF78" s="528"/>
      <c r="NBG78" s="528"/>
      <c r="NBH78" s="528"/>
      <c r="NBI78" s="528"/>
      <c r="NBJ78" s="528"/>
      <c r="NBK78" s="528"/>
      <c r="NBL78" s="528"/>
      <c r="NBM78" s="528"/>
      <c r="NBN78" s="528"/>
      <c r="NBO78" s="528"/>
      <c r="NBP78" s="528"/>
      <c r="NBQ78" s="528"/>
      <c r="NBR78" s="528"/>
      <c r="NBS78" s="528"/>
      <c r="NBT78" s="528"/>
      <c r="NBU78" s="528"/>
      <c r="NBV78" s="528"/>
      <c r="NBW78" s="528"/>
      <c r="NBX78" s="528"/>
      <c r="NBY78" s="528"/>
      <c r="NBZ78" s="528"/>
      <c r="NCA78" s="528"/>
      <c r="NCB78" s="528"/>
      <c r="NCC78" s="528"/>
      <c r="NCD78" s="528"/>
      <c r="NCE78" s="528"/>
      <c r="NCF78" s="528"/>
      <c r="NCG78" s="528"/>
      <c r="NCH78" s="528"/>
      <c r="NCI78" s="528"/>
      <c r="NCJ78" s="528"/>
      <c r="NCK78" s="528"/>
      <c r="NCL78" s="528"/>
      <c r="NCM78" s="528"/>
      <c r="NCN78" s="528"/>
      <c r="NCO78" s="528"/>
      <c r="NCP78" s="528"/>
      <c r="NCQ78" s="528"/>
      <c r="NCR78" s="528"/>
      <c r="NCS78" s="528"/>
      <c r="NCT78" s="528"/>
      <c r="NCU78" s="528"/>
      <c r="NCV78" s="528"/>
      <c r="NCW78" s="528"/>
      <c r="NCX78" s="528"/>
      <c r="NCY78" s="528"/>
      <c r="NCZ78" s="528"/>
      <c r="NDA78" s="528"/>
      <c r="NDB78" s="528"/>
      <c r="NDC78" s="528"/>
      <c r="NDD78" s="528"/>
      <c r="NDE78" s="528"/>
      <c r="NDF78" s="528"/>
      <c r="NDG78" s="528"/>
      <c r="NDH78" s="528"/>
      <c r="NDI78" s="528"/>
      <c r="NDJ78" s="528"/>
      <c r="NDK78" s="528"/>
      <c r="NDL78" s="528"/>
      <c r="NDM78" s="528"/>
      <c r="NDN78" s="528"/>
      <c r="NDO78" s="528"/>
      <c r="NDP78" s="528"/>
      <c r="NDQ78" s="528"/>
      <c r="NDR78" s="528"/>
      <c r="NDS78" s="528"/>
      <c r="NDT78" s="528"/>
      <c r="NDU78" s="528"/>
      <c r="NDV78" s="528"/>
      <c r="NDW78" s="528"/>
      <c r="NDX78" s="528"/>
      <c r="NDY78" s="528"/>
      <c r="NDZ78" s="528"/>
      <c r="NEA78" s="528"/>
      <c r="NEB78" s="528"/>
      <c r="NEC78" s="528"/>
      <c r="NED78" s="528"/>
      <c r="NEE78" s="528"/>
      <c r="NEF78" s="528"/>
      <c r="NEG78" s="528"/>
      <c r="NEH78" s="528"/>
      <c r="NEI78" s="528"/>
      <c r="NEJ78" s="528"/>
      <c r="NEK78" s="528"/>
      <c r="NEL78" s="528"/>
      <c r="NEM78" s="528"/>
      <c r="NEN78" s="528"/>
      <c r="NEO78" s="528"/>
      <c r="NEP78" s="528"/>
      <c r="NEQ78" s="528"/>
      <c r="NER78" s="528"/>
      <c r="NES78" s="528"/>
      <c r="NET78" s="528"/>
      <c r="NEU78" s="528"/>
      <c r="NEV78" s="528"/>
      <c r="NEW78" s="528"/>
      <c r="NEX78" s="528"/>
      <c r="NEY78" s="528"/>
      <c r="NEZ78" s="528"/>
      <c r="NFA78" s="528"/>
      <c r="NFB78" s="528"/>
      <c r="NFC78" s="528"/>
      <c r="NFD78" s="528"/>
      <c r="NFE78" s="528"/>
      <c r="NFF78" s="528"/>
      <c r="NFG78" s="528"/>
      <c r="NFH78" s="528"/>
      <c r="NFI78" s="528"/>
      <c r="NFJ78" s="528"/>
      <c r="NFK78" s="528"/>
      <c r="NFL78" s="528"/>
      <c r="NFM78" s="528"/>
      <c r="NFN78" s="528"/>
      <c r="NFO78" s="528"/>
      <c r="NFP78" s="528"/>
      <c r="NFQ78" s="528"/>
      <c r="NFR78" s="528"/>
      <c r="NFS78" s="528"/>
      <c r="NFT78" s="528"/>
      <c r="NFU78" s="528"/>
      <c r="NFV78" s="528"/>
      <c r="NFW78" s="528"/>
      <c r="NFX78" s="528"/>
      <c r="NFY78" s="528"/>
      <c r="NFZ78" s="528"/>
      <c r="NGA78" s="528"/>
      <c r="NGB78" s="528"/>
      <c r="NGC78" s="528"/>
      <c r="NGD78" s="528"/>
      <c r="NGE78" s="528"/>
      <c r="NGF78" s="528"/>
      <c r="NGG78" s="528"/>
      <c r="NGH78" s="528"/>
      <c r="NGI78" s="528"/>
      <c r="NGJ78" s="528"/>
      <c r="NGK78" s="528"/>
      <c r="NGL78" s="528"/>
      <c r="NGM78" s="528"/>
      <c r="NGN78" s="528"/>
      <c r="NGO78" s="528"/>
      <c r="NGP78" s="528"/>
      <c r="NGQ78" s="528"/>
      <c r="NGR78" s="528"/>
      <c r="NGS78" s="528"/>
      <c r="NGT78" s="528"/>
      <c r="NGU78" s="528"/>
      <c r="NGV78" s="528"/>
      <c r="NGW78" s="528"/>
      <c r="NGX78" s="528"/>
      <c r="NGY78" s="528"/>
      <c r="NGZ78" s="528"/>
      <c r="NHA78" s="528"/>
      <c r="NHB78" s="528"/>
      <c r="NHC78" s="528"/>
      <c r="NHD78" s="528"/>
      <c r="NHE78" s="528"/>
      <c r="NHF78" s="528"/>
      <c r="NHG78" s="528"/>
      <c r="NHH78" s="528"/>
      <c r="NHI78" s="528"/>
      <c r="NHJ78" s="528"/>
      <c r="NHK78" s="528"/>
      <c r="NHL78" s="528"/>
      <c r="NHM78" s="528"/>
      <c r="NHN78" s="528"/>
      <c r="NHO78" s="528"/>
      <c r="NHP78" s="528"/>
      <c r="NHQ78" s="528"/>
      <c r="NHR78" s="528"/>
      <c r="NHS78" s="528"/>
      <c r="NHT78" s="528"/>
      <c r="NHU78" s="528"/>
      <c r="NHV78" s="528"/>
      <c r="NHW78" s="528"/>
      <c r="NHX78" s="528"/>
      <c r="NHY78" s="528"/>
      <c r="NHZ78" s="528"/>
      <c r="NIA78" s="528"/>
      <c r="NIB78" s="528"/>
      <c r="NIC78" s="528"/>
      <c r="NID78" s="528"/>
      <c r="NIE78" s="528"/>
      <c r="NIF78" s="528"/>
      <c r="NIG78" s="528"/>
      <c r="NIH78" s="528"/>
      <c r="NII78" s="528"/>
      <c r="NIJ78" s="528"/>
      <c r="NIK78" s="528"/>
      <c r="NIL78" s="528"/>
      <c r="NIM78" s="528"/>
      <c r="NIN78" s="528"/>
      <c r="NIO78" s="528"/>
      <c r="NIP78" s="528"/>
      <c r="NIQ78" s="528"/>
      <c r="NIR78" s="528"/>
      <c r="NIS78" s="528"/>
      <c r="NIT78" s="528"/>
      <c r="NIU78" s="528"/>
      <c r="NIV78" s="528"/>
      <c r="NIW78" s="528"/>
      <c r="NIX78" s="528"/>
      <c r="NIY78" s="528"/>
      <c r="NIZ78" s="528"/>
      <c r="NJA78" s="528"/>
      <c r="NJB78" s="528"/>
      <c r="NJC78" s="528"/>
      <c r="NJD78" s="528"/>
      <c r="NJE78" s="528"/>
      <c r="NJF78" s="528"/>
      <c r="NJG78" s="528"/>
      <c r="NJH78" s="528"/>
      <c r="NJI78" s="528"/>
      <c r="NJJ78" s="528"/>
      <c r="NJK78" s="528"/>
      <c r="NJL78" s="528"/>
      <c r="NJM78" s="528"/>
      <c r="NJN78" s="528"/>
      <c r="NJO78" s="528"/>
      <c r="NJP78" s="528"/>
      <c r="NJQ78" s="528"/>
      <c r="NJR78" s="528"/>
      <c r="NJS78" s="528"/>
      <c r="NJT78" s="528"/>
      <c r="NJU78" s="528"/>
      <c r="NJV78" s="528"/>
      <c r="NJW78" s="528"/>
      <c r="NJX78" s="528"/>
      <c r="NJY78" s="528"/>
      <c r="NJZ78" s="528"/>
      <c r="NKA78" s="528"/>
      <c r="NKB78" s="528"/>
      <c r="NKC78" s="528"/>
      <c r="NKD78" s="528"/>
      <c r="NKE78" s="528"/>
      <c r="NKF78" s="528"/>
      <c r="NKG78" s="528"/>
      <c r="NKH78" s="528"/>
      <c r="NKI78" s="528"/>
      <c r="NKJ78" s="528"/>
      <c r="NKK78" s="528"/>
      <c r="NKL78" s="528"/>
      <c r="NKM78" s="528"/>
      <c r="NKN78" s="528"/>
      <c r="NKO78" s="528"/>
      <c r="NKP78" s="528"/>
      <c r="NKQ78" s="528"/>
      <c r="NKR78" s="528"/>
      <c r="NKS78" s="528"/>
      <c r="NKT78" s="528"/>
      <c r="NKU78" s="528"/>
      <c r="NKV78" s="528"/>
      <c r="NKW78" s="528"/>
      <c r="NKX78" s="528"/>
      <c r="NKY78" s="528"/>
      <c r="NKZ78" s="528"/>
      <c r="NLA78" s="528"/>
      <c r="NLB78" s="528"/>
      <c r="NLC78" s="528"/>
      <c r="NLD78" s="528"/>
      <c r="NLE78" s="528"/>
      <c r="NLF78" s="528"/>
      <c r="NLG78" s="528"/>
      <c r="NLH78" s="528"/>
      <c r="NLI78" s="528"/>
      <c r="NLJ78" s="528"/>
      <c r="NLK78" s="528"/>
      <c r="NLL78" s="528"/>
      <c r="NLM78" s="528"/>
      <c r="NLN78" s="528"/>
      <c r="NLO78" s="528"/>
      <c r="NLP78" s="528"/>
      <c r="NLQ78" s="528"/>
      <c r="NLR78" s="528"/>
      <c r="NLS78" s="528"/>
      <c r="NLT78" s="528"/>
      <c r="NLU78" s="528"/>
      <c r="NLV78" s="528"/>
      <c r="NLW78" s="528"/>
      <c r="NLX78" s="528"/>
      <c r="NLY78" s="528"/>
      <c r="NLZ78" s="528"/>
      <c r="NMA78" s="528"/>
      <c r="NMB78" s="528"/>
      <c r="NMC78" s="528"/>
      <c r="NMD78" s="528"/>
      <c r="NME78" s="528"/>
      <c r="NMF78" s="528"/>
      <c r="NMG78" s="528"/>
      <c r="NMH78" s="528"/>
      <c r="NMI78" s="528"/>
      <c r="NMJ78" s="528"/>
      <c r="NMK78" s="528"/>
      <c r="NML78" s="528"/>
      <c r="NMM78" s="528"/>
      <c r="NMN78" s="528"/>
      <c r="NMO78" s="528"/>
      <c r="NMP78" s="528"/>
      <c r="NMQ78" s="528"/>
      <c r="NMR78" s="528"/>
      <c r="NMS78" s="528"/>
      <c r="NMT78" s="528"/>
      <c r="NMU78" s="528"/>
      <c r="NMV78" s="528"/>
      <c r="NMW78" s="528"/>
      <c r="NMX78" s="528"/>
      <c r="NMY78" s="528"/>
      <c r="NMZ78" s="528"/>
      <c r="NNA78" s="528"/>
      <c r="NNB78" s="528"/>
      <c r="NNC78" s="528"/>
      <c r="NND78" s="528"/>
      <c r="NNE78" s="528"/>
      <c r="NNF78" s="528"/>
      <c r="NNG78" s="528"/>
      <c r="NNH78" s="528"/>
      <c r="NNI78" s="528"/>
      <c r="NNJ78" s="528"/>
      <c r="NNK78" s="528"/>
      <c r="NNL78" s="528"/>
      <c r="NNM78" s="528"/>
      <c r="NNN78" s="528"/>
      <c r="NNO78" s="528"/>
      <c r="NNP78" s="528"/>
      <c r="NNQ78" s="528"/>
      <c r="NNR78" s="528"/>
      <c r="NNS78" s="528"/>
      <c r="NNT78" s="528"/>
      <c r="NNU78" s="528"/>
      <c r="NNV78" s="528"/>
      <c r="NNW78" s="528"/>
      <c r="NNX78" s="528"/>
      <c r="NNY78" s="528"/>
      <c r="NNZ78" s="528"/>
      <c r="NOA78" s="528"/>
      <c r="NOB78" s="528"/>
      <c r="NOC78" s="528"/>
      <c r="NOD78" s="528"/>
      <c r="NOE78" s="528"/>
      <c r="NOF78" s="528"/>
      <c r="NOG78" s="528"/>
      <c r="NOH78" s="528"/>
      <c r="NOI78" s="528"/>
      <c r="NOJ78" s="528"/>
      <c r="NOK78" s="528"/>
      <c r="NOL78" s="528"/>
      <c r="NOM78" s="528"/>
      <c r="NON78" s="528"/>
      <c r="NOO78" s="528"/>
      <c r="NOP78" s="528"/>
      <c r="NOQ78" s="528"/>
      <c r="NOR78" s="528"/>
      <c r="NOS78" s="528"/>
      <c r="NOT78" s="528"/>
      <c r="NOU78" s="528"/>
      <c r="NOV78" s="528"/>
      <c r="NOW78" s="528"/>
      <c r="NOX78" s="528"/>
      <c r="NOY78" s="528"/>
      <c r="NOZ78" s="528"/>
      <c r="NPA78" s="528"/>
      <c r="NPB78" s="528"/>
      <c r="NPC78" s="528"/>
      <c r="NPD78" s="528"/>
      <c r="NPE78" s="528"/>
      <c r="NPF78" s="528"/>
      <c r="NPG78" s="528"/>
      <c r="NPH78" s="528"/>
      <c r="NPI78" s="528"/>
      <c r="NPJ78" s="528"/>
      <c r="NPK78" s="528"/>
      <c r="NPL78" s="528"/>
      <c r="NPM78" s="528"/>
      <c r="NPN78" s="528"/>
      <c r="NPO78" s="528"/>
      <c r="NPP78" s="528"/>
      <c r="NPQ78" s="528"/>
      <c r="NPR78" s="528"/>
      <c r="NPS78" s="528"/>
      <c r="NPT78" s="528"/>
      <c r="NPU78" s="528"/>
      <c r="NPV78" s="528"/>
      <c r="NPW78" s="528"/>
      <c r="NPX78" s="528"/>
      <c r="NPY78" s="528"/>
      <c r="NPZ78" s="528"/>
      <c r="NQA78" s="528"/>
      <c r="NQB78" s="528"/>
      <c r="NQC78" s="528"/>
      <c r="NQD78" s="528"/>
      <c r="NQE78" s="528"/>
      <c r="NQF78" s="528"/>
      <c r="NQG78" s="528"/>
      <c r="NQH78" s="528"/>
      <c r="NQI78" s="528"/>
      <c r="NQJ78" s="528"/>
      <c r="NQK78" s="528"/>
      <c r="NQL78" s="528"/>
      <c r="NQM78" s="528"/>
      <c r="NQN78" s="528"/>
      <c r="NQO78" s="528"/>
      <c r="NQP78" s="528"/>
      <c r="NQQ78" s="528"/>
      <c r="NQR78" s="528"/>
      <c r="NQS78" s="528"/>
      <c r="NQT78" s="528"/>
      <c r="NQU78" s="528"/>
      <c r="NQV78" s="528"/>
      <c r="NQW78" s="528"/>
      <c r="NQX78" s="528"/>
      <c r="NQY78" s="528"/>
      <c r="NQZ78" s="528"/>
      <c r="NRA78" s="528"/>
      <c r="NRB78" s="528"/>
      <c r="NRC78" s="528"/>
      <c r="NRD78" s="528"/>
      <c r="NRE78" s="528"/>
      <c r="NRF78" s="528"/>
      <c r="NRG78" s="528"/>
      <c r="NRH78" s="528"/>
      <c r="NRI78" s="528"/>
      <c r="NRJ78" s="528"/>
      <c r="NRK78" s="528"/>
      <c r="NRL78" s="528"/>
      <c r="NRM78" s="528"/>
      <c r="NRN78" s="528"/>
      <c r="NRO78" s="528"/>
      <c r="NRP78" s="528"/>
      <c r="NRQ78" s="528"/>
      <c r="NRR78" s="528"/>
      <c r="NRS78" s="528"/>
      <c r="NRT78" s="528"/>
      <c r="NRU78" s="528"/>
      <c r="NRV78" s="528"/>
      <c r="NRW78" s="528"/>
      <c r="NRX78" s="528"/>
      <c r="NRY78" s="528"/>
      <c r="NRZ78" s="528"/>
      <c r="NSA78" s="528"/>
      <c r="NSB78" s="528"/>
      <c r="NSC78" s="528"/>
      <c r="NSD78" s="528"/>
      <c r="NSE78" s="528"/>
      <c r="NSF78" s="528"/>
      <c r="NSG78" s="528"/>
      <c r="NSH78" s="528"/>
      <c r="NSI78" s="528"/>
      <c r="NSJ78" s="528"/>
      <c r="NSK78" s="528"/>
      <c r="NSL78" s="528"/>
      <c r="NSM78" s="528"/>
      <c r="NSN78" s="528"/>
      <c r="NSO78" s="528"/>
      <c r="NSP78" s="528"/>
      <c r="NSQ78" s="528"/>
      <c r="NSR78" s="528"/>
      <c r="NSS78" s="528"/>
      <c r="NST78" s="528"/>
      <c r="NSU78" s="528"/>
      <c r="NSV78" s="528"/>
      <c r="NSW78" s="528"/>
      <c r="NSX78" s="528"/>
      <c r="NSY78" s="528"/>
      <c r="NSZ78" s="528"/>
      <c r="NTA78" s="528"/>
      <c r="NTB78" s="528"/>
      <c r="NTC78" s="528"/>
      <c r="NTD78" s="528"/>
      <c r="NTE78" s="528"/>
      <c r="NTF78" s="528"/>
      <c r="NTG78" s="528"/>
      <c r="NTH78" s="528"/>
      <c r="NTI78" s="528"/>
      <c r="NTJ78" s="528"/>
      <c r="NTK78" s="528"/>
      <c r="NTL78" s="528"/>
      <c r="NTM78" s="528"/>
      <c r="NTN78" s="528"/>
      <c r="NTO78" s="528"/>
      <c r="NTP78" s="528"/>
      <c r="NTQ78" s="528"/>
      <c r="NTR78" s="528"/>
      <c r="NTS78" s="528"/>
      <c r="NTT78" s="528"/>
      <c r="NTU78" s="528"/>
      <c r="NTV78" s="528"/>
      <c r="NTW78" s="528"/>
      <c r="NTX78" s="528"/>
      <c r="NTY78" s="528"/>
      <c r="NTZ78" s="528"/>
      <c r="NUA78" s="528"/>
      <c r="NUB78" s="528"/>
      <c r="NUC78" s="528"/>
      <c r="NUD78" s="528"/>
      <c r="NUE78" s="528"/>
      <c r="NUF78" s="528"/>
      <c r="NUG78" s="528"/>
      <c r="NUH78" s="528"/>
      <c r="NUI78" s="528"/>
      <c r="NUJ78" s="528"/>
      <c r="NUK78" s="528"/>
      <c r="NUL78" s="528"/>
      <c r="NUM78" s="528"/>
      <c r="NUN78" s="528"/>
      <c r="NUO78" s="528"/>
      <c r="NUP78" s="528"/>
      <c r="NUQ78" s="528"/>
      <c r="NUR78" s="528"/>
      <c r="NUS78" s="528"/>
      <c r="NUT78" s="528"/>
      <c r="NUU78" s="528"/>
      <c r="NUV78" s="528"/>
      <c r="NUW78" s="528"/>
      <c r="NUX78" s="528"/>
      <c r="NUY78" s="528"/>
      <c r="NUZ78" s="528"/>
      <c r="NVA78" s="528"/>
      <c r="NVB78" s="528"/>
      <c r="NVC78" s="528"/>
      <c r="NVD78" s="528"/>
      <c r="NVE78" s="528"/>
      <c r="NVF78" s="528"/>
      <c r="NVG78" s="528"/>
      <c r="NVH78" s="528"/>
      <c r="NVI78" s="528"/>
      <c r="NVJ78" s="528"/>
      <c r="NVK78" s="528"/>
      <c r="NVL78" s="528"/>
      <c r="NVM78" s="528"/>
      <c r="NVN78" s="528"/>
      <c r="NVO78" s="528"/>
      <c r="NVP78" s="528"/>
      <c r="NVQ78" s="528"/>
      <c r="NVR78" s="528"/>
      <c r="NVS78" s="528"/>
      <c r="NVT78" s="528"/>
      <c r="NVU78" s="528"/>
      <c r="NVV78" s="528"/>
      <c r="NVW78" s="528"/>
      <c r="NVX78" s="528"/>
      <c r="NVY78" s="528"/>
      <c r="NVZ78" s="528"/>
      <c r="NWA78" s="528"/>
      <c r="NWB78" s="528"/>
      <c r="NWC78" s="528"/>
      <c r="NWD78" s="528"/>
      <c r="NWE78" s="528"/>
      <c r="NWF78" s="528"/>
      <c r="NWG78" s="528"/>
      <c r="NWH78" s="528"/>
      <c r="NWI78" s="528"/>
      <c r="NWJ78" s="528"/>
      <c r="NWK78" s="528"/>
      <c r="NWL78" s="528"/>
      <c r="NWM78" s="528"/>
      <c r="NWN78" s="528"/>
      <c r="NWO78" s="528"/>
      <c r="NWP78" s="528"/>
      <c r="NWQ78" s="528"/>
      <c r="NWR78" s="528"/>
      <c r="NWS78" s="528"/>
      <c r="NWT78" s="528"/>
      <c r="NWU78" s="528"/>
      <c r="NWV78" s="528"/>
      <c r="NWW78" s="528"/>
      <c r="NWX78" s="528"/>
      <c r="NWY78" s="528"/>
      <c r="NWZ78" s="528"/>
      <c r="NXA78" s="528"/>
      <c r="NXB78" s="528"/>
      <c r="NXC78" s="528"/>
      <c r="NXD78" s="528"/>
      <c r="NXE78" s="528"/>
      <c r="NXF78" s="528"/>
      <c r="NXG78" s="528"/>
      <c r="NXH78" s="528"/>
      <c r="NXI78" s="528"/>
      <c r="NXJ78" s="528"/>
      <c r="NXK78" s="528"/>
      <c r="NXL78" s="528"/>
      <c r="NXM78" s="528"/>
      <c r="NXN78" s="528"/>
      <c r="NXO78" s="528"/>
      <c r="NXP78" s="528"/>
      <c r="NXQ78" s="528"/>
      <c r="NXR78" s="528"/>
      <c r="NXS78" s="528"/>
      <c r="NXT78" s="528"/>
      <c r="NXU78" s="528"/>
      <c r="NXV78" s="528"/>
      <c r="NXW78" s="528"/>
      <c r="NXX78" s="528"/>
      <c r="NXY78" s="528"/>
      <c r="NXZ78" s="528"/>
      <c r="NYA78" s="528"/>
      <c r="NYB78" s="528"/>
      <c r="NYC78" s="528"/>
      <c r="NYD78" s="528"/>
      <c r="NYE78" s="528"/>
      <c r="NYF78" s="528"/>
      <c r="NYG78" s="528"/>
      <c r="NYH78" s="528"/>
      <c r="NYI78" s="528"/>
      <c r="NYJ78" s="528"/>
      <c r="NYK78" s="528"/>
      <c r="NYL78" s="528"/>
      <c r="NYM78" s="528"/>
      <c r="NYN78" s="528"/>
      <c r="NYO78" s="528"/>
      <c r="NYP78" s="528"/>
      <c r="NYQ78" s="528"/>
      <c r="NYR78" s="528"/>
      <c r="NYS78" s="528"/>
      <c r="NYT78" s="528"/>
      <c r="NYU78" s="528"/>
      <c r="NYV78" s="528"/>
      <c r="NYW78" s="528"/>
      <c r="NYX78" s="528"/>
      <c r="NYY78" s="528"/>
      <c r="NYZ78" s="528"/>
      <c r="NZA78" s="528"/>
      <c r="NZB78" s="528"/>
      <c r="NZC78" s="528"/>
      <c r="NZD78" s="528"/>
      <c r="NZE78" s="528"/>
      <c r="NZF78" s="528"/>
      <c r="NZG78" s="528"/>
      <c r="NZH78" s="528"/>
      <c r="NZI78" s="528"/>
      <c r="NZJ78" s="528"/>
      <c r="NZK78" s="528"/>
      <c r="NZL78" s="528"/>
      <c r="NZM78" s="528"/>
      <c r="NZN78" s="528"/>
      <c r="NZO78" s="528"/>
      <c r="NZP78" s="528"/>
      <c r="NZQ78" s="528"/>
      <c r="NZR78" s="528"/>
      <c r="NZS78" s="528"/>
      <c r="NZT78" s="528"/>
      <c r="NZU78" s="528"/>
      <c r="NZV78" s="528"/>
      <c r="NZW78" s="528"/>
      <c r="NZX78" s="528"/>
      <c r="NZY78" s="528"/>
      <c r="NZZ78" s="528"/>
      <c r="OAA78" s="528"/>
      <c r="OAB78" s="528"/>
      <c r="OAC78" s="528"/>
      <c r="OAD78" s="528"/>
      <c r="OAE78" s="528"/>
      <c r="OAF78" s="528"/>
      <c r="OAG78" s="528"/>
      <c r="OAH78" s="528"/>
      <c r="OAI78" s="528"/>
      <c r="OAJ78" s="528"/>
      <c r="OAK78" s="528"/>
      <c r="OAL78" s="528"/>
      <c r="OAM78" s="528"/>
      <c r="OAN78" s="528"/>
      <c r="OAO78" s="528"/>
      <c r="OAP78" s="528"/>
      <c r="OAQ78" s="528"/>
      <c r="OAR78" s="528"/>
      <c r="OAS78" s="528"/>
      <c r="OAT78" s="528"/>
      <c r="OAU78" s="528"/>
      <c r="OAV78" s="528"/>
      <c r="OAW78" s="528"/>
      <c r="OAX78" s="528"/>
      <c r="OAY78" s="528"/>
      <c r="OAZ78" s="528"/>
      <c r="OBA78" s="528"/>
      <c r="OBB78" s="528"/>
      <c r="OBC78" s="528"/>
      <c r="OBD78" s="528"/>
      <c r="OBE78" s="528"/>
      <c r="OBF78" s="528"/>
      <c r="OBG78" s="528"/>
      <c r="OBH78" s="528"/>
      <c r="OBI78" s="528"/>
      <c r="OBJ78" s="528"/>
      <c r="OBK78" s="528"/>
      <c r="OBL78" s="528"/>
      <c r="OBM78" s="528"/>
      <c r="OBN78" s="528"/>
      <c r="OBO78" s="528"/>
      <c r="OBP78" s="528"/>
      <c r="OBQ78" s="528"/>
      <c r="OBR78" s="528"/>
      <c r="OBS78" s="528"/>
      <c r="OBT78" s="528"/>
      <c r="OBU78" s="528"/>
      <c r="OBV78" s="528"/>
      <c r="OBW78" s="528"/>
      <c r="OBX78" s="528"/>
      <c r="OBY78" s="528"/>
      <c r="OBZ78" s="528"/>
      <c r="OCA78" s="528"/>
      <c r="OCB78" s="528"/>
      <c r="OCC78" s="528"/>
      <c r="OCD78" s="528"/>
      <c r="OCE78" s="528"/>
      <c r="OCF78" s="528"/>
      <c r="OCG78" s="528"/>
      <c r="OCH78" s="528"/>
      <c r="OCI78" s="528"/>
      <c r="OCJ78" s="528"/>
      <c r="OCK78" s="528"/>
      <c r="OCL78" s="528"/>
      <c r="OCM78" s="528"/>
      <c r="OCN78" s="528"/>
      <c r="OCO78" s="528"/>
      <c r="OCP78" s="528"/>
      <c r="OCQ78" s="528"/>
      <c r="OCR78" s="528"/>
      <c r="OCS78" s="528"/>
      <c r="OCT78" s="528"/>
      <c r="OCU78" s="528"/>
      <c r="OCV78" s="528"/>
      <c r="OCW78" s="528"/>
      <c r="OCX78" s="528"/>
      <c r="OCY78" s="528"/>
      <c r="OCZ78" s="528"/>
      <c r="ODA78" s="528"/>
      <c r="ODB78" s="528"/>
      <c r="ODC78" s="528"/>
      <c r="ODD78" s="528"/>
      <c r="ODE78" s="528"/>
      <c r="ODF78" s="528"/>
      <c r="ODG78" s="528"/>
      <c r="ODH78" s="528"/>
      <c r="ODI78" s="528"/>
      <c r="ODJ78" s="528"/>
      <c r="ODK78" s="528"/>
      <c r="ODL78" s="528"/>
      <c r="ODM78" s="528"/>
      <c r="ODN78" s="528"/>
      <c r="ODO78" s="528"/>
      <c r="ODP78" s="528"/>
      <c r="ODQ78" s="528"/>
      <c r="ODR78" s="528"/>
      <c r="ODS78" s="528"/>
      <c r="ODT78" s="528"/>
      <c r="ODU78" s="528"/>
      <c r="ODV78" s="528"/>
      <c r="ODW78" s="528"/>
      <c r="ODX78" s="528"/>
      <c r="ODY78" s="528"/>
      <c r="ODZ78" s="528"/>
      <c r="OEA78" s="528"/>
      <c r="OEB78" s="528"/>
      <c r="OEC78" s="528"/>
      <c r="OED78" s="528"/>
      <c r="OEE78" s="528"/>
      <c r="OEF78" s="528"/>
      <c r="OEG78" s="528"/>
      <c r="OEH78" s="528"/>
      <c r="OEI78" s="528"/>
      <c r="OEJ78" s="528"/>
      <c r="OEK78" s="528"/>
      <c r="OEL78" s="528"/>
      <c r="OEM78" s="528"/>
      <c r="OEN78" s="528"/>
      <c r="OEO78" s="528"/>
      <c r="OEP78" s="528"/>
      <c r="OEQ78" s="528"/>
      <c r="OER78" s="528"/>
      <c r="OES78" s="528"/>
      <c r="OET78" s="528"/>
      <c r="OEU78" s="528"/>
      <c r="OEV78" s="528"/>
      <c r="OEW78" s="528"/>
      <c r="OEX78" s="528"/>
      <c r="OEY78" s="528"/>
      <c r="OEZ78" s="528"/>
      <c r="OFA78" s="528"/>
      <c r="OFB78" s="528"/>
      <c r="OFC78" s="528"/>
      <c r="OFD78" s="528"/>
      <c r="OFE78" s="528"/>
      <c r="OFF78" s="528"/>
      <c r="OFG78" s="528"/>
      <c r="OFH78" s="528"/>
      <c r="OFI78" s="528"/>
      <c r="OFJ78" s="528"/>
      <c r="OFK78" s="528"/>
      <c r="OFL78" s="528"/>
      <c r="OFM78" s="528"/>
      <c r="OFN78" s="528"/>
      <c r="OFO78" s="528"/>
      <c r="OFP78" s="528"/>
      <c r="OFQ78" s="528"/>
      <c r="OFR78" s="528"/>
      <c r="OFS78" s="528"/>
      <c r="OFT78" s="528"/>
      <c r="OFU78" s="528"/>
      <c r="OFV78" s="528"/>
      <c r="OFW78" s="528"/>
      <c r="OFX78" s="528"/>
      <c r="OFY78" s="528"/>
      <c r="OFZ78" s="528"/>
      <c r="OGA78" s="528"/>
      <c r="OGB78" s="528"/>
      <c r="OGC78" s="528"/>
      <c r="OGD78" s="528"/>
      <c r="OGE78" s="528"/>
      <c r="OGF78" s="528"/>
      <c r="OGG78" s="528"/>
      <c r="OGH78" s="528"/>
      <c r="OGI78" s="528"/>
      <c r="OGJ78" s="528"/>
      <c r="OGK78" s="528"/>
      <c r="OGL78" s="528"/>
      <c r="OGM78" s="528"/>
      <c r="OGN78" s="528"/>
      <c r="OGO78" s="528"/>
      <c r="OGP78" s="528"/>
      <c r="OGQ78" s="528"/>
      <c r="OGR78" s="528"/>
      <c r="OGS78" s="528"/>
      <c r="OGT78" s="528"/>
      <c r="OGU78" s="528"/>
      <c r="OGV78" s="528"/>
      <c r="OGW78" s="528"/>
      <c r="OGX78" s="528"/>
      <c r="OGY78" s="528"/>
      <c r="OGZ78" s="528"/>
      <c r="OHA78" s="528"/>
      <c r="OHB78" s="528"/>
      <c r="OHC78" s="528"/>
      <c r="OHD78" s="528"/>
      <c r="OHE78" s="528"/>
      <c r="OHF78" s="528"/>
      <c r="OHG78" s="528"/>
      <c r="OHH78" s="528"/>
      <c r="OHI78" s="528"/>
      <c r="OHJ78" s="528"/>
      <c r="OHK78" s="528"/>
      <c r="OHL78" s="528"/>
      <c r="OHM78" s="528"/>
      <c r="OHN78" s="528"/>
      <c r="OHO78" s="528"/>
      <c r="OHP78" s="528"/>
      <c r="OHQ78" s="528"/>
      <c r="OHR78" s="528"/>
      <c r="OHS78" s="528"/>
      <c r="OHT78" s="528"/>
      <c r="OHU78" s="528"/>
      <c r="OHV78" s="528"/>
      <c r="OHW78" s="528"/>
      <c r="OHX78" s="528"/>
      <c r="OHY78" s="528"/>
      <c r="OHZ78" s="528"/>
      <c r="OIA78" s="528"/>
      <c r="OIB78" s="528"/>
      <c r="OIC78" s="528"/>
      <c r="OID78" s="528"/>
      <c r="OIE78" s="528"/>
      <c r="OIF78" s="528"/>
      <c r="OIG78" s="528"/>
      <c r="OIH78" s="528"/>
      <c r="OII78" s="528"/>
      <c r="OIJ78" s="528"/>
      <c r="OIK78" s="528"/>
      <c r="OIL78" s="528"/>
      <c r="OIM78" s="528"/>
      <c r="OIN78" s="528"/>
      <c r="OIO78" s="528"/>
      <c r="OIP78" s="528"/>
      <c r="OIQ78" s="528"/>
      <c r="OIR78" s="528"/>
      <c r="OIS78" s="528"/>
      <c r="OIT78" s="528"/>
      <c r="OIU78" s="528"/>
      <c r="OIV78" s="528"/>
      <c r="OIW78" s="528"/>
      <c r="OIX78" s="528"/>
      <c r="OIY78" s="528"/>
      <c r="OIZ78" s="528"/>
      <c r="OJA78" s="528"/>
      <c r="OJB78" s="528"/>
      <c r="OJC78" s="528"/>
      <c r="OJD78" s="528"/>
      <c r="OJE78" s="528"/>
      <c r="OJF78" s="528"/>
      <c r="OJG78" s="528"/>
      <c r="OJH78" s="528"/>
      <c r="OJI78" s="528"/>
      <c r="OJJ78" s="528"/>
      <c r="OJK78" s="528"/>
      <c r="OJL78" s="528"/>
      <c r="OJM78" s="528"/>
      <c r="OJN78" s="528"/>
      <c r="OJO78" s="528"/>
      <c r="OJP78" s="528"/>
      <c r="OJQ78" s="528"/>
      <c r="OJR78" s="528"/>
      <c r="OJS78" s="528"/>
      <c r="OJT78" s="528"/>
      <c r="OJU78" s="528"/>
      <c r="OJV78" s="528"/>
      <c r="OJW78" s="528"/>
      <c r="OJX78" s="528"/>
      <c r="OJY78" s="528"/>
      <c r="OJZ78" s="528"/>
      <c r="OKA78" s="528"/>
      <c r="OKB78" s="528"/>
      <c r="OKC78" s="528"/>
      <c r="OKD78" s="528"/>
      <c r="OKE78" s="528"/>
      <c r="OKF78" s="528"/>
      <c r="OKG78" s="528"/>
      <c r="OKH78" s="528"/>
      <c r="OKI78" s="528"/>
      <c r="OKJ78" s="528"/>
      <c r="OKK78" s="528"/>
      <c r="OKL78" s="528"/>
      <c r="OKM78" s="528"/>
      <c r="OKN78" s="528"/>
      <c r="OKO78" s="528"/>
      <c r="OKP78" s="528"/>
      <c r="OKQ78" s="528"/>
      <c r="OKR78" s="528"/>
      <c r="OKS78" s="528"/>
      <c r="OKT78" s="528"/>
      <c r="OKU78" s="528"/>
      <c r="OKV78" s="528"/>
      <c r="OKW78" s="528"/>
      <c r="OKX78" s="528"/>
      <c r="OKY78" s="528"/>
      <c r="OKZ78" s="528"/>
      <c r="OLA78" s="528"/>
      <c r="OLB78" s="528"/>
      <c r="OLC78" s="528"/>
      <c r="OLD78" s="528"/>
      <c r="OLE78" s="528"/>
      <c r="OLF78" s="528"/>
      <c r="OLG78" s="528"/>
      <c r="OLH78" s="528"/>
      <c r="OLI78" s="528"/>
      <c r="OLJ78" s="528"/>
      <c r="OLK78" s="528"/>
      <c r="OLL78" s="528"/>
      <c r="OLM78" s="528"/>
      <c r="OLN78" s="528"/>
      <c r="OLO78" s="528"/>
      <c r="OLP78" s="528"/>
      <c r="OLQ78" s="528"/>
      <c r="OLR78" s="528"/>
      <c r="OLS78" s="528"/>
      <c r="OLT78" s="528"/>
      <c r="OLU78" s="528"/>
      <c r="OLV78" s="528"/>
      <c r="OLW78" s="528"/>
      <c r="OLX78" s="528"/>
      <c r="OLY78" s="528"/>
      <c r="OLZ78" s="528"/>
      <c r="OMA78" s="528"/>
      <c r="OMB78" s="528"/>
      <c r="OMC78" s="528"/>
      <c r="OMD78" s="528"/>
      <c r="OME78" s="528"/>
      <c r="OMF78" s="528"/>
      <c r="OMG78" s="528"/>
      <c r="OMH78" s="528"/>
      <c r="OMI78" s="528"/>
      <c r="OMJ78" s="528"/>
      <c r="OMK78" s="528"/>
      <c r="OML78" s="528"/>
      <c r="OMM78" s="528"/>
      <c r="OMN78" s="528"/>
      <c r="OMO78" s="528"/>
      <c r="OMP78" s="528"/>
      <c r="OMQ78" s="528"/>
      <c r="OMR78" s="528"/>
      <c r="OMS78" s="528"/>
      <c r="OMT78" s="528"/>
      <c r="OMU78" s="528"/>
      <c r="OMV78" s="528"/>
      <c r="OMW78" s="528"/>
      <c r="OMX78" s="528"/>
      <c r="OMY78" s="528"/>
      <c r="OMZ78" s="528"/>
      <c r="ONA78" s="528"/>
      <c r="ONB78" s="528"/>
      <c r="ONC78" s="528"/>
      <c r="OND78" s="528"/>
      <c r="ONE78" s="528"/>
      <c r="ONF78" s="528"/>
      <c r="ONG78" s="528"/>
      <c r="ONH78" s="528"/>
      <c r="ONI78" s="528"/>
      <c r="ONJ78" s="528"/>
      <c r="ONK78" s="528"/>
      <c r="ONL78" s="528"/>
      <c r="ONM78" s="528"/>
      <c r="ONN78" s="528"/>
      <c r="ONO78" s="528"/>
      <c r="ONP78" s="528"/>
      <c r="ONQ78" s="528"/>
      <c r="ONR78" s="528"/>
      <c r="ONS78" s="528"/>
      <c r="ONT78" s="528"/>
      <c r="ONU78" s="528"/>
      <c r="ONV78" s="528"/>
      <c r="ONW78" s="528"/>
      <c r="ONX78" s="528"/>
      <c r="ONY78" s="528"/>
      <c r="ONZ78" s="528"/>
      <c r="OOA78" s="528"/>
      <c r="OOB78" s="528"/>
      <c r="OOC78" s="528"/>
      <c r="OOD78" s="528"/>
      <c r="OOE78" s="528"/>
      <c r="OOF78" s="528"/>
      <c r="OOG78" s="528"/>
      <c r="OOH78" s="528"/>
      <c r="OOI78" s="528"/>
      <c r="OOJ78" s="528"/>
      <c r="OOK78" s="528"/>
      <c r="OOL78" s="528"/>
      <c r="OOM78" s="528"/>
      <c r="OON78" s="528"/>
      <c r="OOO78" s="528"/>
      <c r="OOP78" s="528"/>
      <c r="OOQ78" s="528"/>
      <c r="OOR78" s="528"/>
      <c r="OOS78" s="528"/>
      <c r="OOT78" s="528"/>
      <c r="OOU78" s="528"/>
      <c r="OOV78" s="528"/>
      <c r="OOW78" s="528"/>
      <c r="OOX78" s="528"/>
      <c r="OOY78" s="528"/>
      <c r="OOZ78" s="528"/>
      <c r="OPA78" s="528"/>
      <c r="OPB78" s="528"/>
      <c r="OPC78" s="528"/>
      <c r="OPD78" s="528"/>
      <c r="OPE78" s="528"/>
      <c r="OPF78" s="528"/>
      <c r="OPG78" s="528"/>
      <c r="OPH78" s="528"/>
      <c r="OPI78" s="528"/>
      <c r="OPJ78" s="528"/>
      <c r="OPK78" s="528"/>
      <c r="OPL78" s="528"/>
      <c r="OPM78" s="528"/>
      <c r="OPN78" s="528"/>
      <c r="OPO78" s="528"/>
      <c r="OPP78" s="528"/>
      <c r="OPQ78" s="528"/>
      <c r="OPR78" s="528"/>
      <c r="OPS78" s="528"/>
      <c r="OPT78" s="528"/>
      <c r="OPU78" s="528"/>
      <c r="OPV78" s="528"/>
      <c r="OPW78" s="528"/>
      <c r="OPX78" s="528"/>
      <c r="OPY78" s="528"/>
      <c r="OPZ78" s="528"/>
      <c r="OQA78" s="528"/>
      <c r="OQB78" s="528"/>
      <c r="OQC78" s="528"/>
      <c r="OQD78" s="528"/>
      <c r="OQE78" s="528"/>
      <c r="OQF78" s="528"/>
      <c r="OQG78" s="528"/>
      <c r="OQH78" s="528"/>
      <c r="OQI78" s="528"/>
      <c r="OQJ78" s="528"/>
      <c r="OQK78" s="528"/>
      <c r="OQL78" s="528"/>
      <c r="OQM78" s="528"/>
      <c r="OQN78" s="528"/>
      <c r="OQO78" s="528"/>
      <c r="OQP78" s="528"/>
      <c r="OQQ78" s="528"/>
      <c r="OQR78" s="528"/>
      <c r="OQS78" s="528"/>
      <c r="OQT78" s="528"/>
      <c r="OQU78" s="528"/>
      <c r="OQV78" s="528"/>
      <c r="OQW78" s="528"/>
      <c r="OQX78" s="528"/>
      <c r="OQY78" s="528"/>
      <c r="OQZ78" s="528"/>
      <c r="ORA78" s="528"/>
      <c r="ORB78" s="528"/>
      <c r="ORC78" s="528"/>
      <c r="ORD78" s="528"/>
      <c r="ORE78" s="528"/>
      <c r="ORF78" s="528"/>
      <c r="ORG78" s="528"/>
      <c r="ORH78" s="528"/>
      <c r="ORI78" s="528"/>
      <c r="ORJ78" s="528"/>
      <c r="ORK78" s="528"/>
      <c r="ORL78" s="528"/>
      <c r="ORM78" s="528"/>
      <c r="ORN78" s="528"/>
      <c r="ORO78" s="528"/>
      <c r="ORP78" s="528"/>
      <c r="ORQ78" s="528"/>
      <c r="ORR78" s="528"/>
      <c r="ORS78" s="528"/>
      <c r="ORT78" s="528"/>
      <c r="ORU78" s="528"/>
      <c r="ORV78" s="528"/>
      <c r="ORW78" s="528"/>
      <c r="ORX78" s="528"/>
      <c r="ORY78" s="528"/>
      <c r="ORZ78" s="528"/>
      <c r="OSA78" s="528"/>
      <c r="OSB78" s="528"/>
      <c r="OSC78" s="528"/>
      <c r="OSD78" s="528"/>
      <c r="OSE78" s="528"/>
      <c r="OSF78" s="528"/>
      <c r="OSG78" s="528"/>
      <c r="OSH78" s="528"/>
      <c r="OSI78" s="528"/>
      <c r="OSJ78" s="528"/>
      <c r="OSK78" s="528"/>
      <c r="OSL78" s="528"/>
      <c r="OSM78" s="528"/>
      <c r="OSN78" s="528"/>
      <c r="OSO78" s="528"/>
      <c r="OSP78" s="528"/>
      <c r="OSQ78" s="528"/>
      <c r="OSR78" s="528"/>
      <c r="OSS78" s="528"/>
      <c r="OST78" s="528"/>
      <c r="OSU78" s="528"/>
      <c r="OSV78" s="528"/>
      <c r="OSW78" s="528"/>
      <c r="OSX78" s="528"/>
      <c r="OSY78" s="528"/>
      <c r="OSZ78" s="528"/>
      <c r="OTA78" s="528"/>
      <c r="OTB78" s="528"/>
      <c r="OTC78" s="528"/>
      <c r="OTD78" s="528"/>
      <c r="OTE78" s="528"/>
      <c r="OTF78" s="528"/>
      <c r="OTG78" s="528"/>
      <c r="OTH78" s="528"/>
      <c r="OTI78" s="528"/>
      <c r="OTJ78" s="528"/>
      <c r="OTK78" s="528"/>
      <c r="OTL78" s="528"/>
      <c r="OTM78" s="528"/>
      <c r="OTN78" s="528"/>
      <c r="OTO78" s="528"/>
      <c r="OTP78" s="528"/>
      <c r="OTQ78" s="528"/>
      <c r="OTR78" s="528"/>
      <c r="OTS78" s="528"/>
      <c r="OTT78" s="528"/>
      <c r="OTU78" s="528"/>
      <c r="OTV78" s="528"/>
      <c r="OTW78" s="528"/>
      <c r="OTX78" s="528"/>
      <c r="OTY78" s="528"/>
      <c r="OTZ78" s="528"/>
      <c r="OUA78" s="528"/>
      <c r="OUB78" s="528"/>
      <c r="OUC78" s="528"/>
      <c r="OUD78" s="528"/>
      <c r="OUE78" s="528"/>
      <c r="OUF78" s="528"/>
      <c r="OUG78" s="528"/>
      <c r="OUH78" s="528"/>
      <c r="OUI78" s="528"/>
      <c r="OUJ78" s="528"/>
      <c r="OUK78" s="528"/>
      <c r="OUL78" s="528"/>
      <c r="OUM78" s="528"/>
      <c r="OUN78" s="528"/>
      <c r="OUO78" s="528"/>
      <c r="OUP78" s="528"/>
      <c r="OUQ78" s="528"/>
      <c r="OUR78" s="528"/>
      <c r="OUS78" s="528"/>
      <c r="OUT78" s="528"/>
      <c r="OUU78" s="528"/>
      <c r="OUV78" s="528"/>
      <c r="OUW78" s="528"/>
      <c r="OUX78" s="528"/>
      <c r="OUY78" s="528"/>
      <c r="OUZ78" s="528"/>
      <c r="OVA78" s="528"/>
      <c r="OVB78" s="528"/>
      <c r="OVC78" s="528"/>
      <c r="OVD78" s="528"/>
      <c r="OVE78" s="528"/>
      <c r="OVF78" s="528"/>
      <c r="OVG78" s="528"/>
      <c r="OVH78" s="528"/>
      <c r="OVI78" s="528"/>
      <c r="OVJ78" s="528"/>
      <c r="OVK78" s="528"/>
      <c r="OVL78" s="528"/>
      <c r="OVM78" s="528"/>
      <c r="OVN78" s="528"/>
      <c r="OVO78" s="528"/>
      <c r="OVP78" s="528"/>
      <c r="OVQ78" s="528"/>
      <c r="OVR78" s="528"/>
      <c r="OVS78" s="528"/>
      <c r="OVT78" s="528"/>
      <c r="OVU78" s="528"/>
      <c r="OVV78" s="528"/>
      <c r="OVW78" s="528"/>
      <c r="OVX78" s="528"/>
      <c r="OVY78" s="528"/>
      <c r="OVZ78" s="528"/>
      <c r="OWA78" s="528"/>
      <c r="OWB78" s="528"/>
      <c r="OWC78" s="528"/>
      <c r="OWD78" s="528"/>
      <c r="OWE78" s="528"/>
      <c r="OWF78" s="528"/>
      <c r="OWG78" s="528"/>
      <c r="OWH78" s="528"/>
      <c r="OWI78" s="528"/>
      <c r="OWJ78" s="528"/>
      <c r="OWK78" s="528"/>
      <c r="OWL78" s="528"/>
      <c r="OWM78" s="528"/>
      <c r="OWN78" s="528"/>
      <c r="OWO78" s="528"/>
      <c r="OWP78" s="528"/>
      <c r="OWQ78" s="528"/>
      <c r="OWR78" s="528"/>
      <c r="OWS78" s="528"/>
      <c r="OWT78" s="528"/>
      <c r="OWU78" s="528"/>
      <c r="OWV78" s="528"/>
      <c r="OWW78" s="528"/>
      <c r="OWX78" s="528"/>
      <c r="OWY78" s="528"/>
      <c r="OWZ78" s="528"/>
      <c r="OXA78" s="528"/>
      <c r="OXB78" s="528"/>
      <c r="OXC78" s="528"/>
      <c r="OXD78" s="528"/>
      <c r="OXE78" s="528"/>
      <c r="OXF78" s="528"/>
      <c r="OXG78" s="528"/>
      <c r="OXH78" s="528"/>
      <c r="OXI78" s="528"/>
      <c r="OXJ78" s="528"/>
      <c r="OXK78" s="528"/>
      <c r="OXL78" s="528"/>
      <c r="OXM78" s="528"/>
      <c r="OXN78" s="528"/>
      <c r="OXO78" s="528"/>
      <c r="OXP78" s="528"/>
      <c r="OXQ78" s="528"/>
      <c r="OXR78" s="528"/>
      <c r="OXS78" s="528"/>
      <c r="OXT78" s="528"/>
      <c r="OXU78" s="528"/>
      <c r="OXV78" s="528"/>
      <c r="OXW78" s="528"/>
      <c r="OXX78" s="528"/>
      <c r="OXY78" s="528"/>
      <c r="OXZ78" s="528"/>
      <c r="OYA78" s="528"/>
      <c r="OYB78" s="528"/>
      <c r="OYC78" s="528"/>
      <c r="OYD78" s="528"/>
      <c r="OYE78" s="528"/>
      <c r="OYF78" s="528"/>
      <c r="OYG78" s="528"/>
      <c r="OYH78" s="528"/>
      <c r="OYI78" s="528"/>
      <c r="OYJ78" s="528"/>
      <c r="OYK78" s="528"/>
      <c r="OYL78" s="528"/>
      <c r="OYM78" s="528"/>
      <c r="OYN78" s="528"/>
      <c r="OYO78" s="528"/>
      <c r="OYP78" s="528"/>
      <c r="OYQ78" s="528"/>
      <c r="OYR78" s="528"/>
      <c r="OYS78" s="528"/>
      <c r="OYT78" s="528"/>
      <c r="OYU78" s="528"/>
      <c r="OYV78" s="528"/>
      <c r="OYW78" s="528"/>
      <c r="OYX78" s="528"/>
      <c r="OYY78" s="528"/>
      <c r="OYZ78" s="528"/>
      <c r="OZA78" s="528"/>
      <c r="OZB78" s="528"/>
      <c r="OZC78" s="528"/>
      <c r="OZD78" s="528"/>
      <c r="OZE78" s="528"/>
      <c r="OZF78" s="528"/>
      <c r="OZG78" s="528"/>
      <c r="OZH78" s="528"/>
      <c r="OZI78" s="528"/>
      <c r="OZJ78" s="528"/>
      <c r="OZK78" s="528"/>
      <c r="OZL78" s="528"/>
      <c r="OZM78" s="528"/>
      <c r="OZN78" s="528"/>
      <c r="OZO78" s="528"/>
      <c r="OZP78" s="528"/>
      <c r="OZQ78" s="528"/>
      <c r="OZR78" s="528"/>
      <c r="OZS78" s="528"/>
      <c r="OZT78" s="528"/>
      <c r="OZU78" s="528"/>
      <c r="OZV78" s="528"/>
      <c r="OZW78" s="528"/>
      <c r="OZX78" s="528"/>
      <c r="OZY78" s="528"/>
      <c r="OZZ78" s="528"/>
      <c r="PAA78" s="528"/>
      <c r="PAB78" s="528"/>
      <c r="PAC78" s="528"/>
      <c r="PAD78" s="528"/>
      <c r="PAE78" s="528"/>
      <c r="PAF78" s="528"/>
      <c r="PAG78" s="528"/>
      <c r="PAH78" s="528"/>
      <c r="PAI78" s="528"/>
      <c r="PAJ78" s="528"/>
      <c r="PAK78" s="528"/>
      <c r="PAL78" s="528"/>
      <c r="PAM78" s="528"/>
      <c r="PAN78" s="528"/>
      <c r="PAO78" s="528"/>
      <c r="PAP78" s="528"/>
      <c r="PAQ78" s="528"/>
      <c r="PAR78" s="528"/>
      <c r="PAS78" s="528"/>
      <c r="PAT78" s="528"/>
      <c r="PAU78" s="528"/>
      <c r="PAV78" s="528"/>
      <c r="PAW78" s="528"/>
      <c r="PAX78" s="528"/>
      <c r="PAY78" s="528"/>
      <c r="PAZ78" s="528"/>
      <c r="PBA78" s="528"/>
      <c r="PBB78" s="528"/>
      <c r="PBC78" s="528"/>
      <c r="PBD78" s="528"/>
      <c r="PBE78" s="528"/>
      <c r="PBF78" s="528"/>
      <c r="PBG78" s="528"/>
      <c r="PBH78" s="528"/>
      <c r="PBI78" s="528"/>
      <c r="PBJ78" s="528"/>
      <c r="PBK78" s="528"/>
      <c r="PBL78" s="528"/>
      <c r="PBM78" s="528"/>
      <c r="PBN78" s="528"/>
      <c r="PBO78" s="528"/>
      <c r="PBP78" s="528"/>
      <c r="PBQ78" s="528"/>
      <c r="PBR78" s="528"/>
      <c r="PBS78" s="528"/>
      <c r="PBT78" s="528"/>
      <c r="PBU78" s="528"/>
      <c r="PBV78" s="528"/>
      <c r="PBW78" s="528"/>
      <c r="PBX78" s="528"/>
      <c r="PBY78" s="528"/>
      <c r="PBZ78" s="528"/>
      <c r="PCA78" s="528"/>
      <c r="PCB78" s="528"/>
      <c r="PCC78" s="528"/>
      <c r="PCD78" s="528"/>
      <c r="PCE78" s="528"/>
      <c r="PCF78" s="528"/>
      <c r="PCG78" s="528"/>
      <c r="PCH78" s="528"/>
      <c r="PCI78" s="528"/>
      <c r="PCJ78" s="528"/>
      <c r="PCK78" s="528"/>
      <c r="PCL78" s="528"/>
      <c r="PCM78" s="528"/>
      <c r="PCN78" s="528"/>
      <c r="PCO78" s="528"/>
      <c r="PCP78" s="528"/>
      <c r="PCQ78" s="528"/>
      <c r="PCR78" s="528"/>
      <c r="PCS78" s="528"/>
      <c r="PCT78" s="528"/>
      <c r="PCU78" s="528"/>
      <c r="PCV78" s="528"/>
      <c r="PCW78" s="528"/>
      <c r="PCX78" s="528"/>
      <c r="PCY78" s="528"/>
      <c r="PCZ78" s="528"/>
      <c r="PDA78" s="528"/>
      <c r="PDB78" s="528"/>
      <c r="PDC78" s="528"/>
      <c r="PDD78" s="528"/>
      <c r="PDE78" s="528"/>
      <c r="PDF78" s="528"/>
      <c r="PDG78" s="528"/>
      <c r="PDH78" s="528"/>
      <c r="PDI78" s="528"/>
      <c r="PDJ78" s="528"/>
      <c r="PDK78" s="528"/>
      <c r="PDL78" s="528"/>
      <c r="PDM78" s="528"/>
      <c r="PDN78" s="528"/>
      <c r="PDO78" s="528"/>
      <c r="PDP78" s="528"/>
      <c r="PDQ78" s="528"/>
      <c r="PDR78" s="528"/>
      <c r="PDS78" s="528"/>
      <c r="PDT78" s="528"/>
      <c r="PDU78" s="528"/>
      <c r="PDV78" s="528"/>
      <c r="PDW78" s="528"/>
      <c r="PDX78" s="528"/>
      <c r="PDY78" s="528"/>
      <c r="PDZ78" s="528"/>
      <c r="PEA78" s="528"/>
      <c r="PEB78" s="528"/>
      <c r="PEC78" s="528"/>
      <c r="PED78" s="528"/>
      <c r="PEE78" s="528"/>
      <c r="PEF78" s="528"/>
      <c r="PEG78" s="528"/>
      <c r="PEH78" s="528"/>
      <c r="PEI78" s="528"/>
      <c r="PEJ78" s="528"/>
      <c r="PEK78" s="528"/>
      <c r="PEL78" s="528"/>
      <c r="PEM78" s="528"/>
      <c r="PEN78" s="528"/>
      <c r="PEO78" s="528"/>
      <c r="PEP78" s="528"/>
      <c r="PEQ78" s="528"/>
      <c r="PER78" s="528"/>
      <c r="PES78" s="528"/>
      <c r="PET78" s="528"/>
      <c r="PEU78" s="528"/>
      <c r="PEV78" s="528"/>
      <c r="PEW78" s="528"/>
      <c r="PEX78" s="528"/>
      <c r="PEY78" s="528"/>
      <c r="PEZ78" s="528"/>
      <c r="PFA78" s="528"/>
      <c r="PFB78" s="528"/>
      <c r="PFC78" s="528"/>
      <c r="PFD78" s="528"/>
      <c r="PFE78" s="528"/>
      <c r="PFF78" s="528"/>
      <c r="PFG78" s="528"/>
      <c r="PFH78" s="528"/>
      <c r="PFI78" s="528"/>
      <c r="PFJ78" s="528"/>
      <c r="PFK78" s="528"/>
      <c r="PFL78" s="528"/>
      <c r="PFM78" s="528"/>
      <c r="PFN78" s="528"/>
      <c r="PFO78" s="528"/>
      <c r="PFP78" s="528"/>
      <c r="PFQ78" s="528"/>
      <c r="PFR78" s="528"/>
      <c r="PFS78" s="528"/>
      <c r="PFT78" s="528"/>
      <c r="PFU78" s="528"/>
      <c r="PFV78" s="528"/>
      <c r="PFW78" s="528"/>
      <c r="PFX78" s="528"/>
      <c r="PFY78" s="528"/>
      <c r="PFZ78" s="528"/>
      <c r="PGA78" s="528"/>
      <c r="PGB78" s="528"/>
      <c r="PGC78" s="528"/>
      <c r="PGD78" s="528"/>
      <c r="PGE78" s="528"/>
      <c r="PGF78" s="528"/>
      <c r="PGG78" s="528"/>
      <c r="PGH78" s="528"/>
      <c r="PGI78" s="528"/>
      <c r="PGJ78" s="528"/>
      <c r="PGK78" s="528"/>
      <c r="PGL78" s="528"/>
      <c r="PGM78" s="528"/>
      <c r="PGN78" s="528"/>
      <c r="PGO78" s="528"/>
      <c r="PGP78" s="528"/>
      <c r="PGQ78" s="528"/>
      <c r="PGR78" s="528"/>
      <c r="PGS78" s="528"/>
      <c r="PGT78" s="528"/>
      <c r="PGU78" s="528"/>
      <c r="PGV78" s="528"/>
      <c r="PGW78" s="528"/>
      <c r="PGX78" s="528"/>
      <c r="PGY78" s="528"/>
      <c r="PGZ78" s="528"/>
      <c r="PHA78" s="528"/>
      <c r="PHB78" s="528"/>
      <c r="PHC78" s="528"/>
      <c r="PHD78" s="528"/>
      <c r="PHE78" s="528"/>
      <c r="PHF78" s="528"/>
      <c r="PHG78" s="528"/>
      <c r="PHH78" s="528"/>
      <c r="PHI78" s="528"/>
      <c r="PHJ78" s="528"/>
      <c r="PHK78" s="528"/>
      <c r="PHL78" s="528"/>
      <c r="PHM78" s="528"/>
      <c r="PHN78" s="528"/>
      <c r="PHO78" s="528"/>
      <c r="PHP78" s="528"/>
      <c r="PHQ78" s="528"/>
      <c r="PHR78" s="528"/>
      <c r="PHS78" s="528"/>
      <c r="PHT78" s="528"/>
      <c r="PHU78" s="528"/>
      <c r="PHV78" s="528"/>
      <c r="PHW78" s="528"/>
      <c r="PHX78" s="528"/>
      <c r="PHY78" s="528"/>
      <c r="PHZ78" s="528"/>
      <c r="PIA78" s="528"/>
      <c r="PIB78" s="528"/>
      <c r="PIC78" s="528"/>
      <c r="PID78" s="528"/>
      <c r="PIE78" s="528"/>
      <c r="PIF78" s="528"/>
      <c r="PIG78" s="528"/>
      <c r="PIH78" s="528"/>
      <c r="PII78" s="528"/>
      <c r="PIJ78" s="528"/>
      <c r="PIK78" s="528"/>
      <c r="PIL78" s="528"/>
      <c r="PIM78" s="528"/>
      <c r="PIN78" s="528"/>
      <c r="PIO78" s="528"/>
      <c r="PIP78" s="528"/>
      <c r="PIQ78" s="528"/>
      <c r="PIR78" s="528"/>
      <c r="PIS78" s="528"/>
      <c r="PIT78" s="528"/>
      <c r="PIU78" s="528"/>
      <c r="PIV78" s="528"/>
      <c r="PIW78" s="528"/>
      <c r="PIX78" s="528"/>
      <c r="PIY78" s="528"/>
      <c r="PIZ78" s="528"/>
      <c r="PJA78" s="528"/>
      <c r="PJB78" s="528"/>
      <c r="PJC78" s="528"/>
      <c r="PJD78" s="528"/>
      <c r="PJE78" s="528"/>
      <c r="PJF78" s="528"/>
      <c r="PJG78" s="528"/>
      <c r="PJH78" s="528"/>
      <c r="PJI78" s="528"/>
      <c r="PJJ78" s="528"/>
      <c r="PJK78" s="528"/>
      <c r="PJL78" s="528"/>
      <c r="PJM78" s="528"/>
      <c r="PJN78" s="528"/>
      <c r="PJO78" s="528"/>
      <c r="PJP78" s="528"/>
      <c r="PJQ78" s="528"/>
      <c r="PJR78" s="528"/>
      <c r="PJS78" s="528"/>
      <c r="PJT78" s="528"/>
      <c r="PJU78" s="528"/>
      <c r="PJV78" s="528"/>
      <c r="PJW78" s="528"/>
      <c r="PJX78" s="528"/>
      <c r="PJY78" s="528"/>
      <c r="PJZ78" s="528"/>
      <c r="PKA78" s="528"/>
      <c r="PKB78" s="528"/>
      <c r="PKC78" s="528"/>
      <c r="PKD78" s="528"/>
      <c r="PKE78" s="528"/>
      <c r="PKF78" s="528"/>
      <c r="PKG78" s="528"/>
      <c r="PKH78" s="528"/>
      <c r="PKI78" s="528"/>
      <c r="PKJ78" s="528"/>
      <c r="PKK78" s="528"/>
      <c r="PKL78" s="528"/>
      <c r="PKM78" s="528"/>
      <c r="PKN78" s="528"/>
      <c r="PKO78" s="528"/>
      <c r="PKP78" s="528"/>
      <c r="PKQ78" s="528"/>
      <c r="PKR78" s="528"/>
      <c r="PKS78" s="528"/>
      <c r="PKT78" s="528"/>
      <c r="PKU78" s="528"/>
      <c r="PKV78" s="528"/>
      <c r="PKW78" s="528"/>
      <c r="PKX78" s="528"/>
      <c r="PKY78" s="528"/>
      <c r="PKZ78" s="528"/>
      <c r="PLA78" s="528"/>
      <c r="PLB78" s="528"/>
      <c r="PLC78" s="528"/>
      <c r="PLD78" s="528"/>
      <c r="PLE78" s="528"/>
      <c r="PLF78" s="528"/>
      <c r="PLG78" s="528"/>
      <c r="PLH78" s="528"/>
      <c r="PLI78" s="528"/>
      <c r="PLJ78" s="528"/>
      <c r="PLK78" s="528"/>
      <c r="PLL78" s="528"/>
      <c r="PLM78" s="528"/>
      <c r="PLN78" s="528"/>
      <c r="PLO78" s="528"/>
      <c r="PLP78" s="528"/>
      <c r="PLQ78" s="528"/>
      <c r="PLR78" s="528"/>
      <c r="PLS78" s="528"/>
      <c r="PLT78" s="528"/>
      <c r="PLU78" s="528"/>
      <c r="PLV78" s="528"/>
      <c r="PLW78" s="528"/>
      <c r="PLX78" s="528"/>
      <c r="PLY78" s="528"/>
      <c r="PLZ78" s="528"/>
      <c r="PMA78" s="528"/>
      <c r="PMB78" s="528"/>
      <c r="PMC78" s="528"/>
      <c r="PMD78" s="528"/>
      <c r="PME78" s="528"/>
      <c r="PMF78" s="528"/>
      <c r="PMG78" s="528"/>
      <c r="PMH78" s="528"/>
      <c r="PMI78" s="528"/>
      <c r="PMJ78" s="528"/>
      <c r="PMK78" s="528"/>
      <c r="PML78" s="528"/>
      <c r="PMM78" s="528"/>
      <c r="PMN78" s="528"/>
      <c r="PMO78" s="528"/>
      <c r="PMP78" s="528"/>
      <c r="PMQ78" s="528"/>
      <c r="PMR78" s="528"/>
      <c r="PMS78" s="528"/>
      <c r="PMT78" s="528"/>
      <c r="PMU78" s="528"/>
      <c r="PMV78" s="528"/>
      <c r="PMW78" s="528"/>
      <c r="PMX78" s="528"/>
      <c r="PMY78" s="528"/>
      <c r="PMZ78" s="528"/>
      <c r="PNA78" s="528"/>
      <c r="PNB78" s="528"/>
      <c r="PNC78" s="528"/>
      <c r="PND78" s="528"/>
      <c r="PNE78" s="528"/>
      <c r="PNF78" s="528"/>
      <c r="PNG78" s="528"/>
      <c r="PNH78" s="528"/>
      <c r="PNI78" s="528"/>
      <c r="PNJ78" s="528"/>
      <c r="PNK78" s="528"/>
      <c r="PNL78" s="528"/>
      <c r="PNM78" s="528"/>
      <c r="PNN78" s="528"/>
      <c r="PNO78" s="528"/>
      <c r="PNP78" s="528"/>
      <c r="PNQ78" s="528"/>
      <c r="PNR78" s="528"/>
      <c r="PNS78" s="528"/>
      <c r="PNT78" s="528"/>
      <c r="PNU78" s="528"/>
      <c r="PNV78" s="528"/>
      <c r="PNW78" s="528"/>
      <c r="PNX78" s="528"/>
      <c r="PNY78" s="528"/>
      <c r="PNZ78" s="528"/>
      <c r="POA78" s="528"/>
      <c r="POB78" s="528"/>
      <c r="POC78" s="528"/>
      <c r="POD78" s="528"/>
      <c r="POE78" s="528"/>
      <c r="POF78" s="528"/>
      <c r="POG78" s="528"/>
      <c r="POH78" s="528"/>
      <c r="POI78" s="528"/>
      <c r="POJ78" s="528"/>
      <c r="POK78" s="528"/>
      <c r="POL78" s="528"/>
      <c r="POM78" s="528"/>
      <c r="PON78" s="528"/>
      <c r="POO78" s="528"/>
      <c r="POP78" s="528"/>
      <c r="POQ78" s="528"/>
      <c r="POR78" s="528"/>
      <c r="POS78" s="528"/>
      <c r="POT78" s="528"/>
      <c r="POU78" s="528"/>
      <c r="POV78" s="528"/>
      <c r="POW78" s="528"/>
      <c r="POX78" s="528"/>
      <c r="POY78" s="528"/>
      <c r="POZ78" s="528"/>
      <c r="PPA78" s="528"/>
      <c r="PPB78" s="528"/>
      <c r="PPC78" s="528"/>
      <c r="PPD78" s="528"/>
      <c r="PPE78" s="528"/>
      <c r="PPF78" s="528"/>
      <c r="PPG78" s="528"/>
      <c r="PPH78" s="528"/>
      <c r="PPI78" s="528"/>
      <c r="PPJ78" s="528"/>
      <c r="PPK78" s="528"/>
      <c r="PPL78" s="528"/>
      <c r="PPM78" s="528"/>
      <c r="PPN78" s="528"/>
      <c r="PPO78" s="528"/>
      <c r="PPP78" s="528"/>
      <c r="PPQ78" s="528"/>
      <c r="PPR78" s="528"/>
      <c r="PPS78" s="528"/>
      <c r="PPT78" s="528"/>
      <c r="PPU78" s="528"/>
      <c r="PPV78" s="528"/>
      <c r="PPW78" s="528"/>
      <c r="PPX78" s="528"/>
      <c r="PPY78" s="528"/>
      <c r="PPZ78" s="528"/>
      <c r="PQA78" s="528"/>
      <c r="PQB78" s="528"/>
      <c r="PQC78" s="528"/>
      <c r="PQD78" s="528"/>
      <c r="PQE78" s="528"/>
      <c r="PQF78" s="528"/>
      <c r="PQG78" s="528"/>
      <c r="PQH78" s="528"/>
      <c r="PQI78" s="528"/>
      <c r="PQJ78" s="528"/>
      <c r="PQK78" s="528"/>
      <c r="PQL78" s="528"/>
      <c r="PQM78" s="528"/>
      <c r="PQN78" s="528"/>
      <c r="PQO78" s="528"/>
      <c r="PQP78" s="528"/>
      <c r="PQQ78" s="528"/>
      <c r="PQR78" s="528"/>
      <c r="PQS78" s="528"/>
      <c r="PQT78" s="528"/>
      <c r="PQU78" s="528"/>
      <c r="PQV78" s="528"/>
      <c r="PQW78" s="528"/>
      <c r="PQX78" s="528"/>
      <c r="PQY78" s="528"/>
      <c r="PQZ78" s="528"/>
      <c r="PRA78" s="528"/>
      <c r="PRB78" s="528"/>
      <c r="PRC78" s="528"/>
      <c r="PRD78" s="528"/>
      <c r="PRE78" s="528"/>
      <c r="PRF78" s="528"/>
      <c r="PRG78" s="528"/>
      <c r="PRH78" s="528"/>
      <c r="PRI78" s="528"/>
      <c r="PRJ78" s="528"/>
      <c r="PRK78" s="528"/>
      <c r="PRL78" s="528"/>
      <c r="PRM78" s="528"/>
      <c r="PRN78" s="528"/>
      <c r="PRO78" s="528"/>
      <c r="PRP78" s="528"/>
      <c r="PRQ78" s="528"/>
      <c r="PRR78" s="528"/>
      <c r="PRS78" s="528"/>
      <c r="PRT78" s="528"/>
      <c r="PRU78" s="528"/>
      <c r="PRV78" s="528"/>
      <c r="PRW78" s="528"/>
      <c r="PRX78" s="528"/>
      <c r="PRY78" s="528"/>
      <c r="PRZ78" s="528"/>
      <c r="PSA78" s="528"/>
      <c r="PSB78" s="528"/>
      <c r="PSC78" s="528"/>
      <c r="PSD78" s="528"/>
      <c r="PSE78" s="528"/>
      <c r="PSF78" s="528"/>
      <c r="PSG78" s="528"/>
      <c r="PSH78" s="528"/>
      <c r="PSI78" s="528"/>
      <c r="PSJ78" s="528"/>
      <c r="PSK78" s="528"/>
      <c r="PSL78" s="528"/>
      <c r="PSM78" s="528"/>
      <c r="PSN78" s="528"/>
      <c r="PSO78" s="528"/>
      <c r="PSP78" s="528"/>
      <c r="PSQ78" s="528"/>
      <c r="PSR78" s="528"/>
      <c r="PSS78" s="528"/>
      <c r="PST78" s="528"/>
      <c r="PSU78" s="528"/>
      <c r="PSV78" s="528"/>
      <c r="PSW78" s="528"/>
      <c r="PSX78" s="528"/>
      <c r="PSY78" s="528"/>
      <c r="PSZ78" s="528"/>
      <c r="PTA78" s="528"/>
      <c r="PTB78" s="528"/>
      <c r="PTC78" s="528"/>
      <c r="PTD78" s="528"/>
      <c r="PTE78" s="528"/>
      <c r="PTF78" s="528"/>
      <c r="PTG78" s="528"/>
      <c r="PTH78" s="528"/>
      <c r="PTI78" s="528"/>
      <c r="PTJ78" s="528"/>
      <c r="PTK78" s="528"/>
      <c r="PTL78" s="528"/>
      <c r="PTM78" s="528"/>
      <c r="PTN78" s="528"/>
      <c r="PTO78" s="528"/>
      <c r="PTP78" s="528"/>
      <c r="PTQ78" s="528"/>
      <c r="PTR78" s="528"/>
      <c r="PTS78" s="528"/>
      <c r="PTT78" s="528"/>
      <c r="PTU78" s="528"/>
      <c r="PTV78" s="528"/>
      <c r="PTW78" s="528"/>
      <c r="PTX78" s="528"/>
      <c r="PTY78" s="528"/>
      <c r="PTZ78" s="528"/>
      <c r="PUA78" s="528"/>
      <c r="PUB78" s="528"/>
      <c r="PUC78" s="528"/>
      <c r="PUD78" s="528"/>
      <c r="PUE78" s="528"/>
      <c r="PUF78" s="528"/>
      <c r="PUG78" s="528"/>
      <c r="PUH78" s="528"/>
      <c r="PUI78" s="528"/>
      <c r="PUJ78" s="528"/>
      <c r="PUK78" s="528"/>
      <c r="PUL78" s="528"/>
      <c r="PUM78" s="528"/>
      <c r="PUN78" s="528"/>
      <c r="PUO78" s="528"/>
      <c r="PUP78" s="528"/>
      <c r="PUQ78" s="528"/>
      <c r="PUR78" s="528"/>
      <c r="PUS78" s="528"/>
      <c r="PUT78" s="528"/>
      <c r="PUU78" s="528"/>
      <c r="PUV78" s="528"/>
      <c r="PUW78" s="528"/>
      <c r="PUX78" s="528"/>
      <c r="PUY78" s="528"/>
      <c r="PUZ78" s="528"/>
      <c r="PVA78" s="528"/>
      <c r="PVB78" s="528"/>
      <c r="PVC78" s="528"/>
      <c r="PVD78" s="528"/>
      <c r="PVE78" s="528"/>
      <c r="PVF78" s="528"/>
      <c r="PVG78" s="528"/>
      <c r="PVH78" s="528"/>
      <c r="PVI78" s="528"/>
      <c r="PVJ78" s="528"/>
      <c r="PVK78" s="528"/>
      <c r="PVL78" s="528"/>
      <c r="PVM78" s="528"/>
      <c r="PVN78" s="528"/>
      <c r="PVO78" s="528"/>
      <c r="PVP78" s="528"/>
      <c r="PVQ78" s="528"/>
      <c r="PVR78" s="528"/>
      <c r="PVS78" s="528"/>
      <c r="PVT78" s="528"/>
      <c r="PVU78" s="528"/>
      <c r="PVV78" s="528"/>
      <c r="PVW78" s="528"/>
      <c r="PVX78" s="528"/>
      <c r="PVY78" s="528"/>
      <c r="PVZ78" s="528"/>
      <c r="PWA78" s="528"/>
      <c r="PWB78" s="528"/>
      <c r="PWC78" s="528"/>
      <c r="PWD78" s="528"/>
      <c r="PWE78" s="528"/>
      <c r="PWF78" s="528"/>
      <c r="PWG78" s="528"/>
      <c r="PWH78" s="528"/>
      <c r="PWI78" s="528"/>
      <c r="PWJ78" s="528"/>
      <c r="PWK78" s="528"/>
      <c r="PWL78" s="528"/>
      <c r="PWM78" s="528"/>
      <c r="PWN78" s="528"/>
      <c r="PWO78" s="528"/>
      <c r="PWP78" s="528"/>
      <c r="PWQ78" s="528"/>
      <c r="PWR78" s="528"/>
      <c r="PWS78" s="528"/>
      <c r="PWT78" s="528"/>
      <c r="PWU78" s="528"/>
      <c r="PWV78" s="528"/>
      <c r="PWW78" s="528"/>
      <c r="PWX78" s="528"/>
      <c r="PWY78" s="528"/>
      <c r="PWZ78" s="528"/>
      <c r="PXA78" s="528"/>
      <c r="PXB78" s="528"/>
      <c r="PXC78" s="528"/>
      <c r="PXD78" s="528"/>
      <c r="PXE78" s="528"/>
      <c r="PXF78" s="528"/>
      <c r="PXG78" s="528"/>
      <c r="PXH78" s="528"/>
      <c r="PXI78" s="528"/>
      <c r="PXJ78" s="528"/>
      <c r="PXK78" s="528"/>
      <c r="PXL78" s="528"/>
      <c r="PXM78" s="528"/>
      <c r="PXN78" s="528"/>
      <c r="PXO78" s="528"/>
      <c r="PXP78" s="528"/>
      <c r="PXQ78" s="528"/>
      <c r="PXR78" s="528"/>
      <c r="PXS78" s="528"/>
      <c r="PXT78" s="528"/>
      <c r="PXU78" s="528"/>
      <c r="PXV78" s="528"/>
      <c r="PXW78" s="528"/>
      <c r="PXX78" s="528"/>
      <c r="PXY78" s="528"/>
      <c r="PXZ78" s="528"/>
      <c r="PYA78" s="528"/>
      <c r="PYB78" s="528"/>
      <c r="PYC78" s="528"/>
      <c r="PYD78" s="528"/>
      <c r="PYE78" s="528"/>
      <c r="PYF78" s="528"/>
      <c r="PYG78" s="528"/>
      <c r="PYH78" s="528"/>
      <c r="PYI78" s="528"/>
      <c r="PYJ78" s="528"/>
      <c r="PYK78" s="528"/>
      <c r="PYL78" s="528"/>
      <c r="PYM78" s="528"/>
      <c r="PYN78" s="528"/>
      <c r="PYO78" s="528"/>
      <c r="PYP78" s="528"/>
      <c r="PYQ78" s="528"/>
      <c r="PYR78" s="528"/>
      <c r="PYS78" s="528"/>
      <c r="PYT78" s="528"/>
      <c r="PYU78" s="528"/>
      <c r="PYV78" s="528"/>
      <c r="PYW78" s="528"/>
      <c r="PYX78" s="528"/>
      <c r="PYY78" s="528"/>
      <c r="PYZ78" s="528"/>
      <c r="PZA78" s="528"/>
      <c r="PZB78" s="528"/>
      <c r="PZC78" s="528"/>
      <c r="PZD78" s="528"/>
      <c r="PZE78" s="528"/>
      <c r="PZF78" s="528"/>
      <c r="PZG78" s="528"/>
      <c r="PZH78" s="528"/>
      <c r="PZI78" s="528"/>
      <c r="PZJ78" s="528"/>
      <c r="PZK78" s="528"/>
      <c r="PZL78" s="528"/>
      <c r="PZM78" s="528"/>
      <c r="PZN78" s="528"/>
      <c r="PZO78" s="528"/>
      <c r="PZP78" s="528"/>
      <c r="PZQ78" s="528"/>
      <c r="PZR78" s="528"/>
      <c r="PZS78" s="528"/>
      <c r="PZT78" s="528"/>
      <c r="PZU78" s="528"/>
      <c r="PZV78" s="528"/>
      <c r="PZW78" s="528"/>
      <c r="PZX78" s="528"/>
      <c r="PZY78" s="528"/>
      <c r="PZZ78" s="528"/>
      <c r="QAA78" s="528"/>
      <c r="QAB78" s="528"/>
      <c r="QAC78" s="528"/>
      <c r="QAD78" s="528"/>
      <c r="QAE78" s="528"/>
      <c r="QAF78" s="528"/>
      <c r="QAG78" s="528"/>
      <c r="QAH78" s="528"/>
      <c r="QAI78" s="528"/>
      <c r="QAJ78" s="528"/>
      <c r="QAK78" s="528"/>
      <c r="QAL78" s="528"/>
      <c r="QAM78" s="528"/>
      <c r="QAN78" s="528"/>
      <c r="QAO78" s="528"/>
      <c r="QAP78" s="528"/>
      <c r="QAQ78" s="528"/>
      <c r="QAR78" s="528"/>
      <c r="QAS78" s="528"/>
      <c r="QAT78" s="528"/>
      <c r="QAU78" s="528"/>
      <c r="QAV78" s="528"/>
      <c r="QAW78" s="528"/>
      <c r="QAX78" s="528"/>
      <c r="QAY78" s="528"/>
      <c r="QAZ78" s="528"/>
      <c r="QBA78" s="528"/>
      <c r="QBB78" s="528"/>
      <c r="QBC78" s="528"/>
      <c r="QBD78" s="528"/>
      <c r="QBE78" s="528"/>
      <c r="QBF78" s="528"/>
      <c r="QBG78" s="528"/>
      <c r="QBH78" s="528"/>
      <c r="QBI78" s="528"/>
      <c r="QBJ78" s="528"/>
      <c r="QBK78" s="528"/>
      <c r="QBL78" s="528"/>
      <c r="QBM78" s="528"/>
      <c r="QBN78" s="528"/>
      <c r="QBO78" s="528"/>
      <c r="QBP78" s="528"/>
      <c r="QBQ78" s="528"/>
      <c r="QBR78" s="528"/>
      <c r="QBS78" s="528"/>
      <c r="QBT78" s="528"/>
      <c r="QBU78" s="528"/>
      <c r="QBV78" s="528"/>
      <c r="QBW78" s="528"/>
      <c r="QBX78" s="528"/>
      <c r="QBY78" s="528"/>
      <c r="QBZ78" s="528"/>
      <c r="QCA78" s="528"/>
      <c r="QCB78" s="528"/>
      <c r="QCC78" s="528"/>
      <c r="QCD78" s="528"/>
      <c r="QCE78" s="528"/>
      <c r="QCF78" s="528"/>
      <c r="QCG78" s="528"/>
      <c r="QCH78" s="528"/>
      <c r="QCI78" s="528"/>
      <c r="QCJ78" s="528"/>
      <c r="QCK78" s="528"/>
      <c r="QCL78" s="528"/>
      <c r="QCM78" s="528"/>
      <c r="QCN78" s="528"/>
      <c r="QCO78" s="528"/>
      <c r="QCP78" s="528"/>
      <c r="QCQ78" s="528"/>
      <c r="QCR78" s="528"/>
      <c r="QCS78" s="528"/>
      <c r="QCT78" s="528"/>
      <c r="QCU78" s="528"/>
      <c r="QCV78" s="528"/>
      <c r="QCW78" s="528"/>
      <c r="QCX78" s="528"/>
      <c r="QCY78" s="528"/>
      <c r="QCZ78" s="528"/>
      <c r="QDA78" s="528"/>
      <c r="QDB78" s="528"/>
      <c r="QDC78" s="528"/>
      <c r="QDD78" s="528"/>
      <c r="QDE78" s="528"/>
      <c r="QDF78" s="528"/>
      <c r="QDG78" s="528"/>
      <c r="QDH78" s="528"/>
      <c r="QDI78" s="528"/>
      <c r="QDJ78" s="528"/>
      <c r="QDK78" s="528"/>
      <c r="QDL78" s="528"/>
      <c r="QDM78" s="528"/>
      <c r="QDN78" s="528"/>
      <c r="QDO78" s="528"/>
      <c r="QDP78" s="528"/>
      <c r="QDQ78" s="528"/>
      <c r="QDR78" s="528"/>
      <c r="QDS78" s="528"/>
      <c r="QDT78" s="528"/>
      <c r="QDU78" s="528"/>
      <c r="QDV78" s="528"/>
      <c r="QDW78" s="528"/>
      <c r="QDX78" s="528"/>
      <c r="QDY78" s="528"/>
      <c r="QDZ78" s="528"/>
      <c r="QEA78" s="528"/>
      <c r="QEB78" s="528"/>
      <c r="QEC78" s="528"/>
      <c r="QED78" s="528"/>
      <c r="QEE78" s="528"/>
      <c r="QEF78" s="528"/>
      <c r="QEG78" s="528"/>
      <c r="QEH78" s="528"/>
      <c r="QEI78" s="528"/>
      <c r="QEJ78" s="528"/>
      <c r="QEK78" s="528"/>
      <c r="QEL78" s="528"/>
      <c r="QEM78" s="528"/>
      <c r="QEN78" s="528"/>
      <c r="QEO78" s="528"/>
      <c r="QEP78" s="528"/>
      <c r="QEQ78" s="528"/>
      <c r="QER78" s="528"/>
      <c r="QES78" s="528"/>
      <c r="QET78" s="528"/>
      <c r="QEU78" s="528"/>
      <c r="QEV78" s="528"/>
      <c r="QEW78" s="528"/>
      <c r="QEX78" s="528"/>
      <c r="QEY78" s="528"/>
      <c r="QEZ78" s="528"/>
      <c r="QFA78" s="528"/>
      <c r="QFB78" s="528"/>
      <c r="QFC78" s="528"/>
      <c r="QFD78" s="528"/>
      <c r="QFE78" s="528"/>
      <c r="QFF78" s="528"/>
      <c r="QFG78" s="528"/>
      <c r="QFH78" s="528"/>
      <c r="QFI78" s="528"/>
      <c r="QFJ78" s="528"/>
      <c r="QFK78" s="528"/>
      <c r="QFL78" s="528"/>
      <c r="QFM78" s="528"/>
      <c r="QFN78" s="528"/>
      <c r="QFO78" s="528"/>
      <c r="QFP78" s="528"/>
      <c r="QFQ78" s="528"/>
      <c r="QFR78" s="528"/>
      <c r="QFS78" s="528"/>
      <c r="QFT78" s="528"/>
      <c r="QFU78" s="528"/>
      <c r="QFV78" s="528"/>
      <c r="QFW78" s="528"/>
      <c r="QFX78" s="528"/>
      <c r="QFY78" s="528"/>
      <c r="QFZ78" s="528"/>
      <c r="QGA78" s="528"/>
      <c r="QGB78" s="528"/>
      <c r="QGC78" s="528"/>
      <c r="QGD78" s="528"/>
      <c r="QGE78" s="528"/>
      <c r="QGF78" s="528"/>
      <c r="QGG78" s="528"/>
      <c r="QGH78" s="528"/>
      <c r="QGI78" s="528"/>
      <c r="QGJ78" s="528"/>
      <c r="QGK78" s="528"/>
      <c r="QGL78" s="528"/>
      <c r="QGM78" s="528"/>
      <c r="QGN78" s="528"/>
      <c r="QGO78" s="528"/>
      <c r="QGP78" s="528"/>
      <c r="QGQ78" s="528"/>
      <c r="QGR78" s="528"/>
      <c r="QGS78" s="528"/>
      <c r="QGT78" s="528"/>
      <c r="QGU78" s="528"/>
      <c r="QGV78" s="528"/>
      <c r="QGW78" s="528"/>
      <c r="QGX78" s="528"/>
      <c r="QGY78" s="528"/>
      <c r="QGZ78" s="528"/>
      <c r="QHA78" s="528"/>
      <c r="QHB78" s="528"/>
      <c r="QHC78" s="528"/>
      <c r="QHD78" s="528"/>
      <c r="QHE78" s="528"/>
      <c r="QHF78" s="528"/>
      <c r="QHG78" s="528"/>
      <c r="QHH78" s="528"/>
      <c r="QHI78" s="528"/>
      <c r="QHJ78" s="528"/>
      <c r="QHK78" s="528"/>
      <c r="QHL78" s="528"/>
      <c r="QHM78" s="528"/>
      <c r="QHN78" s="528"/>
      <c r="QHO78" s="528"/>
      <c r="QHP78" s="528"/>
      <c r="QHQ78" s="528"/>
      <c r="QHR78" s="528"/>
      <c r="QHS78" s="528"/>
      <c r="QHT78" s="528"/>
      <c r="QHU78" s="528"/>
      <c r="QHV78" s="528"/>
      <c r="QHW78" s="528"/>
      <c r="QHX78" s="528"/>
      <c r="QHY78" s="528"/>
      <c r="QHZ78" s="528"/>
      <c r="QIA78" s="528"/>
      <c r="QIB78" s="528"/>
      <c r="QIC78" s="528"/>
      <c r="QID78" s="528"/>
      <c r="QIE78" s="528"/>
      <c r="QIF78" s="528"/>
      <c r="QIG78" s="528"/>
      <c r="QIH78" s="528"/>
      <c r="QII78" s="528"/>
      <c r="QIJ78" s="528"/>
      <c r="QIK78" s="528"/>
      <c r="QIL78" s="528"/>
      <c r="QIM78" s="528"/>
      <c r="QIN78" s="528"/>
      <c r="QIO78" s="528"/>
      <c r="QIP78" s="528"/>
      <c r="QIQ78" s="528"/>
      <c r="QIR78" s="528"/>
      <c r="QIS78" s="528"/>
      <c r="QIT78" s="528"/>
      <c r="QIU78" s="528"/>
      <c r="QIV78" s="528"/>
      <c r="QIW78" s="528"/>
      <c r="QIX78" s="528"/>
      <c r="QIY78" s="528"/>
      <c r="QIZ78" s="528"/>
      <c r="QJA78" s="528"/>
      <c r="QJB78" s="528"/>
      <c r="QJC78" s="528"/>
      <c r="QJD78" s="528"/>
      <c r="QJE78" s="528"/>
      <c r="QJF78" s="528"/>
      <c r="QJG78" s="528"/>
      <c r="QJH78" s="528"/>
      <c r="QJI78" s="528"/>
      <c r="QJJ78" s="528"/>
      <c r="QJK78" s="528"/>
      <c r="QJL78" s="528"/>
      <c r="QJM78" s="528"/>
      <c r="QJN78" s="528"/>
      <c r="QJO78" s="528"/>
      <c r="QJP78" s="528"/>
      <c r="QJQ78" s="528"/>
      <c r="QJR78" s="528"/>
      <c r="QJS78" s="528"/>
      <c r="QJT78" s="528"/>
      <c r="QJU78" s="528"/>
      <c r="QJV78" s="528"/>
      <c r="QJW78" s="528"/>
      <c r="QJX78" s="528"/>
      <c r="QJY78" s="528"/>
      <c r="QJZ78" s="528"/>
      <c r="QKA78" s="528"/>
      <c r="QKB78" s="528"/>
      <c r="QKC78" s="528"/>
      <c r="QKD78" s="528"/>
      <c r="QKE78" s="528"/>
      <c r="QKF78" s="528"/>
      <c r="QKG78" s="528"/>
      <c r="QKH78" s="528"/>
      <c r="QKI78" s="528"/>
      <c r="QKJ78" s="528"/>
      <c r="QKK78" s="528"/>
      <c r="QKL78" s="528"/>
      <c r="QKM78" s="528"/>
      <c r="QKN78" s="528"/>
      <c r="QKO78" s="528"/>
      <c r="QKP78" s="528"/>
      <c r="QKQ78" s="528"/>
      <c r="QKR78" s="528"/>
      <c r="QKS78" s="528"/>
      <c r="QKT78" s="528"/>
      <c r="QKU78" s="528"/>
      <c r="QKV78" s="528"/>
      <c r="QKW78" s="528"/>
      <c r="QKX78" s="528"/>
      <c r="QKY78" s="528"/>
      <c r="QKZ78" s="528"/>
      <c r="QLA78" s="528"/>
      <c r="QLB78" s="528"/>
      <c r="QLC78" s="528"/>
      <c r="QLD78" s="528"/>
      <c r="QLE78" s="528"/>
      <c r="QLF78" s="528"/>
      <c r="QLG78" s="528"/>
      <c r="QLH78" s="528"/>
      <c r="QLI78" s="528"/>
      <c r="QLJ78" s="528"/>
      <c r="QLK78" s="528"/>
      <c r="QLL78" s="528"/>
      <c r="QLM78" s="528"/>
      <c r="QLN78" s="528"/>
      <c r="QLO78" s="528"/>
      <c r="QLP78" s="528"/>
      <c r="QLQ78" s="528"/>
      <c r="QLR78" s="528"/>
      <c r="QLS78" s="528"/>
      <c r="QLT78" s="528"/>
      <c r="QLU78" s="528"/>
      <c r="QLV78" s="528"/>
      <c r="QLW78" s="528"/>
      <c r="QLX78" s="528"/>
      <c r="QLY78" s="528"/>
      <c r="QLZ78" s="528"/>
      <c r="QMA78" s="528"/>
      <c r="QMB78" s="528"/>
      <c r="QMC78" s="528"/>
      <c r="QMD78" s="528"/>
      <c r="QME78" s="528"/>
      <c r="QMF78" s="528"/>
      <c r="QMG78" s="528"/>
      <c r="QMH78" s="528"/>
      <c r="QMI78" s="528"/>
      <c r="QMJ78" s="528"/>
      <c r="QMK78" s="528"/>
      <c r="QML78" s="528"/>
      <c r="QMM78" s="528"/>
      <c r="QMN78" s="528"/>
      <c r="QMO78" s="528"/>
      <c r="QMP78" s="528"/>
      <c r="QMQ78" s="528"/>
      <c r="QMR78" s="528"/>
      <c r="QMS78" s="528"/>
      <c r="QMT78" s="528"/>
      <c r="QMU78" s="528"/>
      <c r="QMV78" s="528"/>
      <c r="QMW78" s="528"/>
      <c r="QMX78" s="528"/>
      <c r="QMY78" s="528"/>
      <c r="QMZ78" s="528"/>
      <c r="QNA78" s="528"/>
      <c r="QNB78" s="528"/>
      <c r="QNC78" s="528"/>
      <c r="QND78" s="528"/>
      <c r="QNE78" s="528"/>
      <c r="QNF78" s="528"/>
      <c r="QNG78" s="528"/>
      <c r="QNH78" s="528"/>
      <c r="QNI78" s="528"/>
      <c r="QNJ78" s="528"/>
      <c r="QNK78" s="528"/>
      <c r="QNL78" s="528"/>
      <c r="QNM78" s="528"/>
      <c r="QNN78" s="528"/>
      <c r="QNO78" s="528"/>
      <c r="QNP78" s="528"/>
      <c r="QNQ78" s="528"/>
      <c r="QNR78" s="528"/>
      <c r="QNS78" s="528"/>
      <c r="QNT78" s="528"/>
      <c r="QNU78" s="528"/>
      <c r="QNV78" s="528"/>
      <c r="QNW78" s="528"/>
      <c r="QNX78" s="528"/>
      <c r="QNY78" s="528"/>
      <c r="QNZ78" s="528"/>
      <c r="QOA78" s="528"/>
      <c r="QOB78" s="528"/>
      <c r="QOC78" s="528"/>
      <c r="QOD78" s="528"/>
      <c r="QOE78" s="528"/>
      <c r="QOF78" s="528"/>
      <c r="QOG78" s="528"/>
      <c r="QOH78" s="528"/>
      <c r="QOI78" s="528"/>
      <c r="QOJ78" s="528"/>
      <c r="QOK78" s="528"/>
      <c r="QOL78" s="528"/>
      <c r="QOM78" s="528"/>
      <c r="QON78" s="528"/>
      <c r="QOO78" s="528"/>
      <c r="QOP78" s="528"/>
      <c r="QOQ78" s="528"/>
      <c r="QOR78" s="528"/>
      <c r="QOS78" s="528"/>
      <c r="QOT78" s="528"/>
      <c r="QOU78" s="528"/>
      <c r="QOV78" s="528"/>
      <c r="QOW78" s="528"/>
      <c r="QOX78" s="528"/>
      <c r="QOY78" s="528"/>
      <c r="QOZ78" s="528"/>
      <c r="QPA78" s="528"/>
      <c r="QPB78" s="528"/>
      <c r="QPC78" s="528"/>
      <c r="QPD78" s="528"/>
      <c r="QPE78" s="528"/>
      <c r="QPF78" s="528"/>
      <c r="QPG78" s="528"/>
      <c r="QPH78" s="528"/>
      <c r="QPI78" s="528"/>
      <c r="QPJ78" s="528"/>
      <c r="QPK78" s="528"/>
      <c r="QPL78" s="528"/>
      <c r="QPM78" s="528"/>
      <c r="QPN78" s="528"/>
      <c r="QPO78" s="528"/>
      <c r="QPP78" s="528"/>
      <c r="QPQ78" s="528"/>
      <c r="QPR78" s="528"/>
      <c r="QPS78" s="528"/>
      <c r="QPT78" s="528"/>
      <c r="QPU78" s="528"/>
      <c r="QPV78" s="528"/>
      <c r="QPW78" s="528"/>
      <c r="QPX78" s="528"/>
      <c r="QPY78" s="528"/>
      <c r="QPZ78" s="528"/>
      <c r="QQA78" s="528"/>
      <c r="QQB78" s="528"/>
      <c r="QQC78" s="528"/>
      <c r="QQD78" s="528"/>
      <c r="QQE78" s="528"/>
      <c r="QQF78" s="528"/>
      <c r="QQG78" s="528"/>
      <c r="QQH78" s="528"/>
      <c r="QQI78" s="528"/>
      <c r="QQJ78" s="528"/>
      <c r="QQK78" s="528"/>
      <c r="QQL78" s="528"/>
      <c r="QQM78" s="528"/>
      <c r="QQN78" s="528"/>
      <c r="QQO78" s="528"/>
      <c r="QQP78" s="528"/>
      <c r="QQQ78" s="528"/>
      <c r="QQR78" s="528"/>
      <c r="QQS78" s="528"/>
      <c r="QQT78" s="528"/>
      <c r="QQU78" s="528"/>
      <c r="QQV78" s="528"/>
      <c r="QQW78" s="528"/>
      <c r="QQX78" s="528"/>
      <c r="QQY78" s="528"/>
      <c r="QQZ78" s="528"/>
      <c r="QRA78" s="528"/>
      <c r="QRB78" s="528"/>
      <c r="QRC78" s="528"/>
      <c r="QRD78" s="528"/>
      <c r="QRE78" s="528"/>
      <c r="QRF78" s="528"/>
      <c r="QRG78" s="528"/>
      <c r="QRH78" s="528"/>
      <c r="QRI78" s="528"/>
      <c r="QRJ78" s="528"/>
      <c r="QRK78" s="528"/>
      <c r="QRL78" s="528"/>
      <c r="QRM78" s="528"/>
      <c r="QRN78" s="528"/>
      <c r="QRO78" s="528"/>
      <c r="QRP78" s="528"/>
      <c r="QRQ78" s="528"/>
      <c r="QRR78" s="528"/>
      <c r="QRS78" s="528"/>
      <c r="QRT78" s="528"/>
      <c r="QRU78" s="528"/>
      <c r="QRV78" s="528"/>
      <c r="QRW78" s="528"/>
      <c r="QRX78" s="528"/>
      <c r="QRY78" s="528"/>
      <c r="QRZ78" s="528"/>
      <c r="QSA78" s="528"/>
      <c r="QSB78" s="528"/>
      <c r="QSC78" s="528"/>
      <c r="QSD78" s="528"/>
      <c r="QSE78" s="528"/>
      <c r="QSF78" s="528"/>
      <c r="QSG78" s="528"/>
      <c r="QSH78" s="528"/>
      <c r="QSI78" s="528"/>
      <c r="QSJ78" s="528"/>
      <c r="QSK78" s="528"/>
      <c r="QSL78" s="528"/>
      <c r="QSM78" s="528"/>
      <c r="QSN78" s="528"/>
      <c r="QSO78" s="528"/>
      <c r="QSP78" s="528"/>
      <c r="QSQ78" s="528"/>
      <c r="QSR78" s="528"/>
      <c r="QSS78" s="528"/>
      <c r="QST78" s="528"/>
      <c r="QSU78" s="528"/>
      <c r="QSV78" s="528"/>
      <c r="QSW78" s="528"/>
      <c r="QSX78" s="528"/>
      <c r="QSY78" s="528"/>
      <c r="QSZ78" s="528"/>
      <c r="QTA78" s="528"/>
      <c r="QTB78" s="528"/>
      <c r="QTC78" s="528"/>
      <c r="QTD78" s="528"/>
      <c r="QTE78" s="528"/>
      <c r="QTF78" s="528"/>
      <c r="QTG78" s="528"/>
      <c r="QTH78" s="528"/>
      <c r="QTI78" s="528"/>
      <c r="QTJ78" s="528"/>
      <c r="QTK78" s="528"/>
      <c r="QTL78" s="528"/>
      <c r="QTM78" s="528"/>
      <c r="QTN78" s="528"/>
      <c r="QTO78" s="528"/>
      <c r="QTP78" s="528"/>
      <c r="QTQ78" s="528"/>
      <c r="QTR78" s="528"/>
      <c r="QTS78" s="528"/>
      <c r="QTT78" s="528"/>
      <c r="QTU78" s="528"/>
      <c r="QTV78" s="528"/>
      <c r="QTW78" s="528"/>
      <c r="QTX78" s="528"/>
      <c r="QTY78" s="528"/>
      <c r="QTZ78" s="528"/>
      <c r="QUA78" s="528"/>
      <c r="QUB78" s="528"/>
      <c r="QUC78" s="528"/>
      <c r="QUD78" s="528"/>
      <c r="QUE78" s="528"/>
      <c r="QUF78" s="528"/>
      <c r="QUG78" s="528"/>
      <c r="QUH78" s="528"/>
      <c r="QUI78" s="528"/>
      <c r="QUJ78" s="528"/>
      <c r="QUK78" s="528"/>
      <c r="QUL78" s="528"/>
      <c r="QUM78" s="528"/>
      <c r="QUN78" s="528"/>
      <c r="QUO78" s="528"/>
      <c r="QUP78" s="528"/>
      <c r="QUQ78" s="528"/>
      <c r="QUR78" s="528"/>
      <c r="QUS78" s="528"/>
      <c r="QUT78" s="528"/>
      <c r="QUU78" s="528"/>
      <c r="QUV78" s="528"/>
      <c r="QUW78" s="528"/>
      <c r="QUX78" s="528"/>
      <c r="QUY78" s="528"/>
      <c r="QUZ78" s="528"/>
      <c r="QVA78" s="528"/>
      <c r="QVB78" s="528"/>
      <c r="QVC78" s="528"/>
      <c r="QVD78" s="528"/>
      <c r="QVE78" s="528"/>
      <c r="QVF78" s="528"/>
      <c r="QVG78" s="528"/>
      <c r="QVH78" s="528"/>
      <c r="QVI78" s="528"/>
      <c r="QVJ78" s="528"/>
      <c r="QVK78" s="528"/>
      <c r="QVL78" s="528"/>
      <c r="QVM78" s="528"/>
      <c r="QVN78" s="528"/>
      <c r="QVO78" s="528"/>
      <c r="QVP78" s="528"/>
      <c r="QVQ78" s="528"/>
      <c r="QVR78" s="528"/>
      <c r="QVS78" s="528"/>
      <c r="QVT78" s="528"/>
      <c r="QVU78" s="528"/>
      <c r="QVV78" s="528"/>
      <c r="QVW78" s="528"/>
      <c r="QVX78" s="528"/>
      <c r="QVY78" s="528"/>
      <c r="QVZ78" s="528"/>
      <c r="QWA78" s="528"/>
      <c r="QWB78" s="528"/>
      <c r="QWC78" s="528"/>
      <c r="QWD78" s="528"/>
      <c r="QWE78" s="528"/>
      <c r="QWF78" s="528"/>
      <c r="QWG78" s="528"/>
      <c r="QWH78" s="528"/>
      <c r="QWI78" s="528"/>
      <c r="QWJ78" s="528"/>
      <c r="QWK78" s="528"/>
      <c r="QWL78" s="528"/>
      <c r="QWM78" s="528"/>
      <c r="QWN78" s="528"/>
      <c r="QWO78" s="528"/>
      <c r="QWP78" s="528"/>
      <c r="QWQ78" s="528"/>
      <c r="QWR78" s="528"/>
      <c r="QWS78" s="528"/>
      <c r="QWT78" s="528"/>
      <c r="QWU78" s="528"/>
      <c r="QWV78" s="528"/>
      <c r="QWW78" s="528"/>
      <c r="QWX78" s="528"/>
      <c r="QWY78" s="528"/>
      <c r="QWZ78" s="528"/>
      <c r="QXA78" s="528"/>
      <c r="QXB78" s="528"/>
      <c r="QXC78" s="528"/>
      <c r="QXD78" s="528"/>
      <c r="QXE78" s="528"/>
      <c r="QXF78" s="528"/>
      <c r="QXG78" s="528"/>
      <c r="QXH78" s="528"/>
      <c r="QXI78" s="528"/>
      <c r="QXJ78" s="528"/>
      <c r="QXK78" s="528"/>
      <c r="QXL78" s="528"/>
      <c r="QXM78" s="528"/>
      <c r="QXN78" s="528"/>
      <c r="QXO78" s="528"/>
      <c r="QXP78" s="528"/>
      <c r="QXQ78" s="528"/>
      <c r="QXR78" s="528"/>
      <c r="QXS78" s="528"/>
      <c r="QXT78" s="528"/>
      <c r="QXU78" s="528"/>
      <c r="QXV78" s="528"/>
      <c r="QXW78" s="528"/>
      <c r="QXX78" s="528"/>
      <c r="QXY78" s="528"/>
      <c r="QXZ78" s="528"/>
      <c r="QYA78" s="528"/>
      <c r="QYB78" s="528"/>
      <c r="QYC78" s="528"/>
      <c r="QYD78" s="528"/>
      <c r="QYE78" s="528"/>
      <c r="QYF78" s="528"/>
      <c r="QYG78" s="528"/>
      <c r="QYH78" s="528"/>
      <c r="QYI78" s="528"/>
      <c r="QYJ78" s="528"/>
      <c r="QYK78" s="528"/>
      <c r="QYL78" s="528"/>
      <c r="QYM78" s="528"/>
      <c r="QYN78" s="528"/>
      <c r="QYO78" s="528"/>
      <c r="QYP78" s="528"/>
      <c r="QYQ78" s="528"/>
      <c r="QYR78" s="528"/>
      <c r="QYS78" s="528"/>
      <c r="QYT78" s="528"/>
      <c r="QYU78" s="528"/>
      <c r="QYV78" s="528"/>
      <c r="QYW78" s="528"/>
      <c r="QYX78" s="528"/>
      <c r="QYY78" s="528"/>
      <c r="QYZ78" s="528"/>
      <c r="QZA78" s="528"/>
      <c r="QZB78" s="528"/>
      <c r="QZC78" s="528"/>
      <c r="QZD78" s="528"/>
      <c r="QZE78" s="528"/>
      <c r="QZF78" s="528"/>
      <c r="QZG78" s="528"/>
      <c r="QZH78" s="528"/>
      <c r="QZI78" s="528"/>
      <c r="QZJ78" s="528"/>
      <c r="QZK78" s="528"/>
      <c r="QZL78" s="528"/>
      <c r="QZM78" s="528"/>
      <c r="QZN78" s="528"/>
      <c r="QZO78" s="528"/>
      <c r="QZP78" s="528"/>
      <c r="QZQ78" s="528"/>
      <c r="QZR78" s="528"/>
      <c r="QZS78" s="528"/>
      <c r="QZT78" s="528"/>
      <c r="QZU78" s="528"/>
      <c r="QZV78" s="528"/>
      <c r="QZW78" s="528"/>
      <c r="QZX78" s="528"/>
      <c r="QZY78" s="528"/>
      <c r="QZZ78" s="528"/>
      <c r="RAA78" s="528"/>
      <c r="RAB78" s="528"/>
      <c r="RAC78" s="528"/>
      <c r="RAD78" s="528"/>
      <c r="RAE78" s="528"/>
      <c r="RAF78" s="528"/>
      <c r="RAG78" s="528"/>
      <c r="RAH78" s="528"/>
      <c r="RAI78" s="528"/>
      <c r="RAJ78" s="528"/>
      <c r="RAK78" s="528"/>
      <c r="RAL78" s="528"/>
      <c r="RAM78" s="528"/>
      <c r="RAN78" s="528"/>
      <c r="RAO78" s="528"/>
      <c r="RAP78" s="528"/>
      <c r="RAQ78" s="528"/>
      <c r="RAR78" s="528"/>
      <c r="RAS78" s="528"/>
      <c r="RAT78" s="528"/>
      <c r="RAU78" s="528"/>
      <c r="RAV78" s="528"/>
      <c r="RAW78" s="528"/>
      <c r="RAX78" s="528"/>
      <c r="RAY78" s="528"/>
      <c r="RAZ78" s="528"/>
      <c r="RBA78" s="528"/>
      <c r="RBB78" s="528"/>
      <c r="RBC78" s="528"/>
      <c r="RBD78" s="528"/>
      <c r="RBE78" s="528"/>
      <c r="RBF78" s="528"/>
      <c r="RBG78" s="528"/>
      <c r="RBH78" s="528"/>
      <c r="RBI78" s="528"/>
      <c r="RBJ78" s="528"/>
      <c r="RBK78" s="528"/>
      <c r="RBL78" s="528"/>
      <c r="RBM78" s="528"/>
      <c r="RBN78" s="528"/>
      <c r="RBO78" s="528"/>
      <c r="RBP78" s="528"/>
      <c r="RBQ78" s="528"/>
      <c r="RBR78" s="528"/>
      <c r="RBS78" s="528"/>
      <c r="RBT78" s="528"/>
      <c r="RBU78" s="528"/>
      <c r="RBV78" s="528"/>
      <c r="RBW78" s="528"/>
      <c r="RBX78" s="528"/>
      <c r="RBY78" s="528"/>
      <c r="RBZ78" s="528"/>
      <c r="RCA78" s="528"/>
      <c r="RCB78" s="528"/>
      <c r="RCC78" s="528"/>
      <c r="RCD78" s="528"/>
      <c r="RCE78" s="528"/>
      <c r="RCF78" s="528"/>
      <c r="RCG78" s="528"/>
      <c r="RCH78" s="528"/>
      <c r="RCI78" s="528"/>
      <c r="RCJ78" s="528"/>
      <c r="RCK78" s="528"/>
      <c r="RCL78" s="528"/>
      <c r="RCM78" s="528"/>
      <c r="RCN78" s="528"/>
      <c r="RCO78" s="528"/>
      <c r="RCP78" s="528"/>
      <c r="RCQ78" s="528"/>
      <c r="RCR78" s="528"/>
      <c r="RCS78" s="528"/>
      <c r="RCT78" s="528"/>
      <c r="RCU78" s="528"/>
      <c r="RCV78" s="528"/>
      <c r="RCW78" s="528"/>
      <c r="RCX78" s="528"/>
      <c r="RCY78" s="528"/>
      <c r="RCZ78" s="528"/>
      <c r="RDA78" s="528"/>
      <c r="RDB78" s="528"/>
      <c r="RDC78" s="528"/>
      <c r="RDD78" s="528"/>
      <c r="RDE78" s="528"/>
      <c r="RDF78" s="528"/>
      <c r="RDG78" s="528"/>
      <c r="RDH78" s="528"/>
      <c r="RDI78" s="528"/>
      <c r="RDJ78" s="528"/>
      <c r="RDK78" s="528"/>
      <c r="RDL78" s="528"/>
      <c r="RDM78" s="528"/>
      <c r="RDN78" s="528"/>
      <c r="RDO78" s="528"/>
      <c r="RDP78" s="528"/>
      <c r="RDQ78" s="528"/>
      <c r="RDR78" s="528"/>
      <c r="RDS78" s="528"/>
      <c r="RDT78" s="528"/>
      <c r="RDU78" s="528"/>
      <c r="RDV78" s="528"/>
      <c r="RDW78" s="528"/>
      <c r="RDX78" s="528"/>
      <c r="RDY78" s="528"/>
      <c r="RDZ78" s="528"/>
      <c r="REA78" s="528"/>
      <c r="REB78" s="528"/>
      <c r="REC78" s="528"/>
      <c r="RED78" s="528"/>
      <c r="REE78" s="528"/>
      <c r="REF78" s="528"/>
      <c r="REG78" s="528"/>
      <c r="REH78" s="528"/>
      <c r="REI78" s="528"/>
      <c r="REJ78" s="528"/>
      <c r="REK78" s="528"/>
      <c r="REL78" s="528"/>
      <c r="REM78" s="528"/>
      <c r="REN78" s="528"/>
      <c r="REO78" s="528"/>
      <c r="REP78" s="528"/>
      <c r="REQ78" s="528"/>
      <c r="RER78" s="528"/>
      <c r="RES78" s="528"/>
      <c r="RET78" s="528"/>
      <c r="REU78" s="528"/>
      <c r="REV78" s="528"/>
      <c r="REW78" s="528"/>
      <c r="REX78" s="528"/>
      <c r="REY78" s="528"/>
      <c r="REZ78" s="528"/>
      <c r="RFA78" s="528"/>
      <c r="RFB78" s="528"/>
      <c r="RFC78" s="528"/>
      <c r="RFD78" s="528"/>
      <c r="RFE78" s="528"/>
      <c r="RFF78" s="528"/>
      <c r="RFG78" s="528"/>
      <c r="RFH78" s="528"/>
      <c r="RFI78" s="528"/>
      <c r="RFJ78" s="528"/>
      <c r="RFK78" s="528"/>
      <c r="RFL78" s="528"/>
      <c r="RFM78" s="528"/>
      <c r="RFN78" s="528"/>
      <c r="RFO78" s="528"/>
      <c r="RFP78" s="528"/>
      <c r="RFQ78" s="528"/>
      <c r="RFR78" s="528"/>
      <c r="RFS78" s="528"/>
      <c r="RFT78" s="528"/>
      <c r="RFU78" s="528"/>
      <c r="RFV78" s="528"/>
      <c r="RFW78" s="528"/>
      <c r="RFX78" s="528"/>
      <c r="RFY78" s="528"/>
      <c r="RFZ78" s="528"/>
      <c r="RGA78" s="528"/>
      <c r="RGB78" s="528"/>
      <c r="RGC78" s="528"/>
      <c r="RGD78" s="528"/>
      <c r="RGE78" s="528"/>
      <c r="RGF78" s="528"/>
      <c r="RGG78" s="528"/>
      <c r="RGH78" s="528"/>
      <c r="RGI78" s="528"/>
      <c r="RGJ78" s="528"/>
      <c r="RGK78" s="528"/>
      <c r="RGL78" s="528"/>
      <c r="RGM78" s="528"/>
      <c r="RGN78" s="528"/>
      <c r="RGO78" s="528"/>
      <c r="RGP78" s="528"/>
      <c r="RGQ78" s="528"/>
      <c r="RGR78" s="528"/>
      <c r="RGS78" s="528"/>
      <c r="RGT78" s="528"/>
      <c r="RGU78" s="528"/>
      <c r="RGV78" s="528"/>
      <c r="RGW78" s="528"/>
      <c r="RGX78" s="528"/>
      <c r="RGY78" s="528"/>
      <c r="RGZ78" s="528"/>
      <c r="RHA78" s="528"/>
      <c r="RHB78" s="528"/>
      <c r="RHC78" s="528"/>
      <c r="RHD78" s="528"/>
      <c r="RHE78" s="528"/>
      <c r="RHF78" s="528"/>
      <c r="RHG78" s="528"/>
      <c r="RHH78" s="528"/>
      <c r="RHI78" s="528"/>
      <c r="RHJ78" s="528"/>
      <c r="RHK78" s="528"/>
      <c r="RHL78" s="528"/>
      <c r="RHM78" s="528"/>
      <c r="RHN78" s="528"/>
      <c r="RHO78" s="528"/>
      <c r="RHP78" s="528"/>
      <c r="RHQ78" s="528"/>
      <c r="RHR78" s="528"/>
      <c r="RHS78" s="528"/>
      <c r="RHT78" s="528"/>
      <c r="RHU78" s="528"/>
      <c r="RHV78" s="528"/>
      <c r="RHW78" s="528"/>
      <c r="RHX78" s="528"/>
      <c r="RHY78" s="528"/>
      <c r="RHZ78" s="528"/>
      <c r="RIA78" s="528"/>
      <c r="RIB78" s="528"/>
      <c r="RIC78" s="528"/>
      <c r="RID78" s="528"/>
      <c r="RIE78" s="528"/>
      <c r="RIF78" s="528"/>
      <c r="RIG78" s="528"/>
      <c r="RIH78" s="528"/>
      <c r="RII78" s="528"/>
      <c r="RIJ78" s="528"/>
      <c r="RIK78" s="528"/>
      <c r="RIL78" s="528"/>
      <c r="RIM78" s="528"/>
      <c r="RIN78" s="528"/>
      <c r="RIO78" s="528"/>
      <c r="RIP78" s="528"/>
      <c r="RIQ78" s="528"/>
      <c r="RIR78" s="528"/>
      <c r="RIS78" s="528"/>
      <c r="RIT78" s="528"/>
      <c r="RIU78" s="528"/>
      <c r="RIV78" s="528"/>
      <c r="RIW78" s="528"/>
      <c r="RIX78" s="528"/>
      <c r="RIY78" s="528"/>
      <c r="RIZ78" s="528"/>
      <c r="RJA78" s="528"/>
      <c r="RJB78" s="528"/>
      <c r="RJC78" s="528"/>
      <c r="RJD78" s="528"/>
      <c r="RJE78" s="528"/>
      <c r="RJF78" s="528"/>
      <c r="RJG78" s="528"/>
      <c r="RJH78" s="528"/>
      <c r="RJI78" s="528"/>
      <c r="RJJ78" s="528"/>
      <c r="RJK78" s="528"/>
      <c r="RJL78" s="528"/>
      <c r="RJM78" s="528"/>
      <c r="RJN78" s="528"/>
      <c r="RJO78" s="528"/>
      <c r="RJP78" s="528"/>
      <c r="RJQ78" s="528"/>
      <c r="RJR78" s="528"/>
      <c r="RJS78" s="528"/>
      <c r="RJT78" s="528"/>
      <c r="RJU78" s="528"/>
      <c r="RJV78" s="528"/>
      <c r="RJW78" s="528"/>
      <c r="RJX78" s="528"/>
      <c r="RJY78" s="528"/>
      <c r="RJZ78" s="528"/>
      <c r="RKA78" s="528"/>
      <c r="RKB78" s="528"/>
      <c r="RKC78" s="528"/>
      <c r="RKD78" s="528"/>
      <c r="RKE78" s="528"/>
      <c r="RKF78" s="528"/>
      <c r="RKG78" s="528"/>
      <c r="RKH78" s="528"/>
      <c r="RKI78" s="528"/>
      <c r="RKJ78" s="528"/>
      <c r="RKK78" s="528"/>
      <c r="RKL78" s="528"/>
      <c r="RKM78" s="528"/>
      <c r="RKN78" s="528"/>
      <c r="RKO78" s="528"/>
      <c r="RKP78" s="528"/>
      <c r="RKQ78" s="528"/>
      <c r="RKR78" s="528"/>
      <c r="RKS78" s="528"/>
      <c r="RKT78" s="528"/>
      <c r="RKU78" s="528"/>
      <c r="RKV78" s="528"/>
      <c r="RKW78" s="528"/>
      <c r="RKX78" s="528"/>
      <c r="RKY78" s="528"/>
      <c r="RKZ78" s="528"/>
      <c r="RLA78" s="528"/>
      <c r="RLB78" s="528"/>
      <c r="RLC78" s="528"/>
      <c r="RLD78" s="528"/>
      <c r="RLE78" s="528"/>
      <c r="RLF78" s="528"/>
      <c r="RLG78" s="528"/>
      <c r="RLH78" s="528"/>
      <c r="RLI78" s="528"/>
      <c r="RLJ78" s="528"/>
      <c r="RLK78" s="528"/>
      <c r="RLL78" s="528"/>
      <c r="RLM78" s="528"/>
      <c r="RLN78" s="528"/>
      <c r="RLO78" s="528"/>
      <c r="RLP78" s="528"/>
      <c r="RLQ78" s="528"/>
      <c r="RLR78" s="528"/>
      <c r="RLS78" s="528"/>
      <c r="RLT78" s="528"/>
      <c r="RLU78" s="528"/>
      <c r="RLV78" s="528"/>
      <c r="RLW78" s="528"/>
      <c r="RLX78" s="528"/>
      <c r="RLY78" s="528"/>
      <c r="RLZ78" s="528"/>
      <c r="RMA78" s="528"/>
      <c r="RMB78" s="528"/>
      <c r="RMC78" s="528"/>
      <c r="RMD78" s="528"/>
      <c r="RME78" s="528"/>
      <c r="RMF78" s="528"/>
      <c r="RMG78" s="528"/>
      <c r="RMH78" s="528"/>
      <c r="RMI78" s="528"/>
      <c r="RMJ78" s="528"/>
      <c r="RMK78" s="528"/>
      <c r="RML78" s="528"/>
      <c r="RMM78" s="528"/>
      <c r="RMN78" s="528"/>
      <c r="RMO78" s="528"/>
      <c r="RMP78" s="528"/>
      <c r="RMQ78" s="528"/>
      <c r="RMR78" s="528"/>
      <c r="RMS78" s="528"/>
      <c r="RMT78" s="528"/>
      <c r="RMU78" s="528"/>
      <c r="RMV78" s="528"/>
      <c r="RMW78" s="528"/>
      <c r="RMX78" s="528"/>
      <c r="RMY78" s="528"/>
      <c r="RMZ78" s="528"/>
      <c r="RNA78" s="528"/>
      <c r="RNB78" s="528"/>
      <c r="RNC78" s="528"/>
      <c r="RND78" s="528"/>
      <c r="RNE78" s="528"/>
      <c r="RNF78" s="528"/>
      <c r="RNG78" s="528"/>
      <c r="RNH78" s="528"/>
      <c r="RNI78" s="528"/>
      <c r="RNJ78" s="528"/>
      <c r="RNK78" s="528"/>
      <c r="RNL78" s="528"/>
      <c r="RNM78" s="528"/>
      <c r="RNN78" s="528"/>
      <c r="RNO78" s="528"/>
      <c r="RNP78" s="528"/>
      <c r="RNQ78" s="528"/>
      <c r="RNR78" s="528"/>
      <c r="RNS78" s="528"/>
      <c r="RNT78" s="528"/>
      <c r="RNU78" s="528"/>
      <c r="RNV78" s="528"/>
      <c r="RNW78" s="528"/>
      <c r="RNX78" s="528"/>
      <c r="RNY78" s="528"/>
      <c r="RNZ78" s="528"/>
      <c r="ROA78" s="528"/>
      <c r="ROB78" s="528"/>
      <c r="ROC78" s="528"/>
      <c r="ROD78" s="528"/>
      <c r="ROE78" s="528"/>
      <c r="ROF78" s="528"/>
      <c r="ROG78" s="528"/>
      <c r="ROH78" s="528"/>
      <c r="ROI78" s="528"/>
      <c r="ROJ78" s="528"/>
      <c r="ROK78" s="528"/>
      <c r="ROL78" s="528"/>
      <c r="ROM78" s="528"/>
      <c r="RON78" s="528"/>
      <c r="ROO78" s="528"/>
      <c r="ROP78" s="528"/>
      <c r="ROQ78" s="528"/>
      <c r="ROR78" s="528"/>
      <c r="ROS78" s="528"/>
      <c r="ROT78" s="528"/>
      <c r="ROU78" s="528"/>
      <c r="ROV78" s="528"/>
      <c r="ROW78" s="528"/>
      <c r="ROX78" s="528"/>
      <c r="ROY78" s="528"/>
      <c r="ROZ78" s="528"/>
      <c r="RPA78" s="528"/>
      <c r="RPB78" s="528"/>
      <c r="RPC78" s="528"/>
      <c r="RPD78" s="528"/>
      <c r="RPE78" s="528"/>
      <c r="RPF78" s="528"/>
      <c r="RPG78" s="528"/>
      <c r="RPH78" s="528"/>
      <c r="RPI78" s="528"/>
      <c r="RPJ78" s="528"/>
      <c r="RPK78" s="528"/>
      <c r="RPL78" s="528"/>
      <c r="RPM78" s="528"/>
      <c r="RPN78" s="528"/>
      <c r="RPO78" s="528"/>
      <c r="RPP78" s="528"/>
      <c r="RPQ78" s="528"/>
      <c r="RPR78" s="528"/>
      <c r="RPS78" s="528"/>
      <c r="RPT78" s="528"/>
      <c r="RPU78" s="528"/>
      <c r="RPV78" s="528"/>
      <c r="RPW78" s="528"/>
      <c r="RPX78" s="528"/>
      <c r="RPY78" s="528"/>
      <c r="RPZ78" s="528"/>
      <c r="RQA78" s="528"/>
      <c r="RQB78" s="528"/>
      <c r="RQC78" s="528"/>
      <c r="RQD78" s="528"/>
      <c r="RQE78" s="528"/>
      <c r="RQF78" s="528"/>
      <c r="RQG78" s="528"/>
      <c r="RQH78" s="528"/>
      <c r="RQI78" s="528"/>
      <c r="RQJ78" s="528"/>
      <c r="RQK78" s="528"/>
      <c r="RQL78" s="528"/>
      <c r="RQM78" s="528"/>
      <c r="RQN78" s="528"/>
      <c r="RQO78" s="528"/>
      <c r="RQP78" s="528"/>
      <c r="RQQ78" s="528"/>
      <c r="RQR78" s="528"/>
      <c r="RQS78" s="528"/>
      <c r="RQT78" s="528"/>
      <c r="RQU78" s="528"/>
      <c r="RQV78" s="528"/>
      <c r="RQW78" s="528"/>
      <c r="RQX78" s="528"/>
      <c r="RQY78" s="528"/>
      <c r="RQZ78" s="528"/>
      <c r="RRA78" s="528"/>
      <c r="RRB78" s="528"/>
      <c r="RRC78" s="528"/>
      <c r="RRD78" s="528"/>
      <c r="RRE78" s="528"/>
      <c r="RRF78" s="528"/>
      <c r="RRG78" s="528"/>
      <c r="RRH78" s="528"/>
      <c r="RRI78" s="528"/>
      <c r="RRJ78" s="528"/>
      <c r="RRK78" s="528"/>
      <c r="RRL78" s="528"/>
      <c r="RRM78" s="528"/>
      <c r="RRN78" s="528"/>
      <c r="RRO78" s="528"/>
      <c r="RRP78" s="528"/>
      <c r="RRQ78" s="528"/>
      <c r="RRR78" s="528"/>
      <c r="RRS78" s="528"/>
      <c r="RRT78" s="528"/>
      <c r="RRU78" s="528"/>
      <c r="RRV78" s="528"/>
      <c r="RRW78" s="528"/>
      <c r="RRX78" s="528"/>
      <c r="RRY78" s="528"/>
      <c r="RRZ78" s="528"/>
      <c r="RSA78" s="528"/>
      <c r="RSB78" s="528"/>
      <c r="RSC78" s="528"/>
      <c r="RSD78" s="528"/>
      <c r="RSE78" s="528"/>
      <c r="RSF78" s="528"/>
      <c r="RSG78" s="528"/>
      <c r="RSH78" s="528"/>
      <c r="RSI78" s="528"/>
      <c r="RSJ78" s="528"/>
      <c r="RSK78" s="528"/>
      <c r="RSL78" s="528"/>
      <c r="RSM78" s="528"/>
      <c r="RSN78" s="528"/>
      <c r="RSO78" s="528"/>
      <c r="RSP78" s="528"/>
      <c r="RSQ78" s="528"/>
      <c r="RSR78" s="528"/>
      <c r="RSS78" s="528"/>
      <c r="RST78" s="528"/>
      <c r="RSU78" s="528"/>
      <c r="RSV78" s="528"/>
      <c r="RSW78" s="528"/>
      <c r="RSX78" s="528"/>
      <c r="RSY78" s="528"/>
      <c r="RSZ78" s="528"/>
      <c r="RTA78" s="528"/>
      <c r="RTB78" s="528"/>
      <c r="RTC78" s="528"/>
      <c r="RTD78" s="528"/>
      <c r="RTE78" s="528"/>
      <c r="RTF78" s="528"/>
      <c r="RTG78" s="528"/>
      <c r="RTH78" s="528"/>
      <c r="RTI78" s="528"/>
      <c r="RTJ78" s="528"/>
      <c r="RTK78" s="528"/>
      <c r="RTL78" s="528"/>
      <c r="RTM78" s="528"/>
      <c r="RTN78" s="528"/>
      <c r="RTO78" s="528"/>
      <c r="RTP78" s="528"/>
      <c r="RTQ78" s="528"/>
      <c r="RTR78" s="528"/>
      <c r="RTS78" s="528"/>
      <c r="RTT78" s="528"/>
      <c r="RTU78" s="528"/>
      <c r="RTV78" s="528"/>
      <c r="RTW78" s="528"/>
      <c r="RTX78" s="528"/>
      <c r="RTY78" s="528"/>
      <c r="RTZ78" s="528"/>
      <c r="RUA78" s="528"/>
      <c r="RUB78" s="528"/>
      <c r="RUC78" s="528"/>
      <c r="RUD78" s="528"/>
      <c r="RUE78" s="528"/>
      <c r="RUF78" s="528"/>
      <c r="RUG78" s="528"/>
      <c r="RUH78" s="528"/>
      <c r="RUI78" s="528"/>
      <c r="RUJ78" s="528"/>
      <c r="RUK78" s="528"/>
      <c r="RUL78" s="528"/>
      <c r="RUM78" s="528"/>
      <c r="RUN78" s="528"/>
      <c r="RUO78" s="528"/>
      <c r="RUP78" s="528"/>
      <c r="RUQ78" s="528"/>
      <c r="RUR78" s="528"/>
      <c r="RUS78" s="528"/>
      <c r="RUT78" s="528"/>
      <c r="RUU78" s="528"/>
      <c r="RUV78" s="528"/>
      <c r="RUW78" s="528"/>
      <c r="RUX78" s="528"/>
      <c r="RUY78" s="528"/>
      <c r="RUZ78" s="528"/>
      <c r="RVA78" s="528"/>
      <c r="RVB78" s="528"/>
      <c r="RVC78" s="528"/>
      <c r="RVD78" s="528"/>
      <c r="RVE78" s="528"/>
      <c r="RVF78" s="528"/>
      <c r="RVG78" s="528"/>
      <c r="RVH78" s="528"/>
      <c r="RVI78" s="528"/>
      <c r="RVJ78" s="528"/>
      <c r="RVK78" s="528"/>
      <c r="RVL78" s="528"/>
      <c r="RVM78" s="528"/>
      <c r="RVN78" s="528"/>
      <c r="RVO78" s="528"/>
      <c r="RVP78" s="528"/>
      <c r="RVQ78" s="528"/>
      <c r="RVR78" s="528"/>
      <c r="RVS78" s="528"/>
      <c r="RVT78" s="528"/>
      <c r="RVU78" s="528"/>
      <c r="RVV78" s="528"/>
      <c r="RVW78" s="528"/>
      <c r="RVX78" s="528"/>
      <c r="RVY78" s="528"/>
      <c r="RVZ78" s="528"/>
      <c r="RWA78" s="528"/>
      <c r="RWB78" s="528"/>
      <c r="RWC78" s="528"/>
      <c r="RWD78" s="528"/>
      <c r="RWE78" s="528"/>
      <c r="RWF78" s="528"/>
      <c r="RWG78" s="528"/>
      <c r="RWH78" s="528"/>
      <c r="RWI78" s="528"/>
      <c r="RWJ78" s="528"/>
      <c r="RWK78" s="528"/>
      <c r="RWL78" s="528"/>
      <c r="RWM78" s="528"/>
      <c r="RWN78" s="528"/>
      <c r="RWO78" s="528"/>
      <c r="RWP78" s="528"/>
      <c r="RWQ78" s="528"/>
      <c r="RWR78" s="528"/>
      <c r="RWS78" s="528"/>
      <c r="RWT78" s="528"/>
      <c r="RWU78" s="528"/>
      <c r="RWV78" s="528"/>
      <c r="RWW78" s="528"/>
      <c r="RWX78" s="528"/>
      <c r="RWY78" s="528"/>
      <c r="RWZ78" s="528"/>
      <c r="RXA78" s="528"/>
      <c r="RXB78" s="528"/>
      <c r="RXC78" s="528"/>
      <c r="RXD78" s="528"/>
      <c r="RXE78" s="528"/>
      <c r="RXF78" s="528"/>
      <c r="RXG78" s="528"/>
      <c r="RXH78" s="528"/>
      <c r="RXI78" s="528"/>
      <c r="RXJ78" s="528"/>
      <c r="RXK78" s="528"/>
      <c r="RXL78" s="528"/>
      <c r="RXM78" s="528"/>
      <c r="RXN78" s="528"/>
      <c r="RXO78" s="528"/>
      <c r="RXP78" s="528"/>
      <c r="RXQ78" s="528"/>
      <c r="RXR78" s="528"/>
      <c r="RXS78" s="528"/>
      <c r="RXT78" s="528"/>
      <c r="RXU78" s="528"/>
      <c r="RXV78" s="528"/>
      <c r="RXW78" s="528"/>
      <c r="RXX78" s="528"/>
      <c r="RXY78" s="528"/>
      <c r="RXZ78" s="528"/>
      <c r="RYA78" s="528"/>
      <c r="RYB78" s="528"/>
      <c r="RYC78" s="528"/>
      <c r="RYD78" s="528"/>
      <c r="RYE78" s="528"/>
      <c r="RYF78" s="528"/>
      <c r="RYG78" s="528"/>
      <c r="RYH78" s="528"/>
      <c r="RYI78" s="528"/>
      <c r="RYJ78" s="528"/>
      <c r="RYK78" s="528"/>
      <c r="RYL78" s="528"/>
      <c r="RYM78" s="528"/>
      <c r="RYN78" s="528"/>
      <c r="RYO78" s="528"/>
      <c r="RYP78" s="528"/>
      <c r="RYQ78" s="528"/>
      <c r="RYR78" s="528"/>
      <c r="RYS78" s="528"/>
      <c r="RYT78" s="528"/>
      <c r="RYU78" s="528"/>
      <c r="RYV78" s="528"/>
      <c r="RYW78" s="528"/>
      <c r="RYX78" s="528"/>
      <c r="RYY78" s="528"/>
      <c r="RYZ78" s="528"/>
      <c r="RZA78" s="528"/>
      <c r="RZB78" s="528"/>
      <c r="RZC78" s="528"/>
      <c r="RZD78" s="528"/>
      <c r="RZE78" s="528"/>
      <c r="RZF78" s="528"/>
      <c r="RZG78" s="528"/>
      <c r="RZH78" s="528"/>
      <c r="RZI78" s="528"/>
      <c r="RZJ78" s="528"/>
      <c r="RZK78" s="528"/>
      <c r="RZL78" s="528"/>
      <c r="RZM78" s="528"/>
      <c r="RZN78" s="528"/>
      <c r="RZO78" s="528"/>
      <c r="RZP78" s="528"/>
      <c r="RZQ78" s="528"/>
      <c r="RZR78" s="528"/>
      <c r="RZS78" s="528"/>
      <c r="RZT78" s="528"/>
      <c r="RZU78" s="528"/>
      <c r="RZV78" s="528"/>
      <c r="RZW78" s="528"/>
      <c r="RZX78" s="528"/>
      <c r="RZY78" s="528"/>
      <c r="RZZ78" s="528"/>
      <c r="SAA78" s="528"/>
      <c r="SAB78" s="528"/>
      <c r="SAC78" s="528"/>
      <c r="SAD78" s="528"/>
      <c r="SAE78" s="528"/>
      <c r="SAF78" s="528"/>
      <c r="SAG78" s="528"/>
      <c r="SAH78" s="528"/>
      <c r="SAI78" s="528"/>
      <c r="SAJ78" s="528"/>
      <c r="SAK78" s="528"/>
      <c r="SAL78" s="528"/>
      <c r="SAM78" s="528"/>
      <c r="SAN78" s="528"/>
      <c r="SAO78" s="528"/>
      <c r="SAP78" s="528"/>
      <c r="SAQ78" s="528"/>
      <c r="SAR78" s="528"/>
      <c r="SAS78" s="528"/>
      <c r="SAT78" s="528"/>
      <c r="SAU78" s="528"/>
      <c r="SAV78" s="528"/>
      <c r="SAW78" s="528"/>
      <c r="SAX78" s="528"/>
      <c r="SAY78" s="528"/>
      <c r="SAZ78" s="528"/>
      <c r="SBA78" s="528"/>
      <c r="SBB78" s="528"/>
      <c r="SBC78" s="528"/>
      <c r="SBD78" s="528"/>
      <c r="SBE78" s="528"/>
      <c r="SBF78" s="528"/>
      <c r="SBG78" s="528"/>
      <c r="SBH78" s="528"/>
      <c r="SBI78" s="528"/>
      <c r="SBJ78" s="528"/>
      <c r="SBK78" s="528"/>
      <c r="SBL78" s="528"/>
      <c r="SBM78" s="528"/>
      <c r="SBN78" s="528"/>
      <c r="SBO78" s="528"/>
      <c r="SBP78" s="528"/>
      <c r="SBQ78" s="528"/>
      <c r="SBR78" s="528"/>
      <c r="SBS78" s="528"/>
      <c r="SBT78" s="528"/>
      <c r="SBU78" s="528"/>
      <c r="SBV78" s="528"/>
      <c r="SBW78" s="528"/>
      <c r="SBX78" s="528"/>
      <c r="SBY78" s="528"/>
      <c r="SBZ78" s="528"/>
      <c r="SCA78" s="528"/>
      <c r="SCB78" s="528"/>
      <c r="SCC78" s="528"/>
      <c r="SCD78" s="528"/>
      <c r="SCE78" s="528"/>
      <c r="SCF78" s="528"/>
      <c r="SCG78" s="528"/>
      <c r="SCH78" s="528"/>
      <c r="SCI78" s="528"/>
      <c r="SCJ78" s="528"/>
      <c r="SCK78" s="528"/>
      <c r="SCL78" s="528"/>
      <c r="SCM78" s="528"/>
      <c r="SCN78" s="528"/>
      <c r="SCO78" s="528"/>
      <c r="SCP78" s="528"/>
      <c r="SCQ78" s="528"/>
      <c r="SCR78" s="528"/>
      <c r="SCS78" s="528"/>
      <c r="SCT78" s="528"/>
      <c r="SCU78" s="528"/>
      <c r="SCV78" s="528"/>
      <c r="SCW78" s="528"/>
      <c r="SCX78" s="528"/>
      <c r="SCY78" s="528"/>
      <c r="SCZ78" s="528"/>
      <c r="SDA78" s="528"/>
      <c r="SDB78" s="528"/>
      <c r="SDC78" s="528"/>
      <c r="SDD78" s="528"/>
      <c r="SDE78" s="528"/>
      <c r="SDF78" s="528"/>
      <c r="SDG78" s="528"/>
      <c r="SDH78" s="528"/>
      <c r="SDI78" s="528"/>
      <c r="SDJ78" s="528"/>
      <c r="SDK78" s="528"/>
      <c r="SDL78" s="528"/>
      <c r="SDM78" s="528"/>
      <c r="SDN78" s="528"/>
      <c r="SDO78" s="528"/>
      <c r="SDP78" s="528"/>
      <c r="SDQ78" s="528"/>
      <c r="SDR78" s="528"/>
      <c r="SDS78" s="528"/>
      <c r="SDT78" s="528"/>
      <c r="SDU78" s="528"/>
      <c r="SDV78" s="528"/>
      <c r="SDW78" s="528"/>
      <c r="SDX78" s="528"/>
      <c r="SDY78" s="528"/>
      <c r="SDZ78" s="528"/>
      <c r="SEA78" s="528"/>
      <c r="SEB78" s="528"/>
      <c r="SEC78" s="528"/>
      <c r="SED78" s="528"/>
      <c r="SEE78" s="528"/>
      <c r="SEF78" s="528"/>
      <c r="SEG78" s="528"/>
      <c r="SEH78" s="528"/>
      <c r="SEI78" s="528"/>
      <c r="SEJ78" s="528"/>
      <c r="SEK78" s="528"/>
      <c r="SEL78" s="528"/>
      <c r="SEM78" s="528"/>
      <c r="SEN78" s="528"/>
      <c r="SEO78" s="528"/>
      <c r="SEP78" s="528"/>
      <c r="SEQ78" s="528"/>
      <c r="SER78" s="528"/>
      <c r="SES78" s="528"/>
      <c r="SET78" s="528"/>
      <c r="SEU78" s="528"/>
      <c r="SEV78" s="528"/>
      <c r="SEW78" s="528"/>
      <c r="SEX78" s="528"/>
      <c r="SEY78" s="528"/>
      <c r="SEZ78" s="528"/>
      <c r="SFA78" s="528"/>
      <c r="SFB78" s="528"/>
      <c r="SFC78" s="528"/>
      <c r="SFD78" s="528"/>
      <c r="SFE78" s="528"/>
      <c r="SFF78" s="528"/>
      <c r="SFG78" s="528"/>
      <c r="SFH78" s="528"/>
      <c r="SFI78" s="528"/>
      <c r="SFJ78" s="528"/>
      <c r="SFK78" s="528"/>
      <c r="SFL78" s="528"/>
      <c r="SFM78" s="528"/>
      <c r="SFN78" s="528"/>
      <c r="SFO78" s="528"/>
      <c r="SFP78" s="528"/>
      <c r="SFQ78" s="528"/>
      <c r="SFR78" s="528"/>
      <c r="SFS78" s="528"/>
      <c r="SFT78" s="528"/>
      <c r="SFU78" s="528"/>
      <c r="SFV78" s="528"/>
      <c r="SFW78" s="528"/>
      <c r="SFX78" s="528"/>
      <c r="SFY78" s="528"/>
      <c r="SFZ78" s="528"/>
      <c r="SGA78" s="528"/>
      <c r="SGB78" s="528"/>
      <c r="SGC78" s="528"/>
      <c r="SGD78" s="528"/>
      <c r="SGE78" s="528"/>
      <c r="SGF78" s="528"/>
      <c r="SGG78" s="528"/>
      <c r="SGH78" s="528"/>
      <c r="SGI78" s="528"/>
      <c r="SGJ78" s="528"/>
      <c r="SGK78" s="528"/>
      <c r="SGL78" s="528"/>
      <c r="SGM78" s="528"/>
      <c r="SGN78" s="528"/>
      <c r="SGO78" s="528"/>
      <c r="SGP78" s="528"/>
      <c r="SGQ78" s="528"/>
      <c r="SGR78" s="528"/>
      <c r="SGS78" s="528"/>
      <c r="SGT78" s="528"/>
      <c r="SGU78" s="528"/>
      <c r="SGV78" s="528"/>
      <c r="SGW78" s="528"/>
      <c r="SGX78" s="528"/>
      <c r="SGY78" s="528"/>
      <c r="SGZ78" s="528"/>
      <c r="SHA78" s="528"/>
      <c r="SHB78" s="528"/>
      <c r="SHC78" s="528"/>
      <c r="SHD78" s="528"/>
      <c r="SHE78" s="528"/>
      <c r="SHF78" s="528"/>
      <c r="SHG78" s="528"/>
      <c r="SHH78" s="528"/>
      <c r="SHI78" s="528"/>
      <c r="SHJ78" s="528"/>
      <c r="SHK78" s="528"/>
      <c r="SHL78" s="528"/>
      <c r="SHM78" s="528"/>
      <c r="SHN78" s="528"/>
      <c r="SHO78" s="528"/>
      <c r="SHP78" s="528"/>
      <c r="SHQ78" s="528"/>
      <c r="SHR78" s="528"/>
      <c r="SHS78" s="528"/>
      <c r="SHT78" s="528"/>
      <c r="SHU78" s="528"/>
      <c r="SHV78" s="528"/>
      <c r="SHW78" s="528"/>
      <c r="SHX78" s="528"/>
      <c r="SHY78" s="528"/>
      <c r="SHZ78" s="528"/>
      <c r="SIA78" s="528"/>
      <c r="SIB78" s="528"/>
      <c r="SIC78" s="528"/>
      <c r="SID78" s="528"/>
      <c r="SIE78" s="528"/>
      <c r="SIF78" s="528"/>
      <c r="SIG78" s="528"/>
      <c r="SIH78" s="528"/>
      <c r="SII78" s="528"/>
      <c r="SIJ78" s="528"/>
      <c r="SIK78" s="528"/>
      <c r="SIL78" s="528"/>
      <c r="SIM78" s="528"/>
      <c r="SIN78" s="528"/>
      <c r="SIO78" s="528"/>
      <c r="SIP78" s="528"/>
      <c r="SIQ78" s="528"/>
      <c r="SIR78" s="528"/>
      <c r="SIS78" s="528"/>
      <c r="SIT78" s="528"/>
      <c r="SIU78" s="528"/>
      <c r="SIV78" s="528"/>
      <c r="SIW78" s="528"/>
      <c r="SIX78" s="528"/>
      <c r="SIY78" s="528"/>
      <c r="SIZ78" s="528"/>
      <c r="SJA78" s="528"/>
      <c r="SJB78" s="528"/>
      <c r="SJC78" s="528"/>
      <c r="SJD78" s="528"/>
      <c r="SJE78" s="528"/>
      <c r="SJF78" s="528"/>
      <c r="SJG78" s="528"/>
      <c r="SJH78" s="528"/>
      <c r="SJI78" s="528"/>
      <c r="SJJ78" s="528"/>
      <c r="SJK78" s="528"/>
      <c r="SJL78" s="528"/>
      <c r="SJM78" s="528"/>
      <c r="SJN78" s="528"/>
      <c r="SJO78" s="528"/>
      <c r="SJP78" s="528"/>
      <c r="SJQ78" s="528"/>
      <c r="SJR78" s="528"/>
      <c r="SJS78" s="528"/>
      <c r="SJT78" s="528"/>
      <c r="SJU78" s="528"/>
      <c r="SJV78" s="528"/>
      <c r="SJW78" s="528"/>
      <c r="SJX78" s="528"/>
      <c r="SJY78" s="528"/>
      <c r="SJZ78" s="528"/>
      <c r="SKA78" s="528"/>
      <c r="SKB78" s="528"/>
      <c r="SKC78" s="528"/>
      <c r="SKD78" s="528"/>
      <c r="SKE78" s="528"/>
      <c r="SKF78" s="528"/>
      <c r="SKG78" s="528"/>
      <c r="SKH78" s="528"/>
      <c r="SKI78" s="528"/>
      <c r="SKJ78" s="528"/>
      <c r="SKK78" s="528"/>
      <c r="SKL78" s="528"/>
      <c r="SKM78" s="528"/>
      <c r="SKN78" s="528"/>
      <c r="SKO78" s="528"/>
      <c r="SKP78" s="528"/>
      <c r="SKQ78" s="528"/>
      <c r="SKR78" s="528"/>
      <c r="SKS78" s="528"/>
      <c r="SKT78" s="528"/>
      <c r="SKU78" s="528"/>
      <c r="SKV78" s="528"/>
      <c r="SKW78" s="528"/>
      <c r="SKX78" s="528"/>
      <c r="SKY78" s="528"/>
      <c r="SKZ78" s="528"/>
      <c r="SLA78" s="528"/>
      <c r="SLB78" s="528"/>
      <c r="SLC78" s="528"/>
      <c r="SLD78" s="528"/>
      <c r="SLE78" s="528"/>
      <c r="SLF78" s="528"/>
      <c r="SLG78" s="528"/>
      <c r="SLH78" s="528"/>
      <c r="SLI78" s="528"/>
      <c r="SLJ78" s="528"/>
      <c r="SLK78" s="528"/>
      <c r="SLL78" s="528"/>
      <c r="SLM78" s="528"/>
      <c r="SLN78" s="528"/>
      <c r="SLO78" s="528"/>
      <c r="SLP78" s="528"/>
      <c r="SLQ78" s="528"/>
      <c r="SLR78" s="528"/>
      <c r="SLS78" s="528"/>
      <c r="SLT78" s="528"/>
      <c r="SLU78" s="528"/>
      <c r="SLV78" s="528"/>
      <c r="SLW78" s="528"/>
      <c r="SLX78" s="528"/>
      <c r="SLY78" s="528"/>
      <c r="SLZ78" s="528"/>
      <c r="SMA78" s="528"/>
      <c r="SMB78" s="528"/>
      <c r="SMC78" s="528"/>
      <c r="SMD78" s="528"/>
      <c r="SME78" s="528"/>
      <c r="SMF78" s="528"/>
      <c r="SMG78" s="528"/>
      <c r="SMH78" s="528"/>
      <c r="SMI78" s="528"/>
      <c r="SMJ78" s="528"/>
      <c r="SMK78" s="528"/>
      <c r="SML78" s="528"/>
      <c r="SMM78" s="528"/>
      <c r="SMN78" s="528"/>
      <c r="SMO78" s="528"/>
      <c r="SMP78" s="528"/>
      <c r="SMQ78" s="528"/>
      <c r="SMR78" s="528"/>
      <c r="SMS78" s="528"/>
      <c r="SMT78" s="528"/>
      <c r="SMU78" s="528"/>
      <c r="SMV78" s="528"/>
      <c r="SMW78" s="528"/>
      <c r="SMX78" s="528"/>
      <c r="SMY78" s="528"/>
      <c r="SMZ78" s="528"/>
      <c r="SNA78" s="528"/>
      <c r="SNB78" s="528"/>
      <c r="SNC78" s="528"/>
      <c r="SND78" s="528"/>
      <c r="SNE78" s="528"/>
      <c r="SNF78" s="528"/>
      <c r="SNG78" s="528"/>
      <c r="SNH78" s="528"/>
      <c r="SNI78" s="528"/>
      <c r="SNJ78" s="528"/>
      <c r="SNK78" s="528"/>
      <c r="SNL78" s="528"/>
      <c r="SNM78" s="528"/>
      <c r="SNN78" s="528"/>
      <c r="SNO78" s="528"/>
      <c r="SNP78" s="528"/>
      <c r="SNQ78" s="528"/>
      <c r="SNR78" s="528"/>
      <c r="SNS78" s="528"/>
      <c r="SNT78" s="528"/>
      <c r="SNU78" s="528"/>
      <c r="SNV78" s="528"/>
      <c r="SNW78" s="528"/>
      <c r="SNX78" s="528"/>
      <c r="SNY78" s="528"/>
      <c r="SNZ78" s="528"/>
      <c r="SOA78" s="528"/>
      <c r="SOB78" s="528"/>
      <c r="SOC78" s="528"/>
      <c r="SOD78" s="528"/>
      <c r="SOE78" s="528"/>
      <c r="SOF78" s="528"/>
      <c r="SOG78" s="528"/>
      <c r="SOH78" s="528"/>
      <c r="SOI78" s="528"/>
      <c r="SOJ78" s="528"/>
      <c r="SOK78" s="528"/>
      <c r="SOL78" s="528"/>
      <c r="SOM78" s="528"/>
      <c r="SON78" s="528"/>
      <c r="SOO78" s="528"/>
      <c r="SOP78" s="528"/>
      <c r="SOQ78" s="528"/>
      <c r="SOR78" s="528"/>
      <c r="SOS78" s="528"/>
      <c r="SOT78" s="528"/>
      <c r="SOU78" s="528"/>
      <c r="SOV78" s="528"/>
      <c r="SOW78" s="528"/>
      <c r="SOX78" s="528"/>
      <c r="SOY78" s="528"/>
      <c r="SOZ78" s="528"/>
      <c r="SPA78" s="528"/>
      <c r="SPB78" s="528"/>
      <c r="SPC78" s="528"/>
      <c r="SPD78" s="528"/>
      <c r="SPE78" s="528"/>
      <c r="SPF78" s="528"/>
      <c r="SPG78" s="528"/>
      <c r="SPH78" s="528"/>
      <c r="SPI78" s="528"/>
      <c r="SPJ78" s="528"/>
      <c r="SPK78" s="528"/>
      <c r="SPL78" s="528"/>
      <c r="SPM78" s="528"/>
      <c r="SPN78" s="528"/>
      <c r="SPO78" s="528"/>
      <c r="SPP78" s="528"/>
      <c r="SPQ78" s="528"/>
      <c r="SPR78" s="528"/>
      <c r="SPS78" s="528"/>
      <c r="SPT78" s="528"/>
      <c r="SPU78" s="528"/>
      <c r="SPV78" s="528"/>
      <c r="SPW78" s="528"/>
      <c r="SPX78" s="528"/>
      <c r="SPY78" s="528"/>
      <c r="SPZ78" s="528"/>
      <c r="SQA78" s="528"/>
      <c r="SQB78" s="528"/>
      <c r="SQC78" s="528"/>
      <c r="SQD78" s="528"/>
      <c r="SQE78" s="528"/>
      <c r="SQF78" s="528"/>
      <c r="SQG78" s="528"/>
      <c r="SQH78" s="528"/>
      <c r="SQI78" s="528"/>
      <c r="SQJ78" s="528"/>
      <c r="SQK78" s="528"/>
      <c r="SQL78" s="528"/>
      <c r="SQM78" s="528"/>
      <c r="SQN78" s="528"/>
      <c r="SQO78" s="528"/>
      <c r="SQP78" s="528"/>
      <c r="SQQ78" s="528"/>
      <c r="SQR78" s="528"/>
      <c r="SQS78" s="528"/>
      <c r="SQT78" s="528"/>
      <c r="SQU78" s="528"/>
      <c r="SQV78" s="528"/>
      <c r="SQW78" s="528"/>
      <c r="SQX78" s="528"/>
      <c r="SQY78" s="528"/>
      <c r="SQZ78" s="528"/>
      <c r="SRA78" s="528"/>
      <c r="SRB78" s="528"/>
      <c r="SRC78" s="528"/>
      <c r="SRD78" s="528"/>
      <c r="SRE78" s="528"/>
      <c r="SRF78" s="528"/>
      <c r="SRG78" s="528"/>
      <c r="SRH78" s="528"/>
      <c r="SRI78" s="528"/>
      <c r="SRJ78" s="528"/>
      <c r="SRK78" s="528"/>
      <c r="SRL78" s="528"/>
      <c r="SRM78" s="528"/>
      <c r="SRN78" s="528"/>
      <c r="SRO78" s="528"/>
      <c r="SRP78" s="528"/>
      <c r="SRQ78" s="528"/>
      <c r="SRR78" s="528"/>
      <c r="SRS78" s="528"/>
      <c r="SRT78" s="528"/>
      <c r="SRU78" s="528"/>
      <c r="SRV78" s="528"/>
      <c r="SRW78" s="528"/>
      <c r="SRX78" s="528"/>
      <c r="SRY78" s="528"/>
      <c r="SRZ78" s="528"/>
      <c r="SSA78" s="528"/>
      <c r="SSB78" s="528"/>
      <c r="SSC78" s="528"/>
      <c r="SSD78" s="528"/>
      <c r="SSE78" s="528"/>
      <c r="SSF78" s="528"/>
      <c r="SSG78" s="528"/>
      <c r="SSH78" s="528"/>
      <c r="SSI78" s="528"/>
      <c r="SSJ78" s="528"/>
      <c r="SSK78" s="528"/>
      <c r="SSL78" s="528"/>
      <c r="SSM78" s="528"/>
      <c r="SSN78" s="528"/>
      <c r="SSO78" s="528"/>
      <c r="SSP78" s="528"/>
      <c r="SSQ78" s="528"/>
      <c r="SSR78" s="528"/>
      <c r="SSS78" s="528"/>
      <c r="SST78" s="528"/>
      <c r="SSU78" s="528"/>
      <c r="SSV78" s="528"/>
      <c r="SSW78" s="528"/>
      <c r="SSX78" s="528"/>
      <c r="SSY78" s="528"/>
      <c r="SSZ78" s="528"/>
      <c r="STA78" s="528"/>
      <c r="STB78" s="528"/>
      <c r="STC78" s="528"/>
      <c r="STD78" s="528"/>
      <c r="STE78" s="528"/>
      <c r="STF78" s="528"/>
      <c r="STG78" s="528"/>
      <c r="STH78" s="528"/>
      <c r="STI78" s="528"/>
      <c r="STJ78" s="528"/>
      <c r="STK78" s="528"/>
      <c r="STL78" s="528"/>
      <c r="STM78" s="528"/>
      <c r="STN78" s="528"/>
      <c r="STO78" s="528"/>
      <c r="STP78" s="528"/>
      <c r="STQ78" s="528"/>
      <c r="STR78" s="528"/>
      <c r="STS78" s="528"/>
      <c r="STT78" s="528"/>
      <c r="STU78" s="528"/>
      <c r="STV78" s="528"/>
      <c r="STW78" s="528"/>
      <c r="STX78" s="528"/>
      <c r="STY78" s="528"/>
      <c r="STZ78" s="528"/>
      <c r="SUA78" s="528"/>
      <c r="SUB78" s="528"/>
      <c r="SUC78" s="528"/>
      <c r="SUD78" s="528"/>
      <c r="SUE78" s="528"/>
      <c r="SUF78" s="528"/>
      <c r="SUG78" s="528"/>
      <c r="SUH78" s="528"/>
      <c r="SUI78" s="528"/>
      <c r="SUJ78" s="528"/>
      <c r="SUK78" s="528"/>
      <c r="SUL78" s="528"/>
      <c r="SUM78" s="528"/>
      <c r="SUN78" s="528"/>
      <c r="SUO78" s="528"/>
      <c r="SUP78" s="528"/>
      <c r="SUQ78" s="528"/>
      <c r="SUR78" s="528"/>
      <c r="SUS78" s="528"/>
      <c r="SUT78" s="528"/>
      <c r="SUU78" s="528"/>
      <c r="SUV78" s="528"/>
      <c r="SUW78" s="528"/>
      <c r="SUX78" s="528"/>
      <c r="SUY78" s="528"/>
      <c r="SUZ78" s="528"/>
      <c r="SVA78" s="528"/>
      <c r="SVB78" s="528"/>
      <c r="SVC78" s="528"/>
      <c r="SVD78" s="528"/>
      <c r="SVE78" s="528"/>
      <c r="SVF78" s="528"/>
      <c r="SVG78" s="528"/>
      <c r="SVH78" s="528"/>
      <c r="SVI78" s="528"/>
      <c r="SVJ78" s="528"/>
      <c r="SVK78" s="528"/>
      <c r="SVL78" s="528"/>
      <c r="SVM78" s="528"/>
      <c r="SVN78" s="528"/>
      <c r="SVO78" s="528"/>
      <c r="SVP78" s="528"/>
      <c r="SVQ78" s="528"/>
      <c r="SVR78" s="528"/>
      <c r="SVS78" s="528"/>
      <c r="SVT78" s="528"/>
      <c r="SVU78" s="528"/>
      <c r="SVV78" s="528"/>
      <c r="SVW78" s="528"/>
      <c r="SVX78" s="528"/>
      <c r="SVY78" s="528"/>
      <c r="SVZ78" s="528"/>
      <c r="SWA78" s="528"/>
      <c r="SWB78" s="528"/>
      <c r="SWC78" s="528"/>
      <c r="SWD78" s="528"/>
      <c r="SWE78" s="528"/>
      <c r="SWF78" s="528"/>
      <c r="SWG78" s="528"/>
      <c r="SWH78" s="528"/>
      <c r="SWI78" s="528"/>
      <c r="SWJ78" s="528"/>
      <c r="SWK78" s="528"/>
      <c r="SWL78" s="528"/>
      <c r="SWM78" s="528"/>
      <c r="SWN78" s="528"/>
      <c r="SWO78" s="528"/>
      <c r="SWP78" s="528"/>
      <c r="SWQ78" s="528"/>
      <c r="SWR78" s="528"/>
      <c r="SWS78" s="528"/>
      <c r="SWT78" s="528"/>
      <c r="SWU78" s="528"/>
      <c r="SWV78" s="528"/>
      <c r="SWW78" s="528"/>
      <c r="SWX78" s="528"/>
      <c r="SWY78" s="528"/>
      <c r="SWZ78" s="528"/>
      <c r="SXA78" s="528"/>
      <c r="SXB78" s="528"/>
      <c r="SXC78" s="528"/>
      <c r="SXD78" s="528"/>
      <c r="SXE78" s="528"/>
      <c r="SXF78" s="528"/>
      <c r="SXG78" s="528"/>
      <c r="SXH78" s="528"/>
      <c r="SXI78" s="528"/>
      <c r="SXJ78" s="528"/>
      <c r="SXK78" s="528"/>
      <c r="SXL78" s="528"/>
      <c r="SXM78" s="528"/>
      <c r="SXN78" s="528"/>
      <c r="SXO78" s="528"/>
      <c r="SXP78" s="528"/>
      <c r="SXQ78" s="528"/>
      <c r="SXR78" s="528"/>
      <c r="SXS78" s="528"/>
      <c r="SXT78" s="528"/>
      <c r="SXU78" s="528"/>
      <c r="SXV78" s="528"/>
      <c r="SXW78" s="528"/>
      <c r="SXX78" s="528"/>
      <c r="SXY78" s="528"/>
      <c r="SXZ78" s="528"/>
      <c r="SYA78" s="528"/>
      <c r="SYB78" s="528"/>
      <c r="SYC78" s="528"/>
      <c r="SYD78" s="528"/>
      <c r="SYE78" s="528"/>
      <c r="SYF78" s="528"/>
      <c r="SYG78" s="528"/>
      <c r="SYH78" s="528"/>
      <c r="SYI78" s="528"/>
      <c r="SYJ78" s="528"/>
      <c r="SYK78" s="528"/>
      <c r="SYL78" s="528"/>
      <c r="SYM78" s="528"/>
      <c r="SYN78" s="528"/>
      <c r="SYO78" s="528"/>
      <c r="SYP78" s="528"/>
      <c r="SYQ78" s="528"/>
      <c r="SYR78" s="528"/>
      <c r="SYS78" s="528"/>
      <c r="SYT78" s="528"/>
      <c r="SYU78" s="528"/>
      <c r="SYV78" s="528"/>
      <c r="SYW78" s="528"/>
      <c r="SYX78" s="528"/>
      <c r="SYY78" s="528"/>
      <c r="SYZ78" s="528"/>
      <c r="SZA78" s="528"/>
      <c r="SZB78" s="528"/>
      <c r="SZC78" s="528"/>
      <c r="SZD78" s="528"/>
      <c r="SZE78" s="528"/>
      <c r="SZF78" s="528"/>
      <c r="SZG78" s="528"/>
      <c r="SZH78" s="528"/>
      <c r="SZI78" s="528"/>
      <c r="SZJ78" s="528"/>
      <c r="SZK78" s="528"/>
      <c r="SZL78" s="528"/>
      <c r="SZM78" s="528"/>
      <c r="SZN78" s="528"/>
      <c r="SZO78" s="528"/>
      <c r="SZP78" s="528"/>
      <c r="SZQ78" s="528"/>
      <c r="SZR78" s="528"/>
      <c r="SZS78" s="528"/>
      <c r="SZT78" s="528"/>
      <c r="SZU78" s="528"/>
      <c r="SZV78" s="528"/>
      <c r="SZW78" s="528"/>
      <c r="SZX78" s="528"/>
      <c r="SZY78" s="528"/>
      <c r="SZZ78" s="528"/>
      <c r="TAA78" s="528"/>
      <c r="TAB78" s="528"/>
      <c r="TAC78" s="528"/>
      <c r="TAD78" s="528"/>
      <c r="TAE78" s="528"/>
      <c r="TAF78" s="528"/>
      <c r="TAG78" s="528"/>
      <c r="TAH78" s="528"/>
      <c r="TAI78" s="528"/>
      <c r="TAJ78" s="528"/>
      <c r="TAK78" s="528"/>
      <c r="TAL78" s="528"/>
      <c r="TAM78" s="528"/>
      <c r="TAN78" s="528"/>
      <c r="TAO78" s="528"/>
      <c r="TAP78" s="528"/>
      <c r="TAQ78" s="528"/>
      <c r="TAR78" s="528"/>
      <c r="TAS78" s="528"/>
      <c r="TAT78" s="528"/>
      <c r="TAU78" s="528"/>
      <c r="TAV78" s="528"/>
      <c r="TAW78" s="528"/>
      <c r="TAX78" s="528"/>
      <c r="TAY78" s="528"/>
      <c r="TAZ78" s="528"/>
      <c r="TBA78" s="528"/>
      <c r="TBB78" s="528"/>
      <c r="TBC78" s="528"/>
      <c r="TBD78" s="528"/>
      <c r="TBE78" s="528"/>
      <c r="TBF78" s="528"/>
      <c r="TBG78" s="528"/>
      <c r="TBH78" s="528"/>
      <c r="TBI78" s="528"/>
      <c r="TBJ78" s="528"/>
      <c r="TBK78" s="528"/>
      <c r="TBL78" s="528"/>
      <c r="TBM78" s="528"/>
      <c r="TBN78" s="528"/>
      <c r="TBO78" s="528"/>
      <c r="TBP78" s="528"/>
      <c r="TBQ78" s="528"/>
      <c r="TBR78" s="528"/>
      <c r="TBS78" s="528"/>
      <c r="TBT78" s="528"/>
      <c r="TBU78" s="528"/>
      <c r="TBV78" s="528"/>
      <c r="TBW78" s="528"/>
      <c r="TBX78" s="528"/>
      <c r="TBY78" s="528"/>
      <c r="TBZ78" s="528"/>
      <c r="TCA78" s="528"/>
      <c r="TCB78" s="528"/>
      <c r="TCC78" s="528"/>
      <c r="TCD78" s="528"/>
      <c r="TCE78" s="528"/>
      <c r="TCF78" s="528"/>
      <c r="TCG78" s="528"/>
      <c r="TCH78" s="528"/>
      <c r="TCI78" s="528"/>
      <c r="TCJ78" s="528"/>
      <c r="TCK78" s="528"/>
      <c r="TCL78" s="528"/>
      <c r="TCM78" s="528"/>
      <c r="TCN78" s="528"/>
      <c r="TCO78" s="528"/>
      <c r="TCP78" s="528"/>
      <c r="TCQ78" s="528"/>
      <c r="TCR78" s="528"/>
      <c r="TCS78" s="528"/>
      <c r="TCT78" s="528"/>
      <c r="TCU78" s="528"/>
      <c r="TCV78" s="528"/>
      <c r="TCW78" s="528"/>
      <c r="TCX78" s="528"/>
      <c r="TCY78" s="528"/>
      <c r="TCZ78" s="528"/>
      <c r="TDA78" s="528"/>
      <c r="TDB78" s="528"/>
      <c r="TDC78" s="528"/>
      <c r="TDD78" s="528"/>
      <c r="TDE78" s="528"/>
      <c r="TDF78" s="528"/>
      <c r="TDG78" s="528"/>
      <c r="TDH78" s="528"/>
      <c r="TDI78" s="528"/>
      <c r="TDJ78" s="528"/>
      <c r="TDK78" s="528"/>
      <c r="TDL78" s="528"/>
      <c r="TDM78" s="528"/>
      <c r="TDN78" s="528"/>
      <c r="TDO78" s="528"/>
      <c r="TDP78" s="528"/>
      <c r="TDQ78" s="528"/>
      <c r="TDR78" s="528"/>
      <c r="TDS78" s="528"/>
      <c r="TDT78" s="528"/>
      <c r="TDU78" s="528"/>
      <c r="TDV78" s="528"/>
      <c r="TDW78" s="528"/>
      <c r="TDX78" s="528"/>
      <c r="TDY78" s="528"/>
      <c r="TDZ78" s="528"/>
      <c r="TEA78" s="528"/>
      <c r="TEB78" s="528"/>
      <c r="TEC78" s="528"/>
      <c r="TED78" s="528"/>
      <c r="TEE78" s="528"/>
      <c r="TEF78" s="528"/>
      <c r="TEG78" s="528"/>
      <c r="TEH78" s="528"/>
      <c r="TEI78" s="528"/>
      <c r="TEJ78" s="528"/>
      <c r="TEK78" s="528"/>
      <c r="TEL78" s="528"/>
      <c r="TEM78" s="528"/>
      <c r="TEN78" s="528"/>
      <c r="TEO78" s="528"/>
      <c r="TEP78" s="528"/>
      <c r="TEQ78" s="528"/>
      <c r="TER78" s="528"/>
      <c r="TES78" s="528"/>
      <c r="TET78" s="528"/>
      <c r="TEU78" s="528"/>
      <c r="TEV78" s="528"/>
      <c r="TEW78" s="528"/>
      <c r="TEX78" s="528"/>
      <c r="TEY78" s="528"/>
      <c r="TEZ78" s="528"/>
      <c r="TFA78" s="528"/>
      <c r="TFB78" s="528"/>
      <c r="TFC78" s="528"/>
      <c r="TFD78" s="528"/>
      <c r="TFE78" s="528"/>
      <c r="TFF78" s="528"/>
      <c r="TFG78" s="528"/>
      <c r="TFH78" s="528"/>
      <c r="TFI78" s="528"/>
      <c r="TFJ78" s="528"/>
      <c r="TFK78" s="528"/>
      <c r="TFL78" s="528"/>
      <c r="TFM78" s="528"/>
      <c r="TFN78" s="528"/>
      <c r="TFO78" s="528"/>
      <c r="TFP78" s="528"/>
      <c r="TFQ78" s="528"/>
      <c r="TFR78" s="528"/>
      <c r="TFS78" s="528"/>
      <c r="TFT78" s="528"/>
      <c r="TFU78" s="528"/>
      <c r="TFV78" s="528"/>
      <c r="TFW78" s="528"/>
      <c r="TFX78" s="528"/>
      <c r="TFY78" s="528"/>
      <c r="TFZ78" s="528"/>
      <c r="TGA78" s="528"/>
      <c r="TGB78" s="528"/>
      <c r="TGC78" s="528"/>
      <c r="TGD78" s="528"/>
      <c r="TGE78" s="528"/>
      <c r="TGF78" s="528"/>
      <c r="TGG78" s="528"/>
      <c r="TGH78" s="528"/>
      <c r="TGI78" s="528"/>
      <c r="TGJ78" s="528"/>
      <c r="TGK78" s="528"/>
      <c r="TGL78" s="528"/>
      <c r="TGM78" s="528"/>
      <c r="TGN78" s="528"/>
      <c r="TGO78" s="528"/>
      <c r="TGP78" s="528"/>
      <c r="TGQ78" s="528"/>
      <c r="TGR78" s="528"/>
      <c r="TGS78" s="528"/>
      <c r="TGT78" s="528"/>
      <c r="TGU78" s="528"/>
      <c r="TGV78" s="528"/>
      <c r="TGW78" s="528"/>
      <c r="TGX78" s="528"/>
      <c r="TGY78" s="528"/>
      <c r="TGZ78" s="528"/>
      <c r="THA78" s="528"/>
      <c r="THB78" s="528"/>
      <c r="THC78" s="528"/>
      <c r="THD78" s="528"/>
      <c r="THE78" s="528"/>
      <c r="THF78" s="528"/>
      <c r="THG78" s="528"/>
      <c r="THH78" s="528"/>
      <c r="THI78" s="528"/>
      <c r="THJ78" s="528"/>
      <c r="THK78" s="528"/>
      <c r="THL78" s="528"/>
      <c r="THM78" s="528"/>
      <c r="THN78" s="528"/>
      <c r="THO78" s="528"/>
      <c r="THP78" s="528"/>
      <c r="THQ78" s="528"/>
      <c r="THR78" s="528"/>
      <c r="THS78" s="528"/>
      <c r="THT78" s="528"/>
      <c r="THU78" s="528"/>
      <c r="THV78" s="528"/>
      <c r="THW78" s="528"/>
      <c r="THX78" s="528"/>
      <c r="THY78" s="528"/>
      <c r="THZ78" s="528"/>
      <c r="TIA78" s="528"/>
      <c r="TIB78" s="528"/>
      <c r="TIC78" s="528"/>
      <c r="TID78" s="528"/>
      <c r="TIE78" s="528"/>
      <c r="TIF78" s="528"/>
      <c r="TIG78" s="528"/>
      <c r="TIH78" s="528"/>
      <c r="TII78" s="528"/>
      <c r="TIJ78" s="528"/>
      <c r="TIK78" s="528"/>
      <c r="TIL78" s="528"/>
      <c r="TIM78" s="528"/>
      <c r="TIN78" s="528"/>
      <c r="TIO78" s="528"/>
      <c r="TIP78" s="528"/>
      <c r="TIQ78" s="528"/>
      <c r="TIR78" s="528"/>
      <c r="TIS78" s="528"/>
      <c r="TIT78" s="528"/>
      <c r="TIU78" s="528"/>
      <c r="TIV78" s="528"/>
      <c r="TIW78" s="528"/>
      <c r="TIX78" s="528"/>
      <c r="TIY78" s="528"/>
      <c r="TIZ78" s="528"/>
      <c r="TJA78" s="528"/>
      <c r="TJB78" s="528"/>
      <c r="TJC78" s="528"/>
      <c r="TJD78" s="528"/>
      <c r="TJE78" s="528"/>
      <c r="TJF78" s="528"/>
      <c r="TJG78" s="528"/>
      <c r="TJH78" s="528"/>
      <c r="TJI78" s="528"/>
      <c r="TJJ78" s="528"/>
      <c r="TJK78" s="528"/>
      <c r="TJL78" s="528"/>
      <c r="TJM78" s="528"/>
      <c r="TJN78" s="528"/>
      <c r="TJO78" s="528"/>
      <c r="TJP78" s="528"/>
      <c r="TJQ78" s="528"/>
      <c r="TJR78" s="528"/>
      <c r="TJS78" s="528"/>
      <c r="TJT78" s="528"/>
      <c r="TJU78" s="528"/>
      <c r="TJV78" s="528"/>
      <c r="TJW78" s="528"/>
      <c r="TJX78" s="528"/>
      <c r="TJY78" s="528"/>
      <c r="TJZ78" s="528"/>
      <c r="TKA78" s="528"/>
      <c r="TKB78" s="528"/>
      <c r="TKC78" s="528"/>
      <c r="TKD78" s="528"/>
      <c r="TKE78" s="528"/>
      <c r="TKF78" s="528"/>
      <c r="TKG78" s="528"/>
      <c r="TKH78" s="528"/>
      <c r="TKI78" s="528"/>
      <c r="TKJ78" s="528"/>
      <c r="TKK78" s="528"/>
      <c r="TKL78" s="528"/>
      <c r="TKM78" s="528"/>
      <c r="TKN78" s="528"/>
      <c r="TKO78" s="528"/>
      <c r="TKP78" s="528"/>
      <c r="TKQ78" s="528"/>
      <c r="TKR78" s="528"/>
      <c r="TKS78" s="528"/>
      <c r="TKT78" s="528"/>
      <c r="TKU78" s="528"/>
      <c r="TKV78" s="528"/>
      <c r="TKW78" s="528"/>
      <c r="TKX78" s="528"/>
      <c r="TKY78" s="528"/>
      <c r="TKZ78" s="528"/>
      <c r="TLA78" s="528"/>
      <c r="TLB78" s="528"/>
      <c r="TLC78" s="528"/>
      <c r="TLD78" s="528"/>
      <c r="TLE78" s="528"/>
      <c r="TLF78" s="528"/>
      <c r="TLG78" s="528"/>
      <c r="TLH78" s="528"/>
      <c r="TLI78" s="528"/>
      <c r="TLJ78" s="528"/>
      <c r="TLK78" s="528"/>
      <c r="TLL78" s="528"/>
      <c r="TLM78" s="528"/>
      <c r="TLN78" s="528"/>
      <c r="TLO78" s="528"/>
      <c r="TLP78" s="528"/>
      <c r="TLQ78" s="528"/>
      <c r="TLR78" s="528"/>
      <c r="TLS78" s="528"/>
      <c r="TLT78" s="528"/>
      <c r="TLU78" s="528"/>
      <c r="TLV78" s="528"/>
      <c r="TLW78" s="528"/>
      <c r="TLX78" s="528"/>
      <c r="TLY78" s="528"/>
      <c r="TLZ78" s="528"/>
      <c r="TMA78" s="528"/>
      <c r="TMB78" s="528"/>
      <c r="TMC78" s="528"/>
      <c r="TMD78" s="528"/>
      <c r="TME78" s="528"/>
      <c r="TMF78" s="528"/>
      <c r="TMG78" s="528"/>
      <c r="TMH78" s="528"/>
      <c r="TMI78" s="528"/>
      <c r="TMJ78" s="528"/>
      <c r="TMK78" s="528"/>
      <c r="TML78" s="528"/>
      <c r="TMM78" s="528"/>
      <c r="TMN78" s="528"/>
      <c r="TMO78" s="528"/>
      <c r="TMP78" s="528"/>
      <c r="TMQ78" s="528"/>
      <c r="TMR78" s="528"/>
      <c r="TMS78" s="528"/>
      <c r="TMT78" s="528"/>
      <c r="TMU78" s="528"/>
      <c r="TMV78" s="528"/>
      <c r="TMW78" s="528"/>
      <c r="TMX78" s="528"/>
      <c r="TMY78" s="528"/>
      <c r="TMZ78" s="528"/>
      <c r="TNA78" s="528"/>
      <c r="TNB78" s="528"/>
      <c r="TNC78" s="528"/>
      <c r="TND78" s="528"/>
      <c r="TNE78" s="528"/>
      <c r="TNF78" s="528"/>
      <c r="TNG78" s="528"/>
      <c r="TNH78" s="528"/>
      <c r="TNI78" s="528"/>
      <c r="TNJ78" s="528"/>
      <c r="TNK78" s="528"/>
      <c r="TNL78" s="528"/>
      <c r="TNM78" s="528"/>
      <c r="TNN78" s="528"/>
      <c r="TNO78" s="528"/>
      <c r="TNP78" s="528"/>
      <c r="TNQ78" s="528"/>
      <c r="TNR78" s="528"/>
      <c r="TNS78" s="528"/>
      <c r="TNT78" s="528"/>
      <c r="TNU78" s="528"/>
      <c r="TNV78" s="528"/>
      <c r="TNW78" s="528"/>
      <c r="TNX78" s="528"/>
      <c r="TNY78" s="528"/>
      <c r="TNZ78" s="528"/>
      <c r="TOA78" s="528"/>
      <c r="TOB78" s="528"/>
      <c r="TOC78" s="528"/>
      <c r="TOD78" s="528"/>
      <c r="TOE78" s="528"/>
      <c r="TOF78" s="528"/>
      <c r="TOG78" s="528"/>
      <c r="TOH78" s="528"/>
      <c r="TOI78" s="528"/>
      <c r="TOJ78" s="528"/>
      <c r="TOK78" s="528"/>
      <c r="TOL78" s="528"/>
      <c r="TOM78" s="528"/>
      <c r="TON78" s="528"/>
      <c r="TOO78" s="528"/>
      <c r="TOP78" s="528"/>
      <c r="TOQ78" s="528"/>
      <c r="TOR78" s="528"/>
      <c r="TOS78" s="528"/>
      <c r="TOT78" s="528"/>
      <c r="TOU78" s="528"/>
      <c r="TOV78" s="528"/>
      <c r="TOW78" s="528"/>
      <c r="TOX78" s="528"/>
      <c r="TOY78" s="528"/>
      <c r="TOZ78" s="528"/>
      <c r="TPA78" s="528"/>
      <c r="TPB78" s="528"/>
      <c r="TPC78" s="528"/>
      <c r="TPD78" s="528"/>
      <c r="TPE78" s="528"/>
      <c r="TPF78" s="528"/>
      <c r="TPG78" s="528"/>
      <c r="TPH78" s="528"/>
      <c r="TPI78" s="528"/>
      <c r="TPJ78" s="528"/>
      <c r="TPK78" s="528"/>
      <c r="TPL78" s="528"/>
      <c r="TPM78" s="528"/>
      <c r="TPN78" s="528"/>
      <c r="TPO78" s="528"/>
      <c r="TPP78" s="528"/>
      <c r="TPQ78" s="528"/>
      <c r="TPR78" s="528"/>
      <c r="TPS78" s="528"/>
      <c r="TPT78" s="528"/>
      <c r="TPU78" s="528"/>
      <c r="TPV78" s="528"/>
      <c r="TPW78" s="528"/>
      <c r="TPX78" s="528"/>
      <c r="TPY78" s="528"/>
      <c r="TPZ78" s="528"/>
      <c r="TQA78" s="528"/>
      <c r="TQB78" s="528"/>
      <c r="TQC78" s="528"/>
      <c r="TQD78" s="528"/>
      <c r="TQE78" s="528"/>
      <c r="TQF78" s="528"/>
      <c r="TQG78" s="528"/>
      <c r="TQH78" s="528"/>
      <c r="TQI78" s="528"/>
      <c r="TQJ78" s="528"/>
      <c r="TQK78" s="528"/>
      <c r="TQL78" s="528"/>
      <c r="TQM78" s="528"/>
      <c r="TQN78" s="528"/>
      <c r="TQO78" s="528"/>
      <c r="TQP78" s="528"/>
      <c r="TQQ78" s="528"/>
      <c r="TQR78" s="528"/>
      <c r="TQS78" s="528"/>
      <c r="TQT78" s="528"/>
      <c r="TQU78" s="528"/>
      <c r="TQV78" s="528"/>
      <c r="TQW78" s="528"/>
      <c r="TQX78" s="528"/>
      <c r="TQY78" s="528"/>
      <c r="TQZ78" s="528"/>
      <c r="TRA78" s="528"/>
      <c r="TRB78" s="528"/>
      <c r="TRC78" s="528"/>
      <c r="TRD78" s="528"/>
      <c r="TRE78" s="528"/>
      <c r="TRF78" s="528"/>
      <c r="TRG78" s="528"/>
      <c r="TRH78" s="528"/>
      <c r="TRI78" s="528"/>
      <c r="TRJ78" s="528"/>
      <c r="TRK78" s="528"/>
      <c r="TRL78" s="528"/>
      <c r="TRM78" s="528"/>
      <c r="TRN78" s="528"/>
      <c r="TRO78" s="528"/>
      <c r="TRP78" s="528"/>
      <c r="TRQ78" s="528"/>
      <c r="TRR78" s="528"/>
      <c r="TRS78" s="528"/>
      <c r="TRT78" s="528"/>
      <c r="TRU78" s="528"/>
      <c r="TRV78" s="528"/>
      <c r="TRW78" s="528"/>
      <c r="TRX78" s="528"/>
      <c r="TRY78" s="528"/>
      <c r="TRZ78" s="528"/>
      <c r="TSA78" s="528"/>
      <c r="TSB78" s="528"/>
      <c r="TSC78" s="528"/>
      <c r="TSD78" s="528"/>
      <c r="TSE78" s="528"/>
      <c r="TSF78" s="528"/>
      <c r="TSG78" s="528"/>
      <c r="TSH78" s="528"/>
      <c r="TSI78" s="528"/>
      <c r="TSJ78" s="528"/>
      <c r="TSK78" s="528"/>
      <c r="TSL78" s="528"/>
      <c r="TSM78" s="528"/>
      <c r="TSN78" s="528"/>
      <c r="TSO78" s="528"/>
      <c r="TSP78" s="528"/>
      <c r="TSQ78" s="528"/>
      <c r="TSR78" s="528"/>
      <c r="TSS78" s="528"/>
      <c r="TST78" s="528"/>
      <c r="TSU78" s="528"/>
      <c r="TSV78" s="528"/>
      <c r="TSW78" s="528"/>
      <c r="TSX78" s="528"/>
      <c r="TSY78" s="528"/>
      <c r="TSZ78" s="528"/>
      <c r="TTA78" s="528"/>
      <c r="TTB78" s="528"/>
      <c r="TTC78" s="528"/>
      <c r="TTD78" s="528"/>
      <c r="TTE78" s="528"/>
      <c r="TTF78" s="528"/>
      <c r="TTG78" s="528"/>
      <c r="TTH78" s="528"/>
      <c r="TTI78" s="528"/>
      <c r="TTJ78" s="528"/>
      <c r="TTK78" s="528"/>
      <c r="TTL78" s="528"/>
      <c r="TTM78" s="528"/>
      <c r="TTN78" s="528"/>
      <c r="TTO78" s="528"/>
      <c r="TTP78" s="528"/>
      <c r="TTQ78" s="528"/>
      <c r="TTR78" s="528"/>
      <c r="TTS78" s="528"/>
      <c r="TTT78" s="528"/>
      <c r="TTU78" s="528"/>
      <c r="TTV78" s="528"/>
      <c r="TTW78" s="528"/>
      <c r="TTX78" s="528"/>
      <c r="TTY78" s="528"/>
      <c r="TTZ78" s="528"/>
      <c r="TUA78" s="528"/>
      <c r="TUB78" s="528"/>
      <c r="TUC78" s="528"/>
      <c r="TUD78" s="528"/>
      <c r="TUE78" s="528"/>
      <c r="TUF78" s="528"/>
      <c r="TUG78" s="528"/>
      <c r="TUH78" s="528"/>
      <c r="TUI78" s="528"/>
      <c r="TUJ78" s="528"/>
      <c r="TUK78" s="528"/>
      <c r="TUL78" s="528"/>
      <c r="TUM78" s="528"/>
      <c r="TUN78" s="528"/>
      <c r="TUO78" s="528"/>
      <c r="TUP78" s="528"/>
      <c r="TUQ78" s="528"/>
      <c r="TUR78" s="528"/>
      <c r="TUS78" s="528"/>
      <c r="TUT78" s="528"/>
      <c r="TUU78" s="528"/>
      <c r="TUV78" s="528"/>
      <c r="TUW78" s="528"/>
      <c r="TUX78" s="528"/>
      <c r="TUY78" s="528"/>
      <c r="TUZ78" s="528"/>
      <c r="TVA78" s="528"/>
      <c r="TVB78" s="528"/>
      <c r="TVC78" s="528"/>
      <c r="TVD78" s="528"/>
      <c r="TVE78" s="528"/>
      <c r="TVF78" s="528"/>
      <c r="TVG78" s="528"/>
      <c r="TVH78" s="528"/>
      <c r="TVI78" s="528"/>
      <c r="TVJ78" s="528"/>
      <c r="TVK78" s="528"/>
      <c r="TVL78" s="528"/>
      <c r="TVM78" s="528"/>
      <c r="TVN78" s="528"/>
      <c r="TVO78" s="528"/>
      <c r="TVP78" s="528"/>
      <c r="TVQ78" s="528"/>
      <c r="TVR78" s="528"/>
      <c r="TVS78" s="528"/>
      <c r="TVT78" s="528"/>
      <c r="TVU78" s="528"/>
      <c r="TVV78" s="528"/>
      <c r="TVW78" s="528"/>
      <c r="TVX78" s="528"/>
      <c r="TVY78" s="528"/>
      <c r="TVZ78" s="528"/>
      <c r="TWA78" s="528"/>
      <c r="TWB78" s="528"/>
      <c r="TWC78" s="528"/>
      <c r="TWD78" s="528"/>
      <c r="TWE78" s="528"/>
      <c r="TWF78" s="528"/>
      <c r="TWG78" s="528"/>
      <c r="TWH78" s="528"/>
      <c r="TWI78" s="528"/>
      <c r="TWJ78" s="528"/>
      <c r="TWK78" s="528"/>
      <c r="TWL78" s="528"/>
      <c r="TWM78" s="528"/>
      <c r="TWN78" s="528"/>
      <c r="TWO78" s="528"/>
      <c r="TWP78" s="528"/>
      <c r="TWQ78" s="528"/>
      <c r="TWR78" s="528"/>
      <c r="TWS78" s="528"/>
      <c r="TWT78" s="528"/>
      <c r="TWU78" s="528"/>
      <c r="TWV78" s="528"/>
      <c r="TWW78" s="528"/>
      <c r="TWX78" s="528"/>
      <c r="TWY78" s="528"/>
      <c r="TWZ78" s="528"/>
      <c r="TXA78" s="528"/>
      <c r="TXB78" s="528"/>
      <c r="TXC78" s="528"/>
      <c r="TXD78" s="528"/>
      <c r="TXE78" s="528"/>
      <c r="TXF78" s="528"/>
      <c r="TXG78" s="528"/>
      <c r="TXH78" s="528"/>
      <c r="TXI78" s="528"/>
      <c r="TXJ78" s="528"/>
      <c r="TXK78" s="528"/>
      <c r="TXL78" s="528"/>
      <c r="TXM78" s="528"/>
      <c r="TXN78" s="528"/>
      <c r="TXO78" s="528"/>
      <c r="TXP78" s="528"/>
      <c r="TXQ78" s="528"/>
      <c r="TXR78" s="528"/>
      <c r="TXS78" s="528"/>
      <c r="TXT78" s="528"/>
      <c r="TXU78" s="528"/>
      <c r="TXV78" s="528"/>
      <c r="TXW78" s="528"/>
      <c r="TXX78" s="528"/>
      <c r="TXY78" s="528"/>
      <c r="TXZ78" s="528"/>
      <c r="TYA78" s="528"/>
      <c r="TYB78" s="528"/>
      <c r="TYC78" s="528"/>
      <c r="TYD78" s="528"/>
      <c r="TYE78" s="528"/>
      <c r="TYF78" s="528"/>
      <c r="TYG78" s="528"/>
      <c r="TYH78" s="528"/>
      <c r="TYI78" s="528"/>
      <c r="TYJ78" s="528"/>
      <c r="TYK78" s="528"/>
      <c r="TYL78" s="528"/>
      <c r="TYM78" s="528"/>
      <c r="TYN78" s="528"/>
      <c r="TYO78" s="528"/>
      <c r="TYP78" s="528"/>
      <c r="TYQ78" s="528"/>
      <c r="TYR78" s="528"/>
      <c r="TYS78" s="528"/>
      <c r="TYT78" s="528"/>
      <c r="TYU78" s="528"/>
      <c r="TYV78" s="528"/>
      <c r="TYW78" s="528"/>
      <c r="TYX78" s="528"/>
      <c r="TYY78" s="528"/>
      <c r="TYZ78" s="528"/>
      <c r="TZA78" s="528"/>
      <c r="TZB78" s="528"/>
      <c r="TZC78" s="528"/>
      <c r="TZD78" s="528"/>
      <c r="TZE78" s="528"/>
      <c r="TZF78" s="528"/>
      <c r="TZG78" s="528"/>
      <c r="TZH78" s="528"/>
      <c r="TZI78" s="528"/>
      <c r="TZJ78" s="528"/>
      <c r="TZK78" s="528"/>
      <c r="TZL78" s="528"/>
      <c r="TZM78" s="528"/>
      <c r="TZN78" s="528"/>
      <c r="TZO78" s="528"/>
      <c r="TZP78" s="528"/>
      <c r="TZQ78" s="528"/>
      <c r="TZR78" s="528"/>
      <c r="TZS78" s="528"/>
      <c r="TZT78" s="528"/>
      <c r="TZU78" s="528"/>
      <c r="TZV78" s="528"/>
      <c r="TZW78" s="528"/>
      <c r="TZX78" s="528"/>
      <c r="TZY78" s="528"/>
      <c r="TZZ78" s="528"/>
      <c r="UAA78" s="528"/>
      <c r="UAB78" s="528"/>
      <c r="UAC78" s="528"/>
      <c r="UAD78" s="528"/>
      <c r="UAE78" s="528"/>
      <c r="UAF78" s="528"/>
      <c r="UAG78" s="528"/>
      <c r="UAH78" s="528"/>
      <c r="UAI78" s="528"/>
      <c r="UAJ78" s="528"/>
      <c r="UAK78" s="528"/>
      <c r="UAL78" s="528"/>
      <c r="UAM78" s="528"/>
      <c r="UAN78" s="528"/>
      <c r="UAO78" s="528"/>
      <c r="UAP78" s="528"/>
      <c r="UAQ78" s="528"/>
      <c r="UAR78" s="528"/>
      <c r="UAS78" s="528"/>
      <c r="UAT78" s="528"/>
      <c r="UAU78" s="528"/>
      <c r="UAV78" s="528"/>
      <c r="UAW78" s="528"/>
      <c r="UAX78" s="528"/>
      <c r="UAY78" s="528"/>
      <c r="UAZ78" s="528"/>
      <c r="UBA78" s="528"/>
      <c r="UBB78" s="528"/>
      <c r="UBC78" s="528"/>
      <c r="UBD78" s="528"/>
      <c r="UBE78" s="528"/>
      <c r="UBF78" s="528"/>
      <c r="UBG78" s="528"/>
      <c r="UBH78" s="528"/>
      <c r="UBI78" s="528"/>
      <c r="UBJ78" s="528"/>
      <c r="UBK78" s="528"/>
      <c r="UBL78" s="528"/>
      <c r="UBM78" s="528"/>
      <c r="UBN78" s="528"/>
      <c r="UBO78" s="528"/>
      <c r="UBP78" s="528"/>
      <c r="UBQ78" s="528"/>
      <c r="UBR78" s="528"/>
      <c r="UBS78" s="528"/>
      <c r="UBT78" s="528"/>
      <c r="UBU78" s="528"/>
      <c r="UBV78" s="528"/>
      <c r="UBW78" s="528"/>
      <c r="UBX78" s="528"/>
      <c r="UBY78" s="528"/>
      <c r="UBZ78" s="528"/>
      <c r="UCA78" s="528"/>
      <c r="UCB78" s="528"/>
      <c r="UCC78" s="528"/>
      <c r="UCD78" s="528"/>
      <c r="UCE78" s="528"/>
      <c r="UCF78" s="528"/>
      <c r="UCG78" s="528"/>
      <c r="UCH78" s="528"/>
      <c r="UCI78" s="528"/>
      <c r="UCJ78" s="528"/>
      <c r="UCK78" s="528"/>
      <c r="UCL78" s="528"/>
      <c r="UCM78" s="528"/>
      <c r="UCN78" s="528"/>
      <c r="UCO78" s="528"/>
      <c r="UCP78" s="528"/>
      <c r="UCQ78" s="528"/>
      <c r="UCR78" s="528"/>
      <c r="UCS78" s="528"/>
      <c r="UCT78" s="528"/>
      <c r="UCU78" s="528"/>
      <c r="UCV78" s="528"/>
      <c r="UCW78" s="528"/>
      <c r="UCX78" s="528"/>
      <c r="UCY78" s="528"/>
      <c r="UCZ78" s="528"/>
      <c r="UDA78" s="528"/>
      <c r="UDB78" s="528"/>
      <c r="UDC78" s="528"/>
      <c r="UDD78" s="528"/>
      <c r="UDE78" s="528"/>
      <c r="UDF78" s="528"/>
      <c r="UDG78" s="528"/>
      <c r="UDH78" s="528"/>
      <c r="UDI78" s="528"/>
      <c r="UDJ78" s="528"/>
      <c r="UDK78" s="528"/>
      <c r="UDL78" s="528"/>
      <c r="UDM78" s="528"/>
      <c r="UDN78" s="528"/>
      <c r="UDO78" s="528"/>
      <c r="UDP78" s="528"/>
      <c r="UDQ78" s="528"/>
      <c r="UDR78" s="528"/>
      <c r="UDS78" s="528"/>
      <c r="UDT78" s="528"/>
      <c r="UDU78" s="528"/>
      <c r="UDV78" s="528"/>
      <c r="UDW78" s="528"/>
      <c r="UDX78" s="528"/>
      <c r="UDY78" s="528"/>
      <c r="UDZ78" s="528"/>
      <c r="UEA78" s="528"/>
      <c r="UEB78" s="528"/>
      <c r="UEC78" s="528"/>
      <c r="UED78" s="528"/>
      <c r="UEE78" s="528"/>
      <c r="UEF78" s="528"/>
      <c r="UEG78" s="528"/>
      <c r="UEH78" s="528"/>
      <c r="UEI78" s="528"/>
      <c r="UEJ78" s="528"/>
      <c r="UEK78" s="528"/>
      <c r="UEL78" s="528"/>
      <c r="UEM78" s="528"/>
      <c r="UEN78" s="528"/>
      <c r="UEO78" s="528"/>
      <c r="UEP78" s="528"/>
      <c r="UEQ78" s="528"/>
      <c r="UER78" s="528"/>
      <c r="UES78" s="528"/>
      <c r="UET78" s="528"/>
      <c r="UEU78" s="528"/>
      <c r="UEV78" s="528"/>
      <c r="UEW78" s="528"/>
      <c r="UEX78" s="528"/>
      <c r="UEY78" s="528"/>
      <c r="UEZ78" s="528"/>
      <c r="UFA78" s="528"/>
      <c r="UFB78" s="528"/>
      <c r="UFC78" s="528"/>
      <c r="UFD78" s="528"/>
      <c r="UFE78" s="528"/>
      <c r="UFF78" s="528"/>
      <c r="UFG78" s="528"/>
      <c r="UFH78" s="528"/>
      <c r="UFI78" s="528"/>
      <c r="UFJ78" s="528"/>
      <c r="UFK78" s="528"/>
      <c r="UFL78" s="528"/>
      <c r="UFM78" s="528"/>
      <c r="UFN78" s="528"/>
      <c r="UFO78" s="528"/>
      <c r="UFP78" s="528"/>
      <c r="UFQ78" s="528"/>
      <c r="UFR78" s="528"/>
      <c r="UFS78" s="528"/>
      <c r="UFT78" s="528"/>
      <c r="UFU78" s="528"/>
      <c r="UFV78" s="528"/>
      <c r="UFW78" s="528"/>
      <c r="UFX78" s="528"/>
      <c r="UFY78" s="528"/>
      <c r="UFZ78" s="528"/>
      <c r="UGA78" s="528"/>
      <c r="UGB78" s="528"/>
      <c r="UGC78" s="528"/>
      <c r="UGD78" s="528"/>
      <c r="UGE78" s="528"/>
      <c r="UGF78" s="528"/>
      <c r="UGG78" s="528"/>
      <c r="UGH78" s="528"/>
      <c r="UGI78" s="528"/>
      <c r="UGJ78" s="528"/>
      <c r="UGK78" s="528"/>
      <c r="UGL78" s="528"/>
      <c r="UGM78" s="528"/>
      <c r="UGN78" s="528"/>
      <c r="UGO78" s="528"/>
      <c r="UGP78" s="528"/>
      <c r="UGQ78" s="528"/>
      <c r="UGR78" s="528"/>
      <c r="UGS78" s="528"/>
      <c r="UGT78" s="528"/>
      <c r="UGU78" s="528"/>
      <c r="UGV78" s="528"/>
      <c r="UGW78" s="528"/>
      <c r="UGX78" s="528"/>
      <c r="UGY78" s="528"/>
      <c r="UGZ78" s="528"/>
      <c r="UHA78" s="528"/>
      <c r="UHB78" s="528"/>
      <c r="UHC78" s="528"/>
      <c r="UHD78" s="528"/>
      <c r="UHE78" s="528"/>
      <c r="UHF78" s="528"/>
      <c r="UHG78" s="528"/>
      <c r="UHH78" s="528"/>
      <c r="UHI78" s="528"/>
      <c r="UHJ78" s="528"/>
      <c r="UHK78" s="528"/>
      <c r="UHL78" s="528"/>
      <c r="UHM78" s="528"/>
      <c r="UHN78" s="528"/>
      <c r="UHO78" s="528"/>
      <c r="UHP78" s="528"/>
      <c r="UHQ78" s="528"/>
      <c r="UHR78" s="528"/>
      <c r="UHS78" s="528"/>
      <c r="UHT78" s="528"/>
      <c r="UHU78" s="528"/>
      <c r="UHV78" s="528"/>
      <c r="UHW78" s="528"/>
      <c r="UHX78" s="528"/>
      <c r="UHY78" s="528"/>
      <c r="UHZ78" s="528"/>
      <c r="UIA78" s="528"/>
      <c r="UIB78" s="528"/>
      <c r="UIC78" s="528"/>
      <c r="UID78" s="528"/>
      <c r="UIE78" s="528"/>
      <c r="UIF78" s="528"/>
      <c r="UIG78" s="528"/>
      <c r="UIH78" s="528"/>
      <c r="UII78" s="528"/>
      <c r="UIJ78" s="528"/>
      <c r="UIK78" s="528"/>
      <c r="UIL78" s="528"/>
      <c r="UIM78" s="528"/>
      <c r="UIN78" s="528"/>
      <c r="UIO78" s="528"/>
      <c r="UIP78" s="528"/>
      <c r="UIQ78" s="528"/>
      <c r="UIR78" s="528"/>
      <c r="UIS78" s="528"/>
      <c r="UIT78" s="528"/>
      <c r="UIU78" s="528"/>
      <c r="UIV78" s="528"/>
      <c r="UIW78" s="528"/>
      <c r="UIX78" s="528"/>
      <c r="UIY78" s="528"/>
      <c r="UIZ78" s="528"/>
      <c r="UJA78" s="528"/>
      <c r="UJB78" s="528"/>
      <c r="UJC78" s="528"/>
      <c r="UJD78" s="528"/>
      <c r="UJE78" s="528"/>
      <c r="UJF78" s="528"/>
      <c r="UJG78" s="528"/>
      <c r="UJH78" s="528"/>
      <c r="UJI78" s="528"/>
      <c r="UJJ78" s="528"/>
      <c r="UJK78" s="528"/>
      <c r="UJL78" s="528"/>
      <c r="UJM78" s="528"/>
      <c r="UJN78" s="528"/>
      <c r="UJO78" s="528"/>
      <c r="UJP78" s="528"/>
      <c r="UJQ78" s="528"/>
      <c r="UJR78" s="528"/>
      <c r="UJS78" s="528"/>
      <c r="UJT78" s="528"/>
      <c r="UJU78" s="528"/>
      <c r="UJV78" s="528"/>
      <c r="UJW78" s="528"/>
      <c r="UJX78" s="528"/>
      <c r="UJY78" s="528"/>
      <c r="UJZ78" s="528"/>
      <c r="UKA78" s="528"/>
      <c r="UKB78" s="528"/>
      <c r="UKC78" s="528"/>
      <c r="UKD78" s="528"/>
      <c r="UKE78" s="528"/>
      <c r="UKF78" s="528"/>
      <c r="UKG78" s="528"/>
      <c r="UKH78" s="528"/>
      <c r="UKI78" s="528"/>
      <c r="UKJ78" s="528"/>
      <c r="UKK78" s="528"/>
      <c r="UKL78" s="528"/>
      <c r="UKM78" s="528"/>
      <c r="UKN78" s="528"/>
      <c r="UKO78" s="528"/>
      <c r="UKP78" s="528"/>
      <c r="UKQ78" s="528"/>
      <c r="UKR78" s="528"/>
      <c r="UKS78" s="528"/>
      <c r="UKT78" s="528"/>
      <c r="UKU78" s="528"/>
      <c r="UKV78" s="528"/>
      <c r="UKW78" s="528"/>
      <c r="UKX78" s="528"/>
      <c r="UKY78" s="528"/>
      <c r="UKZ78" s="528"/>
      <c r="ULA78" s="528"/>
      <c r="ULB78" s="528"/>
      <c r="ULC78" s="528"/>
      <c r="ULD78" s="528"/>
      <c r="ULE78" s="528"/>
      <c r="ULF78" s="528"/>
      <c r="ULG78" s="528"/>
      <c r="ULH78" s="528"/>
      <c r="ULI78" s="528"/>
      <c r="ULJ78" s="528"/>
      <c r="ULK78" s="528"/>
      <c r="ULL78" s="528"/>
      <c r="ULM78" s="528"/>
      <c r="ULN78" s="528"/>
      <c r="ULO78" s="528"/>
      <c r="ULP78" s="528"/>
      <c r="ULQ78" s="528"/>
      <c r="ULR78" s="528"/>
      <c r="ULS78" s="528"/>
      <c r="ULT78" s="528"/>
      <c r="ULU78" s="528"/>
      <c r="ULV78" s="528"/>
      <c r="ULW78" s="528"/>
      <c r="ULX78" s="528"/>
      <c r="ULY78" s="528"/>
      <c r="ULZ78" s="528"/>
      <c r="UMA78" s="528"/>
      <c r="UMB78" s="528"/>
      <c r="UMC78" s="528"/>
      <c r="UMD78" s="528"/>
      <c r="UME78" s="528"/>
      <c r="UMF78" s="528"/>
      <c r="UMG78" s="528"/>
      <c r="UMH78" s="528"/>
      <c r="UMI78" s="528"/>
      <c r="UMJ78" s="528"/>
      <c r="UMK78" s="528"/>
      <c r="UML78" s="528"/>
      <c r="UMM78" s="528"/>
      <c r="UMN78" s="528"/>
      <c r="UMO78" s="528"/>
      <c r="UMP78" s="528"/>
      <c r="UMQ78" s="528"/>
      <c r="UMR78" s="528"/>
      <c r="UMS78" s="528"/>
      <c r="UMT78" s="528"/>
      <c r="UMU78" s="528"/>
      <c r="UMV78" s="528"/>
      <c r="UMW78" s="528"/>
      <c r="UMX78" s="528"/>
      <c r="UMY78" s="528"/>
      <c r="UMZ78" s="528"/>
      <c r="UNA78" s="528"/>
      <c r="UNB78" s="528"/>
      <c r="UNC78" s="528"/>
      <c r="UND78" s="528"/>
      <c r="UNE78" s="528"/>
      <c r="UNF78" s="528"/>
      <c r="UNG78" s="528"/>
      <c r="UNH78" s="528"/>
      <c r="UNI78" s="528"/>
      <c r="UNJ78" s="528"/>
      <c r="UNK78" s="528"/>
      <c r="UNL78" s="528"/>
      <c r="UNM78" s="528"/>
      <c r="UNN78" s="528"/>
      <c r="UNO78" s="528"/>
      <c r="UNP78" s="528"/>
      <c r="UNQ78" s="528"/>
      <c r="UNR78" s="528"/>
      <c r="UNS78" s="528"/>
      <c r="UNT78" s="528"/>
      <c r="UNU78" s="528"/>
      <c r="UNV78" s="528"/>
      <c r="UNW78" s="528"/>
      <c r="UNX78" s="528"/>
      <c r="UNY78" s="528"/>
      <c r="UNZ78" s="528"/>
      <c r="UOA78" s="528"/>
      <c r="UOB78" s="528"/>
      <c r="UOC78" s="528"/>
      <c r="UOD78" s="528"/>
      <c r="UOE78" s="528"/>
      <c r="UOF78" s="528"/>
      <c r="UOG78" s="528"/>
      <c r="UOH78" s="528"/>
      <c r="UOI78" s="528"/>
      <c r="UOJ78" s="528"/>
      <c r="UOK78" s="528"/>
      <c r="UOL78" s="528"/>
      <c r="UOM78" s="528"/>
      <c r="UON78" s="528"/>
      <c r="UOO78" s="528"/>
      <c r="UOP78" s="528"/>
      <c r="UOQ78" s="528"/>
      <c r="UOR78" s="528"/>
      <c r="UOS78" s="528"/>
      <c r="UOT78" s="528"/>
      <c r="UOU78" s="528"/>
      <c r="UOV78" s="528"/>
      <c r="UOW78" s="528"/>
      <c r="UOX78" s="528"/>
      <c r="UOY78" s="528"/>
      <c r="UOZ78" s="528"/>
      <c r="UPA78" s="528"/>
      <c r="UPB78" s="528"/>
      <c r="UPC78" s="528"/>
      <c r="UPD78" s="528"/>
      <c r="UPE78" s="528"/>
      <c r="UPF78" s="528"/>
      <c r="UPG78" s="528"/>
      <c r="UPH78" s="528"/>
      <c r="UPI78" s="528"/>
      <c r="UPJ78" s="528"/>
      <c r="UPK78" s="528"/>
      <c r="UPL78" s="528"/>
      <c r="UPM78" s="528"/>
      <c r="UPN78" s="528"/>
      <c r="UPO78" s="528"/>
      <c r="UPP78" s="528"/>
      <c r="UPQ78" s="528"/>
      <c r="UPR78" s="528"/>
      <c r="UPS78" s="528"/>
      <c r="UPT78" s="528"/>
      <c r="UPU78" s="528"/>
      <c r="UPV78" s="528"/>
      <c r="UPW78" s="528"/>
      <c r="UPX78" s="528"/>
      <c r="UPY78" s="528"/>
      <c r="UPZ78" s="528"/>
      <c r="UQA78" s="528"/>
      <c r="UQB78" s="528"/>
      <c r="UQC78" s="528"/>
      <c r="UQD78" s="528"/>
      <c r="UQE78" s="528"/>
      <c r="UQF78" s="528"/>
      <c r="UQG78" s="528"/>
      <c r="UQH78" s="528"/>
      <c r="UQI78" s="528"/>
      <c r="UQJ78" s="528"/>
      <c r="UQK78" s="528"/>
      <c r="UQL78" s="528"/>
      <c r="UQM78" s="528"/>
      <c r="UQN78" s="528"/>
      <c r="UQO78" s="528"/>
      <c r="UQP78" s="528"/>
      <c r="UQQ78" s="528"/>
      <c r="UQR78" s="528"/>
      <c r="UQS78" s="528"/>
      <c r="UQT78" s="528"/>
      <c r="UQU78" s="528"/>
      <c r="UQV78" s="528"/>
      <c r="UQW78" s="528"/>
      <c r="UQX78" s="528"/>
      <c r="UQY78" s="528"/>
      <c r="UQZ78" s="528"/>
      <c r="URA78" s="528"/>
      <c r="URB78" s="528"/>
      <c r="URC78" s="528"/>
      <c r="URD78" s="528"/>
      <c r="URE78" s="528"/>
      <c r="URF78" s="528"/>
      <c r="URG78" s="528"/>
      <c r="URH78" s="528"/>
      <c r="URI78" s="528"/>
      <c r="URJ78" s="528"/>
      <c r="URK78" s="528"/>
      <c r="URL78" s="528"/>
      <c r="URM78" s="528"/>
      <c r="URN78" s="528"/>
      <c r="URO78" s="528"/>
      <c r="URP78" s="528"/>
      <c r="URQ78" s="528"/>
      <c r="URR78" s="528"/>
      <c r="URS78" s="528"/>
      <c r="URT78" s="528"/>
      <c r="URU78" s="528"/>
      <c r="URV78" s="528"/>
      <c r="URW78" s="528"/>
      <c r="URX78" s="528"/>
      <c r="URY78" s="528"/>
      <c r="URZ78" s="528"/>
      <c r="USA78" s="528"/>
      <c r="USB78" s="528"/>
      <c r="USC78" s="528"/>
      <c r="USD78" s="528"/>
      <c r="USE78" s="528"/>
      <c r="USF78" s="528"/>
      <c r="USG78" s="528"/>
      <c r="USH78" s="528"/>
      <c r="USI78" s="528"/>
      <c r="USJ78" s="528"/>
      <c r="USK78" s="528"/>
      <c r="USL78" s="528"/>
      <c r="USM78" s="528"/>
      <c r="USN78" s="528"/>
      <c r="USO78" s="528"/>
      <c r="USP78" s="528"/>
      <c r="USQ78" s="528"/>
      <c r="USR78" s="528"/>
      <c r="USS78" s="528"/>
      <c r="UST78" s="528"/>
      <c r="USU78" s="528"/>
      <c r="USV78" s="528"/>
      <c r="USW78" s="528"/>
      <c r="USX78" s="528"/>
      <c r="USY78" s="528"/>
      <c r="USZ78" s="528"/>
      <c r="UTA78" s="528"/>
      <c r="UTB78" s="528"/>
      <c r="UTC78" s="528"/>
      <c r="UTD78" s="528"/>
      <c r="UTE78" s="528"/>
      <c r="UTF78" s="528"/>
      <c r="UTG78" s="528"/>
      <c r="UTH78" s="528"/>
      <c r="UTI78" s="528"/>
      <c r="UTJ78" s="528"/>
      <c r="UTK78" s="528"/>
      <c r="UTL78" s="528"/>
      <c r="UTM78" s="528"/>
      <c r="UTN78" s="528"/>
      <c r="UTO78" s="528"/>
      <c r="UTP78" s="528"/>
      <c r="UTQ78" s="528"/>
      <c r="UTR78" s="528"/>
      <c r="UTS78" s="528"/>
      <c r="UTT78" s="528"/>
      <c r="UTU78" s="528"/>
      <c r="UTV78" s="528"/>
      <c r="UTW78" s="528"/>
      <c r="UTX78" s="528"/>
      <c r="UTY78" s="528"/>
      <c r="UTZ78" s="528"/>
      <c r="UUA78" s="528"/>
      <c r="UUB78" s="528"/>
      <c r="UUC78" s="528"/>
      <c r="UUD78" s="528"/>
      <c r="UUE78" s="528"/>
      <c r="UUF78" s="528"/>
      <c r="UUG78" s="528"/>
      <c r="UUH78" s="528"/>
      <c r="UUI78" s="528"/>
      <c r="UUJ78" s="528"/>
      <c r="UUK78" s="528"/>
      <c r="UUL78" s="528"/>
      <c r="UUM78" s="528"/>
      <c r="UUN78" s="528"/>
      <c r="UUO78" s="528"/>
      <c r="UUP78" s="528"/>
      <c r="UUQ78" s="528"/>
      <c r="UUR78" s="528"/>
      <c r="UUS78" s="528"/>
      <c r="UUT78" s="528"/>
      <c r="UUU78" s="528"/>
      <c r="UUV78" s="528"/>
      <c r="UUW78" s="528"/>
      <c r="UUX78" s="528"/>
      <c r="UUY78" s="528"/>
      <c r="UUZ78" s="528"/>
      <c r="UVA78" s="528"/>
      <c r="UVB78" s="528"/>
      <c r="UVC78" s="528"/>
      <c r="UVD78" s="528"/>
      <c r="UVE78" s="528"/>
      <c r="UVF78" s="528"/>
      <c r="UVG78" s="528"/>
      <c r="UVH78" s="528"/>
      <c r="UVI78" s="528"/>
      <c r="UVJ78" s="528"/>
      <c r="UVK78" s="528"/>
      <c r="UVL78" s="528"/>
      <c r="UVM78" s="528"/>
      <c r="UVN78" s="528"/>
      <c r="UVO78" s="528"/>
      <c r="UVP78" s="528"/>
      <c r="UVQ78" s="528"/>
      <c r="UVR78" s="528"/>
      <c r="UVS78" s="528"/>
      <c r="UVT78" s="528"/>
      <c r="UVU78" s="528"/>
      <c r="UVV78" s="528"/>
      <c r="UVW78" s="528"/>
      <c r="UVX78" s="528"/>
      <c r="UVY78" s="528"/>
      <c r="UVZ78" s="528"/>
      <c r="UWA78" s="528"/>
      <c r="UWB78" s="528"/>
      <c r="UWC78" s="528"/>
      <c r="UWD78" s="528"/>
      <c r="UWE78" s="528"/>
      <c r="UWF78" s="528"/>
      <c r="UWG78" s="528"/>
      <c r="UWH78" s="528"/>
      <c r="UWI78" s="528"/>
      <c r="UWJ78" s="528"/>
      <c r="UWK78" s="528"/>
      <c r="UWL78" s="528"/>
      <c r="UWM78" s="528"/>
      <c r="UWN78" s="528"/>
      <c r="UWO78" s="528"/>
      <c r="UWP78" s="528"/>
      <c r="UWQ78" s="528"/>
      <c r="UWR78" s="528"/>
      <c r="UWS78" s="528"/>
      <c r="UWT78" s="528"/>
      <c r="UWU78" s="528"/>
      <c r="UWV78" s="528"/>
      <c r="UWW78" s="528"/>
      <c r="UWX78" s="528"/>
      <c r="UWY78" s="528"/>
      <c r="UWZ78" s="528"/>
      <c r="UXA78" s="528"/>
      <c r="UXB78" s="528"/>
      <c r="UXC78" s="528"/>
      <c r="UXD78" s="528"/>
      <c r="UXE78" s="528"/>
      <c r="UXF78" s="528"/>
      <c r="UXG78" s="528"/>
      <c r="UXH78" s="528"/>
      <c r="UXI78" s="528"/>
      <c r="UXJ78" s="528"/>
      <c r="UXK78" s="528"/>
      <c r="UXL78" s="528"/>
      <c r="UXM78" s="528"/>
      <c r="UXN78" s="528"/>
      <c r="UXO78" s="528"/>
      <c r="UXP78" s="528"/>
      <c r="UXQ78" s="528"/>
      <c r="UXR78" s="528"/>
      <c r="UXS78" s="528"/>
      <c r="UXT78" s="528"/>
      <c r="UXU78" s="528"/>
      <c r="UXV78" s="528"/>
      <c r="UXW78" s="528"/>
      <c r="UXX78" s="528"/>
      <c r="UXY78" s="528"/>
      <c r="UXZ78" s="528"/>
      <c r="UYA78" s="528"/>
      <c r="UYB78" s="528"/>
      <c r="UYC78" s="528"/>
      <c r="UYD78" s="528"/>
      <c r="UYE78" s="528"/>
      <c r="UYF78" s="528"/>
      <c r="UYG78" s="528"/>
      <c r="UYH78" s="528"/>
      <c r="UYI78" s="528"/>
      <c r="UYJ78" s="528"/>
      <c r="UYK78" s="528"/>
      <c r="UYL78" s="528"/>
      <c r="UYM78" s="528"/>
      <c r="UYN78" s="528"/>
      <c r="UYO78" s="528"/>
      <c r="UYP78" s="528"/>
      <c r="UYQ78" s="528"/>
      <c r="UYR78" s="528"/>
      <c r="UYS78" s="528"/>
      <c r="UYT78" s="528"/>
      <c r="UYU78" s="528"/>
      <c r="UYV78" s="528"/>
      <c r="UYW78" s="528"/>
      <c r="UYX78" s="528"/>
      <c r="UYY78" s="528"/>
      <c r="UYZ78" s="528"/>
      <c r="UZA78" s="528"/>
      <c r="UZB78" s="528"/>
      <c r="UZC78" s="528"/>
      <c r="UZD78" s="528"/>
      <c r="UZE78" s="528"/>
      <c r="UZF78" s="528"/>
      <c r="UZG78" s="528"/>
      <c r="UZH78" s="528"/>
      <c r="UZI78" s="528"/>
      <c r="UZJ78" s="528"/>
      <c r="UZK78" s="528"/>
      <c r="UZL78" s="528"/>
      <c r="UZM78" s="528"/>
      <c r="UZN78" s="528"/>
      <c r="UZO78" s="528"/>
      <c r="UZP78" s="528"/>
      <c r="UZQ78" s="528"/>
      <c r="UZR78" s="528"/>
      <c r="UZS78" s="528"/>
      <c r="UZT78" s="528"/>
      <c r="UZU78" s="528"/>
      <c r="UZV78" s="528"/>
      <c r="UZW78" s="528"/>
      <c r="UZX78" s="528"/>
      <c r="UZY78" s="528"/>
      <c r="UZZ78" s="528"/>
      <c r="VAA78" s="528"/>
      <c r="VAB78" s="528"/>
      <c r="VAC78" s="528"/>
      <c r="VAD78" s="528"/>
      <c r="VAE78" s="528"/>
      <c r="VAF78" s="528"/>
      <c r="VAG78" s="528"/>
      <c r="VAH78" s="528"/>
      <c r="VAI78" s="528"/>
      <c r="VAJ78" s="528"/>
      <c r="VAK78" s="528"/>
      <c r="VAL78" s="528"/>
      <c r="VAM78" s="528"/>
      <c r="VAN78" s="528"/>
      <c r="VAO78" s="528"/>
      <c r="VAP78" s="528"/>
      <c r="VAQ78" s="528"/>
      <c r="VAR78" s="528"/>
      <c r="VAS78" s="528"/>
      <c r="VAT78" s="528"/>
      <c r="VAU78" s="528"/>
      <c r="VAV78" s="528"/>
      <c r="VAW78" s="528"/>
      <c r="VAX78" s="528"/>
      <c r="VAY78" s="528"/>
      <c r="VAZ78" s="528"/>
      <c r="VBA78" s="528"/>
      <c r="VBB78" s="528"/>
      <c r="VBC78" s="528"/>
      <c r="VBD78" s="528"/>
      <c r="VBE78" s="528"/>
      <c r="VBF78" s="528"/>
      <c r="VBG78" s="528"/>
      <c r="VBH78" s="528"/>
      <c r="VBI78" s="528"/>
      <c r="VBJ78" s="528"/>
      <c r="VBK78" s="528"/>
      <c r="VBL78" s="528"/>
      <c r="VBM78" s="528"/>
      <c r="VBN78" s="528"/>
      <c r="VBO78" s="528"/>
      <c r="VBP78" s="528"/>
      <c r="VBQ78" s="528"/>
      <c r="VBR78" s="528"/>
      <c r="VBS78" s="528"/>
      <c r="VBT78" s="528"/>
      <c r="VBU78" s="528"/>
      <c r="VBV78" s="528"/>
      <c r="VBW78" s="528"/>
      <c r="VBX78" s="528"/>
      <c r="VBY78" s="528"/>
      <c r="VBZ78" s="528"/>
      <c r="VCA78" s="528"/>
      <c r="VCB78" s="528"/>
      <c r="VCC78" s="528"/>
      <c r="VCD78" s="528"/>
      <c r="VCE78" s="528"/>
      <c r="VCF78" s="528"/>
      <c r="VCG78" s="528"/>
      <c r="VCH78" s="528"/>
      <c r="VCI78" s="528"/>
      <c r="VCJ78" s="528"/>
      <c r="VCK78" s="528"/>
      <c r="VCL78" s="528"/>
      <c r="VCM78" s="528"/>
      <c r="VCN78" s="528"/>
      <c r="VCO78" s="528"/>
      <c r="VCP78" s="528"/>
      <c r="VCQ78" s="528"/>
      <c r="VCR78" s="528"/>
      <c r="VCS78" s="528"/>
      <c r="VCT78" s="528"/>
      <c r="VCU78" s="528"/>
      <c r="VCV78" s="528"/>
      <c r="VCW78" s="528"/>
      <c r="VCX78" s="528"/>
      <c r="VCY78" s="528"/>
      <c r="VCZ78" s="528"/>
      <c r="VDA78" s="528"/>
      <c r="VDB78" s="528"/>
      <c r="VDC78" s="528"/>
      <c r="VDD78" s="528"/>
      <c r="VDE78" s="528"/>
      <c r="VDF78" s="528"/>
      <c r="VDG78" s="528"/>
      <c r="VDH78" s="528"/>
      <c r="VDI78" s="528"/>
      <c r="VDJ78" s="528"/>
      <c r="VDK78" s="528"/>
      <c r="VDL78" s="528"/>
      <c r="VDM78" s="528"/>
      <c r="VDN78" s="528"/>
      <c r="VDO78" s="528"/>
      <c r="VDP78" s="528"/>
      <c r="VDQ78" s="528"/>
      <c r="VDR78" s="528"/>
      <c r="VDS78" s="528"/>
      <c r="VDT78" s="528"/>
      <c r="VDU78" s="528"/>
      <c r="VDV78" s="528"/>
      <c r="VDW78" s="528"/>
      <c r="VDX78" s="528"/>
      <c r="VDY78" s="528"/>
      <c r="VDZ78" s="528"/>
      <c r="VEA78" s="528"/>
      <c r="VEB78" s="528"/>
      <c r="VEC78" s="528"/>
      <c r="VED78" s="528"/>
      <c r="VEE78" s="528"/>
      <c r="VEF78" s="528"/>
      <c r="VEG78" s="528"/>
      <c r="VEH78" s="528"/>
      <c r="VEI78" s="528"/>
      <c r="VEJ78" s="528"/>
      <c r="VEK78" s="528"/>
      <c r="VEL78" s="528"/>
      <c r="VEM78" s="528"/>
      <c r="VEN78" s="528"/>
      <c r="VEO78" s="528"/>
      <c r="VEP78" s="528"/>
      <c r="VEQ78" s="528"/>
      <c r="VER78" s="528"/>
      <c r="VES78" s="528"/>
      <c r="VET78" s="528"/>
      <c r="VEU78" s="528"/>
      <c r="VEV78" s="528"/>
      <c r="VEW78" s="528"/>
      <c r="VEX78" s="528"/>
      <c r="VEY78" s="528"/>
      <c r="VEZ78" s="528"/>
      <c r="VFA78" s="528"/>
      <c r="VFB78" s="528"/>
      <c r="VFC78" s="528"/>
      <c r="VFD78" s="528"/>
      <c r="VFE78" s="528"/>
      <c r="VFF78" s="528"/>
      <c r="VFG78" s="528"/>
      <c r="VFH78" s="528"/>
      <c r="VFI78" s="528"/>
      <c r="VFJ78" s="528"/>
      <c r="VFK78" s="528"/>
      <c r="VFL78" s="528"/>
      <c r="VFM78" s="528"/>
      <c r="VFN78" s="528"/>
      <c r="VFO78" s="528"/>
      <c r="VFP78" s="528"/>
      <c r="VFQ78" s="528"/>
      <c r="VFR78" s="528"/>
      <c r="VFS78" s="528"/>
      <c r="VFT78" s="528"/>
      <c r="VFU78" s="528"/>
      <c r="VFV78" s="528"/>
      <c r="VFW78" s="528"/>
      <c r="VFX78" s="528"/>
      <c r="VFY78" s="528"/>
      <c r="VFZ78" s="528"/>
      <c r="VGA78" s="528"/>
      <c r="VGB78" s="528"/>
      <c r="VGC78" s="528"/>
      <c r="VGD78" s="528"/>
      <c r="VGE78" s="528"/>
      <c r="VGF78" s="528"/>
      <c r="VGG78" s="528"/>
      <c r="VGH78" s="528"/>
      <c r="VGI78" s="528"/>
      <c r="VGJ78" s="528"/>
      <c r="VGK78" s="528"/>
      <c r="VGL78" s="528"/>
      <c r="VGM78" s="528"/>
      <c r="VGN78" s="528"/>
      <c r="VGO78" s="528"/>
      <c r="VGP78" s="528"/>
      <c r="VGQ78" s="528"/>
      <c r="VGR78" s="528"/>
      <c r="VGS78" s="528"/>
      <c r="VGT78" s="528"/>
      <c r="VGU78" s="528"/>
      <c r="VGV78" s="528"/>
      <c r="VGW78" s="528"/>
      <c r="VGX78" s="528"/>
      <c r="VGY78" s="528"/>
      <c r="VGZ78" s="528"/>
      <c r="VHA78" s="528"/>
      <c r="VHB78" s="528"/>
      <c r="VHC78" s="528"/>
      <c r="VHD78" s="528"/>
      <c r="VHE78" s="528"/>
      <c r="VHF78" s="528"/>
      <c r="VHG78" s="528"/>
      <c r="VHH78" s="528"/>
      <c r="VHI78" s="528"/>
      <c r="VHJ78" s="528"/>
      <c r="VHK78" s="528"/>
      <c r="VHL78" s="528"/>
      <c r="VHM78" s="528"/>
      <c r="VHN78" s="528"/>
      <c r="VHO78" s="528"/>
      <c r="VHP78" s="528"/>
      <c r="VHQ78" s="528"/>
      <c r="VHR78" s="528"/>
      <c r="VHS78" s="528"/>
      <c r="VHT78" s="528"/>
      <c r="VHU78" s="528"/>
      <c r="VHV78" s="528"/>
      <c r="VHW78" s="528"/>
      <c r="VHX78" s="528"/>
      <c r="VHY78" s="528"/>
      <c r="VHZ78" s="528"/>
      <c r="VIA78" s="528"/>
      <c r="VIB78" s="528"/>
      <c r="VIC78" s="528"/>
      <c r="VID78" s="528"/>
      <c r="VIE78" s="528"/>
      <c r="VIF78" s="528"/>
      <c r="VIG78" s="528"/>
      <c r="VIH78" s="528"/>
      <c r="VII78" s="528"/>
      <c r="VIJ78" s="528"/>
      <c r="VIK78" s="528"/>
      <c r="VIL78" s="528"/>
      <c r="VIM78" s="528"/>
      <c r="VIN78" s="528"/>
      <c r="VIO78" s="528"/>
      <c r="VIP78" s="528"/>
      <c r="VIQ78" s="528"/>
      <c r="VIR78" s="528"/>
      <c r="VIS78" s="528"/>
      <c r="VIT78" s="528"/>
      <c r="VIU78" s="528"/>
      <c r="VIV78" s="528"/>
      <c r="VIW78" s="528"/>
      <c r="VIX78" s="528"/>
      <c r="VIY78" s="528"/>
      <c r="VIZ78" s="528"/>
      <c r="VJA78" s="528"/>
      <c r="VJB78" s="528"/>
      <c r="VJC78" s="528"/>
      <c r="VJD78" s="528"/>
      <c r="VJE78" s="528"/>
      <c r="VJF78" s="528"/>
      <c r="VJG78" s="528"/>
      <c r="VJH78" s="528"/>
      <c r="VJI78" s="528"/>
      <c r="VJJ78" s="528"/>
      <c r="VJK78" s="528"/>
      <c r="VJL78" s="528"/>
      <c r="VJM78" s="528"/>
      <c r="VJN78" s="528"/>
      <c r="VJO78" s="528"/>
      <c r="VJP78" s="528"/>
      <c r="VJQ78" s="528"/>
      <c r="VJR78" s="528"/>
      <c r="VJS78" s="528"/>
      <c r="VJT78" s="528"/>
      <c r="VJU78" s="528"/>
      <c r="VJV78" s="528"/>
      <c r="VJW78" s="528"/>
      <c r="VJX78" s="528"/>
      <c r="VJY78" s="528"/>
      <c r="VJZ78" s="528"/>
      <c r="VKA78" s="528"/>
      <c r="VKB78" s="528"/>
      <c r="VKC78" s="528"/>
      <c r="VKD78" s="528"/>
      <c r="VKE78" s="528"/>
      <c r="VKF78" s="528"/>
      <c r="VKG78" s="528"/>
      <c r="VKH78" s="528"/>
      <c r="VKI78" s="528"/>
      <c r="VKJ78" s="528"/>
      <c r="VKK78" s="528"/>
      <c r="VKL78" s="528"/>
      <c r="VKM78" s="528"/>
      <c r="VKN78" s="528"/>
      <c r="VKO78" s="528"/>
      <c r="VKP78" s="528"/>
      <c r="VKQ78" s="528"/>
      <c r="VKR78" s="528"/>
      <c r="VKS78" s="528"/>
      <c r="VKT78" s="528"/>
      <c r="VKU78" s="528"/>
      <c r="VKV78" s="528"/>
      <c r="VKW78" s="528"/>
      <c r="VKX78" s="528"/>
      <c r="VKY78" s="528"/>
      <c r="VKZ78" s="528"/>
      <c r="VLA78" s="528"/>
      <c r="VLB78" s="528"/>
      <c r="VLC78" s="528"/>
      <c r="VLD78" s="528"/>
      <c r="VLE78" s="528"/>
      <c r="VLF78" s="528"/>
      <c r="VLG78" s="528"/>
      <c r="VLH78" s="528"/>
      <c r="VLI78" s="528"/>
      <c r="VLJ78" s="528"/>
      <c r="VLK78" s="528"/>
      <c r="VLL78" s="528"/>
      <c r="VLM78" s="528"/>
      <c r="VLN78" s="528"/>
      <c r="VLO78" s="528"/>
      <c r="VLP78" s="528"/>
      <c r="VLQ78" s="528"/>
      <c r="VLR78" s="528"/>
      <c r="VLS78" s="528"/>
      <c r="VLT78" s="528"/>
      <c r="VLU78" s="528"/>
      <c r="VLV78" s="528"/>
      <c r="VLW78" s="528"/>
      <c r="VLX78" s="528"/>
      <c r="VLY78" s="528"/>
      <c r="VLZ78" s="528"/>
      <c r="VMA78" s="528"/>
      <c r="VMB78" s="528"/>
      <c r="VMC78" s="528"/>
      <c r="VMD78" s="528"/>
      <c r="VME78" s="528"/>
      <c r="VMF78" s="528"/>
      <c r="VMG78" s="528"/>
      <c r="VMH78" s="528"/>
      <c r="VMI78" s="528"/>
      <c r="VMJ78" s="528"/>
      <c r="VMK78" s="528"/>
      <c r="VML78" s="528"/>
      <c r="VMM78" s="528"/>
      <c r="VMN78" s="528"/>
      <c r="VMO78" s="528"/>
      <c r="VMP78" s="528"/>
      <c r="VMQ78" s="528"/>
      <c r="VMR78" s="528"/>
      <c r="VMS78" s="528"/>
      <c r="VMT78" s="528"/>
      <c r="VMU78" s="528"/>
      <c r="VMV78" s="528"/>
      <c r="VMW78" s="528"/>
      <c r="VMX78" s="528"/>
      <c r="VMY78" s="528"/>
      <c r="VMZ78" s="528"/>
      <c r="VNA78" s="528"/>
      <c r="VNB78" s="528"/>
      <c r="VNC78" s="528"/>
      <c r="VND78" s="528"/>
      <c r="VNE78" s="528"/>
      <c r="VNF78" s="528"/>
      <c r="VNG78" s="528"/>
      <c r="VNH78" s="528"/>
      <c r="VNI78" s="528"/>
      <c r="VNJ78" s="528"/>
      <c r="VNK78" s="528"/>
      <c r="VNL78" s="528"/>
      <c r="VNM78" s="528"/>
      <c r="VNN78" s="528"/>
      <c r="VNO78" s="528"/>
      <c r="VNP78" s="528"/>
      <c r="VNQ78" s="528"/>
      <c r="VNR78" s="528"/>
      <c r="VNS78" s="528"/>
      <c r="VNT78" s="528"/>
      <c r="VNU78" s="528"/>
      <c r="VNV78" s="528"/>
      <c r="VNW78" s="528"/>
      <c r="VNX78" s="528"/>
      <c r="VNY78" s="528"/>
      <c r="VNZ78" s="528"/>
      <c r="VOA78" s="528"/>
      <c r="VOB78" s="528"/>
      <c r="VOC78" s="528"/>
      <c r="VOD78" s="528"/>
      <c r="VOE78" s="528"/>
      <c r="VOF78" s="528"/>
      <c r="VOG78" s="528"/>
      <c r="VOH78" s="528"/>
      <c r="VOI78" s="528"/>
      <c r="VOJ78" s="528"/>
      <c r="VOK78" s="528"/>
      <c r="VOL78" s="528"/>
      <c r="VOM78" s="528"/>
      <c r="VON78" s="528"/>
      <c r="VOO78" s="528"/>
      <c r="VOP78" s="528"/>
      <c r="VOQ78" s="528"/>
      <c r="VOR78" s="528"/>
      <c r="VOS78" s="528"/>
      <c r="VOT78" s="528"/>
      <c r="VOU78" s="528"/>
      <c r="VOV78" s="528"/>
      <c r="VOW78" s="528"/>
      <c r="VOX78" s="528"/>
      <c r="VOY78" s="528"/>
      <c r="VOZ78" s="528"/>
      <c r="VPA78" s="528"/>
      <c r="VPB78" s="528"/>
      <c r="VPC78" s="528"/>
      <c r="VPD78" s="528"/>
      <c r="VPE78" s="528"/>
      <c r="VPF78" s="528"/>
      <c r="VPG78" s="528"/>
      <c r="VPH78" s="528"/>
      <c r="VPI78" s="528"/>
      <c r="VPJ78" s="528"/>
      <c r="VPK78" s="528"/>
      <c r="VPL78" s="528"/>
      <c r="VPM78" s="528"/>
      <c r="VPN78" s="528"/>
      <c r="VPO78" s="528"/>
      <c r="VPP78" s="528"/>
      <c r="VPQ78" s="528"/>
      <c r="VPR78" s="528"/>
      <c r="VPS78" s="528"/>
      <c r="VPT78" s="528"/>
      <c r="VPU78" s="528"/>
      <c r="VPV78" s="528"/>
      <c r="VPW78" s="528"/>
      <c r="VPX78" s="528"/>
      <c r="VPY78" s="528"/>
      <c r="VPZ78" s="528"/>
      <c r="VQA78" s="528"/>
      <c r="VQB78" s="528"/>
      <c r="VQC78" s="528"/>
      <c r="VQD78" s="528"/>
      <c r="VQE78" s="528"/>
      <c r="VQF78" s="528"/>
      <c r="VQG78" s="528"/>
      <c r="VQH78" s="528"/>
      <c r="VQI78" s="528"/>
      <c r="VQJ78" s="528"/>
      <c r="VQK78" s="528"/>
      <c r="VQL78" s="528"/>
      <c r="VQM78" s="528"/>
      <c r="VQN78" s="528"/>
      <c r="VQO78" s="528"/>
      <c r="VQP78" s="528"/>
      <c r="VQQ78" s="528"/>
      <c r="VQR78" s="528"/>
      <c r="VQS78" s="528"/>
      <c r="VQT78" s="528"/>
      <c r="VQU78" s="528"/>
      <c r="VQV78" s="528"/>
      <c r="VQW78" s="528"/>
      <c r="VQX78" s="528"/>
      <c r="VQY78" s="528"/>
      <c r="VQZ78" s="528"/>
      <c r="VRA78" s="528"/>
      <c r="VRB78" s="528"/>
      <c r="VRC78" s="528"/>
      <c r="VRD78" s="528"/>
      <c r="VRE78" s="528"/>
      <c r="VRF78" s="528"/>
      <c r="VRG78" s="528"/>
      <c r="VRH78" s="528"/>
      <c r="VRI78" s="528"/>
      <c r="VRJ78" s="528"/>
      <c r="VRK78" s="528"/>
      <c r="VRL78" s="528"/>
      <c r="VRM78" s="528"/>
      <c r="VRN78" s="528"/>
      <c r="VRO78" s="528"/>
      <c r="VRP78" s="528"/>
      <c r="VRQ78" s="528"/>
      <c r="VRR78" s="528"/>
      <c r="VRS78" s="528"/>
      <c r="VRT78" s="528"/>
      <c r="VRU78" s="528"/>
      <c r="VRV78" s="528"/>
      <c r="VRW78" s="528"/>
      <c r="VRX78" s="528"/>
      <c r="VRY78" s="528"/>
      <c r="VRZ78" s="528"/>
      <c r="VSA78" s="528"/>
      <c r="VSB78" s="528"/>
      <c r="VSC78" s="528"/>
      <c r="VSD78" s="528"/>
      <c r="VSE78" s="528"/>
      <c r="VSF78" s="528"/>
      <c r="VSG78" s="528"/>
      <c r="VSH78" s="528"/>
      <c r="VSI78" s="528"/>
      <c r="VSJ78" s="528"/>
      <c r="VSK78" s="528"/>
      <c r="VSL78" s="528"/>
      <c r="VSM78" s="528"/>
      <c r="VSN78" s="528"/>
      <c r="VSO78" s="528"/>
      <c r="VSP78" s="528"/>
      <c r="VSQ78" s="528"/>
      <c r="VSR78" s="528"/>
      <c r="VSS78" s="528"/>
      <c r="VST78" s="528"/>
      <c r="VSU78" s="528"/>
      <c r="VSV78" s="528"/>
      <c r="VSW78" s="528"/>
      <c r="VSX78" s="528"/>
      <c r="VSY78" s="528"/>
      <c r="VSZ78" s="528"/>
      <c r="VTA78" s="528"/>
      <c r="VTB78" s="528"/>
      <c r="VTC78" s="528"/>
      <c r="VTD78" s="528"/>
      <c r="VTE78" s="528"/>
      <c r="VTF78" s="528"/>
      <c r="VTG78" s="528"/>
      <c r="VTH78" s="528"/>
      <c r="VTI78" s="528"/>
      <c r="VTJ78" s="528"/>
      <c r="VTK78" s="528"/>
      <c r="VTL78" s="528"/>
      <c r="VTM78" s="528"/>
      <c r="VTN78" s="528"/>
      <c r="VTO78" s="528"/>
      <c r="VTP78" s="528"/>
      <c r="VTQ78" s="528"/>
      <c r="VTR78" s="528"/>
      <c r="VTS78" s="528"/>
      <c r="VTT78" s="528"/>
      <c r="VTU78" s="528"/>
      <c r="VTV78" s="528"/>
      <c r="VTW78" s="528"/>
      <c r="VTX78" s="528"/>
      <c r="VTY78" s="528"/>
      <c r="VTZ78" s="528"/>
      <c r="VUA78" s="528"/>
      <c r="VUB78" s="528"/>
      <c r="VUC78" s="528"/>
      <c r="VUD78" s="528"/>
      <c r="VUE78" s="528"/>
      <c r="VUF78" s="528"/>
      <c r="VUG78" s="528"/>
      <c r="VUH78" s="528"/>
      <c r="VUI78" s="528"/>
      <c r="VUJ78" s="528"/>
      <c r="VUK78" s="528"/>
      <c r="VUL78" s="528"/>
      <c r="VUM78" s="528"/>
      <c r="VUN78" s="528"/>
      <c r="VUO78" s="528"/>
      <c r="VUP78" s="528"/>
      <c r="VUQ78" s="528"/>
      <c r="VUR78" s="528"/>
      <c r="VUS78" s="528"/>
      <c r="VUT78" s="528"/>
      <c r="VUU78" s="528"/>
      <c r="VUV78" s="528"/>
      <c r="VUW78" s="528"/>
      <c r="VUX78" s="528"/>
      <c r="VUY78" s="528"/>
      <c r="VUZ78" s="528"/>
      <c r="VVA78" s="528"/>
      <c r="VVB78" s="528"/>
      <c r="VVC78" s="528"/>
      <c r="VVD78" s="528"/>
      <c r="VVE78" s="528"/>
      <c r="VVF78" s="528"/>
      <c r="VVG78" s="528"/>
      <c r="VVH78" s="528"/>
      <c r="VVI78" s="528"/>
      <c r="VVJ78" s="528"/>
      <c r="VVK78" s="528"/>
      <c r="VVL78" s="528"/>
      <c r="VVM78" s="528"/>
      <c r="VVN78" s="528"/>
      <c r="VVO78" s="528"/>
      <c r="VVP78" s="528"/>
      <c r="VVQ78" s="528"/>
      <c r="VVR78" s="528"/>
      <c r="VVS78" s="528"/>
      <c r="VVT78" s="528"/>
      <c r="VVU78" s="528"/>
      <c r="VVV78" s="528"/>
      <c r="VVW78" s="528"/>
      <c r="VVX78" s="528"/>
      <c r="VVY78" s="528"/>
      <c r="VVZ78" s="528"/>
      <c r="VWA78" s="528"/>
      <c r="VWB78" s="528"/>
      <c r="VWC78" s="528"/>
      <c r="VWD78" s="528"/>
      <c r="VWE78" s="528"/>
      <c r="VWF78" s="528"/>
      <c r="VWG78" s="528"/>
      <c r="VWH78" s="528"/>
      <c r="VWI78" s="528"/>
      <c r="VWJ78" s="528"/>
      <c r="VWK78" s="528"/>
      <c r="VWL78" s="528"/>
      <c r="VWM78" s="528"/>
      <c r="VWN78" s="528"/>
      <c r="VWO78" s="528"/>
      <c r="VWP78" s="528"/>
      <c r="VWQ78" s="528"/>
      <c r="VWR78" s="528"/>
      <c r="VWS78" s="528"/>
      <c r="VWT78" s="528"/>
      <c r="VWU78" s="528"/>
      <c r="VWV78" s="528"/>
      <c r="VWW78" s="528"/>
      <c r="VWX78" s="528"/>
      <c r="VWY78" s="528"/>
      <c r="VWZ78" s="528"/>
      <c r="VXA78" s="528"/>
      <c r="VXB78" s="528"/>
      <c r="VXC78" s="528"/>
      <c r="VXD78" s="528"/>
      <c r="VXE78" s="528"/>
      <c r="VXF78" s="528"/>
      <c r="VXG78" s="528"/>
      <c r="VXH78" s="528"/>
      <c r="VXI78" s="528"/>
      <c r="VXJ78" s="528"/>
      <c r="VXK78" s="528"/>
      <c r="VXL78" s="528"/>
      <c r="VXM78" s="528"/>
      <c r="VXN78" s="528"/>
      <c r="VXO78" s="528"/>
      <c r="VXP78" s="528"/>
      <c r="VXQ78" s="528"/>
      <c r="VXR78" s="528"/>
      <c r="VXS78" s="528"/>
      <c r="VXT78" s="528"/>
      <c r="VXU78" s="528"/>
      <c r="VXV78" s="528"/>
      <c r="VXW78" s="528"/>
      <c r="VXX78" s="528"/>
      <c r="VXY78" s="528"/>
      <c r="VXZ78" s="528"/>
      <c r="VYA78" s="528"/>
      <c r="VYB78" s="528"/>
      <c r="VYC78" s="528"/>
      <c r="VYD78" s="528"/>
      <c r="VYE78" s="528"/>
      <c r="VYF78" s="528"/>
      <c r="VYG78" s="528"/>
      <c r="VYH78" s="528"/>
      <c r="VYI78" s="528"/>
      <c r="VYJ78" s="528"/>
      <c r="VYK78" s="528"/>
      <c r="VYL78" s="528"/>
      <c r="VYM78" s="528"/>
      <c r="VYN78" s="528"/>
      <c r="VYO78" s="528"/>
      <c r="VYP78" s="528"/>
      <c r="VYQ78" s="528"/>
      <c r="VYR78" s="528"/>
      <c r="VYS78" s="528"/>
      <c r="VYT78" s="528"/>
      <c r="VYU78" s="528"/>
      <c r="VYV78" s="528"/>
      <c r="VYW78" s="528"/>
      <c r="VYX78" s="528"/>
      <c r="VYY78" s="528"/>
      <c r="VYZ78" s="528"/>
      <c r="VZA78" s="528"/>
      <c r="VZB78" s="528"/>
      <c r="VZC78" s="528"/>
      <c r="VZD78" s="528"/>
      <c r="VZE78" s="528"/>
      <c r="VZF78" s="528"/>
      <c r="VZG78" s="528"/>
      <c r="VZH78" s="528"/>
      <c r="VZI78" s="528"/>
      <c r="VZJ78" s="528"/>
      <c r="VZK78" s="528"/>
      <c r="VZL78" s="528"/>
      <c r="VZM78" s="528"/>
      <c r="VZN78" s="528"/>
      <c r="VZO78" s="528"/>
      <c r="VZP78" s="528"/>
      <c r="VZQ78" s="528"/>
      <c r="VZR78" s="528"/>
      <c r="VZS78" s="528"/>
      <c r="VZT78" s="528"/>
      <c r="VZU78" s="528"/>
      <c r="VZV78" s="528"/>
      <c r="VZW78" s="528"/>
      <c r="VZX78" s="528"/>
      <c r="VZY78" s="528"/>
      <c r="VZZ78" s="528"/>
      <c r="WAA78" s="528"/>
      <c r="WAB78" s="528"/>
      <c r="WAC78" s="528"/>
      <c r="WAD78" s="528"/>
      <c r="WAE78" s="528"/>
      <c r="WAF78" s="528"/>
      <c r="WAG78" s="528"/>
      <c r="WAH78" s="528"/>
      <c r="WAI78" s="528"/>
      <c r="WAJ78" s="528"/>
      <c r="WAK78" s="528"/>
      <c r="WAL78" s="528"/>
      <c r="WAM78" s="528"/>
      <c r="WAN78" s="528"/>
      <c r="WAO78" s="528"/>
      <c r="WAP78" s="528"/>
      <c r="WAQ78" s="528"/>
      <c r="WAR78" s="528"/>
      <c r="WAS78" s="528"/>
      <c r="WAT78" s="528"/>
      <c r="WAU78" s="528"/>
      <c r="WAV78" s="528"/>
      <c r="WAW78" s="528"/>
      <c r="WAX78" s="528"/>
      <c r="WAY78" s="528"/>
      <c r="WAZ78" s="528"/>
      <c r="WBA78" s="528"/>
      <c r="WBB78" s="528"/>
      <c r="WBC78" s="528"/>
      <c r="WBD78" s="528"/>
      <c r="WBE78" s="528"/>
      <c r="WBF78" s="528"/>
      <c r="WBG78" s="528"/>
      <c r="WBH78" s="528"/>
      <c r="WBI78" s="528"/>
      <c r="WBJ78" s="528"/>
      <c r="WBK78" s="528"/>
      <c r="WBL78" s="528"/>
      <c r="WBM78" s="528"/>
      <c r="WBN78" s="528"/>
      <c r="WBO78" s="528"/>
      <c r="WBP78" s="528"/>
      <c r="WBQ78" s="528"/>
      <c r="WBR78" s="528"/>
      <c r="WBS78" s="528"/>
      <c r="WBT78" s="528"/>
      <c r="WBU78" s="528"/>
      <c r="WBV78" s="528"/>
      <c r="WBW78" s="528"/>
      <c r="WBX78" s="528"/>
      <c r="WBY78" s="528"/>
      <c r="WBZ78" s="528"/>
      <c r="WCA78" s="528"/>
      <c r="WCB78" s="528"/>
      <c r="WCC78" s="528"/>
      <c r="WCD78" s="528"/>
      <c r="WCE78" s="528"/>
      <c r="WCF78" s="528"/>
      <c r="WCG78" s="528"/>
      <c r="WCH78" s="528"/>
      <c r="WCI78" s="528"/>
      <c r="WCJ78" s="528"/>
      <c r="WCK78" s="528"/>
      <c r="WCL78" s="528"/>
      <c r="WCM78" s="528"/>
      <c r="WCN78" s="528"/>
      <c r="WCO78" s="528"/>
      <c r="WCP78" s="528"/>
      <c r="WCQ78" s="528"/>
      <c r="WCR78" s="528"/>
      <c r="WCS78" s="528"/>
      <c r="WCT78" s="528"/>
      <c r="WCU78" s="528"/>
      <c r="WCV78" s="528"/>
      <c r="WCW78" s="528"/>
      <c r="WCX78" s="528"/>
      <c r="WCY78" s="528"/>
      <c r="WCZ78" s="528"/>
      <c r="WDA78" s="528"/>
      <c r="WDB78" s="528"/>
      <c r="WDC78" s="528"/>
      <c r="WDD78" s="528"/>
      <c r="WDE78" s="528"/>
      <c r="WDF78" s="528"/>
      <c r="WDG78" s="528"/>
      <c r="WDH78" s="528"/>
      <c r="WDI78" s="528"/>
      <c r="WDJ78" s="528"/>
      <c r="WDK78" s="528"/>
      <c r="WDL78" s="528"/>
      <c r="WDM78" s="528"/>
      <c r="WDN78" s="528"/>
      <c r="WDO78" s="528"/>
      <c r="WDP78" s="528"/>
      <c r="WDQ78" s="528"/>
      <c r="WDR78" s="528"/>
      <c r="WDS78" s="528"/>
      <c r="WDT78" s="528"/>
      <c r="WDU78" s="528"/>
      <c r="WDV78" s="528"/>
      <c r="WDW78" s="528"/>
      <c r="WDX78" s="528"/>
      <c r="WDY78" s="528"/>
      <c r="WDZ78" s="528"/>
      <c r="WEA78" s="528"/>
      <c r="WEB78" s="528"/>
      <c r="WEC78" s="528"/>
      <c r="WED78" s="528"/>
      <c r="WEE78" s="528"/>
      <c r="WEF78" s="528"/>
      <c r="WEG78" s="528"/>
      <c r="WEH78" s="528"/>
      <c r="WEI78" s="528"/>
      <c r="WEJ78" s="528"/>
      <c r="WEK78" s="528"/>
      <c r="WEL78" s="528"/>
      <c r="WEM78" s="528"/>
      <c r="WEN78" s="528"/>
      <c r="WEO78" s="528"/>
      <c r="WEP78" s="528"/>
      <c r="WEQ78" s="528"/>
      <c r="WER78" s="528"/>
      <c r="WES78" s="528"/>
      <c r="WET78" s="528"/>
      <c r="WEU78" s="528"/>
      <c r="WEV78" s="528"/>
      <c r="WEW78" s="528"/>
      <c r="WEX78" s="528"/>
      <c r="WEY78" s="528"/>
      <c r="WEZ78" s="528"/>
      <c r="WFA78" s="528"/>
      <c r="WFB78" s="528"/>
      <c r="WFC78" s="528"/>
      <c r="WFD78" s="528"/>
      <c r="WFE78" s="528"/>
      <c r="WFF78" s="528"/>
      <c r="WFG78" s="528"/>
      <c r="WFH78" s="528"/>
      <c r="WFI78" s="528"/>
      <c r="WFJ78" s="528"/>
      <c r="WFK78" s="528"/>
      <c r="WFL78" s="528"/>
      <c r="WFM78" s="528"/>
      <c r="WFN78" s="528"/>
      <c r="WFO78" s="528"/>
      <c r="WFP78" s="528"/>
      <c r="WFQ78" s="528"/>
      <c r="WFR78" s="528"/>
      <c r="WFS78" s="528"/>
      <c r="WFT78" s="528"/>
      <c r="WFU78" s="528"/>
      <c r="WFV78" s="528"/>
      <c r="WFW78" s="528"/>
      <c r="WFX78" s="528"/>
      <c r="WFY78" s="528"/>
      <c r="WFZ78" s="528"/>
      <c r="WGA78" s="528"/>
      <c r="WGB78" s="528"/>
      <c r="WGC78" s="528"/>
      <c r="WGD78" s="528"/>
      <c r="WGE78" s="528"/>
      <c r="WGF78" s="528"/>
      <c r="WGG78" s="528"/>
      <c r="WGH78" s="528"/>
      <c r="WGI78" s="528"/>
      <c r="WGJ78" s="528"/>
      <c r="WGK78" s="528"/>
      <c r="WGL78" s="528"/>
      <c r="WGM78" s="528"/>
      <c r="WGN78" s="528"/>
      <c r="WGO78" s="528"/>
      <c r="WGP78" s="528"/>
      <c r="WGQ78" s="528"/>
      <c r="WGR78" s="528"/>
      <c r="WGS78" s="528"/>
      <c r="WGT78" s="528"/>
      <c r="WGU78" s="528"/>
      <c r="WGV78" s="528"/>
      <c r="WGW78" s="528"/>
      <c r="WGX78" s="528"/>
      <c r="WGY78" s="528"/>
      <c r="WGZ78" s="528"/>
      <c r="WHA78" s="528"/>
      <c r="WHB78" s="528"/>
      <c r="WHC78" s="528"/>
      <c r="WHD78" s="528"/>
      <c r="WHE78" s="528"/>
      <c r="WHF78" s="528"/>
      <c r="WHG78" s="528"/>
      <c r="WHH78" s="528"/>
      <c r="WHI78" s="528"/>
      <c r="WHJ78" s="528"/>
      <c r="WHK78" s="528"/>
      <c r="WHL78" s="528"/>
      <c r="WHM78" s="528"/>
      <c r="WHN78" s="528"/>
      <c r="WHO78" s="528"/>
      <c r="WHP78" s="528"/>
      <c r="WHQ78" s="528"/>
      <c r="WHR78" s="528"/>
      <c r="WHS78" s="528"/>
      <c r="WHT78" s="528"/>
      <c r="WHU78" s="528"/>
      <c r="WHV78" s="528"/>
      <c r="WHW78" s="528"/>
      <c r="WHX78" s="528"/>
      <c r="WHY78" s="528"/>
      <c r="WHZ78" s="528"/>
      <c r="WIA78" s="528"/>
      <c r="WIB78" s="528"/>
      <c r="WIC78" s="528"/>
      <c r="WID78" s="528"/>
      <c r="WIE78" s="528"/>
      <c r="WIF78" s="528"/>
      <c r="WIG78" s="528"/>
      <c r="WIH78" s="528"/>
      <c r="WII78" s="528"/>
      <c r="WIJ78" s="528"/>
      <c r="WIK78" s="528"/>
      <c r="WIL78" s="528"/>
      <c r="WIM78" s="528"/>
      <c r="WIN78" s="528"/>
      <c r="WIO78" s="528"/>
      <c r="WIP78" s="528"/>
      <c r="WIQ78" s="528"/>
      <c r="WIR78" s="528"/>
      <c r="WIS78" s="528"/>
      <c r="WIT78" s="528"/>
      <c r="WIU78" s="528"/>
      <c r="WIV78" s="528"/>
      <c r="WIW78" s="528"/>
      <c r="WIX78" s="528"/>
      <c r="WIY78" s="528"/>
      <c r="WIZ78" s="528"/>
      <c r="WJA78" s="528"/>
      <c r="WJB78" s="528"/>
      <c r="WJC78" s="528"/>
      <c r="WJD78" s="528"/>
      <c r="WJE78" s="528"/>
      <c r="WJF78" s="528"/>
      <c r="WJG78" s="528"/>
      <c r="WJH78" s="528"/>
      <c r="WJI78" s="528"/>
      <c r="WJJ78" s="528"/>
      <c r="WJK78" s="528"/>
      <c r="WJL78" s="528"/>
      <c r="WJM78" s="528"/>
      <c r="WJN78" s="528"/>
      <c r="WJO78" s="528"/>
      <c r="WJP78" s="528"/>
      <c r="WJQ78" s="528"/>
      <c r="WJR78" s="528"/>
      <c r="WJS78" s="528"/>
      <c r="WJT78" s="528"/>
      <c r="WJU78" s="528"/>
      <c r="WJV78" s="528"/>
      <c r="WJW78" s="528"/>
      <c r="WJX78" s="528"/>
      <c r="WJY78" s="528"/>
      <c r="WJZ78" s="528"/>
      <c r="WKA78" s="528"/>
      <c r="WKB78" s="528"/>
      <c r="WKC78" s="528"/>
      <c r="WKD78" s="528"/>
      <c r="WKE78" s="528"/>
      <c r="WKF78" s="528"/>
      <c r="WKG78" s="528"/>
      <c r="WKH78" s="528"/>
      <c r="WKI78" s="528"/>
      <c r="WKJ78" s="528"/>
      <c r="WKK78" s="528"/>
      <c r="WKL78" s="528"/>
      <c r="WKM78" s="528"/>
      <c r="WKN78" s="528"/>
      <c r="WKO78" s="528"/>
      <c r="WKP78" s="528"/>
      <c r="WKQ78" s="528"/>
      <c r="WKR78" s="528"/>
      <c r="WKS78" s="528"/>
      <c r="WKT78" s="528"/>
      <c r="WKU78" s="528"/>
      <c r="WKV78" s="528"/>
      <c r="WKW78" s="528"/>
      <c r="WKX78" s="528"/>
      <c r="WKY78" s="528"/>
      <c r="WKZ78" s="528"/>
      <c r="WLA78" s="528"/>
      <c r="WLB78" s="528"/>
      <c r="WLC78" s="528"/>
      <c r="WLD78" s="528"/>
      <c r="WLE78" s="528"/>
      <c r="WLF78" s="528"/>
      <c r="WLG78" s="528"/>
      <c r="WLH78" s="528"/>
      <c r="WLI78" s="528"/>
      <c r="WLJ78" s="528"/>
      <c r="WLK78" s="528"/>
      <c r="WLL78" s="528"/>
      <c r="WLM78" s="528"/>
      <c r="WLN78" s="528"/>
      <c r="WLO78" s="528"/>
      <c r="WLP78" s="528"/>
      <c r="WLQ78" s="528"/>
      <c r="WLR78" s="528"/>
      <c r="WLS78" s="528"/>
      <c r="WLT78" s="528"/>
      <c r="WLU78" s="528"/>
      <c r="WLV78" s="528"/>
      <c r="WLW78" s="528"/>
      <c r="WLX78" s="528"/>
      <c r="WLY78" s="528"/>
      <c r="WLZ78" s="528"/>
      <c r="WMA78" s="528"/>
      <c r="WMB78" s="528"/>
      <c r="WMC78" s="528"/>
      <c r="WMD78" s="528"/>
      <c r="WME78" s="528"/>
      <c r="WMF78" s="528"/>
      <c r="WMG78" s="528"/>
      <c r="WMH78" s="528"/>
      <c r="WMI78" s="528"/>
      <c r="WMJ78" s="528"/>
      <c r="WMK78" s="528"/>
      <c r="WML78" s="528"/>
      <c r="WMM78" s="528"/>
      <c r="WMN78" s="528"/>
      <c r="WMO78" s="528"/>
      <c r="WMP78" s="528"/>
      <c r="WMQ78" s="528"/>
      <c r="WMR78" s="528"/>
      <c r="WMS78" s="528"/>
      <c r="WMT78" s="528"/>
      <c r="WMU78" s="528"/>
      <c r="WMV78" s="528"/>
      <c r="WMW78" s="528"/>
      <c r="WMX78" s="528"/>
      <c r="WMY78" s="528"/>
      <c r="WMZ78" s="528"/>
      <c r="WNA78" s="528"/>
      <c r="WNB78" s="528"/>
      <c r="WNC78" s="528"/>
      <c r="WND78" s="528"/>
      <c r="WNE78" s="528"/>
      <c r="WNF78" s="528"/>
      <c r="WNG78" s="528"/>
      <c r="WNH78" s="528"/>
      <c r="WNI78" s="528"/>
      <c r="WNJ78" s="528"/>
      <c r="WNK78" s="528"/>
      <c r="WNL78" s="528"/>
      <c r="WNM78" s="528"/>
      <c r="WNN78" s="528"/>
      <c r="WNO78" s="528"/>
      <c r="WNP78" s="528"/>
      <c r="WNQ78" s="528"/>
      <c r="WNR78" s="528"/>
      <c r="WNS78" s="528"/>
      <c r="WNT78" s="528"/>
      <c r="WNU78" s="528"/>
      <c r="WNV78" s="528"/>
      <c r="WNW78" s="528"/>
      <c r="WNX78" s="528"/>
      <c r="WNY78" s="528"/>
      <c r="WNZ78" s="528"/>
      <c r="WOA78" s="528"/>
      <c r="WOB78" s="528"/>
      <c r="WOC78" s="528"/>
      <c r="WOD78" s="528"/>
      <c r="WOE78" s="528"/>
      <c r="WOF78" s="528"/>
      <c r="WOG78" s="528"/>
      <c r="WOH78" s="528"/>
      <c r="WOI78" s="528"/>
      <c r="WOJ78" s="528"/>
      <c r="WOK78" s="528"/>
      <c r="WOL78" s="528"/>
      <c r="WOM78" s="528"/>
      <c r="WON78" s="528"/>
      <c r="WOO78" s="528"/>
      <c r="WOP78" s="528"/>
      <c r="WOQ78" s="528"/>
      <c r="WOR78" s="528"/>
      <c r="WOS78" s="528"/>
      <c r="WOT78" s="528"/>
      <c r="WOU78" s="528"/>
      <c r="WOV78" s="528"/>
      <c r="WOW78" s="528"/>
      <c r="WOX78" s="528"/>
      <c r="WOY78" s="528"/>
      <c r="WOZ78" s="528"/>
      <c r="WPA78" s="528"/>
      <c r="WPB78" s="528"/>
      <c r="WPC78" s="528"/>
      <c r="WPD78" s="528"/>
      <c r="WPE78" s="528"/>
      <c r="WPF78" s="528"/>
      <c r="WPG78" s="528"/>
      <c r="WPH78" s="528"/>
      <c r="WPI78" s="528"/>
      <c r="WPJ78" s="528"/>
      <c r="WPK78" s="528"/>
      <c r="WPL78" s="528"/>
      <c r="WPM78" s="528"/>
      <c r="WPN78" s="528"/>
      <c r="WPO78" s="528"/>
      <c r="WPP78" s="528"/>
      <c r="WPQ78" s="528"/>
      <c r="WPR78" s="528"/>
      <c r="WPS78" s="528"/>
      <c r="WPT78" s="528"/>
      <c r="WPU78" s="528"/>
      <c r="WPV78" s="528"/>
      <c r="WPW78" s="528"/>
      <c r="WPX78" s="528"/>
      <c r="WPY78" s="528"/>
      <c r="WPZ78" s="528"/>
      <c r="WQA78" s="528"/>
      <c r="WQB78" s="528"/>
      <c r="WQC78" s="528"/>
      <c r="WQD78" s="528"/>
      <c r="WQE78" s="528"/>
      <c r="WQF78" s="528"/>
      <c r="WQG78" s="528"/>
      <c r="WQH78" s="528"/>
      <c r="WQI78" s="528"/>
      <c r="WQJ78" s="528"/>
      <c r="WQK78" s="528"/>
      <c r="WQL78" s="528"/>
      <c r="WQM78" s="528"/>
      <c r="WQN78" s="528"/>
      <c r="WQO78" s="528"/>
      <c r="WQP78" s="528"/>
      <c r="WQQ78" s="528"/>
      <c r="WQR78" s="528"/>
      <c r="WQS78" s="528"/>
      <c r="WQT78" s="528"/>
      <c r="WQU78" s="528"/>
      <c r="WQV78" s="528"/>
      <c r="WQW78" s="528"/>
      <c r="WQX78" s="528"/>
      <c r="WQY78" s="528"/>
      <c r="WQZ78" s="528"/>
      <c r="WRA78" s="528"/>
      <c r="WRB78" s="528"/>
      <c r="WRC78" s="528"/>
      <c r="WRD78" s="528"/>
      <c r="WRE78" s="528"/>
      <c r="WRF78" s="528"/>
      <c r="WRG78" s="528"/>
      <c r="WRH78" s="528"/>
      <c r="WRI78" s="528"/>
      <c r="WRJ78" s="528"/>
      <c r="WRK78" s="528"/>
      <c r="WRL78" s="528"/>
      <c r="WRM78" s="528"/>
      <c r="WRN78" s="528"/>
      <c r="WRO78" s="528"/>
      <c r="WRP78" s="528"/>
      <c r="WRQ78" s="528"/>
      <c r="WRR78" s="528"/>
      <c r="WRS78" s="528"/>
      <c r="WRT78" s="528"/>
      <c r="WRU78" s="528"/>
      <c r="WRV78" s="528"/>
      <c r="WRW78" s="528"/>
      <c r="WRX78" s="528"/>
      <c r="WRY78" s="528"/>
      <c r="WRZ78" s="528"/>
      <c r="WSA78" s="528"/>
      <c r="WSB78" s="528"/>
      <c r="WSC78" s="528"/>
      <c r="WSD78" s="528"/>
      <c r="WSE78" s="528"/>
      <c r="WSF78" s="528"/>
      <c r="WSG78" s="528"/>
      <c r="WSH78" s="528"/>
      <c r="WSI78" s="528"/>
      <c r="WSJ78" s="528"/>
      <c r="WSK78" s="528"/>
      <c r="WSL78" s="528"/>
      <c r="WSM78" s="528"/>
      <c r="WSN78" s="528"/>
      <c r="WSO78" s="528"/>
      <c r="WSP78" s="528"/>
      <c r="WSQ78" s="528"/>
      <c r="WSR78" s="528"/>
      <c r="WSS78" s="528"/>
      <c r="WST78" s="528"/>
      <c r="WSU78" s="528"/>
      <c r="WSV78" s="528"/>
      <c r="WSW78" s="528"/>
      <c r="WSX78" s="528"/>
      <c r="WSY78" s="528"/>
      <c r="WSZ78" s="528"/>
      <c r="WTA78" s="528"/>
      <c r="WTB78" s="528"/>
      <c r="WTC78" s="528"/>
      <c r="WTD78" s="528"/>
      <c r="WTE78" s="528"/>
      <c r="WTF78" s="528"/>
      <c r="WTG78" s="528"/>
      <c r="WTH78" s="528"/>
      <c r="WTI78" s="528"/>
      <c r="WTJ78" s="528"/>
      <c r="WTK78" s="528"/>
      <c r="WTL78" s="528"/>
      <c r="WTM78" s="528"/>
      <c r="WTN78" s="528"/>
      <c r="WTO78" s="528"/>
      <c r="WTP78" s="528"/>
      <c r="WTQ78" s="528"/>
      <c r="WTR78" s="528"/>
      <c r="WTS78" s="528"/>
      <c r="WTT78" s="528"/>
      <c r="WTU78" s="528"/>
      <c r="WTV78" s="528"/>
      <c r="WTW78" s="528"/>
      <c r="WTX78" s="528"/>
      <c r="WTY78" s="528"/>
      <c r="WTZ78" s="528"/>
      <c r="WUA78" s="528"/>
      <c r="WUB78" s="528"/>
      <c r="WUC78" s="528"/>
      <c r="WUD78" s="528"/>
      <c r="WUE78" s="528"/>
      <c r="WUF78" s="528"/>
      <c r="WUG78" s="528"/>
      <c r="WUH78" s="528"/>
      <c r="WUI78" s="528"/>
      <c r="WUJ78" s="528"/>
      <c r="WUK78" s="528"/>
      <c r="WUL78" s="528"/>
      <c r="WUM78" s="528"/>
      <c r="WUN78" s="528"/>
      <c r="WUO78" s="528"/>
      <c r="WUP78" s="528"/>
      <c r="WUQ78" s="528"/>
      <c r="WUR78" s="528"/>
      <c r="WUS78" s="528"/>
      <c r="WUT78" s="528"/>
      <c r="WUU78" s="528"/>
      <c r="WUV78" s="528"/>
      <c r="WUW78" s="528"/>
      <c r="WUX78" s="528"/>
      <c r="WUY78" s="528"/>
      <c r="WUZ78" s="528"/>
      <c r="WVA78" s="528"/>
      <c r="WVB78" s="528"/>
      <c r="WVC78" s="528"/>
      <c r="WVD78" s="528"/>
      <c r="WVE78" s="528"/>
      <c r="WVF78" s="528"/>
      <c r="WVG78" s="528"/>
      <c r="WVH78" s="528"/>
      <c r="WVI78" s="528"/>
      <c r="WVJ78" s="528"/>
      <c r="WVK78" s="528"/>
      <c r="WVL78" s="528"/>
      <c r="WVM78" s="528"/>
      <c r="WVN78" s="528"/>
      <c r="WVO78" s="528"/>
      <c r="WVP78" s="528"/>
      <c r="WVQ78" s="528"/>
      <c r="WVR78" s="528"/>
      <c r="WVS78" s="528"/>
      <c r="WVT78" s="528"/>
      <c r="WVU78" s="528"/>
      <c r="WVV78" s="528"/>
      <c r="WVW78" s="528"/>
      <c r="WVX78" s="528"/>
      <c r="WVY78" s="528"/>
      <c r="WVZ78" s="528"/>
      <c r="WWA78" s="528"/>
      <c r="WWB78" s="528"/>
      <c r="WWC78" s="528"/>
      <c r="WWD78" s="528"/>
      <c r="WWE78" s="528"/>
      <c r="WWF78" s="528"/>
      <c r="WWG78" s="528"/>
      <c r="WWH78" s="528"/>
      <c r="WWI78" s="528"/>
      <c r="WWJ78" s="528"/>
      <c r="WWK78" s="528"/>
      <c r="WWL78" s="528"/>
      <c r="WWM78" s="528"/>
      <c r="WWN78" s="528"/>
      <c r="WWO78" s="528"/>
      <c r="WWP78" s="528"/>
      <c r="WWQ78" s="528"/>
      <c r="WWR78" s="528"/>
      <c r="WWS78" s="528"/>
      <c r="WWT78" s="528"/>
      <c r="WWU78" s="528"/>
      <c r="WWV78" s="528"/>
      <c r="WWW78" s="528"/>
      <c r="WWX78" s="528"/>
      <c r="WWY78" s="528"/>
      <c r="WWZ78" s="528"/>
      <c r="WXA78" s="528"/>
      <c r="WXB78" s="528"/>
      <c r="WXC78" s="528"/>
      <c r="WXD78" s="528"/>
      <c r="WXE78" s="528"/>
      <c r="WXF78" s="528"/>
      <c r="WXG78" s="528"/>
      <c r="WXH78" s="528"/>
      <c r="WXI78" s="528"/>
      <c r="WXJ78" s="528"/>
      <c r="WXK78" s="528"/>
      <c r="WXL78" s="528"/>
      <c r="WXM78" s="528"/>
      <c r="WXN78" s="528"/>
      <c r="WXO78" s="528"/>
      <c r="WXP78" s="528"/>
      <c r="WXQ78" s="528"/>
      <c r="WXR78" s="528"/>
      <c r="WXS78" s="528"/>
      <c r="WXT78" s="528"/>
      <c r="WXU78" s="528"/>
      <c r="WXV78" s="528"/>
      <c r="WXW78" s="528"/>
      <c r="WXX78" s="528"/>
      <c r="WXY78" s="528"/>
      <c r="WXZ78" s="528"/>
      <c r="WYA78" s="528"/>
      <c r="WYB78" s="528"/>
      <c r="WYC78" s="528"/>
      <c r="WYD78" s="528"/>
      <c r="WYE78" s="528"/>
      <c r="WYF78" s="528"/>
      <c r="WYG78" s="528"/>
      <c r="WYH78" s="528"/>
      <c r="WYI78" s="528"/>
      <c r="WYJ78" s="528"/>
      <c r="WYK78" s="528"/>
      <c r="WYL78" s="528"/>
      <c r="WYM78" s="528"/>
      <c r="WYN78" s="528"/>
      <c r="WYO78" s="528"/>
      <c r="WYP78" s="528"/>
      <c r="WYQ78" s="528"/>
      <c r="WYR78" s="528"/>
      <c r="WYS78" s="528"/>
      <c r="WYT78" s="528"/>
      <c r="WYU78" s="528"/>
      <c r="WYV78" s="528"/>
      <c r="WYW78" s="528"/>
      <c r="WYX78" s="528"/>
      <c r="WYY78" s="528"/>
      <c r="WYZ78" s="528"/>
      <c r="WZA78" s="528"/>
      <c r="WZB78" s="528"/>
      <c r="WZC78" s="528"/>
      <c r="WZD78" s="528"/>
      <c r="WZE78" s="528"/>
      <c r="WZF78" s="528"/>
      <c r="WZG78" s="528"/>
      <c r="WZH78" s="528"/>
      <c r="WZI78" s="528"/>
      <c r="WZJ78" s="528"/>
      <c r="WZK78" s="528"/>
      <c r="WZL78" s="528"/>
      <c r="WZM78" s="528"/>
      <c r="WZN78" s="528"/>
      <c r="WZO78" s="528"/>
      <c r="WZP78" s="528"/>
      <c r="WZQ78" s="528"/>
      <c r="WZR78" s="528"/>
      <c r="WZS78" s="528"/>
      <c r="WZT78" s="528"/>
      <c r="WZU78" s="528"/>
      <c r="WZV78" s="528"/>
      <c r="WZW78" s="528"/>
      <c r="WZX78" s="528"/>
      <c r="WZY78" s="528"/>
      <c r="WZZ78" s="528"/>
      <c r="XAA78" s="528"/>
      <c r="XAB78" s="528"/>
      <c r="XAC78" s="528"/>
      <c r="XAD78" s="528"/>
      <c r="XAE78" s="528"/>
      <c r="XAF78" s="528"/>
      <c r="XAG78" s="528"/>
      <c r="XAH78" s="528"/>
      <c r="XAI78" s="528"/>
      <c r="XAJ78" s="528"/>
      <c r="XAK78" s="528"/>
      <c r="XAL78" s="528"/>
      <c r="XAM78" s="528"/>
      <c r="XAN78" s="528"/>
      <c r="XAO78" s="528"/>
      <c r="XAP78" s="528"/>
      <c r="XAQ78" s="528"/>
      <c r="XAR78" s="528"/>
      <c r="XAS78" s="528"/>
      <c r="XAT78" s="528"/>
      <c r="XAU78" s="528"/>
      <c r="XAV78" s="528"/>
      <c r="XAW78" s="528"/>
      <c r="XAX78" s="528"/>
      <c r="XAY78" s="528"/>
      <c r="XAZ78" s="528"/>
      <c r="XBA78" s="528"/>
      <c r="XBB78" s="528"/>
      <c r="XBC78" s="528"/>
      <c r="XBD78" s="528"/>
      <c r="XBE78" s="528"/>
      <c r="XBF78" s="528"/>
      <c r="XBG78" s="528"/>
      <c r="XBH78" s="528"/>
      <c r="XBI78" s="528"/>
      <c r="XBJ78" s="528"/>
      <c r="XBK78" s="528"/>
      <c r="XBL78" s="528"/>
      <c r="XBM78" s="528"/>
      <c r="XBN78" s="528"/>
      <c r="XBO78" s="528"/>
      <c r="XBP78" s="528"/>
      <c r="XBQ78" s="528"/>
      <c r="XBR78" s="528"/>
      <c r="XBS78" s="528"/>
      <c r="XBT78" s="528"/>
      <c r="XBU78" s="528"/>
      <c r="XBV78" s="528"/>
      <c r="XBW78" s="528"/>
      <c r="XBX78" s="528"/>
      <c r="XBY78" s="528"/>
      <c r="XBZ78" s="528"/>
      <c r="XCA78" s="528"/>
      <c r="XCB78" s="528"/>
      <c r="XCC78" s="528"/>
      <c r="XCD78" s="528"/>
      <c r="XCE78" s="528"/>
      <c r="XCF78" s="528"/>
      <c r="XCG78" s="528"/>
      <c r="XCH78" s="528"/>
      <c r="XCI78" s="528"/>
      <c r="XCJ78" s="528"/>
      <c r="XCK78" s="528"/>
      <c r="XCL78" s="528"/>
      <c r="XCM78" s="528"/>
      <c r="XCN78" s="528"/>
      <c r="XCO78" s="528"/>
      <c r="XCP78" s="528"/>
      <c r="XCQ78" s="528"/>
      <c r="XCR78" s="528"/>
      <c r="XCS78" s="528"/>
      <c r="XCT78" s="528"/>
      <c r="XCU78" s="528"/>
      <c r="XCV78" s="528"/>
      <c r="XCW78" s="528"/>
      <c r="XCX78" s="528"/>
      <c r="XCY78" s="528"/>
      <c r="XCZ78" s="528"/>
      <c r="XDA78" s="528"/>
      <c r="XDB78" s="528"/>
      <c r="XDC78" s="528"/>
      <c r="XDD78" s="528"/>
      <c r="XDE78" s="528"/>
      <c r="XDF78" s="528"/>
      <c r="XDG78" s="528"/>
      <c r="XDH78" s="528"/>
      <c r="XDI78" s="528"/>
      <c r="XDJ78" s="528"/>
      <c r="XDK78" s="528"/>
      <c r="XDL78" s="528"/>
      <c r="XDM78" s="528"/>
      <c r="XDN78" s="528"/>
      <c r="XDO78" s="528"/>
      <c r="XDP78" s="528"/>
      <c r="XDQ78" s="528"/>
      <c r="XDR78" s="528"/>
      <c r="XDS78" s="528"/>
      <c r="XDT78" s="528"/>
      <c r="XDU78" s="528"/>
      <c r="XDV78" s="528"/>
      <c r="XDW78" s="528"/>
      <c r="XDX78" s="528"/>
      <c r="XDY78" s="528"/>
      <c r="XDZ78" s="528"/>
      <c r="XEA78" s="528"/>
      <c r="XEB78" s="528"/>
      <c r="XEC78" s="528"/>
      <c r="XED78" s="528"/>
      <c r="XEE78" s="528"/>
      <c r="XEF78" s="528"/>
      <c r="XEG78" s="528"/>
      <c r="XEH78" s="528"/>
      <c r="XEI78" s="528"/>
      <c r="XEJ78" s="528"/>
      <c r="XEK78" s="528"/>
      <c r="XEL78" s="528"/>
      <c r="XEM78" s="528"/>
      <c r="XEN78" s="528"/>
    </row>
    <row r="79" spans="1:16368" s="192" customFormat="1">
      <c r="A79" s="46"/>
      <c r="B79" s="229"/>
      <c r="C79" s="314"/>
      <c r="D79" s="83"/>
      <c r="E79" s="48"/>
      <c r="F79" s="112"/>
      <c r="G79" s="109"/>
      <c r="H79" s="109"/>
      <c r="I79" s="109"/>
      <c r="J79" s="90"/>
      <c r="K79" s="61"/>
      <c r="L79" s="90"/>
      <c r="M79" s="90"/>
      <c r="N79" s="400"/>
      <c r="O79" s="323">
        <f>1</f>
        <v>1</v>
      </c>
      <c r="P79" s="186"/>
      <c r="R79" s="194"/>
      <c r="S79" s="193"/>
      <c r="V79" s="322"/>
      <c r="W79" s="322" t="str">
        <f t="shared" si="10"/>
        <v/>
      </c>
      <c r="X79" s="186" t="str">
        <f t="shared" si="9"/>
        <v/>
      </c>
    </row>
    <row r="80" spans="1:16368" s="192" customFormat="1" ht="204">
      <c r="A80" s="46" t="e">
        <f>#REF!+1</f>
        <v>#REF!</v>
      </c>
      <c r="B80" s="231" t="s">
        <v>278</v>
      </c>
      <c r="C80" s="191" t="s">
        <v>278</v>
      </c>
      <c r="D80" s="211" t="s">
        <v>279</v>
      </c>
      <c r="E80" s="197">
        <f>LEN(D80)</f>
        <v>297</v>
      </c>
      <c r="F80" s="206" t="s">
        <v>30</v>
      </c>
      <c r="G80" s="197" t="s">
        <v>23</v>
      </c>
      <c r="H80" s="197" t="s">
        <v>23</v>
      </c>
      <c r="I80" s="197" t="s">
        <v>31</v>
      </c>
      <c r="J80" s="221" t="s">
        <v>280</v>
      </c>
      <c r="K80" s="266" t="s">
        <v>23</v>
      </c>
      <c r="L80" s="221" t="s">
        <v>281</v>
      </c>
      <c r="M80" s="61"/>
      <c r="N80" s="10"/>
      <c r="O80" s="318">
        <f>1</f>
        <v>1</v>
      </c>
      <c r="P80" s="186"/>
      <c r="R80" s="472" t="s">
        <v>57</v>
      </c>
      <c r="S80" s="193"/>
      <c r="V80" s="321">
        <v>17.261402130126953</v>
      </c>
      <c r="W80" s="321">
        <f t="shared" si="10"/>
        <v>17.261402130126953</v>
      </c>
      <c r="X80" s="186">
        <f t="shared" si="9"/>
        <v>17.261402130126953</v>
      </c>
    </row>
    <row r="81" spans="1:16368" s="192" customFormat="1">
      <c r="A81" s="46"/>
      <c r="B81" s="229"/>
      <c r="C81" s="103"/>
      <c r="D81" s="227"/>
      <c r="E81" s="48"/>
      <c r="F81" s="104"/>
      <c r="G81" s="48"/>
      <c r="H81" s="48"/>
      <c r="I81" s="48"/>
      <c r="J81" s="94"/>
      <c r="K81" s="61"/>
      <c r="L81" s="94"/>
      <c r="M81" s="94"/>
      <c r="N81" s="10"/>
      <c r="O81" s="323">
        <f>1</f>
        <v>1</v>
      </c>
      <c r="P81" s="186"/>
      <c r="R81" s="194"/>
      <c r="S81" s="193"/>
      <c r="V81" s="322"/>
      <c r="W81" s="322" t="str">
        <f t="shared" si="10"/>
        <v/>
      </c>
      <c r="X81" s="186" t="str">
        <f t="shared" si="9"/>
        <v/>
      </c>
    </row>
    <row r="82" spans="1:16368" s="192" customFormat="1" ht="409.6">
      <c r="A82" s="46" t="e">
        <f>A80+1</f>
        <v>#REF!</v>
      </c>
      <c r="B82" s="231" t="s">
        <v>282</v>
      </c>
      <c r="C82" s="191" t="s">
        <v>282</v>
      </c>
      <c r="D82" s="211" t="s">
        <v>283</v>
      </c>
      <c r="E82" s="197">
        <f>LEN(D82)</f>
        <v>1243</v>
      </c>
      <c r="F82" s="206" t="s">
        <v>30</v>
      </c>
      <c r="G82" s="197" t="s">
        <v>23</v>
      </c>
      <c r="H82" s="197" t="s">
        <v>23</v>
      </c>
      <c r="I82" s="197" t="s">
        <v>284</v>
      </c>
      <c r="J82" s="188" t="s">
        <v>285</v>
      </c>
      <c r="K82" s="266" t="s">
        <v>23</v>
      </c>
      <c r="L82" s="195" t="s">
        <v>286</v>
      </c>
      <c r="M82" s="53"/>
      <c r="N82" s="10"/>
      <c r="O82" s="318">
        <f>1</f>
        <v>1</v>
      </c>
      <c r="P82" s="186"/>
      <c r="R82" s="472" t="s">
        <v>57</v>
      </c>
      <c r="S82" s="193"/>
      <c r="V82" s="321">
        <v>14.47539234161377</v>
      </c>
      <c r="W82" s="321">
        <f t="shared" si="10"/>
        <v>14.47539234161377</v>
      </c>
      <c r="X82" s="186">
        <f t="shared" si="9"/>
        <v>14.47539234161377</v>
      </c>
    </row>
    <row r="83" spans="1:16368" s="279" customFormat="1" ht="182" customHeight="1">
      <c r="A83" s="385"/>
      <c r="B83" s="281" t="s">
        <v>287</v>
      </c>
      <c r="C83" s="292" t="s">
        <v>288</v>
      </c>
      <c r="D83" s="196" t="s">
        <v>218</v>
      </c>
      <c r="E83" s="189">
        <f>LEN(D83)</f>
        <v>134</v>
      </c>
      <c r="F83" s="191" t="s">
        <v>30</v>
      </c>
      <c r="G83" s="189" t="s">
        <v>23</v>
      </c>
      <c r="H83" s="189" t="s">
        <v>23</v>
      </c>
      <c r="I83" s="189" t="s">
        <v>31</v>
      </c>
      <c r="J83" s="188" t="s">
        <v>289</v>
      </c>
      <c r="K83" s="266" t="s">
        <v>23</v>
      </c>
      <c r="L83" s="195" t="s">
        <v>290</v>
      </c>
      <c r="M83" s="53"/>
      <c r="N83" s="52"/>
      <c r="O83" s="439">
        <f>1</f>
        <v>1</v>
      </c>
      <c r="P83" s="187"/>
      <c r="R83" s="476" t="s">
        <v>57</v>
      </c>
      <c r="S83" s="273"/>
      <c r="V83" s="325">
        <v>8</v>
      </c>
      <c r="W83" s="325">
        <f t="shared" si="10"/>
        <v>8</v>
      </c>
      <c r="X83" s="187">
        <f>IF(R83="yes",W83,"")</f>
        <v>8</v>
      </c>
    </row>
    <row r="84" spans="1:16368" s="279" customFormat="1" ht="182" customHeight="1">
      <c r="A84" s="385"/>
      <c r="B84" s="281" t="s">
        <v>291</v>
      </c>
      <c r="C84" s="292" t="s">
        <v>292</v>
      </c>
      <c r="D84" s="196" t="s">
        <v>223</v>
      </c>
      <c r="E84" s="189">
        <f>LEN(D84)</f>
        <v>160</v>
      </c>
      <c r="F84" s="191" t="s">
        <v>30</v>
      </c>
      <c r="G84" s="189" t="s">
        <v>23</v>
      </c>
      <c r="H84" s="189" t="s">
        <v>23</v>
      </c>
      <c r="I84" s="189" t="s">
        <v>31</v>
      </c>
      <c r="J84" s="188" t="s">
        <v>289</v>
      </c>
      <c r="K84" s="266" t="s">
        <v>23</v>
      </c>
      <c r="L84" s="195" t="s">
        <v>293</v>
      </c>
      <c r="M84" s="53"/>
      <c r="N84" s="52"/>
      <c r="O84" s="439">
        <f>1</f>
        <v>1</v>
      </c>
      <c r="P84" s="187"/>
      <c r="R84" s="476" t="s">
        <v>57</v>
      </c>
      <c r="S84" s="273"/>
      <c r="V84" s="325">
        <v>8</v>
      </c>
      <c r="W84" s="325">
        <f t="shared" si="10"/>
        <v>8</v>
      </c>
      <c r="X84" s="187">
        <f>IF(R84="yes",W84,"")</f>
        <v>8</v>
      </c>
    </row>
    <row r="85" spans="1:16368" s="192" customFormat="1" ht="182" customHeight="1">
      <c r="A85" s="385"/>
      <c r="B85" s="281" t="s">
        <v>294</v>
      </c>
      <c r="C85" s="292" t="s">
        <v>295</v>
      </c>
      <c r="D85" s="196" t="s">
        <v>227</v>
      </c>
      <c r="E85" s="189">
        <f>LEN(D85)</f>
        <v>163</v>
      </c>
      <c r="F85" s="191" t="s">
        <v>30</v>
      </c>
      <c r="G85" s="189" t="s">
        <v>23</v>
      </c>
      <c r="H85" s="189" t="s">
        <v>23</v>
      </c>
      <c r="I85" s="189" t="s">
        <v>31</v>
      </c>
      <c r="J85" s="188" t="s">
        <v>289</v>
      </c>
      <c r="K85" s="266" t="s">
        <v>23</v>
      </c>
      <c r="L85" s="195" t="s">
        <v>296</v>
      </c>
      <c r="M85" s="53"/>
      <c r="N85" s="52"/>
      <c r="O85" s="318">
        <f>1</f>
        <v>1</v>
      </c>
      <c r="P85" s="186"/>
      <c r="R85" s="472" t="s">
        <v>57</v>
      </c>
      <c r="S85" s="193"/>
      <c r="V85" s="321">
        <v>8</v>
      </c>
      <c r="W85" s="321">
        <f t="shared" si="10"/>
        <v>8</v>
      </c>
      <c r="X85" s="186">
        <f>IF(R85="yes",W85,"")</f>
        <v>8</v>
      </c>
    </row>
    <row r="86" spans="1:16368" s="192" customFormat="1">
      <c r="A86" s="102"/>
      <c r="B86" s="309"/>
      <c r="C86" s="314"/>
      <c r="D86" s="315"/>
      <c r="E86" s="109"/>
      <c r="F86" s="103"/>
      <c r="G86" s="109"/>
      <c r="H86" s="109"/>
      <c r="I86" s="109"/>
      <c r="J86" s="90"/>
      <c r="K86" s="61"/>
      <c r="L86" s="220"/>
      <c r="M86" s="220"/>
      <c r="N86" s="52"/>
      <c r="O86" s="323">
        <f>1</f>
        <v>1</v>
      </c>
      <c r="P86" s="186"/>
      <c r="R86" s="194"/>
      <c r="S86" s="193"/>
      <c r="V86" s="322"/>
      <c r="W86" s="322" t="str">
        <f t="shared" si="10"/>
        <v/>
      </c>
      <c r="X86" s="186" t="str">
        <f t="shared" si="9"/>
        <v/>
      </c>
    </row>
    <row r="87" spans="1:16368" s="192" customFormat="1" ht="136">
      <c r="A87" s="14" t="e">
        <f>A82+1</f>
        <v>#REF!</v>
      </c>
      <c r="B87" s="282" t="s">
        <v>297</v>
      </c>
      <c r="C87" s="17" t="s">
        <v>297</v>
      </c>
      <c r="D87" s="22" t="s">
        <v>298</v>
      </c>
      <c r="E87" s="20">
        <f>LEN(D87)</f>
        <v>243</v>
      </c>
      <c r="F87" s="36" t="s">
        <v>97</v>
      </c>
      <c r="G87" s="20" t="s">
        <v>23</v>
      </c>
      <c r="H87" s="20" t="s">
        <v>23</v>
      </c>
      <c r="I87" s="20" t="s">
        <v>26</v>
      </c>
      <c r="J87" s="426" t="s">
        <v>299</v>
      </c>
      <c r="K87" s="84" t="s">
        <v>23</v>
      </c>
      <c r="L87" s="427" t="s">
        <v>300</v>
      </c>
      <c r="M87" s="32"/>
      <c r="N87" s="555" t="s">
        <v>233</v>
      </c>
      <c r="O87" s="323">
        <f>1</f>
        <v>1</v>
      </c>
      <c r="P87" s="186"/>
      <c r="R87" s="194" t="s">
        <v>22</v>
      </c>
      <c r="S87" s="193"/>
      <c r="V87" s="322">
        <v>24.401098251342773</v>
      </c>
      <c r="W87" s="322">
        <f t="shared" si="10"/>
        <v>24.401098251342773</v>
      </c>
      <c r="X87" s="186" t="str">
        <f t="shared" si="9"/>
        <v/>
      </c>
    </row>
    <row r="88" spans="1:16368" s="192" customFormat="1" ht="119">
      <c r="A88" s="14" t="e">
        <f>A87+1</f>
        <v>#REF!</v>
      </c>
      <c r="B88" s="282" t="s">
        <v>301</v>
      </c>
      <c r="C88" s="291" t="s">
        <v>301</v>
      </c>
      <c r="D88" s="22" t="s">
        <v>235</v>
      </c>
      <c r="E88" s="20">
        <f>LEN(D88)</f>
        <v>253</v>
      </c>
      <c r="F88" s="33" t="s">
        <v>30</v>
      </c>
      <c r="G88" s="16" t="s">
        <v>23</v>
      </c>
      <c r="H88" s="16" t="s">
        <v>23</v>
      </c>
      <c r="I88" s="16" t="s">
        <v>31</v>
      </c>
      <c r="J88" s="34" t="s">
        <v>302</v>
      </c>
      <c r="K88" s="84" t="s">
        <v>23</v>
      </c>
      <c r="L88" s="34" t="s">
        <v>303</v>
      </c>
      <c r="M88" s="34"/>
      <c r="N88" s="556"/>
      <c r="O88" s="323">
        <f>1</f>
        <v>1</v>
      </c>
      <c r="P88" s="186"/>
      <c r="R88" s="194" t="s">
        <v>22</v>
      </c>
      <c r="S88" s="193"/>
      <c r="V88" s="322">
        <v>2.4700000000000002</v>
      </c>
      <c r="W88" s="322">
        <f t="shared" si="10"/>
        <v>2.4700000000000002</v>
      </c>
      <c r="X88" s="186" t="str">
        <f t="shared" si="9"/>
        <v/>
      </c>
    </row>
    <row r="89" spans="1:16368" s="192" customFormat="1" ht="170">
      <c r="A89" s="59">
        <v>18</v>
      </c>
      <c r="B89" s="423" t="s">
        <v>304</v>
      </c>
      <c r="C89" s="424" t="s">
        <v>304</v>
      </c>
      <c r="D89" s="58" t="s">
        <v>239</v>
      </c>
      <c r="E89" s="16">
        <f>LEN(D89)</f>
        <v>181</v>
      </c>
      <c r="F89" s="17" t="s">
        <v>30</v>
      </c>
      <c r="G89" s="16" t="s">
        <v>23</v>
      </c>
      <c r="H89" s="16" t="s">
        <v>23</v>
      </c>
      <c r="I89" s="16" t="s">
        <v>31</v>
      </c>
      <c r="J89" s="34" t="s">
        <v>305</v>
      </c>
      <c r="K89" s="84" t="s">
        <v>23</v>
      </c>
      <c r="L89" s="409" t="s">
        <v>306</v>
      </c>
      <c r="M89" s="409"/>
      <c r="N89" s="52"/>
      <c r="O89" s="323">
        <f>1</f>
        <v>1</v>
      </c>
      <c r="P89" s="186"/>
      <c r="R89" s="194" t="s">
        <v>22</v>
      </c>
      <c r="S89" s="193"/>
      <c r="V89" s="322">
        <v>4.7874016761779785</v>
      </c>
      <c r="W89" s="322">
        <f t="shared" si="10"/>
        <v>4.7874016761779785</v>
      </c>
      <c r="X89" s="186" t="str">
        <f>IF(R89="yes",W89,"")</f>
        <v/>
      </c>
    </row>
    <row r="90" spans="1:16368" s="192" customFormat="1" ht="153">
      <c r="A90" s="26"/>
      <c r="B90" s="282" t="s">
        <v>307</v>
      </c>
      <c r="C90" s="291" t="s">
        <v>307</v>
      </c>
      <c r="D90" s="37" t="s">
        <v>243</v>
      </c>
      <c r="E90" s="24">
        <f>LEN(D90)</f>
        <v>215</v>
      </c>
      <c r="F90" s="36" t="s">
        <v>30</v>
      </c>
      <c r="G90" s="20" t="s">
        <v>23</v>
      </c>
      <c r="H90" s="20" t="s">
        <v>23</v>
      </c>
      <c r="I90" s="20" t="s">
        <v>31</v>
      </c>
      <c r="J90" s="31" t="s">
        <v>308</v>
      </c>
      <c r="K90" s="84" t="s">
        <v>23</v>
      </c>
      <c r="L90" s="422" t="s">
        <v>309</v>
      </c>
      <c r="M90" s="407"/>
      <c r="N90" s="10"/>
      <c r="O90" s="323">
        <f>1</f>
        <v>1</v>
      </c>
      <c r="P90" s="186"/>
      <c r="Q90" s="528"/>
      <c r="R90" s="194" t="s">
        <v>22</v>
      </c>
      <c r="S90" s="193"/>
      <c r="T90" s="528"/>
      <c r="U90" s="528"/>
      <c r="V90" s="322">
        <v>20.918367385864258</v>
      </c>
      <c r="W90" s="322">
        <f t="shared" si="10"/>
        <v>20.918367385864258</v>
      </c>
      <c r="X90" s="186" t="str">
        <f>IF(R90="yes",W90,"")</f>
        <v/>
      </c>
      <c r="Y90" s="528"/>
      <c r="Z90" s="528"/>
      <c r="AA90" s="528"/>
      <c r="AB90" s="528"/>
      <c r="AC90" s="528"/>
      <c r="AD90" s="528"/>
      <c r="AE90" s="528"/>
      <c r="AF90" s="528"/>
      <c r="AG90" s="528"/>
      <c r="AH90" s="528"/>
      <c r="AI90" s="528"/>
      <c r="AJ90" s="528"/>
      <c r="AK90" s="528"/>
      <c r="AL90" s="528"/>
      <c r="AM90" s="528"/>
      <c r="AN90" s="528"/>
      <c r="AO90" s="528"/>
      <c r="AP90" s="528"/>
      <c r="AQ90" s="528"/>
      <c r="AR90" s="528"/>
      <c r="AS90" s="528"/>
      <c r="AT90" s="528"/>
      <c r="AU90" s="528"/>
      <c r="AV90" s="528"/>
      <c r="AW90" s="528"/>
      <c r="AX90" s="528"/>
      <c r="AY90" s="528"/>
      <c r="AZ90" s="528"/>
      <c r="BA90" s="528"/>
      <c r="BB90" s="528"/>
      <c r="BC90" s="528"/>
      <c r="BD90" s="528"/>
      <c r="BE90" s="528"/>
      <c r="BF90" s="528"/>
      <c r="BG90" s="528"/>
      <c r="BH90" s="528"/>
      <c r="BI90" s="528"/>
      <c r="BJ90" s="528"/>
      <c r="BK90" s="528"/>
      <c r="BL90" s="528"/>
      <c r="BM90" s="528"/>
      <c r="BN90" s="528"/>
      <c r="BO90" s="528"/>
      <c r="BP90" s="528"/>
      <c r="BQ90" s="528"/>
      <c r="BR90" s="528"/>
      <c r="BS90" s="528"/>
      <c r="BT90" s="528"/>
      <c r="BU90" s="528"/>
      <c r="BV90" s="528"/>
      <c r="BW90" s="528"/>
      <c r="BX90" s="528"/>
      <c r="BY90" s="528"/>
      <c r="BZ90" s="528"/>
      <c r="CA90" s="528"/>
      <c r="CB90" s="528"/>
      <c r="CC90" s="528"/>
      <c r="CD90" s="528"/>
      <c r="CE90" s="528"/>
      <c r="CF90" s="528"/>
      <c r="CG90" s="528"/>
      <c r="CH90" s="528"/>
      <c r="CI90" s="528"/>
      <c r="CJ90" s="528"/>
      <c r="CK90" s="528"/>
      <c r="CL90" s="528"/>
      <c r="CM90" s="528"/>
      <c r="CN90" s="528"/>
      <c r="CO90" s="528"/>
      <c r="CP90" s="528"/>
      <c r="CQ90" s="528"/>
      <c r="CR90" s="528"/>
      <c r="CS90" s="528"/>
      <c r="CT90" s="528"/>
      <c r="CU90" s="528"/>
      <c r="CV90" s="528"/>
      <c r="CW90" s="528"/>
      <c r="CX90" s="528"/>
      <c r="CY90" s="528"/>
      <c r="CZ90" s="528"/>
      <c r="DA90" s="528"/>
      <c r="DB90" s="528"/>
      <c r="DC90" s="528"/>
      <c r="DD90" s="528"/>
      <c r="DE90" s="528"/>
      <c r="DF90" s="528"/>
      <c r="DG90" s="528"/>
      <c r="DH90" s="528"/>
      <c r="DI90" s="528"/>
      <c r="DJ90" s="528"/>
      <c r="DK90" s="528"/>
      <c r="DL90" s="528"/>
      <c r="DM90" s="528"/>
      <c r="DN90" s="528"/>
      <c r="DO90" s="528"/>
      <c r="DP90" s="528"/>
      <c r="DQ90" s="528"/>
      <c r="DR90" s="528"/>
      <c r="DS90" s="528"/>
      <c r="DT90" s="528"/>
      <c r="DU90" s="528"/>
      <c r="DV90" s="528"/>
      <c r="DW90" s="528"/>
      <c r="DX90" s="528"/>
      <c r="DY90" s="528"/>
      <c r="DZ90" s="528"/>
      <c r="EA90" s="528"/>
      <c r="EB90" s="528"/>
      <c r="EC90" s="528"/>
      <c r="ED90" s="528"/>
      <c r="EE90" s="528"/>
      <c r="EF90" s="528"/>
      <c r="EG90" s="528"/>
      <c r="EH90" s="528"/>
      <c r="EI90" s="528"/>
      <c r="EJ90" s="528"/>
      <c r="EK90" s="528"/>
      <c r="EL90" s="528"/>
      <c r="EM90" s="528"/>
      <c r="EN90" s="528"/>
      <c r="EO90" s="528"/>
      <c r="EP90" s="528"/>
      <c r="EQ90" s="528"/>
      <c r="ER90" s="528"/>
      <c r="ES90" s="528"/>
      <c r="ET90" s="528"/>
      <c r="EU90" s="528"/>
      <c r="EV90" s="528"/>
      <c r="EW90" s="528"/>
      <c r="EX90" s="528"/>
      <c r="EY90" s="528"/>
      <c r="EZ90" s="528"/>
      <c r="FA90" s="528"/>
      <c r="FB90" s="528"/>
      <c r="FC90" s="528"/>
      <c r="FD90" s="528"/>
      <c r="FE90" s="528"/>
      <c r="FF90" s="528"/>
      <c r="FG90" s="528"/>
      <c r="FH90" s="528"/>
      <c r="FI90" s="528"/>
      <c r="FJ90" s="528"/>
      <c r="FK90" s="528"/>
      <c r="FL90" s="528"/>
      <c r="FM90" s="528"/>
      <c r="FN90" s="528"/>
      <c r="FO90" s="528"/>
      <c r="FP90" s="528"/>
      <c r="FQ90" s="528"/>
      <c r="FR90" s="528"/>
      <c r="FS90" s="528"/>
      <c r="FT90" s="528"/>
      <c r="FU90" s="528"/>
      <c r="FV90" s="528"/>
      <c r="FW90" s="528"/>
      <c r="FX90" s="528"/>
      <c r="FY90" s="528"/>
      <c r="FZ90" s="528"/>
      <c r="GA90" s="528"/>
      <c r="GB90" s="528"/>
      <c r="GC90" s="528"/>
      <c r="GD90" s="528"/>
      <c r="GE90" s="528"/>
      <c r="GF90" s="528"/>
      <c r="GG90" s="528"/>
      <c r="GH90" s="528"/>
      <c r="GI90" s="528"/>
      <c r="GJ90" s="528"/>
      <c r="GK90" s="528"/>
      <c r="GL90" s="528"/>
      <c r="GM90" s="528"/>
      <c r="GN90" s="528"/>
      <c r="GO90" s="528"/>
      <c r="GP90" s="528"/>
      <c r="GQ90" s="528"/>
      <c r="GR90" s="528"/>
      <c r="GS90" s="528"/>
      <c r="GT90" s="528"/>
      <c r="GU90" s="528"/>
      <c r="GV90" s="528"/>
      <c r="GW90" s="528"/>
      <c r="GX90" s="528"/>
      <c r="GY90" s="528"/>
      <c r="GZ90" s="528"/>
      <c r="HA90" s="528"/>
      <c r="HB90" s="528"/>
      <c r="HC90" s="528"/>
      <c r="HD90" s="528"/>
      <c r="HE90" s="528"/>
      <c r="HF90" s="528"/>
      <c r="HG90" s="528"/>
      <c r="HH90" s="528"/>
      <c r="HI90" s="528"/>
      <c r="HJ90" s="528"/>
      <c r="HK90" s="528"/>
      <c r="HL90" s="528"/>
      <c r="HM90" s="528"/>
      <c r="HN90" s="528"/>
      <c r="HO90" s="528"/>
      <c r="HP90" s="528"/>
      <c r="HQ90" s="528"/>
      <c r="HR90" s="528"/>
      <c r="HS90" s="528"/>
      <c r="HT90" s="528"/>
      <c r="HU90" s="528"/>
      <c r="HV90" s="528"/>
      <c r="HW90" s="528"/>
      <c r="HX90" s="528"/>
      <c r="HY90" s="528"/>
      <c r="HZ90" s="528"/>
      <c r="IA90" s="528"/>
      <c r="IB90" s="528"/>
      <c r="IC90" s="528"/>
      <c r="ID90" s="528"/>
      <c r="IE90" s="528"/>
      <c r="IF90" s="528"/>
      <c r="IG90" s="528"/>
      <c r="IH90" s="528"/>
      <c r="II90" s="528"/>
      <c r="IJ90" s="528"/>
      <c r="IK90" s="528"/>
      <c r="IL90" s="528"/>
      <c r="IM90" s="528"/>
      <c r="IN90" s="528"/>
      <c r="IO90" s="528"/>
      <c r="IP90" s="528"/>
      <c r="IQ90" s="528"/>
      <c r="IR90" s="528"/>
      <c r="IS90" s="528"/>
      <c r="IT90" s="528"/>
      <c r="IU90" s="528"/>
      <c r="IV90" s="528"/>
      <c r="IW90" s="528"/>
      <c r="IX90" s="528"/>
      <c r="IY90" s="528"/>
      <c r="IZ90" s="528"/>
      <c r="JA90" s="528"/>
      <c r="JB90" s="528"/>
      <c r="JC90" s="528"/>
      <c r="JD90" s="528"/>
      <c r="JE90" s="528"/>
      <c r="JF90" s="528"/>
      <c r="JG90" s="528"/>
      <c r="JH90" s="528"/>
      <c r="JI90" s="528"/>
      <c r="JJ90" s="528"/>
      <c r="JK90" s="528"/>
      <c r="JL90" s="528"/>
      <c r="JM90" s="528"/>
      <c r="JN90" s="528"/>
      <c r="JO90" s="528"/>
      <c r="JP90" s="528"/>
      <c r="JQ90" s="528"/>
      <c r="JR90" s="528"/>
      <c r="JS90" s="528"/>
      <c r="JT90" s="528"/>
      <c r="JU90" s="528"/>
      <c r="JV90" s="528"/>
      <c r="JW90" s="528"/>
      <c r="JX90" s="528"/>
      <c r="JY90" s="528"/>
      <c r="JZ90" s="528"/>
      <c r="KA90" s="528"/>
      <c r="KB90" s="528"/>
      <c r="KC90" s="528"/>
      <c r="KD90" s="528"/>
      <c r="KE90" s="528"/>
      <c r="KF90" s="528"/>
      <c r="KG90" s="528"/>
      <c r="KH90" s="528"/>
      <c r="KI90" s="528"/>
      <c r="KJ90" s="528"/>
      <c r="KK90" s="528"/>
      <c r="KL90" s="528"/>
      <c r="KM90" s="528"/>
      <c r="KN90" s="528"/>
      <c r="KO90" s="528"/>
      <c r="KP90" s="528"/>
      <c r="KQ90" s="528"/>
      <c r="KR90" s="528"/>
      <c r="KS90" s="528"/>
      <c r="KT90" s="528"/>
      <c r="KU90" s="528"/>
      <c r="KV90" s="528"/>
      <c r="KW90" s="528"/>
      <c r="KX90" s="528"/>
      <c r="KY90" s="528"/>
      <c r="KZ90" s="528"/>
      <c r="LA90" s="528"/>
      <c r="LB90" s="528"/>
      <c r="LC90" s="528"/>
      <c r="LD90" s="528"/>
      <c r="LE90" s="528"/>
      <c r="LF90" s="528"/>
      <c r="LG90" s="528"/>
      <c r="LH90" s="528"/>
      <c r="LI90" s="528"/>
      <c r="LJ90" s="528"/>
      <c r="LK90" s="528"/>
      <c r="LL90" s="528"/>
      <c r="LM90" s="528"/>
      <c r="LN90" s="528"/>
      <c r="LO90" s="528"/>
      <c r="LP90" s="528"/>
      <c r="LQ90" s="528"/>
      <c r="LR90" s="528"/>
      <c r="LS90" s="528"/>
      <c r="LT90" s="528"/>
      <c r="LU90" s="528"/>
      <c r="LV90" s="528"/>
      <c r="LW90" s="528"/>
      <c r="LX90" s="528"/>
      <c r="LY90" s="528"/>
      <c r="LZ90" s="528"/>
      <c r="MA90" s="528"/>
      <c r="MB90" s="528"/>
      <c r="MC90" s="528"/>
      <c r="MD90" s="528"/>
      <c r="ME90" s="528"/>
      <c r="MF90" s="528"/>
      <c r="MG90" s="528"/>
      <c r="MH90" s="528"/>
      <c r="MI90" s="528"/>
      <c r="MJ90" s="528"/>
      <c r="MK90" s="528"/>
      <c r="ML90" s="528"/>
      <c r="MM90" s="528"/>
      <c r="MN90" s="528"/>
      <c r="MO90" s="528"/>
      <c r="MP90" s="528"/>
      <c r="MQ90" s="528"/>
      <c r="MR90" s="528"/>
      <c r="MS90" s="528"/>
      <c r="MT90" s="528"/>
      <c r="MU90" s="528"/>
      <c r="MV90" s="528"/>
      <c r="MW90" s="528"/>
      <c r="MX90" s="528"/>
      <c r="MY90" s="528"/>
      <c r="MZ90" s="528"/>
      <c r="NA90" s="528"/>
      <c r="NB90" s="528"/>
      <c r="NC90" s="528"/>
      <c r="ND90" s="528"/>
      <c r="NE90" s="528"/>
      <c r="NF90" s="528"/>
      <c r="NG90" s="528"/>
      <c r="NH90" s="528"/>
      <c r="NI90" s="528"/>
      <c r="NJ90" s="528"/>
      <c r="NK90" s="528"/>
      <c r="NL90" s="528"/>
      <c r="NM90" s="528"/>
      <c r="NN90" s="528"/>
      <c r="NO90" s="528"/>
      <c r="NP90" s="528"/>
      <c r="NQ90" s="528"/>
      <c r="NR90" s="528"/>
      <c r="NS90" s="528"/>
      <c r="NT90" s="528"/>
      <c r="NU90" s="528"/>
      <c r="NV90" s="528"/>
      <c r="NW90" s="528"/>
      <c r="NX90" s="528"/>
      <c r="NY90" s="528"/>
      <c r="NZ90" s="528"/>
      <c r="OA90" s="528"/>
      <c r="OB90" s="528"/>
      <c r="OC90" s="528"/>
      <c r="OD90" s="528"/>
      <c r="OE90" s="528"/>
      <c r="OF90" s="528"/>
      <c r="OG90" s="528"/>
      <c r="OH90" s="528"/>
      <c r="OI90" s="528"/>
      <c r="OJ90" s="528"/>
      <c r="OK90" s="528"/>
      <c r="OL90" s="528"/>
      <c r="OM90" s="528"/>
      <c r="ON90" s="528"/>
      <c r="OO90" s="528"/>
      <c r="OP90" s="528"/>
      <c r="OQ90" s="528"/>
      <c r="OR90" s="528"/>
      <c r="OS90" s="528"/>
      <c r="OT90" s="528"/>
      <c r="OU90" s="528"/>
      <c r="OV90" s="528"/>
      <c r="OW90" s="528"/>
      <c r="OX90" s="528"/>
      <c r="OY90" s="528"/>
      <c r="OZ90" s="528"/>
      <c r="PA90" s="528"/>
      <c r="PB90" s="528"/>
      <c r="PC90" s="528"/>
      <c r="PD90" s="528"/>
      <c r="PE90" s="528"/>
      <c r="PF90" s="528"/>
      <c r="PG90" s="528"/>
      <c r="PH90" s="528"/>
      <c r="PI90" s="528"/>
      <c r="PJ90" s="528"/>
      <c r="PK90" s="528"/>
      <c r="PL90" s="528"/>
      <c r="PM90" s="528"/>
      <c r="PN90" s="528"/>
      <c r="PO90" s="528"/>
      <c r="PP90" s="528"/>
      <c r="PQ90" s="528"/>
      <c r="PR90" s="528"/>
      <c r="PS90" s="528"/>
      <c r="PT90" s="528"/>
      <c r="PU90" s="528"/>
      <c r="PV90" s="528"/>
      <c r="PW90" s="528"/>
      <c r="PX90" s="528"/>
      <c r="PY90" s="528"/>
      <c r="PZ90" s="528"/>
      <c r="QA90" s="528"/>
      <c r="QB90" s="528"/>
      <c r="QC90" s="528"/>
      <c r="QD90" s="528"/>
      <c r="QE90" s="528"/>
      <c r="QF90" s="528"/>
      <c r="QG90" s="528"/>
      <c r="QH90" s="528"/>
      <c r="QI90" s="528"/>
      <c r="QJ90" s="528"/>
      <c r="QK90" s="528"/>
      <c r="QL90" s="528"/>
      <c r="QM90" s="528"/>
      <c r="QN90" s="528"/>
      <c r="QO90" s="528"/>
      <c r="QP90" s="528"/>
      <c r="QQ90" s="528"/>
      <c r="QR90" s="528"/>
      <c r="QS90" s="528"/>
      <c r="QT90" s="528"/>
      <c r="QU90" s="528"/>
      <c r="QV90" s="528"/>
      <c r="QW90" s="528"/>
      <c r="QX90" s="528"/>
      <c r="QY90" s="528"/>
      <c r="QZ90" s="528"/>
      <c r="RA90" s="528"/>
      <c r="RB90" s="528"/>
      <c r="RC90" s="528"/>
      <c r="RD90" s="528"/>
      <c r="RE90" s="528"/>
      <c r="RF90" s="528"/>
      <c r="RG90" s="528"/>
      <c r="RH90" s="528"/>
      <c r="RI90" s="528"/>
      <c r="RJ90" s="528"/>
      <c r="RK90" s="528"/>
      <c r="RL90" s="528"/>
      <c r="RM90" s="528"/>
      <c r="RN90" s="528"/>
      <c r="RO90" s="528"/>
      <c r="RP90" s="528"/>
      <c r="RQ90" s="528"/>
      <c r="RR90" s="528"/>
      <c r="RS90" s="528"/>
      <c r="RT90" s="528"/>
      <c r="RU90" s="528"/>
      <c r="RV90" s="528"/>
      <c r="RW90" s="528"/>
      <c r="RX90" s="528"/>
      <c r="RY90" s="528"/>
      <c r="RZ90" s="528"/>
      <c r="SA90" s="528"/>
      <c r="SB90" s="528"/>
      <c r="SC90" s="528"/>
      <c r="SD90" s="528"/>
      <c r="SE90" s="528"/>
      <c r="SF90" s="528"/>
      <c r="SG90" s="528"/>
      <c r="SH90" s="528"/>
      <c r="SI90" s="528"/>
      <c r="SJ90" s="528"/>
      <c r="SK90" s="528"/>
      <c r="SL90" s="528"/>
      <c r="SM90" s="528"/>
      <c r="SN90" s="528"/>
      <c r="SO90" s="528"/>
      <c r="SP90" s="528"/>
      <c r="SQ90" s="528"/>
      <c r="SR90" s="528"/>
      <c r="SS90" s="528"/>
      <c r="ST90" s="528"/>
      <c r="SU90" s="528"/>
      <c r="SV90" s="528"/>
      <c r="SW90" s="528"/>
      <c r="SX90" s="528"/>
      <c r="SY90" s="528"/>
      <c r="SZ90" s="528"/>
      <c r="TA90" s="528"/>
      <c r="TB90" s="528"/>
      <c r="TC90" s="528"/>
      <c r="TD90" s="528"/>
      <c r="TE90" s="528"/>
      <c r="TF90" s="528"/>
      <c r="TG90" s="528"/>
      <c r="TH90" s="528"/>
      <c r="TI90" s="528"/>
      <c r="TJ90" s="528"/>
      <c r="TK90" s="528"/>
      <c r="TL90" s="528"/>
      <c r="TM90" s="528"/>
      <c r="TN90" s="528"/>
      <c r="TO90" s="528"/>
      <c r="TP90" s="528"/>
      <c r="TQ90" s="528"/>
      <c r="TR90" s="528"/>
      <c r="TS90" s="528"/>
      <c r="TT90" s="528"/>
      <c r="TU90" s="528"/>
      <c r="TV90" s="528"/>
      <c r="TW90" s="528"/>
      <c r="TX90" s="528"/>
      <c r="TY90" s="528"/>
      <c r="TZ90" s="528"/>
      <c r="UA90" s="528"/>
      <c r="UB90" s="528"/>
      <c r="UC90" s="528"/>
      <c r="UD90" s="528"/>
      <c r="UE90" s="528"/>
      <c r="UF90" s="528"/>
      <c r="UG90" s="528"/>
      <c r="UH90" s="528"/>
      <c r="UI90" s="528"/>
      <c r="UJ90" s="528"/>
      <c r="UK90" s="528"/>
      <c r="UL90" s="528"/>
      <c r="UM90" s="528"/>
      <c r="UN90" s="528"/>
      <c r="UO90" s="528"/>
      <c r="UP90" s="528"/>
      <c r="UQ90" s="528"/>
      <c r="UR90" s="528"/>
      <c r="US90" s="528"/>
      <c r="UT90" s="528"/>
      <c r="UU90" s="528"/>
      <c r="UV90" s="528"/>
      <c r="UW90" s="528"/>
      <c r="UX90" s="528"/>
      <c r="UY90" s="528"/>
      <c r="UZ90" s="528"/>
      <c r="VA90" s="528"/>
      <c r="VB90" s="528"/>
      <c r="VC90" s="528"/>
      <c r="VD90" s="528"/>
      <c r="VE90" s="528"/>
      <c r="VF90" s="528"/>
      <c r="VG90" s="528"/>
      <c r="VH90" s="528"/>
      <c r="VI90" s="528"/>
      <c r="VJ90" s="528"/>
      <c r="VK90" s="528"/>
      <c r="VL90" s="528"/>
      <c r="VM90" s="528"/>
      <c r="VN90" s="528"/>
      <c r="VO90" s="528"/>
      <c r="VP90" s="528"/>
      <c r="VQ90" s="528"/>
      <c r="VR90" s="528"/>
      <c r="VS90" s="528"/>
      <c r="VT90" s="528"/>
      <c r="VU90" s="528"/>
      <c r="VV90" s="528"/>
      <c r="VW90" s="528"/>
      <c r="VX90" s="528"/>
      <c r="VY90" s="528"/>
      <c r="VZ90" s="528"/>
      <c r="WA90" s="528"/>
      <c r="WB90" s="528"/>
      <c r="WC90" s="528"/>
      <c r="WD90" s="528"/>
      <c r="WE90" s="528"/>
      <c r="WF90" s="528"/>
      <c r="WG90" s="528"/>
      <c r="WH90" s="528"/>
      <c r="WI90" s="528"/>
      <c r="WJ90" s="528"/>
      <c r="WK90" s="528"/>
      <c r="WL90" s="528"/>
      <c r="WM90" s="528"/>
      <c r="WN90" s="528"/>
      <c r="WO90" s="528"/>
      <c r="WP90" s="528"/>
      <c r="WQ90" s="528"/>
      <c r="WR90" s="528"/>
      <c r="WS90" s="528"/>
      <c r="WT90" s="528"/>
      <c r="WU90" s="528"/>
      <c r="WV90" s="528"/>
      <c r="WW90" s="528"/>
      <c r="WX90" s="528"/>
      <c r="WY90" s="528"/>
      <c r="WZ90" s="528"/>
      <c r="XA90" s="528"/>
      <c r="XB90" s="528"/>
      <c r="XC90" s="528"/>
      <c r="XD90" s="528"/>
      <c r="XE90" s="528"/>
      <c r="XF90" s="528"/>
      <c r="XG90" s="528"/>
      <c r="XH90" s="528"/>
      <c r="XI90" s="528"/>
      <c r="XJ90" s="528"/>
      <c r="XK90" s="528"/>
      <c r="XL90" s="528"/>
      <c r="XM90" s="528"/>
      <c r="XN90" s="528"/>
      <c r="XO90" s="528"/>
      <c r="XP90" s="528"/>
      <c r="XQ90" s="528"/>
      <c r="XR90" s="528"/>
      <c r="XS90" s="528"/>
      <c r="XT90" s="528"/>
      <c r="XU90" s="528"/>
      <c r="XV90" s="528"/>
      <c r="XW90" s="528"/>
      <c r="XX90" s="528"/>
      <c r="XY90" s="528"/>
      <c r="XZ90" s="528"/>
      <c r="YA90" s="528"/>
      <c r="YB90" s="528"/>
      <c r="YC90" s="528"/>
      <c r="YD90" s="528"/>
      <c r="YE90" s="528"/>
      <c r="YF90" s="528"/>
      <c r="YG90" s="528"/>
      <c r="YH90" s="528"/>
      <c r="YI90" s="528"/>
      <c r="YJ90" s="528"/>
      <c r="YK90" s="528"/>
      <c r="YL90" s="528"/>
      <c r="YM90" s="528"/>
      <c r="YN90" s="528"/>
      <c r="YO90" s="528"/>
      <c r="YP90" s="528"/>
      <c r="YQ90" s="528"/>
      <c r="YR90" s="528"/>
      <c r="YS90" s="528"/>
      <c r="YT90" s="528"/>
      <c r="YU90" s="528"/>
      <c r="YV90" s="528"/>
      <c r="YW90" s="528"/>
      <c r="YX90" s="528"/>
      <c r="YY90" s="528"/>
      <c r="YZ90" s="528"/>
      <c r="ZA90" s="528"/>
      <c r="ZB90" s="528"/>
      <c r="ZC90" s="528"/>
      <c r="ZD90" s="528"/>
      <c r="ZE90" s="528"/>
      <c r="ZF90" s="528"/>
      <c r="ZG90" s="528"/>
      <c r="ZH90" s="528"/>
      <c r="ZI90" s="528"/>
      <c r="ZJ90" s="528"/>
      <c r="ZK90" s="528"/>
      <c r="ZL90" s="528"/>
      <c r="ZM90" s="528"/>
      <c r="ZN90" s="528"/>
      <c r="ZO90" s="528"/>
      <c r="ZP90" s="528"/>
      <c r="ZQ90" s="528"/>
      <c r="ZR90" s="528"/>
      <c r="ZS90" s="528"/>
      <c r="ZT90" s="528"/>
      <c r="ZU90" s="528"/>
      <c r="ZV90" s="528"/>
      <c r="ZW90" s="528"/>
      <c r="ZX90" s="528"/>
      <c r="ZY90" s="528"/>
      <c r="ZZ90" s="528"/>
      <c r="AAA90" s="528"/>
      <c r="AAB90" s="528"/>
      <c r="AAC90" s="528"/>
      <c r="AAD90" s="528"/>
      <c r="AAE90" s="528"/>
      <c r="AAF90" s="528"/>
      <c r="AAG90" s="528"/>
      <c r="AAH90" s="528"/>
      <c r="AAI90" s="528"/>
      <c r="AAJ90" s="528"/>
      <c r="AAK90" s="528"/>
      <c r="AAL90" s="528"/>
      <c r="AAM90" s="528"/>
      <c r="AAN90" s="528"/>
      <c r="AAO90" s="528"/>
      <c r="AAP90" s="528"/>
      <c r="AAQ90" s="528"/>
      <c r="AAR90" s="528"/>
      <c r="AAS90" s="528"/>
      <c r="AAT90" s="528"/>
      <c r="AAU90" s="528"/>
      <c r="AAV90" s="528"/>
      <c r="AAW90" s="528"/>
      <c r="AAX90" s="528"/>
      <c r="AAY90" s="528"/>
      <c r="AAZ90" s="528"/>
      <c r="ABA90" s="528"/>
      <c r="ABB90" s="528"/>
      <c r="ABC90" s="528"/>
      <c r="ABD90" s="528"/>
      <c r="ABE90" s="528"/>
      <c r="ABF90" s="528"/>
      <c r="ABG90" s="528"/>
      <c r="ABH90" s="528"/>
      <c r="ABI90" s="528"/>
      <c r="ABJ90" s="528"/>
      <c r="ABK90" s="528"/>
      <c r="ABL90" s="528"/>
      <c r="ABM90" s="528"/>
      <c r="ABN90" s="528"/>
      <c r="ABO90" s="528"/>
      <c r="ABP90" s="528"/>
      <c r="ABQ90" s="528"/>
      <c r="ABR90" s="528"/>
      <c r="ABS90" s="528"/>
      <c r="ABT90" s="528"/>
      <c r="ABU90" s="528"/>
      <c r="ABV90" s="528"/>
      <c r="ABW90" s="528"/>
      <c r="ABX90" s="528"/>
      <c r="ABY90" s="528"/>
      <c r="ABZ90" s="528"/>
      <c r="ACA90" s="528"/>
      <c r="ACB90" s="528"/>
      <c r="ACC90" s="528"/>
      <c r="ACD90" s="528"/>
      <c r="ACE90" s="528"/>
      <c r="ACF90" s="528"/>
      <c r="ACG90" s="528"/>
      <c r="ACH90" s="528"/>
      <c r="ACI90" s="528"/>
      <c r="ACJ90" s="528"/>
      <c r="ACK90" s="528"/>
      <c r="ACL90" s="528"/>
      <c r="ACM90" s="528"/>
      <c r="ACN90" s="528"/>
      <c r="ACO90" s="528"/>
      <c r="ACP90" s="528"/>
      <c r="ACQ90" s="528"/>
      <c r="ACR90" s="528"/>
      <c r="ACS90" s="528"/>
      <c r="ACT90" s="528"/>
      <c r="ACU90" s="528"/>
      <c r="ACV90" s="528"/>
      <c r="ACW90" s="528"/>
      <c r="ACX90" s="528"/>
      <c r="ACY90" s="528"/>
      <c r="ACZ90" s="528"/>
      <c r="ADA90" s="528"/>
      <c r="ADB90" s="528"/>
      <c r="ADC90" s="528"/>
      <c r="ADD90" s="528"/>
      <c r="ADE90" s="528"/>
      <c r="ADF90" s="528"/>
      <c r="ADG90" s="528"/>
      <c r="ADH90" s="528"/>
      <c r="ADI90" s="528"/>
      <c r="ADJ90" s="528"/>
      <c r="ADK90" s="528"/>
      <c r="ADL90" s="528"/>
      <c r="ADM90" s="528"/>
      <c r="ADN90" s="528"/>
      <c r="ADO90" s="528"/>
      <c r="ADP90" s="528"/>
      <c r="ADQ90" s="528"/>
      <c r="ADR90" s="528"/>
      <c r="ADS90" s="528"/>
      <c r="ADT90" s="528"/>
      <c r="ADU90" s="528"/>
      <c r="ADV90" s="528"/>
      <c r="ADW90" s="528"/>
      <c r="ADX90" s="528"/>
      <c r="ADY90" s="528"/>
      <c r="ADZ90" s="528"/>
      <c r="AEA90" s="528"/>
      <c r="AEB90" s="528"/>
      <c r="AEC90" s="528"/>
      <c r="AED90" s="528"/>
      <c r="AEE90" s="528"/>
      <c r="AEF90" s="528"/>
      <c r="AEG90" s="528"/>
      <c r="AEH90" s="528"/>
      <c r="AEI90" s="528"/>
      <c r="AEJ90" s="528"/>
      <c r="AEK90" s="528"/>
      <c r="AEL90" s="528"/>
      <c r="AEM90" s="528"/>
      <c r="AEN90" s="528"/>
      <c r="AEO90" s="528"/>
      <c r="AEP90" s="528"/>
      <c r="AEQ90" s="528"/>
      <c r="AER90" s="528"/>
      <c r="AES90" s="528"/>
      <c r="AET90" s="528"/>
      <c r="AEU90" s="528"/>
      <c r="AEV90" s="528"/>
      <c r="AEW90" s="528"/>
      <c r="AEX90" s="528"/>
      <c r="AEY90" s="528"/>
      <c r="AEZ90" s="528"/>
      <c r="AFA90" s="528"/>
      <c r="AFB90" s="528"/>
      <c r="AFC90" s="528"/>
      <c r="AFD90" s="528"/>
      <c r="AFE90" s="528"/>
      <c r="AFF90" s="528"/>
      <c r="AFG90" s="528"/>
      <c r="AFH90" s="528"/>
      <c r="AFI90" s="528"/>
      <c r="AFJ90" s="528"/>
      <c r="AFK90" s="528"/>
      <c r="AFL90" s="528"/>
      <c r="AFM90" s="528"/>
      <c r="AFN90" s="528"/>
      <c r="AFO90" s="528"/>
      <c r="AFP90" s="528"/>
      <c r="AFQ90" s="528"/>
      <c r="AFR90" s="528"/>
      <c r="AFS90" s="528"/>
      <c r="AFT90" s="528"/>
      <c r="AFU90" s="528"/>
      <c r="AFV90" s="528"/>
      <c r="AFW90" s="528"/>
      <c r="AFX90" s="528"/>
      <c r="AFY90" s="528"/>
      <c r="AFZ90" s="528"/>
      <c r="AGA90" s="528"/>
      <c r="AGB90" s="528"/>
      <c r="AGC90" s="528"/>
      <c r="AGD90" s="528"/>
      <c r="AGE90" s="528"/>
      <c r="AGF90" s="528"/>
      <c r="AGG90" s="528"/>
      <c r="AGH90" s="528"/>
      <c r="AGI90" s="528"/>
      <c r="AGJ90" s="528"/>
      <c r="AGK90" s="528"/>
      <c r="AGL90" s="528"/>
      <c r="AGM90" s="528"/>
      <c r="AGN90" s="528"/>
      <c r="AGO90" s="528"/>
      <c r="AGP90" s="528"/>
      <c r="AGQ90" s="528"/>
      <c r="AGR90" s="528"/>
      <c r="AGS90" s="528"/>
      <c r="AGT90" s="528"/>
      <c r="AGU90" s="528"/>
      <c r="AGV90" s="528"/>
      <c r="AGW90" s="528"/>
      <c r="AGX90" s="528"/>
      <c r="AGY90" s="528"/>
      <c r="AGZ90" s="528"/>
      <c r="AHA90" s="528"/>
      <c r="AHB90" s="528"/>
      <c r="AHC90" s="528"/>
      <c r="AHD90" s="528"/>
      <c r="AHE90" s="528"/>
      <c r="AHF90" s="528"/>
      <c r="AHG90" s="528"/>
      <c r="AHH90" s="528"/>
      <c r="AHI90" s="528"/>
      <c r="AHJ90" s="528"/>
      <c r="AHK90" s="528"/>
      <c r="AHL90" s="528"/>
      <c r="AHM90" s="528"/>
      <c r="AHN90" s="528"/>
      <c r="AHO90" s="528"/>
      <c r="AHP90" s="528"/>
      <c r="AHQ90" s="528"/>
      <c r="AHR90" s="528"/>
      <c r="AHS90" s="528"/>
      <c r="AHT90" s="528"/>
      <c r="AHU90" s="528"/>
      <c r="AHV90" s="528"/>
      <c r="AHW90" s="528"/>
      <c r="AHX90" s="528"/>
      <c r="AHY90" s="528"/>
      <c r="AHZ90" s="528"/>
      <c r="AIA90" s="528"/>
      <c r="AIB90" s="528"/>
      <c r="AIC90" s="528"/>
      <c r="AID90" s="528"/>
      <c r="AIE90" s="528"/>
      <c r="AIF90" s="528"/>
      <c r="AIG90" s="528"/>
      <c r="AIH90" s="528"/>
      <c r="AII90" s="528"/>
      <c r="AIJ90" s="528"/>
      <c r="AIK90" s="528"/>
      <c r="AIL90" s="528"/>
      <c r="AIM90" s="528"/>
      <c r="AIN90" s="528"/>
      <c r="AIO90" s="528"/>
      <c r="AIP90" s="528"/>
      <c r="AIQ90" s="528"/>
      <c r="AIR90" s="528"/>
      <c r="AIS90" s="528"/>
      <c r="AIT90" s="528"/>
      <c r="AIU90" s="528"/>
      <c r="AIV90" s="528"/>
      <c r="AIW90" s="528"/>
      <c r="AIX90" s="528"/>
      <c r="AIY90" s="528"/>
      <c r="AIZ90" s="528"/>
      <c r="AJA90" s="528"/>
      <c r="AJB90" s="528"/>
      <c r="AJC90" s="528"/>
      <c r="AJD90" s="528"/>
      <c r="AJE90" s="528"/>
      <c r="AJF90" s="528"/>
      <c r="AJG90" s="528"/>
      <c r="AJH90" s="528"/>
      <c r="AJI90" s="528"/>
      <c r="AJJ90" s="528"/>
      <c r="AJK90" s="528"/>
      <c r="AJL90" s="528"/>
      <c r="AJM90" s="528"/>
      <c r="AJN90" s="528"/>
      <c r="AJO90" s="528"/>
      <c r="AJP90" s="528"/>
      <c r="AJQ90" s="528"/>
      <c r="AJR90" s="528"/>
      <c r="AJS90" s="528"/>
      <c r="AJT90" s="528"/>
      <c r="AJU90" s="528"/>
      <c r="AJV90" s="528"/>
      <c r="AJW90" s="528"/>
      <c r="AJX90" s="528"/>
      <c r="AJY90" s="528"/>
      <c r="AJZ90" s="528"/>
      <c r="AKA90" s="528"/>
      <c r="AKB90" s="528"/>
      <c r="AKC90" s="528"/>
      <c r="AKD90" s="528"/>
      <c r="AKE90" s="528"/>
      <c r="AKF90" s="528"/>
      <c r="AKG90" s="528"/>
      <c r="AKH90" s="528"/>
      <c r="AKI90" s="528"/>
      <c r="AKJ90" s="528"/>
      <c r="AKK90" s="528"/>
      <c r="AKL90" s="528"/>
      <c r="AKM90" s="528"/>
      <c r="AKN90" s="528"/>
      <c r="AKO90" s="528"/>
      <c r="AKP90" s="528"/>
      <c r="AKQ90" s="528"/>
      <c r="AKR90" s="528"/>
      <c r="AKS90" s="528"/>
      <c r="AKT90" s="528"/>
      <c r="AKU90" s="528"/>
      <c r="AKV90" s="528"/>
      <c r="AKW90" s="528"/>
      <c r="AKX90" s="528"/>
      <c r="AKY90" s="528"/>
      <c r="AKZ90" s="528"/>
      <c r="ALA90" s="528"/>
      <c r="ALB90" s="528"/>
      <c r="ALC90" s="528"/>
      <c r="ALD90" s="528"/>
      <c r="ALE90" s="528"/>
      <c r="ALF90" s="528"/>
      <c r="ALG90" s="528"/>
      <c r="ALH90" s="528"/>
      <c r="ALI90" s="528"/>
      <c r="ALJ90" s="528"/>
      <c r="ALK90" s="528"/>
      <c r="ALL90" s="528"/>
      <c r="ALM90" s="528"/>
      <c r="ALN90" s="528"/>
      <c r="ALO90" s="528"/>
      <c r="ALP90" s="528"/>
      <c r="ALQ90" s="528"/>
      <c r="ALR90" s="528"/>
      <c r="ALS90" s="528"/>
      <c r="ALT90" s="528"/>
      <c r="ALU90" s="528"/>
      <c r="ALV90" s="528"/>
      <c r="ALW90" s="528"/>
      <c r="ALX90" s="528"/>
      <c r="ALY90" s="528"/>
      <c r="ALZ90" s="528"/>
      <c r="AMA90" s="528"/>
      <c r="AMB90" s="528"/>
      <c r="AMC90" s="528"/>
      <c r="AMD90" s="528"/>
      <c r="AME90" s="528"/>
      <c r="AMF90" s="528"/>
      <c r="AMG90" s="528"/>
      <c r="AMH90" s="528"/>
      <c r="AMI90" s="528"/>
      <c r="AMJ90" s="528"/>
      <c r="AMK90" s="528"/>
      <c r="AML90" s="528"/>
      <c r="AMM90" s="528"/>
      <c r="AMN90" s="528"/>
      <c r="AMO90" s="528"/>
      <c r="AMP90" s="528"/>
      <c r="AMQ90" s="528"/>
      <c r="AMR90" s="528"/>
      <c r="AMS90" s="528"/>
      <c r="AMT90" s="528"/>
      <c r="AMU90" s="528"/>
      <c r="AMV90" s="528"/>
      <c r="AMW90" s="528"/>
      <c r="AMX90" s="528"/>
      <c r="AMY90" s="528"/>
      <c r="AMZ90" s="528"/>
      <c r="ANA90" s="528"/>
      <c r="ANB90" s="528"/>
      <c r="ANC90" s="528"/>
      <c r="AND90" s="528"/>
      <c r="ANE90" s="528"/>
      <c r="ANF90" s="528"/>
      <c r="ANG90" s="528"/>
      <c r="ANH90" s="528"/>
      <c r="ANI90" s="528"/>
      <c r="ANJ90" s="528"/>
      <c r="ANK90" s="528"/>
      <c r="ANL90" s="528"/>
      <c r="ANM90" s="528"/>
      <c r="ANN90" s="528"/>
      <c r="ANO90" s="528"/>
      <c r="ANP90" s="528"/>
      <c r="ANQ90" s="528"/>
      <c r="ANR90" s="528"/>
      <c r="ANS90" s="528"/>
      <c r="ANT90" s="528"/>
      <c r="ANU90" s="528"/>
      <c r="ANV90" s="528"/>
      <c r="ANW90" s="528"/>
      <c r="ANX90" s="528"/>
      <c r="ANY90" s="528"/>
      <c r="ANZ90" s="528"/>
      <c r="AOA90" s="528"/>
      <c r="AOB90" s="528"/>
      <c r="AOC90" s="528"/>
      <c r="AOD90" s="528"/>
      <c r="AOE90" s="528"/>
      <c r="AOF90" s="528"/>
      <c r="AOG90" s="528"/>
      <c r="AOH90" s="528"/>
      <c r="AOI90" s="528"/>
      <c r="AOJ90" s="528"/>
      <c r="AOK90" s="528"/>
      <c r="AOL90" s="528"/>
      <c r="AOM90" s="528"/>
      <c r="AON90" s="528"/>
      <c r="AOO90" s="528"/>
      <c r="AOP90" s="528"/>
      <c r="AOQ90" s="528"/>
      <c r="AOR90" s="528"/>
      <c r="AOS90" s="528"/>
      <c r="AOT90" s="528"/>
      <c r="AOU90" s="528"/>
      <c r="AOV90" s="528"/>
      <c r="AOW90" s="528"/>
      <c r="AOX90" s="528"/>
      <c r="AOY90" s="528"/>
      <c r="AOZ90" s="528"/>
      <c r="APA90" s="528"/>
      <c r="APB90" s="528"/>
      <c r="APC90" s="528"/>
      <c r="APD90" s="528"/>
      <c r="APE90" s="528"/>
      <c r="APF90" s="528"/>
      <c r="APG90" s="528"/>
      <c r="APH90" s="528"/>
      <c r="API90" s="528"/>
      <c r="APJ90" s="528"/>
      <c r="APK90" s="528"/>
      <c r="APL90" s="528"/>
      <c r="APM90" s="528"/>
      <c r="APN90" s="528"/>
      <c r="APO90" s="528"/>
      <c r="APP90" s="528"/>
      <c r="APQ90" s="528"/>
      <c r="APR90" s="528"/>
      <c r="APS90" s="528"/>
      <c r="APT90" s="528"/>
      <c r="APU90" s="528"/>
      <c r="APV90" s="528"/>
      <c r="APW90" s="528"/>
      <c r="APX90" s="528"/>
      <c r="APY90" s="528"/>
      <c r="APZ90" s="528"/>
      <c r="AQA90" s="528"/>
      <c r="AQB90" s="528"/>
      <c r="AQC90" s="528"/>
      <c r="AQD90" s="528"/>
      <c r="AQE90" s="528"/>
      <c r="AQF90" s="528"/>
      <c r="AQG90" s="528"/>
      <c r="AQH90" s="528"/>
      <c r="AQI90" s="528"/>
      <c r="AQJ90" s="528"/>
      <c r="AQK90" s="528"/>
      <c r="AQL90" s="528"/>
      <c r="AQM90" s="528"/>
      <c r="AQN90" s="528"/>
      <c r="AQO90" s="528"/>
      <c r="AQP90" s="528"/>
      <c r="AQQ90" s="528"/>
      <c r="AQR90" s="528"/>
      <c r="AQS90" s="528"/>
      <c r="AQT90" s="528"/>
      <c r="AQU90" s="528"/>
      <c r="AQV90" s="528"/>
      <c r="AQW90" s="528"/>
      <c r="AQX90" s="528"/>
      <c r="AQY90" s="528"/>
      <c r="AQZ90" s="528"/>
      <c r="ARA90" s="528"/>
      <c r="ARB90" s="528"/>
      <c r="ARC90" s="528"/>
      <c r="ARD90" s="528"/>
      <c r="ARE90" s="528"/>
      <c r="ARF90" s="528"/>
      <c r="ARG90" s="528"/>
      <c r="ARH90" s="528"/>
      <c r="ARI90" s="528"/>
      <c r="ARJ90" s="528"/>
      <c r="ARK90" s="528"/>
      <c r="ARL90" s="528"/>
      <c r="ARM90" s="528"/>
      <c r="ARN90" s="528"/>
      <c r="ARO90" s="528"/>
      <c r="ARP90" s="528"/>
      <c r="ARQ90" s="528"/>
      <c r="ARR90" s="528"/>
      <c r="ARS90" s="528"/>
      <c r="ART90" s="528"/>
      <c r="ARU90" s="528"/>
      <c r="ARV90" s="528"/>
      <c r="ARW90" s="528"/>
      <c r="ARX90" s="528"/>
      <c r="ARY90" s="528"/>
      <c r="ARZ90" s="528"/>
      <c r="ASA90" s="528"/>
      <c r="ASB90" s="528"/>
      <c r="ASC90" s="528"/>
      <c r="ASD90" s="528"/>
      <c r="ASE90" s="528"/>
      <c r="ASF90" s="528"/>
      <c r="ASG90" s="528"/>
      <c r="ASH90" s="528"/>
      <c r="ASI90" s="528"/>
      <c r="ASJ90" s="528"/>
      <c r="ASK90" s="528"/>
      <c r="ASL90" s="528"/>
      <c r="ASM90" s="528"/>
      <c r="ASN90" s="528"/>
      <c r="ASO90" s="528"/>
      <c r="ASP90" s="528"/>
      <c r="ASQ90" s="528"/>
      <c r="ASR90" s="528"/>
      <c r="ASS90" s="528"/>
      <c r="AST90" s="528"/>
      <c r="ASU90" s="528"/>
      <c r="ASV90" s="528"/>
      <c r="ASW90" s="528"/>
      <c r="ASX90" s="528"/>
      <c r="ASY90" s="528"/>
      <c r="ASZ90" s="528"/>
      <c r="ATA90" s="528"/>
      <c r="ATB90" s="528"/>
      <c r="ATC90" s="528"/>
      <c r="ATD90" s="528"/>
      <c r="ATE90" s="528"/>
      <c r="ATF90" s="528"/>
      <c r="ATG90" s="528"/>
      <c r="ATH90" s="528"/>
      <c r="ATI90" s="528"/>
      <c r="ATJ90" s="528"/>
      <c r="ATK90" s="528"/>
      <c r="ATL90" s="528"/>
      <c r="ATM90" s="528"/>
      <c r="ATN90" s="528"/>
      <c r="ATO90" s="528"/>
      <c r="ATP90" s="528"/>
      <c r="ATQ90" s="528"/>
      <c r="ATR90" s="528"/>
      <c r="ATS90" s="528"/>
      <c r="ATT90" s="528"/>
      <c r="ATU90" s="528"/>
      <c r="ATV90" s="528"/>
      <c r="ATW90" s="528"/>
      <c r="ATX90" s="528"/>
      <c r="ATY90" s="528"/>
      <c r="ATZ90" s="528"/>
      <c r="AUA90" s="528"/>
      <c r="AUB90" s="528"/>
      <c r="AUC90" s="528"/>
      <c r="AUD90" s="528"/>
      <c r="AUE90" s="528"/>
      <c r="AUF90" s="528"/>
      <c r="AUG90" s="528"/>
      <c r="AUH90" s="528"/>
      <c r="AUI90" s="528"/>
      <c r="AUJ90" s="528"/>
      <c r="AUK90" s="528"/>
      <c r="AUL90" s="528"/>
      <c r="AUM90" s="528"/>
      <c r="AUN90" s="528"/>
      <c r="AUO90" s="528"/>
      <c r="AUP90" s="528"/>
      <c r="AUQ90" s="528"/>
      <c r="AUR90" s="528"/>
      <c r="AUS90" s="528"/>
      <c r="AUT90" s="528"/>
      <c r="AUU90" s="528"/>
      <c r="AUV90" s="528"/>
      <c r="AUW90" s="528"/>
      <c r="AUX90" s="528"/>
      <c r="AUY90" s="528"/>
      <c r="AUZ90" s="528"/>
      <c r="AVA90" s="528"/>
      <c r="AVB90" s="528"/>
      <c r="AVC90" s="528"/>
      <c r="AVD90" s="528"/>
      <c r="AVE90" s="528"/>
      <c r="AVF90" s="528"/>
      <c r="AVG90" s="528"/>
      <c r="AVH90" s="528"/>
      <c r="AVI90" s="528"/>
      <c r="AVJ90" s="528"/>
      <c r="AVK90" s="528"/>
      <c r="AVL90" s="528"/>
      <c r="AVM90" s="528"/>
      <c r="AVN90" s="528"/>
      <c r="AVO90" s="528"/>
      <c r="AVP90" s="528"/>
      <c r="AVQ90" s="528"/>
      <c r="AVR90" s="528"/>
      <c r="AVS90" s="528"/>
      <c r="AVT90" s="528"/>
      <c r="AVU90" s="528"/>
      <c r="AVV90" s="528"/>
      <c r="AVW90" s="528"/>
      <c r="AVX90" s="528"/>
      <c r="AVY90" s="528"/>
      <c r="AVZ90" s="528"/>
      <c r="AWA90" s="528"/>
      <c r="AWB90" s="528"/>
      <c r="AWC90" s="528"/>
      <c r="AWD90" s="528"/>
      <c r="AWE90" s="528"/>
      <c r="AWF90" s="528"/>
      <c r="AWG90" s="528"/>
      <c r="AWH90" s="528"/>
      <c r="AWI90" s="528"/>
      <c r="AWJ90" s="528"/>
      <c r="AWK90" s="528"/>
      <c r="AWL90" s="528"/>
      <c r="AWM90" s="528"/>
      <c r="AWN90" s="528"/>
      <c r="AWO90" s="528"/>
      <c r="AWP90" s="528"/>
      <c r="AWQ90" s="528"/>
      <c r="AWR90" s="528"/>
      <c r="AWS90" s="528"/>
      <c r="AWT90" s="528"/>
      <c r="AWU90" s="528"/>
      <c r="AWV90" s="528"/>
      <c r="AWW90" s="528"/>
      <c r="AWX90" s="528"/>
      <c r="AWY90" s="528"/>
      <c r="AWZ90" s="528"/>
      <c r="AXA90" s="528"/>
      <c r="AXB90" s="528"/>
      <c r="AXC90" s="528"/>
      <c r="AXD90" s="528"/>
      <c r="AXE90" s="528"/>
      <c r="AXF90" s="528"/>
      <c r="AXG90" s="528"/>
      <c r="AXH90" s="528"/>
      <c r="AXI90" s="528"/>
      <c r="AXJ90" s="528"/>
      <c r="AXK90" s="528"/>
      <c r="AXL90" s="528"/>
      <c r="AXM90" s="528"/>
      <c r="AXN90" s="528"/>
      <c r="AXO90" s="528"/>
      <c r="AXP90" s="528"/>
      <c r="AXQ90" s="528"/>
      <c r="AXR90" s="528"/>
      <c r="AXS90" s="528"/>
      <c r="AXT90" s="528"/>
      <c r="AXU90" s="528"/>
      <c r="AXV90" s="528"/>
      <c r="AXW90" s="528"/>
      <c r="AXX90" s="528"/>
      <c r="AXY90" s="528"/>
      <c r="AXZ90" s="528"/>
      <c r="AYA90" s="528"/>
      <c r="AYB90" s="528"/>
      <c r="AYC90" s="528"/>
      <c r="AYD90" s="528"/>
      <c r="AYE90" s="528"/>
      <c r="AYF90" s="528"/>
      <c r="AYG90" s="528"/>
      <c r="AYH90" s="528"/>
      <c r="AYI90" s="528"/>
      <c r="AYJ90" s="528"/>
      <c r="AYK90" s="528"/>
      <c r="AYL90" s="528"/>
      <c r="AYM90" s="528"/>
      <c r="AYN90" s="528"/>
      <c r="AYO90" s="528"/>
      <c r="AYP90" s="528"/>
      <c r="AYQ90" s="528"/>
      <c r="AYR90" s="528"/>
      <c r="AYS90" s="528"/>
      <c r="AYT90" s="528"/>
      <c r="AYU90" s="528"/>
      <c r="AYV90" s="528"/>
      <c r="AYW90" s="528"/>
      <c r="AYX90" s="528"/>
      <c r="AYY90" s="528"/>
      <c r="AYZ90" s="528"/>
      <c r="AZA90" s="528"/>
      <c r="AZB90" s="528"/>
      <c r="AZC90" s="528"/>
      <c r="AZD90" s="528"/>
      <c r="AZE90" s="528"/>
      <c r="AZF90" s="528"/>
      <c r="AZG90" s="528"/>
      <c r="AZH90" s="528"/>
      <c r="AZI90" s="528"/>
      <c r="AZJ90" s="528"/>
      <c r="AZK90" s="528"/>
      <c r="AZL90" s="528"/>
      <c r="AZM90" s="528"/>
      <c r="AZN90" s="528"/>
      <c r="AZO90" s="528"/>
      <c r="AZP90" s="528"/>
      <c r="AZQ90" s="528"/>
      <c r="AZR90" s="528"/>
      <c r="AZS90" s="528"/>
      <c r="AZT90" s="528"/>
      <c r="AZU90" s="528"/>
      <c r="AZV90" s="528"/>
      <c r="AZW90" s="528"/>
      <c r="AZX90" s="528"/>
      <c r="AZY90" s="528"/>
      <c r="AZZ90" s="528"/>
      <c r="BAA90" s="528"/>
      <c r="BAB90" s="528"/>
      <c r="BAC90" s="528"/>
      <c r="BAD90" s="528"/>
      <c r="BAE90" s="528"/>
      <c r="BAF90" s="528"/>
      <c r="BAG90" s="528"/>
      <c r="BAH90" s="528"/>
      <c r="BAI90" s="528"/>
      <c r="BAJ90" s="528"/>
      <c r="BAK90" s="528"/>
      <c r="BAL90" s="528"/>
      <c r="BAM90" s="528"/>
      <c r="BAN90" s="528"/>
      <c r="BAO90" s="528"/>
      <c r="BAP90" s="528"/>
      <c r="BAQ90" s="528"/>
      <c r="BAR90" s="528"/>
      <c r="BAS90" s="528"/>
      <c r="BAT90" s="528"/>
      <c r="BAU90" s="528"/>
      <c r="BAV90" s="528"/>
      <c r="BAW90" s="528"/>
      <c r="BAX90" s="528"/>
      <c r="BAY90" s="528"/>
      <c r="BAZ90" s="528"/>
      <c r="BBA90" s="528"/>
      <c r="BBB90" s="528"/>
      <c r="BBC90" s="528"/>
      <c r="BBD90" s="528"/>
      <c r="BBE90" s="528"/>
      <c r="BBF90" s="528"/>
      <c r="BBG90" s="528"/>
      <c r="BBH90" s="528"/>
      <c r="BBI90" s="528"/>
      <c r="BBJ90" s="528"/>
      <c r="BBK90" s="528"/>
      <c r="BBL90" s="528"/>
      <c r="BBM90" s="528"/>
      <c r="BBN90" s="528"/>
      <c r="BBO90" s="528"/>
      <c r="BBP90" s="528"/>
      <c r="BBQ90" s="528"/>
      <c r="BBR90" s="528"/>
      <c r="BBS90" s="528"/>
      <c r="BBT90" s="528"/>
      <c r="BBU90" s="528"/>
      <c r="BBV90" s="528"/>
      <c r="BBW90" s="528"/>
      <c r="BBX90" s="528"/>
      <c r="BBY90" s="528"/>
      <c r="BBZ90" s="528"/>
      <c r="BCA90" s="528"/>
      <c r="BCB90" s="528"/>
      <c r="BCC90" s="528"/>
      <c r="BCD90" s="528"/>
      <c r="BCE90" s="528"/>
      <c r="BCF90" s="528"/>
      <c r="BCG90" s="528"/>
      <c r="BCH90" s="528"/>
      <c r="BCI90" s="528"/>
      <c r="BCJ90" s="528"/>
      <c r="BCK90" s="528"/>
      <c r="BCL90" s="528"/>
      <c r="BCM90" s="528"/>
      <c r="BCN90" s="528"/>
      <c r="BCO90" s="528"/>
      <c r="BCP90" s="528"/>
      <c r="BCQ90" s="528"/>
      <c r="BCR90" s="528"/>
      <c r="BCS90" s="528"/>
      <c r="BCT90" s="528"/>
      <c r="BCU90" s="528"/>
      <c r="BCV90" s="528"/>
      <c r="BCW90" s="528"/>
      <c r="BCX90" s="528"/>
      <c r="BCY90" s="528"/>
      <c r="BCZ90" s="528"/>
      <c r="BDA90" s="528"/>
      <c r="BDB90" s="528"/>
      <c r="BDC90" s="528"/>
      <c r="BDD90" s="528"/>
      <c r="BDE90" s="528"/>
      <c r="BDF90" s="528"/>
      <c r="BDG90" s="528"/>
      <c r="BDH90" s="528"/>
      <c r="BDI90" s="528"/>
      <c r="BDJ90" s="528"/>
      <c r="BDK90" s="528"/>
      <c r="BDL90" s="528"/>
      <c r="BDM90" s="528"/>
      <c r="BDN90" s="528"/>
      <c r="BDO90" s="528"/>
      <c r="BDP90" s="528"/>
      <c r="BDQ90" s="528"/>
      <c r="BDR90" s="528"/>
      <c r="BDS90" s="528"/>
      <c r="BDT90" s="528"/>
      <c r="BDU90" s="528"/>
      <c r="BDV90" s="528"/>
      <c r="BDW90" s="528"/>
      <c r="BDX90" s="528"/>
      <c r="BDY90" s="528"/>
      <c r="BDZ90" s="528"/>
      <c r="BEA90" s="528"/>
      <c r="BEB90" s="528"/>
      <c r="BEC90" s="528"/>
      <c r="BED90" s="528"/>
      <c r="BEE90" s="528"/>
      <c r="BEF90" s="528"/>
      <c r="BEG90" s="528"/>
      <c r="BEH90" s="528"/>
      <c r="BEI90" s="528"/>
      <c r="BEJ90" s="528"/>
      <c r="BEK90" s="528"/>
      <c r="BEL90" s="528"/>
      <c r="BEM90" s="528"/>
      <c r="BEN90" s="528"/>
      <c r="BEO90" s="528"/>
      <c r="BEP90" s="528"/>
      <c r="BEQ90" s="528"/>
      <c r="BER90" s="528"/>
      <c r="BES90" s="528"/>
      <c r="BET90" s="528"/>
      <c r="BEU90" s="528"/>
      <c r="BEV90" s="528"/>
      <c r="BEW90" s="528"/>
      <c r="BEX90" s="528"/>
      <c r="BEY90" s="528"/>
      <c r="BEZ90" s="528"/>
      <c r="BFA90" s="528"/>
      <c r="BFB90" s="528"/>
      <c r="BFC90" s="528"/>
      <c r="BFD90" s="528"/>
      <c r="BFE90" s="528"/>
      <c r="BFF90" s="528"/>
      <c r="BFG90" s="528"/>
      <c r="BFH90" s="528"/>
      <c r="BFI90" s="528"/>
      <c r="BFJ90" s="528"/>
      <c r="BFK90" s="528"/>
      <c r="BFL90" s="528"/>
      <c r="BFM90" s="528"/>
      <c r="BFN90" s="528"/>
      <c r="BFO90" s="528"/>
      <c r="BFP90" s="528"/>
      <c r="BFQ90" s="528"/>
      <c r="BFR90" s="528"/>
      <c r="BFS90" s="528"/>
      <c r="BFT90" s="528"/>
      <c r="BFU90" s="528"/>
      <c r="BFV90" s="528"/>
      <c r="BFW90" s="528"/>
      <c r="BFX90" s="528"/>
      <c r="BFY90" s="528"/>
      <c r="BFZ90" s="528"/>
      <c r="BGA90" s="528"/>
      <c r="BGB90" s="528"/>
      <c r="BGC90" s="528"/>
      <c r="BGD90" s="528"/>
      <c r="BGE90" s="528"/>
      <c r="BGF90" s="528"/>
      <c r="BGG90" s="528"/>
      <c r="BGH90" s="528"/>
      <c r="BGI90" s="528"/>
      <c r="BGJ90" s="528"/>
      <c r="BGK90" s="528"/>
      <c r="BGL90" s="528"/>
      <c r="BGM90" s="528"/>
      <c r="BGN90" s="528"/>
      <c r="BGO90" s="528"/>
      <c r="BGP90" s="528"/>
      <c r="BGQ90" s="528"/>
      <c r="BGR90" s="528"/>
      <c r="BGS90" s="528"/>
      <c r="BGT90" s="528"/>
      <c r="BGU90" s="528"/>
      <c r="BGV90" s="528"/>
      <c r="BGW90" s="528"/>
      <c r="BGX90" s="528"/>
      <c r="BGY90" s="528"/>
      <c r="BGZ90" s="528"/>
      <c r="BHA90" s="528"/>
      <c r="BHB90" s="528"/>
      <c r="BHC90" s="528"/>
      <c r="BHD90" s="528"/>
      <c r="BHE90" s="528"/>
      <c r="BHF90" s="528"/>
      <c r="BHG90" s="528"/>
      <c r="BHH90" s="528"/>
      <c r="BHI90" s="528"/>
      <c r="BHJ90" s="528"/>
      <c r="BHK90" s="528"/>
      <c r="BHL90" s="528"/>
      <c r="BHM90" s="528"/>
      <c r="BHN90" s="528"/>
      <c r="BHO90" s="528"/>
      <c r="BHP90" s="528"/>
      <c r="BHQ90" s="528"/>
      <c r="BHR90" s="528"/>
      <c r="BHS90" s="528"/>
      <c r="BHT90" s="528"/>
      <c r="BHU90" s="528"/>
      <c r="BHV90" s="528"/>
      <c r="BHW90" s="528"/>
      <c r="BHX90" s="528"/>
      <c r="BHY90" s="528"/>
      <c r="BHZ90" s="528"/>
      <c r="BIA90" s="528"/>
      <c r="BIB90" s="528"/>
      <c r="BIC90" s="528"/>
      <c r="BID90" s="528"/>
      <c r="BIE90" s="528"/>
      <c r="BIF90" s="528"/>
      <c r="BIG90" s="528"/>
      <c r="BIH90" s="528"/>
      <c r="BII90" s="528"/>
      <c r="BIJ90" s="528"/>
      <c r="BIK90" s="528"/>
      <c r="BIL90" s="528"/>
      <c r="BIM90" s="528"/>
      <c r="BIN90" s="528"/>
      <c r="BIO90" s="528"/>
      <c r="BIP90" s="528"/>
      <c r="BIQ90" s="528"/>
      <c r="BIR90" s="528"/>
      <c r="BIS90" s="528"/>
      <c r="BIT90" s="528"/>
      <c r="BIU90" s="528"/>
      <c r="BIV90" s="528"/>
      <c r="BIW90" s="528"/>
      <c r="BIX90" s="528"/>
      <c r="BIY90" s="528"/>
      <c r="BIZ90" s="528"/>
      <c r="BJA90" s="528"/>
      <c r="BJB90" s="528"/>
      <c r="BJC90" s="528"/>
      <c r="BJD90" s="528"/>
      <c r="BJE90" s="528"/>
      <c r="BJF90" s="528"/>
      <c r="BJG90" s="528"/>
      <c r="BJH90" s="528"/>
      <c r="BJI90" s="528"/>
      <c r="BJJ90" s="528"/>
      <c r="BJK90" s="528"/>
      <c r="BJL90" s="528"/>
      <c r="BJM90" s="528"/>
      <c r="BJN90" s="528"/>
      <c r="BJO90" s="528"/>
      <c r="BJP90" s="528"/>
      <c r="BJQ90" s="528"/>
      <c r="BJR90" s="528"/>
      <c r="BJS90" s="528"/>
      <c r="BJT90" s="528"/>
      <c r="BJU90" s="528"/>
      <c r="BJV90" s="528"/>
      <c r="BJW90" s="528"/>
      <c r="BJX90" s="528"/>
      <c r="BJY90" s="528"/>
      <c r="BJZ90" s="528"/>
      <c r="BKA90" s="528"/>
      <c r="BKB90" s="528"/>
      <c r="BKC90" s="528"/>
      <c r="BKD90" s="528"/>
      <c r="BKE90" s="528"/>
      <c r="BKF90" s="528"/>
      <c r="BKG90" s="528"/>
      <c r="BKH90" s="528"/>
      <c r="BKI90" s="528"/>
      <c r="BKJ90" s="528"/>
      <c r="BKK90" s="528"/>
      <c r="BKL90" s="528"/>
      <c r="BKM90" s="528"/>
      <c r="BKN90" s="528"/>
      <c r="BKO90" s="528"/>
      <c r="BKP90" s="528"/>
      <c r="BKQ90" s="528"/>
      <c r="BKR90" s="528"/>
      <c r="BKS90" s="528"/>
      <c r="BKT90" s="528"/>
      <c r="BKU90" s="528"/>
      <c r="BKV90" s="528"/>
      <c r="BKW90" s="528"/>
      <c r="BKX90" s="528"/>
      <c r="BKY90" s="528"/>
      <c r="BKZ90" s="528"/>
      <c r="BLA90" s="528"/>
      <c r="BLB90" s="528"/>
      <c r="BLC90" s="528"/>
      <c r="BLD90" s="528"/>
      <c r="BLE90" s="528"/>
      <c r="BLF90" s="528"/>
      <c r="BLG90" s="528"/>
      <c r="BLH90" s="528"/>
      <c r="BLI90" s="528"/>
      <c r="BLJ90" s="528"/>
      <c r="BLK90" s="528"/>
      <c r="BLL90" s="528"/>
      <c r="BLM90" s="528"/>
      <c r="BLN90" s="528"/>
      <c r="BLO90" s="528"/>
      <c r="BLP90" s="528"/>
      <c r="BLQ90" s="528"/>
      <c r="BLR90" s="528"/>
      <c r="BLS90" s="528"/>
      <c r="BLT90" s="528"/>
      <c r="BLU90" s="528"/>
      <c r="BLV90" s="528"/>
      <c r="BLW90" s="528"/>
      <c r="BLX90" s="528"/>
      <c r="BLY90" s="528"/>
      <c r="BLZ90" s="528"/>
      <c r="BMA90" s="528"/>
      <c r="BMB90" s="528"/>
      <c r="BMC90" s="528"/>
      <c r="BMD90" s="528"/>
      <c r="BME90" s="528"/>
      <c r="BMF90" s="528"/>
      <c r="BMG90" s="528"/>
      <c r="BMH90" s="528"/>
      <c r="BMI90" s="528"/>
      <c r="BMJ90" s="528"/>
      <c r="BMK90" s="528"/>
      <c r="BML90" s="528"/>
      <c r="BMM90" s="528"/>
      <c r="BMN90" s="528"/>
      <c r="BMO90" s="528"/>
      <c r="BMP90" s="528"/>
      <c r="BMQ90" s="528"/>
      <c r="BMR90" s="528"/>
      <c r="BMS90" s="528"/>
      <c r="BMT90" s="528"/>
      <c r="BMU90" s="528"/>
      <c r="BMV90" s="528"/>
      <c r="BMW90" s="528"/>
      <c r="BMX90" s="528"/>
      <c r="BMY90" s="528"/>
      <c r="BMZ90" s="528"/>
      <c r="BNA90" s="528"/>
      <c r="BNB90" s="528"/>
      <c r="BNC90" s="528"/>
      <c r="BND90" s="528"/>
      <c r="BNE90" s="528"/>
      <c r="BNF90" s="528"/>
      <c r="BNG90" s="528"/>
      <c r="BNH90" s="528"/>
      <c r="BNI90" s="528"/>
      <c r="BNJ90" s="528"/>
      <c r="BNK90" s="528"/>
      <c r="BNL90" s="528"/>
      <c r="BNM90" s="528"/>
      <c r="BNN90" s="528"/>
      <c r="BNO90" s="528"/>
      <c r="BNP90" s="528"/>
      <c r="BNQ90" s="528"/>
      <c r="BNR90" s="528"/>
      <c r="BNS90" s="528"/>
      <c r="BNT90" s="528"/>
      <c r="BNU90" s="528"/>
      <c r="BNV90" s="528"/>
      <c r="BNW90" s="528"/>
      <c r="BNX90" s="528"/>
      <c r="BNY90" s="528"/>
      <c r="BNZ90" s="528"/>
      <c r="BOA90" s="528"/>
      <c r="BOB90" s="528"/>
      <c r="BOC90" s="528"/>
      <c r="BOD90" s="528"/>
      <c r="BOE90" s="528"/>
      <c r="BOF90" s="528"/>
      <c r="BOG90" s="528"/>
      <c r="BOH90" s="528"/>
      <c r="BOI90" s="528"/>
      <c r="BOJ90" s="528"/>
      <c r="BOK90" s="528"/>
      <c r="BOL90" s="528"/>
      <c r="BOM90" s="528"/>
      <c r="BON90" s="528"/>
      <c r="BOO90" s="528"/>
      <c r="BOP90" s="528"/>
      <c r="BOQ90" s="528"/>
      <c r="BOR90" s="528"/>
      <c r="BOS90" s="528"/>
      <c r="BOT90" s="528"/>
      <c r="BOU90" s="528"/>
      <c r="BOV90" s="528"/>
      <c r="BOW90" s="528"/>
      <c r="BOX90" s="528"/>
      <c r="BOY90" s="528"/>
      <c r="BOZ90" s="528"/>
      <c r="BPA90" s="528"/>
      <c r="BPB90" s="528"/>
      <c r="BPC90" s="528"/>
      <c r="BPD90" s="528"/>
      <c r="BPE90" s="528"/>
      <c r="BPF90" s="528"/>
      <c r="BPG90" s="528"/>
      <c r="BPH90" s="528"/>
      <c r="BPI90" s="528"/>
      <c r="BPJ90" s="528"/>
      <c r="BPK90" s="528"/>
      <c r="BPL90" s="528"/>
      <c r="BPM90" s="528"/>
      <c r="BPN90" s="528"/>
      <c r="BPO90" s="528"/>
      <c r="BPP90" s="528"/>
      <c r="BPQ90" s="528"/>
      <c r="BPR90" s="528"/>
      <c r="BPS90" s="528"/>
      <c r="BPT90" s="528"/>
      <c r="BPU90" s="528"/>
      <c r="BPV90" s="528"/>
      <c r="BPW90" s="528"/>
      <c r="BPX90" s="528"/>
      <c r="BPY90" s="528"/>
      <c r="BPZ90" s="528"/>
      <c r="BQA90" s="528"/>
      <c r="BQB90" s="528"/>
      <c r="BQC90" s="528"/>
      <c r="BQD90" s="528"/>
      <c r="BQE90" s="528"/>
      <c r="BQF90" s="528"/>
      <c r="BQG90" s="528"/>
      <c r="BQH90" s="528"/>
      <c r="BQI90" s="528"/>
      <c r="BQJ90" s="528"/>
      <c r="BQK90" s="528"/>
      <c r="BQL90" s="528"/>
      <c r="BQM90" s="528"/>
      <c r="BQN90" s="528"/>
      <c r="BQO90" s="528"/>
      <c r="BQP90" s="528"/>
      <c r="BQQ90" s="528"/>
      <c r="BQR90" s="528"/>
      <c r="BQS90" s="528"/>
      <c r="BQT90" s="528"/>
      <c r="BQU90" s="528"/>
      <c r="BQV90" s="528"/>
      <c r="BQW90" s="528"/>
      <c r="BQX90" s="528"/>
      <c r="BQY90" s="528"/>
      <c r="BQZ90" s="528"/>
      <c r="BRA90" s="528"/>
      <c r="BRB90" s="528"/>
      <c r="BRC90" s="528"/>
      <c r="BRD90" s="528"/>
      <c r="BRE90" s="528"/>
      <c r="BRF90" s="528"/>
      <c r="BRG90" s="528"/>
      <c r="BRH90" s="528"/>
      <c r="BRI90" s="528"/>
      <c r="BRJ90" s="528"/>
      <c r="BRK90" s="528"/>
      <c r="BRL90" s="528"/>
      <c r="BRM90" s="528"/>
      <c r="BRN90" s="528"/>
      <c r="BRO90" s="528"/>
      <c r="BRP90" s="528"/>
      <c r="BRQ90" s="528"/>
      <c r="BRR90" s="528"/>
      <c r="BRS90" s="528"/>
      <c r="BRT90" s="528"/>
      <c r="BRU90" s="528"/>
      <c r="BRV90" s="528"/>
      <c r="BRW90" s="528"/>
      <c r="BRX90" s="528"/>
      <c r="BRY90" s="528"/>
      <c r="BRZ90" s="528"/>
      <c r="BSA90" s="528"/>
      <c r="BSB90" s="528"/>
      <c r="BSC90" s="528"/>
      <c r="BSD90" s="528"/>
      <c r="BSE90" s="528"/>
      <c r="BSF90" s="528"/>
      <c r="BSG90" s="528"/>
      <c r="BSH90" s="528"/>
      <c r="BSI90" s="528"/>
      <c r="BSJ90" s="528"/>
      <c r="BSK90" s="528"/>
      <c r="BSL90" s="528"/>
      <c r="BSM90" s="528"/>
      <c r="BSN90" s="528"/>
      <c r="BSO90" s="528"/>
      <c r="BSP90" s="528"/>
      <c r="BSQ90" s="528"/>
      <c r="BSR90" s="528"/>
      <c r="BSS90" s="528"/>
      <c r="BST90" s="528"/>
      <c r="BSU90" s="528"/>
      <c r="BSV90" s="528"/>
      <c r="BSW90" s="528"/>
      <c r="BSX90" s="528"/>
      <c r="BSY90" s="528"/>
      <c r="BSZ90" s="528"/>
      <c r="BTA90" s="528"/>
      <c r="BTB90" s="528"/>
      <c r="BTC90" s="528"/>
      <c r="BTD90" s="528"/>
      <c r="BTE90" s="528"/>
      <c r="BTF90" s="528"/>
      <c r="BTG90" s="528"/>
      <c r="BTH90" s="528"/>
      <c r="BTI90" s="528"/>
      <c r="BTJ90" s="528"/>
      <c r="BTK90" s="528"/>
      <c r="BTL90" s="528"/>
      <c r="BTM90" s="528"/>
      <c r="BTN90" s="528"/>
      <c r="BTO90" s="528"/>
      <c r="BTP90" s="528"/>
      <c r="BTQ90" s="528"/>
      <c r="BTR90" s="528"/>
      <c r="BTS90" s="528"/>
      <c r="BTT90" s="528"/>
      <c r="BTU90" s="528"/>
      <c r="BTV90" s="528"/>
      <c r="BTW90" s="528"/>
      <c r="BTX90" s="528"/>
      <c r="BTY90" s="528"/>
      <c r="BTZ90" s="528"/>
      <c r="BUA90" s="528"/>
      <c r="BUB90" s="528"/>
      <c r="BUC90" s="528"/>
      <c r="BUD90" s="528"/>
      <c r="BUE90" s="528"/>
      <c r="BUF90" s="528"/>
      <c r="BUG90" s="528"/>
      <c r="BUH90" s="528"/>
      <c r="BUI90" s="528"/>
      <c r="BUJ90" s="528"/>
      <c r="BUK90" s="528"/>
      <c r="BUL90" s="528"/>
      <c r="BUM90" s="528"/>
      <c r="BUN90" s="528"/>
      <c r="BUO90" s="528"/>
      <c r="BUP90" s="528"/>
      <c r="BUQ90" s="528"/>
      <c r="BUR90" s="528"/>
      <c r="BUS90" s="528"/>
      <c r="BUT90" s="528"/>
      <c r="BUU90" s="528"/>
      <c r="BUV90" s="528"/>
      <c r="BUW90" s="528"/>
      <c r="BUX90" s="528"/>
      <c r="BUY90" s="528"/>
      <c r="BUZ90" s="528"/>
      <c r="BVA90" s="528"/>
      <c r="BVB90" s="528"/>
      <c r="BVC90" s="528"/>
      <c r="BVD90" s="528"/>
      <c r="BVE90" s="528"/>
      <c r="BVF90" s="528"/>
      <c r="BVG90" s="528"/>
      <c r="BVH90" s="528"/>
      <c r="BVI90" s="528"/>
      <c r="BVJ90" s="528"/>
      <c r="BVK90" s="528"/>
      <c r="BVL90" s="528"/>
      <c r="BVM90" s="528"/>
      <c r="BVN90" s="528"/>
      <c r="BVO90" s="528"/>
      <c r="BVP90" s="528"/>
      <c r="BVQ90" s="528"/>
      <c r="BVR90" s="528"/>
      <c r="BVS90" s="528"/>
      <c r="BVT90" s="528"/>
      <c r="BVU90" s="528"/>
      <c r="BVV90" s="528"/>
      <c r="BVW90" s="528"/>
      <c r="BVX90" s="528"/>
      <c r="BVY90" s="528"/>
      <c r="BVZ90" s="528"/>
      <c r="BWA90" s="528"/>
      <c r="BWB90" s="528"/>
      <c r="BWC90" s="528"/>
      <c r="BWD90" s="528"/>
      <c r="BWE90" s="528"/>
      <c r="BWF90" s="528"/>
      <c r="BWG90" s="528"/>
      <c r="BWH90" s="528"/>
      <c r="BWI90" s="528"/>
      <c r="BWJ90" s="528"/>
      <c r="BWK90" s="528"/>
      <c r="BWL90" s="528"/>
      <c r="BWM90" s="528"/>
      <c r="BWN90" s="528"/>
      <c r="BWO90" s="528"/>
      <c r="BWP90" s="528"/>
      <c r="BWQ90" s="528"/>
      <c r="BWR90" s="528"/>
      <c r="BWS90" s="528"/>
      <c r="BWT90" s="528"/>
      <c r="BWU90" s="528"/>
      <c r="BWV90" s="528"/>
      <c r="BWW90" s="528"/>
      <c r="BWX90" s="528"/>
      <c r="BWY90" s="528"/>
      <c r="BWZ90" s="528"/>
      <c r="BXA90" s="528"/>
      <c r="BXB90" s="528"/>
      <c r="BXC90" s="528"/>
      <c r="BXD90" s="528"/>
      <c r="BXE90" s="528"/>
      <c r="BXF90" s="528"/>
      <c r="BXG90" s="528"/>
      <c r="BXH90" s="528"/>
      <c r="BXI90" s="528"/>
      <c r="BXJ90" s="528"/>
      <c r="BXK90" s="528"/>
      <c r="BXL90" s="528"/>
      <c r="BXM90" s="528"/>
      <c r="BXN90" s="528"/>
      <c r="BXO90" s="528"/>
      <c r="BXP90" s="528"/>
      <c r="BXQ90" s="528"/>
      <c r="BXR90" s="528"/>
      <c r="BXS90" s="528"/>
      <c r="BXT90" s="528"/>
      <c r="BXU90" s="528"/>
      <c r="BXV90" s="528"/>
      <c r="BXW90" s="528"/>
      <c r="BXX90" s="528"/>
      <c r="BXY90" s="528"/>
      <c r="BXZ90" s="528"/>
      <c r="BYA90" s="528"/>
      <c r="BYB90" s="528"/>
      <c r="BYC90" s="528"/>
      <c r="BYD90" s="528"/>
      <c r="BYE90" s="528"/>
      <c r="BYF90" s="528"/>
      <c r="BYG90" s="528"/>
      <c r="BYH90" s="528"/>
      <c r="BYI90" s="528"/>
      <c r="BYJ90" s="528"/>
      <c r="BYK90" s="528"/>
      <c r="BYL90" s="528"/>
      <c r="BYM90" s="528"/>
      <c r="BYN90" s="528"/>
      <c r="BYO90" s="528"/>
      <c r="BYP90" s="528"/>
      <c r="BYQ90" s="528"/>
      <c r="BYR90" s="528"/>
      <c r="BYS90" s="528"/>
      <c r="BYT90" s="528"/>
      <c r="BYU90" s="528"/>
      <c r="BYV90" s="528"/>
      <c r="BYW90" s="528"/>
      <c r="BYX90" s="528"/>
      <c r="BYY90" s="528"/>
      <c r="BYZ90" s="528"/>
      <c r="BZA90" s="528"/>
      <c r="BZB90" s="528"/>
      <c r="BZC90" s="528"/>
      <c r="BZD90" s="528"/>
      <c r="BZE90" s="528"/>
      <c r="BZF90" s="528"/>
      <c r="BZG90" s="528"/>
      <c r="BZH90" s="528"/>
      <c r="BZI90" s="528"/>
      <c r="BZJ90" s="528"/>
      <c r="BZK90" s="528"/>
      <c r="BZL90" s="528"/>
      <c r="BZM90" s="528"/>
      <c r="BZN90" s="528"/>
      <c r="BZO90" s="528"/>
      <c r="BZP90" s="528"/>
      <c r="BZQ90" s="528"/>
      <c r="BZR90" s="528"/>
      <c r="BZS90" s="528"/>
      <c r="BZT90" s="528"/>
      <c r="BZU90" s="528"/>
      <c r="BZV90" s="528"/>
      <c r="BZW90" s="528"/>
      <c r="BZX90" s="528"/>
      <c r="BZY90" s="528"/>
      <c r="BZZ90" s="528"/>
      <c r="CAA90" s="528"/>
      <c r="CAB90" s="528"/>
      <c r="CAC90" s="528"/>
      <c r="CAD90" s="528"/>
      <c r="CAE90" s="528"/>
      <c r="CAF90" s="528"/>
      <c r="CAG90" s="528"/>
      <c r="CAH90" s="528"/>
      <c r="CAI90" s="528"/>
      <c r="CAJ90" s="528"/>
      <c r="CAK90" s="528"/>
      <c r="CAL90" s="528"/>
      <c r="CAM90" s="528"/>
      <c r="CAN90" s="528"/>
      <c r="CAO90" s="528"/>
      <c r="CAP90" s="528"/>
      <c r="CAQ90" s="528"/>
      <c r="CAR90" s="528"/>
      <c r="CAS90" s="528"/>
      <c r="CAT90" s="528"/>
      <c r="CAU90" s="528"/>
      <c r="CAV90" s="528"/>
      <c r="CAW90" s="528"/>
      <c r="CAX90" s="528"/>
      <c r="CAY90" s="528"/>
      <c r="CAZ90" s="528"/>
      <c r="CBA90" s="528"/>
      <c r="CBB90" s="528"/>
      <c r="CBC90" s="528"/>
      <c r="CBD90" s="528"/>
      <c r="CBE90" s="528"/>
      <c r="CBF90" s="528"/>
      <c r="CBG90" s="528"/>
      <c r="CBH90" s="528"/>
      <c r="CBI90" s="528"/>
      <c r="CBJ90" s="528"/>
      <c r="CBK90" s="528"/>
      <c r="CBL90" s="528"/>
      <c r="CBM90" s="528"/>
      <c r="CBN90" s="528"/>
      <c r="CBO90" s="528"/>
      <c r="CBP90" s="528"/>
      <c r="CBQ90" s="528"/>
      <c r="CBR90" s="528"/>
      <c r="CBS90" s="528"/>
      <c r="CBT90" s="528"/>
      <c r="CBU90" s="528"/>
      <c r="CBV90" s="528"/>
      <c r="CBW90" s="528"/>
      <c r="CBX90" s="528"/>
      <c r="CBY90" s="528"/>
      <c r="CBZ90" s="528"/>
      <c r="CCA90" s="528"/>
      <c r="CCB90" s="528"/>
      <c r="CCC90" s="528"/>
      <c r="CCD90" s="528"/>
      <c r="CCE90" s="528"/>
      <c r="CCF90" s="528"/>
      <c r="CCG90" s="528"/>
      <c r="CCH90" s="528"/>
      <c r="CCI90" s="528"/>
      <c r="CCJ90" s="528"/>
      <c r="CCK90" s="528"/>
      <c r="CCL90" s="528"/>
      <c r="CCM90" s="528"/>
      <c r="CCN90" s="528"/>
      <c r="CCO90" s="528"/>
      <c r="CCP90" s="528"/>
      <c r="CCQ90" s="528"/>
      <c r="CCR90" s="528"/>
      <c r="CCS90" s="528"/>
      <c r="CCT90" s="528"/>
      <c r="CCU90" s="528"/>
      <c r="CCV90" s="528"/>
      <c r="CCW90" s="528"/>
      <c r="CCX90" s="528"/>
      <c r="CCY90" s="528"/>
      <c r="CCZ90" s="528"/>
      <c r="CDA90" s="528"/>
      <c r="CDB90" s="528"/>
      <c r="CDC90" s="528"/>
      <c r="CDD90" s="528"/>
      <c r="CDE90" s="528"/>
      <c r="CDF90" s="528"/>
      <c r="CDG90" s="528"/>
      <c r="CDH90" s="528"/>
      <c r="CDI90" s="528"/>
      <c r="CDJ90" s="528"/>
      <c r="CDK90" s="528"/>
      <c r="CDL90" s="528"/>
      <c r="CDM90" s="528"/>
      <c r="CDN90" s="528"/>
      <c r="CDO90" s="528"/>
      <c r="CDP90" s="528"/>
      <c r="CDQ90" s="528"/>
      <c r="CDR90" s="528"/>
      <c r="CDS90" s="528"/>
      <c r="CDT90" s="528"/>
      <c r="CDU90" s="528"/>
      <c r="CDV90" s="528"/>
      <c r="CDW90" s="528"/>
      <c r="CDX90" s="528"/>
      <c r="CDY90" s="528"/>
      <c r="CDZ90" s="528"/>
      <c r="CEA90" s="528"/>
      <c r="CEB90" s="528"/>
      <c r="CEC90" s="528"/>
      <c r="CED90" s="528"/>
      <c r="CEE90" s="528"/>
      <c r="CEF90" s="528"/>
      <c r="CEG90" s="528"/>
      <c r="CEH90" s="528"/>
      <c r="CEI90" s="528"/>
      <c r="CEJ90" s="528"/>
      <c r="CEK90" s="528"/>
      <c r="CEL90" s="528"/>
      <c r="CEM90" s="528"/>
      <c r="CEN90" s="528"/>
      <c r="CEO90" s="528"/>
      <c r="CEP90" s="528"/>
      <c r="CEQ90" s="528"/>
      <c r="CER90" s="528"/>
      <c r="CES90" s="528"/>
      <c r="CET90" s="528"/>
      <c r="CEU90" s="528"/>
      <c r="CEV90" s="528"/>
      <c r="CEW90" s="528"/>
      <c r="CEX90" s="528"/>
      <c r="CEY90" s="528"/>
      <c r="CEZ90" s="528"/>
      <c r="CFA90" s="528"/>
      <c r="CFB90" s="528"/>
      <c r="CFC90" s="528"/>
      <c r="CFD90" s="528"/>
      <c r="CFE90" s="528"/>
      <c r="CFF90" s="528"/>
      <c r="CFG90" s="528"/>
      <c r="CFH90" s="528"/>
      <c r="CFI90" s="528"/>
      <c r="CFJ90" s="528"/>
      <c r="CFK90" s="528"/>
      <c r="CFL90" s="528"/>
      <c r="CFM90" s="528"/>
      <c r="CFN90" s="528"/>
      <c r="CFO90" s="528"/>
      <c r="CFP90" s="528"/>
      <c r="CFQ90" s="528"/>
      <c r="CFR90" s="528"/>
      <c r="CFS90" s="528"/>
      <c r="CFT90" s="528"/>
      <c r="CFU90" s="528"/>
      <c r="CFV90" s="528"/>
      <c r="CFW90" s="528"/>
      <c r="CFX90" s="528"/>
      <c r="CFY90" s="528"/>
      <c r="CFZ90" s="528"/>
      <c r="CGA90" s="528"/>
      <c r="CGB90" s="528"/>
      <c r="CGC90" s="528"/>
      <c r="CGD90" s="528"/>
      <c r="CGE90" s="528"/>
      <c r="CGF90" s="528"/>
      <c r="CGG90" s="528"/>
      <c r="CGH90" s="528"/>
      <c r="CGI90" s="528"/>
      <c r="CGJ90" s="528"/>
      <c r="CGK90" s="528"/>
      <c r="CGL90" s="528"/>
      <c r="CGM90" s="528"/>
      <c r="CGN90" s="528"/>
      <c r="CGO90" s="528"/>
      <c r="CGP90" s="528"/>
      <c r="CGQ90" s="528"/>
      <c r="CGR90" s="528"/>
      <c r="CGS90" s="528"/>
      <c r="CGT90" s="528"/>
      <c r="CGU90" s="528"/>
      <c r="CGV90" s="528"/>
      <c r="CGW90" s="528"/>
      <c r="CGX90" s="528"/>
      <c r="CGY90" s="528"/>
      <c r="CGZ90" s="528"/>
      <c r="CHA90" s="528"/>
      <c r="CHB90" s="528"/>
      <c r="CHC90" s="528"/>
      <c r="CHD90" s="528"/>
      <c r="CHE90" s="528"/>
      <c r="CHF90" s="528"/>
      <c r="CHG90" s="528"/>
      <c r="CHH90" s="528"/>
      <c r="CHI90" s="528"/>
      <c r="CHJ90" s="528"/>
      <c r="CHK90" s="528"/>
      <c r="CHL90" s="528"/>
      <c r="CHM90" s="528"/>
      <c r="CHN90" s="528"/>
      <c r="CHO90" s="528"/>
      <c r="CHP90" s="528"/>
      <c r="CHQ90" s="528"/>
      <c r="CHR90" s="528"/>
      <c r="CHS90" s="528"/>
      <c r="CHT90" s="528"/>
      <c r="CHU90" s="528"/>
      <c r="CHV90" s="528"/>
      <c r="CHW90" s="528"/>
      <c r="CHX90" s="528"/>
      <c r="CHY90" s="528"/>
      <c r="CHZ90" s="528"/>
      <c r="CIA90" s="528"/>
      <c r="CIB90" s="528"/>
      <c r="CIC90" s="528"/>
      <c r="CID90" s="528"/>
      <c r="CIE90" s="528"/>
      <c r="CIF90" s="528"/>
      <c r="CIG90" s="528"/>
      <c r="CIH90" s="528"/>
      <c r="CII90" s="528"/>
      <c r="CIJ90" s="528"/>
      <c r="CIK90" s="528"/>
      <c r="CIL90" s="528"/>
      <c r="CIM90" s="528"/>
      <c r="CIN90" s="528"/>
      <c r="CIO90" s="528"/>
      <c r="CIP90" s="528"/>
      <c r="CIQ90" s="528"/>
      <c r="CIR90" s="528"/>
      <c r="CIS90" s="528"/>
      <c r="CIT90" s="528"/>
      <c r="CIU90" s="528"/>
      <c r="CIV90" s="528"/>
      <c r="CIW90" s="528"/>
      <c r="CIX90" s="528"/>
      <c r="CIY90" s="528"/>
      <c r="CIZ90" s="528"/>
      <c r="CJA90" s="528"/>
      <c r="CJB90" s="528"/>
      <c r="CJC90" s="528"/>
      <c r="CJD90" s="528"/>
      <c r="CJE90" s="528"/>
      <c r="CJF90" s="528"/>
      <c r="CJG90" s="528"/>
      <c r="CJH90" s="528"/>
      <c r="CJI90" s="528"/>
      <c r="CJJ90" s="528"/>
      <c r="CJK90" s="528"/>
      <c r="CJL90" s="528"/>
      <c r="CJM90" s="528"/>
      <c r="CJN90" s="528"/>
      <c r="CJO90" s="528"/>
      <c r="CJP90" s="528"/>
      <c r="CJQ90" s="528"/>
      <c r="CJR90" s="528"/>
      <c r="CJS90" s="528"/>
      <c r="CJT90" s="528"/>
      <c r="CJU90" s="528"/>
      <c r="CJV90" s="528"/>
      <c r="CJW90" s="528"/>
      <c r="CJX90" s="528"/>
      <c r="CJY90" s="528"/>
      <c r="CJZ90" s="528"/>
      <c r="CKA90" s="528"/>
      <c r="CKB90" s="528"/>
      <c r="CKC90" s="528"/>
      <c r="CKD90" s="528"/>
      <c r="CKE90" s="528"/>
      <c r="CKF90" s="528"/>
      <c r="CKG90" s="528"/>
      <c r="CKH90" s="528"/>
      <c r="CKI90" s="528"/>
      <c r="CKJ90" s="528"/>
      <c r="CKK90" s="528"/>
      <c r="CKL90" s="528"/>
      <c r="CKM90" s="528"/>
      <c r="CKN90" s="528"/>
      <c r="CKO90" s="528"/>
      <c r="CKP90" s="528"/>
      <c r="CKQ90" s="528"/>
      <c r="CKR90" s="528"/>
      <c r="CKS90" s="528"/>
      <c r="CKT90" s="528"/>
      <c r="CKU90" s="528"/>
      <c r="CKV90" s="528"/>
      <c r="CKW90" s="528"/>
      <c r="CKX90" s="528"/>
      <c r="CKY90" s="528"/>
      <c r="CKZ90" s="528"/>
      <c r="CLA90" s="528"/>
      <c r="CLB90" s="528"/>
      <c r="CLC90" s="528"/>
      <c r="CLD90" s="528"/>
      <c r="CLE90" s="528"/>
      <c r="CLF90" s="528"/>
      <c r="CLG90" s="528"/>
      <c r="CLH90" s="528"/>
      <c r="CLI90" s="528"/>
      <c r="CLJ90" s="528"/>
      <c r="CLK90" s="528"/>
      <c r="CLL90" s="528"/>
      <c r="CLM90" s="528"/>
      <c r="CLN90" s="528"/>
      <c r="CLO90" s="528"/>
      <c r="CLP90" s="528"/>
      <c r="CLQ90" s="528"/>
      <c r="CLR90" s="528"/>
      <c r="CLS90" s="528"/>
      <c r="CLT90" s="528"/>
      <c r="CLU90" s="528"/>
      <c r="CLV90" s="528"/>
      <c r="CLW90" s="528"/>
      <c r="CLX90" s="528"/>
      <c r="CLY90" s="528"/>
      <c r="CLZ90" s="528"/>
      <c r="CMA90" s="528"/>
      <c r="CMB90" s="528"/>
      <c r="CMC90" s="528"/>
      <c r="CMD90" s="528"/>
      <c r="CME90" s="528"/>
      <c r="CMF90" s="528"/>
      <c r="CMG90" s="528"/>
      <c r="CMH90" s="528"/>
      <c r="CMI90" s="528"/>
      <c r="CMJ90" s="528"/>
      <c r="CMK90" s="528"/>
      <c r="CML90" s="528"/>
      <c r="CMM90" s="528"/>
      <c r="CMN90" s="528"/>
      <c r="CMO90" s="528"/>
      <c r="CMP90" s="528"/>
      <c r="CMQ90" s="528"/>
      <c r="CMR90" s="528"/>
      <c r="CMS90" s="528"/>
      <c r="CMT90" s="528"/>
      <c r="CMU90" s="528"/>
      <c r="CMV90" s="528"/>
      <c r="CMW90" s="528"/>
      <c r="CMX90" s="528"/>
      <c r="CMY90" s="528"/>
      <c r="CMZ90" s="528"/>
      <c r="CNA90" s="528"/>
      <c r="CNB90" s="528"/>
      <c r="CNC90" s="528"/>
      <c r="CND90" s="528"/>
      <c r="CNE90" s="528"/>
      <c r="CNF90" s="528"/>
      <c r="CNG90" s="528"/>
      <c r="CNH90" s="528"/>
      <c r="CNI90" s="528"/>
      <c r="CNJ90" s="528"/>
      <c r="CNK90" s="528"/>
      <c r="CNL90" s="528"/>
      <c r="CNM90" s="528"/>
      <c r="CNN90" s="528"/>
      <c r="CNO90" s="528"/>
      <c r="CNP90" s="528"/>
      <c r="CNQ90" s="528"/>
      <c r="CNR90" s="528"/>
      <c r="CNS90" s="528"/>
      <c r="CNT90" s="528"/>
      <c r="CNU90" s="528"/>
      <c r="CNV90" s="528"/>
      <c r="CNW90" s="528"/>
      <c r="CNX90" s="528"/>
      <c r="CNY90" s="528"/>
      <c r="CNZ90" s="528"/>
      <c r="COA90" s="528"/>
      <c r="COB90" s="528"/>
      <c r="COC90" s="528"/>
      <c r="COD90" s="528"/>
      <c r="COE90" s="528"/>
      <c r="COF90" s="528"/>
      <c r="COG90" s="528"/>
      <c r="COH90" s="528"/>
      <c r="COI90" s="528"/>
      <c r="COJ90" s="528"/>
      <c r="COK90" s="528"/>
      <c r="COL90" s="528"/>
      <c r="COM90" s="528"/>
      <c r="CON90" s="528"/>
      <c r="COO90" s="528"/>
      <c r="COP90" s="528"/>
      <c r="COQ90" s="528"/>
      <c r="COR90" s="528"/>
      <c r="COS90" s="528"/>
      <c r="COT90" s="528"/>
      <c r="COU90" s="528"/>
      <c r="COV90" s="528"/>
      <c r="COW90" s="528"/>
      <c r="COX90" s="528"/>
      <c r="COY90" s="528"/>
      <c r="COZ90" s="528"/>
      <c r="CPA90" s="528"/>
      <c r="CPB90" s="528"/>
      <c r="CPC90" s="528"/>
      <c r="CPD90" s="528"/>
      <c r="CPE90" s="528"/>
      <c r="CPF90" s="528"/>
      <c r="CPG90" s="528"/>
      <c r="CPH90" s="528"/>
      <c r="CPI90" s="528"/>
      <c r="CPJ90" s="528"/>
      <c r="CPK90" s="528"/>
      <c r="CPL90" s="528"/>
      <c r="CPM90" s="528"/>
      <c r="CPN90" s="528"/>
      <c r="CPO90" s="528"/>
      <c r="CPP90" s="528"/>
      <c r="CPQ90" s="528"/>
      <c r="CPR90" s="528"/>
      <c r="CPS90" s="528"/>
      <c r="CPT90" s="528"/>
      <c r="CPU90" s="528"/>
      <c r="CPV90" s="528"/>
      <c r="CPW90" s="528"/>
      <c r="CPX90" s="528"/>
      <c r="CPY90" s="528"/>
      <c r="CPZ90" s="528"/>
      <c r="CQA90" s="528"/>
      <c r="CQB90" s="528"/>
      <c r="CQC90" s="528"/>
      <c r="CQD90" s="528"/>
      <c r="CQE90" s="528"/>
      <c r="CQF90" s="528"/>
      <c r="CQG90" s="528"/>
      <c r="CQH90" s="528"/>
      <c r="CQI90" s="528"/>
      <c r="CQJ90" s="528"/>
      <c r="CQK90" s="528"/>
      <c r="CQL90" s="528"/>
      <c r="CQM90" s="528"/>
      <c r="CQN90" s="528"/>
      <c r="CQO90" s="528"/>
      <c r="CQP90" s="528"/>
      <c r="CQQ90" s="528"/>
      <c r="CQR90" s="528"/>
      <c r="CQS90" s="528"/>
      <c r="CQT90" s="528"/>
      <c r="CQU90" s="528"/>
      <c r="CQV90" s="528"/>
      <c r="CQW90" s="528"/>
      <c r="CQX90" s="528"/>
      <c r="CQY90" s="528"/>
      <c r="CQZ90" s="528"/>
      <c r="CRA90" s="528"/>
      <c r="CRB90" s="528"/>
      <c r="CRC90" s="528"/>
      <c r="CRD90" s="528"/>
      <c r="CRE90" s="528"/>
      <c r="CRF90" s="528"/>
      <c r="CRG90" s="528"/>
      <c r="CRH90" s="528"/>
      <c r="CRI90" s="528"/>
      <c r="CRJ90" s="528"/>
      <c r="CRK90" s="528"/>
      <c r="CRL90" s="528"/>
      <c r="CRM90" s="528"/>
      <c r="CRN90" s="528"/>
      <c r="CRO90" s="528"/>
      <c r="CRP90" s="528"/>
      <c r="CRQ90" s="528"/>
      <c r="CRR90" s="528"/>
      <c r="CRS90" s="528"/>
      <c r="CRT90" s="528"/>
      <c r="CRU90" s="528"/>
      <c r="CRV90" s="528"/>
      <c r="CRW90" s="528"/>
      <c r="CRX90" s="528"/>
      <c r="CRY90" s="528"/>
      <c r="CRZ90" s="528"/>
      <c r="CSA90" s="528"/>
      <c r="CSB90" s="528"/>
      <c r="CSC90" s="528"/>
      <c r="CSD90" s="528"/>
      <c r="CSE90" s="528"/>
      <c r="CSF90" s="528"/>
      <c r="CSG90" s="528"/>
      <c r="CSH90" s="528"/>
      <c r="CSI90" s="528"/>
      <c r="CSJ90" s="528"/>
      <c r="CSK90" s="528"/>
      <c r="CSL90" s="528"/>
      <c r="CSM90" s="528"/>
      <c r="CSN90" s="528"/>
      <c r="CSO90" s="528"/>
      <c r="CSP90" s="528"/>
      <c r="CSQ90" s="528"/>
      <c r="CSR90" s="528"/>
      <c r="CSS90" s="528"/>
      <c r="CST90" s="528"/>
      <c r="CSU90" s="528"/>
      <c r="CSV90" s="528"/>
      <c r="CSW90" s="528"/>
      <c r="CSX90" s="528"/>
      <c r="CSY90" s="528"/>
      <c r="CSZ90" s="528"/>
      <c r="CTA90" s="528"/>
      <c r="CTB90" s="528"/>
      <c r="CTC90" s="528"/>
      <c r="CTD90" s="528"/>
      <c r="CTE90" s="528"/>
      <c r="CTF90" s="528"/>
      <c r="CTG90" s="528"/>
      <c r="CTH90" s="528"/>
      <c r="CTI90" s="528"/>
      <c r="CTJ90" s="528"/>
      <c r="CTK90" s="528"/>
      <c r="CTL90" s="528"/>
      <c r="CTM90" s="528"/>
      <c r="CTN90" s="528"/>
      <c r="CTO90" s="528"/>
      <c r="CTP90" s="528"/>
      <c r="CTQ90" s="528"/>
      <c r="CTR90" s="528"/>
      <c r="CTS90" s="528"/>
      <c r="CTT90" s="528"/>
      <c r="CTU90" s="528"/>
      <c r="CTV90" s="528"/>
      <c r="CTW90" s="528"/>
      <c r="CTX90" s="528"/>
      <c r="CTY90" s="528"/>
      <c r="CTZ90" s="528"/>
      <c r="CUA90" s="528"/>
      <c r="CUB90" s="528"/>
      <c r="CUC90" s="528"/>
      <c r="CUD90" s="528"/>
      <c r="CUE90" s="528"/>
      <c r="CUF90" s="528"/>
      <c r="CUG90" s="528"/>
      <c r="CUH90" s="528"/>
      <c r="CUI90" s="528"/>
      <c r="CUJ90" s="528"/>
      <c r="CUK90" s="528"/>
      <c r="CUL90" s="528"/>
      <c r="CUM90" s="528"/>
      <c r="CUN90" s="528"/>
      <c r="CUO90" s="528"/>
      <c r="CUP90" s="528"/>
      <c r="CUQ90" s="528"/>
      <c r="CUR90" s="528"/>
      <c r="CUS90" s="528"/>
      <c r="CUT90" s="528"/>
      <c r="CUU90" s="528"/>
      <c r="CUV90" s="528"/>
      <c r="CUW90" s="528"/>
      <c r="CUX90" s="528"/>
      <c r="CUY90" s="528"/>
      <c r="CUZ90" s="528"/>
      <c r="CVA90" s="528"/>
      <c r="CVB90" s="528"/>
      <c r="CVC90" s="528"/>
      <c r="CVD90" s="528"/>
      <c r="CVE90" s="528"/>
      <c r="CVF90" s="528"/>
      <c r="CVG90" s="528"/>
      <c r="CVH90" s="528"/>
      <c r="CVI90" s="528"/>
      <c r="CVJ90" s="528"/>
      <c r="CVK90" s="528"/>
      <c r="CVL90" s="528"/>
      <c r="CVM90" s="528"/>
      <c r="CVN90" s="528"/>
      <c r="CVO90" s="528"/>
      <c r="CVP90" s="528"/>
      <c r="CVQ90" s="528"/>
      <c r="CVR90" s="528"/>
      <c r="CVS90" s="528"/>
      <c r="CVT90" s="528"/>
      <c r="CVU90" s="528"/>
      <c r="CVV90" s="528"/>
      <c r="CVW90" s="528"/>
      <c r="CVX90" s="528"/>
      <c r="CVY90" s="528"/>
      <c r="CVZ90" s="528"/>
      <c r="CWA90" s="528"/>
      <c r="CWB90" s="528"/>
      <c r="CWC90" s="528"/>
      <c r="CWD90" s="528"/>
      <c r="CWE90" s="528"/>
      <c r="CWF90" s="528"/>
      <c r="CWG90" s="528"/>
      <c r="CWH90" s="528"/>
      <c r="CWI90" s="528"/>
      <c r="CWJ90" s="528"/>
      <c r="CWK90" s="528"/>
      <c r="CWL90" s="528"/>
      <c r="CWM90" s="528"/>
      <c r="CWN90" s="528"/>
      <c r="CWO90" s="528"/>
      <c r="CWP90" s="528"/>
      <c r="CWQ90" s="528"/>
      <c r="CWR90" s="528"/>
      <c r="CWS90" s="528"/>
      <c r="CWT90" s="528"/>
      <c r="CWU90" s="528"/>
      <c r="CWV90" s="528"/>
      <c r="CWW90" s="528"/>
      <c r="CWX90" s="528"/>
      <c r="CWY90" s="528"/>
      <c r="CWZ90" s="528"/>
      <c r="CXA90" s="528"/>
      <c r="CXB90" s="528"/>
      <c r="CXC90" s="528"/>
      <c r="CXD90" s="528"/>
      <c r="CXE90" s="528"/>
      <c r="CXF90" s="528"/>
      <c r="CXG90" s="528"/>
      <c r="CXH90" s="528"/>
      <c r="CXI90" s="528"/>
      <c r="CXJ90" s="528"/>
      <c r="CXK90" s="528"/>
      <c r="CXL90" s="528"/>
      <c r="CXM90" s="528"/>
      <c r="CXN90" s="528"/>
      <c r="CXO90" s="528"/>
      <c r="CXP90" s="528"/>
      <c r="CXQ90" s="528"/>
      <c r="CXR90" s="528"/>
      <c r="CXS90" s="528"/>
      <c r="CXT90" s="528"/>
      <c r="CXU90" s="528"/>
      <c r="CXV90" s="528"/>
      <c r="CXW90" s="528"/>
      <c r="CXX90" s="528"/>
      <c r="CXY90" s="528"/>
      <c r="CXZ90" s="528"/>
      <c r="CYA90" s="528"/>
      <c r="CYB90" s="528"/>
      <c r="CYC90" s="528"/>
      <c r="CYD90" s="528"/>
      <c r="CYE90" s="528"/>
      <c r="CYF90" s="528"/>
      <c r="CYG90" s="528"/>
      <c r="CYH90" s="528"/>
      <c r="CYI90" s="528"/>
      <c r="CYJ90" s="528"/>
      <c r="CYK90" s="528"/>
      <c r="CYL90" s="528"/>
      <c r="CYM90" s="528"/>
      <c r="CYN90" s="528"/>
      <c r="CYO90" s="528"/>
      <c r="CYP90" s="528"/>
      <c r="CYQ90" s="528"/>
      <c r="CYR90" s="528"/>
      <c r="CYS90" s="528"/>
      <c r="CYT90" s="528"/>
      <c r="CYU90" s="528"/>
      <c r="CYV90" s="528"/>
      <c r="CYW90" s="528"/>
      <c r="CYX90" s="528"/>
      <c r="CYY90" s="528"/>
      <c r="CYZ90" s="528"/>
      <c r="CZA90" s="528"/>
      <c r="CZB90" s="528"/>
      <c r="CZC90" s="528"/>
      <c r="CZD90" s="528"/>
      <c r="CZE90" s="528"/>
      <c r="CZF90" s="528"/>
      <c r="CZG90" s="528"/>
      <c r="CZH90" s="528"/>
      <c r="CZI90" s="528"/>
      <c r="CZJ90" s="528"/>
      <c r="CZK90" s="528"/>
      <c r="CZL90" s="528"/>
      <c r="CZM90" s="528"/>
      <c r="CZN90" s="528"/>
      <c r="CZO90" s="528"/>
      <c r="CZP90" s="528"/>
      <c r="CZQ90" s="528"/>
      <c r="CZR90" s="528"/>
      <c r="CZS90" s="528"/>
      <c r="CZT90" s="528"/>
      <c r="CZU90" s="528"/>
      <c r="CZV90" s="528"/>
      <c r="CZW90" s="528"/>
      <c r="CZX90" s="528"/>
      <c r="CZY90" s="528"/>
      <c r="CZZ90" s="528"/>
      <c r="DAA90" s="528"/>
      <c r="DAB90" s="528"/>
      <c r="DAC90" s="528"/>
      <c r="DAD90" s="528"/>
      <c r="DAE90" s="528"/>
      <c r="DAF90" s="528"/>
      <c r="DAG90" s="528"/>
      <c r="DAH90" s="528"/>
      <c r="DAI90" s="528"/>
      <c r="DAJ90" s="528"/>
      <c r="DAK90" s="528"/>
      <c r="DAL90" s="528"/>
      <c r="DAM90" s="528"/>
      <c r="DAN90" s="528"/>
      <c r="DAO90" s="528"/>
      <c r="DAP90" s="528"/>
      <c r="DAQ90" s="528"/>
      <c r="DAR90" s="528"/>
      <c r="DAS90" s="528"/>
      <c r="DAT90" s="528"/>
      <c r="DAU90" s="528"/>
      <c r="DAV90" s="528"/>
      <c r="DAW90" s="528"/>
      <c r="DAX90" s="528"/>
      <c r="DAY90" s="528"/>
      <c r="DAZ90" s="528"/>
      <c r="DBA90" s="528"/>
      <c r="DBB90" s="528"/>
      <c r="DBC90" s="528"/>
      <c r="DBD90" s="528"/>
      <c r="DBE90" s="528"/>
      <c r="DBF90" s="528"/>
      <c r="DBG90" s="528"/>
      <c r="DBH90" s="528"/>
      <c r="DBI90" s="528"/>
      <c r="DBJ90" s="528"/>
      <c r="DBK90" s="528"/>
      <c r="DBL90" s="528"/>
      <c r="DBM90" s="528"/>
      <c r="DBN90" s="528"/>
      <c r="DBO90" s="528"/>
      <c r="DBP90" s="528"/>
      <c r="DBQ90" s="528"/>
      <c r="DBR90" s="528"/>
      <c r="DBS90" s="528"/>
      <c r="DBT90" s="528"/>
      <c r="DBU90" s="528"/>
      <c r="DBV90" s="528"/>
      <c r="DBW90" s="528"/>
      <c r="DBX90" s="528"/>
      <c r="DBY90" s="528"/>
      <c r="DBZ90" s="528"/>
      <c r="DCA90" s="528"/>
      <c r="DCB90" s="528"/>
      <c r="DCC90" s="528"/>
      <c r="DCD90" s="528"/>
      <c r="DCE90" s="528"/>
      <c r="DCF90" s="528"/>
      <c r="DCG90" s="528"/>
      <c r="DCH90" s="528"/>
      <c r="DCI90" s="528"/>
      <c r="DCJ90" s="528"/>
      <c r="DCK90" s="528"/>
      <c r="DCL90" s="528"/>
      <c r="DCM90" s="528"/>
      <c r="DCN90" s="528"/>
      <c r="DCO90" s="528"/>
      <c r="DCP90" s="528"/>
      <c r="DCQ90" s="528"/>
      <c r="DCR90" s="528"/>
      <c r="DCS90" s="528"/>
      <c r="DCT90" s="528"/>
      <c r="DCU90" s="528"/>
      <c r="DCV90" s="528"/>
      <c r="DCW90" s="528"/>
      <c r="DCX90" s="528"/>
      <c r="DCY90" s="528"/>
      <c r="DCZ90" s="528"/>
      <c r="DDA90" s="528"/>
      <c r="DDB90" s="528"/>
      <c r="DDC90" s="528"/>
      <c r="DDD90" s="528"/>
      <c r="DDE90" s="528"/>
      <c r="DDF90" s="528"/>
      <c r="DDG90" s="528"/>
      <c r="DDH90" s="528"/>
      <c r="DDI90" s="528"/>
      <c r="DDJ90" s="528"/>
      <c r="DDK90" s="528"/>
      <c r="DDL90" s="528"/>
      <c r="DDM90" s="528"/>
      <c r="DDN90" s="528"/>
      <c r="DDO90" s="528"/>
      <c r="DDP90" s="528"/>
      <c r="DDQ90" s="528"/>
      <c r="DDR90" s="528"/>
      <c r="DDS90" s="528"/>
      <c r="DDT90" s="528"/>
      <c r="DDU90" s="528"/>
      <c r="DDV90" s="528"/>
      <c r="DDW90" s="528"/>
      <c r="DDX90" s="528"/>
      <c r="DDY90" s="528"/>
      <c r="DDZ90" s="528"/>
      <c r="DEA90" s="528"/>
      <c r="DEB90" s="528"/>
      <c r="DEC90" s="528"/>
      <c r="DED90" s="528"/>
      <c r="DEE90" s="528"/>
      <c r="DEF90" s="528"/>
      <c r="DEG90" s="528"/>
      <c r="DEH90" s="528"/>
      <c r="DEI90" s="528"/>
      <c r="DEJ90" s="528"/>
      <c r="DEK90" s="528"/>
      <c r="DEL90" s="528"/>
      <c r="DEM90" s="528"/>
      <c r="DEN90" s="528"/>
      <c r="DEO90" s="528"/>
      <c r="DEP90" s="528"/>
      <c r="DEQ90" s="528"/>
      <c r="DER90" s="528"/>
      <c r="DES90" s="528"/>
      <c r="DET90" s="528"/>
      <c r="DEU90" s="528"/>
      <c r="DEV90" s="528"/>
      <c r="DEW90" s="528"/>
      <c r="DEX90" s="528"/>
      <c r="DEY90" s="528"/>
      <c r="DEZ90" s="528"/>
      <c r="DFA90" s="528"/>
      <c r="DFB90" s="528"/>
      <c r="DFC90" s="528"/>
      <c r="DFD90" s="528"/>
      <c r="DFE90" s="528"/>
      <c r="DFF90" s="528"/>
      <c r="DFG90" s="528"/>
      <c r="DFH90" s="528"/>
      <c r="DFI90" s="528"/>
      <c r="DFJ90" s="528"/>
      <c r="DFK90" s="528"/>
      <c r="DFL90" s="528"/>
      <c r="DFM90" s="528"/>
      <c r="DFN90" s="528"/>
      <c r="DFO90" s="528"/>
      <c r="DFP90" s="528"/>
      <c r="DFQ90" s="528"/>
      <c r="DFR90" s="528"/>
      <c r="DFS90" s="528"/>
      <c r="DFT90" s="528"/>
      <c r="DFU90" s="528"/>
      <c r="DFV90" s="528"/>
      <c r="DFW90" s="528"/>
      <c r="DFX90" s="528"/>
      <c r="DFY90" s="528"/>
      <c r="DFZ90" s="528"/>
      <c r="DGA90" s="528"/>
      <c r="DGB90" s="528"/>
      <c r="DGC90" s="528"/>
      <c r="DGD90" s="528"/>
      <c r="DGE90" s="528"/>
      <c r="DGF90" s="528"/>
      <c r="DGG90" s="528"/>
      <c r="DGH90" s="528"/>
      <c r="DGI90" s="528"/>
      <c r="DGJ90" s="528"/>
      <c r="DGK90" s="528"/>
      <c r="DGL90" s="528"/>
      <c r="DGM90" s="528"/>
      <c r="DGN90" s="528"/>
      <c r="DGO90" s="528"/>
      <c r="DGP90" s="528"/>
      <c r="DGQ90" s="528"/>
      <c r="DGR90" s="528"/>
      <c r="DGS90" s="528"/>
      <c r="DGT90" s="528"/>
      <c r="DGU90" s="528"/>
      <c r="DGV90" s="528"/>
      <c r="DGW90" s="528"/>
      <c r="DGX90" s="528"/>
      <c r="DGY90" s="528"/>
      <c r="DGZ90" s="528"/>
      <c r="DHA90" s="528"/>
      <c r="DHB90" s="528"/>
      <c r="DHC90" s="528"/>
      <c r="DHD90" s="528"/>
      <c r="DHE90" s="528"/>
      <c r="DHF90" s="528"/>
      <c r="DHG90" s="528"/>
      <c r="DHH90" s="528"/>
      <c r="DHI90" s="528"/>
      <c r="DHJ90" s="528"/>
      <c r="DHK90" s="528"/>
      <c r="DHL90" s="528"/>
      <c r="DHM90" s="528"/>
      <c r="DHN90" s="528"/>
      <c r="DHO90" s="528"/>
      <c r="DHP90" s="528"/>
      <c r="DHQ90" s="528"/>
      <c r="DHR90" s="528"/>
      <c r="DHS90" s="528"/>
      <c r="DHT90" s="528"/>
      <c r="DHU90" s="528"/>
      <c r="DHV90" s="528"/>
      <c r="DHW90" s="528"/>
      <c r="DHX90" s="528"/>
      <c r="DHY90" s="528"/>
      <c r="DHZ90" s="528"/>
      <c r="DIA90" s="528"/>
      <c r="DIB90" s="528"/>
      <c r="DIC90" s="528"/>
      <c r="DID90" s="528"/>
      <c r="DIE90" s="528"/>
      <c r="DIF90" s="528"/>
      <c r="DIG90" s="528"/>
      <c r="DIH90" s="528"/>
      <c r="DII90" s="528"/>
      <c r="DIJ90" s="528"/>
      <c r="DIK90" s="528"/>
      <c r="DIL90" s="528"/>
      <c r="DIM90" s="528"/>
      <c r="DIN90" s="528"/>
      <c r="DIO90" s="528"/>
      <c r="DIP90" s="528"/>
      <c r="DIQ90" s="528"/>
      <c r="DIR90" s="528"/>
      <c r="DIS90" s="528"/>
      <c r="DIT90" s="528"/>
      <c r="DIU90" s="528"/>
      <c r="DIV90" s="528"/>
      <c r="DIW90" s="528"/>
      <c r="DIX90" s="528"/>
      <c r="DIY90" s="528"/>
      <c r="DIZ90" s="528"/>
      <c r="DJA90" s="528"/>
      <c r="DJB90" s="528"/>
      <c r="DJC90" s="528"/>
      <c r="DJD90" s="528"/>
      <c r="DJE90" s="528"/>
      <c r="DJF90" s="528"/>
      <c r="DJG90" s="528"/>
      <c r="DJH90" s="528"/>
      <c r="DJI90" s="528"/>
      <c r="DJJ90" s="528"/>
      <c r="DJK90" s="528"/>
      <c r="DJL90" s="528"/>
      <c r="DJM90" s="528"/>
      <c r="DJN90" s="528"/>
      <c r="DJO90" s="528"/>
      <c r="DJP90" s="528"/>
      <c r="DJQ90" s="528"/>
      <c r="DJR90" s="528"/>
      <c r="DJS90" s="528"/>
      <c r="DJT90" s="528"/>
      <c r="DJU90" s="528"/>
      <c r="DJV90" s="528"/>
      <c r="DJW90" s="528"/>
      <c r="DJX90" s="528"/>
      <c r="DJY90" s="528"/>
      <c r="DJZ90" s="528"/>
      <c r="DKA90" s="528"/>
      <c r="DKB90" s="528"/>
      <c r="DKC90" s="528"/>
      <c r="DKD90" s="528"/>
      <c r="DKE90" s="528"/>
      <c r="DKF90" s="528"/>
      <c r="DKG90" s="528"/>
      <c r="DKH90" s="528"/>
      <c r="DKI90" s="528"/>
      <c r="DKJ90" s="528"/>
      <c r="DKK90" s="528"/>
      <c r="DKL90" s="528"/>
      <c r="DKM90" s="528"/>
      <c r="DKN90" s="528"/>
      <c r="DKO90" s="528"/>
      <c r="DKP90" s="528"/>
      <c r="DKQ90" s="528"/>
      <c r="DKR90" s="528"/>
      <c r="DKS90" s="528"/>
      <c r="DKT90" s="528"/>
      <c r="DKU90" s="528"/>
      <c r="DKV90" s="528"/>
      <c r="DKW90" s="528"/>
      <c r="DKX90" s="528"/>
      <c r="DKY90" s="528"/>
      <c r="DKZ90" s="528"/>
      <c r="DLA90" s="528"/>
      <c r="DLB90" s="528"/>
      <c r="DLC90" s="528"/>
      <c r="DLD90" s="528"/>
      <c r="DLE90" s="528"/>
      <c r="DLF90" s="528"/>
      <c r="DLG90" s="528"/>
      <c r="DLH90" s="528"/>
      <c r="DLI90" s="528"/>
      <c r="DLJ90" s="528"/>
      <c r="DLK90" s="528"/>
      <c r="DLL90" s="528"/>
      <c r="DLM90" s="528"/>
      <c r="DLN90" s="528"/>
      <c r="DLO90" s="528"/>
      <c r="DLP90" s="528"/>
      <c r="DLQ90" s="528"/>
      <c r="DLR90" s="528"/>
      <c r="DLS90" s="528"/>
      <c r="DLT90" s="528"/>
      <c r="DLU90" s="528"/>
      <c r="DLV90" s="528"/>
      <c r="DLW90" s="528"/>
      <c r="DLX90" s="528"/>
      <c r="DLY90" s="528"/>
      <c r="DLZ90" s="528"/>
      <c r="DMA90" s="528"/>
      <c r="DMB90" s="528"/>
      <c r="DMC90" s="528"/>
      <c r="DMD90" s="528"/>
      <c r="DME90" s="528"/>
      <c r="DMF90" s="528"/>
      <c r="DMG90" s="528"/>
      <c r="DMH90" s="528"/>
      <c r="DMI90" s="528"/>
      <c r="DMJ90" s="528"/>
      <c r="DMK90" s="528"/>
      <c r="DML90" s="528"/>
      <c r="DMM90" s="528"/>
      <c r="DMN90" s="528"/>
      <c r="DMO90" s="528"/>
      <c r="DMP90" s="528"/>
      <c r="DMQ90" s="528"/>
      <c r="DMR90" s="528"/>
      <c r="DMS90" s="528"/>
      <c r="DMT90" s="528"/>
      <c r="DMU90" s="528"/>
      <c r="DMV90" s="528"/>
      <c r="DMW90" s="528"/>
      <c r="DMX90" s="528"/>
      <c r="DMY90" s="528"/>
      <c r="DMZ90" s="528"/>
      <c r="DNA90" s="528"/>
      <c r="DNB90" s="528"/>
      <c r="DNC90" s="528"/>
      <c r="DND90" s="528"/>
      <c r="DNE90" s="528"/>
      <c r="DNF90" s="528"/>
      <c r="DNG90" s="528"/>
      <c r="DNH90" s="528"/>
      <c r="DNI90" s="528"/>
      <c r="DNJ90" s="528"/>
      <c r="DNK90" s="528"/>
      <c r="DNL90" s="528"/>
      <c r="DNM90" s="528"/>
      <c r="DNN90" s="528"/>
      <c r="DNO90" s="528"/>
      <c r="DNP90" s="528"/>
      <c r="DNQ90" s="528"/>
      <c r="DNR90" s="528"/>
      <c r="DNS90" s="528"/>
      <c r="DNT90" s="528"/>
      <c r="DNU90" s="528"/>
      <c r="DNV90" s="528"/>
      <c r="DNW90" s="528"/>
      <c r="DNX90" s="528"/>
      <c r="DNY90" s="528"/>
      <c r="DNZ90" s="528"/>
      <c r="DOA90" s="528"/>
      <c r="DOB90" s="528"/>
      <c r="DOC90" s="528"/>
      <c r="DOD90" s="528"/>
      <c r="DOE90" s="528"/>
      <c r="DOF90" s="528"/>
      <c r="DOG90" s="528"/>
      <c r="DOH90" s="528"/>
      <c r="DOI90" s="528"/>
      <c r="DOJ90" s="528"/>
      <c r="DOK90" s="528"/>
      <c r="DOL90" s="528"/>
      <c r="DOM90" s="528"/>
      <c r="DON90" s="528"/>
      <c r="DOO90" s="528"/>
      <c r="DOP90" s="528"/>
      <c r="DOQ90" s="528"/>
      <c r="DOR90" s="528"/>
      <c r="DOS90" s="528"/>
      <c r="DOT90" s="528"/>
      <c r="DOU90" s="528"/>
      <c r="DOV90" s="528"/>
      <c r="DOW90" s="528"/>
      <c r="DOX90" s="528"/>
      <c r="DOY90" s="528"/>
      <c r="DOZ90" s="528"/>
      <c r="DPA90" s="528"/>
      <c r="DPB90" s="528"/>
      <c r="DPC90" s="528"/>
      <c r="DPD90" s="528"/>
      <c r="DPE90" s="528"/>
      <c r="DPF90" s="528"/>
      <c r="DPG90" s="528"/>
      <c r="DPH90" s="528"/>
      <c r="DPI90" s="528"/>
      <c r="DPJ90" s="528"/>
      <c r="DPK90" s="528"/>
      <c r="DPL90" s="528"/>
      <c r="DPM90" s="528"/>
      <c r="DPN90" s="528"/>
      <c r="DPO90" s="528"/>
      <c r="DPP90" s="528"/>
      <c r="DPQ90" s="528"/>
      <c r="DPR90" s="528"/>
      <c r="DPS90" s="528"/>
      <c r="DPT90" s="528"/>
      <c r="DPU90" s="528"/>
      <c r="DPV90" s="528"/>
      <c r="DPW90" s="528"/>
      <c r="DPX90" s="528"/>
      <c r="DPY90" s="528"/>
      <c r="DPZ90" s="528"/>
      <c r="DQA90" s="528"/>
      <c r="DQB90" s="528"/>
      <c r="DQC90" s="528"/>
      <c r="DQD90" s="528"/>
      <c r="DQE90" s="528"/>
      <c r="DQF90" s="528"/>
      <c r="DQG90" s="528"/>
      <c r="DQH90" s="528"/>
      <c r="DQI90" s="528"/>
      <c r="DQJ90" s="528"/>
      <c r="DQK90" s="528"/>
      <c r="DQL90" s="528"/>
      <c r="DQM90" s="528"/>
      <c r="DQN90" s="528"/>
      <c r="DQO90" s="528"/>
      <c r="DQP90" s="528"/>
      <c r="DQQ90" s="528"/>
      <c r="DQR90" s="528"/>
      <c r="DQS90" s="528"/>
      <c r="DQT90" s="528"/>
      <c r="DQU90" s="528"/>
      <c r="DQV90" s="528"/>
      <c r="DQW90" s="528"/>
      <c r="DQX90" s="528"/>
      <c r="DQY90" s="528"/>
      <c r="DQZ90" s="528"/>
      <c r="DRA90" s="528"/>
      <c r="DRB90" s="528"/>
      <c r="DRC90" s="528"/>
      <c r="DRD90" s="528"/>
      <c r="DRE90" s="528"/>
      <c r="DRF90" s="528"/>
      <c r="DRG90" s="528"/>
      <c r="DRH90" s="528"/>
      <c r="DRI90" s="528"/>
      <c r="DRJ90" s="528"/>
      <c r="DRK90" s="528"/>
      <c r="DRL90" s="528"/>
      <c r="DRM90" s="528"/>
      <c r="DRN90" s="528"/>
      <c r="DRO90" s="528"/>
      <c r="DRP90" s="528"/>
      <c r="DRQ90" s="528"/>
      <c r="DRR90" s="528"/>
      <c r="DRS90" s="528"/>
      <c r="DRT90" s="528"/>
      <c r="DRU90" s="528"/>
      <c r="DRV90" s="528"/>
      <c r="DRW90" s="528"/>
      <c r="DRX90" s="528"/>
      <c r="DRY90" s="528"/>
      <c r="DRZ90" s="528"/>
      <c r="DSA90" s="528"/>
      <c r="DSB90" s="528"/>
      <c r="DSC90" s="528"/>
      <c r="DSD90" s="528"/>
      <c r="DSE90" s="528"/>
      <c r="DSF90" s="528"/>
      <c r="DSG90" s="528"/>
      <c r="DSH90" s="528"/>
      <c r="DSI90" s="528"/>
      <c r="DSJ90" s="528"/>
      <c r="DSK90" s="528"/>
      <c r="DSL90" s="528"/>
      <c r="DSM90" s="528"/>
      <c r="DSN90" s="528"/>
      <c r="DSO90" s="528"/>
      <c r="DSP90" s="528"/>
      <c r="DSQ90" s="528"/>
      <c r="DSR90" s="528"/>
      <c r="DSS90" s="528"/>
      <c r="DST90" s="528"/>
      <c r="DSU90" s="528"/>
      <c r="DSV90" s="528"/>
      <c r="DSW90" s="528"/>
      <c r="DSX90" s="528"/>
      <c r="DSY90" s="528"/>
      <c r="DSZ90" s="528"/>
      <c r="DTA90" s="528"/>
      <c r="DTB90" s="528"/>
      <c r="DTC90" s="528"/>
      <c r="DTD90" s="528"/>
      <c r="DTE90" s="528"/>
      <c r="DTF90" s="528"/>
      <c r="DTG90" s="528"/>
      <c r="DTH90" s="528"/>
      <c r="DTI90" s="528"/>
      <c r="DTJ90" s="528"/>
      <c r="DTK90" s="528"/>
      <c r="DTL90" s="528"/>
      <c r="DTM90" s="528"/>
      <c r="DTN90" s="528"/>
      <c r="DTO90" s="528"/>
      <c r="DTP90" s="528"/>
      <c r="DTQ90" s="528"/>
      <c r="DTR90" s="528"/>
      <c r="DTS90" s="528"/>
      <c r="DTT90" s="528"/>
      <c r="DTU90" s="528"/>
      <c r="DTV90" s="528"/>
      <c r="DTW90" s="528"/>
      <c r="DTX90" s="528"/>
      <c r="DTY90" s="528"/>
      <c r="DTZ90" s="528"/>
      <c r="DUA90" s="528"/>
      <c r="DUB90" s="528"/>
      <c r="DUC90" s="528"/>
      <c r="DUD90" s="528"/>
      <c r="DUE90" s="528"/>
      <c r="DUF90" s="528"/>
      <c r="DUG90" s="528"/>
      <c r="DUH90" s="528"/>
      <c r="DUI90" s="528"/>
      <c r="DUJ90" s="528"/>
      <c r="DUK90" s="528"/>
      <c r="DUL90" s="528"/>
      <c r="DUM90" s="528"/>
      <c r="DUN90" s="528"/>
      <c r="DUO90" s="528"/>
      <c r="DUP90" s="528"/>
      <c r="DUQ90" s="528"/>
      <c r="DUR90" s="528"/>
      <c r="DUS90" s="528"/>
      <c r="DUT90" s="528"/>
      <c r="DUU90" s="528"/>
      <c r="DUV90" s="528"/>
      <c r="DUW90" s="528"/>
      <c r="DUX90" s="528"/>
      <c r="DUY90" s="528"/>
      <c r="DUZ90" s="528"/>
      <c r="DVA90" s="528"/>
      <c r="DVB90" s="528"/>
      <c r="DVC90" s="528"/>
      <c r="DVD90" s="528"/>
      <c r="DVE90" s="528"/>
      <c r="DVF90" s="528"/>
      <c r="DVG90" s="528"/>
      <c r="DVH90" s="528"/>
      <c r="DVI90" s="528"/>
      <c r="DVJ90" s="528"/>
      <c r="DVK90" s="528"/>
      <c r="DVL90" s="528"/>
      <c r="DVM90" s="528"/>
      <c r="DVN90" s="528"/>
      <c r="DVO90" s="528"/>
      <c r="DVP90" s="528"/>
      <c r="DVQ90" s="528"/>
      <c r="DVR90" s="528"/>
      <c r="DVS90" s="528"/>
      <c r="DVT90" s="528"/>
      <c r="DVU90" s="528"/>
      <c r="DVV90" s="528"/>
      <c r="DVW90" s="528"/>
      <c r="DVX90" s="528"/>
      <c r="DVY90" s="528"/>
      <c r="DVZ90" s="528"/>
      <c r="DWA90" s="528"/>
      <c r="DWB90" s="528"/>
      <c r="DWC90" s="528"/>
      <c r="DWD90" s="528"/>
      <c r="DWE90" s="528"/>
      <c r="DWF90" s="528"/>
      <c r="DWG90" s="528"/>
      <c r="DWH90" s="528"/>
      <c r="DWI90" s="528"/>
      <c r="DWJ90" s="528"/>
      <c r="DWK90" s="528"/>
      <c r="DWL90" s="528"/>
      <c r="DWM90" s="528"/>
      <c r="DWN90" s="528"/>
      <c r="DWO90" s="528"/>
      <c r="DWP90" s="528"/>
      <c r="DWQ90" s="528"/>
      <c r="DWR90" s="528"/>
      <c r="DWS90" s="528"/>
      <c r="DWT90" s="528"/>
      <c r="DWU90" s="528"/>
      <c r="DWV90" s="528"/>
      <c r="DWW90" s="528"/>
      <c r="DWX90" s="528"/>
      <c r="DWY90" s="528"/>
      <c r="DWZ90" s="528"/>
      <c r="DXA90" s="528"/>
      <c r="DXB90" s="528"/>
      <c r="DXC90" s="528"/>
      <c r="DXD90" s="528"/>
      <c r="DXE90" s="528"/>
      <c r="DXF90" s="528"/>
      <c r="DXG90" s="528"/>
      <c r="DXH90" s="528"/>
      <c r="DXI90" s="528"/>
      <c r="DXJ90" s="528"/>
      <c r="DXK90" s="528"/>
      <c r="DXL90" s="528"/>
      <c r="DXM90" s="528"/>
      <c r="DXN90" s="528"/>
      <c r="DXO90" s="528"/>
      <c r="DXP90" s="528"/>
      <c r="DXQ90" s="528"/>
      <c r="DXR90" s="528"/>
      <c r="DXS90" s="528"/>
      <c r="DXT90" s="528"/>
      <c r="DXU90" s="528"/>
      <c r="DXV90" s="528"/>
      <c r="DXW90" s="528"/>
      <c r="DXX90" s="528"/>
      <c r="DXY90" s="528"/>
      <c r="DXZ90" s="528"/>
      <c r="DYA90" s="528"/>
      <c r="DYB90" s="528"/>
      <c r="DYC90" s="528"/>
      <c r="DYD90" s="528"/>
      <c r="DYE90" s="528"/>
      <c r="DYF90" s="528"/>
      <c r="DYG90" s="528"/>
      <c r="DYH90" s="528"/>
      <c r="DYI90" s="528"/>
      <c r="DYJ90" s="528"/>
      <c r="DYK90" s="528"/>
      <c r="DYL90" s="528"/>
      <c r="DYM90" s="528"/>
      <c r="DYN90" s="528"/>
      <c r="DYO90" s="528"/>
      <c r="DYP90" s="528"/>
      <c r="DYQ90" s="528"/>
      <c r="DYR90" s="528"/>
      <c r="DYS90" s="528"/>
      <c r="DYT90" s="528"/>
      <c r="DYU90" s="528"/>
      <c r="DYV90" s="528"/>
      <c r="DYW90" s="528"/>
      <c r="DYX90" s="528"/>
      <c r="DYY90" s="528"/>
      <c r="DYZ90" s="528"/>
      <c r="DZA90" s="528"/>
      <c r="DZB90" s="528"/>
      <c r="DZC90" s="528"/>
      <c r="DZD90" s="528"/>
      <c r="DZE90" s="528"/>
      <c r="DZF90" s="528"/>
      <c r="DZG90" s="528"/>
      <c r="DZH90" s="528"/>
      <c r="DZI90" s="528"/>
      <c r="DZJ90" s="528"/>
      <c r="DZK90" s="528"/>
      <c r="DZL90" s="528"/>
      <c r="DZM90" s="528"/>
      <c r="DZN90" s="528"/>
      <c r="DZO90" s="528"/>
      <c r="DZP90" s="528"/>
      <c r="DZQ90" s="528"/>
      <c r="DZR90" s="528"/>
      <c r="DZS90" s="528"/>
      <c r="DZT90" s="528"/>
      <c r="DZU90" s="528"/>
      <c r="DZV90" s="528"/>
      <c r="DZW90" s="528"/>
      <c r="DZX90" s="528"/>
      <c r="DZY90" s="528"/>
      <c r="DZZ90" s="528"/>
      <c r="EAA90" s="528"/>
      <c r="EAB90" s="528"/>
      <c r="EAC90" s="528"/>
      <c r="EAD90" s="528"/>
      <c r="EAE90" s="528"/>
      <c r="EAF90" s="528"/>
      <c r="EAG90" s="528"/>
      <c r="EAH90" s="528"/>
      <c r="EAI90" s="528"/>
      <c r="EAJ90" s="528"/>
      <c r="EAK90" s="528"/>
      <c r="EAL90" s="528"/>
      <c r="EAM90" s="528"/>
      <c r="EAN90" s="528"/>
      <c r="EAO90" s="528"/>
      <c r="EAP90" s="528"/>
      <c r="EAQ90" s="528"/>
      <c r="EAR90" s="528"/>
      <c r="EAS90" s="528"/>
      <c r="EAT90" s="528"/>
      <c r="EAU90" s="528"/>
      <c r="EAV90" s="528"/>
      <c r="EAW90" s="528"/>
      <c r="EAX90" s="528"/>
      <c r="EAY90" s="528"/>
      <c r="EAZ90" s="528"/>
      <c r="EBA90" s="528"/>
      <c r="EBB90" s="528"/>
      <c r="EBC90" s="528"/>
      <c r="EBD90" s="528"/>
      <c r="EBE90" s="528"/>
      <c r="EBF90" s="528"/>
      <c r="EBG90" s="528"/>
      <c r="EBH90" s="528"/>
      <c r="EBI90" s="528"/>
      <c r="EBJ90" s="528"/>
      <c r="EBK90" s="528"/>
      <c r="EBL90" s="528"/>
      <c r="EBM90" s="528"/>
      <c r="EBN90" s="528"/>
      <c r="EBO90" s="528"/>
      <c r="EBP90" s="528"/>
      <c r="EBQ90" s="528"/>
      <c r="EBR90" s="528"/>
      <c r="EBS90" s="528"/>
      <c r="EBT90" s="528"/>
      <c r="EBU90" s="528"/>
      <c r="EBV90" s="528"/>
      <c r="EBW90" s="528"/>
      <c r="EBX90" s="528"/>
      <c r="EBY90" s="528"/>
      <c r="EBZ90" s="528"/>
      <c r="ECA90" s="528"/>
      <c r="ECB90" s="528"/>
      <c r="ECC90" s="528"/>
      <c r="ECD90" s="528"/>
      <c r="ECE90" s="528"/>
      <c r="ECF90" s="528"/>
      <c r="ECG90" s="528"/>
      <c r="ECH90" s="528"/>
      <c r="ECI90" s="528"/>
      <c r="ECJ90" s="528"/>
      <c r="ECK90" s="528"/>
      <c r="ECL90" s="528"/>
      <c r="ECM90" s="528"/>
      <c r="ECN90" s="528"/>
      <c r="ECO90" s="528"/>
      <c r="ECP90" s="528"/>
      <c r="ECQ90" s="528"/>
      <c r="ECR90" s="528"/>
      <c r="ECS90" s="528"/>
      <c r="ECT90" s="528"/>
      <c r="ECU90" s="528"/>
      <c r="ECV90" s="528"/>
      <c r="ECW90" s="528"/>
      <c r="ECX90" s="528"/>
      <c r="ECY90" s="528"/>
      <c r="ECZ90" s="528"/>
      <c r="EDA90" s="528"/>
      <c r="EDB90" s="528"/>
      <c r="EDC90" s="528"/>
      <c r="EDD90" s="528"/>
      <c r="EDE90" s="528"/>
      <c r="EDF90" s="528"/>
      <c r="EDG90" s="528"/>
      <c r="EDH90" s="528"/>
      <c r="EDI90" s="528"/>
      <c r="EDJ90" s="528"/>
      <c r="EDK90" s="528"/>
      <c r="EDL90" s="528"/>
      <c r="EDM90" s="528"/>
      <c r="EDN90" s="528"/>
      <c r="EDO90" s="528"/>
      <c r="EDP90" s="528"/>
      <c r="EDQ90" s="528"/>
      <c r="EDR90" s="528"/>
      <c r="EDS90" s="528"/>
      <c r="EDT90" s="528"/>
      <c r="EDU90" s="528"/>
      <c r="EDV90" s="528"/>
      <c r="EDW90" s="528"/>
      <c r="EDX90" s="528"/>
      <c r="EDY90" s="528"/>
      <c r="EDZ90" s="528"/>
      <c r="EEA90" s="528"/>
      <c r="EEB90" s="528"/>
      <c r="EEC90" s="528"/>
      <c r="EED90" s="528"/>
      <c r="EEE90" s="528"/>
      <c r="EEF90" s="528"/>
      <c r="EEG90" s="528"/>
      <c r="EEH90" s="528"/>
      <c r="EEI90" s="528"/>
      <c r="EEJ90" s="528"/>
      <c r="EEK90" s="528"/>
      <c r="EEL90" s="528"/>
      <c r="EEM90" s="528"/>
      <c r="EEN90" s="528"/>
      <c r="EEO90" s="528"/>
      <c r="EEP90" s="528"/>
      <c r="EEQ90" s="528"/>
      <c r="EER90" s="528"/>
      <c r="EES90" s="528"/>
      <c r="EET90" s="528"/>
      <c r="EEU90" s="528"/>
      <c r="EEV90" s="528"/>
      <c r="EEW90" s="528"/>
      <c r="EEX90" s="528"/>
      <c r="EEY90" s="528"/>
      <c r="EEZ90" s="528"/>
      <c r="EFA90" s="528"/>
      <c r="EFB90" s="528"/>
      <c r="EFC90" s="528"/>
      <c r="EFD90" s="528"/>
      <c r="EFE90" s="528"/>
      <c r="EFF90" s="528"/>
      <c r="EFG90" s="528"/>
      <c r="EFH90" s="528"/>
      <c r="EFI90" s="528"/>
      <c r="EFJ90" s="528"/>
      <c r="EFK90" s="528"/>
      <c r="EFL90" s="528"/>
      <c r="EFM90" s="528"/>
      <c r="EFN90" s="528"/>
      <c r="EFO90" s="528"/>
      <c r="EFP90" s="528"/>
      <c r="EFQ90" s="528"/>
      <c r="EFR90" s="528"/>
      <c r="EFS90" s="528"/>
      <c r="EFT90" s="528"/>
      <c r="EFU90" s="528"/>
      <c r="EFV90" s="528"/>
      <c r="EFW90" s="528"/>
      <c r="EFX90" s="528"/>
      <c r="EFY90" s="528"/>
      <c r="EFZ90" s="528"/>
      <c r="EGA90" s="528"/>
      <c r="EGB90" s="528"/>
      <c r="EGC90" s="528"/>
      <c r="EGD90" s="528"/>
      <c r="EGE90" s="528"/>
      <c r="EGF90" s="528"/>
      <c r="EGG90" s="528"/>
      <c r="EGH90" s="528"/>
      <c r="EGI90" s="528"/>
      <c r="EGJ90" s="528"/>
      <c r="EGK90" s="528"/>
      <c r="EGL90" s="528"/>
      <c r="EGM90" s="528"/>
      <c r="EGN90" s="528"/>
      <c r="EGO90" s="528"/>
      <c r="EGP90" s="528"/>
      <c r="EGQ90" s="528"/>
      <c r="EGR90" s="528"/>
      <c r="EGS90" s="528"/>
      <c r="EGT90" s="528"/>
      <c r="EGU90" s="528"/>
      <c r="EGV90" s="528"/>
      <c r="EGW90" s="528"/>
      <c r="EGX90" s="528"/>
      <c r="EGY90" s="528"/>
      <c r="EGZ90" s="528"/>
      <c r="EHA90" s="528"/>
      <c r="EHB90" s="528"/>
      <c r="EHC90" s="528"/>
      <c r="EHD90" s="528"/>
      <c r="EHE90" s="528"/>
      <c r="EHF90" s="528"/>
      <c r="EHG90" s="528"/>
      <c r="EHH90" s="528"/>
      <c r="EHI90" s="528"/>
      <c r="EHJ90" s="528"/>
      <c r="EHK90" s="528"/>
      <c r="EHL90" s="528"/>
      <c r="EHM90" s="528"/>
      <c r="EHN90" s="528"/>
      <c r="EHO90" s="528"/>
      <c r="EHP90" s="528"/>
      <c r="EHQ90" s="528"/>
      <c r="EHR90" s="528"/>
      <c r="EHS90" s="528"/>
      <c r="EHT90" s="528"/>
      <c r="EHU90" s="528"/>
      <c r="EHV90" s="528"/>
      <c r="EHW90" s="528"/>
      <c r="EHX90" s="528"/>
      <c r="EHY90" s="528"/>
      <c r="EHZ90" s="528"/>
      <c r="EIA90" s="528"/>
      <c r="EIB90" s="528"/>
      <c r="EIC90" s="528"/>
      <c r="EID90" s="528"/>
      <c r="EIE90" s="528"/>
      <c r="EIF90" s="528"/>
      <c r="EIG90" s="528"/>
      <c r="EIH90" s="528"/>
      <c r="EII90" s="528"/>
      <c r="EIJ90" s="528"/>
      <c r="EIK90" s="528"/>
      <c r="EIL90" s="528"/>
      <c r="EIM90" s="528"/>
      <c r="EIN90" s="528"/>
      <c r="EIO90" s="528"/>
      <c r="EIP90" s="528"/>
      <c r="EIQ90" s="528"/>
      <c r="EIR90" s="528"/>
      <c r="EIS90" s="528"/>
      <c r="EIT90" s="528"/>
      <c r="EIU90" s="528"/>
      <c r="EIV90" s="528"/>
      <c r="EIW90" s="528"/>
      <c r="EIX90" s="528"/>
      <c r="EIY90" s="528"/>
      <c r="EIZ90" s="528"/>
      <c r="EJA90" s="528"/>
      <c r="EJB90" s="528"/>
      <c r="EJC90" s="528"/>
      <c r="EJD90" s="528"/>
      <c r="EJE90" s="528"/>
      <c r="EJF90" s="528"/>
      <c r="EJG90" s="528"/>
      <c r="EJH90" s="528"/>
      <c r="EJI90" s="528"/>
      <c r="EJJ90" s="528"/>
      <c r="EJK90" s="528"/>
      <c r="EJL90" s="528"/>
      <c r="EJM90" s="528"/>
      <c r="EJN90" s="528"/>
      <c r="EJO90" s="528"/>
      <c r="EJP90" s="528"/>
      <c r="EJQ90" s="528"/>
      <c r="EJR90" s="528"/>
      <c r="EJS90" s="528"/>
      <c r="EJT90" s="528"/>
      <c r="EJU90" s="528"/>
      <c r="EJV90" s="528"/>
      <c r="EJW90" s="528"/>
      <c r="EJX90" s="528"/>
      <c r="EJY90" s="528"/>
      <c r="EJZ90" s="528"/>
      <c r="EKA90" s="528"/>
      <c r="EKB90" s="528"/>
      <c r="EKC90" s="528"/>
      <c r="EKD90" s="528"/>
      <c r="EKE90" s="528"/>
      <c r="EKF90" s="528"/>
      <c r="EKG90" s="528"/>
      <c r="EKH90" s="528"/>
      <c r="EKI90" s="528"/>
      <c r="EKJ90" s="528"/>
      <c r="EKK90" s="528"/>
      <c r="EKL90" s="528"/>
      <c r="EKM90" s="528"/>
      <c r="EKN90" s="528"/>
      <c r="EKO90" s="528"/>
      <c r="EKP90" s="528"/>
      <c r="EKQ90" s="528"/>
      <c r="EKR90" s="528"/>
      <c r="EKS90" s="528"/>
      <c r="EKT90" s="528"/>
      <c r="EKU90" s="528"/>
      <c r="EKV90" s="528"/>
      <c r="EKW90" s="528"/>
      <c r="EKX90" s="528"/>
      <c r="EKY90" s="528"/>
      <c r="EKZ90" s="528"/>
      <c r="ELA90" s="528"/>
      <c r="ELB90" s="528"/>
      <c r="ELC90" s="528"/>
      <c r="ELD90" s="528"/>
      <c r="ELE90" s="528"/>
      <c r="ELF90" s="528"/>
      <c r="ELG90" s="528"/>
      <c r="ELH90" s="528"/>
      <c r="ELI90" s="528"/>
      <c r="ELJ90" s="528"/>
      <c r="ELK90" s="528"/>
      <c r="ELL90" s="528"/>
      <c r="ELM90" s="528"/>
      <c r="ELN90" s="528"/>
      <c r="ELO90" s="528"/>
      <c r="ELP90" s="528"/>
      <c r="ELQ90" s="528"/>
      <c r="ELR90" s="528"/>
      <c r="ELS90" s="528"/>
      <c r="ELT90" s="528"/>
      <c r="ELU90" s="528"/>
      <c r="ELV90" s="528"/>
      <c r="ELW90" s="528"/>
      <c r="ELX90" s="528"/>
      <c r="ELY90" s="528"/>
      <c r="ELZ90" s="528"/>
      <c r="EMA90" s="528"/>
      <c r="EMB90" s="528"/>
      <c r="EMC90" s="528"/>
      <c r="EMD90" s="528"/>
      <c r="EME90" s="528"/>
      <c r="EMF90" s="528"/>
      <c r="EMG90" s="528"/>
      <c r="EMH90" s="528"/>
      <c r="EMI90" s="528"/>
      <c r="EMJ90" s="528"/>
      <c r="EMK90" s="528"/>
      <c r="EML90" s="528"/>
      <c r="EMM90" s="528"/>
      <c r="EMN90" s="528"/>
      <c r="EMO90" s="528"/>
      <c r="EMP90" s="528"/>
      <c r="EMQ90" s="528"/>
      <c r="EMR90" s="528"/>
      <c r="EMS90" s="528"/>
      <c r="EMT90" s="528"/>
      <c r="EMU90" s="528"/>
      <c r="EMV90" s="528"/>
      <c r="EMW90" s="528"/>
      <c r="EMX90" s="528"/>
      <c r="EMY90" s="528"/>
      <c r="EMZ90" s="528"/>
      <c r="ENA90" s="528"/>
      <c r="ENB90" s="528"/>
      <c r="ENC90" s="528"/>
      <c r="END90" s="528"/>
      <c r="ENE90" s="528"/>
      <c r="ENF90" s="528"/>
      <c r="ENG90" s="528"/>
      <c r="ENH90" s="528"/>
      <c r="ENI90" s="528"/>
      <c r="ENJ90" s="528"/>
      <c r="ENK90" s="528"/>
      <c r="ENL90" s="528"/>
      <c r="ENM90" s="528"/>
      <c r="ENN90" s="528"/>
      <c r="ENO90" s="528"/>
      <c r="ENP90" s="528"/>
      <c r="ENQ90" s="528"/>
      <c r="ENR90" s="528"/>
      <c r="ENS90" s="528"/>
      <c r="ENT90" s="528"/>
      <c r="ENU90" s="528"/>
      <c r="ENV90" s="528"/>
      <c r="ENW90" s="528"/>
      <c r="ENX90" s="528"/>
      <c r="ENY90" s="528"/>
      <c r="ENZ90" s="528"/>
      <c r="EOA90" s="528"/>
      <c r="EOB90" s="528"/>
      <c r="EOC90" s="528"/>
      <c r="EOD90" s="528"/>
      <c r="EOE90" s="528"/>
      <c r="EOF90" s="528"/>
      <c r="EOG90" s="528"/>
      <c r="EOH90" s="528"/>
      <c r="EOI90" s="528"/>
      <c r="EOJ90" s="528"/>
      <c r="EOK90" s="528"/>
      <c r="EOL90" s="528"/>
      <c r="EOM90" s="528"/>
      <c r="EON90" s="528"/>
      <c r="EOO90" s="528"/>
      <c r="EOP90" s="528"/>
      <c r="EOQ90" s="528"/>
      <c r="EOR90" s="528"/>
      <c r="EOS90" s="528"/>
      <c r="EOT90" s="528"/>
      <c r="EOU90" s="528"/>
      <c r="EOV90" s="528"/>
      <c r="EOW90" s="528"/>
      <c r="EOX90" s="528"/>
      <c r="EOY90" s="528"/>
      <c r="EOZ90" s="528"/>
      <c r="EPA90" s="528"/>
      <c r="EPB90" s="528"/>
      <c r="EPC90" s="528"/>
      <c r="EPD90" s="528"/>
      <c r="EPE90" s="528"/>
      <c r="EPF90" s="528"/>
      <c r="EPG90" s="528"/>
      <c r="EPH90" s="528"/>
      <c r="EPI90" s="528"/>
      <c r="EPJ90" s="528"/>
      <c r="EPK90" s="528"/>
      <c r="EPL90" s="528"/>
      <c r="EPM90" s="528"/>
      <c r="EPN90" s="528"/>
      <c r="EPO90" s="528"/>
      <c r="EPP90" s="528"/>
      <c r="EPQ90" s="528"/>
      <c r="EPR90" s="528"/>
      <c r="EPS90" s="528"/>
      <c r="EPT90" s="528"/>
      <c r="EPU90" s="528"/>
      <c r="EPV90" s="528"/>
      <c r="EPW90" s="528"/>
      <c r="EPX90" s="528"/>
      <c r="EPY90" s="528"/>
      <c r="EPZ90" s="528"/>
      <c r="EQA90" s="528"/>
      <c r="EQB90" s="528"/>
      <c r="EQC90" s="528"/>
      <c r="EQD90" s="528"/>
      <c r="EQE90" s="528"/>
      <c r="EQF90" s="528"/>
      <c r="EQG90" s="528"/>
      <c r="EQH90" s="528"/>
      <c r="EQI90" s="528"/>
      <c r="EQJ90" s="528"/>
      <c r="EQK90" s="528"/>
      <c r="EQL90" s="528"/>
      <c r="EQM90" s="528"/>
      <c r="EQN90" s="528"/>
      <c r="EQO90" s="528"/>
      <c r="EQP90" s="528"/>
      <c r="EQQ90" s="528"/>
      <c r="EQR90" s="528"/>
      <c r="EQS90" s="528"/>
      <c r="EQT90" s="528"/>
      <c r="EQU90" s="528"/>
      <c r="EQV90" s="528"/>
      <c r="EQW90" s="528"/>
      <c r="EQX90" s="528"/>
      <c r="EQY90" s="528"/>
      <c r="EQZ90" s="528"/>
      <c r="ERA90" s="528"/>
      <c r="ERB90" s="528"/>
      <c r="ERC90" s="528"/>
      <c r="ERD90" s="528"/>
      <c r="ERE90" s="528"/>
      <c r="ERF90" s="528"/>
      <c r="ERG90" s="528"/>
      <c r="ERH90" s="528"/>
      <c r="ERI90" s="528"/>
      <c r="ERJ90" s="528"/>
      <c r="ERK90" s="528"/>
      <c r="ERL90" s="528"/>
      <c r="ERM90" s="528"/>
      <c r="ERN90" s="528"/>
      <c r="ERO90" s="528"/>
      <c r="ERP90" s="528"/>
      <c r="ERQ90" s="528"/>
      <c r="ERR90" s="528"/>
      <c r="ERS90" s="528"/>
      <c r="ERT90" s="528"/>
      <c r="ERU90" s="528"/>
      <c r="ERV90" s="528"/>
      <c r="ERW90" s="528"/>
      <c r="ERX90" s="528"/>
      <c r="ERY90" s="528"/>
      <c r="ERZ90" s="528"/>
      <c r="ESA90" s="528"/>
      <c r="ESB90" s="528"/>
      <c r="ESC90" s="528"/>
      <c r="ESD90" s="528"/>
      <c r="ESE90" s="528"/>
      <c r="ESF90" s="528"/>
      <c r="ESG90" s="528"/>
      <c r="ESH90" s="528"/>
      <c r="ESI90" s="528"/>
      <c r="ESJ90" s="528"/>
      <c r="ESK90" s="528"/>
      <c r="ESL90" s="528"/>
      <c r="ESM90" s="528"/>
      <c r="ESN90" s="528"/>
      <c r="ESO90" s="528"/>
      <c r="ESP90" s="528"/>
      <c r="ESQ90" s="528"/>
      <c r="ESR90" s="528"/>
      <c r="ESS90" s="528"/>
      <c r="EST90" s="528"/>
      <c r="ESU90" s="528"/>
      <c r="ESV90" s="528"/>
      <c r="ESW90" s="528"/>
      <c r="ESX90" s="528"/>
      <c r="ESY90" s="528"/>
      <c r="ESZ90" s="528"/>
      <c r="ETA90" s="528"/>
      <c r="ETB90" s="528"/>
      <c r="ETC90" s="528"/>
      <c r="ETD90" s="528"/>
      <c r="ETE90" s="528"/>
      <c r="ETF90" s="528"/>
      <c r="ETG90" s="528"/>
      <c r="ETH90" s="528"/>
      <c r="ETI90" s="528"/>
      <c r="ETJ90" s="528"/>
      <c r="ETK90" s="528"/>
      <c r="ETL90" s="528"/>
      <c r="ETM90" s="528"/>
      <c r="ETN90" s="528"/>
      <c r="ETO90" s="528"/>
      <c r="ETP90" s="528"/>
      <c r="ETQ90" s="528"/>
      <c r="ETR90" s="528"/>
      <c r="ETS90" s="528"/>
      <c r="ETT90" s="528"/>
      <c r="ETU90" s="528"/>
      <c r="ETV90" s="528"/>
      <c r="ETW90" s="528"/>
      <c r="ETX90" s="528"/>
      <c r="ETY90" s="528"/>
      <c r="ETZ90" s="528"/>
      <c r="EUA90" s="528"/>
      <c r="EUB90" s="528"/>
      <c r="EUC90" s="528"/>
      <c r="EUD90" s="528"/>
      <c r="EUE90" s="528"/>
      <c r="EUF90" s="528"/>
      <c r="EUG90" s="528"/>
      <c r="EUH90" s="528"/>
      <c r="EUI90" s="528"/>
      <c r="EUJ90" s="528"/>
      <c r="EUK90" s="528"/>
      <c r="EUL90" s="528"/>
      <c r="EUM90" s="528"/>
      <c r="EUN90" s="528"/>
      <c r="EUO90" s="528"/>
      <c r="EUP90" s="528"/>
      <c r="EUQ90" s="528"/>
      <c r="EUR90" s="528"/>
      <c r="EUS90" s="528"/>
      <c r="EUT90" s="528"/>
      <c r="EUU90" s="528"/>
      <c r="EUV90" s="528"/>
      <c r="EUW90" s="528"/>
      <c r="EUX90" s="528"/>
      <c r="EUY90" s="528"/>
      <c r="EUZ90" s="528"/>
      <c r="EVA90" s="528"/>
      <c r="EVB90" s="528"/>
      <c r="EVC90" s="528"/>
      <c r="EVD90" s="528"/>
      <c r="EVE90" s="528"/>
      <c r="EVF90" s="528"/>
      <c r="EVG90" s="528"/>
      <c r="EVH90" s="528"/>
      <c r="EVI90" s="528"/>
      <c r="EVJ90" s="528"/>
      <c r="EVK90" s="528"/>
      <c r="EVL90" s="528"/>
      <c r="EVM90" s="528"/>
      <c r="EVN90" s="528"/>
      <c r="EVO90" s="528"/>
      <c r="EVP90" s="528"/>
      <c r="EVQ90" s="528"/>
      <c r="EVR90" s="528"/>
      <c r="EVS90" s="528"/>
      <c r="EVT90" s="528"/>
      <c r="EVU90" s="528"/>
      <c r="EVV90" s="528"/>
      <c r="EVW90" s="528"/>
      <c r="EVX90" s="528"/>
      <c r="EVY90" s="528"/>
      <c r="EVZ90" s="528"/>
      <c r="EWA90" s="528"/>
      <c r="EWB90" s="528"/>
      <c r="EWC90" s="528"/>
      <c r="EWD90" s="528"/>
      <c r="EWE90" s="528"/>
      <c r="EWF90" s="528"/>
      <c r="EWG90" s="528"/>
      <c r="EWH90" s="528"/>
      <c r="EWI90" s="528"/>
      <c r="EWJ90" s="528"/>
      <c r="EWK90" s="528"/>
      <c r="EWL90" s="528"/>
      <c r="EWM90" s="528"/>
      <c r="EWN90" s="528"/>
      <c r="EWO90" s="528"/>
      <c r="EWP90" s="528"/>
      <c r="EWQ90" s="528"/>
      <c r="EWR90" s="528"/>
      <c r="EWS90" s="528"/>
      <c r="EWT90" s="528"/>
      <c r="EWU90" s="528"/>
      <c r="EWV90" s="528"/>
      <c r="EWW90" s="528"/>
      <c r="EWX90" s="528"/>
      <c r="EWY90" s="528"/>
      <c r="EWZ90" s="528"/>
      <c r="EXA90" s="528"/>
      <c r="EXB90" s="528"/>
      <c r="EXC90" s="528"/>
      <c r="EXD90" s="528"/>
      <c r="EXE90" s="528"/>
      <c r="EXF90" s="528"/>
      <c r="EXG90" s="528"/>
      <c r="EXH90" s="528"/>
      <c r="EXI90" s="528"/>
      <c r="EXJ90" s="528"/>
      <c r="EXK90" s="528"/>
      <c r="EXL90" s="528"/>
      <c r="EXM90" s="528"/>
      <c r="EXN90" s="528"/>
      <c r="EXO90" s="528"/>
      <c r="EXP90" s="528"/>
      <c r="EXQ90" s="528"/>
      <c r="EXR90" s="528"/>
      <c r="EXS90" s="528"/>
      <c r="EXT90" s="528"/>
      <c r="EXU90" s="528"/>
      <c r="EXV90" s="528"/>
      <c r="EXW90" s="528"/>
      <c r="EXX90" s="528"/>
      <c r="EXY90" s="528"/>
      <c r="EXZ90" s="528"/>
      <c r="EYA90" s="528"/>
      <c r="EYB90" s="528"/>
      <c r="EYC90" s="528"/>
      <c r="EYD90" s="528"/>
      <c r="EYE90" s="528"/>
      <c r="EYF90" s="528"/>
      <c r="EYG90" s="528"/>
      <c r="EYH90" s="528"/>
      <c r="EYI90" s="528"/>
      <c r="EYJ90" s="528"/>
      <c r="EYK90" s="528"/>
      <c r="EYL90" s="528"/>
      <c r="EYM90" s="528"/>
      <c r="EYN90" s="528"/>
      <c r="EYO90" s="528"/>
      <c r="EYP90" s="528"/>
      <c r="EYQ90" s="528"/>
      <c r="EYR90" s="528"/>
      <c r="EYS90" s="528"/>
      <c r="EYT90" s="528"/>
      <c r="EYU90" s="528"/>
      <c r="EYV90" s="528"/>
      <c r="EYW90" s="528"/>
      <c r="EYX90" s="528"/>
      <c r="EYY90" s="528"/>
      <c r="EYZ90" s="528"/>
      <c r="EZA90" s="528"/>
      <c r="EZB90" s="528"/>
      <c r="EZC90" s="528"/>
      <c r="EZD90" s="528"/>
      <c r="EZE90" s="528"/>
      <c r="EZF90" s="528"/>
      <c r="EZG90" s="528"/>
      <c r="EZH90" s="528"/>
      <c r="EZI90" s="528"/>
      <c r="EZJ90" s="528"/>
      <c r="EZK90" s="528"/>
      <c r="EZL90" s="528"/>
      <c r="EZM90" s="528"/>
      <c r="EZN90" s="528"/>
      <c r="EZO90" s="528"/>
      <c r="EZP90" s="528"/>
      <c r="EZQ90" s="528"/>
      <c r="EZR90" s="528"/>
      <c r="EZS90" s="528"/>
      <c r="EZT90" s="528"/>
      <c r="EZU90" s="528"/>
      <c r="EZV90" s="528"/>
      <c r="EZW90" s="528"/>
      <c r="EZX90" s="528"/>
      <c r="EZY90" s="528"/>
      <c r="EZZ90" s="528"/>
      <c r="FAA90" s="528"/>
      <c r="FAB90" s="528"/>
      <c r="FAC90" s="528"/>
      <c r="FAD90" s="528"/>
      <c r="FAE90" s="528"/>
      <c r="FAF90" s="528"/>
      <c r="FAG90" s="528"/>
      <c r="FAH90" s="528"/>
      <c r="FAI90" s="528"/>
      <c r="FAJ90" s="528"/>
      <c r="FAK90" s="528"/>
      <c r="FAL90" s="528"/>
      <c r="FAM90" s="528"/>
      <c r="FAN90" s="528"/>
      <c r="FAO90" s="528"/>
      <c r="FAP90" s="528"/>
      <c r="FAQ90" s="528"/>
      <c r="FAR90" s="528"/>
      <c r="FAS90" s="528"/>
      <c r="FAT90" s="528"/>
      <c r="FAU90" s="528"/>
      <c r="FAV90" s="528"/>
      <c r="FAW90" s="528"/>
      <c r="FAX90" s="528"/>
      <c r="FAY90" s="528"/>
      <c r="FAZ90" s="528"/>
      <c r="FBA90" s="528"/>
      <c r="FBB90" s="528"/>
      <c r="FBC90" s="528"/>
      <c r="FBD90" s="528"/>
      <c r="FBE90" s="528"/>
      <c r="FBF90" s="528"/>
      <c r="FBG90" s="528"/>
      <c r="FBH90" s="528"/>
      <c r="FBI90" s="528"/>
      <c r="FBJ90" s="528"/>
      <c r="FBK90" s="528"/>
      <c r="FBL90" s="528"/>
      <c r="FBM90" s="528"/>
      <c r="FBN90" s="528"/>
      <c r="FBO90" s="528"/>
      <c r="FBP90" s="528"/>
      <c r="FBQ90" s="528"/>
      <c r="FBR90" s="528"/>
      <c r="FBS90" s="528"/>
      <c r="FBT90" s="528"/>
      <c r="FBU90" s="528"/>
      <c r="FBV90" s="528"/>
      <c r="FBW90" s="528"/>
      <c r="FBX90" s="528"/>
      <c r="FBY90" s="528"/>
      <c r="FBZ90" s="528"/>
      <c r="FCA90" s="528"/>
      <c r="FCB90" s="528"/>
      <c r="FCC90" s="528"/>
      <c r="FCD90" s="528"/>
      <c r="FCE90" s="528"/>
      <c r="FCF90" s="528"/>
      <c r="FCG90" s="528"/>
      <c r="FCH90" s="528"/>
      <c r="FCI90" s="528"/>
      <c r="FCJ90" s="528"/>
      <c r="FCK90" s="528"/>
      <c r="FCL90" s="528"/>
      <c r="FCM90" s="528"/>
      <c r="FCN90" s="528"/>
      <c r="FCO90" s="528"/>
      <c r="FCP90" s="528"/>
      <c r="FCQ90" s="528"/>
      <c r="FCR90" s="528"/>
      <c r="FCS90" s="528"/>
      <c r="FCT90" s="528"/>
      <c r="FCU90" s="528"/>
      <c r="FCV90" s="528"/>
      <c r="FCW90" s="528"/>
      <c r="FCX90" s="528"/>
      <c r="FCY90" s="528"/>
      <c r="FCZ90" s="528"/>
      <c r="FDA90" s="528"/>
      <c r="FDB90" s="528"/>
      <c r="FDC90" s="528"/>
      <c r="FDD90" s="528"/>
      <c r="FDE90" s="528"/>
      <c r="FDF90" s="528"/>
      <c r="FDG90" s="528"/>
      <c r="FDH90" s="528"/>
      <c r="FDI90" s="528"/>
      <c r="FDJ90" s="528"/>
      <c r="FDK90" s="528"/>
      <c r="FDL90" s="528"/>
      <c r="FDM90" s="528"/>
      <c r="FDN90" s="528"/>
      <c r="FDO90" s="528"/>
      <c r="FDP90" s="528"/>
      <c r="FDQ90" s="528"/>
      <c r="FDR90" s="528"/>
      <c r="FDS90" s="528"/>
      <c r="FDT90" s="528"/>
      <c r="FDU90" s="528"/>
      <c r="FDV90" s="528"/>
      <c r="FDW90" s="528"/>
      <c r="FDX90" s="528"/>
      <c r="FDY90" s="528"/>
      <c r="FDZ90" s="528"/>
      <c r="FEA90" s="528"/>
      <c r="FEB90" s="528"/>
      <c r="FEC90" s="528"/>
      <c r="FED90" s="528"/>
      <c r="FEE90" s="528"/>
      <c r="FEF90" s="528"/>
      <c r="FEG90" s="528"/>
      <c r="FEH90" s="528"/>
      <c r="FEI90" s="528"/>
      <c r="FEJ90" s="528"/>
      <c r="FEK90" s="528"/>
      <c r="FEL90" s="528"/>
      <c r="FEM90" s="528"/>
      <c r="FEN90" s="528"/>
      <c r="FEO90" s="528"/>
      <c r="FEP90" s="528"/>
      <c r="FEQ90" s="528"/>
      <c r="FER90" s="528"/>
      <c r="FES90" s="528"/>
      <c r="FET90" s="528"/>
      <c r="FEU90" s="528"/>
      <c r="FEV90" s="528"/>
      <c r="FEW90" s="528"/>
      <c r="FEX90" s="528"/>
      <c r="FEY90" s="528"/>
      <c r="FEZ90" s="528"/>
      <c r="FFA90" s="528"/>
      <c r="FFB90" s="528"/>
      <c r="FFC90" s="528"/>
      <c r="FFD90" s="528"/>
      <c r="FFE90" s="528"/>
      <c r="FFF90" s="528"/>
      <c r="FFG90" s="528"/>
      <c r="FFH90" s="528"/>
      <c r="FFI90" s="528"/>
      <c r="FFJ90" s="528"/>
      <c r="FFK90" s="528"/>
      <c r="FFL90" s="528"/>
      <c r="FFM90" s="528"/>
      <c r="FFN90" s="528"/>
      <c r="FFO90" s="528"/>
      <c r="FFP90" s="528"/>
      <c r="FFQ90" s="528"/>
      <c r="FFR90" s="528"/>
      <c r="FFS90" s="528"/>
      <c r="FFT90" s="528"/>
      <c r="FFU90" s="528"/>
      <c r="FFV90" s="528"/>
      <c r="FFW90" s="528"/>
      <c r="FFX90" s="528"/>
      <c r="FFY90" s="528"/>
      <c r="FFZ90" s="528"/>
      <c r="FGA90" s="528"/>
      <c r="FGB90" s="528"/>
      <c r="FGC90" s="528"/>
      <c r="FGD90" s="528"/>
      <c r="FGE90" s="528"/>
      <c r="FGF90" s="528"/>
      <c r="FGG90" s="528"/>
      <c r="FGH90" s="528"/>
      <c r="FGI90" s="528"/>
      <c r="FGJ90" s="528"/>
      <c r="FGK90" s="528"/>
      <c r="FGL90" s="528"/>
      <c r="FGM90" s="528"/>
      <c r="FGN90" s="528"/>
      <c r="FGO90" s="528"/>
      <c r="FGP90" s="528"/>
      <c r="FGQ90" s="528"/>
      <c r="FGR90" s="528"/>
      <c r="FGS90" s="528"/>
      <c r="FGT90" s="528"/>
      <c r="FGU90" s="528"/>
      <c r="FGV90" s="528"/>
      <c r="FGW90" s="528"/>
      <c r="FGX90" s="528"/>
      <c r="FGY90" s="528"/>
      <c r="FGZ90" s="528"/>
      <c r="FHA90" s="528"/>
      <c r="FHB90" s="528"/>
      <c r="FHC90" s="528"/>
      <c r="FHD90" s="528"/>
      <c r="FHE90" s="528"/>
      <c r="FHF90" s="528"/>
      <c r="FHG90" s="528"/>
      <c r="FHH90" s="528"/>
      <c r="FHI90" s="528"/>
      <c r="FHJ90" s="528"/>
      <c r="FHK90" s="528"/>
      <c r="FHL90" s="528"/>
      <c r="FHM90" s="528"/>
      <c r="FHN90" s="528"/>
      <c r="FHO90" s="528"/>
      <c r="FHP90" s="528"/>
      <c r="FHQ90" s="528"/>
      <c r="FHR90" s="528"/>
      <c r="FHS90" s="528"/>
      <c r="FHT90" s="528"/>
      <c r="FHU90" s="528"/>
      <c r="FHV90" s="528"/>
      <c r="FHW90" s="528"/>
      <c r="FHX90" s="528"/>
      <c r="FHY90" s="528"/>
      <c r="FHZ90" s="528"/>
      <c r="FIA90" s="528"/>
      <c r="FIB90" s="528"/>
      <c r="FIC90" s="528"/>
      <c r="FID90" s="528"/>
      <c r="FIE90" s="528"/>
      <c r="FIF90" s="528"/>
      <c r="FIG90" s="528"/>
      <c r="FIH90" s="528"/>
      <c r="FII90" s="528"/>
      <c r="FIJ90" s="528"/>
      <c r="FIK90" s="528"/>
      <c r="FIL90" s="528"/>
      <c r="FIM90" s="528"/>
      <c r="FIN90" s="528"/>
      <c r="FIO90" s="528"/>
      <c r="FIP90" s="528"/>
      <c r="FIQ90" s="528"/>
      <c r="FIR90" s="528"/>
      <c r="FIS90" s="528"/>
      <c r="FIT90" s="528"/>
      <c r="FIU90" s="528"/>
      <c r="FIV90" s="528"/>
      <c r="FIW90" s="528"/>
      <c r="FIX90" s="528"/>
      <c r="FIY90" s="528"/>
      <c r="FIZ90" s="528"/>
      <c r="FJA90" s="528"/>
      <c r="FJB90" s="528"/>
      <c r="FJC90" s="528"/>
      <c r="FJD90" s="528"/>
      <c r="FJE90" s="528"/>
      <c r="FJF90" s="528"/>
      <c r="FJG90" s="528"/>
      <c r="FJH90" s="528"/>
      <c r="FJI90" s="528"/>
      <c r="FJJ90" s="528"/>
      <c r="FJK90" s="528"/>
      <c r="FJL90" s="528"/>
      <c r="FJM90" s="528"/>
      <c r="FJN90" s="528"/>
      <c r="FJO90" s="528"/>
      <c r="FJP90" s="528"/>
      <c r="FJQ90" s="528"/>
      <c r="FJR90" s="528"/>
      <c r="FJS90" s="528"/>
      <c r="FJT90" s="528"/>
      <c r="FJU90" s="528"/>
      <c r="FJV90" s="528"/>
      <c r="FJW90" s="528"/>
      <c r="FJX90" s="528"/>
      <c r="FJY90" s="528"/>
      <c r="FJZ90" s="528"/>
      <c r="FKA90" s="528"/>
      <c r="FKB90" s="528"/>
      <c r="FKC90" s="528"/>
      <c r="FKD90" s="528"/>
      <c r="FKE90" s="528"/>
      <c r="FKF90" s="528"/>
      <c r="FKG90" s="528"/>
      <c r="FKH90" s="528"/>
      <c r="FKI90" s="528"/>
      <c r="FKJ90" s="528"/>
      <c r="FKK90" s="528"/>
      <c r="FKL90" s="528"/>
      <c r="FKM90" s="528"/>
      <c r="FKN90" s="528"/>
      <c r="FKO90" s="528"/>
      <c r="FKP90" s="528"/>
      <c r="FKQ90" s="528"/>
      <c r="FKR90" s="528"/>
      <c r="FKS90" s="528"/>
      <c r="FKT90" s="528"/>
      <c r="FKU90" s="528"/>
      <c r="FKV90" s="528"/>
      <c r="FKW90" s="528"/>
      <c r="FKX90" s="528"/>
      <c r="FKY90" s="528"/>
      <c r="FKZ90" s="528"/>
      <c r="FLA90" s="528"/>
      <c r="FLB90" s="528"/>
      <c r="FLC90" s="528"/>
      <c r="FLD90" s="528"/>
      <c r="FLE90" s="528"/>
      <c r="FLF90" s="528"/>
      <c r="FLG90" s="528"/>
      <c r="FLH90" s="528"/>
      <c r="FLI90" s="528"/>
      <c r="FLJ90" s="528"/>
      <c r="FLK90" s="528"/>
      <c r="FLL90" s="528"/>
      <c r="FLM90" s="528"/>
      <c r="FLN90" s="528"/>
      <c r="FLO90" s="528"/>
      <c r="FLP90" s="528"/>
      <c r="FLQ90" s="528"/>
      <c r="FLR90" s="528"/>
      <c r="FLS90" s="528"/>
      <c r="FLT90" s="528"/>
      <c r="FLU90" s="528"/>
      <c r="FLV90" s="528"/>
      <c r="FLW90" s="528"/>
      <c r="FLX90" s="528"/>
      <c r="FLY90" s="528"/>
      <c r="FLZ90" s="528"/>
      <c r="FMA90" s="528"/>
      <c r="FMB90" s="528"/>
      <c r="FMC90" s="528"/>
      <c r="FMD90" s="528"/>
      <c r="FME90" s="528"/>
      <c r="FMF90" s="528"/>
      <c r="FMG90" s="528"/>
      <c r="FMH90" s="528"/>
      <c r="FMI90" s="528"/>
      <c r="FMJ90" s="528"/>
      <c r="FMK90" s="528"/>
      <c r="FML90" s="528"/>
      <c r="FMM90" s="528"/>
      <c r="FMN90" s="528"/>
      <c r="FMO90" s="528"/>
      <c r="FMP90" s="528"/>
      <c r="FMQ90" s="528"/>
      <c r="FMR90" s="528"/>
      <c r="FMS90" s="528"/>
      <c r="FMT90" s="528"/>
      <c r="FMU90" s="528"/>
      <c r="FMV90" s="528"/>
      <c r="FMW90" s="528"/>
      <c r="FMX90" s="528"/>
      <c r="FMY90" s="528"/>
      <c r="FMZ90" s="528"/>
      <c r="FNA90" s="528"/>
      <c r="FNB90" s="528"/>
      <c r="FNC90" s="528"/>
      <c r="FND90" s="528"/>
      <c r="FNE90" s="528"/>
      <c r="FNF90" s="528"/>
      <c r="FNG90" s="528"/>
      <c r="FNH90" s="528"/>
      <c r="FNI90" s="528"/>
      <c r="FNJ90" s="528"/>
      <c r="FNK90" s="528"/>
      <c r="FNL90" s="528"/>
      <c r="FNM90" s="528"/>
      <c r="FNN90" s="528"/>
      <c r="FNO90" s="528"/>
      <c r="FNP90" s="528"/>
      <c r="FNQ90" s="528"/>
      <c r="FNR90" s="528"/>
      <c r="FNS90" s="528"/>
      <c r="FNT90" s="528"/>
      <c r="FNU90" s="528"/>
      <c r="FNV90" s="528"/>
      <c r="FNW90" s="528"/>
      <c r="FNX90" s="528"/>
      <c r="FNY90" s="528"/>
      <c r="FNZ90" s="528"/>
      <c r="FOA90" s="528"/>
      <c r="FOB90" s="528"/>
      <c r="FOC90" s="528"/>
      <c r="FOD90" s="528"/>
      <c r="FOE90" s="528"/>
      <c r="FOF90" s="528"/>
      <c r="FOG90" s="528"/>
      <c r="FOH90" s="528"/>
      <c r="FOI90" s="528"/>
      <c r="FOJ90" s="528"/>
      <c r="FOK90" s="528"/>
      <c r="FOL90" s="528"/>
      <c r="FOM90" s="528"/>
      <c r="FON90" s="528"/>
      <c r="FOO90" s="528"/>
      <c r="FOP90" s="528"/>
      <c r="FOQ90" s="528"/>
      <c r="FOR90" s="528"/>
      <c r="FOS90" s="528"/>
      <c r="FOT90" s="528"/>
      <c r="FOU90" s="528"/>
      <c r="FOV90" s="528"/>
      <c r="FOW90" s="528"/>
      <c r="FOX90" s="528"/>
      <c r="FOY90" s="528"/>
      <c r="FOZ90" s="528"/>
      <c r="FPA90" s="528"/>
      <c r="FPB90" s="528"/>
      <c r="FPC90" s="528"/>
      <c r="FPD90" s="528"/>
      <c r="FPE90" s="528"/>
      <c r="FPF90" s="528"/>
      <c r="FPG90" s="528"/>
      <c r="FPH90" s="528"/>
      <c r="FPI90" s="528"/>
      <c r="FPJ90" s="528"/>
      <c r="FPK90" s="528"/>
      <c r="FPL90" s="528"/>
      <c r="FPM90" s="528"/>
      <c r="FPN90" s="528"/>
      <c r="FPO90" s="528"/>
      <c r="FPP90" s="528"/>
      <c r="FPQ90" s="528"/>
      <c r="FPR90" s="528"/>
      <c r="FPS90" s="528"/>
      <c r="FPT90" s="528"/>
      <c r="FPU90" s="528"/>
      <c r="FPV90" s="528"/>
      <c r="FPW90" s="528"/>
      <c r="FPX90" s="528"/>
      <c r="FPY90" s="528"/>
      <c r="FPZ90" s="528"/>
      <c r="FQA90" s="528"/>
      <c r="FQB90" s="528"/>
      <c r="FQC90" s="528"/>
      <c r="FQD90" s="528"/>
      <c r="FQE90" s="528"/>
      <c r="FQF90" s="528"/>
      <c r="FQG90" s="528"/>
      <c r="FQH90" s="528"/>
      <c r="FQI90" s="528"/>
      <c r="FQJ90" s="528"/>
      <c r="FQK90" s="528"/>
      <c r="FQL90" s="528"/>
      <c r="FQM90" s="528"/>
      <c r="FQN90" s="528"/>
      <c r="FQO90" s="528"/>
      <c r="FQP90" s="528"/>
      <c r="FQQ90" s="528"/>
      <c r="FQR90" s="528"/>
      <c r="FQS90" s="528"/>
      <c r="FQT90" s="528"/>
      <c r="FQU90" s="528"/>
      <c r="FQV90" s="528"/>
      <c r="FQW90" s="528"/>
      <c r="FQX90" s="528"/>
      <c r="FQY90" s="528"/>
      <c r="FQZ90" s="528"/>
      <c r="FRA90" s="528"/>
      <c r="FRB90" s="528"/>
      <c r="FRC90" s="528"/>
      <c r="FRD90" s="528"/>
      <c r="FRE90" s="528"/>
      <c r="FRF90" s="528"/>
      <c r="FRG90" s="528"/>
      <c r="FRH90" s="528"/>
      <c r="FRI90" s="528"/>
      <c r="FRJ90" s="528"/>
      <c r="FRK90" s="528"/>
      <c r="FRL90" s="528"/>
      <c r="FRM90" s="528"/>
      <c r="FRN90" s="528"/>
      <c r="FRO90" s="528"/>
      <c r="FRP90" s="528"/>
      <c r="FRQ90" s="528"/>
      <c r="FRR90" s="528"/>
      <c r="FRS90" s="528"/>
      <c r="FRT90" s="528"/>
      <c r="FRU90" s="528"/>
      <c r="FRV90" s="528"/>
      <c r="FRW90" s="528"/>
      <c r="FRX90" s="528"/>
      <c r="FRY90" s="528"/>
      <c r="FRZ90" s="528"/>
      <c r="FSA90" s="528"/>
      <c r="FSB90" s="528"/>
      <c r="FSC90" s="528"/>
      <c r="FSD90" s="528"/>
      <c r="FSE90" s="528"/>
      <c r="FSF90" s="528"/>
      <c r="FSG90" s="528"/>
      <c r="FSH90" s="528"/>
      <c r="FSI90" s="528"/>
      <c r="FSJ90" s="528"/>
      <c r="FSK90" s="528"/>
      <c r="FSL90" s="528"/>
      <c r="FSM90" s="528"/>
      <c r="FSN90" s="528"/>
      <c r="FSO90" s="528"/>
      <c r="FSP90" s="528"/>
      <c r="FSQ90" s="528"/>
      <c r="FSR90" s="528"/>
      <c r="FSS90" s="528"/>
      <c r="FST90" s="528"/>
      <c r="FSU90" s="528"/>
      <c r="FSV90" s="528"/>
      <c r="FSW90" s="528"/>
      <c r="FSX90" s="528"/>
      <c r="FSY90" s="528"/>
      <c r="FSZ90" s="528"/>
      <c r="FTA90" s="528"/>
      <c r="FTB90" s="528"/>
      <c r="FTC90" s="528"/>
      <c r="FTD90" s="528"/>
      <c r="FTE90" s="528"/>
      <c r="FTF90" s="528"/>
      <c r="FTG90" s="528"/>
      <c r="FTH90" s="528"/>
      <c r="FTI90" s="528"/>
      <c r="FTJ90" s="528"/>
      <c r="FTK90" s="528"/>
      <c r="FTL90" s="528"/>
      <c r="FTM90" s="528"/>
      <c r="FTN90" s="528"/>
      <c r="FTO90" s="528"/>
      <c r="FTP90" s="528"/>
      <c r="FTQ90" s="528"/>
      <c r="FTR90" s="528"/>
      <c r="FTS90" s="528"/>
      <c r="FTT90" s="528"/>
      <c r="FTU90" s="528"/>
      <c r="FTV90" s="528"/>
      <c r="FTW90" s="528"/>
      <c r="FTX90" s="528"/>
      <c r="FTY90" s="528"/>
      <c r="FTZ90" s="528"/>
      <c r="FUA90" s="528"/>
      <c r="FUB90" s="528"/>
      <c r="FUC90" s="528"/>
      <c r="FUD90" s="528"/>
      <c r="FUE90" s="528"/>
      <c r="FUF90" s="528"/>
      <c r="FUG90" s="528"/>
      <c r="FUH90" s="528"/>
      <c r="FUI90" s="528"/>
      <c r="FUJ90" s="528"/>
      <c r="FUK90" s="528"/>
      <c r="FUL90" s="528"/>
      <c r="FUM90" s="528"/>
      <c r="FUN90" s="528"/>
      <c r="FUO90" s="528"/>
      <c r="FUP90" s="528"/>
      <c r="FUQ90" s="528"/>
      <c r="FUR90" s="528"/>
      <c r="FUS90" s="528"/>
      <c r="FUT90" s="528"/>
      <c r="FUU90" s="528"/>
      <c r="FUV90" s="528"/>
      <c r="FUW90" s="528"/>
      <c r="FUX90" s="528"/>
      <c r="FUY90" s="528"/>
      <c r="FUZ90" s="528"/>
      <c r="FVA90" s="528"/>
      <c r="FVB90" s="528"/>
      <c r="FVC90" s="528"/>
      <c r="FVD90" s="528"/>
      <c r="FVE90" s="528"/>
      <c r="FVF90" s="528"/>
      <c r="FVG90" s="528"/>
      <c r="FVH90" s="528"/>
      <c r="FVI90" s="528"/>
      <c r="FVJ90" s="528"/>
      <c r="FVK90" s="528"/>
      <c r="FVL90" s="528"/>
      <c r="FVM90" s="528"/>
      <c r="FVN90" s="528"/>
      <c r="FVO90" s="528"/>
      <c r="FVP90" s="528"/>
      <c r="FVQ90" s="528"/>
      <c r="FVR90" s="528"/>
      <c r="FVS90" s="528"/>
      <c r="FVT90" s="528"/>
      <c r="FVU90" s="528"/>
      <c r="FVV90" s="528"/>
      <c r="FVW90" s="528"/>
      <c r="FVX90" s="528"/>
      <c r="FVY90" s="528"/>
      <c r="FVZ90" s="528"/>
      <c r="FWA90" s="528"/>
      <c r="FWB90" s="528"/>
      <c r="FWC90" s="528"/>
      <c r="FWD90" s="528"/>
      <c r="FWE90" s="528"/>
      <c r="FWF90" s="528"/>
      <c r="FWG90" s="528"/>
      <c r="FWH90" s="528"/>
      <c r="FWI90" s="528"/>
      <c r="FWJ90" s="528"/>
      <c r="FWK90" s="528"/>
      <c r="FWL90" s="528"/>
      <c r="FWM90" s="528"/>
      <c r="FWN90" s="528"/>
      <c r="FWO90" s="528"/>
      <c r="FWP90" s="528"/>
      <c r="FWQ90" s="528"/>
      <c r="FWR90" s="528"/>
      <c r="FWS90" s="528"/>
      <c r="FWT90" s="528"/>
      <c r="FWU90" s="528"/>
      <c r="FWV90" s="528"/>
      <c r="FWW90" s="528"/>
      <c r="FWX90" s="528"/>
      <c r="FWY90" s="528"/>
      <c r="FWZ90" s="528"/>
      <c r="FXA90" s="528"/>
      <c r="FXB90" s="528"/>
      <c r="FXC90" s="528"/>
      <c r="FXD90" s="528"/>
      <c r="FXE90" s="528"/>
      <c r="FXF90" s="528"/>
      <c r="FXG90" s="528"/>
      <c r="FXH90" s="528"/>
      <c r="FXI90" s="528"/>
      <c r="FXJ90" s="528"/>
      <c r="FXK90" s="528"/>
      <c r="FXL90" s="528"/>
      <c r="FXM90" s="528"/>
      <c r="FXN90" s="528"/>
      <c r="FXO90" s="528"/>
      <c r="FXP90" s="528"/>
      <c r="FXQ90" s="528"/>
      <c r="FXR90" s="528"/>
      <c r="FXS90" s="528"/>
      <c r="FXT90" s="528"/>
      <c r="FXU90" s="528"/>
      <c r="FXV90" s="528"/>
      <c r="FXW90" s="528"/>
      <c r="FXX90" s="528"/>
      <c r="FXY90" s="528"/>
      <c r="FXZ90" s="528"/>
      <c r="FYA90" s="528"/>
      <c r="FYB90" s="528"/>
      <c r="FYC90" s="528"/>
      <c r="FYD90" s="528"/>
      <c r="FYE90" s="528"/>
      <c r="FYF90" s="528"/>
      <c r="FYG90" s="528"/>
      <c r="FYH90" s="528"/>
      <c r="FYI90" s="528"/>
      <c r="FYJ90" s="528"/>
      <c r="FYK90" s="528"/>
      <c r="FYL90" s="528"/>
      <c r="FYM90" s="528"/>
      <c r="FYN90" s="528"/>
      <c r="FYO90" s="528"/>
      <c r="FYP90" s="528"/>
      <c r="FYQ90" s="528"/>
      <c r="FYR90" s="528"/>
      <c r="FYS90" s="528"/>
      <c r="FYT90" s="528"/>
      <c r="FYU90" s="528"/>
      <c r="FYV90" s="528"/>
      <c r="FYW90" s="528"/>
      <c r="FYX90" s="528"/>
      <c r="FYY90" s="528"/>
      <c r="FYZ90" s="528"/>
      <c r="FZA90" s="528"/>
      <c r="FZB90" s="528"/>
      <c r="FZC90" s="528"/>
      <c r="FZD90" s="528"/>
      <c r="FZE90" s="528"/>
      <c r="FZF90" s="528"/>
      <c r="FZG90" s="528"/>
      <c r="FZH90" s="528"/>
      <c r="FZI90" s="528"/>
      <c r="FZJ90" s="528"/>
      <c r="FZK90" s="528"/>
      <c r="FZL90" s="528"/>
      <c r="FZM90" s="528"/>
      <c r="FZN90" s="528"/>
      <c r="FZO90" s="528"/>
      <c r="FZP90" s="528"/>
      <c r="FZQ90" s="528"/>
      <c r="FZR90" s="528"/>
      <c r="FZS90" s="528"/>
      <c r="FZT90" s="528"/>
      <c r="FZU90" s="528"/>
      <c r="FZV90" s="528"/>
      <c r="FZW90" s="528"/>
      <c r="FZX90" s="528"/>
      <c r="FZY90" s="528"/>
      <c r="FZZ90" s="528"/>
      <c r="GAA90" s="528"/>
      <c r="GAB90" s="528"/>
      <c r="GAC90" s="528"/>
      <c r="GAD90" s="528"/>
      <c r="GAE90" s="528"/>
      <c r="GAF90" s="528"/>
      <c r="GAG90" s="528"/>
      <c r="GAH90" s="528"/>
      <c r="GAI90" s="528"/>
      <c r="GAJ90" s="528"/>
      <c r="GAK90" s="528"/>
      <c r="GAL90" s="528"/>
      <c r="GAM90" s="528"/>
      <c r="GAN90" s="528"/>
      <c r="GAO90" s="528"/>
      <c r="GAP90" s="528"/>
      <c r="GAQ90" s="528"/>
      <c r="GAR90" s="528"/>
      <c r="GAS90" s="528"/>
      <c r="GAT90" s="528"/>
      <c r="GAU90" s="528"/>
      <c r="GAV90" s="528"/>
      <c r="GAW90" s="528"/>
      <c r="GAX90" s="528"/>
      <c r="GAY90" s="528"/>
      <c r="GAZ90" s="528"/>
      <c r="GBA90" s="528"/>
      <c r="GBB90" s="528"/>
      <c r="GBC90" s="528"/>
      <c r="GBD90" s="528"/>
      <c r="GBE90" s="528"/>
      <c r="GBF90" s="528"/>
      <c r="GBG90" s="528"/>
      <c r="GBH90" s="528"/>
      <c r="GBI90" s="528"/>
      <c r="GBJ90" s="528"/>
      <c r="GBK90" s="528"/>
      <c r="GBL90" s="528"/>
      <c r="GBM90" s="528"/>
      <c r="GBN90" s="528"/>
      <c r="GBO90" s="528"/>
      <c r="GBP90" s="528"/>
      <c r="GBQ90" s="528"/>
      <c r="GBR90" s="528"/>
      <c r="GBS90" s="528"/>
      <c r="GBT90" s="528"/>
      <c r="GBU90" s="528"/>
      <c r="GBV90" s="528"/>
      <c r="GBW90" s="528"/>
      <c r="GBX90" s="528"/>
      <c r="GBY90" s="528"/>
      <c r="GBZ90" s="528"/>
      <c r="GCA90" s="528"/>
      <c r="GCB90" s="528"/>
      <c r="GCC90" s="528"/>
      <c r="GCD90" s="528"/>
      <c r="GCE90" s="528"/>
      <c r="GCF90" s="528"/>
      <c r="GCG90" s="528"/>
      <c r="GCH90" s="528"/>
      <c r="GCI90" s="528"/>
      <c r="GCJ90" s="528"/>
      <c r="GCK90" s="528"/>
      <c r="GCL90" s="528"/>
      <c r="GCM90" s="528"/>
      <c r="GCN90" s="528"/>
      <c r="GCO90" s="528"/>
      <c r="GCP90" s="528"/>
      <c r="GCQ90" s="528"/>
      <c r="GCR90" s="528"/>
      <c r="GCS90" s="528"/>
      <c r="GCT90" s="528"/>
      <c r="GCU90" s="528"/>
      <c r="GCV90" s="528"/>
      <c r="GCW90" s="528"/>
      <c r="GCX90" s="528"/>
      <c r="GCY90" s="528"/>
      <c r="GCZ90" s="528"/>
      <c r="GDA90" s="528"/>
      <c r="GDB90" s="528"/>
      <c r="GDC90" s="528"/>
      <c r="GDD90" s="528"/>
      <c r="GDE90" s="528"/>
      <c r="GDF90" s="528"/>
      <c r="GDG90" s="528"/>
      <c r="GDH90" s="528"/>
      <c r="GDI90" s="528"/>
      <c r="GDJ90" s="528"/>
      <c r="GDK90" s="528"/>
      <c r="GDL90" s="528"/>
      <c r="GDM90" s="528"/>
      <c r="GDN90" s="528"/>
      <c r="GDO90" s="528"/>
      <c r="GDP90" s="528"/>
      <c r="GDQ90" s="528"/>
      <c r="GDR90" s="528"/>
      <c r="GDS90" s="528"/>
      <c r="GDT90" s="528"/>
      <c r="GDU90" s="528"/>
      <c r="GDV90" s="528"/>
      <c r="GDW90" s="528"/>
      <c r="GDX90" s="528"/>
      <c r="GDY90" s="528"/>
      <c r="GDZ90" s="528"/>
      <c r="GEA90" s="528"/>
      <c r="GEB90" s="528"/>
      <c r="GEC90" s="528"/>
      <c r="GED90" s="528"/>
      <c r="GEE90" s="528"/>
      <c r="GEF90" s="528"/>
      <c r="GEG90" s="528"/>
      <c r="GEH90" s="528"/>
      <c r="GEI90" s="528"/>
      <c r="GEJ90" s="528"/>
      <c r="GEK90" s="528"/>
      <c r="GEL90" s="528"/>
      <c r="GEM90" s="528"/>
      <c r="GEN90" s="528"/>
      <c r="GEO90" s="528"/>
      <c r="GEP90" s="528"/>
      <c r="GEQ90" s="528"/>
      <c r="GER90" s="528"/>
      <c r="GES90" s="528"/>
      <c r="GET90" s="528"/>
      <c r="GEU90" s="528"/>
      <c r="GEV90" s="528"/>
      <c r="GEW90" s="528"/>
      <c r="GEX90" s="528"/>
      <c r="GEY90" s="528"/>
      <c r="GEZ90" s="528"/>
      <c r="GFA90" s="528"/>
      <c r="GFB90" s="528"/>
      <c r="GFC90" s="528"/>
      <c r="GFD90" s="528"/>
      <c r="GFE90" s="528"/>
      <c r="GFF90" s="528"/>
      <c r="GFG90" s="528"/>
      <c r="GFH90" s="528"/>
      <c r="GFI90" s="528"/>
      <c r="GFJ90" s="528"/>
      <c r="GFK90" s="528"/>
      <c r="GFL90" s="528"/>
      <c r="GFM90" s="528"/>
      <c r="GFN90" s="528"/>
      <c r="GFO90" s="528"/>
      <c r="GFP90" s="528"/>
      <c r="GFQ90" s="528"/>
      <c r="GFR90" s="528"/>
      <c r="GFS90" s="528"/>
      <c r="GFT90" s="528"/>
      <c r="GFU90" s="528"/>
      <c r="GFV90" s="528"/>
      <c r="GFW90" s="528"/>
      <c r="GFX90" s="528"/>
      <c r="GFY90" s="528"/>
      <c r="GFZ90" s="528"/>
      <c r="GGA90" s="528"/>
      <c r="GGB90" s="528"/>
      <c r="GGC90" s="528"/>
      <c r="GGD90" s="528"/>
      <c r="GGE90" s="528"/>
      <c r="GGF90" s="528"/>
      <c r="GGG90" s="528"/>
      <c r="GGH90" s="528"/>
      <c r="GGI90" s="528"/>
      <c r="GGJ90" s="528"/>
      <c r="GGK90" s="528"/>
      <c r="GGL90" s="528"/>
      <c r="GGM90" s="528"/>
      <c r="GGN90" s="528"/>
      <c r="GGO90" s="528"/>
      <c r="GGP90" s="528"/>
      <c r="GGQ90" s="528"/>
      <c r="GGR90" s="528"/>
      <c r="GGS90" s="528"/>
      <c r="GGT90" s="528"/>
      <c r="GGU90" s="528"/>
      <c r="GGV90" s="528"/>
      <c r="GGW90" s="528"/>
      <c r="GGX90" s="528"/>
      <c r="GGY90" s="528"/>
      <c r="GGZ90" s="528"/>
      <c r="GHA90" s="528"/>
      <c r="GHB90" s="528"/>
      <c r="GHC90" s="528"/>
      <c r="GHD90" s="528"/>
      <c r="GHE90" s="528"/>
      <c r="GHF90" s="528"/>
      <c r="GHG90" s="528"/>
      <c r="GHH90" s="528"/>
      <c r="GHI90" s="528"/>
      <c r="GHJ90" s="528"/>
      <c r="GHK90" s="528"/>
      <c r="GHL90" s="528"/>
      <c r="GHM90" s="528"/>
      <c r="GHN90" s="528"/>
      <c r="GHO90" s="528"/>
      <c r="GHP90" s="528"/>
      <c r="GHQ90" s="528"/>
      <c r="GHR90" s="528"/>
      <c r="GHS90" s="528"/>
      <c r="GHT90" s="528"/>
      <c r="GHU90" s="528"/>
      <c r="GHV90" s="528"/>
      <c r="GHW90" s="528"/>
      <c r="GHX90" s="528"/>
      <c r="GHY90" s="528"/>
      <c r="GHZ90" s="528"/>
      <c r="GIA90" s="528"/>
      <c r="GIB90" s="528"/>
      <c r="GIC90" s="528"/>
      <c r="GID90" s="528"/>
      <c r="GIE90" s="528"/>
      <c r="GIF90" s="528"/>
      <c r="GIG90" s="528"/>
      <c r="GIH90" s="528"/>
      <c r="GII90" s="528"/>
      <c r="GIJ90" s="528"/>
      <c r="GIK90" s="528"/>
      <c r="GIL90" s="528"/>
      <c r="GIM90" s="528"/>
      <c r="GIN90" s="528"/>
      <c r="GIO90" s="528"/>
      <c r="GIP90" s="528"/>
      <c r="GIQ90" s="528"/>
      <c r="GIR90" s="528"/>
      <c r="GIS90" s="528"/>
      <c r="GIT90" s="528"/>
      <c r="GIU90" s="528"/>
      <c r="GIV90" s="528"/>
      <c r="GIW90" s="528"/>
      <c r="GIX90" s="528"/>
      <c r="GIY90" s="528"/>
      <c r="GIZ90" s="528"/>
      <c r="GJA90" s="528"/>
      <c r="GJB90" s="528"/>
      <c r="GJC90" s="528"/>
      <c r="GJD90" s="528"/>
      <c r="GJE90" s="528"/>
      <c r="GJF90" s="528"/>
      <c r="GJG90" s="528"/>
      <c r="GJH90" s="528"/>
      <c r="GJI90" s="528"/>
      <c r="GJJ90" s="528"/>
      <c r="GJK90" s="528"/>
      <c r="GJL90" s="528"/>
      <c r="GJM90" s="528"/>
      <c r="GJN90" s="528"/>
      <c r="GJO90" s="528"/>
      <c r="GJP90" s="528"/>
      <c r="GJQ90" s="528"/>
      <c r="GJR90" s="528"/>
      <c r="GJS90" s="528"/>
      <c r="GJT90" s="528"/>
      <c r="GJU90" s="528"/>
      <c r="GJV90" s="528"/>
      <c r="GJW90" s="528"/>
      <c r="GJX90" s="528"/>
      <c r="GJY90" s="528"/>
      <c r="GJZ90" s="528"/>
      <c r="GKA90" s="528"/>
      <c r="GKB90" s="528"/>
      <c r="GKC90" s="528"/>
      <c r="GKD90" s="528"/>
      <c r="GKE90" s="528"/>
      <c r="GKF90" s="528"/>
      <c r="GKG90" s="528"/>
      <c r="GKH90" s="528"/>
      <c r="GKI90" s="528"/>
      <c r="GKJ90" s="528"/>
      <c r="GKK90" s="528"/>
      <c r="GKL90" s="528"/>
      <c r="GKM90" s="528"/>
      <c r="GKN90" s="528"/>
      <c r="GKO90" s="528"/>
      <c r="GKP90" s="528"/>
      <c r="GKQ90" s="528"/>
      <c r="GKR90" s="528"/>
      <c r="GKS90" s="528"/>
      <c r="GKT90" s="528"/>
      <c r="GKU90" s="528"/>
      <c r="GKV90" s="528"/>
      <c r="GKW90" s="528"/>
      <c r="GKX90" s="528"/>
      <c r="GKY90" s="528"/>
      <c r="GKZ90" s="528"/>
      <c r="GLA90" s="528"/>
      <c r="GLB90" s="528"/>
      <c r="GLC90" s="528"/>
      <c r="GLD90" s="528"/>
      <c r="GLE90" s="528"/>
      <c r="GLF90" s="528"/>
      <c r="GLG90" s="528"/>
      <c r="GLH90" s="528"/>
      <c r="GLI90" s="528"/>
      <c r="GLJ90" s="528"/>
      <c r="GLK90" s="528"/>
      <c r="GLL90" s="528"/>
      <c r="GLM90" s="528"/>
      <c r="GLN90" s="528"/>
      <c r="GLO90" s="528"/>
      <c r="GLP90" s="528"/>
      <c r="GLQ90" s="528"/>
      <c r="GLR90" s="528"/>
      <c r="GLS90" s="528"/>
      <c r="GLT90" s="528"/>
      <c r="GLU90" s="528"/>
      <c r="GLV90" s="528"/>
      <c r="GLW90" s="528"/>
      <c r="GLX90" s="528"/>
      <c r="GLY90" s="528"/>
      <c r="GLZ90" s="528"/>
      <c r="GMA90" s="528"/>
      <c r="GMB90" s="528"/>
      <c r="GMC90" s="528"/>
      <c r="GMD90" s="528"/>
      <c r="GME90" s="528"/>
      <c r="GMF90" s="528"/>
      <c r="GMG90" s="528"/>
      <c r="GMH90" s="528"/>
      <c r="GMI90" s="528"/>
      <c r="GMJ90" s="528"/>
      <c r="GMK90" s="528"/>
      <c r="GML90" s="528"/>
      <c r="GMM90" s="528"/>
      <c r="GMN90" s="528"/>
      <c r="GMO90" s="528"/>
      <c r="GMP90" s="528"/>
      <c r="GMQ90" s="528"/>
      <c r="GMR90" s="528"/>
      <c r="GMS90" s="528"/>
      <c r="GMT90" s="528"/>
      <c r="GMU90" s="528"/>
      <c r="GMV90" s="528"/>
      <c r="GMW90" s="528"/>
      <c r="GMX90" s="528"/>
      <c r="GMY90" s="528"/>
      <c r="GMZ90" s="528"/>
      <c r="GNA90" s="528"/>
      <c r="GNB90" s="528"/>
      <c r="GNC90" s="528"/>
      <c r="GND90" s="528"/>
      <c r="GNE90" s="528"/>
      <c r="GNF90" s="528"/>
      <c r="GNG90" s="528"/>
      <c r="GNH90" s="528"/>
      <c r="GNI90" s="528"/>
      <c r="GNJ90" s="528"/>
      <c r="GNK90" s="528"/>
      <c r="GNL90" s="528"/>
      <c r="GNM90" s="528"/>
      <c r="GNN90" s="528"/>
      <c r="GNO90" s="528"/>
      <c r="GNP90" s="528"/>
      <c r="GNQ90" s="528"/>
      <c r="GNR90" s="528"/>
      <c r="GNS90" s="528"/>
      <c r="GNT90" s="528"/>
      <c r="GNU90" s="528"/>
      <c r="GNV90" s="528"/>
      <c r="GNW90" s="528"/>
      <c r="GNX90" s="528"/>
      <c r="GNY90" s="528"/>
      <c r="GNZ90" s="528"/>
      <c r="GOA90" s="528"/>
      <c r="GOB90" s="528"/>
      <c r="GOC90" s="528"/>
      <c r="GOD90" s="528"/>
      <c r="GOE90" s="528"/>
      <c r="GOF90" s="528"/>
      <c r="GOG90" s="528"/>
      <c r="GOH90" s="528"/>
      <c r="GOI90" s="528"/>
      <c r="GOJ90" s="528"/>
      <c r="GOK90" s="528"/>
      <c r="GOL90" s="528"/>
      <c r="GOM90" s="528"/>
      <c r="GON90" s="528"/>
      <c r="GOO90" s="528"/>
      <c r="GOP90" s="528"/>
      <c r="GOQ90" s="528"/>
      <c r="GOR90" s="528"/>
      <c r="GOS90" s="528"/>
      <c r="GOT90" s="528"/>
      <c r="GOU90" s="528"/>
      <c r="GOV90" s="528"/>
      <c r="GOW90" s="528"/>
      <c r="GOX90" s="528"/>
      <c r="GOY90" s="528"/>
      <c r="GOZ90" s="528"/>
      <c r="GPA90" s="528"/>
      <c r="GPB90" s="528"/>
      <c r="GPC90" s="528"/>
      <c r="GPD90" s="528"/>
      <c r="GPE90" s="528"/>
      <c r="GPF90" s="528"/>
      <c r="GPG90" s="528"/>
      <c r="GPH90" s="528"/>
      <c r="GPI90" s="528"/>
      <c r="GPJ90" s="528"/>
      <c r="GPK90" s="528"/>
      <c r="GPL90" s="528"/>
      <c r="GPM90" s="528"/>
      <c r="GPN90" s="528"/>
      <c r="GPO90" s="528"/>
      <c r="GPP90" s="528"/>
      <c r="GPQ90" s="528"/>
      <c r="GPR90" s="528"/>
      <c r="GPS90" s="528"/>
      <c r="GPT90" s="528"/>
      <c r="GPU90" s="528"/>
      <c r="GPV90" s="528"/>
      <c r="GPW90" s="528"/>
      <c r="GPX90" s="528"/>
      <c r="GPY90" s="528"/>
      <c r="GPZ90" s="528"/>
      <c r="GQA90" s="528"/>
      <c r="GQB90" s="528"/>
      <c r="GQC90" s="528"/>
      <c r="GQD90" s="528"/>
      <c r="GQE90" s="528"/>
      <c r="GQF90" s="528"/>
      <c r="GQG90" s="528"/>
      <c r="GQH90" s="528"/>
      <c r="GQI90" s="528"/>
      <c r="GQJ90" s="528"/>
      <c r="GQK90" s="528"/>
      <c r="GQL90" s="528"/>
      <c r="GQM90" s="528"/>
      <c r="GQN90" s="528"/>
      <c r="GQO90" s="528"/>
      <c r="GQP90" s="528"/>
      <c r="GQQ90" s="528"/>
      <c r="GQR90" s="528"/>
      <c r="GQS90" s="528"/>
      <c r="GQT90" s="528"/>
      <c r="GQU90" s="528"/>
      <c r="GQV90" s="528"/>
      <c r="GQW90" s="528"/>
      <c r="GQX90" s="528"/>
      <c r="GQY90" s="528"/>
      <c r="GQZ90" s="528"/>
      <c r="GRA90" s="528"/>
      <c r="GRB90" s="528"/>
      <c r="GRC90" s="528"/>
      <c r="GRD90" s="528"/>
      <c r="GRE90" s="528"/>
      <c r="GRF90" s="528"/>
      <c r="GRG90" s="528"/>
      <c r="GRH90" s="528"/>
      <c r="GRI90" s="528"/>
      <c r="GRJ90" s="528"/>
      <c r="GRK90" s="528"/>
      <c r="GRL90" s="528"/>
      <c r="GRM90" s="528"/>
      <c r="GRN90" s="528"/>
      <c r="GRO90" s="528"/>
      <c r="GRP90" s="528"/>
      <c r="GRQ90" s="528"/>
      <c r="GRR90" s="528"/>
      <c r="GRS90" s="528"/>
      <c r="GRT90" s="528"/>
      <c r="GRU90" s="528"/>
      <c r="GRV90" s="528"/>
      <c r="GRW90" s="528"/>
      <c r="GRX90" s="528"/>
      <c r="GRY90" s="528"/>
      <c r="GRZ90" s="528"/>
      <c r="GSA90" s="528"/>
      <c r="GSB90" s="528"/>
      <c r="GSC90" s="528"/>
      <c r="GSD90" s="528"/>
      <c r="GSE90" s="528"/>
      <c r="GSF90" s="528"/>
      <c r="GSG90" s="528"/>
      <c r="GSH90" s="528"/>
      <c r="GSI90" s="528"/>
      <c r="GSJ90" s="528"/>
      <c r="GSK90" s="528"/>
      <c r="GSL90" s="528"/>
      <c r="GSM90" s="528"/>
      <c r="GSN90" s="528"/>
      <c r="GSO90" s="528"/>
      <c r="GSP90" s="528"/>
      <c r="GSQ90" s="528"/>
      <c r="GSR90" s="528"/>
      <c r="GSS90" s="528"/>
      <c r="GST90" s="528"/>
      <c r="GSU90" s="528"/>
      <c r="GSV90" s="528"/>
      <c r="GSW90" s="528"/>
      <c r="GSX90" s="528"/>
      <c r="GSY90" s="528"/>
      <c r="GSZ90" s="528"/>
      <c r="GTA90" s="528"/>
      <c r="GTB90" s="528"/>
      <c r="GTC90" s="528"/>
      <c r="GTD90" s="528"/>
      <c r="GTE90" s="528"/>
      <c r="GTF90" s="528"/>
      <c r="GTG90" s="528"/>
      <c r="GTH90" s="528"/>
      <c r="GTI90" s="528"/>
      <c r="GTJ90" s="528"/>
      <c r="GTK90" s="528"/>
      <c r="GTL90" s="528"/>
      <c r="GTM90" s="528"/>
      <c r="GTN90" s="528"/>
      <c r="GTO90" s="528"/>
      <c r="GTP90" s="528"/>
      <c r="GTQ90" s="528"/>
      <c r="GTR90" s="528"/>
      <c r="GTS90" s="528"/>
      <c r="GTT90" s="528"/>
      <c r="GTU90" s="528"/>
      <c r="GTV90" s="528"/>
      <c r="GTW90" s="528"/>
      <c r="GTX90" s="528"/>
      <c r="GTY90" s="528"/>
      <c r="GTZ90" s="528"/>
      <c r="GUA90" s="528"/>
      <c r="GUB90" s="528"/>
      <c r="GUC90" s="528"/>
      <c r="GUD90" s="528"/>
      <c r="GUE90" s="528"/>
      <c r="GUF90" s="528"/>
      <c r="GUG90" s="528"/>
      <c r="GUH90" s="528"/>
      <c r="GUI90" s="528"/>
      <c r="GUJ90" s="528"/>
      <c r="GUK90" s="528"/>
      <c r="GUL90" s="528"/>
      <c r="GUM90" s="528"/>
      <c r="GUN90" s="528"/>
      <c r="GUO90" s="528"/>
      <c r="GUP90" s="528"/>
      <c r="GUQ90" s="528"/>
      <c r="GUR90" s="528"/>
      <c r="GUS90" s="528"/>
      <c r="GUT90" s="528"/>
      <c r="GUU90" s="528"/>
      <c r="GUV90" s="528"/>
      <c r="GUW90" s="528"/>
      <c r="GUX90" s="528"/>
      <c r="GUY90" s="528"/>
      <c r="GUZ90" s="528"/>
      <c r="GVA90" s="528"/>
      <c r="GVB90" s="528"/>
      <c r="GVC90" s="528"/>
      <c r="GVD90" s="528"/>
      <c r="GVE90" s="528"/>
      <c r="GVF90" s="528"/>
      <c r="GVG90" s="528"/>
      <c r="GVH90" s="528"/>
      <c r="GVI90" s="528"/>
      <c r="GVJ90" s="528"/>
      <c r="GVK90" s="528"/>
      <c r="GVL90" s="528"/>
      <c r="GVM90" s="528"/>
      <c r="GVN90" s="528"/>
      <c r="GVO90" s="528"/>
      <c r="GVP90" s="528"/>
      <c r="GVQ90" s="528"/>
      <c r="GVR90" s="528"/>
      <c r="GVS90" s="528"/>
      <c r="GVT90" s="528"/>
      <c r="GVU90" s="528"/>
      <c r="GVV90" s="528"/>
      <c r="GVW90" s="528"/>
      <c r="GVX90" s="528"/>
      <c r="GVY90" s="528"/>
      <c r="GVZ90" s="528"/>
      <c r="GWA90" s="528"/>
      <c r="GWB90" s="528"/>
      <c r="GWC90" s="528"/>
      <c r="GWD90" s="528"/>
      <c r="GWE90" s="528"/>
      <c r="GWF90" s="528"/>
      <c r="GWG90" s="528"/>
      <c r="GWH90" s="528"/>
      <c r="GWI90" s="528"/>
      <c r="GWJ90" s="528"/>
      <c r="GWK90" s="528"/>
      <c r="GWL90" s="528"/>
      <c r="GWM90" s="528"/>
      <c r="GWN90" s="528"/>
      <c r="GWO90" s="528"/>
      <c r="GWP90" s="528"/>
      <c r="GWQ90" s="528"/>
      <c r="GWR90" s="528"/>
      <c r="GWS90" s="528"/>
      <c r="GWT90" s="528"/>
      <c r="GWU90" s="528"/>
      <c r="GWV90" s="528"/>
      <c r="GWW90" s="528"/>
      <c r="GWX90" s="528"/>
      <c r="GWY90" s="528"/>
      <c r="GWZ90" s="528"/>
      <c r="GXA90" s="528"/>
      <c r="GXB90" s="528"/>
      <c r="GXC90" s="528"/>
      <c r="GXD90" s="528"/>
      <c r="GXE90" s="528"/>
      <c r="GXF90" s="528"/>
      <c r="GXG90" s="528"/>
      <c r="GXH90" s="528"/>
      <c r="GXI90" s="528"/>
      <c r="GXJ90" s="528"/>
      <c r="GXK90" s="528"/>
      <c r="GXL90" s="528"/>
      <c r="GXM90" s="528"/>
      <c r="GXN90" s="528"/>
      <c r="GXO90" s="528"/>
      <c r="GXP90" s="528"/>
      <c r="GXQ90" s="528"/>
      <c r="GXR90" s="528"/>
      <c r="GXS90" s="528"/>
      <c r="GXT90" s="528"/>
      <c r="GXU90" s="528"/>
      <c r="GXV90" s="528"/>
      <c r="GXW90" s="528"/>
      <c r="GXX90" s="528"/>
      <c r="GXY90" s="528"/>
      <c r="GXZ90" s="528"/>
      <c r="GYA90" s="528"/>
      <c r="GYB90" s="528"/>
      <c r="GYC90" s="528"/>
      <c r="GYD90" s="528"/>
      <c r="GYE90" s="528"/>
      <c r="GYF90" s="528"/>
      <c r="GYG90" s="528"/>
      <c r="GYH90" s="528"/>
      <c r="GYI90" s="528"/>
      <c r="GYJ90" s="528"/>
      <c r="GYK90" s="528"/>
      <c r="GYL90" s="528"/>
      <c r="GYM90" s="528"/>
      <c r="GYN90" s="528"/>
      <c r="GYO90" s="528"/>
      <c r="GYP90" s="528"/>
      <c r="GYQ90" s="528"/>
      <c r="GYR90" s="528"/>
      <c r="GYS90" s="528"/>
      <c r="GYT90" s="528"/>
      <c r="GYU90" s="528"/>
      <c r="GYV90" s="528"/>
      <c r="GYW90" s="528"/>
      <c r="GYX90" s="528"/>
      <c r="GYY90" s="528"/>
      <c r="GYZ90" s="528"/>
      <c r="GZA90" s="528"/>
      <c r="GZB90" s="528"/>
      <c r="GZC90" s="528"/>
      <c r="GZD90" s="528"/>
      <c r="GZE90" s="528"/>
      <c r="GZF90" s="528"/>
      <c r="GZG90" s="528"/>
      <c r="GZH90" s="528"/>
      <c r="GZI90" s="528"/>
      <c r="GZJ90" s="528"/>
      <c r="GZK90" s="528"/>
      <c r="GZL90" s="528"/>
      <c r="GZM90" s="528"/>
      <c r="GZN90" s="528"/>
      <c r="GZO90" s="528"/>
      <c r="GZP90" s="528"/>
      <c r="GZQ90" s="528"/>
      <c r="GZR90" s="528"/>
      <c r="GZS90" s="528"/>
      <c r="GZT90" s="528"/>
      <c r="GZU90" s="528"/>
      <c r="GZV90" s="528"/>
      <c r="GZW90" s="528"/>
      <c r="GZX90" s="528"/>
      <c r="GZY90" s="528"/>
      <c r="GZZ90" s="528"/>
      <c r="HAA90" s="528"/>
      <c r="HAB90" s="528"/>
      <c r="HAC90" s="528"/>
      <c r="HAD90" s="528"/>
      <c r="HAE90" s="528"/>
      <c r="HAF90" s="528"/>
      <c r="HAG90" s="528"/>
      <c r="HAH90" s="528"/>
      <c r="HAI90" s="528"/>
      <c r="HAJ90" s="528"/>
      <c r="HAK90" s="528"/>
      <c r="HAL90" s="528"/>
      <c r="HAM90" s="528"/>
      <c r="HAN90" s="528"/>
      <c r="HAO90" s="528"/>
      <c r="HAP90" s="528"/>
      <c r="HAQ90" s="528"/>
      <c r="HAR90" s="528"/>
      <c r="HAS90" s="528"/>
      <c r="HAT90" s="528"/>
      <c r="HAU90" s="528"/>
      <c r="HAV90" s="528"/>
      <c r="HAW90" s="528"/>
      <c r="HAX90" s="528"/>
      <c r="HAY90" s="528"/>
      <c r="HAZ90" s="528"/>
      <c r="HBA90" s="528"/>
      <c r="HBB90" s="528"/>
      <c r="HBC90" s="528"/>
      <c r="HBD90" s="528"/>
      <c r="HBE90" s="528"/>
      <c r="HBF90" s="528"/>
      <c r="HBG90" s="528"/>
      <c r="HBH90" s="528"/>
      <c r="HBI90" s="528"/>
      <c r="HBJ90" s="528"/>
      <c r="HBK90" s="528"/>
      <c r="HBL90" s="528"/>
      <c r="HBM90" s="528"/>
      <c r="HBN90" s="528"/>
      <c r="HBO90" s="528"/>
      <c r="HBP90" s="528"/>
      <c r="HBQ90" s="528"/>
      <c r="HBR90" s="528"/>
      <c r="HBS90" s="528"/>
      <c r="HBT90" s="528"/>
      <c r="HBU90" s="528"/>
      <c r="HBV90" s="528"/>
      <c r="HBW90" s="528"/>
      <c r="HBX90" s="528"/>
      <c r="HBY90" s="528"/>
      <c r="HBZ90" s="528"/>
      <c r="HCA90" s="528"/>
      <c r="HCB90" s="528"/>
      <c r="HCC90" s="528"/>
      <c r="HCD90" s="528"/>
      <c r="HCE90" s="528"/>
      <c r="HCF90" s="528"/>
      <c r="HCG90" s="528"/>
      <c r="HCH90" s="528"/>
      <c r="HCI90" s="528"/>
      <c r="HCJ90" s="528"/>
      <c r="HCK90" s="528"/>
      <c r="HCL90" s="528"/>
      <c r="HCM90" s="528"/>
      <c r="HCN90" s="528"/>
      <c r="HCO90" s="528"/>
      <c r="HCP90" s="528"/>
      <c r="HCQ90" s="528"/>
      <c r="HCR90" s="528"/>
      <c r="HCS90" s="528"/>
      <c r="HCT90" s="528"/>
      <c r="HCU90" s="528"/>
      <c r="HCV90" s="528"/>
      <c r="HCW90" s="528"/>
      <c r="HCX90" s="528"/>
      <c r="HCY90" s="528"/>
      <c r="HCZ90" s="528"/>
      <c r="HDA90" s="528"/>
      <c r="HDB90" s="528"/>
      <c r="HDC90" s="528"/>
      <c r="HDD90" s="528"/>
      <c r="HDE90" s="528"/>
      <c r="HDF90" s="528"/>
      <c r="HDG90" s="528"/>
      <c r="HDH90" s="528"/>
      <c r="HDI90" s="528"/>
      <c r="HDJ90" s="528"/>
      <c r="HDK90" s="528"/>
      <c r="HDL90" s="528"/>
      <c r="HDM90" s="528"/>
      <c r="HDN90" s="528"/>
      <c r="HDO90" s="528"/>
      <c r="HDP90" s="528"/>
      <c r="HDQ90" s="528"/>
      <c r="HDR90" s="528"/>
      <c r="HDS90" s="528"/>
      <c r="HDT90" s="528"/>
      <c r="HDU90" s="528"/>
      <c r="HDV90" s="528"/>
      <c r="HDW90" s="528"/>
      <c r="HDX90" s="528"/>
      <c r="HDY90" s="528"/>
      <c r="HDZ90" s="528"/>
      <c r="HEA90" s="528"/>
      <c r="HEB90" s="528"/>
      <c r="HEC90" s="528"/>
      <c r="HED90" s="528"/>
      <c r="HEE90" s="528"/>
      <c r="HEF90" s="528"/>
      <c r="HEG90" s="528"/>
      <c r="HEH90" s="528"/>
      <c r="HEI90" s="528"/>
      <c r="HEJ90" s="528"/>
      <c r="HEK90" s="528"/>
      <c r="HEL90" s="528"/>
      <c r="HEM90" s="528"/>
      <c r="HEN90" s="528"/>
      <c r="HEO90" s="528"/>
      <c r="HEP90" s="528"/>
      <c r="HEQ90" s="528"/>
      <c r="HER90" s="528"/>
      <c r="HES90" s="528"/>
      <c r="HET90" s="528"/>
      <c r="HEU90" s="528"/>
      <c r="HEV90" s="528"/>
      <c r="HEW90" s="528"/>
      <c r="HEX90" s="528"/>
      <c r="HEY90" s="528"/>
      <c r="HEZ90" s="528"/>
      <c r="HFA90" s="528"/>
      <c r="HFB90" s="528"/>
      <c r="HFC90" s="528"/>
      <c r="HFD90" s="528"/>
      <c r="HFE90" s="528"/>
      <c r="HFF90" s="528"/>
      <c r="HFG90" s="528"/>
      <c r="HFH90" s="528"/>
      <c r="HFI90" s="528"/>
      <c r="HFJ90" s="528"/>
      <c r="HFK90" s="528"/>
      <c r="HFL90" s="528"/>
      <c r="HFM90" s="528"/>
      <c r="HFN90" s="528"/>
      <c r="HFO90" s="528"/>
      <c r="HFP90" s="528"/>
      <c r="HFQ90" s="528"/>
      <c r="HFR90" s="528"/>
      <c r="HFS90" s="528"/>
      <c r="HFT90" s="528"/>
      <c r="HFU90" s="528"/>
      <c r="HFV90" s="528"/>
      <c r="HFW90" s="528"/>
      <c r="HFX90" s="528"/>
      <c r="HFY90" s="528"/>
      <c r="HFZ90" s="528"/>
      <c r="HGA90" s="528"/>
      <c r="HGB90" s="528"/>
      <c r="HGC90" s="528"/>
      <c r="HGD90" s="528"/>
      <c r="HGE90" s="528"/>
      <c r="HGF90" s="528"/>
      <c r="HGG90" s="528"/>
      <c r="HGH90" s="528"/>
      <c r="HGI90" s="528"/>
      <c r="HGJ90" s="528"/>
      <c r="HGK90" s="528"/>
      <c r="HGL90" s="528"/>
      <c r="HGM90" s="528"/>
      <c r="HGN90" s="528"/>
      <c r="HGO90" s="528"/>
      <c r="HGP90" s="528"/>
      <c r="HGQ90" s="528"/>
      <c r="HGR90" s="528"/>
      <c r="HGS90" s="528"/>
      <c r="HGT90" s="528"/>
      <c r="HGU90" s="528"/>
      <c r="HGV90" s="528"/>
      <c r="HGW90" s="528"/>
      <c r="HGX90" s="528"/>
      <c r="HGY90" s="528"/>
      <c r="HGZ90" s="528"/>
      <c r="HHA90" s="528"/>
      <c r="HHB90" s="528"/>
      <c r="HHC90" s="528"/>
      <c r="HHD90" s="528"/>
      <c r="HHE90" s="528"/>
      <c r="HHF90" s="528"/>
      <c r="HHG90" s="528"/>
      <c r="HHH90" s="528"/>
      <c r="HHI90" s="528"/>
      <c r="HHJ90" s="528"/>
      <c r="HHK90" s="528"/>
      <c r="HHL90" s="528"/>
      <c r="HHM90" s="528"/>
      <c r="HHN90" s="528"/>
      <c r="HHO90" s="528"/>
      <c r="HHP90" s="528"/>
      <c r="HHQ90" s="528"/>
      <c r="HHR90" s="528"/>
      <c r="HHS90" s="528"/>
      <c r="HHT90" s="528"/>
      <c r="HHU90" s="528"/>
      <c r="HHV90" s="528"/>
      <c r="HHW90" s="528"/>
      <c r="HHX90" s="528"/>
      <c r="HHY90" s="528"/>
      <c r="HHZ90" s="528"/>
      <c r="HIA90" s="528"/>
      <c r="HIB90" s="528"/>
      <c r="HIC90" s="528"/>
      <c r="HID90" s="528"/>
      <c r="HIE90" s="528"/>
      <c r="HIF90" s="528"/>
      <c r="HIG90" s="528"/>
      <c r="HIH90" s="528"/>
      <c r="HII90" s="528"/>
      <c r="HIJ90" s="528"/>
      <c r="HIK90" s="528"/>
      <c r="HIL90" s="528"/>
      <c r="HIM90" s="528"/>
      <c r="HIN90" s="528"/>
      <c r="HIO90" s="528"/>
      <c r="HIP90" s="528"/>
      <c r="HIQ90" s="528"/>
      <c r="HIR90" s="528"/>
      <c r="HIS90" s="528"/>
      <c r="HIT90" s="528"/>
      <c r="HIU90" s="528"/>
      <c r="HIV90" s="528"/>
      <c r="HIW90" s="528"/>
      <c r="HIX90" s="528"/>
      <c r="HIY90" s="528"/>
      <c r="HIZ90" s="528"/>
      <c r="HJA90" s="528"/>
      <c r="HJB90" s="528"/>
      <c r="HJC90" s="528"/>
      <c r="HJD90" s="528"/>
      <c r="HJE90" s="528"/>
      <c r="HJF90" s="528"/>
      <c r="HJG90" s="528"/>
      <c r="HJH90" s="528"/>
      <c r="HJI90" s="528"/>
      <c r="HJJ90" s="528"/>
      <c r="HJK90" s="528"/>
      <c r="HJL90" s="528"/>
      <c r="HJM90" s="528"/>
      <c r="HJN90" s="528"/>
      <c r="HJO90" s="528"/>
      <c r="HJP90" s="528"/>
      <c r="HJQ90" s="528"/>
      <c r="HJR90" s="528"/>
      <c r="HJS90" s="528"/>
      <c r="HJT90" s="528"/>
      <c r="HJU90" s="528"/>
      <c r="HJV90" s="528"/>
      <c r="HJW90" s="528"/>
      <c r="HJX90" s="528"/>
      <c r="HJY90" s="528"/>
      <c r="HJZ90" s="528"/>
      <c r="HKA90" s="528"/>
      <c r="HKB90" s="528"/>
      <c r="HKC90" s="528"/>
      <c r="HKD90" s="528"/>
      <c r="HKE90" s="528"/>
      <c r="HKF90" s="528"/>
      <c r="HKG90" s="528"/>
      <c r="HKH90" s="528"/>
      <c r="HKI90" s="528"/>
      <c r="HKJ90" s="528"/>
      <c r="HKK90" s="528"/>
      <c r="HKL90" s="528"/>
      <c r="HKM90" s="528"/>
      <c r="HKN90" s="528"/>
      <c r="HKO90" s="528"/>
      <c r="HKP90" s="528"/>
      <c r="HKQ90" s="528"/>
      <c r="HKR90" s="528"/>
      <c r="HKS90" s="528"/>
      <c r="HKT90" s="528"/>
      <c r="HKU90" s="528"/>
      <c r="HKV90" s="528"/>
      <c r="HKW90" s="528"/>
      <c r="HKX90" s="528"/>
      <c r="HKY90" s="528"/>
      <c r="HKZ90" s="528"/>
      <c r="HLA90" s="528"/>
      <c r="HLB90" s="528"/>
      <c r="HLC90" s="528"/>
      <c r="HLD90" s="528"/>
      <c r="HLE90" s="528"/>
      <c r="HLF90" s="528"/>
      <c r="HLG90" s="528"/>
      <c r="HLH90" s="528"/>
      <c r="HLI90" s="528"/>
      <c r="HLJ90" s="528"/>
      <c r="HLK90" s="528"/>
      <c r="HLL90" s="528"/>
      <c r="HLM90" s="528"/>
      <c r="HLN90" s="528"/>
      <c r="HLO90" s="528"/>
      <c r="HLP90" s="528"/>
      <c r="HLQ90" s="528"/>
      <c r="HLR90" s="528"/>
      <c r="HLS90" s="528"/>
      <c r="HLT90" s="528"/>
      <c r="HLU90" s="528"/>
      <c r="HLV90" s="528"/>
      <c r="HLW90" s="528"/>
      <c r="HLX90" s="528"/>
      <c r="HLY90" s="528"/>
      <c r="HLZ90" s="528"/>
      <c r="HMA90" s="528"/>
      <c r="HMB90" s="528"/>
      <c r="HMC90" s="528"/>
      <c r="HMD90" s="528"/>
      <c r="HME90" s="528"/>
      <c r="HMF90" s="528"/>
      <c r="HMG90" s="528"/>
      <c r="HMH90" s="528"/>
      <c r="HMI90" s="528"/>
      <c r="HMJ90" s="528"/>
      <c r="HMK90" s="528"/>
      <c r="HML90" s="528"/>
      <c r="HMM90" s="528"/>
      <c r="HMN90" s="528"/>
      <c r="HMO90" s="528"/>
      <c r="HMP90" s="528"/>
      <c r="HMQ90" s="528"/>
      <c r="HMR90" s="528"/>
      <c r="HMS90" s="528"/>
      <c r="HMT90" s="528"/>
      <c r="HMU90" s="528"/>
      <c r="HMV90" s="528"/>
      <c r="HMW90" s="528"/>
      <c r="HMX90" s="528"/>
      <c r="HMY90" s="528"/>
      <c r="HMZ90" s="528"/>
      <c r="HNA90" s="528"/>
      <c r="HNB90" s="528"/>
      <c r="HNC90" s="528"/>
      <c r="HND90" s="528"/>
      <c r="HNE90" s="528"/>
      <c r="HNF90" s="528"/>
      <c r="HNG90" s="528"/>
      <c r="HNH90" s="528"/>
      <c r="HNI90" s="528"/>
      <c r="HNJ90" s="528"/>
      <c r="HNK90" s="528"/>
      <c r="HNL90" s="528"/>
      <c r="HNM90" s="528"/>
      <c r="HNN90" s="528"/>
      <c r="HNO90" s="528"/>
      <c r="HNP90" s="528"/>
      <c r="HNQ90" s="528"/>
      <c r="HNR90" s="528"/>
      <c r="HNS90" s="528"/>
      <c r="HNT90" s="528"/>
      <c r="HNU90" s="528"/>
      <c r="HNV90" s="528"/>
      <c r="HNW90" s="528"/>
      <c r="HNX90" s="528"/>
      <c r="HNY90" s="528"/>
      <c r="HNZ90" s="528"/>
      <c r="HOA90" s="528"/>
      <c r="HOB90" s="528"/>
      <c r="HOC90" s="528"/>
      <c r="HOD90" s="528"/>
      <c r="HOE90" s="528"/>
      <c r="HOF90" s="528"/>
      <c r="HOG90" s="528"/>
      <c r="HOH90" s="528"/>
      <c r="HOI90" s="528"/>
      <c r="HOJ90" s="528"/>
      <c r="HOK90" s="528"/>
      <c r="HOL90" s="528"/>
      <c r="HOM90" s="528"/>
      <c r="HON90" s="528"/>
      <c r="HOO90" s="528"/>
      <c r="HOP90" s="528"/>
      <c r="HOQ90" s="528"/>
      <c r="HOR90" s="528"/>
      <c r="HOS90" s="528"/>
      <c r="HOT90" s="528"/>
      <c r="HOU90" s="528"/>
      <c r="HOV90" s="528"/>
      <c r="HOW90" s="528"/>
      <c r="HOX90" s="528"/>
      <c r="HOY90" s="528"/>
      <c r="HOZ90" s="528"/>
      <c r="HPA90" s="528"/>
      <c r="HPB90" s="528"/>
      <c r="HPC90" s="528"/>
      <c r="HPD90" s="528"/>
      <c r="HPE90" s="528"/>
      <c r="HPF90" s="528"/>
      <c r="HPG90" s="528"/>
      <c r="HPH90" s="528"/>
      <c r="HPI90" s="528"/>
      <c r="HPJ90" s="528"/>
      <c r="HPK90" s="528"/>
      <c r="HPL90" s="528"/>
      <c r="HPM90" s="528"/>
      <c r="HPN90" s="528"/>
      <c r="HPO90" s="528"/>
      <c r="HPP90" s="528"/>
      <c r="HPQ90" s="528"/>
      <c r="HPR90" s="528"/>
      <c r="HPS90" s="528"/>
      <c r="HPT90" s="528"/>
      <c r="HPU90" s="528"/>
      <c r="HPV90" s="528"/>
      <c r="HPW90" s="528"/>
      <c r="HPX90" s="528"/>
      <c r="HPY90" s="528"/>
      <c r="HPZ90" s="528"/>
      <c r="HQA90" s="528"/>
      <c r="HQB90" s="528"/>
      <c r="HQC90" s="528"/>
      <c r="HQD90" s="528"/>
      <c r="HQE90" s="528"/>
      <c r="HQF90" s="528"/>
      <c r="HQG90" s="528"/>
      <c r="HQH90" s="528"/>
      <c r="HQI90" s="528"/>
      <c r="HQJ90" s="528"/>
      <c r="HQK90" s="528"/>
      <c r="HQL90" s="528"/>
      <c r="HQM90" s="528"/>
      <c r="HQN90" s="528"/>
      <c r="HQO90" s="528"/>
      <c r="HQP90" s="528"/>
      <c r="HQQ90" s="528"/>
      <c r="HQR90" s="528"/>
      <c r="HQS90" s="528"/>
      <c r="HQT90" s="528"/>
      <c r="HQU90" s="528"/>
      <c r="HQV90" s="528"/>
      <c r="HQW90" s="528"/>
      <c r="HQX90" s="528"/>
      <c r="HQY90" s="528"/>
      <c r="HQZ90" s="528"/>
      <c r="HRA90" s="528"/>
      <c r="HRB90" s="528"/>
      <c r="HRC90" s="528"/>
      <c r="HRD90" s="528"/>
      <c r="HRE90" s="528"/>
      <c r="HRF90" s="528"/>
      <c r="HRG90" s="528"/>
      <c r="HRH90" s="528"/>
      <c r="HRI90" s="528"/>
      <c r="HRJ90" s="528"/>
      <c r="HRK90" s="528"/>
      <c r="HRL90" s="528"/>
      <c r="HRM90" s="528"/>
      <c r="HRN90" s="528"/>
      <c r="HRO90" s="528"/>
      <c r="HRP90" s="528"/>
      <c r="HRQ90" s="528"/>
      <c r="HRR90" s="528"/>
      <c r="HRS90" s="528"/>
      <c r="HRT90" s="528"/>
      <c r="HRU90" s="528"/>
      <c r="HRV90" s="528"/>
      <c r="HRW90" s="528"/>
      <c r="HRX90" s="528"/>
      <c r="HRY90" s="528"/>
      <c r="HRZ90" s="528"/>
      <c r="HSA90" s="528"/>
      <c r="HSB90" s="528"/>
      <c r="HSC90" s="528"/>
      <c r="HSD90" s="528"/>
      <c r="HSE90" s="528"/>
      <c r="HSF90" s="528"/>
      <c r="HSG90" s="528"/>
      <c r="HSH90" s="528"/>
      <c r="HSI90" s="528"/>
      <c r="HSJ90" s="528"/>
      <c r="HSK90" s="528"/>
      <c r="HSL90" s="528"/>
      <c r="HSM90" s="528"/>
      <c r="HSN90" s="528"/>
      <c r="HSO90" s="528"/>
      <c r="HSP90" s="528"/>
      <c r="HSQ90" s="528"/>
      <c r="HSR90" s="528"/>
      <c r="HSS90" s="528"/>
      <c r="HST90" s="528"/>
      <c r="HSU90" s="528"/>
      <c r="HSV90" s="528"/>
      <c r="HSW90" s="528"/>
      <c r="HSX90" s="528"/>
      <c r="HSY90" s="528"/>
      <c r="HSZ90" s="528"/>
      <c r="HTA90" s="528"/>
      <c r="HTB90" s="528"/>
      <c r="HTC90" s="528"/>
      <c r="HTD90" s="528"/>
      <c r="HTE90" s="528"/>
      <c r="HTF90" s="528"/>
      <c r="HTG90" s="528"/>
      <c r="HTH90" s="528"/>
      <c r="HTI90" s="528"/>
      <c r="HTJ90" s="528"/>
      <c r="HTK90" s="528"/>
      <c r="HTL90" s="528"/>
      <c r="HTM90" s="528"/>
      <c r="HTN90" s="528"/>
      <c r="HTO90" s="528"/>
      <c r="HTP90" s="528"/>
      <c r="HTQ90" s="528"/>
      <c r="HTR90" s="528"/>
      <c r="HTS90" s="528"/>
      <c r="HTT90" s="528"/>
      <c r="HTU90" s="528"/>
      <c r="HTV90" s="528"/>
      <c r="HTW90" s="528"/>
      <c r="HTX90" s="528"/>
      <c r="HTY90" s="528"/>
      <c r="HTZ90" s="528"/>
      <c r="HUA90" s="528"/>
      <c r="HUB90" s="528"/>
      <c r="HUC90" s="528"/>
      <c r="HUD90" s="528"/>
      <c r="HUE90" s="528"/>
      <c r="HUF90" s="528"/>
      <c r="HUG90" s="528"/>
      <c r="HUH90" s="528"/>
      <c r="HUI90" s="528"/>
      <c r="HUJ90" s="528"/>
      <c r="HUK90" s="528"/>
      <c r="HUL90" s="528"/>
      <c r="HUM90" s="528"/>
      <c r="HUN90" s="528"/>
      <c r="HUO90" s="528"/>
      <c r="HUP90" s="528"/>
      <c r="HUQ90" s="528"/>
      <c r="HUR90" s="528"/>
      <c r="HUS90" s="528"/>
      <c r="HUT90" s="528"/>
      <c r="HUU90" s="528"/>
      <c r="HUV90" s="528"/>
      <c r="HUW90" s="528"/>
      <c r="HUX90" s="528"/>
      <c r="HUY90" s="528"/>
      <c r="HUZ90" s="528"/>
      <c r="HVA90" s="528"/>
      <c r="HVB90" s="528"/>
      <c r="HVC90" s="528"/>
      <c r="HVD90" s="528"/>
      <c r="HVE90" s="528"/>
      <c r="HVF90" s="528"/>
      <c r="HVG90" s="528"/>
      <c r="HVH90" s="528"/>
      <c r="HVI90" s="528"/>
      <c r="HVJ90" s="528"/>
      <c r="HVK90" s="528"/>
      <c r="HVL90" s="528"/>
      <c r="HVM90" s="528"/>
      <c r="HVN90" s="528"/>
      <c r="HVO90" s="528"/>
      <c r="HVP90" s="528"/>
      <c r="HVQ90" s="528"/>
      <c r="HVR90" s="528"/>
      <c r="HVS90" s="528"/>
      <c r="HVT90" s="528"/>
      <c r="HVU90" s="528"/>
      <c r="HVV90" s="528"/>
      <c r="HVW90" s="528"/>
      <c r="HVX90" s="528"/>
      <c r="HVY90" s="528"/>
      <c r="HVZ90" s="528"/>
      <c r="HWA90" s="528"/>
      <c r="HWB90" s="528"/>
      <c r="HWC90" s="528"/>
      <c r="HWD90" s="528"/>
      <c r="HWE90" s="528"/>
      <c r="HWF90" s="528"/>
      <c r="HWG90" s="528"/>
      <c r="HWH90" s="528"/>
      <c r="HWI90" s="528"/>
      <c r="HWJ90" s="528"/>
      <c r="HWK90" s="528"/>
      <c r="HWL90" s="528"/>
      <c r="HWM90" s="528"/>
      <c r="HWN90" s="528"/>
      <c r="HWO90" s="528"/>
      <c r="HWP90" s="528"/>
      <c r="HWQ90" s="528"/>
      <c r="HWR90" s="528"/>
      <c r="HWS90" s="528"/>
      <c r="HWT90" s="528"/>
      <c r="HWU90" s="528"/>
      <c r="HWV90" s="528"/>
      <c r="HWW90" s="528"/>
      <c r="HWX90" s="528"/>
      <c r="HWY90" s="528"/>
      <c r="HWZ90" s="528"/>
      <c r="HXA90" s="528"/>
      <c r="HXB90" s="528"/>
      <c r="HXC90" s="528"/>
      <c r="HXD90" s="528"/>
      <c r="HXE90" s="528"/>
      <c r="HXF90" s="528"/>
      <c r="HXG90" s="528"/>
      <c r="HXH90" s="528"/>
      <c r="HXI90" s="528"/>
      <c r="HXJ90" s="528"/>
      <c r="HXK90" s="528"/>
      <c r="HXL90" s="528"/>
      <c r="HXM90" s="528"/>
      <c r="HXN90" s="528"/>
      <c r="HXO90" s="528"/>
      <c r="HXP90" s="528"/>
      <c r="HXQ90" s="528"/>
      <c r="HXR90" s="528"/>
      <c r="HXS90" s="528"/>
      <c r="HXT90" s="528"/>
      <c r="HXU90" s="528"/>
      <c r="HXV90" s="528"/>
      <c r="HXW90" s="528"/>
      <c r="HXX90" s="528"/>
      <c r="HXY90" s="528"/>
      <c r="HXZ90" s="528"/>
      <c r="HYA90" s="528"/>
      <c r="HYB90" s="528"/>
      <c r="HYC90" s="528"/>
      <c r="HYD90" s="528"/>
      <c r="HYE90" s="528"/>
      <c r="HYF90" s="528"/>
      <c r="HYG90" s="528"/>
      <c r="HYH90" s="528"/>
      <c r="HYI90" s="528"/>
      <c r="HYJ90" s="528"/>
      <c r="HYK90" s="528"/>
      <c r="HYL90" s="528"/>
      <c r="HYM90" s="528"/>
      <c r="HYN90" s="528"/>
      <c r="HYO90" s="528"/>
      <c r="HYP90" s="528"/>
      <c r="HYQ90" s="528"/>
      <c r="HYR90" s="528"/>
      <c r="HYS90" s="528"/>
      <c r="HYT90" s="528"/>
      <c r="HYU90" s="528"/>
      <c r="HYV90" s="528"/>
      <c r="HYW90" s="528"/>
      <c r="HYX90" s="528"/>
      <c r="HYY90" s="528"/>
      <c r="HYZ90" s="528"/>
      <c r="HZA90" s="528"/>
      <c r="HZB90" s="528"/>
      <c r="HZC90" s="528"/>
      <c r="HZD90" s="528"/>
      <c r="HZE90" s="528"/>
      <c r="HZF90" s="528"/>
      <c r="HZG90" s="528"/>
      <c r="HZH90" s="528"/>
      <c r="HZI90" s="528"/>
      <c r="HZJ90" s="528"/>
      <c r="HZK90" s="528"/>
      <c r="HZL90" s="528"/>
      <c r="HZM90" s="528"/>
      <c r="HZN90" s="528"/>
      <c r="HZO90" s="528"/>
      <c r="HZP90" s="528"/>
      <c r="HZQ90" s="528"/>
      <c r="HZR90" s="528"/>
      <c r="HZS90" s="528"/>
      <c r="HZT90" s="528"/>
      <c r="HZU90" s="528"/>
      <c r="HZV90" s="528"/>
      <c r="HZW90" s="528"/>
      <c r="HZX90" s="528"/>
      <c r="HZY90" s="528"/>
      <c r="HZZ90" s="528"/>
      <c r="IAA90" s="528"/>
      <c r="IAB90" s="528"/>
      <c r="IAC90" s="528"/>
      <c r="IAD90" s="528"/>
      <c r="IAE90" s="528"/>
      <c r="IAF90" s="528"/>
      <c r="IAG90" s="528"/>
      <c r="IAH90" s="528"/>
      <c r="IAI90" s="528"/>
      <c r="IAJ90" s="528"/>
      <c r="IAK90" s="528"/>
      <c r="IAL90" s="528"/>
      <c r="IAM90" s="528"/>
      <c r="IAN90" s="528"/>
      <c r="IAO90" s="528"/>
      <c r="IAP90" s="528"/>
      <c r="IAQ90" s="528"/>
      <c r="IAR90" s="528"/>
      <c r="IAS90" s="528"/>
      <c r="IAT90" s="528"/>
      <c r="IAU90" s="528"/>
      <c r="IAV90" s="528"/>
      <c r="IAW90" s="528"/>
      <c r="IAX90" s="528"/>
      <c r="IAY90" s="528"/>
      <c r="IAZ90" s="528"/>
      <c r="IBA90" s="528"/>
      <c r="IBB90" s="528"/>
      <c r="IBC90" s="528"/>
      <c r="IBD90" s="528"/>
      <c r="IBE90" s="528"/>
      <c r="IBF90" s="528"/>
      <c r="IBG90" s="528"/>
      <c r="IBH90" s="528"/>
      <c r="IBI90" s="528"/>
      <c r="IBJ90" s="528"/>
      <c r="IBK90" s="528"/>
      <c r="IBL90" s="528"/>
      <c r="IBM90" s="528"/>
      <c r="IBN90" s="528"/>
      <c r="IBO90" s="528"/>
      <c r="IBP90" s="528"/>
      <c r="IBQ90" s="528"/>
      <c r="IBR90" s="528"/>
      <c r="IBS90" s="528"/>
      <c r="IBT90" s="528"/>
      <c r="IBU90" s="528"/>
      <c r="IBV90" s="528"/>
      <c r="IBW90" s="528"/>
      <c r="IBX90" s="528"/>
      <c r="IBY90" s="528"/>
      <c r="IBZ90" s="528"/>
      <c r="ICA90" s="528"/>
      <c r="ICB90" s="528"/>
      <c r="ICC90" s="528"/>
      <c r="ICD90" s="528"/>
      <c r="ICE90" s="528"/>
      <c r="ICF90" s="528"/>
      <c r="ICG90" s="528"/>
      <c r="ICH90" s="528"/>
      <c r="ICI90" s="528"/>
      <c r="ICJ90" s="528"/>
      <c r="ICK90" s="528"/>
      <c r="ICL90" s="528"/>
      <c r="ICM90" s="528"/>
      <c r="ICN90" s="528"/>
      <c r="ICO90" s="528"/>
      <c r="ICP90" s="528"/>
      <c r="ICQ90" s="528"/>
      <c r="ICR90" s="528"/>
      <c r="ICS90" s="528"/>
      <c r="ICT90" s="528"/>
      <c r="ICU90" s="528"/>
      <c r="ICV90" s="528"/>
      <c r="ICW90" s="528"/>
      <c r="ICX90" s="528"/>
      <c r="ICY90" s="528"/>
      <c r="ICZ90" s="528"/>
      <c r="IDA90" s="528"/>
      <c r="IDB90" s="528"/>
      <c r="IDC90" s="528"/>
      <c r="IDD90" s="528"/>
      <c r="IDE90" s="528"/>
      <c r="IDF90" s="528"/>
      <c r="IDG90" s="528"/>
      <c r="IDH90" s="528"/>
      <c r="IDI90" s="528"/>
      <c r="IDJ90" s="528"/>
      <c r="IDK90" s="528"/>
      <c r="IDL90" s="528"/>
      <c r="IDM90" s="528"/>
      <c r="IDN90" s="528"/>
      <c r="IDO90" s="528"/>
      <c r="IDP90" s="528"/>
      <c r="IDQ90" s="528"/>
      <c r="IDR90" s="528"/>
      <c r="IDS90" s="528"/>
      <c r="IDT90" s="528"/>
      <c r="IDU90" s="528"/>
      <c r="IDV90" s="528"/>
      <c r="IDW90" s="528"/>
      <c r="IDX90" s="528"/>
      <c r="IDY90" s="528"/>
      <c r="IDZ90" s="528"/>
      <c r="IEA90" s="528"/>
      <c r="IEB90" s="528"/>
      <c r="IEC90" s="528"/>
      <c r="IED90" s="528"/>
      <c r="IEE90" s="528"/>
      <c r="IEF90" s="528"/>
      <c r="IEG90" s="528"/>
      <c r="IEH90" s="528"/>
      <c r="IEI90" s="528"/>
      <c r="IEJ90" s="528"/>
      <c r="IEK90" s="528"/>
      <c r="IEL90" s="528"/>
      <c r="IEM90" s="528"/>
      <c r="IEN90" s="528"/>
      <c r="IEO90" s="528"/>
      <c r="IEP90" s="528"/>
      <c r="IEQ90" s="528"/>
      <c r="IER90" s="528"/>
      <c r="IES90" s="528"/>
      <c r="IET90" s="528"/>
      <c r="IEU90" s="528"/>
      <c r="IEV90" s="528"/>
      <c r="IEW90" s="528"/>
      <c r="IEX90" s="528"/>
      <c r="IEY90" s="528"/>
      <c r="IEZ90" s="528"/>
      <c r="IFA90" s="528"/>
      <c r="IFB90" s="528"/>
      <c r="IFC90" s="528"/>
      <c r="IFD90" s="528"/>
      <c r="IFE90" s="528"/>
      <c r="IFF90" s="528"/>
      <c r="IFG90" s="528"/>
      <c r="IFH90" s="528"/>
      <c r="IFI90" s="528"/>
      <c r="IFJ90" s="528"/>
      <c r="IFK90" s="528"/>
      <c r="IFL90" s="528"/>
      <c r="IFM90" s="528"/>
      <c r="IFN90" s="528"/>
      <c r="IFO90" s="528"/>
      <c r="IFP90" s="528"/>
      <c r="IFQ90" s="528"/>
      <c r="IFR90" s="528"/>
      <c r="IFS90" s="528"/>
      <c r="IFT90" s="528"/>
      <c r="IFU90" s="528"/>
      <c r="IFV90" s="528"/>
      <c r="IFW90" s="528"/>
      <c r="IFX90" s="528"/>
      <c r="IFY90" s="528"/>
      <c r="IFZ90" s="528"/>
      <c r="IGA90" s="528"/>
      <c r="IGB90" s="528"/>
      <c r="IGC90" s="528"/>
      <c r="IGD90" s="528"/>
      <c r="IGE90" s="528"/>
      <c r="IGF90" s="528"/>
      <c r="IGG90" s="528"/>
      <c r="IGH90" s="528"/>
      <c r="IGI90" s="528"/>
      <c r="IGJ90" s="528"/>
      <c r="IGK90" s="528"/>
      <c r="IGL90" s="528"/>
      <c r="IGM90" s="528"/>
      <c r="IGN90" s="528"/>
      <c r="IGO90" s="528"/>
      <c r="IGP90" s="528"/>
      <c r="IGQ90" s="528"/>
      <c r="IGR90" s="528"/>
      <c r="IGS90" s="528"/>
      <c r="IGT90" s="528"/>
      <c r="IGU90" s="528"/>
      <c r="IGV90" s="528"/>
      <c r="IGW90" s="528"/>
      <c r="IGX90" s="528"/>
      <c r="IGY90" s="528"/>
      <c r="IGZ90" s="528"/>
      <c r="IHA90" s="528"/>
      <c r="IHB90" s="528"/>
      <c r="IHC90" s="528"/>
      <c r="IHD90" s="528"/>
      <c r="IHE90" s="528"/>
      <c r="IHF90" s="528"/>
      <c r="IHG90" s="528"/>
      <c r="IHH90" s="528"/>
      <c r="IHI90" s="528"/>
      <c r="IHJ90" s="528"/>
      <c r="IHK90" s="528"/>
      <c r="IHL90" s="528"/>
      <c r="IHM90" s="528"/>
      <c r="IHN90" s="528"/>
      <c r="IHO90" s="528"/>
      <c r="IHP90" s="528"/>
      <c r="IHQ90" s="528"/>
      <c r="IHR90" s="528"/>
      <c r="IHS90" s="528"/>
      <c r="IHT90" s="528"/>
      <c r="IHU90" s="528"/>
      <c r="IHV90" s="528"/>
      <c r="IHW90" s="528"/>
      <c r="IHX90" s="528"/>
      <c r="IHY90" s="528"/>
      <c r="IHZ90" s="528"/>
      <c r="IIA90" s="528"/>
      <c r="IIB90" s="528"/>
      <c r="IIC90" s="528"/>
      <c r="IID90" s="528"/>
      <c r="IIE90" s="528"/>
      <c r="IIF90" s="528"/>
      <c r="IIG90" s="528"/>
      <c r="IIH90" s="528"/>
      <c r="III90" s="528"/>
      <c r="IIJ90" s="528"/>
      <c r="IIK90" s="528"/>
      <c r="IIL90" s="528"/>
      <c r="IIM90" s="528"/>
      <c r="IIN90" s="528"/>
      <c r="IIO90" s="528"/>
      <c r="IIP90" s="528"/>
      <c r="IIQ90" s="528"/>
      <c r="IIR90" s="528"/>
      <c r="IIS90" s="528"/>
      <c r="IIT90" s="528"/>
      <c r="IIU90" s="528"/>
      <c r="IIV90" s="528"/>
      <c r="IIW90" s="528"/>
      <c r="IIX90" s="528"/>
      <c r="IIY90" s="528"/>
      <c r="IIZ90" s="528"/>
      <c r="IJA90" s="528"/>
      <c r="IJB90" s="528"/>
      <c r="IJC90" s="528"/>
      <c r="IJD90" s="528"/>
      <c r="IJE90" s="528"/>
      <c r="IJF90" s="528"/>
      <c r="IJG90" s="528"/>
      <c r="IJH90" s="528"/>
      <c r="IJI90" s="528"/>
      <c r="IJJ90" s="528"/>
      <c r="IJK90" s="528"/>
      <c r="IJL90" s="528"/>
      <c r="IJM90" s="528"/>
      <c r="IJN90" s="528"/>
      <c r="IJO90" s="528"/>
      <c r="IJP90" s="528"/>
      <c r="IJQ90" s="528"/>
      <c r="IJR90" s="528"/>
      <c r="IJS90" s="528"/>
      <c r="IJT90" s="528"/>
      <c r="IJU90" s="528"/>
      <c r="IJV90" s="528"/>
      <c r="IJW90" s="528"/>
      <c r="IJX90" s="528"/>
      <c r="IJY90" s="528"/>
      <c r="IJZ90" s="528"/>
      <c r="IKA90" s="528"/>
      <c r="IKB90" s="528"/>
      <c r="IKC90" s="528"/>
      <c r="IKD90" s="528"/>
      <c r="IKE90" s="528"/>
      <c r="IKF90" s="528"/>
      <c r="IKG90" s="528"/>
      <c r="IKH90" s="528"/>
      <c r="IKI90" s="528"/>
      <c r="IKJ90" s="528"/>
      <c r="IKK90" s="528"/>
      <c r="IKL90" s="528"/>
      <c r="IKM90" s="528"/>
      <c r="IKN90" s="528"/>
      <c r="IKO90" s="528"/>
      <c r="IKP90" s="528"/>
      <c r="IKQ90" s="528"/>
      <c r="IKR90" s="528"/>
      <c r="IKS90" s="528"/>
      <c r="IKT90" s="528"/>
      <c r="IKU90" s="528"/>
      <c r="IKV90" s="528"/>
      <c r="IKW90" s="528"/>
      <c r="IKX90" s="528"/>
      <c r="IKY90" s="528"/>
      <c r="IKZ90" s="528"/>
      <c r="ILA90" s="528"/>
      <c r="ILB90" s="528"/>
      <c r="ILC90" s="528"/>
      <c r="ILD90" s="528"/>
      <c r="ILE90" s="528"/>
      <c r="ILF90" s="528"/>
      <c r="ILG90" s="528"/>
      <c r="ILH90" s="528"/>
      <c r="ILI90" s="528"/>
      <c r="ILJ90" s="528"/>
      <c r="ILK90" s="528"/>
      <c r="ILL90" s="528"/>
      <c r="ILM90" s="528"/>
      <c r="ILN90" s="528"/>
      <c r="ILO90" s="528"/>
      <c r="ILP90" s="528"/>
      <c r="ILQ90" s="528"/>
      <c r="ILR90" s="528"/>
      <c r="ILS90" s="528"/>
      <c r="ILT90" s="528"/>
      <c r="ILU90" s="528"/>
      <c r="ILV90" s="528"/>
      <c r="ILW90" s="528"/>
      <c r="ILX90" s="528"/>
      <c r="ILY90" s="528"/>
      <c r="ILZ90" s="528"/>
      <c r="IMA90" s="528"/>
      <c r="IMB90" s="528"/>
      <c r="IMC90" s="528"/>
      <c r="IMD90" s="528"/>
      <c r="IME90" s="528"/>
      <c r="IMF90" s="528"/>
      <c r="IMG90" s="528"/>
      <c r="IMH90" s="528"/>
      <c r="IMI90" s="528"/>
      <c r="IMJ90" s="528"/>
      <c r="IMK90" s="528"/>
      <c r="IML90" s="528"/>
      <c r="IMM90" s="528"/>
      <c r="IMN90" s="528"/>
      <c r="IMO90" s="528"/>
      <c r="IMP90" s="528"/>
      <c r="IMQ90" s="528"/>
      <c r="IMR90" s="528"/>
      <c r="IMS90" s="528"/>
      <c r="IMT90" s="528"/>
      <c r="IMU90" s="528"/>
      <c r="IMV90" s="528"/>
      <c r="IMW90" s="528"/>
      <c r="IMX90" s="528"/>
      <c r="IMY90" s="528"/>
      <c r="IMZ90" s="528"/>
      <c r="INA90" s="528"/>
      <c r="INB90" s="528"/>
      <c r="INC90" s="528"/>
      <c r="IND90" s="528"/>
      <c r="INE90" s="528"/>
      <c r="INF90" s="528"/>
      <c r="ING90" s="528"/>
      <c r="INH90" s="528"/>
      <c r="INI90" s="528"/>
      <c r="INJ90" s="528"/>
      <c r="INK90" s="528"/>
      <c r="INL90" s="528"/>
      <c r="INM90" s="528"/>
      <c r="INN90" s="528"/>
      <c r="INO90" s="528"/>
      <c r="INP90" s="528"/>
      <c r="INQ90" s="528"/>
      <c r="INR90" s="528"/>
      <c r="INS90" s="528"/>
      <c r="INT90" s="528"/>
      <c r="INU90" s="528"/>
      <c r="INV90" s="528"/>
      <c r="INW90" s="528"/>
      <c r="INX90" s="528"/>
      <c r="INY90" s="528"/>
      <c r="INZ90" s="528"/>
      <c r="IOA90" s="528"/>
      <c r="IOB90" s="528"/>
      <c r="IOC90" s="528"/>
      <c r="IOD90" s="528"/>
      <c r="IOE90" s="528"/>
      <c r="IOF90" s="528"/>
      <c r="IOG90" s="528"/>
      <c r="IOH90" s="528"/>
      <c r="IOI90" s="528"/>
      <c r="IOJ90" s="528"/>
      <c r="IOK90" s="528"/>
      <c r="IOL90" s="528"/>
      <c r="IOM90" s="528"/>
      <c r="ION90" s="528"/>
      <c r="IOO90" s="528"/>
      <c r="IOP90" s="528"/>
      <c r="IOQ90" s="528"/>
      <c r="IOR90" s="528"/>
      <c r="IOS90" s="528"/>
      <c r="IOT90" s="528"/>
      <c r="IOU90" s="528"/>
      <c r="IOV90" s="528"/>
      <c r="IOW90" s="528"/>
      <c r="IOX90" s="528"/>
      <c r="IOY90" s="528"/>
      <c r="IOZ90" s="528"/>
      <c r="IPA90" s="528"/>
      <c r="IPB90" s="528"/>
      <c r="IPC90" s="528"/>
      <c r="IPD90" s="528"/>
      <c r="IPE90" s="528"/>
      <c r="IPF90" s="528"/>
      <c r="IPG90" s="528"/>
      <c r="IPH90" s="528"/>
      <c r="IPI90" s="528"/>
      <c r="IPJ90" s="528"/>
      <c r="IPK90" s="528"/>
      <c r="IPL90" s="528"/>
      <c r="IPM90" s="528"/>
      <c r="IPN90" s="528"/>
      <c r="IPO90" s="528"/>
      <c r="IPP90" s="528"/>
      <c r="IPQ90" s="528"/>
      <c r="IPR90" s="528"/>
      <c r="IPS90" s="528"/>
      <c r="IPT90" s="528"/>
      <c r="IPU90" s="528"/>
      <c r="IPV90" s="528"/>
      <c r="IPW90" s="528"/>
      <c r="IPX90" s="528"/>
      <c r="IPY90" s="528"/>
      <c r="IPZ90" s="528"/>
      <c r="IQA90" s="528"/>
      <c r="IQB90" s="528"/>
      <c r="IQC90" s="528"/>
      <c r="IQD90" s="528"/>
      <c r="IQE90" s="528"/>
      <c r="IQF90" s="528"/>
      <c r="IQG90" s="528"/>
      <c r="IQH90" s="528"/>
      <c r="IQI90" s="528"/>
      <c r="IQJ90" s="528"/>
      <c r="IQK90" s="528"/>
      <c r="IQL90" s="528"/>
      <c r="IQM90" s="528"/>
      <c r="IQN90" s="528"/>
      <c r="IQO90" s="528"/>
      <c r="IQP90" s="528"/>
      <c r="IQQ90" s="528"/>
      <c r="IQR90" s="528"/>
      <c r="IQS90" s="528"/>
      <c r="IQT90" s="528"/>
      <c r="IQU90" s="528"/>
      <c r="IQV90" s="528"/>
      <c r="IQW90" s="528"/>
      <c r="IQX90" s="528"/>
      <c r="IQY90" s="528"/>
      <c r="IQZ90" s="528"/>
      <c r="IRA90" s="528"/>
      <c r="IRB90" s="528"/>
      <c r="IRC90" s="528"/>
      <c r="IRD90" s="528"/>
      <c r="IRE90" s="528"/>
      <c r="IRF90" s="528"/>
      <c r="IRG90" s="528"/>
      <c r="IRH90" s="528"/>
      <c r="IRI90" s="528"/>
      <c r="IRJ90" s="528"/>
      <c r="IRK90" s="528"/>
      <c r="IRL90" s="528"/>
      <c r="IRM90" s="528"/>
      <c r="IRN90" s="528"/>
      <c r="IRO90" s="528"/>
      <c r="IRP90" s="528"/>
      <c r="IRQ90" s="528"/>
      <c r="IRR90" s="528"/>
      <c r="IRS90" s="528"/>
      <c r="IRT90" s="528"/>
      <c r="IRU90" s="528"/>
      <c r="IRV90" s="528"/>
      <c r="IRW90" s="528"/>
      <c r="IRX90" s="528"/>
      <c r="IRY90" s="528"/>
      <c r="IRZ90" s="528"/>
      <c r="ISA90" s="528"/>
      <c r="ISB90" s="528"/>
      <c r="ISC90" s="528"/>
      <c r="ISD90" s="528"/>
      <c r="ISE90" s="528"/>
      <c r="ISF90" s="528"/>
      <c r="ISG90" s="528"/>
      <c r="ISH90" s="528"/>
      <c r="ISI90" s="528"/>
      <c r="ISJ90" s="528"/>
      <c r="ISK90" s="528"/>
      <c r="ISL90" s="528"/>
      <c r="ISM90" s="528"/>
      <c r="ISN90" s="528"/>
      <c r="ISO90" s="528"/>
      <c r="ISP90" s="528"/>
      <c r="ISQ90" s="528"/>
      <c r="ISR90" s="528"/>
      <c r="ISS90" s="528"/>
      <c r="IST90" s="528"/>
      <c r="ISU90" s="528"/>
      <c r="ISV90" s="528"/>
      <c r="ISW90" s="528"/>
      <c r="ISX90" s="528"/>
      <c r="ISY90" s="528"/>
      <c r="ISZ90" s="528"/>
      <c r="ITA90" s="528"/>
      <c r="ITB90" s="528"/>
      <c r="ITC90" s="528"/>
      <c r="ITD90" s="528"/>
      <c r="ITE90" s="528"/>
      <c r="ITF90" s="528"/>
      <c r="ITG90" s="528"/>
      <c r="ITH90" s="528"/>
      <c r="ITI90" s="528"/>
      <c r="ITJ90" s="528"/>
      <c r="ITK90" s="528"/>
      <c r="ITL90" s="528"/>
      <c r="ITM90" s="528"/>
      <c r="ITN90" s="528"/>
      <c r="ITO90" s="528"/>
      <c r="ITP90" s="528"/>
      <c r="ITQ90" s="528"/>
      <c r="ITR90" s="528"/>
      <c r="ITS90" s="528"/>
      <c r="ITT90" s="528"/>
      <c r="ITU90" s="528"/>
      <c r="ITV90" s="528"/>
      <c r="ITW90" s="528"/>
      <c r="ITX90" s="528"/>
      <c r="ITY90" s="528"/>
      <c r="ITZ90" s="528"/>
      <c r="IUA90" s="528"/>
      <c r="IUB90" s="528"/>
      <c r="IUC90" s="528"/>
      <c r="IUD90" s="528"/>
      <c r="IUE90" s="528"/>
      <c r="IUF90" s="528"/>
      <c r="IUG90" s="528"/>
      <c r="IUH90" s="528"/>
      <c r="IUI90" s="528"/>
      <c r="IUJ90" s="528"/>
      <c r="IUK90" s="528"/>
      <c r="IUL90" s="528"/>
      <c r="IUM90" s="528"/>
      <c r="IUN90" s="528"/>
      <c r="IUO90" s="528"/>
      <c r="IUP90" s="528"/>
      <c r="IUQ90" s="528"/>
      <c r="IUR90" s="528"/>
      <c r="IUS90" s="528"/>
      <c r="IUT90" s="528"/>
      <c r="IUU90" s="528"/>
      <c r="IUV90" s="528"/>
      <c r="IUW90" s="528"/>
      <c r="IUX90" s="528"/>
      <c r="IUY90" s="528"/>
      <c r="IUZ90" s="528"/>
      <c r="IVA90" s="528"/>
      <c r="IVB90" s="528"/>
      <c r="IVC90" s="528"/>
      <c r="IVD90" s="528"/>
      <c r="IVE90" s="528"/>
      <c r="IVF90" s="528"/>
      <c r="IVG90" s="528"/>
      <c r="IVH90" s="528"/>
      <c r="IVI90" s="528"/>
      <c r="IVJ90" s="528"/>
      <c r="IVK90" s="528"/>
      <c r="IVL90" s="528"/>
      <c r="IVM90" s="528"/>
      <c r="IVN90" s="528"/>
      <c r="IVO90" s="528"/>
      <c r="IVP90" s="528"/>
      <c r="IVQ90" s="528"/>
      <c r="IVR90" s="528"/>
      <c r="IVS90" s="528"/>
      <c r="IVT90" s="528"/>
      <c r="IVU90" s="528"/>
      <c r="IVV90" s="528"/>
      <c r="IVW90" s="528"/>
      <c r="IVX90" s="528"/>
      <c r="IVY90" s="528"/>
      <c r="IVZ90" s="528"/>
      <c r="IWA90" s="528"/>
      <c r="IWB90" s="528"/>
      <c r="IWC90" s="528"/>
      <c r="IWD90" s="528"/>
      <c r="IWE90" s="528"/>
      <c r="IWF90" s="528"/>
      <c r="IWG90" s="528"/>
      <c r="IWH90" s="528"/>
      <c r="IWI90" s="528"/>
      <c r="IWJ90" s="528"/>
      <c r="IWK90" s="528"/>
      <c r="IWL90" s="528"/>
      <c r="IWM90" s="528"/>
      <c r="IWN90" s="528"/>
      <c r="IWO90" s="528"/>
      <c r="IWP90" s="528"/>
      <c r="IWQ90" s="528"/>
      <c r="IWR90" s="528"/>
      <c r="IWS90" s="528"/>
      <c r="IWT90" s="528"/>
      <c r="IWU90" s="528"/>
      <c r="IWV90" s="528"/>
      <c r="IWW90" s="528"/>
      <c r="IWX90" s="528"/>
      <c r="IWY90" s="528"/>
      <c r="IWZ90" s="528"/>
      <c r="IXA90" s="528"/>
      <c r="IXB90" s="528"/>
      <c r="IXC90" s="528"/>
      <c r="IXD90" s="528"/>
      <c r="IXE90" s="528"/>
      <c r="IXF90" s="528"/>
      <c r="IXG90" s="528"/>
      <c r="IXH90" s="528"/>
      <c r="IXI90" s="528"/>
      <c r="IXJ90" s="528"/>
      <c r="IXK90" s="528"/>
      <c r="IXL90" s="528"/>
      <c r="IXM90" s="528"/>
      <c r="IXN90" s="528"/>
      <c r="IXO90" s="528"/>
      <c r="IXP90" s="528"/>
      <c r="IXQ90" s="528"/>
      <c r="IXR90" s="528"/>
      <c r="IXS90" s="528"/>
      <c r="IXT90" s="528"/>
      <c r="IXU90" s="528"/>
      <c r="IXV90" s="528"/>
      <c r="IXW90" s="528"/>
      <c r="IXX90" s="528"/>
      <c r="IXY90" s="528"/>
      <c r="IXZ90" s="528"/>
      <c r="IYA90" s="528"/>
      <c r="IYB90" s="528"/>
      <c r="IYC90" s="528"/>
      <c r="IYD90" s="528"/>
      <c r="IYE90" s="528"/>
      <c r="IYF90" s="528"/>
      <c r="IYG90" s="528"/>
      <c r="IYH90" s="528"/>
      <c r="IYI90" s="528"/>
      <c r="IYJ90" s="528"/>
      <c r="IYK90" s="528"/>
      <c r="IYL90" s="528"/>
      <c r="IYM90" s="528"/>
      <c r="IYN90" s="528"/>
      <c r="IYO90" s="528"/>
      <c r="IYP90" s="528"/>
      <c r="IYQ90" s="528"/>
      <c r="IYR90" s="528"/>
      <c r="IYS90" s="528"/>
      <c r="IYT90" s="528"/>
      <c r="IYU90" s="528"/>
      <c r="IYV90" s="528"/>
      <c r="IYW90" s="528"/>
      <c r="IYX90" s="528"/>
      <c r="IYY90" s="528"/>
      <c r="IYZ90" s="528"/>
      <c r="IZA90" s="528"/>
      <c r="IZB90" s="528"/>
      <c r="IZC90" s="528"/>
      <c r="IZD90" s="528"/>
      <c r="IZE90" s="528"/>
      <c r="IZF90" s="528"/>
      <c r="IZG90" s="528"/>
      <c r="IZH90" s="528"/>
      <c r="IZI90" s="528"/>
      <c r="IZJ90" s="528"/>
      <c r="IZK90" s="528"/>
      <c r="IZL90" s="528"/>
      <c r="IZM90" s="528"/>
      <c r="IZN90" s="528"/>
      <c r="IZO90" s="528"/>
      <c r="IZP90" s="528"/>
      <c r="IZQ90" s="528"/>
      <c r="IZR90" s="528"/>
      <c r="IZS90" s="528"/>
      <c r="IZT90" s="528"/>
      <c r="IZU90" s="528"/>
      <c r="IZV90" s="528"/>
      <c r="IZW90" s="528"/>
      <c r="IZX90" s="528"/>
      <c r="IZY90" s="528"/>
      <c r="IZZ90" s="528"/>
      <c r="JAA90" s="528"/>
      <c r="JAB90" s="528"/>
      <c r="JAC90" s="528"/>
      <c r="JAD90" s="528"/>
      <c r="JAE90" s="528"/>
      <c r="JAF90" s="528"/>
      <c r="JAG90" s="528"/>
      <c r="JAH90" s="528"/>
      <c r="JAI90" s="528"/>
      <c r="JAJ90" s="528"/>
      <c r="JAK90" s="528"/>
      <c r="JAL90" s="528"/>
      <c r="JAM90" s="528"/>
      <c r="JAN90" s="528"/>
      <c r="JAO90" s="528"/>
      <c r="JAP90" s="528"/>
      <c r="JAQ90" s="528"/>
      <c r="JAR90" s="528"/>
      <c r="JAS90" s="528"/>
      <c r="JAT90" s="528"/>
      <c r="JAU90" s="528"/>
      <c r="JAV90" s="528"/>
      <c r="JAW90" s="528"/>
      <c r="JAX90" s="528"/>
      <c r="JAY90" s="528"/>
      <c r="JAZ90" s="528"/>
      <c r="JBA90" s="528"/>
      <c r="JBB90" s="528"/>
      <c r="JBC90" s="528"/>
      <c r="JBD90" s="528"/>
      <c r="JBE90" s="528"/>
      <c r="JBF90" s="528"/>
      <c r="JBG90" s="528"/>
      <c r="JBH90" s="528"/>
      <c r="JBI90" s="528"/>
      <c r="JBJ90" s="528"/>
      <c r="JBK90" s="528"/>
      <c r="JBL90" s="528"/>
      <c r="JBM90" s="528"/>
      <c r="JBN90" s="528"/>
      <c r="JBO90" s="528"/>
      <c r="JBP90" s="528"/>
      <c r="JBQ90" s="528"/>
      <c r="JBR90" s="528"/>
      <c r="JBS90" s="528"/>
      <c r="JBT90" s="528"/>
      <c r="JBU90" s="528"/>
      <c r="JBV90" s="528"/>
      <c r="JBW90" s="528"/>
      <c r="JBX90" s="528"/>
      <c r="JBY90" s="528"/>
      <c r="JBZ90" s="528"/>
      <c r="JCA90" s="528"/>
      <c r="JCB90" s="528"/>
      <c r="JCC90" s="528"/>
      <c r="JCD90" s="528"/>
      <c r="JCE90" s="528"/>
      <c r="JCF90" s="528"/>
      <c r="JCG90" s="528"/>
      <c r="JCH90" s="528"/>
      <c r="JCI90" s="528"/>
      <c r="JCJ90" s="528"/>
      <c r="JCK90" s="528"/>
      <c r="JCL90" s="528"/>
      <c r="JCM90" s="528"/>
      <c r="JCN90" s="528"/>
      <c r="JCO90" s="528"/>
      <c r="JCP90" s="528"/>
      <c r="JCQ90" s="528"/>
      <c r="JCR90" s="528"/>
      <c r="JCS90" s="528"/>
      <c r="JCT90" s="528"/>
      <c r="JCU90" s="528"/>
      <c r="JCV90" s="528"/>
      <c r="JCW90" s="528"/>
      <c r="JCX90" s="528"/>
      <c r="JCY90" s="528"/>
      <c r="JCZ90" s="528"/>
      <c r="JDA90" s="528"/>
      <c r="JDB90" s="528"/>
      <c r="JDC90" s="528"/>
      <c r="JDD90" s="528"/>
      <c r="JDE90" s="528"/>
      <c r="JDF90" s="528"/>
      <c r="JDG90" s="528"/>
      <c r="JDH90" s="528"/>
      <c r="JDI90" s="528"/>
      <c r="JDJ90" s="528"/>
      <c r="JDK90" s="528"/>
      <c r="JDL90" s="528"/>
      <c r="JDM90" s="528"/>
      <c r="JDN90" s="528"/>
      <c r="JDO90" s="528"/>
      <c r="JDP90" s="528"/>
      <c r="JDQ90" s="528"/>
      <c r="JDR90" s="528"/>
      <c r="JDS90" s="528"/>
      <c r="JDT90" s="528"/>
      <c r="JDU90" s="528"/>
      <c r="JDV90" s="528"/>
      <c r="JDW90" s="528"/>
      <c r="JDX90" s="528"/>
      <c r="JDY90" s="528"/>
      <c r="JDZ90" s="528"/>
      <c r="JEA90" s="528"/>
      <c r="JEB90" s="528"/>
      <c r="JEC90" s="528"/>
      <c r="JED90" s="528"/>
      <c r="JEE90" s="528"/>
      <c r="JEF90" s="528"/>
      <c r="JEG90" s="528"/>
      <c r="JEH90" s="528"/>
      <c r="JEI90" s="528"/>
      <c r="JEJ90" s="528"/>
      <c r="JEK90" s="528"/>
      <c r="JEL90" s="528"/>
      <c r="JEM90" s="528"/>
      <c r="JEN90" s="528"/>
      <c r="JEO90" s="528"/>
      <c r="JEP90" s="528"/>
      <c r="JEQ90" s="528"/>
      <c r="JER90" s="528"/>
      <c r="JES90" s="528"/>
      <c r="JET90" s="528"/>
      <c r="JEU90" s="528"/>
      <c r="JEV90" s="528"/>
      <c r="JEW90" s="528"/>
      <c r="JEX90" s="528"/>
      <c r="JEY90" s="528"/>
      <c r="JEZ90" s="528"/>
      <c r="JFA90" s="528"/>
      <c r="JFB90" s="528"/>
      <c r="JFC90" s="528"/>
      <c r="JFD90" s="528"/>
      <c r="JFE90" s="528"/>
      <c r="JFF90" s="528"/>
      <c r="JFG90" s="528"/>
      <c r="JFH90" s="528"/>
      <c r="JFI90" s="528"/>
      <c r="JFJ90" s="528"/>
      <c r="JFK90" s="528"/>
      <c r="JFL90" s="528"/>
      <c r="JFM90" s="528"/>
      <c r="JFN90" s="528"/>
      <c r="JFO90" s="528"/>
      <c r="JFP90" s="528"/>
      <c r="JFQ90" s="528"/>
      <c r="JFR90" s="528"/>
      <c r="JFS90" s="528"/>
      <c r="JFT90" s="528"/>
      <c r="JFU90" s="528"/>
      <c r="JFV90" s="528"/>
      <c r="JFW90" s="528"/>
      <c r="JFX90" s="528"/>
      <c r="JFY90" s="528"/>
      <c r="JFZ90" s="528"/>
      <c r="JGA90" s="528"/>
      <c r="JGB90" s="528"/>
      <c r="JGC90" s="528"/>
      <c r="JGD90" s="528"/>
      <c r="JGE90" s="528"/>
      <c r="JGF90" s="528"/>
      <c r="JGG90" s="528"/>
      <c r="JGH90" s="528"/>
      <c r="JGI90" s="528"/>
      <c r="JGJ90" s="528"/>
      <c r="JGK90" s="528"/>
      <c r="JGL90" s="528"/>
      <c r="JGM90" s="528"/>
      <c r="JGN90" s="528"/>
      <c r="JGO90" s="528"/>
      <c r="JGP90" s="528"/>
      <c r="JGQ90" s="528"/>
      <c r="JGR90" s="528"/>
      <c r="JGS90" s="528"/>
      <c r="JGT90" s="528"/>
      <c r="JGU90" s="528"/>
      <c r="JGV90" s="528"/>
      <c r="JGW90" s="528"/>
      <c r="JGX90" s="528"/>
      <c r="JGY90" s="528"/>
      <c r="JGZ90" s="528"/>
      <c r="JHA90" s="528"/>
      <c r="JHB90" s="528"/>
      <c r="JHC90" s="528"/>
      <c r="JHD90" s="528"/>
      <c r="JHE90" s="528"/>
      <c r="JHF90" s="528"/>
      <c r="JHG90" s="528"/>
      <c r="JHH90" s="528"/>
      <c r="JHI90" s="528"/>
      <c r="JHJ90" s="528"/>
      <c r="JHK90" s="528"/>
      <c r="JHL90" s="528"/>
      <c r="JHM90" s="528"/>
      <c r="JHN90" s="528"/>
      <c r="JHO90" s="528"/>
      <c r="JHP90" s="528"/>
      <c r="JHQ90" s="528"/>
      <c r="JHR90" s="528"/>
      <c r="JHS90" s="528"/>
      <c r="JHT90" s="528"/>
      <c r="JHU90" s="528"/>
      <c r="JHV90" s="528"/>
      <c r="JHW90" s="528"/>
      <c r="JHX90" s="528"/>
      <c r="JHY90" s="528"/>
      <c r="JHZ90" s="528"/>
      <c r="JIA90" s="528"/>
      <c r="JIB90" s="528"/>
      <c r="JIC90" s="528"/>
      <c r="JID90" s="528"/>
      <c r="JIE90" s="528"/>
      <c r="JIF90" s="528"/>
      <c r="JIG90" s="528"/>
      <c r="JIH90" s="528"/>
      <c r="JII90" s="528"/>
      <c r="JIJ90" s="528"/>
      <c r="JIK90" s="528"/>
      <c r="JIL90" s="528"/>
      <c r="JIM90" s="528"/>
      <c r="JIN90" s="528"/>
      <c r="JIO90" s="528"/>
      <c r="JIP90" s="528"/>
      <c r="JIQ90" s="528"/>
      <c r="JIR90" s="528"/>
      <c r="JIS90" s="528"/>
      <c r="JIT90" s="528"/>
      <c r="JIU90" s="528"/>
      <c r="JIV90" s="528"/>
      <c r="JIW90" s="528"/>
      <c r="JIX90" s="528"/>
      <c r="JIY90" s="528"/>
      <c r="JIZ90" s="528"/>
      <c r="JJA90" s="528"/>
      <c r="JJB90" s="528"/>
      <c r="JJC90" s="528"/>
      <c r="JJD90" s="528"/>
      <c r="JJE90" s="528"/>
      <c r="JJF90" s="528"/>
      <c r="JJG90" s="528"/>
      <c r="JJH90" s="528"/>
      <c r="JJI90" s="528"/>
      <c r="JJJ90" s="528"/>
      <c r="JJK90" s="528"/>
      <c r="JJL90" s="528"/>
      <c r="JJM90" s="528"/>
      <c r="JJN90" s="528"/>
      <c r="JJO90" s="528"/>
      <c r="JJP90" s="528"/>
      <c r="JJQ90" s="528"/>
      <c r="JJR90" s="528"/>
      <c r="JJS90" s="528"/>
      <c r="JJT90" s="528"/>
      <c r="JJU90" s="528"/>
      <c r="JJV90" s="528"/>
      <c r="JJW90" s="528"/>
      <c r="JJX90" s="528"/>
      <c r="JJY90" s="528"/>
      <c r="JJZ90" s="528"/>
      <c r="JKA90" s="528"/>
      <c r="JKB90" s="528"/>
      <c r="JKC90" s="528"/>
      <c r="JKD90" s="528"/>
      <c r="JKE90" s="528"/>
      <c r="JKF90" s="528"/>
      <c r="JKG90" s="528"/>
      <c r="JKH90" s="528"/>
      <c r="JKI90" s="528"/>
      <c r="JKJ90" s="528"/>
      <c r="JKK90" s="528"/>
      <c r="JKL90" s="528"/>
      <c r="JKM90" s="528"/>
      <c r="JKN90" s="528"/>
      <c r="JKO90" s="528"/>
      <c r="JKP90" s="528"/>
      <c r="JKQ90" s="528"/>
      <c r="JKR90" s="528"/>
      <c r="JKS90" s="528"/>
      <c r="JKT90" s="528"/>
      <c r="JKU90" s="528"/>
      <c r="JKV90" s="528"/>
      <c r="JKW90" s="528"/>
      <c r="JKX90" s="528"/>
      <c r="JKY90" s="528"/>
      <c r="JKZ90" s="528"/>
      <c r="JLA90" s="528"/>
      <c r="JLB90" s="528"/>
      <c r="JLC90" s="528"/>
      <c r="JLD90" s="528"/>
      <c r="JLE90" s="528"/>
      <c r="JLF90" s="528"/>
      <c r="JLG90" s="528"/>
      <c r="JLH90" s="528"/>
      <c r="JLI90" s="528"/>
      <c r="JLJ90" s="528"/>
      <c r="JLK90" s="528"/>
      <c r="JLL90" s="528"/>
      <c r="JLM90" s="528"/>
      <c r="JLN90" s="528"/>
      <c r="JLO90" s="528"/>
      <c r="JLP90" s="528"/>
      <c r="JLQ90" s="528"/>
      <c r="JLR90" s="528"/>
      <c r="JLS90" s="528"/>
      <c r="JLT90" s="528"/>
      <c r="JLU90" s="528"/>
      <c r="JLV90" s="528"/>
      <c r="JLW90" s="528"/>
      <c r="JLX90" s="528"/>
      <c r="JLY90" s="528"/>
      <c r="JLZ90" s="528"/>
      <c r="JMA90" s="528"/>
      <c r="JMB90" s="528"/>
      <c r="JMC90" s="528"/>
      <c r="JMD90" s="528"/>
      <c r="JME90" s="528"/>
      <c r="JMF90" s="528"/>
      <c r="JMG90" s="528"/>
      <c r="JMH90" s="528"/>
      <c r="JMI90" s="528"/>
      <c r="JMJ90" s="528"/>
      <c r="JMK90" s="528"/>
      <c r="JML90" s="528"/>
      <c r="JMM90" s="528"/>
      <c r="JMN90" s="528"/>
      <c r="JMO90" s="528"/>
      <c r="JMP90" s="528"/>
      <c r="JMQ90" s="528"/>
      <c r="JMR90" s="528"/>
      <c r="JMS90" s="528"/>
      <c r="JMT90" s="528"/>
      <c r="JMU90" s="528"/>
      <c r="JMV90" s="528"/>
      <c r="JMW90" s="528"/>
      <c r="JMX90" s="528"/>
      <c r="JMY90" s="528"/>
      <c r="JMZ90" s="528"/>
      <c r="JNA90" s="528"/>
      <c r="JNB90" s="528"/>
      <c r="JNC90" s="528"/>
      <c r="JND90" s="528"/>
      <c r="JNE90" s="528"/>
      <c r="JNF90" s="528"/>
      <c r="JNG90" s="528"/>
      <c r="JNH90" s="528"/>
      <c r="JNI90" s="528"/>
      <c r="JNJ90" s="528"/>
      <c r="JNK90" s="528"/>
      <c r="JNL90" s="528"/>
      <c r="JNM90" s="528"/>
      <c r="JNN90" s="528"/>
      <c r="JNO90" s="528"/>
      <c r="JNP90" s="528"/>
      <c r="JNQ90" s="528"/>
      <c r="JNR90" s="528"/>
      <c r="JNS90" s="528"/>
      <c r="JNT90" s="528"/>
      <c r="JNU90" s="528"/>
      <c r="JNV90" s="528"/>
      <c r="JNW90" s="528"/>
      <c r="JNX90" s="528"/>
      <c r="JNY90" s="528"/>
      <c r="JNZ90" s="528"/>
      <c r="JOA90" s="528"/>
      <c r="JOB90" s="528"/>
      <c r="JOC90" s="528"/>
      <c r="JOD90" s="528"/>
      <c r="JOE90" s="528"/>
      <c r="JOF90" s="528"/>
      <c r="JOG90" s="528"/>
      <c r="JOH90" s="528"/>
      <c r="JOI90" s="528"/>
      <c r="JOJ90" s="528"/>
      <c r="JOK90" s="528"/>
      <c r="JOL90" s="528"/>
      <c r="JOM90" s="528"/>
      <c r="JON90" s="528"/>
      <c r="JOO90" s="528"/>
      <c r="JOP90" s="528"/>
      <c r="JOQ90" s="528"/>
      <c r="JOR90" s="528"/>
      <c r="JOS90" s="528"/>
      <c r="JOT90" s="528"/>
      <c r="JOU90" s="528"/>
      <c r="JOV90" s="528"/>
      <c r="JOW90" s="528"/>
      <c r="JOX90" s="528"/>
      <c r="JOY90" s="528"/>
      <c r="JOZ90" s="528"/>
      <c r="JPA90" s="528"/>
      <c r="JPB90" s="528"/>
      <c r="JPC90" s="528"/>
      <c r="JPD90" s="528"/>
      <c r="JPE90" s="528"/>
      <c r="JPF90" s="528"/>
      <c r="JPG90" s="528"/>
      <c r="JPH90" s="528"/>
      <c r="JPI90" s="528"/>
      <c r="JPJ90" s="528"/>
      <c r="JPK90" s="528"/>
      <c r="JPL90" s="528"/>
      <c r="JPM90" s="528"/>
      <c r="JPN90" s="528"/>
      <c r="JPO90" s="528"/>
      <c r="JPP90" s="528"/>
      <c r="JPQ90" s="528"/>
      <c r="JPR90" s="528"/>
      <c r="JPS90" s="528"/>
      <c r="JPT90" s="528"/>
      <c r="JPU90" s="528"/>
      <c r="JPV90" s="528"/>
      <c r="JPW90" s="528"/>
      <c r="JPX90" s="528"/>
      <c r="JPY90" s="528"/>
      <c r="JPZ90" s="528"/>
      <c r="JQA90" s="528"/>
      <c r="JQB90" s="528"/>
      <c r="JQC90" s="528"/>
      <c r="JQD90" s="528"/>
      <c r="JQE90" s="528"/>
      <c r="JQF90" s="528"/>
      <c r="JQG90" s="528"/>
      <c r="JQH90" s="528"/>
      <c r="JQI90" s="528"/>
      <c r="JQJ90" s="528"/>
      <c r="JQK90" s="528"/>
      <c r="JQL90" s="528"/>
      <c r="JQM90" s="528"/>
      <c r="JQN90" s="528"/>
      <c r="JQO90" s="528"/>
      <c r="JQP90" s="528"/>
      <c r="JQQ90" s="528"/>
      <c r="JQR90" s="528"/>
      <c r="JQS90" s="528"/>
      <c r="JQT90" s="528"/>
      <c r="JQU90" s="528"/>
      <c r="JQV90" s="528"/>
      <c r="JQW90" s="528"/>
      <c r="JQX90" s="528"/>
      <c r="JQY90" s="528"/>
      <c r="JQZ90" s="528"/>
      <c r="JRA90" s="528"/>
      <c r="JRB90" s="528"/>
      <c r="JRC90" s="528"/>
      <c r="JRD90" s="528"/>
      <c r="JRE90" s="528"/>
      <c r="JRF90" s="528"/>
      <c r="JRG90" s="528"/>
      <c r="JRH90" s="528"/>
      <c r="JRI90" s="528"/>
      <c r="JRJ90" s="528"/>
      <c r="JRK90" s="528"/>
      <c r="JRL90" s="528"/>
      <c r="JRM90" s="528"/>
      <c r="JRN90" s="528"/>
      <c r="JRO90" s="528"/>
      <c r="JRP90" s="528"/>
      <c r="JRQ90" s="528"/>
      <c r="JRR90" s="528"/>
      <c r="JRS90" s="528"/>
      <c r="JRT90" s="528"/>
      <c r="JRU90" s="528"/>
      <c r="JRV90" s="528"/>
      <c r="JRW90" s="528"/>
      <c r="JRX90" s="528"/>
      <c r="JRY90" s="528"/>
      <c r="JRZ90" s="528"/>
      <c r="JSA90" s="528"/>
      <c r="JSB90" s="528"/>
      <c r="JSC90" s="528"/>
      <c r="JSD90" s="528"/>
      <c r="JSE90" s="528"/>
      <c r="JSF90" s="528"/>
      <c r="JSG90" s="528"/>
      <c r="JSH90" s="528"/>
      <c r="JSI90" s="528"/>
      <c r="JSJ90" s="528"/>
      <c r="JSK90" s="528"/>
      <c r="JSL90" s="528"/>
      <c r="JSM90" s="528"/>
      <c r="JSN90" s="528"/>
      <c r="JSO90" s="528"/>
      <c r="JSP90" s="528"/>
      <c r="JSQ90" s="528"/>
      <c r="JSR90" s="528"/>
      <c r="JSS90" s="528"/>
      <c r="JST90" s="528"/>
      <c r="JSU90" s="528"/>
      <c r="JSV90" s="528"/>
      <c r="JSW90" s="528"/>
      <c r="JSX90" s="528"/>
      <c r="JSY90" s="528"/>
      <c r="JSZ90" s="528"/>
      <c r="JTA90" s="528"/>
      <c r="JTB90" s="528"/>
      <c r="JTC90" s="528"/>
      <c r="JTD90" s="528"/>
      <c r="JTE90" s="528"/>
      <c r="JTF90" s="528"/>
      <c r="JTG90" s="528"/>
      <c r="JTH90" s="528"/>
      <c r="JTI90" s="528"/>
      <c r="JTJ90" s="528"/>
      <c r="JTK90" s="528"/>
      <c r="JTL90" s="528"/>
      <c r="JTM90" s="528"/>
      <c r="JTN90" s="528"/>
      <c r="JTO90" s="528"/>
      <c r="JTP90" s="528"/>
      <c r="JTQ90" s="528"/>
      <c r="JTR90" s="528"/>
      <c r="JTS90" s="528"/>
      <c r="JTT90" s="528"/>
      <c r="JTU90" s="528"/>
      <c r="JTV90" s="528"/>
      <c r="JTW90" s="528"/>
      <c r="JTX90" s="528"/>
      <c r="JTY90" s="528"/>
      <c r="JTZ90" s="528"/>
      <c r="JUA90" s="528"/>
      <c r="JUB90" s="528"/>
      <c r="JUC90" s="528"/>
      <c r="JUD90" s="528"/>
      <c r="JUE90" s="528"/>
      <c r="JUF90" s="528"/>
      <c r="JUG90" s="528"/>
      <c r="JUH90" s="528"/>
      <c r="JUI90" s="528"/>
      <c r="JUJ90" s="528"/>
      <c r="JUK90" s="528"/>
      <c r="JUL90" s="528"/>
      <c r="JUM90" s="528"/>
      <c r="JUN90" s="528"/>
      <c r="JUO90" s="528"/>
      <c r="JUP90" s="528"/>
      <c r="JUQ90" s="528"/>
      <c r="JUR90" s="528"/>
      <c r="JUS90" s="528"/>
      <c r="JUT90" s="528"/>
      <c r="JUU90" s="528"/>
      <c r="JUV90" s="528"/>
      <c r="JUW90" s="528"/>
      <c r="JUX90" s="528"/>
      <c r="JUY90" s="528"/>
      <c r="JUZ90" s="528"/>
      <c r="JVA90" s="528"/>
      <c r="JVB90" s="528"/>
      <c r="JVC90" s="528"/>
      <c r="JVD90" s="528"/>
      <c r="JVE90" s="528"/>
      <c r="JVF90" s="528"/>
      <c r="JVG90" s="528"/>
      <c r="JVH90" s="528"/>
      <c r="JVI90" s="528"/>
      <c r="JVJ90" s="528"/>
      <c r="JVK90" s="528"/>
      <c r="JVL90" s="528"/>
      <c r="JVM90" s="528"/>
      <c r="JVN90" s="528"/>
      <c r="JVO90" s="528"/>
      <c r="JVP90" s="528"/>
      <c r="JVQ90" s="528"/>
      <c r="JVR90" s="528"/>
      <c r="JVS90" s="528"/>
      <c r="JVT90" s="528"/>
      <c r="JVU90" s="528"/>
      <c r="JVV90" s="528"/>
      <c r="JVW90" s="528"/>
      <c r="JVX90" s="528"/>
      <c r="JVY90" s="528"/>
      <c r="JVZ90" s="528"/>
      <c r="JWA90" s="528"/>
      <c r="JWB90" s="528"/>
      <c r="JWC90" s="528"/>
      <c r="JWD90" s="528"/>
      <c r="JWE90" s="528"/>
      <c r="JWF90" s="528"/>
      <c r="JWG90" s="528"/>
      <c r="JWH90" s="528"/>
      <c r="JWI90" s="528"/>
      <c r="JWJ90" s="528"/>
      <c r="JWK90" s="528"/>
      <c r="JWL90" s="528"/>
      <c r="JWM90" s="528"/>
      <c r="JWN90" s="528"/>
      <c r="JWO90" s="528"/>
      <c r="JWP90" s="528"/>
      <c r="JWQ90" s="528"/>
      <c r="JWR90" s="528"/>
      <c r="JWS90" s="528"/>
      <c r="JWT90" s="528"/>
      <c r="JWU90" s="528"/>
      <c r="JWV90" s="528"/>
      <c r="JWW90" s="528"/>
      <c r="JWX90" s="528"/>
      <c r="JWY90" s="528"/>
      <c r="JWZ90" s="528"/>
      <c r="JXA90" s="528"/>
      <c r="JXB90" s="528"/>
      <c r="JXC90" s="528"/>
      <c r="JXD90" s="528"/>
      <c r="JXE90" s="528"/>
      <c r="JXF90" s="528"/>
      <c r="JXG90" s="528"/>
      <c r="JXH90" s="528"/>
      <c r="JXI90" s="528"/>
      <c r="JXJ90" s="528"/>
      <c r="JXK90" s="528"/>
      <c r="JXL90" s="528"/>
      <c r="JXM90" s="528"/>
      <c r="JXN90" s="528"/>
      <c r="JXO90" s="528"/>
      <c r="JXP90" s="528"/>
      <c r="JXQ90" s="528"/>
      <c r="JXR90" s="528"/>
      <c r="JXS90" s="528"/>
      <c r="JXT90" s="528"/>
      <c r="JXU90" s="528"/>
      <c r="JXV90" s="528"/>
      <c r="JXW90" s="528"/>
      <c r="JXX90" s="528"/>
      <c r="JXY90" s="528"/>
      <c r="JXZ90" s="528"/>
      <c r="JYA90" s="528"/>
      <c r="JYB90" s="528"/>
      <c r="JYC90" s="528"/>
      <c r="JYD90" s="528"/>
      <c r="JYE90" s="528"/>
      <c r="JYF90" s="528"/>
      <c r="JYG90" s="528"/>
      <c r="JYH90" s="528"/>
      <c r="JYI90" s="528"/>
      <c r="JYJ90" s="528"/>
      <c r="JYK90" s="528"/>
      <c r="JYL90" s="528"/>
      <c r="JYM90" s="528"/>
      <c r="JYN90" s="528"/>
      <c r="JYO90" s="528"/>
      <c r="JYP90" s="528"/>
      <c r="JYQ90" s="528"/>
      <c r="JYR90" s="528"/>
      <c r="JYS90" s="528"/>
      <c r="JYT90" s="528"/>
      <c r="JYU90" s="528"/>
      <c r="JYV90" s="528"/>
      <c r="JYW90" s="528"/>
      <c r="JYX90" s="528"/>
      <c r="JYY90" s="528"/>
      <c r="JYZ90" s="528"/>
      <c r="JZA90" s="528"/>
      <c r="JZB90" s="528"/>
      <c r="JZC90" s="528"/>
      <c r="JZD90" s="528"/>
      <c r="JZE90" s="528"/>
      <c r="JZF90" s="528"/>
      <c r="JZG90" s="528"/>
      <c r="JZH90" s="528"/>
      <c r="JZI90" s="528"/>
      <c r="JZJ90" s="528"/>
      <c r="JZK90" s="528"/>
      <c r="JZL90" s="528"/>
      <c r="JZM90" s="528"/>
      <c r="JZN90" s="528"/>
      <c r="JZO90" s="528"/>
      <c r="JZP90" s="528"/>
      <c r="JZQ90" s="528"/>
      <c r="JZR90" s="528"/>
      <c r="JZS90" s="528"/>
      <c r="JZT90" s="528"/>
      <c r="JZU90" s="528"/>
      <c r="JZV90" s="528"/>
      <c r="JZW90" s="528"/>
      <c r="JZX90" s="528"/>
      <c r="JZY90" s="528"/>
      <c r="JZZ90" s="528"/>
      <c r="KAA90" s="528"/>
      <c r="KAB90" s="528"/>
      <c r="KAC90" s="528"/>
      <c r="KAD90" s="528"/>
      <c r="KAE90" s="528"/>
      <c r="KAF90" s="528"/>
      <c r="KAG90" s="528"/>
      <c r="KAH90" s="528"/>
      <c r="KAI90" s="528"/>
      <c r="KAJ90" s="528"/>
      <c r="KAK90" s="528"/>
      <c r="KAL90" s="528"/>
      <c r="KAM90" s="528"/>
      <c r="KAN90" s="528"/>
      <c r="KAO90" s="528"/>
      <c r="KAP90" s="528"/>
      <c r="KAQ90" s="528"/>
      <c r="KAR90" s="528"/>
      <c r="KAS90" s="528"/>
      <c r="KAT90" s="528"/>
      <c r="KAU90" s="528"/>
      <c r="KAV90" s="528"/>
      <c r="KAW90" s="528"/>
      <c r="KAX90" s="528"/>
      <c r="KAY90" s="528"/>
      <c r="KAZ90" s="528"/>
      <c r="KBA90" s="528"/>
      <c r="KBB90" s="528"/>
      <c r="KBC90" s="528"/>
      <c r="KBD90" s="528"/>
      <c r="KBE90" s="528"/>
      <c r="KBF90" s="528"/>
      <c r="KBG90" s="528"/>
      <c r="KBH90" s="528"/>
      <c r="KBI90" s="528"/>
      <c r="KBJ90" s="528"/>
      <c r="KBK90" s="528"/>
      <c r="KBL90" s="528"/>
      <c r="KBM90" s="528"/>
      <c r="KBN90" s="528"/>
      <c r="KBO90" s="528"/>
      <c r="KBP90" s="528"/>
      <c r="KBQ90" s="528"/>
      <c r="KBR90" s="528"/>
      <c r="KBS90" s="528"/>
      <c r="KBT90" s="528"/>
      <c r="KBU90" s="528"/>
      <c r="KBV90" s="528"/>
      <c r="KBW90" s="528"/>
      <c r="KBX90" s="528"/>
      <c r="KBY90" s="528"/>
      <c r="KBZ90" s="528"/>
      <c r="KCA90" s="528"/>
      <c r="KCB90" s="528"/>
      <c r="KCC90" s="528"/>
      <c r="KCD90" s="528"/>
      <c r="KCE90" s="528"/>
      <c r="KCF90" s="528"/>
      <c r="KCG90" s="528"/>
      <c r="KCH90" s="528"/>
      <c r="KCI90" s="528"/>
      <c r="KCJ90" s="528"/>
      <c r="KCK90" s="528"/>
      <c r="KCL90" s="528"/>
      <c r="KCM90" s="528"/>
      <c r="KCN90" s="528"/>
      <c r="KCO90" s="528"/>
      <c r="KCP90" s="528"/>
      <c r="KCQ90" s="528"/>
      <c r="KCR90" s="528"/>
      <c r="KCS90" s="528"/>
      <c r="KCT90" s="528"/>
      <c r="KCU90" s="528"/>
      <c r="KCV90" s="528"/>
      <c r="KCW90" s="528"/>
      <c r="KCX90" s="528"/>
      <c r="KCY90" s="528"/>
      <c r="KCZ90" s="528"/>
      <c r="KDA90" s="528"/>
      <c r="KDB90" s="528"/>
      <c r="KDC90" s="528"/>
      <c r="KDD90" s="528"/>
      <c r="KDE90" s="528"/>
      <c r="KDF90" s="528"/>
      <c r="KDG90" s="528"/>
      <c r="KDH90" s="528"/>
      <c r="KDI90" s="528"/>
      <c r="KDJ90" s="528"/>
      <c r="KDK90" s="528"/>
      <c r="KDL90" s="528"/>
      <c r="KDM90" s="528"/>
      <c r="KDN90" s="528"/>
      <c r="KDO90" s="528"/>
      <c r="KDP90" s="528"/>
      <c r="KDQ90" s="528"/>
      <c r="KDR90" s="528"/>
      <c r="KDS90" s="528"/>
      <c r="KDT90" s="528"/>
      <c r="KDU90" s="528"/>
      <c r="KDV90" s="528"/>
      <c r="KDW90" s="528"/>
      <c r="KDX90" s="528"/>
      <c r="KDY90" s="528"/>
      <c r="KDZ90" s="528"/>
      <c r="KEA90" s="528"/>
      <c r="KEB90" s="528"/>
      <c r="KEC90" s="528"/>
      <c r="KED90" s="528"/>
      <c r="KEE90" s="528"/>
      <c r="KEF90" s="528"/>
      <c r="KEG90" s="528"/>
      <c r="KEH90" s="528"/>
      <c r="KEI90" s="528"/>
      <c r="KEJ90" s="528"/>
      <c r="KEK90" s="528"/>
      <c r="KEL90" s="528"/>
      <c r="KEM90" s="528"/>
      <c r="KEN90" s="528"/>
      <c r="KEO90" s="528"/>
      <c r="KEP90" s="528"/>
      <c r="KEQ90" s="528"/>
      <c r="KER90" s="528"/>
      <c r="KES90" s="528"/>
      <c r="KET90" s="528"/>
      <c r="KEU90" s="528"/>
      <c r="KEV90" s="528"/>
      <c r="KEW90" s="528"/>
      <c r="KEX90" s="528"/>
      <c r="KEY90" s="528"/>
      <c r="KEZ90" s="528"/>
      <c r="KFA90" s="528"/>
      <c r="KFB90" s="528"/>
      <c r="KFC90" s="528"/>
      <c r="KFD90" s="528"/>
      <c r="KFE90" s="528"/>
      <c r="KFF90" s="528"/>
      <c r="KFG90" s="528"/>
      <c r="KFH90" s="528"/>
      <c r="KFI90" s="528"/>
      <c r="KFJ90" s="528"/>
      <c r="KFK90" s="528"/>
      <c r="KFL90" s="528"/>
      <c r="KFM90" s="528"/>
      <c r="KFN90" s="528"/>
      <c r="KFO90" s="528"/>
      <c r="KFP90" s="528"/>
      <c r="KFQ90" s="528"/>
      <c r="KFR90" s="528"/>
      <c r="KFS90" s="528"/>
      <c r="KFT90" s="528"/>
      <c r="KFU90" s="528"/>
      <c r="KFV90" s="528"/>
      <c r="KFW90" s="528"/>
      <c r="KFX90" s="528"/>
      <c r="KFY90" s="528"/>
      <c r="KFZ90" s="528"/>
      <c r="KGA90" s="528"/>
      <c r="KGB90" s="528"/>
      <c r="KGC90" s="528"/>
      <c r="KGD90" s="528"/>
      <c r="KGE90" s="528"/>
      <c r="KGF90" s="528"/>
      <c r="KGG90" s="528"/>
      <c r="KGH90" s="528"/>
      <c r="KGI90" s="528"/>
      <c r="KGJ90" s="528"/>
      <c r="KGK90" s="528"/>
      <c r="KGL90" s="528"/>
      <c r="KGM90" s="528"/>
      <c r="KGN90" s="528"/>
      <c r="KGO90" s="528"/>
      <c r="KGP90" s="528"/>
      <c r="KGQ90" s="528"/>
      <c r="KGR90" s="528"/>
      <c r="KGS90" s="528"/>
      <c r="KGT90" s="528"/>
      <c r="KGU90" s="528"/>
      <c r="KGV90" s="528"/>
      <c r="KGW90" s="528"/>
      <c r="KGX90" s="528"/>
      <c r="KGY90" s="528"/>
      <c r="KGZ90" s="528"/>
      <c r="KHA90" s="528"/>
      <c r="KHB90" s="528"/>
      <c r="KHC90" s="528"/>
      <c r="KHD90" s="528"/>
      <c r="KHE90" s="528"/>
      <c r="KHF90" s="528"/>
      <c r="KHG90" s="528"/>
      <c r="KHH90" s="528"/>
      <c r="KHI90" s="528"/>
      <c r="KHJ90" s="528"/>
      <c r="KHK90" s="528"/>
      <c r="KHL90" s="528"/>
      <c r="KHM90" s="528"/>
      <c r="KHN90" s="528"/>
      <c r="KHO90" s="528"/>
      <c r="KHP90" s="528"/>
      <c r="KHQ90" s="528"/>
      <c r="KHR90" s="528"/>
      <c r="KHS90" s="528"/>
      <c r="KHT90" s="528"/>
      <c r="KHU90" s="528"/>
      <c r="KHV90" s="528"/>
      <c r="KHW90" s="528"/>
      <c r="KHX90" s="528"/>
      <c r="KHY90" s="528"/>
      <c r="KHZ90" s="528"/>
      <c r="KIA90" s="528"/>
      <c r="KIB90" s="528"/>
      <c r="KIC90" s="528"/>
      <c r="KID90" s="528"/>
      <c r="KIE90" s="528"/>
      <c r="KIF90" s="528"/>
      <c r="KIG90" s="528"/>
      <c r="KIH90" s="528"/>
      <c r="KII90" s="528"/>
      <c r="KIJ90" s="528"/>
      <c r="KIK90" s="528"/>
      <c r="KIL90" s="528"/>
      <c r="KIM90" s="528"/>
      <c r="KIN90" s="528"/>
      <c r="KIO90" s="528"/>
      <c r="KIP90" s="528"/>
      <c r="KIQ90" s="528"/>
      <c r="KIR90" s="528"/>
      <c r="KIS90" s="528"/>
      <c r="KIT90" s="528"/>
      <c r="KIU90" s="528"/>
      <c r="KIV90" s="528"/>
      <c r="KIW90" s="528"/>
      <c r="KIX90" s="528"/>
      <c r="KIY90" s="528"/>
      <c r="KIZ90" s="528"/>
      <c r="KJA90" s="528"/>
      <c r="KJB90" s="528"/>
      <c r="KJC90" s="528"/>
      <c r="KJD90" s="528"/>
      <c r="KJE90" s="528"/>
      <c r="KJF90" s="528"/>
      <c r="KJG90" s="528"/>
      <c r="KJH90" s="528"/>
      <c r="KJI90" s="528"/>
      <c r="KJJ90" s="528"/>
      <c r="KJK90" s="528"/>
      <c r="KJL90" s="528"/>
      <c r="KJM90" s="528"/>
      <c r="KJN90" s="528"/>
      <c r="KJO90" s="528"/>
      <c r="KJP90" s="528"/>
      <c r="KJQ90" s="528"/>
      <c r="KJR90" s="528"/>
      <c r="KJS90" s="528"/>
      <c r="KJT90" s="528"/>
      <c r="KJU90" s="528"/>
      <c r="KJV90" s="528"/>
      <c r="KJW90" s="528"/>
      <c r="KJX90" s="528"/>
      <c r="KJY90" s="528"/>
      <c r="KJZ90" s="528"/>
      <c r="KKA90" s="528"/>
      <c r="KKB90" s="528"/>
      <c r="KKC90" s="528"/>
      <c r="KKD90" s="528"/>
      <c r="KKE90" s="528"/>
      <c r="KKF90" s="528"/>
      <c r="KKG90" s="528"/>
      <c r="KKH90" s="528"/>
      <c r="KKI90" s="528"/>
      <c r="KKJ90" s="528"/>
      <c r="KKK90" s="528"/>
      <c r="KKL90" s="528"/>
      <c r="KKM90" s="528"/>
      <c r="KKN90" s="528"/>
      <c r="KKO90" s="528"/>
      <c r="KKP90" s="528"/>
      <c r="KKQ90" s="528"/>
      <c r="KKR90" s="528"/>
      <c r="KKS90" s="528"/>
      <c r="KKT90" s="528"/>
      <c r="KKU90" s="528"/>
      <c r="KKV90" s="528"/>
      <c r="KKW90" s="528"/>
      <c r="KKX90" s="528"/>
      <c r="KKY90" s="528"/>
      <c r="KKZ90" s="528"/>
      <c r="KLA90" s="528"/>
      <c r="KLB90" s="528"/>
      <c r="KLC90" s="528"/>
      <c r="KLD90" s="528"/>
      <c r="KLE90" s="528"/>
      <c r="KLF90" s="528"/>
      <c r="KLG90" s="528"/>
      <c r="KLH90" s="528"/>
      <c r="KLI90" s="528"/>
      <c r="KLJ90" s="528"/>
      <c r="KLK90" s="528"/>
      <c r="KLL90" s="528"/>
      <c r="KLM90" s="528"/>
      <c r="KLN90" s="528"/>
      <c r="KLO90" s="528"/>
      <c r="KLP90" s="528"/>
      <c r="KLQ90" s="528"/>
      <c r="KLR90" s="528"/>
      <c r="KLS90" s="528"/>
      <c r="KLT90" s="528"/>
      <c r="KLU90" s="528"/>
      <c r="KLV90" s="528"/>
      <c r="KLW90" s="528"/>
      <c r="KLX90" s="528"/>
      <c r="KLY90" s="528"/>
      <c r="KLZ90" s="528"/>
      <c r="KMA90" s="528"/>
      <c r="KMB90" s="528"/>
      <c r="KMC90" s="528"/>
      <c r="KMD90" s="528"/>
      <c r="KME90" s="528"/>
      <c r="KMF90" s="528"/>
      <c r="KMG90" s="528"/>
      <c r="KMH90" s="528"/>
      <c r="KMI90" s="528"/>
      <c r="KMJ90" s="528"/>
      <c r="KMK90" s="528"/>
      <c r="KML90" s="528"/>
      <c r="KMM90" s="528"/>
      <c r="KMN90" s="528"/>
      <c r="KMO90" s="528"/>
      <c r="KMP90" s="528"/>
      <c r="KMQ90" s="528"/>
      <c r="KMR90" s="528"/>
      <c r="KMS90" s="528"/>
      <c r="KMT90" s="528"/>
      <c r="KMU90" s="528"/>
      <c r="KMV90" s="528"/>
      <c r="KMW90" s="528"/>
      <c r="KMX90" s="528"/>
      <c r="KMY90" s="528"/>
      <c r="KMZ90" s="528"/>
      <c r="KNA90" s="528"/>
      <c r="KNB90" s="528"/>
      <c r="KNC90" s="528"/>
      <c r="KND90" s="528"/>
      <c r="KNE90" s="528"/>
      <c r="KNF90" s="528"/>
      <c r="KNG90" s="528"/>
      <c r="KNH90" s="528"/>
      <c r="KNI90" s="528"/>
      <c r="KNJ90" s="528"/>
      <c r="KNK90" s="528"/>
      <c r="KNL90" s="528"/>
      <c r="KNM90" s="528"/>
      <c r="KNN90" s="528"/>
      <c r="KNO90" s="528"/>
      <c r="KNP90" s="528"/>
      <c r="KNQ90" s="528"/>
      <c r="KNR90" s="528"/>
      <c r="KNS90" s="528"/>
      <c r="KNT90" s="528"/>
      <c r="KNU90" s="528"/>
      <c r="KNV90" s="528"/>
      <c r="KNW90" s="528"/>
      <c r="KNX90" s="528"/>
      <c r="KNY90" s="528"/>
      <c r="KNZ90" s="528"/>
      <c r="KOA90" s="528"/>
      <c r="KOB90" s="528"/>
      <c r="KOC90" s="528"/>
      <c r="KOD90" s="528"/>
      <c r="KOE90" s="528"/>
      <c r="KOF90" s="528"/>
      <c r="KOG90" s="528"/>
      <c r="KOH90" s="528"/>
      <c r="KOI90" s="528"/>
      <c r="KOJ90" s="528"/>
      <c r="KOK90" s="528"/>
      <c r="KOL90" s="528"/>
      <c r="KOM90" s="528"/>
      <c r="KON90" s="528"/>
      <c r="KOO90" s="528"/>
      <c r="KOP90" s="528"/>
      <c r="KOQ90" s="528"/>
      <c r="KOR90" s="528"/>
      <c r="KOS90" s="528"/>
      <c r="KOT90" s="528"/>
      <c r="KOU90" s="528"/>
      <c r="KOV90" s="528"/>
      <c r="KOW90" s="528"/>
      <c r="KOX90" s="528"/>
      <c r="KOY90" s="528"/>
      <c r="KOZ90" s="528"/>
      <c r="KPA90" s="528"/>
      <c r="KPB90" s="528"/>
      <c r="KPC90" s="528"/>
      <c r="KPD90" s="528"/>
      <c r="KPE90" s="528"/>
      <c r="KPF90" s="528"/>
      <c r="KPG90" s="528"/>
      <c r="KPH90" s="528"/>
      <c r="KPI90" s="528"/>
      <c r="KPJ90" s="528"/>
      <c r="KPK90" s="528"/>
      <c r="KPL90" s="528"/>
      <c r="KPM90" s="528"/>
      <c r="KPN90" s="528"/>
      <c r="KPO90" s="528"/>
      <c r="KPP90" s="528"/>
      <c r="KPQ90" s="528"/>
      <c r="KPR90" s="528"/>
      <c r="KPS90" s="528"/>
      <c r="KPT90" s="528"/>
      <c r="KPU90" s="528"/>
      <c r="KPV90" s="528"/>
      <c r="KPW90" s="528"/>
      <c r="KPX90" s="528"/>
      <c r="KPY90" s="528"/>
      <c r="KPZ90" s="528"/>
      <c r="KQA90" s="528"/>
      <c r="KQB90" s="528"/>
      <c r="KQC90" s="528"/>
      <c r="KQD90" s="528"/>
      <c r="KQE90" s="528"/>
      <c r="KQF90" s="528"/>
      <c r="KQG90" s="528"/>
      <c r="KQH90" s="528"/>
      <c r="KQI90" s="528"/>
      <c r="KQJ90" s="528"/>
      <c r="KQK90" s="528"/>
      <c r="KQL90" s="528"/>
      <c r="KQM90" s="528"/>
      <c r="KQN90" s="528"/>
      <c r="KQO90" s="528"/>
      <c r="KQP90" s="528"/>
      <c r="KQQ90" s="528"/>
      <c r="KQR90" s="528"/>
      <c r="KQS90" s="528"/>
      <c r="KQT90" s="528"/>
      <c r="KQU90" s="528"/>
      <c r="KQV90" s="528"/>
      <c r="KQW90" s="528"/>
      <c r="KQX90" s="528"/>
      <c r="KQY90" s="528"/>
      <c r="KQZ90" s="528"/>
      <c r="KRA90" s="528"/>
      <c r="KRB90" s="528"/>
      <c r="KRC90" s="528"/>
      <c r="KRD90" s="528"/>
      <c r="KRE90" s="528"/>
      <c r="KRF90" s="528"/>
      <c r="KRG90" s="528"/>
      <c r="KRH90" s="528"/>
      <c r="KRI90" s="528"/>
      <c r="KRJ90" s="528"/>
      <c r="KRK90" s="528"/>
      <c r="KRL90" s="528"/>
      <c r="KRM90" s="528"/>
      <c r="KRN90" s="528"/>
      <c r="KRO90" s="528"/>
      <c r="KRP90" s="528"/>
      <c r="KRQ90" s="528"/>
      <c r="KRR90" s="528"/>
      <c r="KRS90" s="528"/>
      <c r="KRT90" s="528"/>
      <c r="KRU90" s="528"/>
      <c r="KRV90" s="528"/>
      <c r="KRW90" s="528"/>
      <c r="KRX90" s="528"/>
      <c r="KRY90" s="528"/>
      <c r="KRZ90" s="528"/>
      <c r="KSA90" s="528"/>
      <c r="KSB90" s="528"/>
      <c r="KSC90" s="528"/>
      <c r="KSD90" s="528"/>
      <c r="KSE90" s="528"/>
      <c r="KSF90" s="528"/>
      <c r="KSG90" s="528"/>
      <c r="KSH90" s="528"/>
      <c r="KSI90" s="528"/>
      <c r="KSJ90" s="528"/>
      <c r="KSK90" s="528"/>
      <c r="KSL90" s="528"/>
      <c r="KSM90" s="528"/>
      <c r="KSN90" s="528"/>
      <c r="KSO90" s="528"/>
      <c r="KSP90" s="528"/>
      <c r="KSQ90" s="528"/>
      <c r="KSR90" s="528"/>
      <c r="KSS90" s="528"/>
      <c r="KST90" s="528"/>
      <c r="KSU90" s="528"/>
      <c r="KSV90" s="528"/>
      <c r="KSW90" s="528"/>
      <c r="KSX90" s="528"/>
      <c r="KSY90" s="528"/>
      <c r="KSZ90" s="528"/>
      <c r="KTA90" s="528"/>
      <c r="KTB90" s="528"/>
      <c r="KTC90" s="528"/>
      <c r="KTD90" s="528"/>
      <c r="KTE90" s="528"/>
      <c r="KTF90" s="528"/>
      <c r="KTG90" s="528"/>
      <c r="KTH90" s="528"/>
      <c r="KTI90" s="528"/>
      <c r="KTJ90" s="528"/>
      <c r="KTK90" s="528"/>
      <c r="KTL90" s="528"/>
      <c r="KTM90" s="528"/>
      <c r="KTN90" s="528"/>
      <c r="KTO90" s="528"/>
      <c r="KTP90" s="528"/>
      <c r="KTQ90" s="528"/>
      <c r="KTR90" s="528"/>
      <c r="KTS90" s="528"/>
      <c r="KTT90" s="528"/>
      <c r="KTU90" s="528"/>
      <c r="KTV90" s="528"/>
      <c r="KTW90" s="528"/>
      <c r="KTX90" s="528"/>
      <c r="KTY90" s="528"/>
      <c r="KTZ90" s="528"/>
      <c r="KUA90" s="528"/>
      <c r="KUB90" s="528"/>
      <c r="KUC90" s="528"/>
      <c r="KUD90" s="528"/>
      <c r="KUE90" s="528"/>
      <c r="KUF90" s="528"/>
      <c r="KUG90" s="528"/>
      <c r="KUH90" s="528"/>
      <c r="KUI90" s="528"/>
      <c r="KUJ90" s="528"/>
      <c r="KUK90" s="528"/>
      <c r="KUL90" s="528"/>
      <c r="KUM90" s="528"/>
      <c r="KUN90" s="528"/>
      <c r="KUO90" s="528"/>
      <c r="KUP90" s="528"/>
      <c r="KUQ90" s="528"/>
      <c r="KUR90" s="528"/>
      <c r="KUS90" s="528"/>
      <c r="KUT90" s="528"/>
      <c r="KUU90" s="528"/>
      <c r="KUV90" s="528"/>
      <c r="KUW90" s="528"/>
      <c r="KUX90" s="528"/>
      <c r="KUY90" s="528"/>
      <c r="KUZ90" s="528"/>
      <c r="KVA90" s="528"/>
      <c r="KVB90" s="528"/>
      <c r="KVC90" s="528"/>
      <c r="KVD90" s="528"/>
      <c r="KVE90" s="528"/>
      <c r="KVF90" s="528"/>
      <c r="KVG90" s="528"/>
      <c r="KVH90" s="528"/>
      <c r="KVI90" s="528"/>
      <c r="KVJ90" s="528"/>
      <c r="KVK90" s="528"/>
      <c r="KVL90" s="528"/>
      <c r="KVM90" s="528"/>
      <c r="KVN90" s="528"/>
      <c r="KVO90" s="528"/>
      <c r="KVP90" s="528"/>
      <c r="KVQ90" s="528"/>
      <c r="KVR90" s="528"/>
      <c r="KVS90" s="528"/>
      <c r="KVT90" s="528"/>
      <c r="KVU90" s="528"/>
      <c r="KVV90" s="528"/>
      <c r="KVW90" s="528"/>
      <c r="KVX90" s="528"/>
      <c r="KVY90" s="528"/>
      <c r="KVZ90" s="528"/>
      <c r="KWA90" s="528"/>
      <c r="KWB90" s="528"/>
      <c r="KWC90" s="528"/>
      <c r="KWD90" s="528"/>
      <c r="KWE90" s="528"/>
      <c r="KWF90" s="528"/>
      <c r="KWG90" s="528"/>
      <c r="KWH90" s="528"/>
      <c r="KWI90" s="528"/>
      <c r="KWJ90" s="528"/>
      <c r="KWK90" s="528"/>
      <c r="KWL90" s="528"/>
      <c r="KWM90" s="528"/>
      <c r="KWN90" s="528"/>
      <c r="KWO90" s="528"/>
      <c r="KWP90" s="528"/>
      <c r="KWQ90" s="528"/>
      <c r="KWR90" s="528"/>
      <c r="KWS90" s="528"/>
      <c r="KWT90" s="528"/>
      <c r="KWU90" s="528"/>
      <c r="KWV90" s="528"/>
      <c r="KWW90" s="528"/>
      <c r="KWX90" s="528"/>
      <c r="KWY90" s="528"/>
      <c r="KWZ90" s="528"/>
      <c r="KXA90" s="528"/>
      <c r="KXB90" s="528"/>
      <c r="KXC90" s="528"/>
      <c r="KXD90" s="528"/>
      <c r="KXE90" s="528"/>
      <c r="KXF90" s="528"/>
      <c r="KXG90" s="528"/>
      <c r="KXH90" s="528"/>
      <c r="KXI90" s="528"/>
      <c r="KXJ90" s="528"/>
      <c r="KXK90" s="528"/>
      <c r="KXL90" s="528"/>
      <c r="KXM90" s="528"/>
      <c r="KXN90" s="528"/>
      <c r="KXO90" s="528"/>
      <c r="KXP90" s="528"/>
      <c r="KXQ90" s="528"/>
      <c r="KXR90" s="528"/>
      <c r="KXS90" s="528"/>
      <c r="KXT90" s="528"/>
      <c r="KXU90" s="528"/>
      <c r="KXV90" s="528"/>
      <c r="KXW90" s="528"/>
      <c r="KXX90" s="528"/>
      <c r="KXY90" s="528"/>
      <c r="KXZ90" s="528"/>
      <c r="KYA90" s="528"/>
      <c r="KYB90" s="528"/>
      <c r="KYC90" s="528"/>
      <c r="KYD90" s="528"/>
      <c r="KYE90" s="528"/>
      <c r="KYF90" s="528"/>
      <c r="KYG90" s="528"/>
      <c r="KYH90" s="528"/>
      <c r="KYI90" s="528"/>
      <c r="KYJ90" s="528"/>
      <c r="KYK90" s="528"/>
      <c r="KYL90" s="528"/>
      <c r="KYM90" s="528"/>
      <c r="KYN90" s="528"/>
      <c r="KYO90" s="528"/>
      <c r="KYP90" s="528"/>
      <c r="KYQ90" s="528"/>
      <c r="KYR90" s="528"/>
      <c r="KYS90" s="528"/>
      <c r="KYT90" s="528"/>
      <c r="KYU90" s="528"/>
      <c r="KYV90" s="528"/>
      <c r="KYW90" s="528"/>
      <c r="KYX90" s="528"/>
      <c r="KYY90" s="528"/>
      <c r="KYZ90" s="528"/>
      <c r="KZA90" s="528"/>
      <c r="KZB90" s="528"/>
      <c r="KZC90" s="528"/>
      <c r="KZD90" s="528"/>
      <c r="KZE90" s="528"/>
      <c r="KZF90" s="528"/>
      <c r="KZG90" s="528"/>
      <c r="KZH90" s="528"/>
      <c r="KZI90" s="528"/>
      <c r="KZJ90" s="528"/>
      <c r="KZK90" s="528"/>
      <c r="KZL90" s="528"/>
      <c r="KZM90" s="528"/>
      <c r="KZN90" s="528"/>
      <c r="KZO90" s="528"/>
      <c r="KZP90" s="528"/>
      <c r="KZQ90" s="528"/>
      <c r="KZR90" s="528"/>
      <c r="KZS90" s="528"/>
      <c r="KZT90" s="528"/>
      <c r="KZU90" s="528"/>
      <c r="KZV90" s="528"/>
      <c r="KZW90" s="528"/>
      <c r="KZX90" s="528"/>
      <c r="KZY90" s="528"/>
      <c r="KZZ90" s="528"/>
      <c r="LAA90" s="528"/>
      <c r="LAB90" s="528"/>
      <c r="LAC90" s="528"/>
      <c r="LAD90" s="528"/>
      <c r="LAE90" s="528"/>
      <c r="LAF90" s="528"/>
      <c r="LAG90" s="528"/>
      <c r="LAH90" s="528"/>
      <c r="LAI90" s="528"/>
      <c r="LAJ90" s="528"/>
      <c r="LAK90" s="528"/>
      <c r="LAL90" s="528"/>
      <c r="LAM90" s="528"/>
      <c r="LAN90" s="528"/>
      <c r="LAO90" s="528"/>
      <c r="LAP90" s="528"/>
      <c r="LAQ90" s="528"/>
      <c r="LAR90" s="528"/>
      <c r="LAS90" s="528"/>
      <c r="LAT90" s="528"/>
      <c r="LAU90" s="528"/>
      <c r="LAV90" s="528"/>
      <c r="LAW90" s="528"/>
      <c r="LAX90" s="528"/>
      <c r="LAY90" s="528"/>
      <c r="LAZ90" s="528"/>
      <c r="LBA90" s="528"/>
      <c r="LBB90" s="528"/>
      <c r="LBC90" s="528"/>
      <c r="LBD90" s="528"/>
      <c r="LBE90" s="528"/>
      <c r="LBF90" s="528"/>
      <c r="LBG90" s="528"/>
      <c r="LBH90" s="528"/>
      <c r="LBI90" s="528"/>
      <c r="LBJ90" s="528"/>
      <c r="LBK90" s="528"/>
      <c r="LBL90" s="528"/>
      <c r="LBM90" s="528"/>
      <c r="LBN90" s="528"/>
      <c r="LBO90" s="528"/>
      <c r="LBP90" s="528"/>
      <c r="LBQ90" s="528"/>
      <c r="LBR90" s="528"/>
      <c r="LBS90" s="528"/>
      <c r="LBT90" s="528"/>
      <c r="LBU90" s="528"/>
      <c r="LBV90" s="528"/>
      <c r="LBW90" s="528"/>
      <c r="LBX90" s="528"/>
      <c r="LBY90" s="528"/>
      <c r="LBZ90" s="528"/>
      <c r="LCA90" s="528"/>
      <c r="LCB90" s="528"/>
      <c r="LCC90" s="528"/>
      <c r="LCD90" s="528"/>
      <c r="LCE90" s="528"/>
      <c r="LCF90" s="528"/>
      <c r="LCG90" s="528"/>
      <c r="LCH90" s="528"/>
      <c r="LCI90" s="528"/>
      <c r="LCJ90" s="528"/>
      <c r="LCK90" s="528"/>
      <c r="LCL90" s="528"/>
      <c r="LCM90" s="528"/>
      <c r="LCN90" s="528"/>
      <c r="LCO90" s="528"/>
      <c r="LCP90" s="528"/>
      <c r="LCQ90" s="528"/>
      <c r="LCR90" s="528"/>
      <c r="LCS90" s="528"/>
      <c r="LCT90" s="528"/>
      <c r="LCU90" s="528"/>
      <c r="LCV90" s="528"/>
      <c r="LCW90" s="528"/>
      <c r="LCX90" s="528"/>
      <c r="LCY90" s="528"/>
      <c r="LCZ90" s="528"/>
      <c r="LDA90" s="528"/>
      <c r="LDB90" s="528"/>
      <c r="LDC90" s="528"/>
      <c r="LDD90" s="528"/>
      <c r="LDE90" s="528"/>
      <c r="LDF90" s="528"/>
      <c r="LDG90" s="528"/>
      <c r="LDH90" s="528"/>
      <c r="LDI90" s="528"/>
      <c r="LDJ90" s="528"/>
      <c r="LDK90" s="528"/>
      <c r="LDL90" s="528"/>
      <c r="LDM90" s="528"/>
      <c r="LDN90" s="528"/>
      <c r="LDO90" s="528"/>
      <c r="LDP90" s="528"/>
      <c r="LDQ90" s="528"/>
      <c r="LDR90" s="528"/>
      <c r="LDS90" s="528"/>
      <c r="LDT90" s="528"/>
      <c r="LDU90" s="528"/>
      <c r="LDV90" s="528"/>
      <c r="LDW90" s="528"/>
      <c r="LDX90" s="528"/>
      <c r="LDY90" s="528"/>
      <c r="LDZ90" s="528"/>
      <c r="LEA90" s="528"/>
      <c r="LEB90" s="528"/>
      <c r="LEC90" s="528"/>
      <c r="LED90" s="528"/>
      <c r="LEE90" s="528"/>
      <c r="LEF90" s="528"/>
      <c r="LEG90" s="528"/>
      <c r="LEH90" s="528"/>
      <c r="LEI90" s="528"/>
      <c r="LEJ90" s="528"/>
      <c r="LEK90" s="528"/>
      <c r="LEL90" s="528"/>
      <c r="LEM90" s="528"/>
      <c r="LEN90" s="528"/>
      <c r="LEO90" s="528"/>
      <c r="LEP90" s="528"/>
      <c r="LEQ90" s="528"/>
      <c r="LER90" s="528"/>
      <c r="LES90" s="528"/>
      <c r="LET90" s="528"/>
      <c r="LEU90" s="528"/>
      <c r="LEV90" s="528"/>
      <c r="LEW90" s="528"/>
      <c r="LEX90" s="528"/>
      <c r="LEY90" s="528"/>
      <c r="LEZ90" s="528"/>
      <c r="LFA90" s="528"/>
      <c r="LFB90" s="528"/>
      <c r="LFC90" s="528"/>
      <c r="LFD90" s="528"/>
      <c r="LFE90" s="528"/>
      <c r="LFF90" s="528"/>
      <c r="LFG90" s="528"/>
      <c r="LFH90" s="528"/>
      <c r="LFI90" s="528"/>
      <c r="LFJ90" s="528"/>
      <c r="LFK90" s="528"/>
      <c r="LFL90" s="528"/>
      <c r="LFM90" s="528"/>
      <c r="LFN90" s="528"/>
      <c r="LFO90" s="528"/>
      <c r="LFP90" s="528"/>
      <c r="LFQ90" s="528"/>
      <c r="LFR90" s="528"/>
      <c r="LFS90" s="528"/>
      <c r="LFT90" s="528"/>
      <c r="LFU90" s="528"/>
      <c r="LFV90" s="528"/>
      <c r="LFW90" s="528"/>
      <c r="LFX90" s="528"/>
      <c r="LFY90" s="528"/>
      <c r="LFZ90" s="528"/>
      <c r="LGA90" s="528"/>
      <c r="LGB90" s="528"/>
      <c r="LGC90" s="528"/>
      <c r="LGD90" s="528"/>
      <c r="LGE90" s="528"/>
      <c r="LGF90" s="528"/>
      <c r="LGG90" s="528"/>
      <c r="LGH90" s="528"/>
      <c r="LGI90" s="528"/>
      <c r="LGJ90" s="528"/>
      <c r="LGK90" s="528"/>
      <c r="LGL90" s="528"/>
      <c r="LGM90" s="528"/>
      <c r="LGN90" s="528"/>
      <c r="LGO90" s="528"/>
      <c r="LGP90" s="528"/>
      <c r="LGQ90" s="528"/>
      <c r="LGR90" s="528"/>
      <c r="LGS90" s="528"/>
      <c r="LGT90" s="528"/>
      <c r="LGU90" s="528"/>
      <c r="LGV90" s="528"/>
      <c r="LGW90" s="528"/>
      <c r="LGX90" s="528"/>
      <c r="LGY90" s="528"/>
      <c r="LGZ90" s="528"/>
      <c r="LHA90" s="528"/>
      <c r="LHB90" s="528"/>
      <c r="LHC90" s="528"/>
      <c r="LHD90" s="528"/>
      <c r="LHE90" s="528"/>
      <c r="LHF90" s="528"/>
      <c r="LHG90" s="528"/>
      <c r="LHH90" s="528"/>
      <c r="LHI90" s="528"/>
      <c r="LHJ90" s="528"/>
      <c r="LHK90" s="528"/>
      <c r="LHL90" s="528"/>
      <c r="LHM90" s="528"/>
      <c r="LHN90" s="528"/>
      <c r="LHO90" s="528"/>
      <c r="LHP90" s="528"/>
      <c r="LHQ90" s="528"/>
      <c r="LHR90" s="528"/>
      <c r="LHS90" s="528"/>
      <c r="LHT90" s="528"/>
      <c r="LHU90" s="528"/>
      <c r="LHV90" s="528"/>
      <c r="LHW90" s="528"/>
      <c r="LHX90" s="528"/>
      <c r="LHY90" s="528"/>
      <c r="LHZ90" s="528"/>
      <c r="LIA90" s="528"/>
      <c r="LIB90" s="528"/>
      <c r="LIC90" s="528"/>
      <c r="LID90" s="528"/>
      <c r="LIE90" s="528"/>
      <c r="LIF90" s="528"/>
      <c r="LIG90" s="528"/>
      <c r="LIH90" s="528"/>
      <c r="LII90" s="528"/>
      <c r="LIJ90" s="528"/>
      <c r="LIK90" s="528"/>
      <c r="LIL90" s="528"/>
      <c r="LIM90" s="528"/>
      <c r="LIN90" s="528"/>
      <c r="LIO90" s="528"/>
      <c r="LIP90" s="528"/>
      <c r="LIQ90" s="528"/>
      <c r="LIR90" s="528"/>
      <c r="LIS90" s="528"/>
      <c r="LIT90" s="528"/>
      <c r="LIU90" s="528"/>
      <c r="LIV90" s="528"/>
      <c r="LIW90" s="528"/>
      <c r="LIX90" s="528"/>
      <c r="LIY90" s="528"/>
      <c r="LIZ90" s="528"/>
      <c r="LJA90" s="528"/>
      <c r="LJB90" s="528"/>
      <c r="LJC90" s="528"/>
      <c r="LJD90" s="528"/>
      <c r="LJE90" s="528"/>
      <c r="LJF90" s="528"/>
      <c r="LJG90" s="528"/>
      <c r="LJH90" s="528"/>
      <c r="LJI90" s="528"/>
      <c r="LJJ90" s="528"/>
      <c r="LJK90" s="528"/>
      <c r="LJL90" s="528"/>
      <c r="LJM90" s="528"/>
      <c r="LJN90" s="528"/>
      <c r="LJO90" s="528"/>
      <c r="LJP90" s="528"/>
      <c r="LJQ90" s="528"/>
      <c r="LJR90" s="528"/>
      <c r="LJS90" s="528"/>
      <c r="LJT90" s="528"/>
      <c r="LJU90" s="528"/>
      <c r="LJV90" s="528"/>
      <c r="LJW90" s="528"/>
      <c r="LJX90" s="528"/>
      <c r="LJY90" s="528"/>
      <c r="LJZ90" s="528"/>
      <c r="LKA90" s="528"/>
      <c r="LKB90" s="528"/>
      <c r="LKC90" s="528"/>
      <c r="LKD90" s="528"/>
      <c r="LKE90" s="528"/>
      <c r="LKF90" s="528"/>
      <c r="LKG90" s="528"/>
      <c r="LKH90" s="528"/>
      <c r="LKI90" s="528"/>
      <c r="LKJ90" s="528"/>
      <c r="LKK90" s="528"/>
      <c r="LKL90" s="528"/>
      <c r="LKM90" s="528"/>
      <c r="LKN90" s="528"/>
      <c r="LKO90" s="528"/>
      <c r="LKP90" s="528"/>
      <c r="LKQ90" s="528"/>
      <c r="LKR90" s="528"/>
      <c r="LKS90" s="528"/>
      <c r="LKT90" s="528"/>
      <c r="LKU90" s="528"/>
      <c r="LKV90" s="528"/>
      <c r="LKW90" s="528"/>
      <c r="LKX90" s="528"/>
      <c r="LKY90" s="528"/>
      <c r="LKZ90" s="528"/>
      <c r="LLA90" s="528"/>
      <c r="LLB90" s="528"/>
      <c r="LLC90" s="528"/>
      <c r="LLD90" s="528"/>
      <c r="LLE90" s="528"/>
      <c r="LLF90" s="528"/>
      <c r="LLG90" s="528"/>
      <c r="LLH90" s="528"/>
      <c r="LLI90" s="528"/>
      <c r="LLJ90" s="528"/>
      <c r="LLK90" s="528"/>
      <c r="LLL90" s="528"/>
      <c r="LLM90" s="528"/>
      <c r="LLN90" s="528"/>
      <c r="LLO90" s="528"/>
      <c r="LLP90" s="528"/>
      <c r="LLQ90" s="528"/>
      <c r="LLR90" s="528"/>
      <c r="LLS90" s="528"/>
      <c r="LLT90" s="528"/>
      <c r="LLU90" s="528"/>
      <c r="LLV90" s="528"/>
      <c r="LLW90" s="528"/>
      <c r="LLX90" s="528"/>
      <c r="LLY90" s="528"/>
      <c r="LLZ90" s="528"/>
      <c r="LMA90" s="528"/>
      <c r="LMB90" s="528"/>
      <c r="LMC90" s="528"/>
      <c r="LMD90" s="528"/>
      <c r="LME90" s="528"/>
      <c r="LMF90" s="528"/>
      <c r="LMG90" s="528"/>
      <c r="LMH90" s="528"/>
      <c r="LMI90" s="528"/>
      <c r="LMJ90" s="528"/>
      <c r="LMK90" s="528"/>
      <c r="LML90" s="528"/>
      <c r="LMM90" s="528"/>
      <c r="LMN90" s="528"/>
      <c r="LMO90" s="528"/>
      <c r="LMP90" s="528"/>
      <c r="LMQ90" s="528"/>
      <c r="LMR90" s="528"/>
      <c r="LMS90" s="528"/>
      <c r="LMT90" s="528"/>
      <c r="LMU90" s="528"/>
      <c r="LMV90" s="528"/>
      <c r="LMW90" s="528"/>
      <c r="LMX90" s="528"/>
      <c r="LMY90" s="528"/>
      <c r="LMZ90" s="528"/>
      <c r="LNA90" s="528"/>
      <c r="LNB90" s="528"/>
      <c r="LNC90" s="528"/>
      <c r="LND90" s="528"/>
      <c r="LNE90" s="528"/>
      <c r="LNF90" s="528"/>
      <c r="LNG90" s="528"/>
      <c r="LNH90" s="528"/>
      <c r="LNI90" s="528"/>
      <c r="LNJ90" s="528"/>
      <c r="LNK90" s="528"/>
      <c r="LNL90" s="528"/>
      <c r="LNM90" s="528"/>
      <c r="LNN90" s="528"/>
      <c r="LNO90" s="528"/>
      <c r="LNP90" s="528"/>
      <c r="LNQ90" s="528"/>
      <c r="LNR90" s="528"/>
      <c r="LNS90" s="528"/>
      <c r="LNT90" s="528"/>
      <c r="LNU90" s="528"/>
      <c r="LNV90" s="528"/>
      <c r="LNW90" s="528"/>
      <c r="LNX90" s="528"/>
      <c r="LNY90" s="528"/>
      <c r="LNZ90" s="528"/>
      <c r="LOA90" s="528"/>
      <c r="LOB90" s="528"/>
      <c r="LOC90" s="528"/>
      <c r="LOD90" s="528"/>
      <c r="LOE90" s="528"/>
      <c r="LOF90" s="528"/>
      <c r="LOG90" s="528"/>
      <c r="LOH90" s="528"/>
      <c r="LOI90" s="528"/>
      <c r="LOJ90" s="528"/>
      <c r="LOK90" s="528"/>
      <c r="LOL90" s="528"/>
      <c r="LOM90" s="528"/>
      <c r="LON90" s="528"/>
      <c r="LOO90" s="528"/>
      <c r="LOP90" s="528"/>
      <c r="LOQ90" s="528"/>
      <c r="LOR90" s="528"/>
      <c r="LOS90" s="528"/>
      <c r="LOT90" s="528"/>
      <c r="LOU90" s="528"/>
      <c r="LOV90" s="528"/>
      <c r="LOW90" s="528"/>
      <c r="LOX90" s="528"/>
      <c r="LOY90" s="528"/>
      <c r="LOZ90" s="528"/>
      <c r="LPA90" s="528"/>
      <c r="LPB90" s="528"/>
      <c r="LPC90" s="528"/>
      <c r="LPD90" s="528"/>
      <c r="LPE90" s="528"/>
      <c r="LPF90" s="528"/>
      <c r="LPG90" s="528"/>
      <c r="LPH90" s="528"/>
      <c r="LPI90" s="528"/>
      <c r="LPJ90" s="528"/>
      <c r="LPK90" s="528"/>
      <c r="LPL90" s="528"/>
      <c r="LPM90" s="528"/>
      <c r="LPN90" s="528"/>
      <c r="LPO90" s="528"/>
      <c r="LPP90" s="528"/>
      <c r="LPQ90" s="528"/>
      <c r="LPR90" s="528"/>
      <c r="LPS90" s="528"/>
      <c r="LPT90" s="528"/>
      <c r="LPU90" s="528"/>
      <c r="LPV90" s="528"/>
      <c r="LPW90" s="528"/>
      <c r="LPX90" s="528"/>
      <c r="LPY90" s="528"/>
      <c r="LPZ90" s="528"/>
      <c r="LQA90" s="528"/>
      <c r="LQB90" s="528"/>
      <c r="LQC90" s="528"/>
      <c r="LQD90" s="528"/>
      <c r="LQE90" s="528"/>
      <c r="LQF90" s="528"/>
      <c r="LQG90" s="528"/>
      <c r="LQH90" s="528"/>
      <c r="LQI90" s="528"/>
      <c r="LQJ90" s="528"/>
      <c r="LQK90" s="528"/>
      <c r="LQL90" s="528"/>
      <c r="LQM90" s="528"/>
      <c r="LQN90" s="528"/>
      <c r="LQO90" s="528"/>
      <c r="LQP90" s="528"/>
      <c r="LQQ90" s="528"/>
      <c r="LQR90" s="528"/>
      <c r="LQS90" s="528"/>
      <c r="LQT90" s="528"/>
      <c r="LQU90" s="528"/>
      <c r="LQV90" s="528"/>
      <c r="LQW90" s="528"/>
      <c r="LQX90" s="528"/>
      <c r="LQY90" s="528"/>
      <c r="LQZ90" s="528"/>
      <c r="LRA90" s="528"/>
      <c r="LRB90" s="528"/>
      <c r="LRC90" s="528"/>
      <c r="LRD90" s="528"/>
      <c r="LRE90" s="528"/>
      <c r="LRF90" s="528"/>
      <c r="LRG90" s="528"/>
      <c r="LRH90" s="528"/>
      <c r="LRI90" s="528"/>
      <c r="LRJ90" s="528"/>
      <c r="LRK90" s="528"/>
      <c r="LRL90" s="528"/>
      <c r="LRM90" s="528"/>
      <c r="LRN90" s="528"/>
      <c r="LRO90" s="528"/>
      <c r="LRP90" s="528"/>
      <c r="LRQ90" s="528"/>
      <c r="LRR90" s="528"/>
      <c r="LRS90" s="528"/>
      <c r="LRT90" s="528"/>
      <c r="LRU90" s="528"/>
      <c r="LRV90" s="528"/>
      <c r="LRW90" s="528"/>
      <c r="LRX90" s="528"/>
      <c r="LRY90" s="528"/>
      <c r="LRZ90" s="528"/>
      <c r="LSA90" s="528"/>
      <c r="LSB90" s="528"/>
      <c r="LSC90" s="528"/>
      <c r="LSD90" s="528"/>
      <c r="LSE90" s="528"/>
      <c r="LSF90" s="528"/>
      <c r="LSG90" s="528"/>
      <c r="LSH90" s="528"/>
      <c r="LSI90" s="528"/>
      <c r="LSJ90" s="528"/>
      <c r="LSK90" s="528"/>
      <c r="LSL90" s="528"/>
      <c r="LSM90" s="528"/>
      <c r="LSN90" s="528"/>
      <c r="LSO90" s="528"/>
      <c r="LSP90" s="528"/>
      <c r="LSQ90" s="528"/>
      <c r="LSR90" s="528"/>
      <c r="LSS90" s="528"/>
      <c r="LST90" s="528"/>
      <c r="LSU90" s="528"/>
      <c r="LSV90" s="528"/>
      <c r="LSW90" s="528"/>
      <c r="LSX90" s="528"/>
      <c r="LSY90" s="528"/>
      <c r="LSZ90" s="528"/>
      <c r="LTA90" s="528"/>
      <c r="LTB90" s="528"/>
      <c r="LTC90" s="528"/>
      <c r="LTD90" s="528"/>
      <c r="LTE90" s="528"/>
      <c r="LTF90" s="528"/>
      <c r="LTG90" s="528"/>
      <c r="LTH90" s="528"/>
      <c r="LTI90" s="528"/>
      <c r="LTJ90" s="528"/>
      <c r="LTK90" s="528"/>
      <c r="LTL90" s="528"/>
      <c r="LTM90" s="528"/>
      <c r="LTN90" s="528"/>
      <c r="LTO90" s="528"/>
      <c r="LTP90" s="528"/>
      <c r="LTQ90" s="528"/>
      <c r="LTR90" s="528"/>
      <c r="LTS90" s="528"/>
      <c r="LTT90" s="528"/>
      <c r="LTU90" s="528"/>
      <c r="LTV90" s="528"/>
      <c r="LTW90" s="528"/>
      <c r="LTX90" s="528"/>
      <c r="LTY90" s="528"/>
      <c r="LTZ90" s="528"/>
      <c r="LUA90" s="528"/>
      <c r="LUB90" s="528"/>
      <c r="LUC90" s="528"/>
      <c r="LUD90" s="528"/>
      <c r="LUE90" s="528"/>
      <c r="LUF90" s="528"/>
      <c r="LUG90" s="528"/>
      <c r="LUH90" s="528"/>
      <c r="LUI90" s="528"/>
      <c r="LUJ90" s="528"/>
      <c r="LUK90" s="528"/>
      <c r="LUL90" s="528"/>
      <c r="LUM90" s="528"/>
      <c r="LUN90" s="528"/>
      <c r="LUO90" s="528"/>
      <c r="LUP90" s="528"/>
      <c r="LUQ90" s="528"/>
      <c r="LUR90" s="528"/>
      <c r="LUS90" s="528"/>
      <c r="LUT90" s="528"/>
      <c r="LUU90" s="528"/>
      <c r="LUV90" s="528"/>
      <c r="LUW90" s="528"/>
      <c r="LUX90" s="528"/>
      <c r="LUY90" s="528"/>
      <c r="LUZ90" s="528"/>
      <c r="LVA90" s="528"/>
      <c r="LVB90" s="528"/>
      <c r="LVC90" s="528"/>
      <c r="LVD90" s="528"/>
      <c r="LVE90" s="528"/>
      <c r="LVF90" s="528"/>
      <c r="LVG90" s="528"/>
      <c r="LVH90" s="528"/>
      <c r="LVI90" s="528"/>
      <c r="LVJ90" s="528"/>
      <c r="LVK90" s="528"/>
      <c r="LVL90" s="528"/>
      <c r="LVM90" s="528"/>
      <c r="LVN90" s="528"/>
      <c r="LVO90" s="528"/>
      <c r="LVP90" s="528"/>
      <c r="LVQ90" s="528"/>
      <c r="LVR90" s="528"/>
      <c r="LVS90" s="528"/>
      <c r="LVT90" s="528"/>
      <c r="LVU90" s="528"/>
      <c r="LVV90" s="528"/>
      <c r="LVW90" s="528"/>
      <c r="LVX90" s="528"/>
      <c r="LVY90" s="528"/>
      <c r="LVZ90" s="528"/>
      <c r="LWA90" s="528"/>
      <c r="LWB90" s="528"/>
      <c r="LWC90" s="528"/>
      <c r="LWD90" s="528"/>
      <c r="LWE90" s="528"/>
      <c r="LWF90" s="528"/>
      <c r="LWG90" s="528"/>
      <c r="LWH90" s="528"/>
      <c r="LWI90" s="528"/>
      <c r="LWJ90" s="528"/>
      <c r="LWK90" s="528"/>
      <c r="LWL90" s="528"/>
      <c r="LWM90" s="528"/>
      <c r="LWN90" s="528"/>
      <c r="LWO90" s="528"/>
      <c r="LWP90" s="528"/>
      <c r="LWQ90" s="528"/>
      <c r="LWR90" s="528"/>
      <c r="LWS90" s="528"/>
      <c r="LWT90" s="528"/>
      <c r="LWU90" s="528"/>
      <c r="LWV90" s="528"/>
      <c r="LWW90" s="528"/>
      <c r="LWX90" s="528"/>
      <c r="LWY90" s="528"/>
      <c r="LWZ90" s="528"/>
      <c r="LXA90" s="528"/>
      <c r="LXB90" s="528"/>
      <c r="LXC90" s="528"/>
      <c r="LXD90" s="528"/>
      <c r="LXE90" s="528"/>
      <c r="LXF90" s="528"/>
      <c r="LXG90" s="528"/>
      <c r="LXH90" s="528"/>
      <c r="LXI90" s="528"/>
      <c r="LXJ90" s="528"/>
      <c r="LXK90" s="528"/>
      <c r="LXL90" s="528"/>
      <c r="LXM90" s="528"/>
      <c r="LXN90" s="528"/>
      <c r="LXO90" s="528"/>
      <c r="LXP90" s="528"/>
      <c r="LXQ90" s="528"/>
      <c r="LXR90" s="528"/>
      <c r="LXS90" s="528"/>
      <c r="LXT90" s="528"/>
      <c r="LXU90" s="528"/>
      <c r="LXV90" s="528"/>
      <c r="LXW90" s="528"/>
      <c r="LXX90" s="528"/>
      <c r="LXY90" s="528"/>
      <c r="LXZ90" s="528"/>
      <c r="LYA90" s="528"/>
      <c r="LYB90" s="528"/>
      <c r="LYC90" s="528"/>
      <c r="LYD90" s="528"/>
      <c r="LYE90" s="528"/>
      <c r="LYF90" s="528"/>
      <c r="LYG90" s="528"/>
      <c r="LYH90" s="528"/>
      <c r="LYI90" s="528"/>
      <c r="LYJ90" s="528"/>
      <c r="LYK90" s="528"/>
      <c r="LYL90" s="528"/>
      <c r="LYM90" s="528"/>
      <c r="LYN90" s="528"/>
      <c r="LYO90" s="528"/>
      <c r="LYP90" s="528"/>
      <c r="LYQ90" s="528"/>
      <c r="LYR90" s="528"/>
      <c r="LYS90" s="528"/>
      <c r="LYT90" s="528"/>
      <c r="LYU90" s="528"/>
      <c r="LYV90" s="528"/>
      <c r="LYW90" s="528"/>
      <c r="LYX90" s="528"/>
      <c r="LYY90" s="528"/>
      <c r="LYZ90" s="528"/>
      <c r="LZA90" s="528"/>
      <c r="LZB90" s="528"/>
      <c r="LZC90" s="528"/>
      <c r="LZD90" s="528"/>
      <c r="LZE90" s="528"/>
      <c r="LZF90" s="528"/>
      <c r="LZG90" s="528"/>
      <c r="LZH90" s="528"/>
      <c r="LZI90" s="528"/>
      <c r="LZJ90" s="528"/>
      <c r="LZK90" s="528"/>
      <c r="LZL90" s="528"/>
      <c r="LZM90" s="528"/>
      <c r="LZN90" s="528"/>
      <c r="LZO90" s="528"/>
      <c r="LZP90" s="528"/>
      <c r="LZQ90" s="528"/>
      <c r="LZR90" s="528"/>
      <c r="LZS90" s="528"/>
      <c r="LZT90" s="528"/>
      <c r="LZU90" s="528"/>
      <c r="LZV90" s="528"/>
      <c r="LZW90" s="528"/>
      <c r="LZX90" s="528"/>
      <c r="LZY90" s="528"/>
      <c r="LZZ90" s="528"/>
      <c r="MAA90" s="528"/>
      <c r="MAB90" s="528"/>
      <c r="MAC90" s="528"/>
      <c r="MAD90" s="528"/>
      <c r="MAE90" s="528"/>
      <c r="MAF90" s="528"/>
      <c r="MAG90" s="528"/>
      <c r="MAH90" s="528"/>
      <c r="MAI90" s="528"/>
      <c r="MAJ90" s="528"/>
      <c r="MAK90" s="528"/>
      <c r="MAL90" s="528"/>
      <c r="MAM90" s="528"/>
      <c r="MAN90" s="528"/>
      <c r="MAO90" s="528"/>
      <c r="MAP90" s="528"/>
      <c r="MAQ90" s="528"/>
      <c r="MAR90" s="528"/>
      <c r="MAS90" s="528"/>
      <c r="MAT90" s="528"/>
      <c r="MAU90" s="528"/>
      <c r="MAV90" s="528"/>
      <c r="MAW90" s="528"/>
      <c r="MAX90" s="528"/>
      <c r="MAY90" s="528"/>
      <c r="MAZ90" s="528"/>
      <c r="MBA90" s="528"/>
      <c r="MBB90" s="528"/>
      <c r="MBC90" s="528"/>
      <c r="MBD90" s="528"/>
      <c r="MBE90" s="528"/>
      <c r="MBF90" s="528"/>
      <c r="MBG90" s="528"/>
      <c r="MBH90" s="528"/>
      <c r="MBI90" s="528"/>
      <c r="MBJ90" s="528"/>
      <c r="MBK90" s="528"/>
      <c r="MBL90" s="528"/>
      <c r="MBM90" s="528"/>
      <c r="MBN90" s="528"/>
      <c r="MBO90" s="528"/>
      <c r="MBP90" s="528"/>
      <c r="MBQ90" s="528"/>
      <c r="MBR90" s="528"/>
      <c r="MBS90" s="528"/>
      <c r="MBT90" s="528"/>
      <c r="MBU90" s="528"/>
      <c r="MBV90" s="528"/>
      <c r="MBW90" s="528"/>
      <c r="MBX90" s="528"/>
      <c r="MBY90" s="528"/>
      <c r="MBZ90" s="528"/>
      <c r="MCA90" s="528"/>
      <c r="MCB90" s="528"/>
      <c r="MCC90" s="528"/>
      <c r="MCD90" s="528"/>
      <c r="MCE90" s="528"/>
      <c r="MCF90" s="528"/>
      <c r="MCG90" s="528"/>
      <c r="MCH90" s="528"/>
      <c r="MCI90" s="528"/>
      <c r="MCJ90" s="528"/>
      <c r="MCK90" s="528"/>
      <c r="MCL90" s="528"/>
      <c r="MCM90" s="528"/>
      <c r="MCN90" s="528"/>
      <c r="MCO90" s="528"/>
      <c r="MCP90" s="528"/>
      <c r="MCQ90" s="528"/>
      <c r="MCR90" s="528"/>
      <c r="MCS90" s="528"/>
      <c r="MCT90" s="528"/>
      <c r="MCU90" s="528"/>
      <c r="MCV90" s="528"/>
      <c r="MCW90" s="528"/>
      <c r="MCX90" s="528"/>
      <c r="MCY90" s="528"/>
      <c r="MCZ90" s="528"/>
      <c r="MDA90" s="528"/>
      <c r="MDB90" s="528"/>
      <c r="MDC90" s="528"/>
      <c r="MDD90" s="528"/>
      <c r="MDE90" s="528"/>
      <c r="MDF90" s="528"/>
      <c r="MDG90" s="528"/>
      <c r="MDH90" s="528"/>
      <c r="MDI90" s="528"/>
      <c r="MDJ90" s="528"/>
      <c r="MDK90" s="528"/>
      <c r="MDL90" s="528"/>
      <c r="MDM90" s="528"/>
      <c r="MDN90" s="528"/>
      <c r="MDO90" s="528"/>
      <c r="MDP90" s="528"/>
      <c r="MDQ90" s="528"/>
      <c r="MDR90" s="528"/>
      <c r="MDS90" s="528"/>
      <c r="MDT90" s="528"/>
      <c r="MDU90" s="528"/>
      <c r="MDV90" s="528"/>
      <c r="MDW90" s="528"/>
      <c r="MDX90" s="528"/>
      <c r="MDY90" s="528"/>
      <c r="MDZ90" s="528"/>
      <c r="MEA90" s="528"/>
      <c r="MEB90" s="528"/>
      <c r="MEC90" s="528"/>
      <c r="MED90" s="528"/>
      <c r="MEE90" s="528"/>
      <c r="MEF90" s="528"/>
      <c r="MEG90" s="528"/>
      <c r="MEH90" s="528"/>
      <c r="MEI90" s="528"/>
      <c r="MEJ90" s="528"/>
      <c r="MEK90" s="528"/>
      <c r="MEL90" s="528"/>
      <c r="MEM90" s="528"/>
      <c r="MEN90" s="528"/>
      <c r="MEO90" s="528"/>
      <c r="MEP90" s="528"/>
      <c r="MEQ90" s="528"/>
      <c r="MER90" s="528"/>
      <c r="MES90" s="528"/>
      <c r="MET90" s="528"/>
      <c r="MEU90" s="528"/>
      <c r="MEV90" s="528"/>
      <c r="MEW90" s="528"/>
      <c r="MEX90" s="528"/>
      <c r="MEY90" s="528"/>
      <c r="MEZ90" s="528"/>
      <c r="MFA90" s="528"/>
      <c r="MFB90" s="528"/>
      <c r="MFC90" s="528"/>
      <c r="MFD90" s="528"/>
      <c r="MFE90" s="528"/>
      <c r="MFF90" s="528"/>
      <c r="MFG90" s="528"/>
      <c r="MFH90" s="528"/>
      <c r="MFI90" s="528"/>
      <c r="MFJ90" s="528"/>
      <c r="MFK90" s="528"/>
      <c r="MFL90" s="528"/>
      <c r="MFM90" s="528"/>
      <c r="MFN90" s="528"/>
      <c r="MFO90" s="528"/>
      <c r="MFP90" s="528"/>
      <c r="MFQ90" s="528"/>
      <c r="MFR90" s="528"/>
      <c r="MFS90" s="528"/>
      <c r="MFT90" s="528"/>
      <c r="MFU90" s="528"/>
      <c r="MFV90" s="528"/>
      <c r="MFW90" s="528"/>
      <c r="MFX90" s="528"/>
      <c r="MFY90" s="528"/>
      <c r="MFZ90" s="528"/>
      <c r="MGA90" s="528"/>
      <c r="MGB90" s="528"/>
      <c r="MGC90" s="528"/>
      <c r="MGD90" s="528"/>
      <c r="MGE90" s="528"/>
      <c r="MGF90" s="528"/>
      <c r="MGG90" s="528"/>
      <c r="MGH90" s="528"/>
      <c r="MGI90" s="528"/>
      <c r="MGJ90" s="528"/>
      <c r="MGK90" s="528"/>
      <c r="MGL90" s="528"/>
      <c r="MGM90" s="528"/>
      <c r="MGN90" s="528"/>
      <c r="MGO90" s="528"/>
      <c r="MGP90" s="528"/>
      <c r="MGQ90" s="528"/>
      <c r="MGR90" s="528"/>
      <c r="MGS90" s="528"/>
      <c r="MGT90" s="528"/>
      <c r="MGU90" s="528"/>
      <c r="MGV90" s="528"/>
      <c r="MGW90" s="528"/>
      <c r="MGX90" s="528"/>
      <c r="MGY90" s="528"/>
      <c r="MGZ90" s="528"/>
      <c r="MHA90" s="528"/>
      <c r="MHB90" s="528"/>
      <c r="MHC90" s="528"/>
      <c r="MHD90" s="528"/>
      <c r="MHE90" s="528"/>
      <c r="MHF90" s="528"/>
      <c r="MHG90" s="528"/>
      <c r="MHH90" s="528"/>
      <c r="MHI90" s="528"/>
      <c r="MHJ90" s="528"/>
      <c r="MHK90" s="528"/>
      <c r="MHL90" s="528"/>
      <c r="MHM90" s="528"/>
      <c r="MHN90" s="528"/>
      <c r="MHO90" s="528"/>
      <c r="MHP90" s="528"/>
      <c r="MHQ90" s="528"/>
      <c r="MHR90" s="528"/>
      <c r="MHS90" s="528"/>
      <c r="MHT90" s="528"/>
      <c r="MHU90" s="528"/>
      <c r="MHV90" s="528"/>
      <c r="MHW90" s="528"/>
      <c r="MHX90" s="528"/>
      <c r="MHY90" s="528"/>
      <c r="MHZ90" s="528"/>
      <c r="MIA90" s="528"/>
      <c r="MIB90" s="528"/>
      <c r="MIC90" s="528"/>
      <c r="MID90" s="528"/>
      <c r="MIE90" s="528"/>
      <c r="MIF90" s="528"/>
      <c r="MIG90" s="528"/>
      <c r="MIH90" s="528"/>
      <c r="MII90" s="528"/>
      <c r="MIJ90" s="528"/>
      <c r="MIK90" s="528"/>
      <c r="MIL90" s="528"/>
      <c r="MIM90" s="528"/>
      <c r="MIN90" s="528"/>
      <c r="MIO90" s="528"/>
      <c r="MIP90" s="528"/>
      <c r="MIQ90" s="528"/>
      <c r="MIR90" s="528"/>
      <c r="MIS90" s="528"/>
      <c r="MIT90" s="528"/>
      <c r="MIU90" s="528"/>
      <c r="MIV90" s="528"/>
      <c r="MIW90" s="528"/>
      <c r="MIX90" s="528"/>
      <c r="MIY90" s="528"/>
      <c r="MIZ90" s="528"/>
      <c r="MJA90" s="528"/>
      <c r="MJB90" s="528"/>
      <c r="MJC90" s="528"/>
      <c r="MJD90" s="528"/>
      <c r="MJE90" s="528"/>
      <c r="MJF90" s="528"/>
      <c r="MJG90" s="528"/>
      <c r="MJH90" s="528"/>
      <c r="MJI90" s="528"/>
      <c r="MJJ90" s="528"/>
      <c r="MJK90" s="528"/>
      <c r="MJL90" s="528"/>
      <c r="MJM90" s="528"/>
      <c r="MJN90" s="528"/>
      <c r="MJO90" s="528"/>
      <c r="MJP90" s="528"/>
      <c r="MJQ90" s="528"/>
      <c r="MJR90" s="528"/>
      <c r="MJS90" s="528"/>
      <c r="MJT90" s="528"/>
      <c r="MJU90" s="528"/>
      <c r="MJV90" s="528"/>
      <c r="MJW90" s="528"/>
      <c r="MJX90" s="528"/>
      <c r="MJY90" s="528"/>
      <c r="MJZ90" s="528"/>
      <c r="MKA90" s="528"/>
      <c r="MKB90" s="528"/>
      <c r="MKC90" s="528"/>
      <c r="MKD90" s="528"/>
      <c r="MKE90" s="528"/>
      <c r="MKF90" s="528"/>
      <c r="MKG90" s="528"/>
      <c r="MKH90" s="528"/>
      <c r="MKI90" s="528"/>
      <c r="MKJ90" s="528"/>
      <c r="MKK90" s="528"/>
      <c r="MKL90" s="528"/>
      <c r="MKM90" s="528"/>
      <c r="MKN90" s="528"/>
      <c r="MKO90" s="528"/>
      <c r="MKP90" s="528"/>
      <c r="MKQ90" s="528"/>
      <c r="MKR90" s="528"/>
      <c r="MKS90" s="528"/>
      <c r="MKT90" s="528"/>
      <c r="MKU90" s="528"/>
      <c r="MKV90" s="528"/>
      <c r="MKW90" s="528"/>
      <c r="MKX90" s="528"/>
      <c r="MKY90" s="528"/>
      <c r="MKZ90" s="528"/>
      <c r="MLA90" s="528"/>
      <c r="MLB90" s="528"/>
      <c r="MLC90" s="528"/>
      <c r="MLD90" s="528"/>
      <c r="MLE90" s="528"/>
      <c r="MLF90" s="528"/>
      <c r="MLG90" s="528"/>
      <c r="MLH90" s="528"/>
      <c r="MLI90" s="528"/>
      <c r="MLJ90" s="528"/>
      <c r="MLK90" s="528"/>
      <c r="MLL90" s="528"/>
      <c r="MLM90" s="528"/>
      <c r="MLN90" s="528"/>
      <c r="MLO90" s="528"/>
      <c r="MLP90" s="528"/>
      <c r="MLQ90" s="528"/>
      <c r="MLR90" s="528"/>
      <c r="MLS90" s="528"/>
      <c r="MLT90" s="528"/>
      <c r="MLU90" s="528"/>
      <c r="MLV90" s="528"/>
      <c r="MLW90" s="528"/>
      <c r="MLX90" s="528"/>
      <c r="MLY90" s="528"/>
      <c r="MLZ90" s="528"/>
      <c r="MMA90" s="528"/>
      <c r="MMB90" s="528"/>
      <c r="MMC90" s="528"/>
      <c r="MMD90" s="528"/>
      <c r="MME90" s="528"/>
      <c r="MMF90" s="528"/>
      <c r="MMG90" s="528"/>
      <c r="MMH90" s="528"/>
      <c r="MMI90" s="528"/>
      <c r="MMJ90" s="528"/>
      <c r="MMK90" s="528"/>
      <c r="MML90" s="528"/>
      <c r="MMM90" s="528"/>
      <c r="MMN90" s="528"/>
      <c r="MMO90" s="528"/>
      <c r="MMP90" s="528"/>
      <c r="MMQ90" s="528"/>
      <c r="MMR90" s="528"/>
      <c r="MMS90" s="528"/>
      <c r="MMT90" s="528"/>
      <c r="MMU90" s="528"/>
      <c r="MMV90" s="528"/>
      <c r="MMW90" s="528"/>
      <c r="MMX90" s="528"/>
      <c r="MMY90" s="528"/>
      <c r="MMZ90" s="528"/>
      <c r="MNA90" s="528"/>
      <c r="MNB90" s="528"/>
      <c r="MNC90" s="528"/>
      <c r="MND90" s="528"/>
      <c r="MNE90" s="528"/>
      <c r="MNF90" s="528"/>
      <c r="MNG90" s="528"/>
      <c r="MNH90" s="528"/>
      <c r="MNI90" s="528"/>
      <c r="MNJ90" s="528"/>
      <c r="MNK90" s="528"/>
      <c r="MNL90" s="528"/>
      <c r="MNM90" s="528"/>
      <c r="MNN90" s="528"/>
      <c r="MNO90" s="528"/>
      <c r="MNP90" s="528"/>
      <c r="MNQ90" s="528"/>
      <c r="MNR90" s="528"/>
      <c r="MNS90" s="528"/>
      <c r="MNT90" s="528"/>
      <c r="MNU90" s="528"/>
      <c r="MNV90" s="528"/>
      <c r="MNW90" s="528"/>
      <c r="MNX90" s="528"/>
      <c r="MNY90" s="528"/>
      <c r="MNZ90" s="528"/>
      <c r="MOA90" s="528"/>
      <c r="MOB90" s="528"/>
      <c r="MOC90" s="528"/>
      <c r="MOD90" s="528"/>
      <c r="MOE90" s="528"/>
      <c r="MOF90" s="528"/>
      <c r="MOG90" s="528"/>
      <c r="MOH90" s="528"/>
      <c r="MOI90" s="528"/>
      <c r="MOJ90" s="528"/>
      <c r="MOK90" s="528"/>
      <c r="MOL90" s="528"/>
      <c r="MOM90" s="528"/>
      <c r="MON90" s="528"/>
      <c r="MOO90" s="528"/>
      <c r="MOP90" s="528"/>
      <c r="MOQ90" s="528"/>
      <c r="MOR90" s="528"/>
      <c r="MOS90" s="528"/>
      <c r="MOT90" s="528"/>
      <c r="MOU90" s="528"/>
      <c r="MOV90" s="528"/>
      <c r="MOW90" s="528"/>
      <c r="MOX90" s="528"/>
      <c r="MOY90" s="528"/>
      <c r="MOZ90" s="528"/>
      <c r="MPA90" s="528"/>
      <c r="MPB90" s="528"/>
      <c r="MPC90" s="528"/>
      <c r="MPD90" s="528"/>
      <c r="MPE90" s="528"/>
      <c r="MPF90" s="528"/>
      <c r="MPG90" s="528"/>
      <c r="MPH90" s="528"/>
      <c r="MPI90" s="528"/>
      <c r="MPJ90" s="528"/>
      <c r="MPK90" s="528"/>
      <c r="MPL90" s="528"/>
      <c r="MPM90" s="528"/>
      <c r="MPN90" s="528"/>
      <c r="MPO90" s="528"/>
      <c r="MPP90" s="528"/>
      <c r="MPQ90" s="528"/>
      <c r="MPR90" s="528"/>
      <c r="MPS90" s="528"/>
      <c r="MPT90" s="528"/>
      <c r="MPU90" s="528"/>
      <c r="MPV90" s="528"/>
      <c r="MPW90" s="528"/>
      <c r="MPX90" s="528"/>
      <c r="MPY90" s="528"/>
      <c r="MPZ90" s="528"/>
      <c r="MQA90" s="528"/>
      <c r="MQB90" s="528"/>
      <c r="MQC90" s="528"/>
      <c r="MQD90" s="528"/>
      <c r="MQE90" s="528"/>
      <c r="MQF90" s="528"/>
      <c r="MQG90" s="528"/>
      <c r="MQH90" s="528"/>
      <c r="MQI90" s="528"/>
      <c r="MQJ90" s="528"/>
      <c r="MQK90" s="528"/>
      <c r="MQL90" s="528"/>
      <c r="MQM90" s="528"/>
      <c r="MQN90" s="528"/>
      <c r="MQO90" s="528"/>
      <c r="MQP90" s="528"/>
      <c r="MQQ90" s="528"/>
      <c r="MQR90" s="528"/>
      <c r="MQS90" s="528"/>
      <c r="MQT90" s="528"/>
      <c r="MQU90" s="528"/>
      <c r="MQV90" s="528"/>
      <c r="MQW90" s="528"/>
      <c r="MQX90" s="528"/>
      <c r="MQY90" s="528"/>
      <c r="MQZ90" s="528"/>
      <c r="MRA90" s="528"/>
      <c r="MRB90" s="528"/>
      <c r="MRC90" s="528"/>
      <c r="MRD90" s="528"/>
      <c r="MRE90" s="528"/>
      <c r="MRF90" s="528"/>
      <c r="MRG90" s="528"/>
      <c r="MRH90" s="528"/>
      <c r="MRI90" s="528"/>
      <c r="MRJ90" s="528"/>
      <c r="MRK90" s="528"/>
      <c r="MRL90" s="528"/>
      <c r="MRM90" s="528"/>
      <c r="MRN90" s="528"/>
      <c r="MRO90" s="528"/>
      <c r="MRP90" s="528"/>
      <c r="MRQ90" s="528"/>
      <c r="MRR90" s="528"/>
      <c r="MRS90" s="528"/>
      <c r="MRT90" s="528"/>
      <c r="MRU90" s="528"/>
      <c r="MRV90" s="528"/>
      <c r="MRW90" s="528"/>
      <c r="MRX90" s="528"/>
      <c r="MRY90" s="528"/>
      <c r="MRZ90" s="528"/>
      <c r="MSA90" s="528"/>
      <c r="MSB90" s="528"/>
      <c r="MSC90" s="528"/>
      <c r="MSD90" s="528"/>
      <c r="MSE90" s="528"/>
      <c r="MSF90" s="528"/>
      <c r="MSG90" s="528"/>
      <c r="MSH90" s="528"/>
      <c r="MSI90" s="528"/>
      <c r="MSJ90" s="528"/>
      <c r="MSK90" s="528"/>
      <c r="MSL90" s="528"/>
      <c r="MSM90" s="528"/>
      <c r="MSN90" s="528"/>
      <c r="MSO90" s="528"/>
      <c r="MSP90" s="528"/>
      <c r="MSQ90" s="528"/>
      <c r="MSR90" s="528"/>
      <c r="MSS90" s="528"/>
      <c r="MST90" s="528"/>
      <c r="MSU90" s="528"/>
      <c r="MSV90" s="528"/>
      <c r="MSW90" s="528"/>
      <c r="MSX90" s="528"/>
      <c r="MSY90" s="528"/>
      <c r="MSZ90" s="528"/>
      <c r="MTA90" s="528"/>
      <c r="MTB90" s="528"/>
      <c r="MTC90" s="528"/>
      <c r="MTD90" s="528"/>
      <c r="MTE90" s="528"/>
      <c r="MTF90" s="528"/>
      <c r="MTG90" s="528"/>
      <c r="MTH90" s="528"/>
      <c r="MTI90" s="528"/>
      <c r="MTJ90" s="528"/>
      <c r="MTK90" s="528"/>
      <c r="MTL90" s="528"/>
      <c r="MTM90" s="528"/>
      <c r="MTN90" s="528"/>
      <c r="MTO90" s="528"/>
      <c r="MTP90" s="528"/>
      <c r="MTQ90" s="528"/>
      <c r="MTR90" s="528"/>
      <c r="MTS90" s="528"/>
      <c r="MTT90" s="528"/>
      <c r="MTU90" s="528"/>
      <c r="MTV90" s="528"/>
      <c r="MTW90" s="528"/>
      <c r="MTX90" s="528"/>
      <c r="MTY90" s="528"/>
      <c r="MTZ90" s="528"/>
      <c r="MUA90" s="528"/>
      <c r="MUB90" s="528"/>
      <c r="MUC90" s="528"/>
      <c r="MUD90" s="528"/>
      <c r="MUE90" s="528"/>
      <c r="MUF90" s="528"/>
      <c r="MUG90" s="528"/>
      <c r="MUH90" s="528"/>
      <c r="MUI90" s="528"/>
      <c r="MUJ90" s="528"/>
      <c r="MUK90" s="528"/>
      <c r="MUL90" s="528"/>
      <c r="MUM90" s="528"/>
      <c r="MUN90" s="528"/>
      <c r="MUO90" s="528"/>
      <c r="MUP90" s="528"/>
      <c r="MUQ90" s="528"/>
      <c r="MUR90" s="528"/>
      <c r="MUS90" s="528"/>
      <c r="MUT90" s="528"/>
      <c r="MUU90" s="528"/>
      <c r="MUV90" s="528"/>
      <c r="MUW90" s="528"/>
      <c r="MUX90" s="528"/>
      <c r="MUY90" s="528"/>
      <c r="MUZ90" s="528"/>
      <c r="MVA90" s="528"/>
      <c r="MVB90" s="528"/>
      <c r="MVC90" s="528"/>
      <c r="MVD90" s="528"/>
      <c r="MVE90" s="528"/>
      <c r="MVF90" s="528"/>
      <c r="MVG90" s="528"/>
      <c r="MVH90" s="528"/>
      <c r="MVI90" s="528"/>
      <c r="MVJ90" s="528"/>
      <c r="MVK90" s="528"/>
      <c r="MVL90" s="528"/>
      <c r="MVM90" s="528"/>
      <c r="MVN90" s="528"/>
      <c r="MVO90" s="528"/>
      <c r="MVP90" s="528"/>
      <c r="MVQ90" s="528"/>
      <c r="MVR90" s="528"/>
      <c r="MVS90" s="528"/>
      <c r="MVT90" s="528"/>
      <c r="MVU90" s="528"/>
      <c r="MVV90" s="528"/>
      <c r="MVW90" s="528"/>
      <c r="MVX90" s="528"/>
      <c r="MVY90" s="528"/>
      <c r="MVZ90" s="528"/>
      <c r="MWA90" s="528"/>
      <c r="MWB90" s="528"/>
      <c r="MWC90" s="528"/>
      <c r="MWD90" s="528"/>
      <c r="MWE90" s="528"/>
      <c r="MWF90" s="528"/>
      <c r="MWG90" s="528"/>
      <c r="MWH90" s="528"/>
      <c r="MWI90" s="528"/>
      <c r="MWJ90" s="528"/>
      <c r="MWK90" s="528"/>
      <c r="MWL90" s="528"/>
      <c r="MWM90" s="528"/>
      <c r="MWN90" s="528"/>
      <c r="MWO90" s="528"/>
      <c r="MWP90" s="528"/>
      <c r="MWQ90" s="528"/>
      <c r="MWR90" s="528"/>
      <c r="MWS90" s="528"/>
      <c r="MWT90" s="528"/>
      <c r="MWU90" s="528"/>
      <c r="MWV90" s="528"/>
      <c r="MWW90" s="528"/>
      <c r="MWX90" s="528"/>
      <c r="MWY90" s="528"/>
      <c r="MWZ90" s="528"/>
      <c r="MXA90" s="528"/>
      <c r="MXB90" s="528"/>
      <c r="MXC90" s="528"/>
      <c r="MXD90" s="528"/>
      <c r="MXE90" s="528"/>
      <c r="MXF90" s="528"/>
      <c r="MXG90" s="528"/>
      <c r="MXH90" s="528"/>
      <c r="MXI90" s="528"/>
      <c r="MXJ90" s="528"/>
      <c r="MXK90" s="528"/>
      <c r="MXL90" s="528"/>
      <c r="MXM90" s="528"/>
      <c r="MXN90" s="528"/>
      <c r="MXO90" s="528"/>
      <c r="MXP90" s="528"/>
      <c r="MXQ90" s="528"/>
      <c r="MXR90" s="528"/>
      <c r="MXS90" s="528"/>
      <c r="MXT90" s="528"/>
      <c r="MXU90" s="528"/>
      <c r="MXV90" s="528"/>
      <c r="MXW90" s="528"/>
      <c r="MXX90" s="528"/>
      <c r="MXY90" s="528"/>
      <c r="MXZ90" s="528"/>
      <c r="MYA90" s="528"/>
      <c r="MYB90" s="528"/>
      <c r="MYC90" s="528"/>
      <c r="MYD90" s="528"/>
      <c r="MYE90" s="528"/>
      <c r="MYF90" s="528"/>
      <c r="MYG90" s="528"/>
      <c r="MYH90" s="528"/>
      <c r="MYI90" s="528"/>
      <c r="MYJ90" s="528"/>
      <c r="MYK90" s="528"/>
      <c r="MYL90" s="528"/>
      <c r="MYM90" s="528"/>
      <c r="MYN90" s="528"/>
      <c r="MYO90" s="528"/>
      <c r="MYP90" s="528"/>
      <c r="MYQ90" s="528"/>
      <c r="MYR90" s="528"/>
      <c r="MYS90" s="528"/>
      <c r="MYT90" s="528"/>
      <c r="MYU90" s="528"/>
      <c r="MYV90" s="528"/>
      <c r="MYW90" s="528"/>
      <c r="MYX90" s="528"/>
      <c r="MYY90" s="528"/>
      <c r="MYZ90" s="528"/>
      <c r="MZA90" s="528"/>
      <c r="MZB90" s="528"/>
      <c r="MZC90" s="528"/>
      <c r="MZD90" s="528"/>
      <c r="MZE90" s="528"/>
      <c r="MZF90" s="528"/>
      <c r="MZG90" s="528"/>
      <c r="MZH90" s="528"/>
      <c r="MZI90" s="528"/>
      <c r="MZJ90" s="528"/>
      <c r="MZK90" s="528"/>
      <c r="MZL90" s="528"/>
      <c r="MZM90" s="528"/>
      <c r="MZN90" s="528"/>
      <c r="MZO90" s="528"/>
      <c r="MZP90" s="528"/>
      <c r="MZQ90" s="528"/>
      <c r="MZR90" s="528"/>
      <c r="MZS90" s="528"/>
      <c r="MZT90" s="528"/>
      <c r="MZU90" s="528"/>
      <c r="MZV90" s="528"/>
      <c r="MZW90" s="528"/>
      <c r="MZX90" s="528"/>
      <c r="MZY90" s="528"/>
      <c r="MZZ90" s="528"/>
      <c r="NAA90" s="528"/>
      <c r="NAB90" s="528"/>
      <c r="NAC90" s="528"/>
      <c r="NAD90" s="528"/>
      <c r="NAE90" s="528"/>
      <c r="NAF90" s="528"/>
      <c r="NAG90" s="528"/>
      <c r="NAH90" s="528"/>
      <c r="NAI90" s="528"/>
      <c r="NAJ90" s="528"/>
      <c r="NAK90" s="528"/>
      <c r="NAL90" s="528"/>
      <c r="NAM90" s="528"/>
      <c r="NAN90" s="528"/>
      <c r="NAO90" s="528"/>
      <c r="NAP90" s="528"/>
      <c r="NAQ90" s="528"/>
      <c r="NAR90" s="528"/>
      <c r="NAS90" s="528"/>
      <c r="NAT90" s="528"/>
      <c r="NAU90" s="528"/>
      <c r="NAV90" s="528"/>
      <c r="NAW90" s="528"/>
      <c r="NAX90" s="528"/>
      <c r="NAY90" s="528"/>
      <c r="NAZ90" s="528"/>
      <c r="NBA90" s="528"/>
      <c r="NBB90" s="528"/>
      <c r="NBC90" s="528"/>
      <c r="NBD90" s="528"/>
      <c r="NBE90" s="528"/>
      <c r="NBF90" s="528"/>
      <c r="NBG90" s="528"/>
      <c r="NBH90" s="528"/>
      <c r="NBI90" s="528"/>
      <c r="NBJ90" s="528"/>
      <c r="NBK90" s="528"/>
      <c r="NBL90" s="528"/>
      <c r="NBM90" s="528"/>
      <c r="NBN90" s="528"/>
      <c r="NBO90" s="528"/>
      <c r="NBP90" s="528"/>
      <c r="NBQ90" s="528"/>
      <c r="NBR90" s="528"/>
      <c r="NBS90" s="528"/>
      <c r="NBT90" s="528"/>
      <c r="NBU90" s="528"/>
      <c r="NBV90" s="528"/>
      <c r="NBW90" s="528"/>
      <c r="NBX90" s="528"/>
      <c r="NBY90" s="528"/>
      <c r="NBZ90" s="528"/>
      <c r="NCA90" s="528"/>
      <c r="NCB90" s="528"/>
      <c r="NCC90" s="528"/>
      <c r="NCD90" s="528"/>
      <c r="NCE90" s="528"/>
      <c r="NCF90" s="528"/>
      <c r="NCG90" s="528"/>
      <c r="NCH90" s="528"/>
      <c r="NCI90" s="528"/>
      <c r="NCJ90" s="528"/>
      <c r="NCK90" s="528"/>
      <c r="NCL90" s="528"/>
      <c r="NCM90" s="528"/>
      <c r="NCN90" s="528"/>
      <c r="NCO90" s="528"/>
      <c r="NCP90" s="528"/>
      <c r="NCQ90" s="528"/>
      <c r="NCR90" s="528"/>
      <c r="NCS90" s="528"/>
      <c r="NCT90" s="528"/>
      <c r="NCU90" s="528"/>
      <c r="NCV90" s="528"/>
      <c r="NCW90" s="528"/>
      <c r="NCX90" s="528"/>
      <c r="NCY90" s="528"/>
      <c r="NCZ90" s="528"/>
      <c r="NDA90" s="528"/>
      <c r="NDB90" s="528"/>
      <c r="NDC90" s="528"/>
      <c r="NDD90" s="528"/>
      <c r="NDE90" s="528"/>
      <c r="NDF90" s="528"/>
      <c r="NDG90" s="528"/>
      <c r="NDH90" s="528"/>
      <c r="NDI90" s="528"/>
      <c r="NDJ90" s="528"/>
      <c r="NDK90" s="528"/>
      <c r="NDL90" s="528"/>
      <c r="NDM90" s="528"/>
      <c r="NDN90" s="528"/>
      <c r="NDO90" s="528"/>
      <c r="NDP90" s="528"/>
      <c r="NDQ90" s="528"/>
      <c r="NDR90" s="528"/>
      <c r="NDS90" s="528"/>
      <c r="NDT90" s="528"/>
      <c r="NDU90" s="528"/>
      <c r="NDV90" s="528"/>
      <c r="NDW90" s="528"/>
      <c r="NDX90" s="528"/>
      <c r="NDY90" s="528"/>
      <c r="NDZ90" s="528"/>
      <c r="NEA90" s="528"/>
      <c r="NEB90" s="528"/>
      <c r="NEC90" s="528"/>
      <c r="NED90" s="528"/>
      <c r="NEE90" s="528"/>
      <c r="NEF90" s="528"/>
      <c r="NEG90" s="528"/>
      <c r="NEH90" s="528"/>
      <c r="NEI90" s="528"/>
      <c r="NEJ90" s="528"/>
      <c r="NEK90" s="528"/>
      <c r="NEL90" s="528"/>
      <c r="NEM90" s="528"/>
      <c r="NEN90" s="528"/>
      <c r="NEO90" s="528"/>
      <c r="NEP90" s="528"/>
      <c r="NEQ90" s="528"/>
      <c r="NER90" s="528"/>
      <c r="NES90" s="528"/>
      <c r="NET90" s="528"/>
      <c r="NEU90" s="528"/>
      <c r="NEV90" s="528"/>
      <c r="NEW90" s="528"/>
      <c r="NEX90" s="528"/>
      <c r="NEY90" s="528"/>
      <c r="NEZ90" s="528"/>
      <c r="NFA90" s="528"/>
      <c r="NFB90" s="528"/>
      <c r="NFC90" s="528"/>
      <c r="NFD90" s="528"/>
      <c r="NFE90" s="528"/>
      <c r="NFF90" s="528"/>
      <c r="NFG90" s="528"/>
      <c r="NFH90" s="528"/>
      <c r="NFI90" s="528"/>
      <c r="NFJ90" s="528"/>
      <c r="NFK90" s="528"/>
      <c r="NFL90" s="528"/>
      <c r="NFM90" s="528"/>
      <c r="NFN90" s="528"/>
      <c r="NFO90" s="528"/>
      <c r="NFP90" s="528"/>
      <c r="NFQ90" s="528"/>
      <c r="NFR90" s="528"/>
      <c r="NFS90" s="528"/>
      <c r="NFT90" s="528"/>
      <c r="NFU90" s="528"/>
      <c r="NFV90" s="528"/>
      <c r="NFW90" s="528"/>
      <c r="NFX90" s="528"/>
      <c r="NFY90" s="528"/>
      <c r="NFZ90" s="528"/>
      <c r="NGA90" s="528"/>
      <c r="NGB90" s="528"/>
      <c r="NGC90" s="528"/>
      <c r="NGD90" s="528"/>
      <c r="NGE90" s="528"/>
      <c r="NGF90" s="528"/>
      <c r="NGG90" s="528"/>
      <c r="NGH90" s="528"/>
      <c r="NGI90" s="528"/>
      <c r="NGJ90" s="528"/>
      <c r="NGK90" s="528"/>
      <c r="NGL90" s="528"/>
      <c r="NGM90" s="528"/>
      <c r="NGN90" s="528"/>
      <c r="NGO90" s="528"/>
      <c r="NGP90" s="528"/>
      <c r="NGQ90" s="528"/>
      <c r="NGR90" s="528"/>
      <c r="NGS90" s="528"/>
      <c r="NGT90" s="528"/>
      <c r="NGU90" s="528"/>
      <c r="NGV90" s="528"/>
      <c r="NGW90" s="528"/>
      <c r="NGX90" s="528"/>
      <c r="NGY90" s="528"/>
      <c r="NGZ90" s="528"/>
      <c r="NHA90" s="528"/>
      <c r="NHB90" s="528"/>
      <c r="NHC90" s="528"/>
      <c r="NHD90" s="528"/>
      <c r="NHE90" s="528"/>
      <c r="NHF90" s="528"/>
      <c r="NHG90" s="528"/>
      <c r="NHH90" s="528"/>
      <c r="NHI90" s="528"/>
      <c r="NHJ90" s="528"/>
      <c r="NHK90" s="528"/>
      <c r="NHL90" s="528"/>
      <c r="NHM90" s="528"/>
      <c r="NHN90" s="528"/>
      <c r="NHO90" s="528"/>
      <c r="NHP90" s="528"/>
      <c r="NHQ90" s="528"/>
      <c r="NHR90" s="528"/>
      <c r="NHS90" s="528"/>
      <c r="NHT90" s="528"/>
      <c r="NHU90" s="528"/>
      <c r="NHV90" s="528"/>
      <c r="NHW90" s="528"/>
      <c r="NHX90" s="528"/>
      <c r="NHY90" s="528"/>
      <c r="NHZ90" s="528"/>
      <c r="NIA90" s="528"/>
      <c r="NIB90" s="528"/>
      <c r="NIC90" s="528"/>
      <c r="NID90" s="528"/>
      <c r="NIE90" s="528"/>
      <c r="NIF90" s="528"/>
      <c r="NIG90" s="528"/>
      <c r="NIH90" s="528"/>
      <c r="NII90" s="528"/>
      <c r="NIJ90" s="528"/>
      <c r="NIK90" s="528"/>
      <c r="NIL90" s="528"/>
      <c r="NIM90" s="528"/>
      <c r="NIN90" s="528"/>
      <c r="NIO90" s="528"/>
      <c r="NIP90" s="528"/>
      <c r="NIQ90" s="528"/>
      <c r="NIR90" s="528"/>
      <c r="NIS90" s="528"/>
      <c r="NIT90" s="528"/>
      <c r="NIU90" s="528"/>
      <c r="NIV90" s="528"/>
      <c r="NIW90" s="528"/>
      <c r="NIX90" s="528"/>
      <c r="NIY90" s="528"/>
      <c r="NIZ90" s="528"/>
      <c r="NJA90" s="528"/>
      <c r="NJB90" s="528"/>
      <c r="NJC90" s="528"/>
      <c r="NJD90" s="528"/>
      <c r="NJE90" s="528"/>
      <c r="NJF90" s="528"/>
      <c r="NJG90" s="528"/>
      <c r="NJH90" s="528"/>
      <c r="NJI90" s="528"/>
      <c r="NJJ90" s="528"/>
      <c r="NJK90" s="528"/>
      <c r="NJL90" s="528"/>
      <c r="NJM90" s="528"/>
      <c r="NJN90" s="528"/>
      <c r="NJO90" s="528"/>
      <c r="NJP90" s="528"/>
      <c r="NJQ90" s="528"/>
      <c r="NJR90" s="528"/>
      <c r="NJS90" s="528"/>
      <c r="NJT90" s="528"/>
      <c r="NJU90" s="528"/>
      <c r="NJV90" s="528"/>
      <c r="NJW90" s="528"/>
      <c r="NJX90" s="528"/>
      <c r="NJY90" s="528"/>
      <c r="NJZ90" s="528"/>
      <c r="NKA90" s="528"/>
      <c r="NKB90" s="528"/>
      <c r="NKC90" s="528"/>
      <c r="NKD90" s="528"/>
      <c r="NKE90" s="528"/>
      <c r="NKF90" s="528"/>
      <c r="NKG90" s="528"/>
      <c r="NKH90" s="528"/>
      <c r="NKI90" s="528"/>
      <c r="NKJ90" s="528"/>
      <c r="NKK90" s="528"/>
      <c r="NKL90" s="528"/>
      <c r="NKM90" s="528"/>
      <c r="NKN90" s="528"/>
      <c r="NKO90" s="528"/>
      <c r="NKP90" s="528"/>
      <c r="NKQ90" s="528"/>
      <c r="NKR90" s="528"/>
      <c r="NKS90" s="528"/>
      <c r="NKT90" s="528"/>
      <c r="NKU90" s="528"/>
      <c r="NKV90" s="528"/>
      <c r="NKW90" s="528"/>
      <c r="NKX90" s="528"/>
      <c r="NKY90" s="528"/>
      <c r="NKZ90" s="528"/>
      <c r="NLA90" s="528"/>
      <c r="NLB90" s="528"/>
      <c r="NLC90" s="528"/>
      <c r="NLD90" s="528"/>
      <c r="NLE90" s="528"/>
      <c r="NLF90" s="528"/>
      <c r="NLG90" s="528"/>
      <c r="NLH90" s="528"/>
      <c r="NLI90" s="528"/>
      <c r="NLJ90" s="528"/>
      <c r="NLK90" s="528"/>
      <c r="NLL90" s="528"/>
      <c r="NLM90" s="528"/>
      <c r="NLN90" s="528"/>
      <c r="NLO90" s="528"/>
      <c r="NLP90" s="528"/>
      <c r="NLQ90" s="528"/>
      <c r="NLR90" s="528"/>
      <c r="NLS90" s="528"/>
      <c r="NLT90" s="528"/>
      <c r="NLU90" s="528"/>
      <c r="NLV90" s="528"/>
      <c r="NLW90" s="528"/>
      <c r="NLX90" s="528"/>
      <c r="NLY90" s="528"/>
      <c r="NLZ90" s="528"/>
      <c r="NMA90" s="528"/>
      <c r="NMB90" s="528"/>
      <c r="NMC90" s="528"/>
      <c r="NMD90" s="528"/>
      <c r="NME90" s="528"/>
      <c r="NMF90" s="528"/>
      <c r="NMG90" s="528"/>
      <c r="NMH90" s="528"/>
      <c r="NMI90" s="528"/>
      <c r="NMJ90" s="528"/>
      <c r="NMK90" s="528"/>
      <c r="NML90" s="528"/>
      <c r="NMM90" s="528"/>
      <c r="NMN90" s="528"/>
      <c r="NMO90" s="528"/>
      <c r="NMP90" s="528"/>
      <c r="NMQ90" s="528"/>
      <c r="NMR90" s="528"/>
      <c r="NMS90" s="528"/>
      <c r="NMT90" s="528"/>
      <c r="NMU90" s="528"/>
      <c r="NMV90" s="528"/>
      <c r="NMW90" s="528"/>
      <c r="NMX90" s="528"/>
      <c r="NMY90" s="528"/>
      <c r="NMZ90" s="528"/>
      <c r="NNA90" s="528"/>
      <c r="NNB90" s="528"/>
      <c r="NNC90" s="528"/>
      <c r="NND90" s="528"/>
      <c r="NNE90" s="528"/>
      <c r="NNF90" s="528"/>
      <c r="NNG90" s="528"/>
      <c r="NNH90" s="528"/>
      <c r="NNI90" s="528"/>
      <c r="NNJ90" s="528"/>
      <c r="NNK90" s="528"/>
      <c r="NNL90" s="528"/>
      <c r="NNM90" s="528"/>
      <c r="NNN90" s="528"/>
      <c r="NNO90" s="528"/>
      <c r="NNP90" s="528"/>
      <c r="NNQ90" s="528"/>
      <c r="NNR90" s="528"/>
      <c r="NNS90" s="528"/>
      <c r="NNT90" s="528"/>
      <c r="NNU90" s="528"/>
      <c r="NNV90" s="528"/>
      <c r="NNW90" s="528"/>
      <c r="NNX90" s="528"/>
      <c r="NNY90" s="528"/>
      <c r="NNZ90" s="528"/>
      <c r="NOA90" s="528"/>
      <c r="NOB90" s="528"/>
      <c r="NOC90" s="528"/>
      <c r="NOD90" s="528"/>
      <c r="NOE90" s="528"/>
      <c r="NOF90" s="528"/>
      <c r="NOG90" s="528"/>
      <c r="NOH90" s="528"/>
      <c r="NOI90" s="528"/>
      <c r="NOJ90" s="528"/>
      <c r="NOK90" s="528"/>
      <c r="NOL90" s="528"/>
      <c r="NOM90" s="528"/>
      <c r="NON90" s="528"/>
      <c r="NOO90" s="528"/>
      <c r="NOP90" s="528"/>
      <c r="NOQ90" s="528"/>
      <c r="NOR90" s="528"/>
      <c r="NOS90" s="528"/>
      <c r="NOT90" s="528"/>
      <c r="NOU90" s="528"/>
      <c r="NOV90" s="528"/>
      <c r="NOW90" s="528"/>
      <c r="NOX90" s="528"/>
      <c r="NOY90" s="528"/>
      <c r="NOZ90" s="528"/>
      <c r="NPA90" s="528"/>
      <c r="NPB90" s="528"/>
      <c r="NPC90" s="528"/>
      <c r="NPD90" s="528"/>
      <c r="NPE90" s="528"/>
      <c r="NPF90" s="528"/>
      <c r="NPG90" s="528"/>
      <c r="NPH90" s="528"/>
      <c r="NPI90" s="528"/>
      <c r="NPJ90" s="528"/>
      <c r="NPK90" s="528"/>
      <c r="NPL90" s="528"/>
      <c r="NPM90" s="528"/>
      <c r="NPN90" s="528"/>
      <c r="NPO90" s="528"/>
      <c r="NPP90" s="528"/>
      <c r="NPQ90" s="528"/>
      <c r="NPR90" s="528"/>
      <c r="NPS90" s="528"/>
      <c r="NPT90" s="528"/>
      <c r="NPU90" s="528"/>
      <c r="NPV90" s="528"/>
      <c r="NPW90" s="528"/>
      <c r="NPX90" s="528"/>
      <c r="NPY90" s="528"/>
      <c r="NPZ90" s="528"/>
      <c r="NQA90" s="528"/>
      <c r="NQB90" s="528"/>
      <c r="NQC90" s="528"/>
      <c r="NQD90" s="528"/>
      <c r="NQE90" s="528"/>
      <c r="NQF90" s="528"/>
      <c r="NQG90" s="528"/>
      <c r="NQH90" s="528"/>
      <c r="NQI90" s="528"/>
      <c r="NQJ90" s="528"/>
      <c r="NQK90" s="528"/>
      <c r="NQL90" s="528"/>
      <c r="NQM90" s="528"/>
      <c r="NQN90" s="528"/>
      <c r="NQO90" s="528"/>
      <c r="NQP90" s="528"/>
      <c r="NQQ90" s="528"/>
      <c r="NQR90" s="528"/>
      <c r="NQS90" s="528"/>
      <c r="NQT90" s="528"/>
      <c r="NQU90" s="528"/>
      <c r="NQV90" s="528"/>
      <c r="NQW90" s="528"/>
      <c r="NQX90" s="528"/>
      <c r="NQY90" s="528"/>
      <c r="NQZ90" s="528"/>
      <c r="NRA90" s="528"/>
      <c r="NRB90" s="528"/>
      <c r="NRC90" s="528"/>
      <c r="NRD90" s="528"/>
      <c r="NRE90" s="528"/>
      <c r="NRF90" s="528"/>
      <c r="NRG90" s="528"/>
      <c r="NRH90" s="528"/>
      <c r="NRI90" s="528"/>
      <c r="NRJ90" s="528"/>
      <c r="NRK90" s="528"/>
      <c r="NRL90" s="528"/>
      <c r="NRM90" s="528"/>
      <c r="NRN90" s="528"/>
      <c r="NRO90" s="528"/>
      <c r="NRP90" s="528"/>
      <c r="NRQ90" s="528"/>
      <c r="NRR90" s="528"/>
      <c r="NRS90" s="528"/>
      <c r="NRT90" s="528"/>
      <c r="NRU90" s="528"/>
      <c r="NRV90" s="528"/>
      <c r="NRW90" s="528"/>
      <c r="NRX90" s="528"/>
      <c r="NRY90" s="528"/>
      <c r="NRZ90" s="528"/>
      <c r="NSA90" s="528"/>
      <c r="NSB90" s="528"/>
      <c r="NSC90" s="528"/>
      <c r="NSD90" s="528"/>
      <c r="NSE90" s="528"/>
      <c r="NSF90" s="528"/>
      <c r="NSG90" s="528"/>
      <c r="NSH90" s="528"/>
      <c r="NSI90" s="528"/>
      <c r="NSJ90" s="528"/>
      <c r="NSK90" s="528"/>
      <c r="NSL90" s="528"/>
      <c r="NSM90" s="528"/>
      <c r="NSN90" s="528"/>
      <c r="NSO90" s="528"/>
      <c r="NSP90" s="528"/>
      <c r="NSQ90" s="528"/>
      <c r="NSR90" s="528"/>
      <c r="NSS90" s="528"/>
      <c r="NST90" s="528"/>
      <c r="NSU90" s="528"/>
      <c r="NSV90" s="528"/>
      <c r="NSW90" s="528"/>
      <c r="NSX90" s="528"/>
      <c r="NSY90" s="528"/>
      <c r="NSZ90" s="528"/>
      <c r="NTA90" s="528"/>
      <c r="NTB90" s="528"/>
      <c r="NTC90" s="528"/>
      <c r="NTD90" s="528"/>
      <c r="NTE90" s="528"/>
      <c r="NTF90" s="528"/>
      <c r="NTG90" s="528"/>
      <c r="NTH90" s="528"/>
      <c r="NTI90" s="528"/>
      <c r="NTJ90" s="528"/>
      <c r="NTK90" s="528"/>
      <c r="NTL90" s="528"/>
      <c r="NTM90" s="528"/>
      <c r="NTN90" s="528"/>
      <c r="NTO90" s="528"/>
      <c r="NTP90" s="528"/>
      <c r="NTQ90" s="528"/>
      <c r="NTR90" s="528"/>
      <c r="NTS90" s="528"/>
      <c r="NTT90" s="528"/>
      <c r="NTU90" s="528"/>
      <c r="NTV90" s="528"/>
      <c r="NTW90" s="528"/>
      <c r="NTX90" s="528"/>
      <c r="NTY90" s="528"/>
      <c r="NTZ90" s="528"/>
      <c r="NUA90" s="528"/>
      <c r="NUB90" s="528"/>
      <c r="NUC90" s="528"/>
      <c r="NUD90" s="528"/>
      <c r="NUE90" s="528"/>
      <c r="NUF90" s="528"/>
      <c r="NUG90" s="528"/>
      <c r="NUH90" s="528"/>
      <c r="NUI90" s="528"/>
      <c r="NUJ90" s="528"/>
      <c r="NUK90" s="528"/>
      <c r="NUL90" s="528"/>
      <c r="NUM90" s="528"/>
      <c r="NUN90" s="528"/>
      <c r="NUO90" s="528"/>
      <c r="NUP90" s="528"/>
      <c r="NUQ90" s="528"/>
      <c r="NUR90" s="528"/>
      <c r="NUS90" s="528"/>
      <c r="NUT90" s="528"/>
      <c r="NUU90" s="528"/>
      <c r="NUV90" s="528"/>
      <c r="NUW90" s="528"/>
      <c r="NUX90" s="528"/>
      <c r="NUY90" s="528"/>
      <c r="NUZ90" s="528"/>
      <c r="NVA90" s="528"/>
      <c r="NVB90" s="528"/>
      <c r="NVC90" s="528"/>
      <c r="NVD90" s="528"/>
      <c r="NVE90" s="528"/>
      <c r="NVF90" s="528"/>
      <c r="NVG90" s="528"/>
      <c r="NVH90" s="528"/>
      <c r="NVI90" s="528"/>
      <c r="NVJ90" s="528"/>
      <c r="NVK90" s="528"/>
      <c r="NVL90" s="528"/>
      <c r="NVM90" s="528"/>
      <c r="NVN90" s="528"/>
      <c r="NVO90" s="528"/>
      <c r="NVP90" s="528"/>
      <c r="NVQ90" s="528"/>
      <c r="NVR90" s="528"/>
      <c r="NVS90" s="528"/>
      <c r="NVT90" s="528"/>
      <c r="NVU90" s="528"/>
      <c r="NVV90" s="528"/>
      <c r="NVW90" s="528"/>
      <c r="NVX90" s="528"/>
      <c r="NVY90" s="528"/>
      <c r="NVZ90" s="528"/>
      <c r="NWA90" s="528"/>
      <c r="NWB90" s="528"/>
      <c r="NWC90" s="528"/>
      <c r="NWD90" s="528"/>
      <c r="NWE90" s="528"/>
      <c r="NWF90" s="528"/>
      <c r="NWG90" s="528"/>
      <c r="NWH90" s="528"/>
      <c r="NWI90" s="528"/>
      <c r="NWJ90" s="528"/>
      <c r="NWK90" s="528"/>
      <c r="NWL90" s="528"/>
      <c r="NWM90" s="528"/>
      <c r="NWN90" s="528"/>
      <c r="NWO90" s="528"/>
      <c r="NWP90" s="528"/>
      <c r="NWQ90" s="528"/>
      <c r="NWR90" s="528"/>
      <c r="NWS90" s="528"/>
      <c r="NWT90" s="528"/>
      <c r="NWU90" s="528"/>
      <c r="NWV90" s="528"/>
      <c r="NWW90" s="528"/>
      <c r="NWX90" s="528"/>
      <c r="NWY90" s="528"/>
      <c r="NWZ90" s="528"/>
      <c r="NXA90" s="528"/>
      <c r="NXB90" s="528"/>
      <c r="NXC90" s="528"/>
      <c r="NXD90" s="528"/>
      <c r="NXE90" s="528"/>
      <c r="NXF90" s="528"/>
      <c r="NXG90" s="528"/>
      <c r="NXH90" s="528"/>
      <c r="NXI90" s="528"/>
      <c r="NXJ90" s="528"/>
      <c r="NXK90" s="528"/>
      <c r="NXL90" s="528"/>
      <c r="NXM90" s="528"/>
      <c r="NXN90" s="528"/>
      <c r="NXO90" s="528"/>
      <c r="NXP90" s="528"/>
      <c r="NXQ90" s="528"/>
      <c r="NXR90" s="528"/>
      <c r="NXS90" s="528"/>
      <c r="NXT90" s="528"/>
      <c r="NXU90" s="528"/>
      <c r="NXV90" s="528"/>
      <c r="NXW90" s="528"/>
      <c r="NXX90" s="528"/>
      <c r="NXY90" s="528"/>
      <c r="NXZ90" s="528"/>
      <c r="NYA90" s="528"/>
      <c r="NYB90" s="528"/>
      <c r="NYC90" s="528"/>
      <c r="NYD90" s="528"/>
      <c r="NYE90" s="528"/>
      <c r="NYF90" s="528"/>
      <c r="NYG90" s="528"/>
      <c r="NYH90" s="528"/>
      <c r="NYI90" s="528"/>
      <c r="NYJ90" s="528"/>
      <c r="NYK90" s="528"/>
      <c r="NYL90" s="528"/>
      <c r="NYM90" s="528"/>
      <c r="NYN90" s="528"/>
      <c r="NYO90" s="528"/>
      <c r="NYP90" s="528"/>
      <c r="NYQ90" s="528"/>
      <c r="NYR90" s="528"/>
      <c r="NYS90" s="528"/>
      <c r="NYT90" s="528"/>
      <c r="NYU90" s="528"/>
      <c r="NYV90" s="528"/>
      <c r="NYW90" s="528"/>
      <c r="NYX90" s="528"/>
      <c r="NYY90" s="528"/>
      <c r="NYZ90" s="528"/>
      <c r="NZA90" s="528"/>
      <c r="NZB90" s="528"/>
      <c r="NZC90" s="528"/>
      <c r="NZD90" s="528"/>
      <c r="NZE90" s="528"/>
      <c r="NZF90" s="528"/>
      <c r="NZG90" s="528"/>
      <c r="NZH90" s="528"/>
      <c r="NZI90" s="528"/>
      <c r="NZJ90" s="528"/>
      <c r="NZK90" s="528"/>
      <c r="NZL90" s="528"/>
      <c r="NZM90" s="528"/>
      <c r="NZN90" s="528"/>
      <c r="NZO90" s="528"/>
      <c r="NZP90" s="528"/>
      <c r="NZQ90" s="528"/>
      <c r="NZR90" s="528"/>
      <c r="NZS90" s="528"/>
      <c r="NZT90" s="528"/>
      <c r="NZU90" s="528"/>
      <c r="NZV90" s="528"/>
      <c r="NZW90" s="528"/>
      <c r="NZX90" s="528"/>
      <c r="NZY90" s="528"/>
      <c r="NZZ90" s="528"/>
      <c r="OAA90" s="528"/>
      <c r="OAB90" s="528"/>
      <c r="OAC90" s="528"/>
      <c r="OAD90" s="528"/>
      <c r="OAE90" s="528"/>
      <c r="OAF90" s="528"/>
      <c r="OAG90" s="528"/>
      <c r="OAH90" s="528"/>
      <c r="OAI90" s="528"/>
      <c r="OAJ90" s="528"/>
      <c r="OAK90" s="528"/>
      <c r="OAL90" s="528"/>
      <c r="OAM90" s="528"/>
      <c r="OAN90" s="528"/>
      <c r="OAO90" s="528"/>
      <c r="OAP90" s="528"/>
      <c r="OAQ90" s="528"/>
      <c r="OAR90" s="528"/>
      <c r="OAS90" s="528"/>
      <c r="OAT90" s="528"/>
      <c r="OAU90" s="528"/>
      <c r="OAV90" s="528"/>
      <c r="OAW90" s="528"/>
      <c r="OAX90" s="528"/>
      <c r="OAY90" s="528"/>
      <c r="OAZ90" s="528"/>
      <c r="OBA90" s="528"/>
      <c r="OBB90" s="528"/>
      <c r="OBC90" s="528"/>
      <c r="OBD90" s="528"/>
      <c r="OBE90" s="528"/>
      <c r="OBF90" s="528"/>
      <c r="OBG90" s="528"/>
      <c r="OBH90" s="528"/>
      <c r="OBI90" s="528"/>
      <c r="OBJ90" s="528"/>
      <c r="OBK90" s="528"/>
      <c r="OBL90" s="528"/>
      <c r="OBM90" s="528"/>
      <c r="OBN90" s="528"/>
      <c r="OBO90" s="528"/>
      <c r="OBP90" s="528"/>
      <c r="OBQ90" s="528"/>
      <c r="OBR90" s="528"/>
      <c r="OBS90" s="528"/>
      <c r="OBT90" s="528"/>
      <c r="OBU90" s="528"/>
      <c r="OBV90" s="528"/>
      <c r="OBW90" s="528"/>
      <c r="OBX90" s="528"/>
      <c r="OBY90" s="528"/>
      <c r="OBZ90" s="528"/>
      <c r="OCA90" s="528"/>
      <c r="OCB90" s="528"/>
      <c r="OCC90" s="528"/>
      <c r="OCD90" s="528"/>
      <c r="OCE90" s="528"/>
      <c r="OCF90" s="528"/>
      <c r="OCG90" s="528"/>
      <c r="OCH90" s="528"/>
      <c r="OCI90" s="528"/>
      <c r="OCJ90" s="528"/>
      <c r="OCK90" s="528"/>
      <c r="OCL90" s="528"/>
      <c r="OCM90" s="528"/>
      <c r="OCN90" s="528"/>
      <c r="OCO90" s="528"/>
      <c r="OCP90" s="528"/>
      <c r="OCQ90" s="528"/>
      <c r="OCR90" s="528"/>
      <c r="OCS90" s="528"/>
      <c r="OCT90" s="528"/>
      <c r="OCU90" s="528"/>
      <c r="OCV90" s="528"/>
      <c r="OCW90" s="528"/>
      <c r="OCX90" s="528"/>
      <c r="OCY90" s="528"/>
      <c r="OCZ90" s="528"/>
      <c r="ODA90" s="528"/>
      <c r="ODB90" s="528"/>
      <c r="ODC90" s="528"/>
      <c r="ODD90" s="528"/>
      <c r="ODE90" s="528"/>
      <c r="ODF90" s="528"/>
      <c r="ODG90" s="528"/>
      <c r="ODH90" s="528"/>
      <c r="ODI90" s="528"/>
      <c r="ODJ90" s="528"/>
      <c r="ODK90" s="528"/>
      <c r="ODL90" s="528"/>
      <c r="ODM90" s="528"/>
      <c r="ODN90" s="528"/>
      <c r="ODO90" s="528"/>
      <c r="ODP90" s="528"/>
      <c r="ODQ90" s="528"/>
      <c r="ODR90" s="528"/>
      <c r="ODS90" s="528"/>
      <c r="ODT90" s="528"/>
      <c r="ODU90" s="528"/>
      <c r="ODV90" s="528"/>
      <c r="ODW90" s="528"/>
      <c r="ODX90" s="528"/>
      <c r="ODY90" s="528"/>
      <c r="ODZ90" s="528"/>
      <c r="OEA90" s="528"/>
      <c r="OEB90" s="528"/>
      <c r="OEC90" s="528"/>
      <c r="OED90" s="528"/>
      <c r="OEE90" s="528"/>
      <c r="OEF90" s="528"/>
      <c r="OEG90" s="528"/>
      <c r="OEH90" s="528"/>
      <c r="OEI90" s="528"/>
      <c r="OEJ90" s="528"/>
      <c r="OEK90" s="528"/>
      <c r="OEL90" s="528"/>
      <c r="OEM90" s="528"/>
      <c r="OEN90" s="528"/>
      <c r="OEO90" s="528"/>
      <c r="OEP90" s="528"/>
      <c r="OEQ90" s="528"/>
      <c r="OER90" s="528"/>
      <c r="OES90" s="528"/>
      <c r="OET90" s="528"/>
      <c r="OEU90" s="528"/>
      <c r="OEV90" s="528"/>
      <c r="OEW90" s="528"/>
      <c r="OEX90" s="528"/>
      <c r="OEY90" s="528"/>
      <c r="OEZ90" s="528"/>
      <c r="OFA90" s="528"/>
      <c r="OFB90" s="528"/>
      <c r="OFC90" s="528"/>
      <c r="OFD90" s="528"/>
      <c r="OFE90" s="528"/>
      <c r="OFF90" s="528"/>
      <c r="OFG90" s="528"/>
      <c r="OFH90" s="528"/>
      <c r="OFI90" s="528"/>
      <c r="OFJ90" s="528"/>
      <c r="OFK90" s="528"/>
      <c r="OFL90" s="528"/>
      <c r="OFM90" s="528"/>
      <c r="OFN90" s="528"/>
      <c r="OFO90" s="528"/>
      <c r="OFP90" s="528"/>
      <c r="OFQ90" s="528"/>
      <c r="OFR90" s="528"/>
      <c r="OFS90" s="528"/>
      <c r="OFT90" s="528"/>
      <c r="OFU90" s="528"/>
      <c r="OFV90" s="528"/>
      <c r="OFW90" s="528"/>
      <c r="OFX90" s="528"/>
      <c r="OFY90" s="528"/>
      <c r="OFZ90" s="528"/>
      <c r="OGA90" s="528"/>
      <c r="OGB90" s="528"/>
      <c r="OGC90" s="528"/>
      <c r="OGD90" s="528"/>
      <c r="OGE90" s="528"/>
      <c r="OGF90" s="528"/>
      <c r="OGG90" s="528"/>
      <c r="OGH90" s="528"/>
      <c r="OGI90" s="528"/>
      <c r="OGJ90" s="528"/>
      <c r="OGK90" s="528"/>
      <c r="OGL90" s="528"/>
      <c r="OGM90" s="528"/>
      <c r="OGN90" s="528"/>
      <c r="OGO90" s="528"/>
      <c r="OGP90" s="528"/>
      <c r="OGQ90" s="528"/>
      <c r="OGR90" s="528"/>
      <c r="OGS90" s="528"/>
      <c r="OGT90" s="528"/>
      <c r="OGU90" s="528"/>
      <c r="OGV90" s="528"/>
      <c r="OGW90" s="528"/>
      <c r="OGX90" s="528"/>
      <c r="OGY90" s="528"/>
      <c r="OGZ90" s="528"/>
      <c r="OHA90" s="528"/>
      <c r="OHB90" s="528"/>
      <c r="OHC90" s="528"/>
      <c r="OHD90" s="528"/>
      <c r="OHE90" s="528"/>
      <c r="OHF90" s="528"/>
      <c r="OHG90" s="528"/>
      <c r="OHH90" s="528"/>
      <c r="OHI90" s="528"/>
      <c r="OHJ90" s="528"/>
      <c r="OHK90" s="528"/>
      <c r="OHL90" s="528"/>
      <c r="OHM90" s="528"/>
      <c r="OHN90" s="528"/>
      <c r="OHO90" s="528"/>
      <c r="OHP90" s="528"/>
      <c r="OHQ90" s="528"/>
      <c r="OHR90" s="528"/>
      <c r="OHS90" s="528"/>
      <c r="OHT90" s="528"/>
      <c r="OHU90" s="528"/>
      <c r="OHV90" s="528"/>
      <c r="OHW90" s="528"/>
      <c r="OHX90" s="528"/>
      <c r="OHY90" s="528"/>
      <c r="OHZ90" s="528"/>
      <c r="OIA90" s="528"/>
      <c r="OIB90" s="528"/>
      <c r="OIC90" s="528"/>
      <c r="OID90" s="528"/>
      <c r="OIE90" s="528"/>
      <c r="OIF90" s="528"/>
      <c r="OIG90" s="528"/>
      <c r="OIH90" s="528"/>
      <c r="OII90" s="528"/>
      <c r="OIJ90" s="528"/>
      <c r="OIK90" s="528"/>
      <c r="OIL90" s="528"/>
      <c r="OIM90" s="528"/>
      <c r="OIN90" s="528"/>
      <c r="OIO90" s="528"/>
      <c r="OIP90" s="528"/>
      <c r="OIQ90" s="528"/>
      <c r="OIR90" s="528"/>
      <c r="OIS90" s="528"/>
      <c r="OIT90" s="528"/>
      <c r="OIU90" s="528"/>
      <c r="OIV90" s="528"/>
      <c r="OIW90" s="528"/>
      <c r="OIX90" s="528"/>
      <c r="OIY90" s="528"/>
      <c r="OIZ90" s="528"/>
      <c r="OJA90" s="528"/>
      <c r="OJB90" s="528"/>
      <c r="OJC90" s="528"/>
      <c r="OJD90" s="528"/>
      <c r="OJE90" s="528"/>
      <c r="OJF90" s="528"/>
      <c r="OJG90" s="528"/>
      <c r="OJH90" s="528"/>
      <c r="OJI90" s="528"/>
      <c r="OJJ90" s="528"/>
      <c r="OJK90" s="528"/>
      <c r="OJL90" s="528"/>
      <c r="OJM90" s="528"/>
      <c r="OJN90" s="528"/>
      <c r="OJO90" s="528"/>
      <c r="OJP90" s="528"/>
      <c r="OJQ90" s="528"/>
      <c r="OJR90" s="528"/>
      <c r="OJS90" s="528"/>
      <c r="OJT90" s="528"/>
      <c r="OJU90" s="528"/>
      <c r="OJV90" s="528"/>
      <c r="OJW90" s="528"/>
      <c r="OJX90" s="528"/>
      <c r="OJY90" s="528"/>
      <c r="OJZ90" s="528"/>
      <c r="OKA90" s="528"/>
      <c r="OKB90" s="528"/>
      <c r="OKC90" s="528"/>
      <c r="OKD90" s="528"/>
      <c r="OKE90" s="528"/>
      <c r="OKF90" s="528"/>
      <c r="OKG90" s="528"/>
      <c r="OKH90" s="528"/>
      <c r="OKI90" s="528"/>
      <c r="OKJ90" s="528"/>
      <c r="OKK90" s="528"/>
      <c r="OKL90" s="528"/>
      <c r="OKM90" s="528"/>
      <c r="OKN90" s="528"/>
      <c r="OKO90" s="528"/>
      <c r="OKP90" s="528"/>
      <c r="OKQ90" s="528"/>
      <c r="OKR90" s="528"/>
      <c r="OKS90" s="528"/>
      <c r="OKT90" s="528"/>
      <c r="OKU90" s="528"/>
      <c r="OKV90" s="528"/>
      <c r="OKW90" s="528"/>
      <c r="OKX90" s="528"/>
      <c r="OKY90" s="528"/>
      <c r="OKZ90" s="528"/>
      <c r="OLA90" s="528"/>
      <c r="OLB90" s="528"/>
      <c r="OLC90" s="528"/>
      <c r="OLD90" s="528"/>
      <c r="OLE90" s="528"/>
      <c r="OLF90" s="528"/>
      <c r="OLG90" s="528"/>
      <c r="OLH90" s="528"/>
      <c r="OLI90" s="528"/>
      <c r="OLJ90" s="528"/>
      <c r="OLK90" s="528"/>
      <c r="OLL90" s="528"/>
      <c r="OLM90" s="528"/>
      <c r="OLN90" s="528"/>
      <c r="OLO90" s="528"/>
      <c r="OLP90" s="528"/>
      <c r="OLQ90" s="528"/>
      <c r="OLR90" s="528"/>
      <c r="OLS90" s="528"/>
      <c r="OLT90" s="528"/>
      <c r="OLU90" s="528"/>
      <c r="OLV90" s="528"/>
      <c r="OLW90" s="528"/>
      <c r="OLX90" s="528"/>
      <c r="OLY90" s="528"/>
      <c r="OLZ90" s="528"/>
      <c r="OMA90" s="528"/>
      <c r="OMB90" s="528"/>
      <c r="OMC90" s="528"/>
      <c r="OMD90" s="528"/>
      <c r="OME90" s="528"/>
      <c r="OMF90" s="528"/>
      <c r="OMG90" s="528"/>
      <c r="OMH90" s="528"/>
      <c r="OMI90" s="528"/>
      <c r="OMJ90" s="528"/>
      <c r="OMK90" s="528"/>
      <c r="OML90" s="528"/>
      <c r="OMM90" s="528"/>
      <c r="OMN90" s="528"/>
      <c r="OMO90" s="528"/>
      <c r="OMP90" s="528"/>
      <c r="OMQ90" s="528"/>
      <c r="OMR90" s="528"/>
      <c r="OMS90" s="528"/>
      <c r="OMT90" s="528"/>
      <c r="OMU90" s="528"/>
      <c r="OMV90" s="528"/>
      <c r="OMW90" s="528"/>
      <c r="OMX90" s="528"/>
      <c r="OMY90" s="528"/>
      <c r="OMZ90" s="528"/>
      <c r="ONA90" s="528"/>
      <c r="ONB90" s="528"/>
      <c r="ONC90" s="528"/>
      <c r="OND90" s="528"/>
      <c r="ONE90" s="528"/>
      <c r="ONF90" s="528"/>
      <c r="ONG90" s="528"/>
      <c r="ONH90" s="528"/>
      <c r="ONI90" s="528"/>
      <c r="ONJ90" s="528"/>
      <c r="ONK90" s="528"/>
      <c r="ONL90" s="528"/>
      <c r="ONM90" s="528"/>
      <c r="ONN90" s="528"/>
      <c r="ONO90" s="528"/>
      <c r="ONP90" s="528"/>
      <c r="ONQ90" s="528"/>
      <c r="ONR90" s="528"/>
      <c r="ONS90" s="528"/>
      <c r="ONT90" s="528"/>
      <c r="ONU90" s="528"/>
      <c r="ONV90" s="528"/>
      <c r="ONW90" s="528"/>
      <c r="ONX90" s="528"/>
      <c r="ONY90" s="528"/>
      <c r="ONZ90" s="528"/>
      <c r="OOA90" s="528"/>
      <c r="OOB90" s="528"/>
      <c r="OOC90" s="528"/>
      <c r="OOD90" s="528"/>
      <c r="OOE90" s="528"/>
      <c r="OOF90" s="528"/>
      <c r="OOG90" s="528"/>
      <c r="OOH90" s="528"/>
      <c r="OOI90" s="528"/>
      <c r="OOJ90" s="528"/>
      <c r="OOK90" s="528"/>
      <c r="OOL90" s="528"/>
      <c r="OOM90" s="528"/>
      <c r="OON90" s="528"/>
      <c r="OOO90" s="528"/>
      <c r="OOP90" s="528"/>
      <c r="OOQ90" s="528"/>
      <c r="OOR90" s="528"/>
      <c r="OOS90" s="528"/>
      <c r="OOT90" s="528"/>
      <c r="OOU90" s="528"/>
      <c r="OOV90" s="528"/>
      <c r="OOW90" s="528"/>
      <c r="OOX90" s="528"/>
      <c r="OOY90" s="528"/>
      <c r="OOZ90" s="528"/>
      <c r="OPA90" s="528"/>
      <c r="OPB90" s="528"/>
      <c r="OPC90" s="528"/>
      <c r="OPD90" s="528"/>
      <c r="OPE90" s="528"/>
      <c r="OPF90" s="528"/>
      <c r="OPG90" s="528"/>
      <c r="OPH90" s="528"/>
      <c r="OPI90" s="528"/>
      <c r="OPJ90" s="528"/>
      <c r="OPK90" s="528"/>
      <c r="OPL90" s="528"/>
      <c r="OPM90" s="528"/>
      <c r="OPN90" s="528"/>
      <c r="OPO90" s="528"/>
      <c r="OPP90" s="528"/>
      <c r="OPQ90" s="528"/>
      <c r="OPR90" s="528"/>
      <c r="OPS90" s="528"/>
      <c r="OPT90" s="528"/>
      <c r="OPU90" s="528"/>
      <c r="OPV90" s="528"/>
      <c r="OPW90" s="528"/>
      <c r="OPX90" s="528"/>
      <c r="OPY90" s="528"/>
      <c r="OPZ90" s="528"/>
      <c r="OQA90" s="528"/>
      <c r="OQB90" s="528"/>
      <c r="OQC90" s="528"/>
      <c r="OQD90" s="528"/>
      <c r="OQE90" s="528"/>
      <c r="OQF90" s="528"/>
      <c r="OQG90" s="528"/>
      <c r="OQH90" s="528"/>
      <c r="OQI90" s="528"/>
      <c r="OQJ90" s="528"/>
      <c r="OQK90" s="528"/>
      <c r="OQL90" s="528"/>
      <c r="OQM90" s="528"/>
      <c r="OQN90" s="528"/>
      <c r="OQO90" s="528"/>
      <c r="OQP90" s="528"/>
      <c r="OQQ90" s="528"/>
      <c r="OQR90" s="528"/>
      <c r="OQS90" s="528"/>
      <c r="OQT90" s="528"/>
      <c r="OQU90" s="528"/>
      <c r="OQV90" s="528"/>
      <c r="OQW90" s="528"/>
      <c r="OQX90" s="528"/>
      <c r="OQY90" s="528"/>
      <c r="OQZ90" s="528"/>
      <c r="ORA90" s="528"/>
      <c r="ORB90" s="528"/>
      <c r="ORC90" s="528"/>
      <c r="ORD90" s="528"/>
      <c r="ORE90" s="528"/>
      <c r="ORF90" s="528"/>
      <c r="ORG90" s="528"/>
      <c r="ORH90" s="528"/>
      <c r="ORI90" s="528"/>
      <c r="ORJ90" s="528"/>
      <c r="ORK90" s="528"/>
      <c r="ORL90" s="528"/>
      <c r="ORM90" s="528"/>
      <c r="ORN90" s="528"/>
      <c r="ORO90" s="528"/>
      <c r="ORP90" s="528"/>
      <c r="ORQ90" s="528"/>
      <c r="ORR90" s="528"/>
      <c r="ORS90" s="528"/>
      <c r="ORT90" s="528"/>
      <c r="ORU90" s="528"/>
      <c r="ORV90" s="528"/>
      <c r="ORW90" s="528"/>
      <c r="ORX90" s="528"/>
      <c r="ORY90" s="528"/>
      <c r="ORZ90" s="528"/>
      <c r="OSA90" s="528"/>
      <c r="OSB90" s="528"/>
      <c r="OSC90" s="528"/>
      <c r="OSD90" s="528"/>
      <c r="OSE90" s="528"/>
      <c r="OSF90" s="528"/>
      <c r="OSG90" s="528"/>
      <c r="OSH90" s="528"/>
      <c r="OSI90" s="528"/>
      <c r="OSJ90" s="528"/>
      <c r="OSK90" s="528"/>
      <c r="OSL90" s="528"/>
      <c r="OSM90" s="528"/>
      <c r="OSN90" s="528"/>
      <c r="OSO90" s="528"/>
      <c r="OSP90" s="528"/>
      <c r="OSQ90" s="528"/>
      <c r="OSR90" s="528"/>
      <c r="OSS90" s="528"/>
      <c r="OST90" s="528"/>
      <c r="OSU90" s="528"/>
      <c r="OSV90" s="528"/>
      <c r="OSW90" s="528"/>
      <c r="OSX90" s="528"/>
      <c r="OSY90" s="528"/>
      <c r="OSZ90" s="528"/>
      <c r="OTA90" s="528"/>
      <c r="OTB90" s="528"/>
      <c r="OTC90" s="528"/>
      <c r="OTD90" s="528"/>
      <c r="OTE90" s="528"/>
      <c r="OTF90" s="528"/>
      <c r="OTG90" s="528"/>
      <c r="OTH90" s="528"/>
      <c r="OTI90" s="528"/>
      <c r="OTJ90" s="528"/>
      <c r="OTK90" s="528"/>
      <c r="OTL90" s="528"/>
      <c r="OTM90" s="528"/>
      <c r="OTN90" s="528"/>
      <c r="OTO90" s="528"/>
      <c r="OTP90" s="528"/>
      <c r="OTQ90" s="528"/>
      <c r="OTR90" s="528"/>
      <c r="OTS90" s="528"/>
      <c r="OTT90" s="528"/>
      <c r="OTU90" s="528"/>
      <c r="OTV90" s="528"/>
      <c r="OTW90" s="528"/>
      <c r="OTX90" s="528"/>
      <c r="OTY90" s="528"/>
      <c r="OTZ90" s="528"/>
      <c r="OUA90" s="528"/>
      <c r="OUB90" s="528"/>
      <c r="OUC90" s="528"/>
      <c r="OUD90" s="528"/>
      <c r="OUE90" s="528"/>
      <c r="OUF90" s="528"/>
      <c r="OUG90" s="528"/>
      <c r="OUH90" s="528"/>
      <c r="OUI90" s="528"/>
      <c r="OUJ90" s="528"/>
      <c r="OUK90" s="528"/>
      <c r="OUL90" s="528"/>
      <c r="OUM90" s="528"/>
      <c r="OUN90" s="528"/>
      <c r="OUO90" s="528"/>
      <c r="OUP90" s="528"/>
      <c r="OUQ90" s="528"/>
      <c r="OUR90" s="528"/>
      <c r="OUS90" s="528"/>
      <c r="OUT90" s="528"/>
      <c r="OUU90" s="528"/>
      <c r="OUV90" s="528"/>
      <c r="OUW90" s="528"/>
      <c r="OUX90" s="528"/>
      <c r="OUY90" s="528"/>
      <c r="OUZ90" s="528"/>
      <c r="OVA90" s="528"/>
      <c r="OVB90" s="528"/>
      <c r="OVC90" s="528"/>
      <c r="OVD90" s="528"/>
      <c r="OVE90" s="528"/>
      <c r="OVF90" s="528"/>
      <c r="OVG90" s="528"/>
      <c r="OVH90" s="528"/>
      <c r="OVI90" s="528"/>
      <c r="OVJ90" s="528"/>
      <c r="OVK90" s="528"/>
      <c r="OVL90" s="528"/>
      <c r="OVM90" s="528"/>
      <c r="OVN90" s="528"/>
      <c r="OVO90" s="528"/>
      <c r="OVP90" s="528"/>
      <c r="OVQ90" s="528"/>
      <c r="OVR90" s="528"/>
      <c r="OVS90" s="528"/>
      <c r="OVT90" s="528"/>
      <c r="OVU90" s="528"/>
      <c r="OVV90" s="528"/>
      <c r="OVW90" s="528"/>
      <c r="OVX90" s="528"/>
      <c r="OVY90" s="528"/>
      <c r="OVZ90" s="528"/>
      <c r="OWA90" s="528"/>
      <c r="OWB90" s="528"/>
      <c r="OWC90" s="528"/>
      <c r="OWD90" s="528"/>
      <c r="OWE90" s="528"/>
      <c r="OWF90" s="528"/>
      <c r="OWG90" s="528"/>
      <c r="OWH90" s="528"/>
      <c r="OWI90" s="528"/>
      <c r="OWJ90" s="528"/>
      <c r="OWK90" s="528"/>
      <c r="OWL90" s="528"/>
      <c r="OWM90" s="528"/>
      <c r="OWN90" s="528"/>
      <c r="OWO90" s="528"/>
      <c r="OWP90" s="528"/>
      <c r="OWQ90" s="528"/>
      <c r="OWR90" s="528"/>
      <c r="OWS90" s="528"/>
      <c r="OWT90" s="528"/>
      <c r="OWU90" s="528"/>
      <c r="OWV90" s="528"/>
      <c r="OWW90" s="528"/>
      <c r="OWX90" s="528"/>
      <c r="OWY90" s="528"/>
      <c r="OWZ90" s="528"/>
      <c r="OXA90" s="528"/>
      <c r="OXB90" s="528"/>
      <c r="OXC90" s="528"/>
      <c r="OXD90" s="528"/>
      <c r="OXE90" s="528"/>
      <c r="OXF90" s="528"/>
      <c r="OXG90" s="528"/>
      <c r="OXH90" s="528"/>
      <c r="OXI90" s="528"/>
      <c r="OXJ90" s="528"/>
      <c r="OXK90" s="528"/>
      <c r="OXL90" s="528"/>
      <c r="OXM90" s="528"/>
      <c r="OXN90" s="528"/>
      <c r="OXO90" s="528"/>
      <c r="OXP90" s="528"/>
      <c r="OXQ90" s="528"/>
      <c r="OXR90" s="528"/>
      <c r="OXS90" s="528"/>
      <c r="OXT90" s="528"/>
      <c r="OXU90" s="528"/>
      <c r="OXV90" s="528"/>
      <c r="OXW90" s="528"/>
      <c r="OXX90" s="528"/>
      <c r="OXY90" s="528"/>
      <c r="OXZ90" s="528"/>
      <c r="OYA90" s="528"/>
      <c r="OYB90" s="528"/>
      <c r="OYC90" s="528"/>
      <c r="OYD90" s="528"/>
      <c r="OYE90" s="528"/>
      <c r="OYF90" s="528"/>
      <c r="OYG90" s="528"/>
      <c r="OYH90" s="528"/>
      <c r="OYI90" s="528"/>
      <c r="OYJ90" s="528"/>
      <c r="OYK90" s="528"/>
      <c r="OYL90" s="528"/>
      <c r="OYM90" s="528"/>
      <c r="OYN90" s="528"/>
      <c r="OYO90" s="528"/>
      <c r="OYP90" s="528"/>
      <c r="OYQ90" s="528"/>
      <c r="OYR90" s="528"/>
      <c r="OYS90" s="528"/>
      <c r="OYT90" s="528"/>
      <c r="OYU90" s="528"/>
      <c r="OYV90" s="528"/>
      <c r="OYW90" s="528"/>
      <c r="OYX90" s="528"/>
      <c r="OYY90" s="528"/>
      <c r="OYZ90" s="528"/>
      <c r="OZA90" s="528"/>
      <c r="OZB90" s="528"/>
      <c r="OZC90" s="528"/>
      <c r="OZD90" s="528"/>
      <c r="OZE90" s="528"/>
      <c r="OZF90" s="528"/>
      <c r="OZG90" s="528"/>
      <c r="OZH90" s="528"/>
      <c r="OZI90" s="528"/>
      <c r="OZJ90" s="528"/>
      <c r="OZK90" s="528"/>
      <c r="OZL90" s="528"/>
      <c r="OZM90" s="528"/>
      <c r="OZN90" s="528"/>
      <c r="OZO90" s="528"/>
      <c r="OZP90" s="528"/>
      <c r="OZQ90" s="528"/>
      <c r="OZR90" s="528"/>
      <c r="OZS90" s="528"/>
      <c r="OZT90" s="528"/>
      <c r="OZU90" s="528"/>
      <c r="OZV90" s="528"/>
      <c r="OZW90" s="528"/>
      <c r="OZX90" s="528"/>
      <c r="OZY90" s="528"/>
      <c r="OZZ90" s="528"/>
      <c r="PAA90" s="528"/>
      <c r="PAB90" s="528"/>
      <c r="PAC90" s="528"/>
      <c r="PAD90" s="528"/>
      <c r="PAE90" s="528"/>
      <c r="PAF90" s="528"/>
      <c r="PAG90" s="528"/>
      <c r="PAH90" s="528"/>
      <c r="PAI90" s="528"/>
      <c r="PAJ90" s="528"/>
      <c r="PAK90" s="528"/>
      <c r="PAL90" s="528"/>
      <c r="PAM90" s="528"/>
      <c r="PAN90" s="528"/>
      <c r="PAO90" s="528"/>
      <c r="PAP90" s="528"/>
      <c r="PAQ90" s="528"/>
      <c r="PAR90" s="528"/>
      <c r="PAS90" s="528"/>
      <c r="PAT90" s="528"/>
      <c r="PAU90" s="528"/>
      <c r="PAV90" s="528"/>
      <c r="PAW90" s="528"/>
      <c r="PAX90" s="528"/>
      <c r="PAY90" s="528"/>
      <c r="PAZ90" s="528"/>
      <c r="PBA90" s="528"/>
      <c r="PBB90" s="528"/>
      <c r="PBC90" s="528"/>
      <c r="PBD90" s="528"/>
      <c r="PBE90" s="528"/>
      <c r="PBF90" s="528"/>
      <c r="PBG90" s="528"/>
      <c r="PBH90" s="528"/>
      <c r="PBI90" s="528"/>
      <c r="PBJ90" s="528"/>
      <c r="PBK90" s="528"/>
      <c r="PBL90" s="528"/>
      <c r="PBM90" s="528"/>
      <c r="PBN90" s="528"/>
      <c r="PBO90" s="528"/>
      <c r="PBP90" s="528"/>
      <c r="PBQ90" s="528"/>
      <c r="PBR90" s="528"/>
      <c r="PBS90" s="528"/>
      <c r="PBT90" s="528"/>
      <c r="PBU90" s="528"/>
      <c r="PBV90" s="528"/>
      <c r="PBW90" s="528"/>
      <c r="PBX90" s="528"/>
      <c r="PBY90" s="528"/>
      <c r="PBZ90" s="528"/>
      <c r="PCA90" s="528"/>
      <c r="PCB90" s="528"/>
      <c r="PCC90" s="528"/>
      <c r="PCD90" s="528"/>
      <c r="PCE90" s="528"/>
      <c r="PCF90" s="528"/>
      <c r="PCG90" s="528"/>
      <c r="PCH90" s="528"/>
      <c r="PCI90" s="528"/>
      <c r="PCJ90" s="528"/>
      <c r="PCK90" s="528"/>
      <c r="PCL90" s="528"/>
      <c r="PCM90" s="528"/>
      <c r="PCN90" s="528"/>
      <c r="PCO90" s="528"/>
      <c r="PCP90" s="528"/>
      <c r="PCQ90" s="528"/>
      <c r="PCR90" s="528"/>
      <c r="PCS90" s="528"/>
      <c r="PCT90" s="528"/>
      <c r="PCU90" s="528"/>
      <c r="PCV90" s="528"/>
      <c r="PCW90" s="528"/>
      <c r="PCX90" s="528"/>
      <c r="PCY90" s="528"/>
      <c r="PCZ90" s="528"/>
      <c r="PDA90" s="528"/>
      <c r="PDB90" s="528"/>
      <c r="PDC90" s="528"/>
      <c r="PDD90" s="528"/>
      <c r="PDE90" s="528"/>
      <c r="PDF90" s="528"/>
      <c r="PDG90" s="528"/>
      <c r="PDH90" s="528"/>
      <c r="PDI90" s="528"/>
      <c r="PDJ90" s="528"/>
      <c r="PDK90" s="528"/>
      <c r="PDL90" s="528"/>
      <c r="PDM90" s="528"/>
      <c r="PDN90" s="528"/>
      <c r="PDO90" s="528"/>
      <c r="PDP90" s="528"/>
      <c r="PDQ90" s="528"/>
      <c r="PDR90" s="528"/>
      <c r="PDS90" s="528"/>
      <c r="PDT90" s="528"/>
      <c r="PDU90" s="528"/>
      <c r="PDV90" s="528"/>
      <c r="PDW90" s="528"/>
      <c r="PDX90" s="528"/>
      <c r="PDY90" s="528"/>
      <c r="PDZ90" s="528"/>
      <c r="PEA90" s="528"/>
      <c r="PEB90" s="528"/>
      <c r="PEC90" s="528"/>
      <c r="PED90" s="528"/>
      <c r="PEE90" s="528"/>
      <c r="PEF90" s="528"/>
      <c r="PEG90" s="528"/>
      <c r="PEH90" s="528"/>
      <c r="PEI90" s="528"/>
      <c r="PEJ90" s="528"/>
      <c r="PEK90" s="528"/>
      <c r="PEL90" s="528"/>
      <c r="PEM90" s="528"/>
      <c r="PEN90" s="528"/>
      <c r="PEO90" s="528"/>
      <c r="PEP90" s="528"/>
      <c r="PEQ90" s="528"/>
      <c r="PER90" s="528"/>
      <c r="PES90" s="528"/>
      <c r="PET90" s="528"/>
      <c r="PEU90" s="528"/>
      <c r="PEV90" s="528"/>
      <c r="PEW90" s="528"/>
      <c r="PEX90" s="528"/>
      <c r="PEY90" s="528"/>
      <c r="PEZ90" s="528"/>
      <c r="PFA90" s="528"/>
      <c r="PFB90" s="528"/>
      <c r="PFC90" s="528"/>
      <c r="PFD90" s="528"/>
      <c r="PFE90" s="528"/>
      <c r="PFF90" s="528"/>
      <c r="PFG90" s="528"/>
      <c r="PFH90" s="528"/>
      <c r="PFI90" s="528"/>
      <c r="PFJ90" s="528"/>
      <c r="PFK90" s="528"/>
      <c r="PFL90" s="528"/>
      <c r="PFM90" s="528"/>
      <c r="PFN90" s="528"/>
      <c r="PFO90" s="528"/>
      <c r="PFP90" s="528"/>
      <c r="PFQ90" s="528"/>
      <c r="PFR90" s="528"/>
      <c r="PFS90" s="528"/>
      <c r="PFT90" s="528"/>
      <c r="PFU90" s="528"/>
      <c r="PFV90" s="528"/>
      <c r="PFW90" s="528"/>
      <c r="PFX90" s="528"/>
      <c r="PFY90" s="528"/>
      <c r="PFZ90" s="528"/>
      <c r="PGA90" s="528"/>
      <c r="PGB90" s="528"/>
      <c r="PGC90" s="528"/>
      <c r="PGD90" s="528"/>
      <c r="PGE90" s="528"/>
      <c r="PGF90" s="528"/>
      <c r="PGG90" s="528"/>
      <c r="PGH90" s="528"/>
      <c r="PGI90" s="528"/>
      <c r="PGJ90" s="528"/>
      <c r="PGK90" s="528"/>
      <c r="PGL90" s="528"/>
      <c r="PGM90" s="528"/>
      <c r="PGN90" s="528"/>
      <c r="PGO90" s="528"/>
      <c r="PGP90" s="528"/>
      <c r="PGQ90" s="528"/>
      <c r="PGR90" s="528"/>
      <c r="PGS90" s="528"/>
      <c r="PGT90" s="528"/>
      <c r="PGU90" s="528"/>
      <c r="PGV90" s="528"/>
      <c r="PGW90" s="528"/>
      <c r="PGX90" s="528"/>
      <c r="PGY90" s="528"/>
      <c r="PGZ90" s="528"/>
      <c r="PHA90" s="528"/>
      <c r="PHB90" s="528"/>
      <c r="PHC90" s="528"/>
      <c r="PHD90" s="528"/>
      <c r="PHE90" s="528"/>
      <c r="PHF90" s="528"/>
      <c r="PHG90" s="528"/>
      <c r="PHH90" s="528"/>
      <c r="PHI90" s="528"/>
      <c r="PHJ90" s="528"/>
      <c r="PHK90" s="528"/>
      <c r="PHL90" s="528"/>
      <c r="PHM90" s="528"/>
      <c r="PHN90" s="528"/>
      <c r="PHO90" s="528"/>
      <c r="PHP90" s="528"/>
      <c r="PHQ90" s="528"/>
      <c r="PHR90" s="528"/>
      <c r="PHS90" s="528"/>
      <c r="PHT90" s="528"/>
      <c r="PHU90" s="528"/>
      <c r="PHV90" s="528"/>
      <c r="PHW90" s="528"/>
      <c r="PHX90" s="528"/>
      <c r="PHY90" s="528"/>
      <c r="PHZ90" s="528"/>
      <c r="PIA90" s="528"/>
      <c r="PIB90" s="528"/>
      <c r="PIC90" s="528"/>
      <c r="PID90" s="528"/>
      <c r="PIE90" s="528"/>
      <c r="PIF90" s="528"/>
      <c r="PIG90" s="528"/>
      <c r="PIH90" s="528"/>
      <c r="PII90" s="528"/>
      <c r="PIJ90" s="528"/>
      <c r="PIK90" s="528"/>
      <c r="PIL90" s="528"/>
      <c r="PIM90" s="528"/>
      <c r="PIN90" s="528"/>
      <c r="PIO90" s="528"/>
      <c r="PIP90" s="528"/>
      <c r="PIQ90" s="528"/>
      <c r="PIR90" s="528"/>
      <c r="PIS90" s="528"/>
      <c r="PIT90" s="528"/>
      <c r="PIU90" s="528"/>
      <c r="PIV90" s="528"/>
      <c r="PIW90" s="528"/>
      <c r="PIX90" s="528"/>
      <c r="PIY90" s="528"/>
      <c r="PIZ90" s="528"/>
      <c r="PJA90" s="528"/>
      <c r="PJB90" s="528"/>
      <c r="PJC90" s="528"/>
      <c r="PJD90" s="528"/>
      <c r="PJE90" s="528"/>
      <c r="PJF90" s="528"/>
      <c r="PJG90" s="528"/>
      <c r="PJH90" s="528"/>
      <c r="PJI90" s="528"/>
      <c r="PJJ90" s="528"/>
      <c r="PJK90" s="528"/>
      <c r="PJL90" s="528"/>
      <c r="PJM90" s="528"/>
      <c r="PJN90" s="528"/>
      <c r="PJO90" s="528"/>
      <c r="PJP90" s="528"/>
      <c r="PJQ90" s="528"/>
      <c r="PJR90" s="528"/>
      <c r="PJS90" s="528"/>
      <c r="PJT90" s="528"/>
      <c r="PJU90" s="528"/>
      <c r="PJV90" s="528"/>
      <c r="PJW90" s="528"/>
      <c r="PJX90" s="528"/>
      <c r="PJY90" s="528"/>
      <c r="PJZ90" s="528"/>
      <c r="PKA90" s="528"/>
      <c r="PKB90" s="528"/>
      <c r="PKC90" s="528"/>
      <c r="PKD90" s="528"/>
      <c r="PKE90" s="528"/>
      <c r="PKF90" s="528"/>
      <c r="PKG90" s="528"/>
      <c r="PKH90" s="528"/>
      <c r="PKI90" s="528"/>
      <c r="PKJ90" s="528"/>
      <c r="PKK90" s="528"/>
      <c r="PKL90" s="528"/>
      <c r="PKM90" s="528"/>
      <c r="PKN90" s="528"/>
      <c r="PKO90" s="528"/>
      <c r="PKP90" s="528"/>
      <c r="PKQ90" s="528"/>
      <c r="PKR90" s="528"/>
      <c r="PKS90" s="528"/>
      <c r="PKT90" s="528"/>
      <c r="PKU90" s="528"/>
      <c r="PKV90" s="528"/>
      <c r="PKW90" s="528"/>
      <c r="PKX90" s="528"/>
      <c r="PKY90" s="528"/>
      <c r="PKZ90" s="528"/>
      <c r="PLA90" s="528"/>
      <c r="PLB90" s="528"/>
      <c r="PLC90" s="528"/>
      <c r="PLD90" s="528"/>
      <c r="PLE90" s="528"/>
      <c r="PLF90" s="528"/>
      <c r="PLG90" s="528"/>
      <c r="PLH90" s="528"/>
      <c r="PLI90" s="528"/>
      <c r="PLJ90" s="528"/>
      <c r="PLK90" s="528"/>
      <c r="PLL90" s="528"/>
      <c r="PLM90" s="528"/>
      <c r="PLN90" s="528"/>
      <c r="PLO90" s="528"/>
      <c r="PLP90" s="528"/>
      <c r="PLQ90" s="528"/>
      <c r="PLR90" s="528"/>
      <c r="PLS90" s="528"/>
      <c r="PLT90" s="528"/>
      <c r="PLU90" s="528"/>
      <c r="PLV90" s="528"/>
      <c r="PLW90" s="528"/>
      <c r="PLX90" s="528"/>
      <c r="PLY90" s="528"/>
      <c r="PLZ90" s="528"/>
      <c r="PMA90" s="528"/>
      <c r="PMB90" s="528"/>
      <c r="PMC90" s="528"/>
      <c r="PMD90" s="528"/>
      <c r="PME90" s="528"/>
      <c r="PMF90" s="528"/>
      <c r="PMG90" s="528"/>
      <c r="PMH90" s="528"/>
      <c r="PMI90" s="528"/>
      <c r="PMJ90" s="528"/>
      <c r="PMK90" s="528"/>
      <c r="PML90" s="528"/>
      <c r="PMM90" s="528"/>
      <c r="PMN90" s="528"/>
      <c r="PMO90" s="528"/>
      <c r="PMP90" s="528"/>
      <c r="PMQ90" s="528"/>
      <c r="PMR90" s="528"/>
      <c r="PMS90" s="528"/>
      <c r="PMT90" s="528"/>
      <c r="PMU90" s="528"/>
      <c r="PMV90" s="528"/>
      <c r="PMW90" s="528"/>
      <c r="PMX90" s="528"/>
      <c r="PMY90" s="528"/>
      <c r="PMZ90" s="528"/>
      <c r="PNA90" s="528"/>
      <c r="PNB90" s="528"/>
      <c r="PNC90" s="528"/>
      <c r="PND90" s="528"/>
      <c r="PNE90" s="528"/>
      <c r="PNF90" s="528"/>
      <c r="PNG90" s="528"/>
      <c r="PNH90" s="528"/>
      <c r="PNI90" s="528"/>
      <c r="PNJ90" s="528"/>
      <c r="PNK90" s="528"/>
      <c r="PNL90" s="528"/>
      <c r="PNM90" s="528"/>
      <c r="PNN90" s="528"/>
      <c r="PNO90" s="528"/>
      <c r="PNP90" s="528"/>
      <c r="PNQ90" s="528"/>
      <c r="PNR90" s="528"/>
      <c r="PNS90" s="528"/>
      <c r="PNT90" s="528"/>
      <c r="PNU90" s="528"/>
      <c r="PNV90" s="528"/>
      <c r="PNW90" s="528"/>
      <c r="PNX90" s="528"/>
      <c r="PNY90" s="528"/>
      <c r="PNZ90" s="528"/>
      <c r="POA90" s="528"/>
      <c r="POB90" s="528"/>
      <c r="POC90" s="528"/>
      <c r="POD90" s="528"/>
      <c r="POE90" s="528"/>
      <c r="POF90" s="528"/>
      <c r="POG90" s="528"/>
      <c r="POH90" s="528"/>
      <c r="POI90" s="528"/>
      <c r="POJ90" s="528"/>
      <c r="POK90" s="528"/>
      <c r="POL90" s="528"/>
      <c r="POM90" s="528"/>
      <c r="PON90" s="528"/>
      <c r="POO90" s="528"/>
      <c r="POP90" s="528"/>
      <c r="POQ90" s="528"/>
      <c r="POR90" s="528"/>
      <c r="POS90" s="528"/>
      <c r="POT90" s="528"/>
      <c r="POU90" s="528"/>
      <c r="POV90" s="528"/>
      <c r="POW90" s="528"/>
      <c r="POX90" s="528"/>
      <c r="POY90" s="528"/>
      <c r="POZ90" s="528"/>
      <c r="PPA90" s="528"/>
      <c r="PPB90" s="528"/>
      <c r="PPC90" s="528"/>
      <c r="PPD90" s="528"/>
      <c r="PPE90" s="528"/>
      <c r="PPF90" s="528"/>
      <c r="PPG90" s="528"/>
      <c r="PPH90" s="528"/>
      <c r="PPI90" s="528"/>
      <c r="PPJ90" s="528"/>
      <c r="PPK90" s="528"/>
      <c r="PPL90" s="528"/>
      <c r="PPM90" s="528"/>
      <c r="PPN90" s="528"/>
      <c r="PPO90" s="528"/>
      <c r="PPP90" s="528"/>
      <c r="PPQ90" s="528"/>
      <c r="PPR90" s="528"/>
      <c r="PPS90" s="528"/>
      <c r="PPT90" s="528"/>
      <c r="PPU90" s="528"/>
      <c r="PPV90" s="528"/>
      <c r="PPW90" s="528"/>
      <c r="PPX90" s="528"/>
      <c r="PPY90" s="528"/>
      <c r="PPZ90" s="528"/>
      <c r="PQA90" s="528"/>
      <c r="PQB90" s="528"/>
      <c r="PQC90" s="528"/>
      <c r="PQD90" s="528"/>
      <c r="PQE90" s="528"/>
      <c r="PQF90" s="528"/>
      <c r="PQG90" s="528"/>
      <c r="PQH90" s="528"/>
      <c r="PQI90" s="528"/>
      <c r="PQJ90" s="528"/>
      <c r="PQK90" s="528"/>
      <c r="PQL90" s="528"/>
      <c r="PQM90" s="528"/>
      <c r="PQN90" s="528"/>
      <c r="PQO90" s="528"/>
      <c r="PQP90" s="528"/>
      <c r="PQQ90" s="528"/>
      <c r="PQR90" s="528"/>
      <c r="PQS90" s="528"/>
      <c r="PQT90" s="528"/>
      <c r="PQU90" s="528"/>
      <c r="PQV90" s="528"/>
      <c r="PQW90" s="528"/>
      <c r="PQX90" s="528"/>
      <c r="PQY90" s="528"/>
      <c r="PQZ90" s="528"/>
      <c r="PRA90" s="528"/>
      <c r="PRB90" s="528"/>
      <c r="PRC90" s="528"/>
      <c r="PRD90" s="528"/>
      <c r="PRE90" s="528"/>
      <c r="PRF90" s="528"/>
      <c r="PRG90" s="528"/>
      <c r="PRH90" s="528"/>
      <c r="PRI90" s="528"/>
      <c r="PRJ90" s="528"/>
      <c r="PRK90" s="528"/>
      <c r="PRL90" s="528"/>
      <c r="PRM90" s="528"/>
      <c r="PRN90" s="528"/>
      <c r="PRO90" s="528"/>
      <c r="PRP90" s="528"/>
      <c r="PRQ90" s="528"/>
      <c r="PRR90" s="528"/>
      <c r="PRS90" s="528"/>
      <c r="PRT90" s="528"/>
      <c r="PRU90" s="528"/>
      <c r="PRV90" s="528"/>
      <c r="PRW90" s="528"/>
      <c r="PRX90" s="528"/>
      <c r="PRY90" s="528"/>
      <c r="PRZ90" s="528"/>
      <c r="PSA90" s="528"/>
      <c r="PSB90" s="528"/>
      <c r="PSC90" s="528"/>
      <c r="PSD90" s="528"/>
      <c r="PSE90" s="528"/>
      <c r="PSF90" s="528"/>
      <c r="PSG90" s="528"/>
      <c r="PSH90" s="528"/>
      <c r="PSI90" s="528"/>
      <c r="PSJ90" s="528"/>
      <c r="PSK90" s="528"/>
      <c r="PSL90" s="528"/>
      <c r="PSM90" s="528"/>
      <c r="PSN90" s="528"/>
      <c r="PSO90" s="528"/>
      <c r="PSP90" s="528"/>
      <c r="PSQ90" s="528"/>
      <c r="PSR90" s="528"/>
      <c r="PSS90" s="528"/>
      <c r="PST90" s="528"/>
      <c r="PSU90" s="528"/>
      <c r="PSV90" s="528"/>
      <c r="PSW90" s="528"/>
      <c r="PSX90" s="528"/>
      <c r="PSY90" s="528"/>
      <c r="PSZ90" s="528"/>
      <c r="PTA90" s="528"/>
      <c r="PTB90" s="528"/>
      <c r="PTC90" s="528"/>
      <c r="PTD90" s="528"/>
      <c r="PTE90" s="528"/>
      <c r="PTF90" s="528"/>
      <c r="PTG90" s="528"/>
      <c r="PTH90" s="528"/>
      <c r="PTI90" s="528"/>
      <c r="PTJ90" s="528"/>
      <c r="PTK90" s="528"/>
      <c r="PTL90" s="528"/>
      <c r="PTM90" s="528"/>
      <c r="PTN90" s="528"/>
      <c r="PTO90" s="528"/>
      <c r="PTP90" s="528"/>
      <c r="PTQ90" s="528"/>
      <c r="PTR90" s="528"/>
      <c r="PTS90" s="528"/>
      <c r="PTT90" s="528"/>
      <c r="PTU90" s="528"/>
      <c r="PTV90" s="528"/>
      <c r="PTW90" s="528"/>
      <c r="PTX90" s="528"/>
      <c r="PTY90" s="528"/>
      <c r="PTZ90" s="528"/>
      <c r="PUA90" s="528"/>
      <c r="PUB90" s="528"/>
      <c r="PUC90" s="528"/>
      <c r="PUD90" s="528"/>
      <c r="PUE90" s="528"/>
      <c r="PUF90" s="528"/>
      <c r="PUG90" s="528"/>
      <c r="PUH90" s="528"/>
      <c r="PUI90" s="528"/>
      <c r="PUJ90" s="528"/>
      <c r="PUK90" s="528"/>
      <c r="PUL90" s="528"/>
      <c r="PUM90" s="528"/>
      <c r="PUN90" s="528"/>
      <c r="PUO90" s="528"/>
      <c r="PUP90" s="528"/>
      <c r="PUQ90" s="528"/>
      <c r="PUR90" s="528"/>
      <c r="PUS90" s="528"/>
      <c r="PUT90" s="528"/>
      <c r="PUU90" s="528"/>
      <c r="PUV90" s="528"/>
      <c r="PUW90" s="528"/>
      <c r="PUX90" s="528"/>
      <c r="PUY90" s="528"/>
      <c r="PUZ90" s="528"/>
      <c r="PVA90" s="528"/>
      <c r="PVB90" s="528"/>
      <c r="PVC90" s="528"/>
      <c r="PVD90" s="528"/>
      <c r="PVE90" s="528"/>
      <c r="PVF90" s="528"/>
      <c r="PVG90" s="528"/>
      <c r="PVH90" s="528"/>
      <c r="PVI90" s="528"/>
      <c r="PVJ90" s="528"/>
      <c r="PVK90" s="528"/>
      <c r="PVL90" s="528"/>
      <c r="PVM90" s="528"/>
      <c r="PVN90" s="528"/>
      <c r="PVO90" s="528"/>
      <c r="PVP90" s="528"/>
      <c r="PVQ90" s="528"/>
      <c r="PVR90" s="528"/>
      <c r="PVS90" s="528"/>
      <c r="PVT90" s="528"/>
      <c r="PVU90" s="528"/>
      <c r="PVV90" s="528"/>
      <c r="PVW90" s="528"/>
      <c r="PVX90" s="528"/>
      <c r="PVY90" s="528"/>
      <c r="PVZ90" s="528"/>
      <c r="PWA90" s="528"/>
      <c r="PWB90" s="528"/>
      <c r="PWC90" s="528"/>
      <c r="PWD90" s="528"/>
      <c r="PWE90" s="528"/>
      <c r="PWF90" s="528"/>
      <c r="PWG90" s="528"/>
      <c r="PWH90" s="528"/>
      <c r="PWI90" s="528"/>
      <c r="PWJ90" s="528"/>
      <c r="PWK90" s="528"/>
      <c r="PWL90" s="528"/>
      <c r="PWM90" s="528"/>
      <c r="PWN90" s="528"/>
      <c r="PWO90" s="528"/>
      <c r="PWP90" s="528"/>
      <c r="PWQ90" s="528"/>
      <c r="PWR90" s="528"/>
      <c r="PWS90" s="528"/>
      <c r="PWT90" s="528"/>
      <c r="PWU90" s="528"/>
      <c r="PWV90" s="528"/>
      <c r="PWW90" s="528"/>
      <c r="PWX90" s="528"/>
      <c r="PWY90" s="528"/>
      <c r="PWZ90" s="528"/>
      <c r="PXA90" s="528"/>
      <c r="PXB90" s="528"/>
      <c r="PXC90" s="528"/>
      <c r="PXD90" s="528"/>
      <c r="PXE90" s="528"/>
      <c r="PXF90" s="528"/>
      <c r="PXG90" s="528"/>
      <c r="PXH90" s="528"/>
      <c r="PXI90" s="528"/>
      <c r="PXJ90" s="528"/>
      <c r="PXK90" s="528"/>
      <c r="PXL90" s="528"/>
      <c r="PXM90" s="528"/>
      <c r="PXN90" s="528"/>
      <c r="PXO90" s="528"/>
      <c r="PXP90" s="528"/>
      <c r="PXQ90" s="528"/>
      <c r="PXR90" s="528"/>
      <c r="PXS90" s="528"/>
      <c r="PXT90" s="528"/>
      <c r="PXU90" s="528"/>
      <c r="PXV90" s="528"/>
      <c r="PXW90" s="528"/>
      <c r="PXX90" s="528"/>
      <c r="PXY90" s="528"/>
      <c r="PXZ90" s="528"/>
      <c r="PYA90" s="528"/>
      <c r="PYB90" s="528"/>
      <c r="PYC90" s="528"/>
      <c r="PYD90" s="528"/>
      <c r="PYE90" s="528"/>
      <c r="PYF90" s="528"/>
      <c r="PYG90" s="528"/>
      <c r="PYH90" s="528"/>
      <c r="PYI90" s="528"/>
      <c r="PYJ90" s="528"/>
      <c r="PYK90" s="528"/>
      <c r="PYL90" s="528"/>
      <c r="PYM90" s="528"/>
      <c r="PYN90" s="528"/>
      <c r="PYO90" s="528"/>
      <c r="PYP90" s="528"/>
      <c r="PYQ90" s="528"/>
      <c r="PYR90" s="528"/>
      <c r="PYS90" s="528"/>
      <c r="PYT90" s="528"/>
      <c r="PYU90" s="528"/>
      <c r="PYV90" s="528"/>
      <c r="PYW90" s="528"/>
      <c r="PYX90" s="528"/>
      <c r="PYY90" s="528"/>
      <c r="PYZ90" s="528"/>
      <c r="PZA90" s="528"/>
      <c r="PZB90" s="528"/>
      <c r="PZC90" s="528"/>
      <c r="PZD90" s="528"/>
      <c r="PZE90" s="528"/>
      <c r="PZF90" s="528"/>
      <c r="PZG90" s="528"/>
      <c r="PZH90" s="528"/>
      <c r="PZI90" s="528"/>
      <c r="PZJ90" s="528"/>
      <c r="PZK90" s="528"/>
      <c r="PZL90" s="528"/>
      <c r="PZM90" s="528"/>
      <c r="PZN90" s="528"/>
      <c r="PZO90" s="528"/>
      <c r="PZP90" s="528"/>
      <c r="PZQ90" s="528"/>
      <c r="PZR90" s="528"/>
      <c r="PZS90" s="528"/>
      <c r="PZT90" s="528"/>
      <c r="PZU90" s="528"/>
      <c r="PZV90" s="528"/>
      <c r="PZW90" s="528"/>
      <c r="PZX90" s="528"/>
      <c r="PZY90" s="528"/>
      <c r="PZZ90" s="528"/>
      <c r="QAA90" s="528"/>
      <c r="QAB90" s="528"/>
      <c r="QAC90" s="528"/>
      <c r="QAD90" s="528"/>
      <c r="QAE90" s="528"/>
      <c r="QAF90" s="528"/>
      <c r="QAG90" s="528"/>
      <c r="QAH90" s="528"/>
      <c r="QAI90" s="528"/>
      <c r="QAJ90" s="528"/>
      <c r="QAK90" s="528"/>
      <c r="QAL90" s="528"/>
      <c r="QAM90" s="528"/>
      <c r="QAN90" s="528"/>
      <c r="QAO90" s="528"/>
      <c r="QAP90" s="528"/>
      <c r="QAQ90" s="528"/>
      <c r="QAR90" s="528"/>
      <c r="QAS90" s="528"/>
      <c r="QAT90" s="528"/>
      <c r="QAU90" s="528"/>
      <c r="QAV90" s="528"/>
      <c r="QAW90" s="528"/>
      <c r="QAX90" s="528"/>
      <c r="QAY90" s="528"/>
      <c r="QAZ90" s="528"/>
      <c r="QBA90" s="528"/>
      <c r="QBB90" s="528"/>
      <c r="QBC90" s="528"/>
      <c r="QBD90" s="528"/>
      <c r="QBE90" s="528"/>
      <c r="QBF90" s="528"/>
      <c r="QBG90" s="528"/>
      <c r="QBH90" s="528"/>
      <c r="QBI90" s="528"/>
      <c r="QBJ90" s="528"/>
      <c r="QBK90" s="528"/>
      <c r="QBL90" s="528"/>
      <c r="QBM90" s="528"/>
      <c r="QBN90" s="528"/>
      <c r="QBO90" s="528"/>
      <c r="QBP90" s="528"/>
      <c r="QBQ90" s="528"/>
      <c r="QBR90" s="528"/>
      <c r="QBS90" s="528"/>
      <c r="QBT90" s="528"/>
      <c r="QBU90" s="528"/>
      <c r="QBV90" s="528"/>
      <c r="QBW90" s="528"/>
      <c r="QBX90" s="528"/>
      <c r="QBY90" s="528"/>
      <c r="QBZ90" s="528"/>
      <c r="QCA90" s="528"/>
      <c r="QCB90" s="528"/>
      <c r="QCC90" s="528"/>
      <c r="QCD90" s="528"/>
      <c r="QCE90" s="528"/>
      <c r="QCF90" s="528"/>
      <c r="QCG90" s="528"/>
      <c r="QCH90" s="528"/>
      <c r="QCI90" s="528"/>
      <c r="QCJ90" s="528"/>
      <c r="QCK90" s="528"/>
      <c r="QCL90" s="528"/>
      <c r="QCM90" s="528"/>
      <c r="QCN90" s="528"/>
      <c r="QCO90" s="528"/>
      <c r="QCP90" s="528"/>
      <c r="QCQ90" s="528"/>
      <c r="QCR90" s="528"/>
      <c r="QCS90" s="528"/>
      <c r="QCT90" s="528"/>
      <c r="QCU90" s="528"/>
      <c r="QCV90" s="528"/>
      <c r="QCW90" s="528"/>
      <c r="QCX90" s="528"/>
      <c r="QCY90" s="528"/>
      <c r="QCZ90" s="528"/>
      <c r="QDA90" s="528"/>
      <c r="QDB90" s="528"/>
      <c r="QDC90" s="528"/>
      <c r="QDD90" s="528"/>
      <c r="QDE90" s="528"/>
      <c r="QDF90" s="528"/>
      <c r="QDG90" s="528"/>
      <c r="QDH90" s="528"/>
      <c r="QDI90" s="528"/>
      <c r="QDJ90" s="528"/>
      <c r="QDK90" s="528"/>
      <c r="QDL90" s="528"/>
      <c r="QDM90" s="528"/>
      <c r="QDN90" s="528"/>
      <c r="QDO90" s="528"/>
      <c r="QDP90" s="528"/>
      <c r="QDQ90" s="528"/>
      <c r="QDR90" s="528"/>
      <c r="QDS90" s="528"/>
      <c r="QDT90" s="528"/>
      <c r="QDU90" s="528"/>
      <c r="QDV90" s="528"/>
      <c r="QDW90" s="528"/>
      <c r="QDX90" s="528"/>
      <c r="QDY90" s="528"/>
      <c r="QDZ90" s="528"/>
      <c r="QEA90" s="528"/>
      <c r="QEB90" s="528"/>
      <c r="QEC90" s="528"/>
      <c r="QED90" s="528"/>
      <c r="QEE90" s="528"/>
      <c r="QEF90" s="528"/>
      <c r="QEG90" s="528"/>
      <c r="QEH90" s="528"/>
      <c r="QEI90" s="528"/>
      <c r="QEJ90" s="528"/>
      <c r="QEK90" s="528"/>
      <c r="QEL90" s="528"/>
      <c r="QEM90" s="528"/>
      <c r="QEN90" s="528"/>
      <c r="QEO90" s="528"/>
      <c r="QEP90" s="528"/>
      <c r="QEQ90" s="528"/>
      <c r="QER90" s="528"/>
      <c r="QES90" s="528"/>
      <c r="QET90" s="528"/>
      <c r="QEU90" s="528"/>
      <c r="QEV90" s="528"/>
      <c r="QEW90" s="528"/>
      <c r="QEX90" s="528"/>
      <c r="QEY90" s="528"/>
      <c r="QEZ90" s="528"/>
      <c r="QFA90" s="528"/>
      <c r="QFB90" s="528"/>
      <c r="QFC90" s="528"/>
      <c r="QFD90" s="528"/>
      <c r="QFE90" s="528"/>
      <c r="QFF90" s="528"/>
      <c r="QFG90" s="528"/>
      <c r="QFH90" s="528"/>
      <c r="QFI90" s="528"/>
      <c r="QFJ90" s="528"/>
      <c r="QFK90" s="528"/>
      <c r="QFL90" s="528"/>
      <c r="QFM90" s="528"/>
      <c r="QFN90" s="528"/>
      <c r="QFO90" s="528"/>
      <c r="QFP90" s="528"/>
      <c r="QFQ90" s="528"/>
      <c r="QFR90" s="528"/>
      <c r="QFS90" s="528"/>
      <c r="QFT90" s="528"/>
      <c r="QFU90" s="528"/>
      <c r="QFV90" s="528"/>
      <c r="QFW90" s="528"/>
      <c r="QFX90" s="528"/>
      <c r="QFY90" s="528"/>
      <c r="QFZ90" s="528"/>
      <c r="QGA90" s="528"/>
      <c r="QGB90" s="528"/>
      <c r="QGC90" s="528"/>
      <c r="QGD90" s="528"/>
      <c r="QGE90" s="528"/>
      <c r="QGF90" s="528"/>
      <c r="QGG90" s="528"/>
      <c r="QGH90" s="528"/>
      <c r="QGI90" s="528"/>
      <c r="QGJ90" s="528"/>
      <c r="QGK90" s="528"/>
      <c r="QGL90" s="528"/>
      <c r="QGM90" s="528"/>
      <c r="QGN90" s="528"/>
      <c r="QGO90" s="528"/>
      <c r="QGP90" s="528"/>
      <c r="QGQ90" s="528"/>
      <c r="QGR90" s="528"/>
      <c r="QGS90" s="528"/>
      <c r="QGT90" s="528"/>
      <c r="QGU90" s="528"/>
      <c r="QGV90" s="528"/>
      <c r="QGW90" s="528"/>
      <c r="QGX90" s="528"/>
      <c r="QGY90" s="528"/>
      <c r="QGZ90" s="528"/>
      <c r="QHA90" s="528"/>
      <c r="QHB90" s="528"/>
      <c r="QHC90" s="528"/>
      <c r="QHD90" s="528"/>
      <c r="QHE90" s="528"/>
      <c r="QHF90" s="528"/>
      <c r="QHG90" s="528"/>
      <c r="QHH90" s="528"/>
      <c r="QHI90" s="528"/>
      <c r="QHJ90" s="528"/>
      <c r="QHK90" s="528"/>
      <c r="QHL90" s="528"/>
      <c r="QHM90" s="528"/>
      <c r="QHN90" s="528"/>
      <c r="QHO90" s="528"/>
      <c r="QHP90" s="528"/>
      <c r="QHQ90" s="528"/>
      <c r="QHR90" s="528"/>
      <c r="QHS90" s="528"/>
      <c r="QHT90" s="528"/>
      <c r="QHU90" s="528"/>
      <c r="QHV90" s="528"/>
      <c r="QHW90" s="528"/>
      <c r="QHX90" s="528"/>
      <c r="QHY90" s="528"/>
      <c r="QHZ90" s="528"/>
      <c r="QIA90" s="528"/>
      <c r="QIB90" s="528"/>
      <c r="QIC90" s="528"/>
      <c r="QID90" s="528"/>
      <c r="QIE90" s="528"/>
      <c r="QIF90" s="528"/>
      <c r="QIG90" s="528"/>
      <c r="QIH90" s="528"/>
      <c r="QII90" s="528"/>
      <c r="QIJ90" s="528"/>
      <c r="QIK90" s="528"/>
      <c r="QIL90" s="528"/>
      <c r="QIM90" s="528"/>
      <c r="QIN90" s="528"/>
      <c r="QIO90" s="528"/>
      <c r="QIP90" s="528"/>
      <c r="QIQ90" s="528"/>
      <c r="QIR90" s="528"/>
      <c r="QIS90" s="528"/>
      <c r="QIT90" s="528"/>
      <c r="QIU90" s="528"/>
      <c r="QIV90" s="528"/>
      <c r="QIW90" s="528"/>
      <c r="QIX90" s="528"/>
      <c r="QIY90" s="528"/>
      <c r="QIZ90" s="528"/>
      <c r="QJA90" s="528"/>
      <c r="QJB90" s="528"/>
      <c r="QJC90" s="528"/>
      <c r="QJD90" s="528"/>
      <c r="QJE90" s="528"/>
      <c r="QJF90" s="528"/>
      <c r="QJG90" s="528"/>
      <c r="QJH90" s="528"/>
      <c r="QJI90" s="528"/>
      <c r="QJJ90" s="528"/>
      <c r="QJK90" s="528"/>
      <c r="QJL90" s="528"/>
      <c r="QJM90" s="528"/>
      <c r="QJN90" s="528"/>
      <c r="QJO90" s="528"/>
      <c r="QJP90" s="528"/>
      <c r="QJQ90" s="528"/>
      <c r="QJR90" s="528"/>
      <c r="QJS90" s="528"/>
      <c r="QJT90" s="528"/>
      <c r="QJU90" s="528"/>
      <c r="QJV90" s="528"/>
      <c r="QJW90" s="528"/>
      <c r="QJX90" s="528"/>
      <c r="QJY90" s="528"/>
      <c r="QJZ90" s="528"/>
      <c r="QKA90" s="528"/>
      <c r="QKB90" s="528"/>
      <c r="QKC90" s="528"/>
      <c r="QKD90" s="528"/>
      <c r="QKE90" s="528"/>
      <c r="QKF90" s="528"/>
      <c r="QKG90" s="528"/>
      <c r="QKH90" s="528"/>
      <c r="QKI90" s="528"/>
      <c r="QKJ90" s="528"/>
      <c r="QKK90" s="528"/>
      <c r="QKL90" s="528"/>
      <c r="QKM90" s="528"/>
      <c r="QKN90" s="528"/>
      <c r="QKO90" s="528"/>
      <c r="QKP90" s="528"/>
      <c r="QKQ90" s="528"/>
      <c r="QKR90" s="528"/>
      <c r="QKS90" s="528"/>
      <c r="QKT90" s="528"/>
      <c r="QKU90" s="528"/>
      <c r="QKV90" s="528"/>
      <c r="QKW90" s="528"/>
      <c r="QKX90" s="528"/>
      <c r="QKY90" s="528"/>
      <c r="QKZ90" s="528"/>
      <c r="QLA90" s="528"/>
      <c r="QLB90" s="528"/>
      <c r="QLC90" s="528"/>
      <c r="QLD90" s="528"/>
      <c r="QLE90" s="528"/>
      <c r="QLF90" s="528"/>
      <c r="QLG90" s="528"/>
      <c r="QLH90" s="528"/>
      <c r="QLI90" s="528"/>
      <c r="QLJ90" s="528"/>
      <c r="QLK90" s="528"/>
      <c r="QLL90" s="528"/>
      <c r="QLM90" s="528"/>
      <c r="QLN90" s="528"/>
      <c r="QLO90" s="528"/>
      <c r="QLP90" s="528"/>
      <c r="QLQ90" s="528"/>
      <c r="QLR90" s="528"/>
      <c r="QLS90" s="528"/>
      <c r="QLT90" s="528"/>
      <c r="QLU90" s="528"/>
      <c r="QLV90" s="528"/>
      <c r="QLW90" s="528"/>
      <c r="QLX90" s="528"/>
      <c r="QLY90" s="528"/>
      <c r="QLZ90" s="528"/>
      <c r="QMA90" s="528"/>
      <c r="QMB90" s="528"/>
      <c r="QMC90" s="528"/>
      <c r="QMD90" s="528"/>
      <c r="QME90" s="528"/>
      <c r="QMF90" s="528"/>
      <c r="QMG90" s="528"/>
      <c r="QMH90" s="528"/>
      <c r="QMI90" s="528"/>
      <c r="QMJ90" s="528"/>
      <c r="QMK90" s="528"/>
      <c r="QML90" s="528"/>
      <c r="QMM90" s="528"/>
      <c r="QMN90" s="528"/>
      <c r="QMO90" s="528"/>
      <c r="QMP90" s="528"/>
      <c r="QMQ90" s="528"/>
      <c r="QMR90" s="528"/>
      <c r="QMS90" s="528"/>
      <c r="QMT90" s="528"/>
      <c r="QMU90" s="528"/>
      <c r="QMV90" s="528"/>
      <c r="QMW90" s="528"/>
      <c r="QMX90" s="528"/>
      <c r="QMY90" s="528"/>
      <c r="QMZ90" s="528"/>
      <c r="QNA90" s="528"/>
      <c r="QNB90" s="528"/>
      <c r="QNC90" s="528"/>
      <c r="QND90" s="528"/>
      <c r="QNE90" s="528"/>
      <c r="QNF90" s="528"/>
      <c r="QNG90" s="528"/>
      <c r="QNH90" s="528"/>
      <c r="QNI90" s="528"/>
      <c r="QNJ90" s="528"/>
      <c r="QNK90" s="528"/>
      <c r="QNL90" s="528"/>
      <c r="QNM90" s="528"/>
      <c r="QNN90" s="528"/>
      <c r="QNO90" s="528"/>
      <c r="QNP90" s="528"/>
      <c r="QNQ90" s="528"/>
      <c r="QNR90" s="528"/>
      <c r="QNS90" s="528"/>
      <c r="QNT90" s="528"/>
      <c r="QNU90" s="528"/>
      <c r="QNV90" s="528"/>
      <c r="QNW90" s="528"/>
      <c r="QNX90" s="528"/>
      <c r="QNY90" s="528"/>
      <c r="QNZ90" s="528"/>
      <c r="QOA90" s="528"/>
      <c r="QOB90" s="528"/>
      <c r="QOC90" s="528"/>
      <c r="QOD90" s="528"/>
      <c r="QOE90" s="528"/>
      <c r="QOF90" s="528"/>
      <c r="QOG90" s="528"/>
      <c r="QOH90" s="528"/>
      <c r="QOI90" s="528"/>
      <c r="QOJ90" s="528"/>
      <c r="QOK90" s="528"/>
      <c r="QOL90" s="528"/>
      <c r="QOM90" s="528"/>
      <c r="QON90" s="528"/>
      <c r="QOO90" s="528"/>
      <c r="QOP90" s="528"/>
      <c r="QOQ90" s="528"/>
      <c r="QOR90" s="528"/>
      <c r="QOS90" s="528"/>
      <c r="QOT90" s="528"/>
      <c r="QOU90" s="528"/>
      <c r="QOV90" s="528"/>
      <c r="QOW90" s="528"/>
      <c r="QOX90" s="528"/>
      <c r="QOY90" s="528"/>
      <c r="QOZ90" s="528"/>
      <c r="QPA90" s="528"/>
      <c r="QPB90" s="528"/>
      <c r="QPC90" s="528"/>
      <c r="QPD90" s="528"/>
      <c r="QPE90" s="528"/>
      <c r="QPF90" s="528"/>
      <c r="QPG90" s="528"/>
      <c r="QPH90" s="528"/>
      <c r="QPI90" s="528"/>
      <c r="QPJ90" s="528"/>
      <c r="QPK90" s="528"/>
      <c r="QPL90" s="528"/>
      <c r="QPM90" s="528"/>
      <c r="QPN90" s="528"/>
      <c r="QPO90" s="528"/>
      <c r="QPP90" s="528"/>
      <c r="QPQ90" s="528"/>
      <c r="QPR90" s="528"/>
      <c r="QPS90" s="528"/>
      <c r="QPT90" s="528"/>
      <c r="QPU90" s="528"/>
      <c r="QPV90" s="528"/>
      <c r="QPW90" s="528"/>
      <c r="QPX90" s="528"/>
      <c r="QPY90" s="528"/>
      <c r="QPZ90" s="528"/>
      <c r="QQA90" s="528"/>
      <c r="QQB90" s="528"/>
      <c r="QQC90" s="528"/>
      <c r="QQD90" s="528"/>
      <c r="QQE90" s="528"/>
      <c r="QQF90" s="528"/>
      <c r="QQG90" s="528"/>
      <c r="QQH90" s="528"/>
      <c r="QQI90" s="528"/>
      <c r="QQJ90" s="528"/>
      <c r="QQK90" s="528"/>
      <c r="QQL90" s="528"/>
      <c r="QQM90" s="528"/>
      <c r="QQN90" s="528"/>
      <c r="QQO90" s="528"/>
      <c r="QQP90" s="528"/>
      <c r="QQQ90" s="528"/>
      <c r="QQR90" s="528"/>
      <c r="QQS90" s="528"/>
      <c r="QQT90" s="528"/>
      <c r="QQU90" s="528"/>
      <c r="QQV90" s="528"/>
      <c r="QQW90" s="528"/>
      <c r="QQX90" s="528"/>
      <c r="QQY90" s="528"/>
      <c r="QQZ90" s="528"/>
      <c r="QRA90" s="528"/>
      <c r="QRB90" s="528"/>
      <c r="QRC90" s="528"/>
      <c r="QRD90" s="528"/>
      <c r="QRE90" s="528"/>
      <c r="QRF90" s="528"/>
      <c r="QRG90" s="528"/>
      <c r="QRH90" s="528"/>
      <c r="QRI90" s="528"/>
      <c r="QRJ90" s="528"/>
      <c r="QRK90" s="528"/>
      <c r="QRL90" s="528"/>
      <c r="QRM90" s="528"/>
      <c r="QRN90" s="528"/>
      <c r="QRO90" s="528"/>
      <c r="QRP90" s="528"/>
      <c r="QRQ90" s="528"/>
      <c r="QRR90" s="528"/>
      <c r="QRS90" s="528"/>
      <c r="QRT90" s="528"/>
      <c r="QRU90" s="528"/>
      <c r="QRV90" s="528"/>
      <c r="QRW90" s="528"/>
      <c r="QRX90" s="528"/>
      <c r="QRY90" s="528"/>
      <c r="QRZ90" s="528"/>
      <c r="QSA90" s="528"/>
      <c r="QSB90" s="528"/>
      <c r="QSC90" s="528"/>
      <c r="QSD90" s="528"/>
      <c r="QSE90" s="528"/>
      <c r="QSF90" s="528"/>
      <c r="QSG90" s="528"/>
      <c r="QSH90" s="528"/>
      <c r="QSI90" s="528"/>
      <c r="QSJ90" s="528"/>
      <c r="QSK90" s="528"/>
      <c r="QSL90" s="528"/>
      <c r="QSM90" s="528"/>
      <c r="QSN90" s="528"/>
      <c r="QSO90" s="528"/>
      <c r="QSP90" s="528"/>
      <c r="QSQ90" s="528"/>
      <c r="QSR90" s="528"/>
      <c r="QSS90" s="528"/>
      <c r="QST90" s="528"/>
      <c r="QSU90" s="528"/>
      <c r="QSV90" s="528"/>
      <c r="QSW90" s="528"/>
      <c r="QSX90" s="528"/>
      <c r="QSY90" s="528"/>
      <c r="QSZ90" s="528"/>
      <c r="QTA90" s="528"/>
      <c r="QTB90" s="528"/>
      <c r="QTC90" s="528"/>
      <c r="QTD90" s="528"/>
      <c r="QTE90" s="528"/>
      <c r="QTF90" s="528"/>
      <c r="QTG90" s="528"/>
      <c r="QTH90" s="528"/>
      <c r="QTI90" s="528"/>
      <c r="QTJ90" s="528"/>
      <c r="QTK90" s="528"/>
      <c r="QTL90" s="528"/>
      <c r="QTM90" s="528"/>
      <c r="QTN90" s="528"/>
      <c r="QTO90" s="528"/>
      <c r="QTP90" s="528"/>
      <c r="QTQ90" s="528"/>
      <c r="QTR90" s="528"/>
      <c r="QTS90" s="528"/>
      <c r="QTT90" s="528"/>
      <c r="QTU90" s="528"/>
      <c r="QTV90" s="528"/>
      <c r="QTW90" s="528"/>
      <c r="QTX90" s="528"/>
      <c r="QTY90" s="528"/>
      <c r="QTZ90" s="528"/>
      <c r="QUA90" s="528"/>
      <c r="QUB90" s="528"/>
      <c r="QUC90" s="528"/>
      <c r="QUD90" s="528"/>
      <c r="QUE90" s="528"/>
      <c r="QUF90" s="528"/>
      <c r="QUG90" s="528"/>
      <c r="QUH90" s="528"/>
      <c r="QUI90" s="528"/>
      <c r="QUJ90" s="528"/>
      <c r="QUK90" s="528"/>
      <c r="QUL90" s="528"/>
      <c r="QUM90" s="528"/>
      <c r="QUN90" s="528"/>
      <c r="QUO90" s="528"/>
      <c r="QUP90" s="528"/>
      <c r="QUQ90" s="528"/>
      <c r="QUR90" s="528"/>
      <c r="QUS90" s="528"/>
      <c r="QUT90" s="528"/>
      <c r="QUU90" s="528"/>
      <c r="QUV90" s="528"/>
      <c r="QUW90" s="528"/>
      <c r="QUX90" s="528"/>
      <c r="QUY90" s="528"/>
      <c r="QUZ90" s="528"/>
      <c r="QVA90" s="528"/>
      <c r="QVB90" s="528"/>
      <c r="QVC90" s="528"/>
      <c r="QVD90" s="528"/>
      <c r="QVE90" s="528"/>
      <c r="QVF90" s="528"/>
      <c r="QVG90" s="528"/>
      <c r="QVH90" s="528"/>
      <c r="QVI90" s="528"/>
      <c r="QVJ90" s="528"/>
      <c r="QVK90" s="528"/>
      <c r="QVL90" s="528"/>
      <c r="QVM90" s="528"/>
      <c r="QVN90" s="528"/>
      <c r="QVO90" s="528"/>
      <c r="QVP90" s="528"/>
      <c r="QVQ90" s="528"/>
      <c r="QVR90" s="528"/>
      <c r="QVS90" s="528"/>
      <c r="QVT90" s="528"/>
      <c r="QVU90" s="528"/>
      <c r="QVV90" s="528"/>
      <c r="QVW90" s="528"/>
      <c r="QVX90" s="528"/>
      <c r="QVY90" s="528"/>
      <c r="QVZ90" s="528"/>
      <c r="QWA90" s="528"/>
      <c r="QWB90" s="528"/>
      <c r="QWC90" s="528"/>
      <c r="QWD90" s="528"/>
      <c r="QWE90" s="528"/>
      <c r="QWF90" s="528"/>
      <c r="QWG90" s="528"/>
      <c r="QWH90" s="528"/>
      <c r="QWI90" s="528"/>
      <c r="QWJ90" s="528"/>
      <c r="QWK90" s="528"/>
      <c r="QWL90" s="528"/>
      <c r="QWM90" s="528"/>
      <c r="QWN90" s="528"/>
      <c r="QWO90" s="528"/>
      <c r="QWP90" s="528"/>
      <c r="QWQ90" s="528"/>
      <c r="QWR90" s="528"/>
      <c r="QWS90" s="528"/>
      <c r="QWT90" s="528"/>
      <c r="QWU90" s="528"/>
      <c r="QWV90" s="528"/>
      <c r="QWW90" s="528"/>
      <c r="QWX90" s="528"/>
      <c r="QWY90" s="528"/>
      <c r="QWZ90" s="528"/>
      <c r="QXA90" s="528"/>
      <c r="QXB90" s="528"/>
      <c r="QXC90" s="528"/>
      <c r="QXD90" s="528"/>
      <c r="QXE90" s="528"/>
      <c r="QXF90" s="528"/>
      <c r="QXG90" s="528"/>
      <c r="QXH90" s="528"/>
      <c r="QXI90" s="528"/>
      <c r="QXJ90" s="528"/>
      <c r="QXK90" s="528"/>
      <c r="QXL90" s="528"/>
      <c r="QXM90" s="528"/>
      <c r="QXN90" s="528"/>
      <c r="QXO90" s="528"/>
      <c r="QXP90" s="528"/>
      <c r="QXQ90" s="528"/>
      <c r="QXR90" s="528"/>
      <c r="QXS90" s="528"/>
      <c r="QXT90" s="528"/>
      <c r="QXU90" s="528"/>
      <c r="QXV90" s="528"/>
      <c r="QXW90" s="528"/>
      <c r="QXX90" s="528"/>
      <c r="QXY90" s="528"/>
      <c r="QXZ90" s="528"/>
      <c r="QYA90" s="528"/>
      <c r="QYB90" s="528"/>
      <c r="QYC90" s="528"/>
      <c r="QYD90" s="528"/>
      <c r="QYE90" s="528"/>
      <c r="QYF90" s="528"/>
      <c r="QYG90" s="528"/>
      <c r="QYH90" s="528"/>
      <c r="QYI90" s="528"/>
      <c r="QYJ90" s="528"/>
      <c r="QYK90" s="528"/>
      <c r="QYL90" s="528"/>
      <c r="QYM90" s="528"/>
      <c r="QYN90" s="528"/>
      <c r="QYO90" s="528"/>
      <c r="QYP90" s="528"/>
      <c r="QYQ90" s="528"/>
      <c r="QYR90" s="528"/>
      <c r="QYS90" s="528"/>
      <c r="QYT90" s="528"/>
      <c r="QYU90" s="528"/>
      <c r="QYV90" s="528"/>
      <c r="QYW90" s="528"/>
      <c r="QYX90" s="528"/>
      <c r="QYY90" s="528"/>
      <c r="QYZ90" s="528"/>
      <c r="QZA90" s="528"/>
      <c r="QZB90" s="528"/>
      <c r="QZC90" s="528"/>
      <c r="QZD90" s="528"/>
      <c r="QZE90" s="528"/>
      <c r="QZF90" s="528"/>
      <c r="QZG90" s="528"/>
      <c r="QZH90" s="528"/>
      <c r="QZI90" s="528"/>
      <c r="QZJ90" s="528"/>
      <c r="QZK90" s="528"/>
      <c r="QZL90" s="528"/>
      <c r="QZM90" s="528"/>
      <c r="QZN90" s="528"/>
      <c r="QZO90" s="528"/>
      <c r="QZP90" s="528"/>
      <c r="QZQ90" s="528"/>
      <c r="QZR90" s="528"/>
      <c r="QZS90" s="528"/>
      <c r="QZT90" s="528"/>
      <c r="QZU90" s="528"/>
      <c r="QZV90" s="528"/>
      <c r="QZW90" s="528"/>
      <c r="QZX90" s="528"/>
      <c r="QZY90" s="528"/>
      <c r="QZZ90" s="528"/>
      <c r="RAA90" s="528"/>
      <c r="RAB90" s="528"/>
      <c r="RAC90" s="528"/>
      <c r="RAD90" s="528"/>
      <c r="RAE90" s="528"/>
      <c r="RAF90" s="528"/>
      <c r="RAG90" s="528"/>
      <c r="RAH90" s="528"/>
      <c r="RAI90" s="528"/>
      <c r="RAJ90" s="528"/>
      <c r="RAK90" s="528"/>
      <c r="RAL90" s="528"/>
      <c r="RAM90" s="528"/>
      <c r="RAN90" s="528"/>
      <c r="RAO90" s="528"/>
      <c r="RAP90" s="528"/>
      <c r="RAQ90" s="528"/>
      <c r="RAR90" s="528"/>
      <c r="RAS90" s="528"/>
      <c r="RAT90" s="528"/>
      <c r="RAU90" s="528"/>
      <c r="RAV90" s="528"/>
      <c r="RAW90" s="528"/>
      <c r="RAX90" s="528"/>
      <c r="RAY90" s="528"/>
      <c r="RAZ90" s="528"/>
      <c r="RBA90" s="528"/>
      <c r="RBB90" s="528"/>
      <c r="RBC90" s="528"/>
      <c r="RBD90" s="528"/>
      <c r="RBE90" s="528"/>
      <c r="RBF90" s="528"/>
      <c r="RBG90" s="528"/>
      <c r="RBH90" s="528"/>
      <c r="RBI90" s="528"/>
      <c r="RBJ90" s="528"/>
      <c r="RBK90" s="528"/>
      <c r="RBL90" s="528"/>
      <c r="RBM90" s="528"/>
      <c r="RBN90" s="528"/>
      <c r="RBO90" s="528"/>
      <c r="RBP90" s="528"/>
      <c r="RBQ90" s="528"/>
      <c r="RBR90" s="528"/>
      <c r="RBS90" s="528"/>
      <c r="RBT90" s="528"/>
      <c r="RBU90" s="528"/>
      <c r="RBV90" s="528"/>
      <c r="RBW90" s="528"/>
      <c r="RBX90" s="528"/>
      <c r="RBY90" s="528"/>
      <c r="RBZ90" s="528"/>
      <c r="RCA90" s="528"/>
      <c r="RCB90" s="528"/>
      <c r="RCC90" s="528"/>
      <c r="RCD90" s="528"/>
      <c r="RCE90" s="528"/>
      <c r="RCF90" s="528"/>
      <c r="RCG90" s="528"/>
      <c r="RCH90" s="528"/>
      <c r="RCI90" s="528"/>
      <c r="RCJ90" s="528"/>
      <c r="RCK90" s="528"/>
      <c r="RCL90" s="528"/>
      <c r="RCM90" s="528"/>
      <c r="RCN90" s="528"/>
      <c r="RCO90" s="528"/>
      <c r="RCP90" s="528"/>
      <c r="RCQ90" s="528"/>
      <c r="RCR90" s="528"/>
      <c r="RCS90" s="528"/>
      <c r="RCT90" s="528"/>
      <c r="RCU90" s="528"/>
      <c r="RCV90" s="528"/>
      <c r="RCW90" s="528"/>
      <c r="RCX90" s="528"/>
      <c r="RCY90" s="528"/>
      <c r="RCZ90" s="528"/>
      <c r="RDA90" s="528"/>
      <c r="RDB90" s="528"/>
      <c r="RDC90" s="528"/>
      <c r="RDD90" s="528"/>
      <c r="RDE90" s="528"/>
      <c r="RDF90" s="528"/>
      <c r="RDG90" s="528"/>
      <c r="RDH90" s="528"/>
      <c r="RDI90" s="528"/>
      <c r="RDJ90" s="528"/>
      <c r="RDK90" s="528"/>
      <c r="RDL90" s="528"/>
      <c r="RDM90" s="528"/>
      <c r="RDN90" s="528"/>
      <c r="RDO90" s="528"/>
      <c r="RDP90" s="528"/>
      <c r="RDQ90" s="528"/>
      <c r="RDR90" s="528"/>
      <c r="RDS90" s="528"/>
      <c r="RDT90" s="528"/>
      <c r="RDU90" s="528"/>
      <c r="RDV90" s="528"/>
      <c r="RDW90" s="528"/>
      <c r="RDX90" s="528"/>
      <c r="RDY90" s="528"/>
      <c r="RDZ90" s="528"/>
      <c r="REA90" s="528"/>
      <c r="REB90" s="528"/>
      <c r="REC90" s="528"/>
      <c r="RED90" s="528"/>
      <c r="REE90" s="528"/>
      <c r="REF90" s="528"/>
      <c r="REG90" s="528"/>
      <c r="REH90" s="528"/>
      <c r="REI90" s="528"/>
      <c r="REJ90" s="528"/>
      <c r="REK90" s="528"/>
      <c r="REL90" s="528"/>
      <c r="REM90" s="528"/>
      <c r="REN90" s="528"/>
      <c r="REO90" s="528"/>
      <c r="REP90" s="528"/>
      <c r="REQ90" s="528"/>
      <c r="RER90" s="528"/>
      <c r="RES90" s="528"/>
      <c r="RET90" s="528"/>
      <c r="REU90" s="528"/>
      <c r="REV90" s="528"/>
      <c r="REW90" s="528"/>
      <c r="REX90" s="528"/>
      <c r="REY90" s="528"/>
      <c r="REZ90" s="528"/>
      <c r="RFA90" s="528"/>
      <c r="RFB90" s="528"/>
      <c r="RFC90" s="528"/>
      <c r="RFD90" s="528"/>
      <c r="RFE90" s="528"/>
      <c r="RFF90" s="528"/>
      <c r="RFG90" s="528"/>
      <c r="RFH90" s="528"/>
      <c r="RFI90" s="528"/>
      <c r="RFJ90" s="528"/>
      <c r="RFK90" s="528"/>
      <c r="RFL90" s="528"/>
      <c r="RFM90" s="528"/>
      <c r="RFN90" s="528"/>
      <c r="RFO90" s="528"/>
      <c r="RFP90" s="528"/>
      <c r="RFQ90" s="528"/>
      <c r="RFR90" s="528"/>
      <c r="RFS90" s="528"/>
      <c r="RFT90" s="528"/>
      <c r="RFU90" s="528"/>
      <c r="RFV90" s="528"/>
      <c r="RFW90" s="528"/>
      <c r="RFX90" s="528"/>
      <c r="RFY90" s="528"/>
      <c r="RFZ90" s="528"/>
      <c r="RGA90" s="528"/>
      <c r="RGB90" s="528"/>
      <c r="RGC90" s="528"/>
      <c r="RGD90" s="528"/>
      <c r="RGE90" s="528"/>
      <c r="RGF90" s="528"/>
      <c r="RGG90" s="528"/>
      <c r="RGH90" s="528"/>
      <c r="RGI90" s="528"/>
      <c r="RGJ90" s="528"/>
      <c r="RGK90" s="528"/>
      <c r="RGL90" s="528"/>
      <c r="RGM90" s="528"/>
      <c r="RGN90" s="528"/>
      <c r="RGO90" s="528"/>
      <c r="RGP90" s="528"/>
      <c r="RGQ90" s="528"/>
      <c r="RGR90" s="528"/>
      <c r="RGS90" s="528"/>
      <c r="RGT90" s="528"/>
      <c r="RGU90" s="528"/>
      <c r="RGV90" s="528"/>
      <c r="RGW90" s="528"/>
      <c r="RGX90" s="528"/>
      <c r="RGY90" s="528"/>
      <c r="RGZ90" s="528"/>
      <c r="RHA90" s="528"/>
      <c r="RHB90" s="528"/>
      <c r="RHC90" s="528"/>
      <c r="RHD90" s="528"/>
      <c r="RHE90" s="528"/>
      <c r="RHF90" s="528"/>
      <c r="RHG90" s="528"/>
      <c r="RHH90" s="528"/>
      <c r="RHI90" s="528"/>
      <c r="RHJ90" s="528"/>
      <c r="RHK90" s="528"/>
      <c r="RHL90" s="528"/>
      <c r="RHM90" s="528"/>
      <c r="RHN90" s="528"/>
      <c r="RHO90" s="528"/>
      <c r="RHP90" s="528"/>
      <c r="RHQ90" s="528"/>
      <c r="RHR90" s="528"/>
      <c r="RHS90" s="528"/>
      <c r="RHT90" s="528"/>
      <c r="RHU90" s="528"/>
      <c r="RHV90" s="528"/>
      <c r="RHW90" s="528"/>
      <c r="RHX90" s="528"/>
      <c r="RHY90" s="528"/>
      <c r="RHZ90" s="528"/>
      <c r="RIA90" s="528"/>
      <c r="RIB90" s="528"/>
      <c r="RIC90" s="528"/>
      <c r="RID90" s="528"/>
      <c r="RIE90" s="528"/>
      <c r="RIF90" s="528"/>
      <c r="RIG90" s="528"/>
      <c r="RIH90" s="528"/>
      <c r="RII90" s="528"/>
      <c r="RIJ90" s="528"/>
      <c r="RIK90" s="528"/>
      <c r="RIL90" s="528"/>
      <c r="RIM90" s="528"/>
      <c r="RIN90" s="528"/>
      <c r="RIO90" s="528"/>
      <c r="RIP90" s="528"/>
      <c r="RIQ90" s="528"/>
      <c r="RIR90" s="528"/>
      <c r="RIS90" s="528"/>
      <c r="RIT90" s="528"/>
      <c r="RIU90" s="528"/>
      <c r="RIV90" s="528"/>
      <c r="RIW90" s="528"/>
      <c r="RIX90" s="528"/>
      <c r="RIY90" s="528"/>
      <c r="RIZ90" s="528"/>
      <c r="RJA90" s="528"/>
      <c r="RJB90" s="528"/>
      <c r="RJC90" s="528"/>
      <c r="RJD90" s="528"/>
      <c r="RJE90" s="528"/>
      <c r="RJF90" s="528"/>
      <c r="RJG90" s="528"/>
      <c r="RJH90" s="528"/>
      <c r="RJI90" s="528"/>
      <c r="RJJ90" s="528"/>
      <c r="RJK90" s="528"/>
      <c r="RJL90" s="528"/>
      <c r="RJM90" s="528"/>
      <c r="RJN90" s="528"/>
      <c r="RJO90" s="528"/>
      <c r="RJP90" s="528"/>
      <c r="RJQ90" s="528"/>
      <c r="RJR90" s="528"/>
      <c r="RJS90" s="528"/>
      <c r="RJT90" s="528"/>
      <c r="RJU90" s="528"/>
      <c r="RJV90" s="528"/>
      <c r="RJW90" s="528"/>
      <c r="RJX90" s="528"/>
      <c r="RJY90" s="528"/>
      <c r="RJZ90" s="528"/>
      <c r="RKA90" s="528"/>
      <c r="RKB90" s="528"/>
      <c r="RKC90" s="528"/>
      <c r="RKD90" s="528"/>
      <c r="RKE90" s="528"/>
      <c r="RKF90" s="528"/>
      <c r="RKG90" s="528"/>
      <c r="RKH90" s="528"/>
      <c r="RKI90" s="528"/>
      <c r="RKJ90" s="528"/>
      <c r="RKK90" s="528"/>
      <c r="RKL90" s="528"/>
      <c r="RKM90" s="528"/>
      <c r="RKN90" s="528"/>
      <c r="RKO90" s="528"/>
      <c r="RKP90" s="528"/>
      <c r="RKQ90" s="528"/>
      <c r="RKR90" s="528"/>
      <c r="RKS90" s="528"/>
      <c r="RKT90" s="528"/>
      <c r="RKU90" s="528"/>
      <c r="RKV90" s="528"/>
      <c r="RKW90" s="528"/>
      <c r="RKX90" s="528"/>
      <c r="RKY90" s="528"/>
      <c r="RKZ90" s="528"/>
      <c r="RLA90" s="528"/>
      <c r="RLB90" s="528"/>
      <c r="RLC90" s="528"/>
      <c r="RLD90" s="528"/>
      <c r="RLE90" s="528"/>
      <c r="RLF90" s="528"/>
      <c r="RLG90" s="528"/>
      <c r="RLH90" s="528"/>
      <c r="RLI90" s="528"/>
      <c r="RLJ90" s="528"/>
      <c r="RLK90" s="528"/>
      <c r="RLL90" s="528"/>
      <c r="RLM90" s="528"/>
      <c r="RLN90" s="528"/>
      <c r="RLO90" s="528"/>
      <c r="RLP90" s="528"/>
      <c r="RLQ90" s="528"/>
      <c r="RLR90" s="528"/>
      <c r="RLS90" s="528"/>
      <c r="RLT90" s="528"/>
      <c r="RLU90" s="528"/>
      <c r="RLV90" s="528"/>
      <c r="RLW90" s="528"/>
      <c r="RLX90" s="528"/>
      <c r="RLY90" s="528"/>
      <c r="RLZ90" s="528"/>
      <c r="RMA90" s="528"/>
      <c r="RMB90" s="528"/>
      <c r="RMC90" s="528"/>
      <c r="RMD90" s="528"/>
      <c r="RME90" s="528"/>
      <c r="RMF90" s="528"/>
      <c r="RMG90" s="528"/>
      <c r="RMH90" s="528"/>
      <c r="RMI90" s="528"/>
      <c r="RMJ90" s="528"/>
      <c r="RMK90" s="528"/>
      <c r="RML90" s="528"/>
      <c r="RMM90" s="528"/>
      <c r="RMN90" s="528"/>
      <c r="RMO90" s="528"/>
      <c r="RMP90" s="528"/>
      <c r="RMQ90" s="528"/>
      <c r="RMR90" s="528"/>
      <c r="RMS90" s="528"/>
      <c r="RMT90" s="528"/>
      <c r="RMU90" s="528"/>
      <c r="RMV90" s="528"/>
      <c r="RMW90" s="528"/>
      <c r="RMX90" s="528"/>
      <c r="RMY90" s="528"/>
      <c r="RMZ90" s="528"/>
      <c r="RNA90" s="528"/>
      <c r="RNB90" s="528"/>
      <c r="RNC90" s="528"/>
      <c r="RND90" s="528"/>
      <c r="RNE90" s="528"/>
      <c r="RNF90" s="528"/>
      <c r="RNG90" s="528"/>
      <c r="RNH90" s="528"/>
      <c r="RNI90" s="528"/>
      <c r="RNJ90" s="528"/>
      <c r="RNK90" s="528"/>
      <c r="RNL90" s="528"/>
      <c r="RNM90" s="528"/>
      <c r="RNN90" s="528"/>
      <c r="RNO90" s="528"/>
      <c r="RNP90" s="528"/>
      <c r="RNQ90" s="528"/>
      <c r="RNR90" s="528"/>
      <c r="RNS90" s="528"/>
      <c r="RNT90" s="528"/>
      <c r="RNU90" s="528"/>
      <c r="RNV90" s="528"/>
      <c r="RNW90" s="528"/>
      <c r="RNX90" s="528"/>
      <c r="RNY90" s="528"/>
      <c r="RNZ90" s="528"/>
      <c r="ROA90" s="528"/>
      <c r="ROB90" s="528"/>
      <c r="ROC90" s="528"/>
      <c r="ROD90" s="528"/>
      <c r="ROE90" s="528"/>
      <c r="ROF90" s="528"/>
      <c r="ROG90" s="528"/>
      <c r="ROH90" s="528"/>
      <c r="ROI90" s="528"/>
      <c r="ROJ90" s="528"/>
      <c r="ROK90" s="528"/>
      <c r="ROL90" s="528"/>
      <c r="ROM90" s="528"/>
      <c r="RON90" s="528"/>
      <c r="ROO90" s="528"/>
      <c r="ROP90" s="528"/>
      <c r="ROQ90" s="528"/>
      <c r="ROR90" s="528"/>
      <c r="ROS90" s="528"/>
      <c r="ROT90" s="528"/>
      <c r="ROU90" s="528"/>
      <c r="ROV90" s="528"/>
      <c r="ROW90" s="528"/>
      <c r="ROX90" s="528"/>
      <c r="ROY90" s="528"/>
      <c r="ROZ90" s="528"/>
      <c r="RPA90" s="528"/>
      <c r="RPB90" s="528"/>
      <c r="RPC90" s="528"/>
      <c r="RPD90" s="528"/>
      <c r="RPE90" s="528"/>
      <c r="RPF90" s="528"/>
      <c r="RPG90" s="528"/>
      <c r="RPH90" s="528"/>
      <c r="RPI90" s="528"/>
      <c r="RPJ90" s="528"/>
      <c r="RPK90" s="528"/>
      <c r="RPL90" s="528"/>
      <c r="RPM90" s="528"/>
      <c r="RPN90" s="528"/>
      <c r="RPO90" s="528"/>
      <c r="RPP90" s="528"/>
      <c r="RPQ90" s="528"/>
      <c r="RPR90" s="528"/>
      <c r="RPS90" s="528"/>
      <c r="RPT90" s="528"/>
      <c r="RPU90" s="528"/>
      <c r="RPV90" s="528"/>
      <c r="RPW90" s="528"/>
      <c r="RPX90" s="528"/>
      <c r="RPY90" s="528"/>
      <c r="RPZ90" s="528"/>
      <c r="RQA90" s="528"/>
      <c r="RQB90" s="528"/>
      <c r="RQC90" s="528"/>
      <c r="RQD90" s="528"/>
      <c r="RQE90" s="528"/>
      <c r="RQF90" s="528"/>
      <c r="RQG90" s="528"/>
      <c r="RQH90" s="528"/>
      <c r="RQI90" s="528"/>
      <c r="RQJ90" s="528"/>
      <c r="RQK90" s="528"/>
      <c r="RQL90" s="528"/>
      <c r="RQM90" s="528"/>
      <c r="RQN90" s="528"/>
      <c r="RQO90" s="528"/>
      <c r="RQP90" s="528"/>
      <c r="RQQ90" s="528"/>
      <c r="RQR90" s="528"/>
      <c r="RQS90" s="528"/>
      <c r="RQT90" s="528"/>
      <c r="RQU90" s="528"/>
      <c r="RQV90" s="528"/>
      <c r="RQW90" s="528"/>
      <c r="RQX90" s="528"/>
      <c r="RQY90" s="528"/>
      <c r="RQZ90" s="528"/>
      <c r="RRA90" s="528"/>
      <c r="RRB90" s="528"/>
      <c r="RRC90" s="528"/>
      <c r="RRD90" s="528"/>
      <c r="RRE90" s="528"/>
      <c r="RRF90" s="528"/>
      <c r="RRG90" s="528"/>
      <c r="RRH90" s="528"/>
      <c r="RRI90" s="528"/>
      <c r="RRJ90" s="528"/>
      <c r="RRK90" s="528"/>
      <c r="RRL90" s="528"/>
      <c r="RRM90" s="528"/>
      <c r="RRN90" s="528"/>
      <c r="RRO90" s="528"/>
      <c r="RRP90" s="528"/>
      <c r="RRQ90" s="528"/>
      <c r="RRR90" s="528"/>
      <c r="RRS90" s="528"/>
      <c r="RRT90" s="528"/>
      <c r="RRU90" s="528"/>
      <c r="RRV90" s="528"/>
      <c r="RRW90" s="528"/>
      <c r="RRX90" s="528"/>
      <c r="RRY90" s="528"/>
      <c r="RRZ90" s="528"/>
      <c r="RSA90" s="528"/>
      <c r="RSB90" s="528"/>
      <c r="RSC90" s="528"/>
      <c r="RSD90" s="528"/>
      <c r="RSE90" s="528"/>
      <c r="RSF90" s="528"/>
      <c r="RSG90" s="528"/>
      <c r="RSH90" s="528"/>
      <c r="RSI90" s="528"/>
      <c r="RSJ90" s="528"/>
      <c r="RSK90" s="528"/>
      <c r="RSL90" s="528"/>
      <c r="RSM90" s="528"/>
      <c r="RSN90" s="528"/>
      <c r="RSO90" s="528"/>
      <c r="RSP90" s="528"/>
      <c r="RSQ90" s="528"/>
      <c r="RSR90" s="528"/>
      <c r="RSS90" s="528"/>
      <c r="RST90" s="528"/>
      <c r="RSU90" s="528"/>
      <c r="RSV90" s="528"/>
      <c r="RSW90" s="528"/>
      <c r="RSX90" s="528"/>
      <c r="RSY90" s="528"/>
      <c r="RSZ90" s="528"/>
      <c r="RTA90" s="528"/>
      <c r="RTB90" s="528"/>
      <c r="RTC90" s="528"/>
      <c r="RTD90" s="528"/>
      <c r="RTE90" s="528"/>
      <c r="RTF90" s="528"/>
      <c r="RTG90" s="528"/>
      <c r="RTH90" s="528"/>
      <c r="RTI90" s="528"/>
      <c r="RTJ90" s="528"/>
      <c r="RTK90" s="528"/>
      <c r="RTL90" s="528"/>
      <c r="RTM90" s="528"/>
      <c r="RTN90" s="528"/>
      <c r="RTO90" s="528"/>
      <c r="RTP90" s="528"/>
      <c r="RTQ90" s="528"/>
      <c r="RTR90" s="528"/>
      <c r="RTS90" s="528"/>
      <c r="RTT90" s="528"/>
      <c r="RTU90" s="528"/>
      <c r="RTV90" s="528"/>
      <c r="RTW90" s="528"/>
      <c r="RTX90" s="528"/>
      <c r="RTY90" s="528"/>
      <c r="RTZ90" s="528"/>
      <c r="RUA90" s="528"/>
      <c r="RUB90" s="528"/>
      <c r="RUC90" s="528"/>
      <c r="RUD90" s="528"/>
      <c r="RUE90" s="528"/>
      <c r="RUF90" s="528"/>
      <c r="RUG90" s="528"/>
      <c r="RUH90" s="528"/>
      <c r="RUI90" s="528"/>
      <c r="RUJ90" s="528"/>
      <c r="RUK90" s="528"/>
      <c r="RUL90" s="528"/>
      <c r="RUM90" s="528"/>
      <c r="RUN90" s="528"/>
      <c r="RUO90" s="528"/>
      <c r="RUP90" s="528"/>
      <c r="RUQ90" s="528"/>
      <c r="RUR90" s="528"/>
      <c r="RUS90" s="528"/>
      <c r="RUT90" s="528"/>
      <c r="RUU90" s="528"/>
      <c r="RUV90" s="528"/>
      <c r="RUW90" s="528"/>
      <c r="RUX90" s="528"/>
      <c r="RUY90" s="528"/>
      <c r="RUZ90" s="528"/>
      <c r="RVA90" s="528"/>
      <c r="RVB90" s="528"/>
      <c r="RVC90" s="528"/>
      <c r="RVD90" s="528"/>
      <c r="RVE90" s="528"/>
      <c r="RVF90" s="528"/>
      <c r="RVG90" s="528"/>
      <c r="RVH90" s="528"/>
      <c r="RVI90" s="528"/>
      <c r="RVJ90" s="528"/>
      <c r="RVK90" s="528"/>
      <c r="RVL90" s="528"/>
      <c r="RVM90" s="528"/>
      <c r="RVN90" s="528"/>
      <c r="RVO90" s="528"/>
      <c r="RVP90" s="528"/>
      <c r="RVQ90" s="528"/>
      <c r="RVR90" s="528"/>
      <c r="RVS90" s="528"/>
      <c r="RVT90" s="528"/>
      <c r="RVU90" s="528"/>
      <c r="RVV90" s="528"/>
      <c r="RVW90" s="528"/>
      <c r="RVX90" s="528"/>
      <c r="RVY90" s="528"/>
      <c r="RVZ90" s="528"/>
      <c r="RWA90" s="528"/>
      <c r="RWB90" s="528"/>
      <c r="RWC90" s="528"/>
      <c r="RWD90" s="528"/>
      <c r="RWE90" s="528"/>
      <c r="RWF90" s="528"/>
      <c r="RWG90" s="528"/>
      <c r="RWH90" s="528"/>
      <c r="RWI90" s="528"/>
      <c r="RWJ90" s="528"/>
      <c r="RWK90" s="528"/>
      <c r="RWL90" s="528"/>
      <c r="RWM90" s="528"/>
      <c r="RWN90" s="528"/>
      <c r="RWO90" s="528"/>
      <c r="RWP90" s="528"/>
      <c r="RWQ90" s="528"/>
      <c r="RWR90" s="528"/>
      <c r="RWS90" s="528"/>
      <c r="RWT90" s="528"/>
      <c r="RWU90" s="528"/>
      <c r="RWV90" s="528"/>
      <c r="RWW90" s="528"/>
      <c r="RWX90" s="528"/>
      <c r="RWY90" s="528"/>
      <c r="RWZ90" s="528"/>
      <c r="RXA90" s="528"/>
      <c r="RXB90" s="528"/>
      <c r="RXC90" s="528"/>
      <c r="RXD90" s="528"/>
      <c r="RXE90" s="528"/>
      <c r="RXF90" s="528"/>
      <c r="RXG90" s="528"/>
      <c r="RXH90" s="528"/>
      <c r="RXI90" s="528"/>
      <c r="RXJ90" s="528"/>
      <c r="RXK90" s="528"/>
      <c r="RXL90" s="528"/>
      <c r="RXM90" s="528"/>
      <c r="RXN90" s="528"/>
      <c r="RXO90" s="528"/>
      <c r="RXP90" s="528"/>
      <c r="RXQ90" s="528"/>
      <c r="RXR90" s="528"/>
      <c r="RXS90" s="528"/>
      <c r="RXT90" s="528"/>
      <c r="RXU90" s="528"/>
      <c r="RXV90" s="528"/>
      <c r="RXW90" s="528"/>
      <c r="RXX90" s="528"/>
      <c r="RXY90" s="528"/>
      <c r="RXZ90" s="528"/>
      <c r="RYA90" s="528"/>
      <c r="RYB90" s="528"/>
      <c r="RYC90" s="528"/>
      <c r="RYD90" s="528"/>
      <c r="RYE90" s="528"/>
      <c r="RYF90" s="528"/>
      <c r="RYG90" s="528"/>
      <c r="RYH90" s="528"/>
      <c r="RYI90" s="528"/>
      <c r="RYJ90" s="528"/>
      <c r="RYK90" s="528"/>
      <c r="RYL90" s="528"/>
      <c r="RYM90" s="528"/>
      <c r="RYN90" s="528"/>
      <c r="RYO90" s="528"/>
      <c r="RYP90" s="528"/>
      <c r="RYQ90" s="528"/>
      <c r="RYR90" s="528"/>
      <c r="RYS90" s="528"/>
      <c r="RYT90" s="528"/>
      <c r="RYU90" s="528"/>
      <c r="RYV90" s="528"/>
      <c r="RYW90" s="528"/>
      <c r="RYX90" s="528"/>
      <c r="RYY90" s="528"/>
      <c r="RYZ90" s="528"/>
      <c r="RZA90" s="528"/>
      <c r="RZB90" s="528"/>
      <c r="RZC90" s="528"/>
      <c r="RZD90" s="528"/>
      <c r="RZE90" s="528"/>
      <c r="RZF90" s="528"/>
      <c r="RZG90" s="528"/>
      <c r="RZH90" s="528"/>
      <c r="RZI90" s="528"/>
      <c r="RZJ90" s="528"/>
      <c r="RZK90" s="528"/>
      <c r="RZL90" s="528"/>
      <c r="RZM90" s="528"/>
      <c r="RZN90" s="528"/>
      <c r="RZO90" s="528"/>
      <c r="RZP90" s="528"/>
      <c r="RZQ90" s="528"/>
      <c r="RZR90" s="528"/>
      <c r="RZS90" s="528"/>
      <c r="RZT90" s="528"/>
      <c r="RZU90" s="528"/>
      <c r="RZV90" s="528"/>
      <c r="RZW90" s="528"/>
      <c r="RZX90" s="528"/>
      <c r="RZY90" s="528"/>
      <c r="RZZ90" s="528"/>
      <c r="SAA90" s="528"/>
      <c r="SAB90" s="528"/>
      <c r="SAC90" s="528"/>
      <c r="SAD90" s="528"/>
      <c r="SAE90" s="528"/>
      <c r="SAF90" s="528"/>
      <c r="SAG90" s="528"/>
      <c r="SAH90" s="528"/>
      <c r="SAI90" s="528"/>
      <c r="SAJ90" s="528"/>
      <c r="SAK90" s="528"/>
      <c r="SAL90" s="528"/>
      <c r="SAM90" s="528"/>
      <c r="SAN90" s="528"/>
      <c r="SAO90" s="528"/>
      <c r="SAP90" s="528"/>
      <c r="SAQ90" s="528"/>
      <c r="SAR90" s="528"/>
      <c r="SAS90" s="528"/>
      <c r="SAT90" s="528"/>
      <c r="SAU90" s="528"/>
      <c r="SAV90" s="528"/>
      <c r="SAW90" s="528"/>
      <c r="SAX90" s="528"/>
      <c r="SAY90" s="528"/>
      <c r="SAZ90" s="528"/>
      <c r="SBA90" s="528"/>
      <c r="SBB90" s="528"/>
      <c r="SBC90" s="528"/>
      <c r="SBD90" s="528"/>
      <c r="SBE90" s="528"/>
      <c r="SBF90" s="528"/>
      <c r="SBG90" s="528"/>
      <c r="SBH90" s="528"/>
      <c r="SBI90" s="528"/>
      <c r="SBJ90" s="528"/>
      <c r="SBK90" s="528"/>
      <c r="SBL90" s="528"/>
      <c r="SBM90" s="528"/>
      <c r="SBN90" s="528"/>
      <c r="SBO90" s="528"/>
      <c r="SBP90" s="528"/>
      <c r="SBQ90" s="528"/>
      <c r="SBR90" s="528"/>
      <c r="SBS90" s="528"/>
      <c r="SBT90" s="528"/>
      <c r="SBU90" s="528"/>
      <c r="SBV90" s="528"/>
      <c r="SBW90" s="528"/>
      <c r="SBX90" s="528"/>
      <c r="SBY90" s="528"/>
      <c r="SBZ90" s="528"/>
      <c r="SCA90" s="528"/>
      <c r="SCB90" s="528"/>
      <c r="SCC90" s="528"/>
      <c r="SCD90" s="528"/>
      <c r="SCE90" s="528"/>
      <c r="SCF90" s="528"/>
      <c r="SCG90" s="528"/>
      <c r="SCH90" s="528"/>
      <c r="SCI90" s="528"/>
      <c r="SCJ90" s="528"/>
      <c r="SCK90" s="528"/>
      <c r="SCL90" s="528"/>
      <c r="SCM90" s="528"/>
      <c r="SCN90" s="528"/>
      <c r="SCO90" s="528"/>
      <c r="SCP90" s="528"/>
      <c r="SCQ90" s="528"/>
      <c r="SCR90" s="528"/>
      <c r="SCS90" s="528"/>
      <c r="SCT90" s="528"/>
      <c r="SCU90" s="528"/>
      <c r="SCV90" s="528"/>
      <c r="SCW90" s="528"/>
      <c r="SCX90" s="528"/>
      <c r="SCY90" s="528"/>
      <c r="SCZ90" s="528"/>
      <c r="SDA90" s="528"/>
      <c r="SDB90" s="528"/>
      <c r="SDC90" s="528"/>
      <c r="SDD90" s="528"/>
      <c r="SDE90" s="528"/>
      <c r="SDF90" s="528"/>
      <c r="SDG90" s="528"/>
      <c r="SDH90" s="528"/>
      <c r="SDI90" s="528"/>
      <c r="SDJ90" s="528"/>
      <c r="SDK90" s="528"/>
      <c r="SDL90" s="528"/>
      <c r="SDM90" s="528"/>
      <c r="SDN90" s="528"/>
      <c r="SDO90" s="528"/>
      <c r="SDP90" s="528"/>
      <c r="SDQ90" s="528"/>
      <c r="SDR90" s="528"/>
      <c r="SDS90" s="528"/>
      <c r="SDT90" s="528"/>
      <c r="SDU90" s="528"/>
      <c r="SDV90" s="528"/>
      <c r="SDW90" s="528"/>
      <c r="SDX90" s="528"/>
      <c r="SDY90" s="528"/>
      <c r="SDZ90" s="528"/>
      <c r="SEA90" s="528"/>
      <c r="SEB90" s="528"/>
      <c r="SEC90" s="528"/>
      <c r="SED90" s="528"/>
      <c r="SEE90" s="528"/>
      <c r="SEF90" s="528"/>
      <c r="SEG90" s="528"/>
      <c r="SEH90" s="528"/>
      <c r="SEI90" s="528"/>
      <c r="SEJ90" s="528"/>
      <c r="SEK90" s="528"/>
      <c r="SEL90" s="528"/>
      <c r="SEM90" s="528"/>
      <c r="SEN90" s="528"/>
      <c r="SEO90" s="528"/>
      <c r="SEP90" s="528"/>
      <c r="SEQ90" s="528"/>
      <c r="SER90" s="528"/>
      <c r="SES90" s="528"/>
      <c r="SET90" s="528"/>
      <c r="SEU90" s="528"/>
      <c r="SEV90" s="528"/>
      <c r="SEW90" s="528"/>
      <c r="SEX90" s="528"/>
      <c r="SEY90" s="528"/>
      <c r="SEZ90" s="528"/>
      <c r="SFA90" s="528"/>
      <c r="SFB90" s="528"/>
      <c r="SFC90" s="528"/>
      <c r="SFD90" s="528"/>
      <c r="SFE90" s="528"/>
      <c r="SFF90" s="528"/>
      <c r="SFG90" s="528"/>
      <c r="SFH90" s="528"/>
      <c r="SFI90" s="528"/>
      <c r="SFJ90" s="528"/>
      <c r="SFK90" s="528"/>
      <c r="SFL90" s="528"/>
      <c r="SFM90" s="528"/>
      <c r="SFN90" s="528"/>
      <c r="SFO90" s="528"/>
      <c r="SFP90" s="528"/>
      <c r="SFQ90" s="528"/>
      <c r="SFR90" s="528"/>
      <c r="SFS90" s="528"/>
      <c r="SFT90" s="528"/>
      <c r="SFU90" s="528"/>
      <c r="SFV90" s="528"/>
      <c r="SFW90" s="528"/>
      <c r="SFX90" s="528"/>
      <c r="SFY90" s="528"/>
      <c r="SFZ90" s="528"/>
      <c r="SGA90" s="528"/>
      <c r="SGB90" s="528"/>
      <c r="SGC90" s="528"/>
      <c r="SGD90" s="528"/>
      <c r="SGE90" s="528"/>
      <c r="SGF90" s="528"/>
      <c r="SGG90" s="528"/>
      <c r="SGH90" s="528"/>
      <c r="SGI90" s="528"/>
      <c r="SGJ90" s="528"/>
      <c r="SGK90" s="528"/>
      <c r="SGL90" s="528"/>
      <c r="SGM90" s="528"/>
      <c r="SGN90" s="528"/>
      <c r="SGO90" s="528"/>
      <c r="SGP90" s="528"/>
      <c r="SGQ90" s="528"/>
      <c r="SGR90" s="528"/>
      <c r="SGS90" s="528"/>
      <c r="SGT90" s="528"/>
      <c r="SGU90" s="528"/>
      <c r="SGV90" s="528"/>
      <c r="SGW90" s="528"/>
      <c r="SGX90" s="528"/>
      <c r="SGY90" s="528"/>
      <c r="SGZ90" s="528"/>
      <c r="SHA90" s="528"/>
      <c r="SHB90" s="528"/>
      <c r="SHC90" s="528"/>
      <c r="SHD90" s="528"/>
      <c r="SHE90" s="528"/>
      <c r="SHF90" s="528"/>
      <c r="SHG90" s="528"/>
      <c r="SHH90" s="528"/>
      <c r="SHI90" s="528"/>
      <c r="SHJ90" s="528"/>
      <c r="SHK90" s="528"/>
      <c r="SHL90" s="528"/>
      <c r="SHM90" s="528"/>
      <c r="SHN90" s="528"/>
      <c r="SHO90" s="528"/>
      <c r="SHP90" s="528"/>
      <c r="SHQ90" s="528"/>
      <c r="SHR90" s="528"/>
      <c r="SHS90" s="528"/>
      <c r="SHT90" s="528"/>
      <c r="SHU90" s="528"/>
      <c r="SHV90" s="528"/>
      <c r="SHW90" s="528"/>
      <c r="SHX90" s="528"/>
      <c r="SHY90" s="528"/>
      <c r="SHZ90" s="528"/>
      <c r="SIA90" s="528"/>
      <c r="SIB90" s="528"/>
      <c r="SIC90" s="528"/>
      <c r="SID90" s="528"/>
      <c r="SIE90" s="528"/>
      <c r="SIF90" s="528"/>
      <c r="SIG90" s="528"/>
      <c r="SIH90" s="528"/>
      <c r="SII90" s="528"/>
      <c r="SIJ90" s="528"/>
      <c r="SIK90" s="528"/>
      <c r="SIL90" s="528"/>
      <c r="SIM90" s="528"/>
      <c r="SIN90" s="528"/>
      <c r="SIO90" s="528"/>
      <c r="SIP90" s="528"/>
      <c r="SIQ90" s="528"/>
      <c r="SIR90" s="528"/>
      <c r="SIS90" s="528"/>
      <c r="SIT90" s="528"/>
      <c r="SIU90" s="528"/>
      <c r="SIV90" s="528"/>
      <c r="SIW90" s="528"/>
      <c r="SIX90" s="528"/>
      <c r="SIY90" s="528"/>
      <c r="SIZ90" s="528"/>
      <c r="SJA90" s="528"/>
      <c r="SJB90" s="528"/>
      <c r="SJC90" s="528"/>
      <c r="SJD90" s="528"/>
      <c r="SJE90" s="528"/>
      <c r="SJF90" s="528"/>
      <c r="SJG90" s="528"/>
      <c r="SJH90" s="528"/>
      <c r="SJI90" s="528"/>
      <c r="SJJ90" s="528"/>
      <c r="SJK90" s="528"/>
      <c r="SJL90" s="528"/>
      <c r="SJM90" s="528"/>
      <c r="SJN90" s="528"/>
      <c r="SJO90" s="528"/>
      <c r="SJP90" s="528"/>
      <c r="SJQ90" s="528"/>
      <c r="SJR90" s="528"/>
      <c r="SJS90" s="528"/>
      <c r="SJT90" s="528"/>
      <c r="SJU90" s="528"/>
      <c r="SJV90" s="528"/>
      <c r="SJW90" s="528"/>
      <c r="SJX90" s="528"/>
      <c r="SJY90" s="528"/>
      <c r="SJZ90" s="528"/>
      <c r="SKA90" s="528"/>
      <c r="SKB90" s="528"/>
      <c r="SKC90" s="528"/>
      <c r="SKD90" s="528"/>
      <c r="SKE90" s="528"/>
      <c r="SKF90" s="528"/>
      <c r="SKG90" s="528"/>
      <c r="SKH90" s="528"/>
      <c r="SKI90" s="528"/>
      <c r="SKJ90" s="528"/>
      <c r="SKK90" s="528"/>
      <c r="SKL90" s="528"/>
      <c r="SKM90" s="528"/>
      <c r="SKN90" s="528"/>
      <c r="SKO90" s="528"/>
      <c r="SKP90" s="528"/>
      <c r="SKQ90" s="528"/>
      <c r="SKR90" s="528"/>
      <c r="SKS90" s="528"/>
      <c r="SKT90" s="528"/>
      <c r="SKU90" s="528"/>
      <c r="SKV90" s="528"/>
      <c r="SKW90" s="528"/>
      <c r="SKX90" s="528"/>
      <c r="SKY90" s="528"/>
      <c r="SKZ90" s="528"/>
      <c r="SLA90" s="528"/>
      <c r="SLB90" s="528"/>
      <c r="SLC90" s="528"/>
      <c r="SLD90" s="528"/>
      <c r="SLE90" s="528"/>
      <c r="SLF90" s="528"/>
      <c r="SLG90" s="528"/>
      <c r="SLH90" s="528"/>
      <c r="SLI90" s="528"/>
      <c r="SLJ90" s="528"/>
      <c r="SLK90" s="528"/>
      <c r="SLL90" s="528"/>
      <c r="SLM90" s="528"/>
      <c r="SLN90" s="528"/>
      <c r="SLO90" s="528"/>
      <c r="SLP90" s="528"/>
      <c r="SLQ90" s="528"/>
      <c r="SLR90" s="528"/>
      <c r="SLS90" s="528"/>
      <c r="SLT90" s="528"/>
      <c r="SLU90" s="528"/>
      <c r="SLV90" s="528"/>
      <c r="SLW90" s="528"/>
      <c r="SLX90" s="528"/>
      <c r="SLY90" s="528"/>
      <c r="SLZ90" s="528"/>
      <c r="SMA90" s="528"/>
      <c r="SMB90" s="528"/>
      <c r="SMC90" s="528"/>
      <c r="SMD90" s="528"/>
      <c r="SME90" s="528"/>
      <c r="SMF90" s="528"/>
      <c r="SMG90" s="528"/>
      <c r="SMH90" s="528"/>
      <c r="SMI90" s="528"/>
      <c r="SMJ90" s="528"/>
      <c r="SMK90" s="528"/>
      <c r="SML90" s="528"/>
      <c r="SMM90" s="528"/>
      <c r="SMN90" s="528"/>
      <c r="SMO90" s="528"/>
      <c r="SMP90" s="528"/>
      <c r="SMQ90" s="528"/>
      <c r="SMR90" s="528"/>
      <c r="SMS90" s="528"/>
      <c r="SMT90" s="528"/>
      <c r="SMU90" s="528"/>
      <c r="SMV90" s="528"/>
      <c r="SMW90" s="528"/>
      <c r="SMX90" s="528"/>
      <c r="SMY90" s="528"/>
      <c r="SMZ90" s="528"/>
      <c r="SNA90" s="528"/>
      <c r="SNB90" s="528"/>
      <c r="SNC90" s="528"/>
      <c r="SND90" s="528"/>
      <c r="SNE90" s="528"/>
      <c r="SNF90" s="528"/>
      <c r="SNG90" s="528"/>
      <c r="SNH90" s="528"/>
      <c r="SNI90" s="528"/>
      <c r="SNJ90" s="528"/>
      <c r="SNK90" s="528"/>
      <c r="SNL90" s="528"/>
      <c r="SNM90" s="528"/>
      <c r="SNN90" s="528"/>
      <c r="SNO90" s="528"/>
      <c r="SNP90" s="528"/>
      <c r="SNQ90" s="528"/>
      <c r="SNR90" s="528"/>
      <c r="SNS90" s="528"/>
      <c r="SNT90" s="528"/>
      <c r="SNU90" s="528"/>
      <c r="SNV90" s="528"/>
      <c r="SNW90" s="528"/>
      <c r="SNX90" s="528"/>
      <c r="SNY90" s="528"/>
      <c r="SNZ90" s="528"/>
      <c r="SOA90" s="528"/>
      <c r="SOB90" s="528"/>
      <c r="SOC90" s="528"/>
      <c r="SOD90" s="528"/>
      <c r="SOE90" s="528"/>
      <c r="SOF90" s="528"/>
      <c r="SOG90" s="528"/>
      <c r="SOH90" s="528"/>
      <c r="SOI90" s="528"/>
      <c r="SOJ90" s="528"/>
      <c r="SOK90" s="528"/>
      <c r="SOL90" s="528"/>
      <c r="SOM90" s="528"/>
      <c r="SON90" s="528"/>
      <c r="SOO90" s="528"/>
      <c r="SOP90" s="528"/>
      <c r="SOQ90" s="528"/>
      <c r="SOR90" s="528"/>
      <c r="SOS90" s="528"/>
      <c r="SOT90" s="528"/>
      <c r="SOU90" s="528"/>
      <c r="SOV90" s="528"/>
      <c r="SOW90" s="528"/>
      <c r="SOX90" s="528"/>
      <c r="SOY90" s="528"/>
      <c r="SOZ90" s="528"/>
      <c r="SPA90" s="528"/>
      <c r="SPB90" s="528"/>
      <c r="SPC90" s="528"/>
      <c r="SPD90" s="528"/>
      <c r="SPE90" s="528"/>
      <c r="SPF90" s="528"/>
      <c r="SPG90" s="528"/>
      <c r="SPH90" s="528"/>
      <c r="SPI90" s="528"/>
      <c r="SPJ90" s="528"/>
      <c r="SPK90" s="528"/>
      <c r="SPL90" s="528"/>
      <c r="SPM90" s="528"/>
      <c r="SPN90" s="528"/>
      <c r="SPO90" s="528"/>
      <c r="SPP90" s="528"/>
      <c r="SPQ90" s="528"/>
      <c r="SPR90" s="528"/>
      <c r="SPS90" s="528"/>
      <c r="SPT90" s="528"/>
      <c r="SPU90" s="528"/>
      <c r="SPV90" s="528"/>
      <c r="SPW90" s="528"/>
      <c r="SPX90" s="528"/>
      <c r="SPY90" s="528"/>
      <c r="SPZ90" s="528"/>
      <c r="SQA90" s="528"/>
      <c r="SQB90" s="528"/>
      <c r="SQC90" s="528"/>
      <c r="SQD90" s="528"/>
      <c r="SQE90" s="528"/>
      <c r="SQF90" s="528"/>
      <c r="SQG90" s="528"/>
      <c r="SQH90" s="528"/>
      <c r="SQI90" s="528"/>
      <c r="SQJ90" s="528"/>
      <c r="SQK90" s="528"/>
      <c r="SQL90" s="528"/>
      <c r="SQM90" s="528"/>
      <c r="SQN90" s="528"/>
      <c r="SQO90" s="528"/>
      <c r="SQP90" s="528"/>
      <c r="SQQ90" s="528"/>
      <c r="SQR90" s="528"/>
      <c r="SQS90" s="528"/>
      <c r="SQT90" s="528"/>
      <c r="SQU90" s="528"/>
      <c r="SQV90" s="528"/>
      <c r="SQW90" s="528"/>
      <c r="SQX90" s="528"/>
      <c r="SQY90" s="528"/>
      <c r="SQZ90" s="528"/>
      <c r="SRA90" s="528"/>
      <c r="SRB90" s="528"/>
      <c r="SRC90" s="528"/>
      <c r="SRD90" s="528"/>
      <c r="SRE90" s="528"/>
      <c r="SRF90" s="528"/>
      <c r="SRG90" s="528"/>
      <c r="SRH90" s="528"/>
      <c r="SRI90" s="528"/>
      <c r="SRJ90" s="528"/>
      <c r="SRK90" s="528"/>
      <c r="SRL90" s="528"/>
      <c r="SRM90" s="528"/>
      <c r="SRN90" s="528"/>
      <c r="SRO90" s="528"/>
      <c r="SRP90" s="528"/>
      <c r="SRQ90" s="528"/>
      <c r="SRR90" s="528"/>
      <c r="SRS90" s="528"/>
      <c r="SRT90" s="528"/>
      <c r="SRU90" s="528"/>
      <c r="SRV90" s="528"/>
      <c r="SRW90" s="528"/>
      <c r="SRX90" s="528"/>
      <c r="SRY90" s="528"/>
      <c r="SRZ90" s="528"/>
      <c r="SSA90" s="528"/>
      <c r="SSB90" s="528"/>
      <c r="SSC90" s="528"/>
      <c r="SSD90" s="528"/>
      <c r="SSE90" s="528"/>
      <c r="SSF90" s="528"/>
      <c r="SSG90" s="528"/>
      <c r="SSH90" s="528"/>
      <c r="SSI90" s="528"/>
      <c r="SSJ90" s="528"/>
      <c r="SSK90" s="528"/>
      <c r="SSL90" s="528"/>
      <c r="SSM90" s="528"/>
      <c r="SSN90" s="528"/>
      <c r="SSO90" s="528"/>
      <c r="SSP90" s="528"/>
      <c r="SSQ90" s="528"/>
      <c r="SSR90" s="528"/>
      <c r="SSS90" s="528"/>
      <c r="SST90" s="528"/>
      <c r="SSU90" s="528"/>
      <c r="SSV90" s="528"/>
      <c r="SSW90" s="528"/>
      <c r="SSX90" s="528"/>
      <c r="SSY90" s="528"/>
      <c r="SSZ90" s="528"/>
      <c r="STA90" s="528"/>
      <c r="STB90" s="528"/>
      <c r="STC90" s="528"/>
      <c r="STD90" s="528"/>
      <c r="STE90" s="528"/>
      <c r="STF90" s="528"/>
      <c r="STG90" s="528"/>
      <c r="STH90" s="528"/>
      <c r="STI90" s="528"/>
      <c r="STJ90" s="528"/>
      <c r="STK90" s="528"/>
      <c r="STL90" s="528"/>
      <c r="STM90" s="528"/>
      <c r="STN90" s="528"/>
      <c r="STO90" s="528"/>
      <c r="STP90" s="528"/>
      <c r="STQ90" s="528"/>
      <c r="STR90" s="528"/>
      <c r="STS90" s="528"/>
      <c r="STT90" s="528"/>
      <c r="STU90" s="528"/>
      <c r="STV90" s="528"/>
      <c r="STW90" s="528"/>
      <c r="STX90" s="528"/>
      <c r="STY90" s="528"/>
      <c r="STZ90" s="528"/>
      <c r="SUA90" s="528"/>
      <c r="SUB90" s="528"/>
      <c r="SUC90" s="528"/>
      <c r="SUD90" s="528"/>
      <c r="SUE90" s="528"/>
      <c r="SUF90" s="528"/>
      <c r="SUG90" s="528"/>
      <c r="SUH90" s="528"/>
      <c r="SUI90" s="528"/>
      <c r="SUJ90" s="528"/>
      <c r="SUK90" s="528"/>
      <c r="SUL90" s="528"/>
      <c r="SUM90" s="528"/>
      <c r="SUN90" s="528"/>
      <c r="SUO90" s="528"/>
      <c r="SUP90" s="528"/>
      <c r="SUQ90" s="528"/>
      <c r="SUR90" s="528"/>
      <c r="SUS90" s="528"/>
      <c r="SUT90" s="528"/>
      <c r="SUU90" s="528"/>
      <c r="SUV90" s="528"/>
      <c r="SUW90" s="528"/>
      <c r="SUX90" s="528"/>
      <c r="SUY90" s="528"/>
      <c r="SUZ90" s="528"/>
      <c r="SVA90" s="528"/>
      <c r="SVB90" s="528"/>
      <c r="SVC90" s="528"/>
      <c r="SVD90" s="528"/>
      <c r="SVE90" s="528"/>
      <c r="SVF90" s="528"/>
      <c r="SVG90" s="528"/>
      <c r="SVH90" s="528"/>
      <c r="SVI90" s="528"/>
      <c r="SVJ90" s="528"/>
      <c r="SVK90" s="528"/>
      <c r="SVL90" s="528"/>
      <c r="SVM90" s="528"/>
      <c r="SVN90" s="528"/>
      <c r="SVO90" s="528"/>
      <c r="SVP90" s="528"/>
      <c r="SVQ90" s="528"/>
      <c r="SVR90" s="528"/>
      <c r="SVS90" s="528"/>
      <c r="SVT90" s="528"/>
      <c r="SVU90" s="528"/>
      <c r="SVV90" s="528"/>
      <c r="SVW90" s="528"/>
      <c r="SVX90" s="528"/>
      <c r="SVY90" s="528"/>
      <c r="SVZ90" s="528"/>
      <c r="SWA90" s="528"/>
      <c r="SWB90" s="528"/>
      <c r="SWC90" s="528"/>
      <c r="SWD90" s="528"/>
      <c r="SWE90" s="528"/>
      <c r="SWF90" s="528"/>
      <c r="SWG90" s="528"/>
      <c r="SWH90" s="528"/>
      <c r="SWI90" s="528"/>
      <c r="SWJ90" s="528"/>
      <c r="SWK90" s="528"/>
      <c r="SWL90" s="528"/>
      <c r="SWM90" s="528"/>
      <c r="SWN90" s="528"/>
      <c r="SWO90" s="528"/>
      <c r="SWP90" s="528"/>
      <c r="SWQ90" s="528"/>
      <c r="SWR90" s="528"/>
      <c r="SWS90" s="528"/>
      <c r="SWT90" s="528"/>
      <c r="SWU90" s="528"/>
      <c r="SWV90" s="528"/>
      <c r="SWW90" s="528"/>
      <c r="SWX90" s="528"/>
      <c r="SWY90" s="528"/>
      <c r="SWZ90" s="528"/>
      <c r="SXA90" s="528"/>
      <c r="SXB90" s="528"/>
      <c r="SXC90" s="528"/>
      <c r="SXD90" s="528"/>
      <c r="SXE90" s="528"/>
      <c r="SXF90" s="528"/>
      <c r="SXG90" s="528"/>
      <c r="SXH90" s="528"/>
      <c r="SXI90" s="528"/>
      <c r="SXJ90" s="528"/>
      <c r="SXK90" s="528"/>
      <c r="SXL90" s="528"/>
      <c r="SXM90" s="528"/>
      <c r="SXN90" s="528"/>
      <c r="SXO90" s="528"/>
      <c r="SXP90" s="528"/>
      <c r="SXQ90" s="528"/>
      <c r="SXR90" s="528"/>
      <c r="SXS90" s="528"/>
      <c r="SXT90" s="528"/>
      <c r="SXU90" s="528"/>
      <c r="SXV90" s="528"/>
      <c r="SXW90" s="528"/>
      <c r="SXX90" s="528"/>
      <c r="SXY90" s="528"/>
      <c r="SXZ90" s="528"/>
      <c r="SYA90" s="528"/>
      <c r="SYB90" s="528"/>
      <c r="SYC90" s="528"/>
      <c r="SYD90" s="528"/>
      <c r="SYE90" s="528"/>
      <c r="SYF90" s="528"/>
      <c r="SYG90" s="528"/>
      <c r="SYH90" s="528"/>
      <c r="SYI90" s="528"/>
      <c r="SYJ90" s="528"/>
      <c r="SYK90" s="528"/>
      <c r="SYL90" s="528"/>
      <c r="SYM90" s="528"/>
      <c r="SYN90" s="528"/>
      <c r="SYO90" s="528"/>
      <c r="SYP90" s="528"/>
      <c r="SYQ90" s="528"/>
      <c r="SYR90" s="528"/>
      <c r="SYS90" s="528"/>
      <c r="SYT90" s="528"/>
      <c r="SYU90" s="528"/>
      <c r="SYV90" s="528"/>
      <c r="SYW90" s="528"/>
      <c r="SYX90" s="528"/>
      <c r="SYY90" s="528"/>
      <c r="SYZ90" s="528"/>
      <c r="SZA90" s="528"/>
      <c r="SZB90" s="528"/>
      <c r="SZC90" s="528"/>
      <c r="SZD90" s="528"/>
      <c r="SZE90" s="528"/>
      <c r="SZF90" s="528"/>
      <c r="SZG90" s="528"/>
      <c r="SZH90" s="528"/>
      <c r="SZI90" s="528"/>
      <c r="SZJ90" s="528"/>
      <c r="SZK90" s="528"/>
      <c r="SZL90" s="528"/>
      <c r="SZM90" s="528"/>
      <c r="SZN90" s="528"/>
      <c r="SZO90" s="528"/>
      <c r="SZP90" s="528"/>
      <c r="SZQ90" s="528"/>
      <c r="SZR90" s="528"/>
      <c r="SZS90" s="528"/>
      <c r="SZT90" s="528"/>
      <c r="SZU90" s="528"/>
      <c r="SZV90" s="528"/>
      <c r="SZW90" s="528"/>
      <c r="SZX90" s="528"/>
      <c r="SZY90" s="528"/>
      <c r="SZZ90" s="528"/>
      <c r="TAA90" s="528"/>
      <c r="TAB90" s="528"/>
      <c r="TAC90" s="528"/>
      <c r="TAD90" s="528"/>
      <c r="TAE90" s="528"/>
      <c r="TAF90" s="528"/>
      <c r="TAG90" s="528"/>
      <c r="TAH90" s="528"/>
      <c r="TAI90" s="528"/>
      <c r="TAJ90" s="528"/>
      <c r="TAK90" s="528"/>
      <c r="TAL90" s="528"/>
      <c r="TAM90" s="528"/>
      <c r="TAN90" s="528"/>
      <c r="TAO90" s="528"/>
      <c r="TAP90" s="528"/>
      <c r="TAQ90" s="528"/>
      <c r="TAR90" s="528"/>
      <c r="TAS90" s="528"/>
      <c r="TAT90" s="528"/>
      <c r="TAU90" s="528"/>
      <c r="TAV90" s="528"/>
      <c r="TAW90" s="528"/>
      <c r="TAX90" s="528"/>
      <c r="TAY90" s="528"/>
      <c r="TAZ90" s="528"/>
      <c r="TBA90" s="528"/>
      <c r="TBB90" s="528"/>
      <c r="TBC90" s="528"/>
      <c r="TBD90" s="528"/>
      <c r="TBE90" s="528"/>
      <c r="TBF90" s="528"/>
      <c r="TBG90" s="528"/>
      <c r="TBH90" s="528"/>
      <c r="TBI90" s="528"/>
      <c r="TBJ90" s="528"/>
      <c r="TBK90" s="528"/>
      <c r="TBL90" s="528"/>
      <c r="TBM90" s="528"/>
      <c r="TBN90" s="528"/>
      <c r="TBO90" s="528"/>
      <c r="TBP90" s="528"/>
      <c r="TBQ90" s="528"/>
      <c r="TBR90" s="528"/>
      <c r="TBS90" s="528"/>
      <c r="TBT90" s="528"/>
      <c r="TBU90" s="528"/>
      <c r="TBV90" s="528"/>
      <c r="TBW90" s="528"/>
      <c r="TBX90" s="528"/>
      <c r="TBY90" s="528"/>
      <c r="TBZ90" s="528"/>
      <c r="TCA90" s="528"/>
      <c r="TCB90" s="528"/>
      <c r="TCC90" s="528"/>
      <c r="TCD90" s="528"/>
      <c r="TCE90" s="528"/>
      <c r="TCF90" s="528"/>
      <c r="TCG90" s="528"/>
      <c r="TCH90" s="528"/>
      <c r="TCI90" s="528"/>
      <c r="TCJ90" s="528"/>
      <c r="TCK90" s="528"/>
      <c r="TCL90" s="528"/>
      <c r="TCM90" s="528"/>
      <c r="TCN90" s="528"/>
      <c r="TCO90" s="528"/>
      <c r="TCP90" s="528"/>
      <c r="TCQ90" s="528"/>
      <c r="TCR90" s="528"/>
      <c r="TCS90" s="528"/>
      <c r="TCT90" s="528"/>
      <c r="TCU90" s="528"/>
      <c r="TCV90" s="528"/>
      <c r="TCW90" s="528"/>
      <c r="TCX90" s="528"/>
      <c r="TCY90" s="528"/>
      <c r="TCZ90" s="528"/>
      <c r="TDA90" s="528"/>
      <c r="TDB90" s="528"/>
      <c r="TDC90" s="528"/>
      <c r="TDD90" s="528"/>
      <c r="TDE90" s="528"/>
      <c r="TDF90" s="528"/>
      <c r="TDG90" s="528"/>
      <c r="TDH90" s="528"/>
      <c r="TDI90" s="528"/>
      <c r="TDJ90" s="528"/>
      <c r="TDK90" s="528"/>
      <c r="TDL90" s="528"/>
      <c r="TDM90" s="528"/>
      <c r="TDN90" s="528"/>
      <c r="TDO90" s="528"/>
      <c r="TDP90" s="528"/>
      <c r="TDQ90" s="528"/>
      <c r="TDR90" s="528"/>
      <c r="TDS90" s="528"/>
      <c r="TDT90" s="528"/>
      <c r="TDU90" s="528"/>
      <c r="TDV90" s="528"/>
      <c r="TDW90" s="528"/>
      <c r="TDX90" s="528"/>
      <c r="TDY90" s="528"/>
      <c r="TDZ90" s="528"/>
      <c r="TEA90" s="528"/>
      <c r="TEB90" s="528"/>
      <c r="TEC90" s="528"/>
      <c r="TED90" s="528"/>
      <c r="TEE90" s="528"/>
      <c r="TEF90" s="528"/>
      <c r="TEG90" s="528"/>
      <c r="TEH90" s="528"/>
      <c r="TEI90" s="528"/>
      <c r="TEJ90" s="528"/>
      <c r="TEK90" s="528"/>
      <c r="TEL90" s="528"/>
      <c r="TEM90" s="528"/>
      <c r="TEN90" s="528"/>
      <c r="TEO90" s="528"/>
      <c r="TEP90" s="528"/>
      <c r="TEQ90" s="528"/>
      <c r="TER90" s="528"/>
      <c r="TES90" s="528"/>
      <c r="TET90" s="528"/>
      <c r="TEU90" s="528"/>
      <c r="TEV90" s="528"/>
      <c r="TEW90" s="528"/>
      <c r="TEX90" s="528"/>
      <c r="TEY90" s="528"/>
      <c r="TEZ90" s="528"/>
      <c r="TFA90" s="528"/>
      <c r="TFB90" s="528"/>
      <c r="TFC90" s="528"/>
      <c r="TFD90" s="528"/>
      <c r="TFE90" s="528"/>
      <c r="TFF90" s="528"/>
      <c r="TFG90" s="528"/>
      <c r="TFH90" s="528"/>
      <c r="TFI90" s="528"/>
      <c r="TFJ90" s="528"/>
      <c r="TFK90" s="528"/>
      <c r="TFL90" s="528"/>
      <c r="TFM90" s="528"/>
      <c r="TFN90" s="528"/>
      <c r="TFO90" s="528"/>
      <c r="TFP90" s="528"/>
      <c r="TFQ90" s="528"/>
      <c r="TFR90" s="528"/>
      <c r="TFS90" s="528"/>
      <c r="TFT90" s="528"/>
      <c r="TFU90" s="528"/>
      <c r="TFV90" s="528"/>
      <c r="TFW90" s="528"/>
      <c r="TFX90" s="528"/>
      <c r="TFY90" s="528"/>
      <c r="TFZ90" s="528"/>
      <c r="TGA90" s="528"/>
      <c r="TGB90" s="528"/>
      <c r="TGC90" s="528"/>
      <c r="TGD90" s="528"/>
      <c r="TGE90" s="528"/>
      <c r="TGF90" s="528"/>
      <c r="TGG90" s="528"/>
      <c r="TGH90" s="528"/>
      <c r="TGI90" s="528"/>
      <c r="TGJ90" s="528"/>
      <c r="TGK90" s="528"/>
      <c r="TGL90" s="528"/>
      <c r="TGM90" s="528"/>
      <c r="TGN90" s="528"/>
      <c r="TGO90" s="528"/>
      <c r="TGP90" s="528"/>
      <c r="TGQ90" s="528"/>
      <c r="TGR90" s="528"/>
      <c r="TGS90" s="528"/>
      <c r="TGT90" s="528"/>
      <c r="TGU90" s="528"/>
      <c r="TGV90" s="528"/>
      <c r="TGW90" s="528"/>
      <c r="TGX90" s="528"/>
      <c r="TGY90" s="528"/>
      <c r="TGZ90" s="528"/>
      <c r="THA90" s="528"/>
      <c r="THB90" s="528"/>
      <c r="THC90" s="528"/>
      <c r="THD90" s="528"/>
      <c r="THE90" s="528"/>
      <c r="THF90" s="528"/>
      <c r="THG90" s="528"/>
      <c r="THH90" s="528"/>
      <c r="THI90" s="528"/>
      <c r="THJ90" s="528"/>
      <c r="THK90" s="528"/>
      <c r="THL90" s="528"/>
      <c r="THM90" s="528"/>
      <c r="THN90" s="528"/>
      <c r="THO90" s="528"/>
      <c r="THP90" s="528"/>
      <c r="THQ90" s="528"/>
      <c r="THR90" s="528"/>
      <c r="THS90" s="528"/>
      <c r="THT90" s="528"/>
      <c r="THU90" s="528"/>
      <c r="THV90" s="528"/>
      <c r="THW90" s="528"/>
      <c r="THX90" s="528"/>
      <c r="THY90" s="528"/>
      <c r="THZ90" s="528"/>
      <c r="TIA90" s="528"/>
      <c r="TIB90" s="528"/>
      <c r="TIC90" s="528"/>
      <c r="TID90" s="528"/>
      <c r="TIE90" s="528"/>
      <c r="TIF90" s="528"/>
      <c r="TIG90" s="528"/>
      <c r="TIH90" s="528"/>
      <c r="TII90" s="528"/>
      <c r="TIJ90" s="528"/>
      <c r="TIK90" s="528"/>
      <c r="TIL90" s="528"/>
      <c r="TIM90" s="528"/>
      <c r="TIN90" s="528"/>
      <c r="TIO90" s="528"/>
      <c r="TIP90" s="528"/>
      <c r="TIQ90" s="528"/>
      <c r="TIR90" s="528"/>
      <c r="TIS90" s="528"/>
      <c r="TIT90" s="528"/>
      <c r="TIU90" s="528"/>
      <c r="TIV90" s="528"/>
      <c r="TIW90" s="528"/>
      <c r="TIX90" s="528"/>
      <c r="TIY90" s="528"/>
      <c r="TIZ90" s="528"/>
      <c r="TJA90" s="528"/>
      <c r="TJB90" s="528"/>
      <c r="TJC90" s="528"/>
      <c r="TJD90" s="528"/>
      <c r="TJE90" s="528"/>
      <c r="TJF90" s="528"/>
      <c r="TJG90" s="528"/>
      <c r="TJH90" s="528"/>
      <c r="TJI90" s="528"/>
      <c r="TJJ90" s="528"/>
      <c r="TJK90" s="528"/>
      <c r="TJL90" s="528"/>
      <c r="TJM90" s="528"/>
      <c r="TJN90" s="528"/>
      <c r="TJO90" s="528"/>
      <c r="TJP90" s="528"/>
      <c r="TJQ90" s="528"/>
      <c r="TJR90" s="528"/>
      <c r="TJS90" s="528"/>
      <c r="TJT90" s="528"/>
      <c r="TJU90" s="528"/>
      <c r="TJV90" s="528"/>
      <c r="TJW90" s="528"/>
      <c r="TJX90" s="528"/>
      <c r="TJY90" s="528"/>
      <c r="TJZ90" s="528"/>
      <c r="TKA90" s="528"/>
      <c r="TKB90" s="528"/>
      <c r="TKC90" s="528"/>
      <c r="TKD90" s="528"/>
      <c r="TKE90" s="528"/>
      <c r="TKF90" s="528"/>
      <c r="TKG90" s="528"/>
      <c r="TKH90" s="528"/>
      <c r="TKI90" s="528"/>
      <c r="TKJ90" s="528"/>
      <c r="TKK90" s="528"/>
      <c r="TKL90" s="528"/>
      <c r="TKM90" s="528"/>
      <c r="TKN90" s="528"/>
      <c r="TKO90" s="528"/>
      <c r="TKP90" s="528"/>
      <c r="TKQ90" s="528"/>
      <c r="TKR90" s="528"/>
      <c r="TKS90" s="528"/>
      <c r="TKT90" s="528"/>
      <c r="TKU90" s="528"/>
      <c r="TKV90" s="528"/>
      <c r="TKW90" s="528"/>
      <c r="TKX90" s="528"/>
      <c r="TKY90" s="528"/>
      <c r="TKZ90" s="528"/>
      <c r="TLA90" s="528"/>
      <c r="TLB90" s="528"/>
      <c r="TLC90" s="528"/>
      <c r="TLD90" s="528"/>
      <c r="TLE90" s="528"/>
      <c r="TLF90" s="528"/>
      <c r="TLG90" s="528"/>
      <c r="TLH90" s="528"/>
      <c r="TLI90" s="528"/>
      <c r="TLJ90" s="528"/>
      <c r="TLK90" s="528"/>
      <c r="TLL90" s="528"/>
      <c r="TLM90" s="528"/>
      <c r="TLN90" s="528"/>
      <c r="TLO90" s="528"/>
      <c r="TLP90" s="528"/>
      <c r="TLQ90" s="528"/>
      <c r="TLR90" s="528"/>
      <c r="TLS90" s="528"/>
      <c r="TLT90" s="528"/>
      <c r="TLU90" s="528"/>
      <c r="TLV90" s="528"/>
      <c r="TLW90" s="528"/>
      <c r="TLX90" s="528"/>
      <c r="TLY90" s="528"/>
      <c r="TLZ90" s="528"/>
      <c r="TMA90" s="528"/>
      <c r="TMB90" s="528"/>
      <c r="TMC90" s="528"/>
      <c r="TMD90" s="528"/>
      <c r="TME90" s="528"/>
      <c r="TMF90" s="528"/>
      <c r="TMG90" s="528"/>
      <c r="TMH90" s="528"/>
      <c r="TMI90" s="528"/>
      <c r="TMJ90" s="528"/>
      <c r="TMK90" s="528"/>
      <c r="TML90" s="528"/>
      <c r="TMM90" s="528"/>
      <c r="TMN90" s="528"/>
      <c r="TMO90" s="528"/>
      <c r="TMP90" s="528"/>
      <c r="TMQ90" s="528"/>
      <c r="TMR90" s="528"/>
      <c r="TMS90" s="528"/>
      <c r="TMT90" s="528"/>
      <c r="TMU90" s="528"/>
      <c r="TMV90" s="528"/>
      <c r="TMW90" s="528"/>
      <c r="TMX90" s="528"/>
      <c r="TMY90" s="528"/>
      <c r="TMZ90" s="528"/>
      <c r="TNA90" s="528"/>
      <c r="TNB90" s="528"/>
      <c r="TNC90" s="528"/>
      <c r="TND90" s="528"/>
      <c r="TNE90" s="528"/>
      <c r="TNF90" s="528"/>
      <c r="TNG90" s="528"/>
      <c r="TNH90" s="528"/>
      <c r="TNI90" s="528"/>
      <c r="TNJ90" s="528"/>
      <c r="TNK90" s="528"/>
      <c r="TNL90" s="528"/>
      <c r="TNM90" s="528"/>
      <c r="TNN90" s="528"/>
      <c r="TNO90" s="528"/>
      <c r="TNP90" s="528"/>
      <c r="TNQ90" s="528"/>
      <c r="TNR90" s="528"/>
      <c r="TNS90" s="528"/>
      <c r="TNT90" s="528"/>
      <c r="TNU90" s="528"/>
      <c r="TNV90" s="528"/>
      <c r="TNW90" s="528"/>
      <c r="TNX90" s="528"/>
      <c r="TNY90" s="528"/>
      <c r="TNZ90" s="528"/>
      <c r="TOA90" s="528"/>
      <c r="TOB90" s="528"/>
      <c r="TOC90" s="528"/>
      <c r="TOD90" s="528"/>
      <c r="TOE90" s="528"/>
      <c r="TOF90" s="528"/>
      <c r="TOG90" s="528"/>
      <c r="TOH90" s="528"/>
      <c r="TOI90" s="528"/>
      <c r="TOJ90" s="528"/>
      <c r="TOK90" s="528"/>
      <c r="TOL90" s="528"/>
      <c r="TOM90" s="528"/>
      <c r="TON90" s="528"/>
      <c r="TOO90" s="528"/>
      <c r="TOP90" s="528"/>
      <c r="TOQ90" s="528"/>
      <c r="TOR90" s="528"/>
      <c r="TOS90" s="528"/>
      <c r="TOT90" s="528"/>
      <c r="TOU90" s="528"/>
      <c r="TOV90" s="528"/>
      <c r="TOW90" s="528"/>
      <c r="TOX90" s="528"/>
      <c r="TOY90" s="528"/>
      <c r="TOZ90" s="528"/>
      <c r="TPA90" s="528"/>
      <c r="TPB90" s="528"/>
      <c r="TPC90" s="528"/>
      <c r="TPD90" s="528"/>
      <c r="TPE90" s="528"/>
      <c r="TPF90" s="528"/>
      <c r="TPG90" s="528"/>
      <c r="TPH90" s="528"/>
      <c r="TPI90" s="528"/>
      <c r="TPJ90" s="528"/>
      <c r="TPK90" s="528"/>
      <c r="TPL90" s="528"/>
      <c r="TPM90" s="528"/>
      <c r="TPN90" s="528"/>
      <c r="TPO90" s="528"/>
      <c r="TPP90" s="528"/>
      <c r="TPQ90" s="528"/>
      <c r="TPR90" s="528"/>
      <c r="TPS90" s="528"/>
      <c r="TPT90" s="528"/>
      <c r="TPU90" s="528"/>
      <c r="TPV90" s="528"/>
      <c r="TPW90" s="528"/>
      <c r="TPX90" s="528"/>
      <c r="TPY90" s="528"/>
      <c r="TPZ90" s="528"/>
      <c r="TQA90" s="528"/>
      <c r="TQB90" s="528"/>
      <c r="TQC90" s="528"/>
      <c r="TQD90" s="528"/>
      <c r="TQE90" s="528"/>
      <c r="TQF90" s="528"/>
      <c r="TQG90" s="528"/>
      <c r="TQH90" s="528"/>
      <c r="TQI90" s="528"/>
      <c r="TQJ90" s="528"/>
      <c r="TQK90" s="528"/>
      <c r="TQL90" s="528"/>
      <c r="TQM90" s="528"/>
      <c r="TQN90" s="528"/>
      <c r="TQO90" s="528"/>
      <c r="TQP90" s="528"/>
      <c r="TQQ90" s="528"/>
      <c r="TQR90" s="528"/>
      <c r="TQS90" s="528"/>
      <c r="TQT90" s="528"/>
      <c r="TQU90" s="528"/>
      <c r="TQV90" s="528"/>
      <c r="TQW90" s="528"/>
      <c r="TQX90" s="528"/>
      <c r="TQY90" s="528"/>
      <c r="TQZ90" s="528"/>
      <c r="TRA90" s="528"/>
      <c r="TRB90" s="528"/>
      <c r="TRC90" s="528"/>
      <c r="TRD90" s="528"/>
      <c r="TRE90" s="528"/>
      <c r="TRF90" s="528"/>
      <c r="TRG90" s="528"/>
      <c r="TRH90" s="528"/>
      <c r="TRI90" s="528"/>
      <c r="TRJ90" s="528"/>
      <c r="TRK90" s="528"/>
      <c r="TRL90" s="528"/>
      <c r="TRM90" s="528"/>
      <c r="TRN90" s="528"/>
      <c r="TRO90" s="528"/>
      <c r="TRP90" s="528"/>
      <c r="TRQ90" s="528"/>
      <c r="TRR90" s="528"/>
      <c r="TRS90" s="528"/>
      <c r="TRT90" s="528"/>
      <c r="TRU90" s="528"/>
      <c r="TRV90" s="528"/>
      <c r="TRW90" s="528"/>
      <c r="TRX90" s="528"/>
      <c r="TRY90" s="528"/>
      <c r="TRZ90" s="528"/>
      <c r="TSA90" s="528"/>
      <c r="TSB90" s="528"/>
      <c r="TSC90" s="528"/>
      <c r="TSD90" s="528"/>
      <c r="TSE90" s="528"/>
      <c r="TSF90" s="528"/>
      <c r="TSG90" s="528"/>
      <c r="TSH90" s="528"/>
      <c r="TSI90" s="528"/>
      <c r="TSJ90" s="528"/>
      <c r="TSK90" s="528"/>
      <c r="TSL90" s="528"/>
      <c r="TSM90" s="528"/>
      <c r="TSN90" s="528"/>
      <c r="TSO90" s="528"/>
      <c r="TSP90" s="528"/>
      <c r="TSQ90" s="528"/>
      <c r="TSR90" s="528"/>
      <c r="TSS90" s="528"/>
      <c r="TST90" s="528"/>
      <c r="TSU90" s="528"/>
      <c r="TSV90" s="528"/>
      <c r="TSW90" s="528"/>
      <c r="TSX90" s="528"/>
      <c r="TSY90" s="528"/>
      <c r="TSZ90" s="528"/>
      <c r="TTA90" s="528"/>
      <c r="TTB90" s="528"/>
      <c r="TTC90" s="528"/>
      <c r="TTD90" s="528"/>
      <c r="TTE90" s="528"/>
      <c r="TTF90" s="528"/>
      <c r="TTG90" s="528"/>
      <c r="TTH90" s="528"/>
      <c r="TTI90" s="528"/>
      <c r="TTJ90" s="528"/>
      <c r="TTK90" s="528"/>
      <c r="TTL90" s="528"/>
      <c r="TTM90" s="528"/>
      <c r="TTN90" s="528"/>
      <c r="TTO90" s="528"/>
      <c r="TTP90" s="528"/>
      <c r="TTQ90" s="528"/>
      <c r="TTR90" s="528"/>
      <c r="TTS90" s="528"/>
      <c r="TTT90" s="528"/>
      <c r="TTU90" s="528"/>
      <c r="TTV90" s="528"/>
      <c r="TTW90" s="528"/>
      <c r="TTX90" s="528"/>
      <c r="TTY90" s="528"/>
      <c r="TTZ90" s="528"/>
      <c r="TUA90" s="528"/>
      <c r="TUB90" s="528"/>
      <c r="TUC90" s="528"/>
      <c r="TUD90" s="528"/>
      <c r="TUE90" s="528"/>
      <c r="TUF90" s="528"/>
      <c r="TUG90" s="528"/>
      <c r="TUH90" s="528"/>
      <c r="TUI90" s="528"/>
      <c r="TUJ90" s="528"/>
      <c r="TUK90" s="528"/>
      <c r="TUL90" s="528"/>
      <c r="TUM90" s="528"/>
      <c r="TUN90" s="528"/>
      <c r="TUO90" s="528"/>
      <c r="TUP90" s="528"/>
      <c r="TUQ90" s="528"/>
      <c r="TUR90" s="528"/>
      <c r="TUS90" s="528"/>
      <c r="TUT90" s="528"/>
      <c r="TUU90" s="528"/>
      <c r="TUV90" s="528"/>
      <c r="TUW90" s="528"/>
      <c r="TUX90" s="528"/>
      <c r="TUY90" s="528"/>
      <c r="TUZ90" s="528"/>
      <c r="TVA90" s="528"/>
      <c r="TVB90" s="528"/>
      <c r="TVC90" s="528"/>
      <c r="TVD90" s="528"/>
      <c r="TVE90" s="528"/>
      <c r="TVF90" s="528"/>
      <c r="TVG90" s="528"/>
      <c r="TVH90" s="528"/>
      <c r="TVI90" s="528"/>
      <c r="TVJ90" s="528"/>
      <c r="TVK90" s="528"/>
      <c r="TVL90" s="528"/>
      <c r="TVM90" s="528"/>
      <c r="TVN90" s="528"/>
      <c r="TVO90" s="528"/>
      <c r="TVP90" s="528"/>
      <c r="TVQ90" s="528"/>
      <c r="TVR90" s="528"/>
      <c r="TVS90" s="528"/>
      <c r="TVT90" s="528"/>
      <c r="TVU90" s="528"/>
      <c r="TVV90" s="528"/>
      <c r="TVW90" s="528"/>
      <c r="TVX90" s="528"/>
      <c r="TVY90" s="528"/>
      <c r="TVZ90" s="528"/>
      <c r="TWA90" s="528"/>
      <c r="TWB90" s="528"/>
      <c r="TWC90" s="528"/>
      <c r="TWD90" s="528"/>
      <c r="TWE90" s="528"/>
      <c r="TWF90" s="528"/>
      <c r="TWG90" s="528"/>
      <c r="TWH90" s="528"/>
      <c r="TWI90" s="528"/>
      <c r="TWJ90" s="528"/>
      <c r="TWK90" s="528"/>
      <c r="TWL90" s="528"/>
      <c r="TWM90" s="528"/>
      <c r="TWN90" s="528"/>
      <c r="TWO90" s="528"/>
      <c r="TWP90" s="528"/>
      <c r="TWQ90" s="528"/>
      <c r="TWR90" s="528"/>
      <c r="TWS90" s="528"/>
      <c r="TWT90" s="528"/>
      <c r="TWU90" s="528"/>
      <c r="TWV90" s="528"/>
      <c r="TWW90" s="528"/>
      <c r="TWX90" s="528"/>
      <c r="TWY90" s="528"/>
      <c r="TWZ90" s="528"/>
      <c r="TXA90" s="528"/>
      <c r="TXB90" s="528"/>
      <c r="TXC90" s="528"/>
      <c r="TXD90" s="528"/>
      <c r="TXE90" s="528"/>
      <c r="TXF90" s="528"/>
      <c r="TXG90" s="528"/>
      <c r="TXH90" s="528"/>
      <c r="TXI90" s="528"/>
      <c r="TXJ90" s="528"/>
      <c r="TXK90" s="528"/>
      <c r="TXL90" s="528"/>
      <c r="TXM90" s="528"/>
      <c r="TXN90" s="528"/>
      <c r="TXO90" s="528"/>
      <c r="TXP90" s="528"/>
      <c r="TXQ90" s="528"/>
      <c r="TXR90" s="528"/>
      <c r="TXS90" s="528"/>
      <c r="TXT90" s="528"/>
      <c r="TXU90" s="528"/>
      <c r="TXV90" s="528"/>
      <c r="TXW90" s="528"/>
      <c r="TXX90" s="528"/>
      <c r="TXY90" s="528"/>
      <c r="TXZ90" s="528"/>
      <c r="TYA90" s="528"/>
      <c r="TYB90" s="528"/>
      <c r="TYC90" s="528"/>
      <c r="TYD90" s="528"/>
      <c r="TYE90" s="528"/>
      <c r="TYF90" s="528"/>
      <c r="TYG90" s="528"/>
      <c r="TYH90" s="528"/>
      <c r="TYI90" s="528"/>
      <c r="TYJ90" s="528"/>
      <c r="TYK90" s="528"/>
      <c r="TYL90" s="528"/>
      <c r="TYM90" s="528"/>
      <c r="TYN90" s="528"/>
      <c r="TYO90" s="528"/>
      <c r="TYP90" s="528"/>
      <c r="TYQ90" s="528"/>
      <c r="TYR90" s="528"/>
      <c r="TYS90" s="528"/>
      <c r="TYT90" s="528"/>
      <c r="TYU90" s="528"/>
      <c r="TYV90" s="528"/>
      <c r="TYW90" s="528"/>
      <c r="TYX90" s="528"/>
      <c r="TYY90" s="528"/>
      <c r="TYZ90" s="528"/>
      <c r="TZA90" s="528"/>
      <c r="TZB90" s="528"/>
      <c r="TZC90" s="528"/>
      <c r="TZD90" s="528"/>
      <c r="TZE90" s="528"/>
      <c r="TZF90" s="528"/>
      <c r="TZG90" s="528"/>
      <c r="TZH90" s="528"/>
      <c r="TZI90" s="528"/>
      <c r="TZJ90" s="528"/>
      <c r="TZK90" s="528"/>
      <c r="TZL90" s="528"/>
      <c r="TZM90" s="528"/>
      <c r="TZN90" s="528"/>
      <c r="TZO90" s="528"/>
      <c r="TZP90" s="528"/>
      <c r="TZQ90" s="528"/>
      <c r="TZR90" s="528"/>
      <c r="TZS90" s="528"/>
      <c r="TZT90" s="528"/>
      <c r="TZU90" s="528"/>
      <c r="TZV90" s="528"/>
      <c r="TZW90" s="528"/>
      <c r="TZX90" s="528"/>
      <c r="TZY90" s="528"/>
      <c r="TZZ90" s="528"/>
      <c r="UAA90" s="528"/>
      <c r="UAB90" s="528"/>
      <c r="UAC90" s="528"/>
      <c r="UAD90" s="528"/>
      <c r="UAE90" s="528"/>
      <c r="UAF90" s="528"/>
      <c r="UAG90" s="528"/>
      <c r="UAH90" s="528"/>
      <c r="UAI90" s="528"/>
      <c r="UAJ90" s="528"/>
      <c r="UAK90" s="528"/>
      <c r="UAL90" s="528"/>
      <c r="UAM90" s="528"/>
      <c r="UAN90" s="528"/>
      <c r="UAO90" s="528"/>
      <c r="UAP90" s="528"/>
      <c r="UAQ90" s="528"/>
      <c r="UAR90" s="528"/>
      <c r="UAS90" s="528"/>
      <c r="UAT90" s="528"/>
      <c r="UAU90" s="528"/>
      <c r="UAV90" s="528"/>
      <c r="UAW90" s="528"/>
      <c r="UAX90" s="528"/>
      <c r="UAY90" s="528"/>
      <c r="UAZ90" s="528"/>
      <c r="UBA90" s="528"/>
      <c r="UBB90" s="528"/>
      <c r="UBC90" s="528"/>
      <c r="UBD90" s="528"/>
      <c r="UBE90" s="528"/>
      <c r="UBF90" s="528"/>
      <c r="UBG90" s="528"/>
      <c r="UBH90" s="528"/>
      <c r="UBI90" s="528"/>
      <c r="UBJ90" s="528"/>
      <c r="UBK90" s="528"/>
      <c r="UBL90" s="528"/>
      <c r="UBM90" s="528"/>
      <c r="UBN90" s="528"/>
      <c r="UBO90" s="528"/>
      <c r="UBP90" s="528"/>
      <c r="UBQ90" s="528"/>
      <c r="UBR90" s="528"/>
      <c r="UBS90" s="528"/>
      <c r="UBT90" s="528"/>
      <c r="UBU90" s="528"/>
      <c r="UBV90" s="528"/>
      <c r="UBW90" s="528"/>
      <c r="UBX90" s="528"/>
      <c r="UBY90" s="528"/>
      <c r="UBZ90" s="528"/>
      <c r="UCA90" s="528"/>
      <c r="UCB90" s="528"/>
      <c r="UCC90" s="528"/>
      <c r="UCD90" s="528"/>
      <c r="UCE90" s="528"/>
      <c r="UCF90" s="528"/>
      <c r="UCG90" s="528"/>
      <c r="UCH90" s="528"/>
      <c r="UCI90" s="528"/>
      <c r="UCJ90" s="528"/>
      <c r="UCK90" s="528"/>
      <c r="UCL90" s="528"/>
      <c r="UCM90" s="528"/>
      <c r="UCN90" s="528"/>
      <c r="UCO90" s="528"/>
      <c r="UCP90" s="528"/>
      <c r="UCQ90" s="528"/>
      <c r="UCR90" s="528"/>
      <c r="UCS90" s="528"/>
      <c r="UCT90" s="528"/>
      <c r="UCU90" s="528"/>
      <c r="UCV90" s="528"/>
      <c r="UCW90" s="528"/>
      <c r="UCX90" s="528"/>
      <c r="UCY90" s="528"/>
      <c r="UCZ90" s="528"/>
      <c r="UDA90" s="528"/>
      <c r="UDB90" s="528"/>
      <c r="UDC90" s="528"/>
      <c r="UDD90" s="528"/>
      <c r="UDE90" s="528"/>
      <c r="UDF90" s="528"/>
      <c r="UDG90" s="528"/>
      <c r="UDH90" s="528"/>
      <c r="UDI90" s="528"/>
      <c r="UDJ90" s="528"/>
      <c r="UDK90" s="528"/>
      <c r="UDL90" s="528"/>
      <c r="UDM90" s="528"/>
      <c r="UDN90" s="528"/>
      <c r="UDO90" s="528"/>
      <c r="UDP90" s="528"/>
      <c r="UDQ90" s="528"/>
      <c r="UDR90" s="528"/>
      <c r="UDS90" s="528"/>
      <c r="UDT90" s="528"/>
      <c r="UDU90" s="528"/>
      <c r="UDV90" s="528"/>
      <c r="UDW90" s="528"/>
      <c r="UDX90" s="528"/>
      <c r="UDY90" s="528"/>
      <c r="UDZ90" s="528"/>
      <c r="UEA90" s="528"/>
      <c r="UEB90" s="528"/>
      <c r="UEC90" s="528"/>
      <c r="UED90" s="528"/>
      <c r="UEE90" s="528"/>
      <c r="UEF90" s="528"/>
      <c r="UEG90" s="528"/>
      <c r="UEH90" s="528"/>
      <c r="UEI90" s="528"/>
      <c r="UEJ90" s="528"/>
      <c r="UEK90" s="528"/>
      <c r="UEL90" s="528"/>
      <c r="UEM90" s="528"/>
      <c r="UEN90" s="528"/>
      <c r="UEO90" s="528"/>
      <c r="UEP90" s="528"/>
      <c r="UEQ90" s="528"/>
      <c r="UER90" s="528"/>
      <c r="UES90" s="528"/>
      <c r="UET90" s="528"/>
      <c r="UEU90" s="528"/>
      <c r="UEV90" s="528"/>
      <c r="UEW90" s="528"/>
      <c r="UEX90" s="528"/>
      <c r="UEY90" s="528"/>
      <c r="UEZ90" s="528"/>
      <c r="UFA90" s="528"/>
      <c r="UFB90" s="528"/>
      <c r="UFC90" s="528"/>
      <c r="UFD90" s="528"/>
      <c r="UFE90" s="528"/>
      <c r="UFF90" s="528"/>
      <c r="UFG90" s="528"/>
      <c r="UFH90" s="528"/>
      <c r="UFI90" s="528"/>
      <c r="UFJ90" s="528"/>
      <c r="UFK90" s="528"/>
      <c r="UFL90" s="528"/>
      <c r="UFM90" s="528"/>
      <c r="UFN90" s="528"/>
      <c r="UFO90" s="528"/>
      <c r="UFP90" s="528"/>
      <c r="UFQ90" s="528"/>
      <c r="UFR90" s="528"/>
      <c r="UFS90" s="528"/>
      <c r="UFT90" s="528"/>
      <c r="UFU90" s="528"/>
      <c r="UFV90" s="528"/>
      <c r="UFW90" s="528"/>
      <c r="UFX90" s="528"/>
      <c r="UFY90" s="528"/>
      <c r="UFZ90" s="528"/>
      <c r="UGA90" s="528"/>
      <c r="UGB90" s="528"/>
      <c r="UGC90" s="528"/>
      <c r="UGD90" s="528"/>
      <c r="UGE90" s="528"/>
      <c r="UGF90" s="528"/>
      <c r="UGG90" s="528"/>
      <c r="UGH90" s="528"/>
      <c r="UGI90" s="528"/>
      <c r="UGJ90" s="528"/>
      <c r="UGK90" s="528"/>
      <c r="UGL90" s="528"/>
      <c r="UGM90" s="528"/>
      <c r="UGN90" s="528"/>
      <c r="UGO90" s="528"/>
      <c r="UGP90" s="528"/>
      <c r="UGQ90" s="528"/>
      <c r="UGR90" s="528"/>
      <c r="UGS90" s="528"/>
      <c r="UGT90" s="528"/>
      <c r="UGU90" s="528"/>
      <c r="UGV90" s="528"/>
      <c r="UGW90" s="528"/>
      <c r="UGX90" s="528"/>
      <c r="UGY90" s="528"/>
      <c r="UGZ90" s="528"/>
      <c r="UHA90" s="528"/>
      <c r="UHB90" s="528"/>
      <c r="UHC90" s="528"/>
      <c r="UHD90" s="528"/>
      <c r="UHE90" s="528"/>
      <c r="UHF90" s="528"/>
      <c r="UHG90" s="528"/>
      <c r="UHH90" s="528"/>
      <c r="UHI90" s="528"/>
      <c r="UHJ90" s="528"/>
      <c r="UHK90" s="528"/>
      <c r="UHL90" s="528"/>
      <c r="UHM90" s="528"/>
      <c r="UHN90" s="528"/>
      <c r="UHO90" s="528"/>
      <c r="UHP90" s="528"/>
      <c r="UHQ90" s="528"/>
      <c r="UHR90" s="528"/>
      <c r="UHS90" s="528"/>
      <c r="UHT90" s="528"/>
      <c r="UHU90" s="528"/>
      <c r="UHV90" s="528"/>
      <c r="UHW90" s="528"/>
      <c r="UHX90" s="528"/>
      <c r="UHY90" s="528"/>
      <c r="UHZ90" s="528"/>
      <c r="UIA90" s="528"/>
      <c r="UIB90" s="528"/>
      <c r="UIC90" s="528"/>
      <c r="UID90" s="528"/>
      <c r="UIE90" s="528"/>
      <c r="UIF90" s="528"/>
      <c r="UIG90" s="528"/>
      <c r="UIH90" s="528"/>
      <c r="UII90" s="528"/>
      <c r="UIJ90" s="528"/>
      <c r="UIK90" s="528"/>
      <c r="UIL90" s="528"/>
      <c r="UIM90" s="528"/>
      <c r="UIN90" s="528"/>
      <c r="UIO90" s="528"/>
      <c r="UIP90" s="528"/>
      <c r="UIQ90" s="528"/>
      <c r="UIR90" s="528"/>
      <c r="UIS90" s="528"/>
      <c r="UIT90" s="528"/>
      <c r="UIU90" s="528"/>
      <c r="UIV90" s="528"/>
      <c r="UIW90" s="528"/>
      <c r="UIX90" s="528"/>
      <c r="UIY90" s="528"/>
      <c r="UIZ90" s="528"/>
      <c r="UJA90" s="528"/>
      <c r="UJB90" s="528"/>
      <c r="UJC90" s="528"/>
      <c r="UJD90" s="528"/>
      <c r="UJE90" s="528"/>
      <c r="UJF90" s="528"/>
      <c r="UJG90" s="528"/>
      <c r="UJH90" s="528"/>
      <c r="UJI90" s="528"/>
      <c r="UJJ90" s="528"/>
      <c r="UJK90" s="528"/>
      <c r="UJL90" s="528"/>
      <c r="UJM90" s="528"/>
      <c r="UJN90" s="528"/>
      <c r="UJO90" s="528"/>
      <c r="UJP90" s="528"/>
      <c r="UJQ90" s="528"/>
      <c r="UJR90" s="528"/>
      <c r="UJS90" s="528"/>
      <c r="UJT90" s="528"/>
      <c r="UJU90" s="528"/>
      <c r="UJV90" s="528"/>
      <c r="UJW90" s="528"/>
      <c r="UJX90" s="528"/>
      <c r="UJY90" s="528"/>
      <c r="UJZ90" s="528"/>
      <c r="UKA90" s="528"/>
      <c r="UKB90" s="528"/>
      <c r="UKC90" s="528"/>
      <c r="UKD90" s="528"/>
      <c r="UKE90" s="528"/>
      <c r="UKF90" s="528"/>
      <c r="UKG90" s="528"/>
      <c r="UKH90" s="528"/>
      <c r="UKI90" s="528"/>
      <c r="UKJ90" s="528"/>
      <c r="UKK90" s="528"/>
      <c r="UKL90" s="528"/>
      <c r="UKM90" s="528"/>
      <c r="UKN90" s="528"/>
      <c r="UKO90" s="528"/>
      <c r="UKP90" s="528"/>
      <c r="UKQ90" s="528"/>
      <c r="UKR90" s="528"/>
      <c r="UKS90" s="528"/>
      <c r="UKT90" s="528"/>
      <c r="UKU90" s="528"/>
      <c r="UKV90" s="528"/>
      <c r="UKW90" s="528"/>
      <c r="UKX90" s="528"/>
      <c r="UKY90" s="528"/>
      <c r="UKZ90" s="528"/>
      <c r="ULA90" s="528"/>
      <c r="ULB90" s="528"/>
      <c r="ULC90" s="528"/>
      <c r="ULD90" s="528"/>
      <c r="ULE90" s="528"/>
      <c r="ULF90" s="528"/>
      <c r="ULG90" s="528"/>
      <c r="ULH90" s="528"/>
      <c r="ULI90" s="528"/>
      <c r="ULJ90" s="528"/>
      <c r="ULK90" s="528"/>
      <c r="ULL90" s="528"/>
      <c r="ULM90" s="528"/>
      <c r="ULN90" s="528"/>
      <c r="ULO90" s="528"/>
      <c r="ULP90" s="528"/>
      <c r="ULQ90" s="528"/>
      <c r="ULR90" s="528"/>
      <c r="ULS90" s="528"/>
      <c r="ULT90" s="528"/>
      <c r="ULU90" s="528"/>
      <c r="ULV90" s="528"/>
      <c r="ULW90" s="528"/>
      <c r="ULX90" s="528"/>
      <c r="ULY90" s="528"/>
      <c r="ULZ90" s="528"/>
      <c r="UMA90" s="528"/>
      <c r="UMB90" s="528"/>
      <c r="UMC90" s="528"/>
      <c r="UMD90" s="528"/>
      <c r="UME90" s="528"/>
      <c r="UMF90" s="528"/>
      <c r="UMG90" s="528"/>
      <c r="UMH90" s="528"/>
      <c r="UMI90" s="528"/>
      <c r="UMJ90" s="528"/>
      <c r="UMK90" s="528"/>
      <c r="UML90" s="528"/>
      <c r="UMM90" s="528"/>
      <c r="UMN90" s="528"/>
      <c r="UMO90" s="528"/>
      <c r="UMP90" s="528"/>
      <c r="UMQ90" s="528"/>
      <c r="UMR90" s="528"/>
      <c r="UMS90" s="528"/>
      <c r="UMT90" s="528"/>
      <c r="UMU90" s="528"/>
      <c r="UMV90" s="528"/>
      <c r="UMW90" s="528"/>
      <c r="UMX90" s="528"/>
      <c r="UMY90" s="528"/>
      <c r="UMZ90" s="528"/>
      <c r="UNA90" s="528"/>
      <c r="UNB90" s="528"/>
      <c r="UNC90" s="528"/>
      <c r="UND90" s="528"/>
      <c r="UNE90" s="528"/>
      <c r="UNF90" s="528"/>
      <c r="UNG90" s="528"/>
      <c r="UNH90" s="528"/>
      <c r="UNI90" s="528"/>
      <c r="UNJ90" s="528"/>
      <c r="UNK90" s="528"/>
      <c r="UNL90" s="528"/>
      <c r="UNM90" s="528"/>
      <c r="UNN90" s="528"/>
      <c r="UNO90" s="528"/>
      <c r="UNP90" s="528"/>
      <c r="UNQ90" s="528"/>
      <c r="UNR90" s="528"/>
      <c r="UNS90" s="528"/>
      <c r="UNT90" s="528"/>
      <c r="UNU90" s="528"/>
      <c r="UNV90" s="528"/>
      <c r="UNW90" s="528"/>
      <c r="UNX90" s="528"/>
      <c r="UNY90" s="528"/>
      <c r="UNZ90" s="528"/>
      <c r="UOA90" s="528"/>
      <c r="UOB90" s="528"/>
      <c r="UOC90" s="528"/>
      <c r="UOD90" s="528"/>
      <c r="UOE90" s="528"/>
      <c r="UOF90" s="528"/>
      <c r="UOG90" s="528"/>
      <c r="UOH90" s="528"/>
      <c r="UOI90" s="528"/>
      <c r="UOJ90" s="528"/>
      <c r="UOK90" s="528"/>
      <c r="UOL90" s="528"/>
      <c r="UOM90" s="528"/>
      <c r="UON90" s="528"/>
      <c r="UOO90" s="528"/>
      <c r="UOP90" s="528"/>
      <c r="UOQ90" s="528"/>
      <c r="UOR90" s="528"/>
      <c r="UOS90" s="528"/>
      <c r="UOT90" s="528"/>
      <c r="UOU90" s="528"/>
      <c r="UOV90" s="528"/>
      <c r="UOW90" s="528"/>
      <c r="UOX90" s="528"/>
      <c r="UOY90" s="528"/>
      <c r="UOZ90" s="528"/>
      <c r="UPA90" s="528"/>
      <c r="UPB90" s="528"/>
      <c r="UPC90" s="528"/>
      <c r="UPD90" s="528"/>
      <c r="UPE90" s="528"/>
      <c r="UPF90" s="528"/>
      <c r="UPG90" s="528"/>
      <c r="UPH90" s="528"/>
      <c r="UPI90" s="528"/>
      <c r="UPJ90" s="528"/>
      <c r="UPK90" s="528"/>
      <c r="UPL90" s="528"/>
      <c r="UPM90" s="528"/>
      <c r="UPN90" s="528"/>
      <c r="UPO90" s="528"/>
      <c r="UPP90" s="528"/>
      <c r="UPQ90" s="528"/>
      <c r="UPR90" s="528"/>
      <c r="UPS90" s="528"/>
      <c r="UPT90" s="528"/>
      <c r="UPU90" s="528"/>
      <c r="UPV90" s="528"/>
      <c r="UPW90" s="528"/>
      <c r="UPX90" s="528"/>
      <c r="UPY90" s="528"/>
      <c r="UPZ90" s="528"/>
      <c r="UQA90" s="528"/>
      <c r="UQB90" s="528"/>
      <c r="UQC90" s="528"/>
      <c r="UQD90" s="528"/>
      <c r="UQE90" s="528"/>
      <c r="UQF90" s="528"/>
      <c r="UQG90" s="528"/>
      <c r="UQH90" s="528"/>
      <c r="UQI90" s="528"/>
      <c r="UQJ90" s="528"/>
      <c r="UQK90" s="528"/>
      <c r="UQL90" s="528"/>
      <c r="UQM90" s="528"/>
      <c r="UQN90" s="528"/>
      <c r="UQO90" s="528"/>
      <c r="UQP90" s="528"/>
      <c r="UQQ90" s="528"/>
      <c r="UQR90" s="528"/>
      <c r="UQS90" s="528"/>
      <c r="UQT90" s="528"/>
      <c r="UQU90" s="528"/>
      <c r="UQV90" s="528"/>
      <c r="UQW90" s="528"/>
      <c r="UQX90" s="528"/>
      <c r="UQY90" s="528"/>
      <c r="UQZ90" s="528"/>
      <c r="URA90" s="528"/>
      <c r="URB90" s="528"/>
      <c r="URC90" s="528"/>
      <c r="URD90" s="528"/>
      <c r="URE90" s="528"/>
      <c r="URF90" s="528"/>
      <c r="URG90" s="528"/>
      <c r="URH90" s="528"/>
      <c r="URI90" s="528"/>
      <c r="URJ90" s="528"/>
      <c r="URK90" s="528"/>
      <c r="URL90" s="528"/>
      <c r="URM90" s="528"/>
      <c r="URN90" s="528"/>
      <c r="URO90" s="528"/>
      <c r="URP90" s="528"/>
      <c r="URQ90" s="528"/>
      <c r="URR90" s="528"/>
      <c r="URS90" s="528"/>
      <c r="URT90" s="528"/>
      <c r="URU90" s="528"/>
      <c r="URV90" s="528"/>
      <c r="URW90" s="528"/>
      <c r="URX90" s="528"/>
      <c r="URY90" s="528"/>
      <c r="URZ90" s="528"/>
      <c r="USA90" s="528"/>
      <c r="USB90" s="528"/>
      <c r="USC90" s="528"/>
      <c r="USD90" s="528"/>
      <c r="USE90" s="528"/>
      <c r="USF90" s="528"/>
      <c r="USG90" s="528"/>
      <c r="USH90" s="528"/>
      <c r="USI90" s="528"/>
      <c r="USJ90" s="528"/>
      <c r="USK90" s="528"/>
      <c r="USL90" s="528"/>
      <c r="USM90" s="528"/>
      <c r="USN90" s="528"/>
      <c r="USO90" s="528"/>
      <c r="USP90" s="528"/>
      <c r="USQ90" s="528"/>
      <c r="USR90" s="528"/>
      <c r="USS90" s="528"/>
      <c r="UST90" s="528"/>
      <c r="USU90" s="528"/>
      <c r="USV90" s="528"/>
      <c r="USW90" s="528"/>
      <c r="USX90" s="528"/>
      <c r="USY90" s="528"/>
      <c r="USZ90" s="528"/>
      <c r="UTA90" s="528"/>
      <c r="UTB90" s="528"/>
      <c r="UTC90" s="528"/>
      <c r="UTD90" s="528"/>
      <c r="UTE90" s="528"/>
      <c r="UTF90" s="528"/>
      <c r="UTG90" s="528"/>
      <c r="UTH90" s="528"/>
      <c r="UTI90" s="528"/>
      <c r="UTJ90" s="528"/>
      <c r="UTK90" s="528"/>
      <c r="UTL90" s="528"/>
      <c r="UTM90" s="528"/>
      <c r="UTN90" s="528"/>
      <c r="UTO90" s="528"/>
      <c r="UTP90" s="528"/>
      <c r="UTQ90" s="528"/>
      <c r="UTR90" s="528"/>
      <c r="UTS90" s="528"/>
      <c r="UTT90" s="528"/>
      <c r="UTU90" s="528"/>
      <c r="UTV90" s="528"/>
      <c r="UTW90" s="528"/>
      <c r="UTX90" s="528"/>
      <c r="UTY90" s="528"/>
      <c r="UTZ90" s="528"/>
      <c r="UUA90" s="528"/>
      <c r="UUB90" s="528"/>
      <c r="UUC90" s="528"/>
      <c r="UUD90" s="528"/>
      <c r="UUE90" s="528"/>
      <c r="UUF90" s="528"/>
      <c r="UUG90" s="528"/>
      <c r="UUH90" s="528"/>
      <c r="UUI90" s="528"/>
      <c r="UUJ90" s="528"/>
      <c r="UUK90" s="528"/>
      <c r="UUL90" s="528"/>
      <c r="UUM90" s="528"/>
      <c r="UUN90" s="528"/>
      <c r="UUO90" s="528"/>
      <c r="UUP90" s="528"/>
      <c r="UUQ90" s="528"/>
      <c r="UUR90" s="528"/>
      <c r="UUS90" s="528"/>
      <c r="UUT90" s="528"/>
      <c r="UUU90" s="528"/>
      <c r="UUV90" s="528"/>
      <c r="UUW90" s="528"/>
      <c r="UUX90" s="528"/>
      <c r="UUY90" s="528"/>
      <c r="UUZ90" s="528"/>
      <c r="UVA90" s="528"/>
      <c r="UVB90" s="528"/>
      <c r="UVC90" s="528"/>
      <c r="UVD90" s="528"/>
      <c r="UVE90" s="528"/>
      <c r="UVF90" s="528"/>
      <c r="UVG90" s="528"/>
      <c r="UVH90" s="528"/>
      <c r="UVI90" s="528"/>
      <c r="UVJ90" s="528"/>
      <c r="UVK90" s="528"/>
      <c r="UVL90" s="528"/>
      <c r="UVM90" s="528"/>
      <c r="UVN90" s="528"/>
      <c r="UVO90" s="528"/>
      <c r="UVP90" s="528"/>
      <c r="UVQ90" s="528"/>
      <c r="UVR90" s="528"/>
      <c r="UVS90" s="528"/>
      <c r="UVT90" s="528"/>
      <c r="UVU90" s="528"/>
      <c r="UVV90" s="528"/>
      <c r="UVW90" s="528"/>
      <c r="UVX90" s="528"/>
      <c r="UVY90" s="528"/>
      <c r="UVZ90" s="528"/>
      <c r="UWA90" s="528"/>
      <c r="UWB90" s="528"/>
      <c r="UWC90" s="528"/>
      <c r="UWD90" s="528"/>
      <c r="UWE90" s="528"/>
      <c r="UWF90" s="528"/>
      <c r="UWG90" s="528"/>
      <c r="UWH90" s="528"/>
      <c r="UWI90" s="528"/>
      <c r="UWJ90" s="528"/>
      <c r="UWK90" s="528"/>
      <c r="UWL90" s="528"/>
      <c r="UWM90" s="528"/>
      <c r="UWN90" s="528"/>
      <c r="UWO90" s="528"/>
      <c r="UWP90" s="528"/>
      <c r="UWQ90" s="528"/>
      <c r="UWR90" s="528"/>
      <c r="UWS90" s="528"/>
      <c r="UWT90" s="528"/>
      <c r="UWU90" s="528"/>
      <c r="UWV90" s="528"/>
      <c r="UWW90" s="528"/>
      <c r="UWX90" s="528"/>
      <c r="UWY90" s="528"/>
      <c r="UWZ90" s="528"/>
      <c r="UXA90" s="528"/>
      <c r="UXB90" s="528"/>
      <c r="UXC90" s="528"/>
      <c r="UXD90" s="528"/>
      <c r="UXE90" s="528"/>
      <c r="UXF90" s="528"/>
      <c r="UXG90" s="528"/>
      <c r="UXH90" s="528"/>
      <c r="UXI90" s="528"/>
      <c r="UXJ90" s="528"/>
      <c r="UXK90" s="528"/>
      <c r="UXL90" s="528"/>
      <c r="UXM90" s="528"/>
      <c r="UXN90" s="528"/>
      <c r="UXO90" s="528"/>
      <c r="UXP90" s="528"/>
      <c r="UXQ90" s="528"/>
      <c r="UXR90" s="528"/>
      <c r="UXS90" s="528"/>
      <c r="UXT90" s="528"/>
      <c r="UXU90" s="528"/>
      <c r="UXV90" s="528"/>
      <c r="UXW90" s="528"/>
      <c r="UXX90" s="528"/>
      <c r="UXY90" s="528"/>
      <c r="UXZ90" s="528"/>
      <c r="UYA90" s="528"/>
      <c r="UYB90" s="528"/>
      <c r="UYC90" s="528"/>
      <c r="UYD90" s="528"/>
      <c r="UYE90" s="528"/>
      <c r="UYF90" s="528"/>
      <c r="UYG90" s="528"/>
      <c r="UYH90" s="528"/>
      <c r="UYI90" s="528"/>
      <c r="UYJ90" s="528"/>
      <c r="UYK90" s="528"/>
      <c r="UYL90" s="528"/>
      <c r="UYM90" s="528"/>
      <c r="UYN90" s="528"/>
      <c r="UYO90" s="528"/>
      <c r="UYP90" s="528"/>
      <c r="UYQ90" s="528"/>
      <c r="UYR90" s="528"/>
      <c r="UYS90" s="528"/>
      <c r="UYT90" s="528"/>
      <c r="UYU90" s="528"/>
      <c r="UYV90" s="528"/>
      <c r="UYW90" s="528"/>
      <c r="UYX90" s="528"/>
      <c r="UYY90" s="528"/>
      <c r="UYZ90" s="528"/>
      <c r="UZA90" s="528"/>
      <c r="UZB90" s="528"/>
      <c r="UZC90" s="528"/>
      <c r="UZD90" s="528"/>
      <c r="UZE90" s="528"/>
      <c r="UZF90" s="528"/>
      <c r="UZG90" s="528"/>
      <c r="UZH90" s="528"/>
      <c r="UZI90" s="528"/>
      <c r="UZJ90" s="528"/>
      <c r="UZK90" s="528"/>
      <c r="UZL90" s="528"/>
      <c r="UZM90" s="528"/>
      <c r="UZN90" s="528"/>
      <c r="UZO90" s="528"/>
      <c r="UZP90" s="528"/>
      <c r="UZQ90" s="528"/>
      <c r="UZR90" s="528"/>
      <c r="UZS90" s="528"/>
      <c r="UZT90" s="528"/>
      <c r="UZU90" s="528"/>
      <c r="UZV90" s="528"/>
      <c r="UZW90" s="528"/>
      <c r="UZX90" s="528"/>
      <c r="UZY90" s="528"/>
      <c r="UZZ90" s="528"/>
      <c r="VAA90" s="528"/>
      <c r="VAB90" s="528"/>
      <c r="VAC90" s="528"/>
      <c r="VAD90" s="528"/>
      <c r="VAE90" s="528"/>
      <c r="VAF90" s="528"/>
      <c r="VAG90" s="528"/>
      <c r="VAH90" s="528"/>
      <c r="VAI90" s="528"/>
      <c r="VAJ90" s="528"/>
      <c r="VAK90" s="528"/>
      <c r="VAL90" s="528"/>
      <c r="VAM90" s="528"/>
      <c r="VAN90" s="528"/>
      <c r="VAO90" s="528"/>
      <c r="VAP90" s="528"/>
      <c r="VAQ90" s="528"/>
      <c r="VAR90" s="528"/>
      <c r="VAS90" s="528"/>
      <c r="VAT90" s="528"/>
      <c r="VAU90" s="528"/>
      <c r="VAV90" s="528"/>
      <c r="VAW90" s="528"/>
      <c r="VAX90" s="528"/>
      <c r="VAY90" s="528"/>
      <c r="VAZ90" s="528"/>
      <c r="VBA90" s="528"/>
      <c r="VBB90" s="528"/>
      <c r="VBC90" s="528"/>
      <c r="VBD90" s="528"/>
      <c r="VBE90" s="528"/>
      <c r="VBF90" s="528"/>
      <c r="VBG90" s="528"/>
      <c r="VBH90" s="528"/>
      <c r="VBI90" s="528"/>
      <c r="VBJ90" s="528"/>
      <c r="VBK90" s="528"/>
      <c r="VBL90" s="528"/>
      <c r="VBM90" s="528"/>
      <c r="VBN90" s="528"/>
      <c r="VBO90" s="528"/>
      <c r="VBP90" s="528"/>
      <c r="VBQ90" s="528"/>
      <c r="VBR90" s="528"/>
      <c r="VBS90" s="528"/>
      <c r="VBT90" s="528"/>
      <c r="VBU90" s="528"/>
      <c r="VBV90" s="528"/>
      <c r="VBW90" s="528"/>
      <c r="VBX90" s="528"/>
      <c r="VBY90" s="528"/>
      <c r="VBZ90" s="528"/>
      <c r="VCA90" s="528"/>
      <c r="VCB90" s="528"/>
      <c r="VCC90" s="528"/>
      <c r="VCD90" s="528"/>
      <c r="VCE90" s="528"/>
      <c r="VCF90" s="528"/>
      <c r="VCG90" s="528"/>
      <c r="VCH90" s="528"/>
      <c r="VCI90" s="528"/>
      <c r="VCJ90" s="528"/>
      <c r="VCK90" s="528"/>
      <c r="VCL90" s="528"/>
      <c r="VCM90" s="528"/>
      <c r="VCN90" s="528"/>
      <c r="VCO90" s="528"/>
      <c r="VCP90" s="528"/>
      <c r="VCQ90" s="528"/>
      <c r="VCR90" s="528"/>
      <c r="VCS90" s="528"/>
      <c r="VCT90" s="528"/>
      <c r="VCU90" s="528"/>
      <c r="VCV90" s="528"/>
      <c r="VCW90" s="528"/>
      <c r="VCX90" s="528"/>
      <c r="VCY90" s="528"/>
      <c r="VCZ90" s="528"/>
      <c r="VDA90" s="528"/>
      <c r="VDB90" s="528"/>
      <c r="VDC90" s="528"/>
      <c r="VDD90" s="528"/>
      <c r="VDE90" s="528"/>
      <c r="VDF90" s="528"/>
      <c r="VDG90" s="528"/>
      <c r="VDH90" s="528"/>
      <c r="VDI90" s="528"/>
      <c r="VDJ90" s="528"/>
      <c r="VDK90" s="528"/>
      <c r="VDL90" s="528"/>
      <c r="VDM90" s="528"/>
      <c r="VDN90" s="528"/>
      <c r="VDO90" s="528"/>
      <c r="VDP90" s="528"/>
      <c r="VDQ90" s="528"/>
      <c r="VDR90" s="528"/>
      <c r="VDS90" s="528"/>
      <c r="VDT90" s="528"/>
      <c r="VDU90" s="528"/>
      <c r="VDV90" s="528"/>
      <c r="VDW90" s="528"/>
      <c r="VDX90" s="528"/>
      <c r="VDY90" s="528"/>
      <c r="VDZ90" s="528"/>
      <c r="VEA90" s="528"/>
      <c r="VEB90" s="528"/>
      <c r="VEC90" s="528"/>
      <c r="VED90" s="528"/>
      <c r="VEE90" s="528"/>
      <c r="VEF90" s="528"/>
      <c r="VEG90" s="528"/>
      <c r="VEH90" s="528"/>
      <c r="VEI90" s="528"/>
      <c r="VEJ90" s="528"/>
      <c r="VEK90" s="528"/>
      <c r="VEL90" s="528"/>
      <c r="VEM90" s="528"/>
      <c r="VEN90" s="528"/>
      <c r="VEO90" s="528"/>
      <c r="VEP90" s="528"/>
      <c r="VEQ90" s="528"/>
      <c r="VER90" s="528"/>
      <c r="VES90" s="528"/>
      <c r="VET90" s="528"/>
      <c r="VEU90" s="528"/>
      <c r="VEV90" s="528"/>
      <c r="VEW90" s="528"/>
      <c r="VEX90" s="528"/>
      <c r="VEY90" s="528"/>
      <c r="VEZ90" s="528"/>
      <c r="VFA90" s="528"/>
      <c r="VFB90" s="528"/>
      <c r="VFC90" s="528"/>
      <c r="VFD90" s="528"/>
      <c r="VFE90" s="528"/>
      <c r="VFF90" s="528"/>
      <c r="VFG90" s="528"/>
      <c r="VFH90" s="528"/>
      <c r="VFI90" s="528"/>
      <c r="VFJ90" s="528"/>
      <c r="VFK90" s="528"/>
      <c r="VFL90" s="528"/>
      <c r="VFM90" s="528"/>
      <c r="VFN90" s="528"/>
      <c r="VFO90" s="528"/>
      <c r="VFP90" s="528"/>
      <c r="VFQ90" s="528"/>
      <c r="VFR90" s="528"/>
      <c r="VFS90" s="528"/>
      <c r="VFT90" s="528"/>
      <c r="VFU90" s="528"/>
      <c r="VFV90" s="528"/>
      <c r="VFW90" s="528"/>
      <c r="VFX90" s="528"/>
      <c r="VFY90" s="528"/>
      <c r="VFZ90" s="528"/>
      <c r="VGA90" s="528"/>
      <c r="VGB90" s="528"/>
      <c r="VGC90" s="528"/>
      <c r="VGD90" s="528"/>
      <c r="VGE90" s="528"/>
      <c r="VGF90" s="528"/>
      <c r="VGG90" s="528"/>
      <c r="VGH90" s="528"/>
      <c r="VGI90" s="528"/>
      <c r="VGJ90" s="528"/>
      <c r="VGK90" s="528"/>
      <c r="VGL90" s="528"/>
      <c r="VGM90" s="528"/>
      <c r="VGN90" s="528"/>
      <c r="VGO90" s="528"/>
      <c r="VGP90" s="528"/>
      <c r="VGQ90" s="528"/>
      <c r="VGR90" s="528"/>
      <c r="VGS90" s="528"/>
      <c r="VGT90" s="528"/>
      <c r="VGU90" s="528"/>
      <c r="VGV90" s="528"/>
      <c r="VGW90" s="528"/>
      <c r="VGX90" s="528"/>
      <c r="VGY90" s="528"/>
      <c r="VGZ90" s="528"/>
      <c r="VHA90" s="528"/>
      <c r="VHB90" s="528"/>
      <c r="VHC90" s="528"/>
      <c r="VHD90" s="528"/>
      <c r="VHE90" s="528"/>
      <c r="VHF90" s="528"/>
      <c r="VHG90" s="528"/>
      <c r="VHH90" s="528"/>
      <c r="VHI90" s="528"/>
      <c r="VHJ90" s="528"/>
      <c r="VHK90" s="528"/>
      <c r="VHL90" s="528"/>
      <c r="VHM90" s="528"/>
      <c r="VHN90" s="528"/>
      <c r="VHO90" s="528"/>
      <c r="VHP90" s="528"/>
      <c r="VHQ90" s="528"/>
      <c r="VHR90" s="528"/>
      <c r="VHS90" s="528"/>
      <c r="VHT90" s="528"/>
      <c r="VHU90" s="528"/>
      <c r="VHV90" s="528"/>
      <c r="VHW90" s="528"/>
      <c r="VHX90" s="528"/>
      <c r="VHY90" s="528"/>
      <c r="VHZ90" s="528"/>
      <c r="VIA90" s="528"/>
      <c r="VIB90" s="528"/>
      <c r="VIC90" s="528"/>
      <c r="VID90" s="528"/>
      <c r="VIE90" s="528"/>
      <c r="VIF90" s="528"/>
      <c r="VIG90" s="528"/>
      <c r="VIH90" s="528"/>
      <c r="VII90" s="528"/>
      <c r="VIJ90" s="528"/>
      <c r="VIK90" s="528"/>
      <c r="VIL90" s="528"/>
      <c r="VIM90" s="528"/>
      <c r="VIN90" s="528"/>
      <c r="VIO90" s="528"/>
      <c r="VIP90" s="528"/>
      <c r="VIQ90" s="528"/>
      <c r="VIR90" s="528"/>
      <c r="VIS90" s="528"/>
      <c r="VIT90" s="528"/>
      <c r="VIU90" s="528"/>
      <c r="VIV90" s="528"/>
      <c r="VIW90" s="528"/>
      <c r="VIX90" s="528"/>
      <c r="VIY90" s="528"/>
      <c r="VIZ90" s="528"/>
      <c r="VJA90" s="528"/>
      <c r="VJB90" s="528"/>
      <c r="VJC90" s="528"/>
      <c r="VJD90" s="528"/>
      <c r="VJE90" s="528"/>
      <c r="VJF90" s="528"/>
      <c r="VJG90" s="528"/>
      <c r="VJH90" s="528"/>
      <c r="VJI90" s="528"/>
      <c r="VJJ90" s="528"/>
      <c r="VJK90" s="528"/>
      <c r="VJL90" s="528"/>
      <c r="VJM90" s="528"/>
      <c r="VJN90" s="528"/>
      <c r="VJO90" s="528"/>
      <c r="VJP90" s="528"/>
      <c r="VJQ90" s="528"/>
      <c r="VJR90" s="528"/>
      <c r="VJS90" s="528"/>
      <c r="VJT90" s="528"/>
      <c r="VJU90" s="528"/>
      <c r="VJV90" s="528"/>
      <c r="VJW90" s="528"/>
      <c r="VJX90" s="528"/>
      <c r="VJY90" s="528"/>
      <c r="VJZ90" s="528"/>
      <c r="VKA90" s="528"/>
      <c r="VKB90" s="528"/>
      <c r="VKC90" s="528"/>
      <c r="VKD90" s="528"/>
      <c r="VKE90" s="528"/>
      <c r="VKF90" s="528"/>
      <c r="VKG90" s="528"/>
      <c r="VKH90" s="528"/>
      <c r="VKI90" s="528"/>
      <c r="VKJ90" s="528"/>
      <c r="VKK90" s="528"/>
      <c r="VKL90" s="528"/>
      <c r="VKM90" s="528"/>
      <c r="VKN90" s="528"/>
      <c r="VKO90" s="528"/>
      <c r="VKP90" s="528"/>
      <c r="VKQ90" s="528"/>
      <c r="VKR90" s="528"/>
      <c r="VKS90" s="528"/>
      <c r="VKT90" s="528"/>
      <c r="VKU90" s="528"/>
      <c r="VKV90" s="528"/>
      <c r="VKW90" s="528"/>
      <c r="VKX90" s="528"/>
      <c r="VKY90" s="528"/>
      <c r="VKZ90" s="528"/>
      <c r="VLA90" s="528"/>
      <c r="VLB90" s="528"/>
      <c r="VLC90" s="528"/>
      <c r="VLD90" s="528"/>
      <c r="VLE90" s="528"/>
      <c r="VLF90" s="528"/>
      <c r="VLG90" s="528"/>
      <c r="VLH90" s="528"/>
      <c r="VLI90" s="528"/>
      <c r="VLJ90" s="528"/>
      <c r="VLK90" s="528"/>
      <c r="VLL90" s="528"/>
      <c r="VLM90" s="528"/>
      <c r="VLN90" s="528"/>
      <c r="VLO90" s="528"/>
      <c r="VLP90" s="528"/>
      <c r="VLQ90" s="528"/>
      <c r="VLR90" s="528"/>
      <c r="VLS90" s="528"/>
      <c r="VLT90" s="528"/>
      <c r="VLU90" s="528"/>
      <c r="VLV90" s="528"/>
      <c r="VLW90" s="528"/>
      <c r="VLX90" s="528"/>
      <c r="VLY90" s="528"/>
      <c r="VLZ90" s="528"/>
      <c r="VMA90" s="528"/>
      <c r="VMB90" s="528"/>
      <c r="VMC90" s="528"/>
      <c r="VMD90" s="528"/>
      <c r="VME90" s="528"/>
      <c r="VMF90" s="528"/>
      <c r="VMG90" s="528"/>
      <c r="VMH90" s="528"/>
      <c r="VMI90" s="528"/>
      <c r="VMJ90" s="528"/>
      <c r="VMK90" s="528"/>
      <c r="VML90" s="528"/>
      <c r="VMM90" s="528"/>
      <c r="VMN90" s="528"/>
      <c r="VMO90" s="528"/>
      <c r="VMP90" s="528"/>
      <c r="VMQ90" s="528"/>
      <c r="VMR90" s="528"/>
      <c r="VMS90" s="528"/>
      <c r="VMT90" s="528"/>
      <c r="VMU90" s="528"/>
      <c r="VMV90" s="528"/>
      <c r="VMW90" s="528"/>
      <c r="VMX90" s="528"/>
      <c r="VMY90" s="528"/>
      <c r="VMZ90" s="528"/>
      <c r="VNA90" s="528"/>
      <c r="VNB90" s="528"/>
      <c r="VNC90" s="528"/>
      <c r="VND90" s="528"/>
      <c r="VNE90" s="528"/>
      <c r="VNF90" s="528"/>
      <c r="VNG90" s="528"/>
      <c r="VNH90" s="528"/>
      <c r="VNI90" s="528"/>
      <c r="VNJ90" s="528"/>
      <c r="VNK90" s="528"/>
      <c r="VNL90" s="528"/>
      <c r="VNM90" s="528"/>
      <c r="VNN90" s="528"/>
      <c r="VNO90" s="528"/>
      <c r="VNP90" s="528"/>
      <c r="VNQ90" s="528"/>
      <c r="VNR90" s="528"/>
      <c r="VNS90" s="528"/>
      <c r="VNT90" s="528"/>
      <c r="VNU90" s="528"/>
      <c r="VNV90" s="528"/>
      <c r="VNW90" s="528"/>
      <c r="VNX90" s="528"/>
      <c r="VNY90" s="528"/>
      <c r="VNZ90" s="528"/>
      <c r="VOA90" s="528"/>
      <c r="VOB90" s="528"/>
      <c r="VOC90" s="528"/>
      <c r="VOD90" s="528"/>
      <c r="VOE90" s="528"/>
      <c r="VOF90" s="528"/>
      <c r="VOG90" s="528"/>
      <c r="VOH90" s="528"/>
      <c r="VOI90" s="528"/>
      <c r="VOJ90" s="528"/>
      <c r="VOK90" s="528"/>
      <c r="VOL90" s="528"/>
      <c r="VOM90" s="528"/>
      <c r="VON90" s="528"/>
      <c r="VOO90" s="528"/>
      <c r="VOP90" s="528"/>
      <c r="VOQ90" s="528"/>
      <c r="VOR90" s="528"/>
      <c r="VOS90" s="528"/>
      <c r="VOT90" s="528"/>
      <c r="VOU90" s="528"/>
      <c r="VOV90" s="528"/>
      <c r="VOW90" s="528"/>
      <c r="VOX90" s="528"/>
      <c r="VOY90" s="528"/>
      <c r="VOZ90" s="528"/>
      <c r="VPA90" s="528"/>
      <c r="VPB90" s="528"/>
      <c r="VPC90" s="528"/>
      <c r="VPD90" s="528"/>
      <c r="VPE90" s="528"/>
      <c r="VPF90" s="528"/>
      <c r="VPG90" s="528"/>
      <c r="VPH90" s="528"/>
      <c r="VPI90" s="528"/>
      <c r="VPJ90" s="528"/>
      <c r="VPK90" s="528"/>
      <c r="VPL90" s="528"/>
      <c r="VPM90" s="528"/>
      <c r="VPN90" s="528"/>
      <c r="VPO90" s="528"/>
      <c r="VPP90" s="528"/>
      <c r="VPQ90" s="528"/>
      <c r="VPR90" s="528"/>
      <c r="VPS90" s="528"/>
      <c r="VPT90" s="528"/>
      <c r="VPU90" s="528"/>
      <c r="VPV90" s="528"/>
      <c r="VPW90" s="528"/>
      <c r="VPX90" s="528"/>
      <c r="VPY90" s="528"/>
      <c r="VPZ90" s="528"/>
      <c r="VQA90" s="528"/>
      <c r="VQB90" s="528"/>
      <c r="VQC90" s="528"/>
      <c r="VQD90" s="528"/>
      <c r="VQE90" s="528"/>
      <c r="VQF90" s="528"/>
      <c r="VQG90" s="528"/>
      <c r="VQH90" s="528"/>
      <c r="VQI90" s="528"/>
      <c r="VQJ90" s="528"/>
      <c r="VQK90" s="528"/>
      <c r="VQL90" s="528"/>
      <c r="VQM90" s="528"/>
      <c r="VQN90" s="528"/>
      <c r="VQO90" s="528"/>
      <c r="VQP90" s="528"/>
      <c r="VQQ90" s="528"/>
      <c r="VQR90" s="528"/>
      <c r="VQS90" s="528"/>
      <c r="VQT90" s="528"/>
      <c r="VQU90" s="528"/>
      <c r="VQV90" s="528"/>
      <c r="VQW90" s="528"/>
      <c r="VQX90" s="528"/>
      <c r="VQY90" s="528"/>
      <c r="VQZ90" s="528"/>
      <c r="VRA90" s="528"/>
      <c r="VRB90" s="528"/>
      <c r="VRC90" s="528"/>
      <c r="VRD90" s="528"/>
      <c r="VRE90" s="528"/>
      <c r="VRF90" s="528"/>
      <c r="VRG90" s="528"/>
      <c r="VRH90" s="528"/>
      <c r="VRI90" s="528"/>
      <c r="VRJ90" s="528"/>
      <c r="VRK90" s="528"/>
      <c r="VRL90" s="528"/>
      <c r="VRM90" s="528"/>
      <c r="VRN90" s="528"/>
      <c r="VRO90" s="528"/>
      <c r="VRP90" s="528"/>
      <c r="VRQ90" s="528"/>
      <c r="VRR90" s="528"/>
      <c r="VRS90" s="528"/>
      <c r="VRT90" s="528"/>
      <c r="VRU90" s="528"/>
      <c r="VRV90" s="528"/>
      <c r="VRW90" s="528"/>
      <c r="VRX90" s="528"/>
      <c r="VRY90" s="528"/>
      <c r="VRZ90" s="528"/>
      <c r="VSA90" s="528"/>
      <c r="VSB90" s="528"/>
      <c r="VSC90" s="528"/>
      <c r="VSD90" s="528"/>
      <c r="VSE90" s="528"/>
      <c r="VSF90" s="528"/>
      <c r="VSG90" s="528"/>
      <c r="VSH90" s="528"/>
      <c r="VSI90" s="528"/>
      <c r="VSJ90" s="528"/>
      <c r="VSK90" s="528"/>
      <c r="VSL90" s="528"/>
      <c r="VSM90" s="528"/>
      <c r="VSN90" s="528"/>
      <c r="VSO90" s="528"/>
      <c r="VSP90" s="528"/>
      <c r="VSQ90" s="528"/>
      <c r="VSR90" s="528"/>
      <c r="VSS90" s="528"/>
      <c r="VST90" s="528"/>
      <c r="VSU90" s="528"/>
      <c r="VSV90" s="528"/>
      <c r="VSW90" s="528"/>
      <c r="VSX90" s="528"/>
      <c r="VSY90" s="528"/>
      <c r="VSZ90" s="528"/>
      <c r="VTA90" s="528"/>
      <c r="VTB90" s="528"/>
      <c r="VTC90" s="528"/>
      <c r="VTD90" s="528"/>
      <c r="VTE90" s="528"/>
      <c r="VTF90" s="528"/>
      <c r="VTG90" s="528"/>
      <c r="VTH90" s="528"/>
      <c r="VTI90" s="528"/>
      <c r="VTJ90" s="528"/>
      <c r="VTK90" s="528"/>
      <c r="VTL90" s="528"/>
      <c r="VTM90" s="528"/>
      <c r="VTN90" s="528"/>
      <c r="VTO90" s="528"/>
      <c r="VTP90" s="528"/>
      <c r="VTQ90" s="528"/>
      <c r="VTR90" s="528"/>
      <c r="VTS90" s="528"/>
      <c r="VTT90" s="528"/>
      <c r="VTU90" s="528"/>
      <c r="VTV90" s="528"/>
      <c r="VTW90" s="528"/>
      <c r="VTX90" s="528"/>
      <c r="VTY90" s="528"/>
      <c r="VTZ90" s="528"/>
      <c r="VUA90" s="528"/>
      <c r="VUB90" s="528"/>
      <c r="VUC90" s="528"/>
      <c r="VUD90" s="528"/>
      <c r="VUE90" s="528"/>
      <c r="VUF90" s="528"/>
      <c r="VUG90" s="528"/>
      <c r="VUH90" s="528"/>
      <c r="VUI90" s="528"/>
      <c r="VUJ90" s="528"/>
      <c r="VUK90" s="528"/>
      <c r="VUL90" s="528"/>
      <c r="VUM90" s="528"/>
      <c r="VUN90" s="528"/>
      <c r="VUO90" s="528"/>
      <c r="VUP90" s="528"/>
      <c r="VUQ90" s="528"/>
      <c r="VUR90" s="528"/>
      <c r="VUS90" s="528"/>
      <c r="VUT90" s="528"/>
      <c r="VUU90" s="528"/>
      <c r="VUV90" s="528"/>
      <c r="VUW90" s="528"/>
      <c r="VUX90" s="528"/>
      <c r="VUY90" s="528"/>
      <c r="VUZ90" s="528"/>
      <c r="VVA90" s="528"/>
      <c r="VVB90" s="528"/>
      <c r="VVC90" s="528"/>
      <c r="VVD90" s="528"/>
      <c r="VVE90" s="528"/>
      <c r="VVF90" s="528"/>
      <c r="VVG90" s="528"/>
      <c r="VVH90" s="528"/>
      <c r="VVI90" s="528"/>
      <c r="VVJ90" s="528"/>
      <c r="VVK90" s="528"/>
      <c r="VVL90" s="528"/>
      <c r="VVM90" s="528"/>
      <c r="VVN90" s="528"/>
      <c r="VVO90" s="528"/>
      <c r="VVP90" s="528"/>
      <c r="VVQ90" s="528"/>
      <c r="VVR90" s="528"/>
      <c r="VVS90" s="528"/>
      <c r="VVT90" s="528"/>
      <c r="VVU90" s="528"/>
      <c r="VVV90" s="528"/>
      <c r="VVW90" s="528"/>
      <c r="VVX90" s="528"/>
      <c r="VVY90" s="528"/>
      <c r="VVZ90" s="528"/>
      <c r="VWA90" s="528"/>
      <c r="VWB90" s="528"/>
      <c r="VWC90" s="528"/>
      <c r="VWD90" s="528"/>
      <c r="VWE90" s="528"/>
      <c r="VWF90" s="528"/>
      <c r="VWG90" s="528"/>
      <c r="VWH90" s="528"/>
      <c r="VWI90" s="528"/>
      <c r="VWJ90" s="528"/>
      <c r="VWK90" s="528"/>
      <c r="VWL90" s="528"/>
      <c r="VWM90" s="528"/>
      <c r="VWN90" s="528"/>
      <c r="VWO90" s="528"/>
      <c r="VWP90" s="528"/>
      <c r="VWQ90" s="528"/>
      <c r="VWR90" s="528"/>
      <c r="VWS90" s="528"/>
      <c r="VWT90" s="528"/>
      <c r="VWU90" s="528"/>
      <c r="VWV90" s="528"/>
      <c r="VWW90" s="528"/>
      <c r="VWX90" s="528"/>
      <c r="VWY90" s="528"/>
      <c r="VWZ90" s="528"/>
      <c r="VXA90" s="528"/>
      <c r="VXB90" s="528"/>
      <c r="VXC90" s="528"/>
      <c r="VXD90" s="528"/>
      <c r="VXE90" s="528"/>
      <c r="VXF90" s="528"/>
      <c r="VXG90" s="528"/>
      <c r="VXH90" s="528"/>
      <c r="VXI90" s="528"/>
      <c r="VXJ90" s="528"/>
      <c r="VXK90" s="528"/>
      <c r="VXL90" s="528"/>
      <c r="VXM90" s="528"/>
      <c r="VXN90" s="528"/>
      <c r="VXO90" s="528"/>
      <c r="VXP90" s="528"/>
      <c r="VXQ90" s="528"/>
      <c r="VXR90" s="528"/>
      <c r="VXS90" s="528"/>
      <c r="VXT90" s="528"/>
      <c r="VXU90" s="528"/>
      <c r="VXV90" s="528"/>
      <c r="VXW90" s="528"/>
      <c r="VXX90" s="528"/>
      <c r="VXY90" s="528"/>
      <c r="VXZ90" s="528"/>
      <c r="VYA90" s="528"/>
      <c r="VYB90" s="528"/>
      <c r="VYC90" s="528"/>
      <c r="VYD90" s="528"/>
      <c r="VYE90" s="528"/>
      <c r="VYF90" s="528"/>
      <c r="VYG90" s="528"/>
      <c r="VYH90" s="528"/>
      <c r="VYI90" s="528"/>
      <c r="VYJ90" s="528"/>
      <c r="VYK90" s="528"/>
      <c r="VYL90" s="528"/>
      <c r="VYM90" s="528"/>
      <c r="VYN90" s="528"/>
      <c r="VYO90" s="528"/>
      <c r="VYP90" s="528"/>
      <c r="VYQ90" s="528"/>
      <c r="VYR90" s="528"/>
      <c r="VYS90" s="528"/>
      <c r="VYT90" s="528"/>
      <c r="VYU90" s="528"/>
      <c r="VYV90" s="528"/>
      <c r="VYW90" s="528"/>
      <c r="VYX90" s="528"/>
      <c r="VYY90" s="528"/>
      <c r="VYZ90" s="528"/>
      <c r="VZA90" s="528"/>
      <c r="VZB90" s="528"/>
      <c r="VZC90" s="528"/>
      <c r="VZD90" s="528"/>
      <c r="VZE90" s="528"/>
      <c r="VZF90" s="528"/>
      <c r="VZG90" s="528"/>
      <c r="VZH90" s="528"/>
      <c r="VZI90" s="528"/>
      <c r="VZJ90" s="528"/>
      <c r="VZK90" s="528"/>
      <c r="VZL90" s="528"/>
      <c r="VZM90" s="528"/>
      <c r="VZN90" s="528"/>
      <c r="VZO90" s="528"/>
      <c r="VZP90" s="528"/>
      <c r="VZQ90" s="528"/>
      <c r="VZR90" s="528"/>
      <c r="VZS90" s="528"/>
      <c r="VZT90" s="528"/>
      <c r="VZU90" s="528"/>
      <c r="VZV90" s="528"/>
      <c r="VZW90" s="528"/>
      <c r="VZX90" s="528"/>
      <c r="VZY90" s="528"/>
      <c r="VZZ90" s="528"/>
      <c r="WAA90" s="528"/>
      <c r="WAB90" s="528"/>
      <c r="WAC90" s="528"/>
      <c r="WAD90" s="528"/>
      <c r="WAE90" s="528"/>
      <c r="WAF90" s="528"/>
      <c r="WAG90" s="528"/>
      <c r="WAH90" s="528"/>
      <c r="WAI90" s="528"/>
      <c r="WAJ90" s="528"/>
      <c r="WAK90" s="528"/>
      <c r="WAL90" s="528"/>
      <c r="WAM90" s="528"/>
      <c r="WAN90" s="528"/>
      <c r="WAO90" s="528"/>
      <c r="WAP90" s="528"/>
      <c r="WAQ90" s="528"/>
      <c r="WAR90" s="528"/>
      <c r="WAS90" s="528"/>
      <c r="WAT90" s="528"/>
      <c r="WAU90" s="528"/>
      <c r="WAV90" s="528"/>
      <c r="WAW90" s="528"/>
      <c r="WAX90" s="528"/>
      <c r="WAY90" s="528"/>
      <c r="WAZ90" s="528"/>
      <c r="WBA90" s="528"/>
      <c r="WBB90" s="528"/>
      <c r="WBC90" s="528"/>
      <c r="WBD90" s="528"/>
      <c r="WBE90" s="528"/>
      <c r="WBF90" s="528"/>
      <c r="WBG90" s="528"/>
      <c r="WBH90" s="528"/>
      <c r="WBI90" s="528"/>
      <c r="WBJ90" s="528"/>
      <c r="WBK90" s="528"/>
      <c r="WBL90" s="528"/>
      <c r="WBM90" s="528"/>
      <c r="WBN90" s="528"/>
      <c r="WBO90" s="528"/>
      <c r="WBP90" s="528"/>
      <c r="WBQ90" s="528"/>
      <c r="WBR90" s="528"/>
      <c r="WBS90" s="528"/>
      <c r="WBT90" s="528"/>
      <c r="WBU90" s="528"/>
      <c r="WBV90" s="528"/>
      <c r="WBW90" s="528"/>
      <c r="WBX90" s="528"/>
      <c r="WBY90" s="528"/>
      <c r="WBZ90" s="528"/>
      <c r="WCA90" s="528"/>
      <c r="WCB90" s="528"/>
      <c r="WCC90" s="528"/>
      <c r="WCD90" s="528"/>
      <c r="WCE90" s="528"/>
      <c r="WCF90" s="528"/>
      <c r="WCG90" s="528"/>
      <c r="WCH90" s="528"/>
      <c r="WCI90" s="528"/>
      <c r="WCJ90" s="528"/>
      <c r="WCK90" s="528"/>
      <c r="WCL90" s="528"/>
      <c r="WCM90" s="528"/>
      <c r="WCN90" s="528"/>
      <c r="WCO90" s="528"/>
      <c r="WCP90" s="528"/>
      <c r="WCQ90" s="528"/>
      <c r="WCR90" s="528"/>
      <c r="WCS90" s="528"/>
      <c r="WCT90" s="528"/>
      <c r="WCU90" s="528"/>
      <c r="WCV90" s="528"/>
      <c r="WCW90" s="528"/>
      <c r="WCX90" s="528"/>
      <c r="WCY90" s="528"/>
      <c r="WCZ90" s="528"/>
      <c r="WDA90" s="528"/>
      <c r="WDB90" s="528"/>
      <c r="WDC90" s="528"/>
      <c r="WDD90" s="528"/>
      <c r="WDE90" s="528"/>
      <c r="WDF90" s="528"/>
      <c r="WDG90" s="528"/>
      <c r="WDH90" s="528"/>
      <c r="WDI90" s="528"/>
      <c r="WDJ90" s="528"/>
      <c r="WDK90" s="528"/>
      <c r="WDL90" s="528"/>
      <c r="WDM90" s="528"/>
      <c r="WDN90" s="528"/>
      <c r="WDO90" s="528"/>
      <c r="WDP90" s="528"/>
      <c r="WDQ90" s="528"/>
      <c r="WDR90" s="528"/>
      <c r="WDS90" s="528"/>
      <c r="WDT90" s="528"/>
      <c r="WDU90" s="528"/>
      <c r="WDV90" s="528"/>
      <c r="WDW90" s="528"/>
      <c r="WDX90" s="528"/>
      <c r="WDY90" s="528"/>
      <c r="WDZ90" s="528"/>
      <c r="WEA90" s="528"/>
      <c r="WEB90" s="528"/>
      <c r="WEC90" s="528"/>
      <c r="WED90" s="528"/>
      <c r="WEE90" s="528"/>
      <c r="WEF90" s="528"/>
      <c r="WEG90" s="528"/>
      <c r="WEH90" s="528"/>
      <c r="WEI90" s="528"/>
      <c r="WEJ90" s="528"/>
      <c r="WEK90" s="528"/>
      <c r="WEL90" s="528"/>
      <c r="WEM90" s="528"/>
      <c r="WEN90" s="528"/>
      <c r="WEO90" s="528"/>
      <c r="WEP90" s="528"/>
      <c r="WEQ90" s="528"/>
      <c r="WER90" s="528"/>
      <c r="WES90" s="528"/>
      <c r="WET90" s="528"/>
      <c r="WEU90" s="528"/>
      <c r="WEV90" s="528"/>
      <c r="WEW90" s="528"/>
      <c r="WEX90" s="528"/>
      <c r="WEY90" s="528"/>
      <c r="WEZ90" s="528"/>
      <c r="WFA90" s="528"/>
      <c r="WFB90" s="528"/>
      <c r="WFC90" s="528"/>
      <c r="WFD90" s="528"/>
      <c r="WFE90" s="528"/>
      <c r="WFF90" s="528"/>
      <c r="WFG90" s="528"/>
      <c r="WFH90" s="528"/>
      <c r="WFI90" s="528"/>
      <c r="WFJ90" s="528"/>
      <c r="WFK90" s="528"/>
      <c r="WFL90" s="528"/>
      <c r="WFM90" s="528"/>
      <c r="WFN90" s="528"/>
      <c r="WFO90" s="528"/>
      <c r="WFP90" s="528"/>
      <c r="WFQ90" s="528"/>
      <c r="WFR90" s="528"/>
      <c r="WFS90" s="528"/>
      <c r="WFT90" s="528"/>
      <c r="WFU90" s="528"/>
      <c r="WFV90" s="528"/>
      <c r="WFW90" s="528"/>
      <c r="WFX90" s="528"/>
      <c r="WFY90" s="528"/>
      <c r="WFZ90" s="528"/>
      <c r="WGA90" s="528"/>
      <c r="WGB90" s="528"/>
      <c r="WGC90" s="528"/>
      <c r="WGD90" s="528"/>
      <c r="WGE90" s="528"/>
      <c r="WGF90" s="528"/>
      <c r="WGG90" s="528"/>
      <c r="WGH90" s="528"/>
      <c r="WGI90" s="528"/>
      <c r="WGJ90" s="528"/>
      <c r="WGK90" s="528"/>
      <c r="WGL90" s="528"/>
      <c r="WGM90" s="528"/>
      <c r="WGN90" s="528"/>
      <c r="WGO90" s="528"/>
      <c r="WGP90" s="528"/>
      <c r="WGQ90" s="528"/>
      <c r="WGR90" s="528"/>
      <c r="WGS90" s="528"/>
      <c r="WGT90" s="528"/>
      <c r="WGU90" s="528"/>
      <c r="WGV90" s="528"/>
      <c r="WGW90" s="528"/>
      <c r="WGX90" s="528"/>
      <c r="WGY90" s="528"/>
      <c r="WGZ90" s="528"/>
      <c r="WHA90" s="528"/>
      <c r="WHB90" s="528"/>
      <c r="WHC90" s="528"/>
      <c r="WHD90" s="528"/>
      <c r="WHE90" s="528"/>
      <c r="WHF90" s="528"/>
      <c r="WHG90" s="528"/>
      <c r="WHH90" s="528"/>
      <c r="WHI90" s="528"/>
      <c r="WHJ90" s="528"/>
      <c r="WHK90" s="528"/>
      <c r="WHL90" s="528"/>
      <c r="WHM90" s="528"/>
      <c r="WHN90" s="528"/>
      <c r="WHO90" s="528"/>
      <c r="WHP90" s="528"/>
      <c r="WHQ90" s="528"/>
      <c r="WHR90" s="528"/>
      <c r="WHS90" s="528"/>
      <c r="WHT90" s="528"/>
      <c r="WHU90" s="528"/>
      <c r="WHV90" s="528"/>
      <c r="WHW90" s="528"/>
      <c r="WHX90" s="528"/>
      <c r="WHY90" s="528"/>
      <c r="WHZ90" s="528"/>
      <c r="WIA90" s="528"/>
      <c r="WIB90" s="528"/>
      <c r="WIC90" s="528"/>
      <c r="WID90" s="528"/>
      <c r="WIE90" s="528"/>
      <c r="WIF90" s="528"/>
      <c r="WIG90" s="528"/>
      <c r="WIH90" s="528"/>
      <c r="WII90" s="528"/>
      <c r="WIJ90" s="528"/>
      <c r="WIK90" s="528"/>
      <c r="WIL90" s="528"/>
      <c r="WIM90" s="528"/>
      <c r="WIN90" s="528"/>
      <c r="WIO90" s="528"/>
      <c r="WIP90" s="528"/>
      <c r="WIQ90" s="528"/>
      <c r="WIR90" s="528"/>
      <c r="WIS90" s="528"/>
      <c r="WIT90" s="528"/>
      <c r="WIU90" s="528"/>
      <c r="WIV90" s="528"/>
      <c r="WIW90" s="528"/>
      <c r="WIX90" s="528"/>
      <c r="WIY90" s="528"/>
      <c r="WIZ90" s="528"/>
      <c r="WJA90" s="528"/>
      <c r="WJB90" s="528"/>
      <c r="WJC90" s="528"/>
      <c r="WJD90" s="528"/>
      <c r="WJE90" s="528"/>
      <c r="WJF90" s="528"/>
      <c r="WJG90" s="528"/>
      <c r="WJH90" s="528"/>
      <c r="WJI90" s="528"/>
      <c r="WJJ90" s="528"/>
      <c r="WJK90" s="528"/>
      <c r="WJL90" s="528"/>
      <c r="WJM90" s="528"/>
      <c r="WJN90" s="528"/>
      <c r="WJO90" s="528"/>
      <c r="WJP90" s="528"/>
      <c r="WJQ90" s="528"/>
      <c r="WJR90" s="528"/>
      <c r="WJS90" s="528"/>
      <c r="WJT90" s="528"/>
      <c r="WJU90" s="528"/>
      <c r="WJV90" s="528"/>
      <c r="WJW90" s="528"/>
      <c r="WJX90" s="528"/>
      <c r="WJY90" s="528"/>
      <c r="WJZ90" s="528"/>
      <c r="WKA90" s="528"/>
      <c r="WKB90" s="528"/>
      <c r="WKC90" s="528"/>
      <c r="WKD90" s="528"/>
      <c r="WKE90" s="528"/>
      <c r="WKF90" s="528"/>
      <c r="WKG90" s="528"/>
      <c r="WKH90" s="528"/>
      <c r="WKI90" s="528"/>
      <c r="WKJ90" s="528"/>
      <c r="WKK90" s="528"/>
      <c r="WKL90" s="528"/>
      <c r="WKM90" s="528"/>
      <c r="WKN90" s="528"/>
      <c r="WKO90" s="528"/>
      <c r="WKP90" s="528"/>
      <c r="WKQ90" s="528"/>
      <c r="WKR90" s="528"/>
      <c r="WKS90" s="528"/>
      <c r="WKT90" s="528"/>
      <c r="WKU90" s="528"/>
      <c r="WKV90" s="528"/>
      <c r="WKW90" s="528"/>
      <c r="WKX90" s="528"/>
      <c r="WKY90" s="528"/>
      <c r="WKZ90" s="528"/>
      <c r="WLA90" s="528"/>
      <c r="WLB90" s="528"/>
      <c r="WLC90" s="528"/>
      <c r="WLD90" s="528"/>
      <c r="WLE90" s="528"/>
      <c r="WLF90" s="528"/>
      <c r="WLG90" s="528"/>
      <c r="WLH90" s="528"/>
      <c r="WLI90" s="528"/>
      <c r="WLJ90" s="528"/>
      <c r="WLK90" s="528"/>
      <c r="WLL90" s="528"/>
      <c r="WLM90" s="528"/>
      <c r="WLN90" s="528"/>
      <c r="WLO90" s="528"/>
      <c r="WLP90" s="528"/>
      <c r="WLQ90" s="528"/>
      <c r="WLR90" s="528"/>
      <c r="WLS90" s="528"/>
      <c r="WLT90" s="528"/>
      <c r="WLU90" s="528"/>
      <c r="WLV90" s="528"/>
      <c r="WLW90" s="528"/>
      <c r="WLX90" s="528"/>
      <c r="WLY90" s="528"/>
      <c r="WLZ90" s="528"/>
      <c r="WMA90" s="528"/>
      <c r="WMB90" s="528"/>
      <c r="WMC90" s="528"/>
      <c r="WMD90" s="528"/>
      <c r="WME90" s="528"/>
      <c r="WMF90" s="528"/>
      <c r="WMG90" s="528"/>
      <c r="WMH90" s="528"/>
      <c r="WMI90" s="528"/>
      <c r="WMJ90" s="528"/>
      <c r="WMK90" s="528"/>
      <c r="WML90" s="528"/>
      <c r="WMM90" s="528"/>
      <c r="WMN90" s="528"/>
      <c r="WMO90" s="528"/>
      <c r="WMP90" s="528"/>
      <c r="WMQ90" s="528"/>
      <c r="WMR90" s="528"/>
      <c r="WMS90" s="528"/>
      <c r="WMT90" s="528"/>
      <c r="WMU90" s="528"/>
      <c r="WMV90" s="528"/>
      <c r="WMW90" s="528"/>
      <c r="WMX90" s="528"/>
      <c r="WMY90" s="528"/>
      <c r="WMZ90" s="528"/>
      <c r="WNA90" s="528"/>
      <c r="WNB90" s="528"/>
      <c r="WNC90" s="528"/>
      <c r="WND90" s="528"/>
      <c r="WNE90" s="528"/>
      <c r="WNF90" s="528"/>
      <c r="WNG90" s="528"/>
      <c r="WNH90" s="528"/>
      <c r="WNI90" s="528"/>
      <c r="WNJ90" s="528"/>
      <c r="WNK90" s="528"/>
      <c r="WNL90" s="528"/>
      <c r="WNM90" s="528"/>
      <c r="WNN90" s="528"/>
      <c r="WNO90" s="528"/>
      <c r="WNP90" s="528"/>
      <c r="WNQ90" s="528"/>
      <c r="WNR90" s="528"/>
      <c r="WNS90" s="528"/>
      <c r="WNT90" s="528"/>
      <c r="WNU90" s="528"/>
      <c r="WNV90" s="528"/>
      <c r="WNW90" s="528"/>
      <c r="WNX90" s="528"/>
      <c r="WNY90" s="528"/>
      <c r="WNZ90" s="528"/>
      <c r="WOA90" s="528"/>
      <c r="WOB90" s="528"/>
      <c r="WOC90" s="528"/>
      <c r="WOD90" s="528"/>
      <c r="WOE90" s="528"/>
      <c r="WOF90" s="528"/>
      <c r="WOG90" s="528"/>
      <c r="WOH90" s="528"/>
      <c r="WOI90" s="528"/>
      <c r="WOJ90" s="528"/>
      <c r="WOK90" s="528"/>
      <c r="WOL90" s="528"/>
      <c r="WOM90" s="528"/>
      <c r="WON90" s="528"/>
      <c r="WOO90" s="528"/>
      <c r="WOP90" s="528"/>
      <c r="WOQ90" s="528"/>
      <c r="WOR90" s="528"/>
      <c r="WOS90" s="528"/>
      <c r="WOT90" s="528"/>
      <c r="WOU90" s="528"/>
      <c r="WOV90" s="528"/>
      <c r="WOW90" s="528"/>
      <c r="WOX90" s="528"/>
      <c r="WOY90" s="528"/>
      <c r="WOZ90" s="528"/>
      <c r="WPA90" s="528"/>
      <c r="WPB90" s="528"/>
      <c r="WPC90" s="528"/>
      <c r="WPD90" s="528"/>
      <c r="WPE90" s="528"/>
      <c r="WPF90" s="528"/>
      <c r="WPG90" s="528"/>
      <c r="WPH90" s="528"/>
      <c r="WPI90" s="528"/>
      <c r="WPJ90" s="528"/>
      <c r="WPK90" s="528"/>
      <c r="WPL90" s="528"/>
      <c r="WPM90" s="528"/>
      <c r="WPN90" s="528"/>
      <c r="WPO90" s="528"/>
      <c r="WPP90" s="528"/>
      <c r="WPQ90" s="528"/>
      <c r="WPR90" s="528"/>
      <c r="WPS90" s="528"/>
      <c r="WPT90" s="528"/>
      <c r="WPU90" s="528"/>
      <c r="WPV90" s="528"/>
      <c r="WPW90" s="528"/>
      <c r="WPX90" s="528"/>
      <c r="WPY90" s="528"/>
      <c r="WPZ90" s="528"/>
      <c r="WQA90" s="528"/>
      <c r="WQB90" s="528"/>
      <c r="WQC90" s="528"/>
      <c r="WQD90" s="528"/>
      <c r="WQE90" s="528"/>
      <c r="WQF90" s="528"/>
      <c r="WQG90" s="528"/>
      <c r="WQH90" s="528"/>
      <c r="WQI90" s="528"/>
      <c r="WQJ90" s="528"/>
      <c r="WQK90" s="528"/>
      <c r="WQL90" s="528"/>
      <c r="WQM90" s="528"/>
      <c r="WQN90" s="528"/>
      <c r="WQO90" s="528"/>
      <c r="WQP90" s="528"/>
      <c r="WQQ90" s="528"/>
      <c r="WQR90" s="528"/>
      <c r="WQS90" s="528"/>
      <c r="WQT90" s="528"/>
      <c r="WQU90" s="528"/>
      <c r="WQV90" s="528"/>
      <c r="WQW90" s="528"/>
      <c r="WQX90" s="528"/>
      <c r="WQY90" s="528"/>
      <c r="WQZ90" s="528"/>
      <c r="WRA90" s="528"/>
      <c r="WRB90" s="528"/>
      <c r="WRC90" s="528"/>
      <c r="WRD90" s="528"/>
      <c r="WRE90" s="528"/>
      <c r="WRF90" s="528"/>
      <c r="WRG90" s="528"/>
      <c r="WRH90" s="528"/>
      <c r="WRI90" s="528"/>
      <c r="WRJ90" s="528"/>
      <c r="WRK90" s="528"/>
      <c r="WRL90" s="528"/>
      <c r="WRM90" s="528"/>
      <c r="WRN90" s="528"/>
      <c r="WRO90" s="528"/>
      <c r="WRP90" s="528"/>
      <c r="WRQ90" s="528"/>
      <c r="WRR90" s="528"/>
      <c r="WRS90" s="528"/>
      <c r="WRT90" s="528"/>
      <c r="WRU90" s="528"/>
      <c r="WRV90" s="528"/>
      <c r="WRW90" s="528"/>
      <c r="WRX90" s="528"/>
      <c r="WRY90" s="528"/>
      <c r="WRZ90" s="528"/>
      <c r="WSA90" s="528"/>
      <c r="WSB90" s="528"/>
      <c r="WSC90" s="528"/>
      <c r="WSD90" s="528"/>
      <c r="WSE90" s="528"/>
      <c r="WSF90" s="528"/>
      <c r="WSG90" s="528"/>
      <c r="WSH90" s="528"/>
      <c r="WSI90" s="528"/>
      <c r="WSJ90" s="528"/>
      <c r="WSK90" s="528"/>
      <c r="WSL90" s="528"/>
      <c r="WSM90" s="528"/>
      <c r="WSN90" s="528"/>
      <c r="WSO90" s="528"/>
      <c r="WSP90" s="528"/>
      <c r="WSQ90" s="528"/>
      <c r="WSR90" s="528"/>
      <c r="WSS90" s="528"/>
      <c r="WST90" s="528"/>
      <c r="WSU90" s="528"/>
      <c r="WSV90" s="528"/>
      <c r="WSW90" s="528"/>
      <c r="WSX90" s="528"/>
      <c r="WSY90" s="528"/>
      <c r="WSZ90" s="528"/>
      <c r="WTA90" s="528"/>
      <c r="WTB90" s="528"/>
      <c r="WTC90" s="528"/>
      <c r="WTD90" s="528"/>
      <c r="WTE90" s="528"/>
      <c r="WTF90" s="528"/>
      <c r="WTG90" s="528"/>
      <c r="WTH90" s="528"/>
      <c r="WTI90" s="528"/>
      <c r="WTJ90" s="528"/>
      <c r="WTK90" s="528"/>
      <c r="WTL90" s="528"/>
      <c r="WTM90" s="528"/>
      <c r="WTN90" s="528"/>
      <c r="WTO90" s="528"/>
      <c r="WTP90" s="528"/>
      <c r="WTQ90" s="528"/>
      <c r="WTR90" s="528"/>
      <c r="WTS90" s="528"/>
      <c r="WTT90" s="528"/>
      <c r="WTU90" s="528"/>
      <c r="WTV90" s="528"/>
      <c r="WTW90" s="528"/>
      <c r="WTX90" s="528"/>
      <c r="WTY90" s="528"/>
      <c r="WTZ90" s="528"/>
      <c r="WUA90" s="528"/>
      <c r="WUB90" s="528"/>
      <c r="WUC90" s="528"/>
      <c r="WUD90" s="528"/>
      <c r="WUE90" s="528"/>
      <c r="WUF90" s="528"/>
      <c r="WUG90" s="528"/>
      <c r="WUH90" s="528"/>
      <c r="WUI90" s="528"/>
      <c r="WUJ90" s="528"/>
      <c r="WUK90" s="528"/>
      <c r="WUL90" s="528"/>
      <c r="WUM90" s="528"/>
      <c r="WUN90" s="528"/>
      <c r="WUO90" s="528"/>
      <c r="WUP90" s="528"/>
      <c r="WUQ90" s="528"/>
      <c r="WUR90" s="528"/>
      <c r="WUS90" s="528"/>
      <c r="WUT90" s="528"/>
      <c r="WUU90" s="528"/>
      <c r="WUV90" s="528"/>
      <c r="WUW90" s="528"/>
      <c r="WUX90" s="528"/>
      <c r="WUY90" s="528"/>
      <c r="WUZ90" s="528"/>
      <c r="WVA90" s="528"/>
      <c r="WVB90" s="528"/>
      <c r="WVC90" s="528"/>
      <c r="WVD90" s="528"/>
      <c r="WVE90" s="528"/>
      <c r="WVF90" s="528"/>
      <c r="WVG90" s="528"/>
      <c r="WVH90" s="528"/>
      <c r="WVI90" s="528"/>
      <c r="WVJ90" s="528"/>
      <c r="WVK90" s="528"/>
      <c r="WVL90" s="528"/>
      <c r="WVM90" s="528"/>
      <c r="WVN90" s="528"/>
      <c r="WVO90" s="528"/>
      <c r="WVP90" s="528"/>
      <c r="WVQ90" s="528"/>
      <c r="WVR90" s="528"/>
      <c r="WVS90" s="528"/>
      <c r="WVT90" s="528"/>
      <c r="WVU90" s="528"/>
      <c r="WVV90" s="528"/>
      <c r="WVW90" s="528"/>
      <c r="WVX90" s="528"/>
      <c r="WVY90" s="528"/>
      <c r="WVZ90" s="528"/>
      <c r="WWA90" s="528"/>
      <c r="WWB90" s="528"/>
      <c r="WWC90" s="528"/>
      <c r="WWD90" s="528"/>
      <c r="WWE90" s="528"/>
      <c r="WWF90" s="528"/>
      <c r="WWG90" s="528"/>
      <c r="WWH90" s="528"/>
      <c r="WWI90" s="528"/>
      <c r="WWJ90" s="528"/>
      <c r="WWK90" s="528"/>
      <c r="WWL90" s="528"/>
      <c r="WWM90" s="528"/>
      <c r="WWN90" s="528"/>
      <c r="WWO90" s="528"/>
      <c r="WWP90" s="528"/>
      <c r="WWQ90" s="528"/>
      <c r="WWR90" s="528"/>
      <c r="WWS90" s="528"/>
      <c r="WWT90" s="528"/>
      <c r="WWU90" s="528"/>
      <c r="WWV90" s="528"/>
      <c r="WWW90" s="528"/>
      <c r="WWX90" s="528"/>
      <c r="WWY90" s="528"/>
      <c r="WWZ90" s="528"/>
      <c r="WXA90" s="528"/>
      <c r="WXB90" s="528"/>
      <c r="WXC90" s="528"/>
      <c r="WXD90" s="528"/>
      <c r="WXE90" s="528"/>
      <c r="WXF90" s="528"/>
      <c r="WXG90" s="528"/>
      <c r="WXH90" s="528"/>
      <c r="WXI90" s="528"/>
      <c r="WXJ90" s="528"/>
      <c r="WXK90" s="528"/>
      <c r="WXL90" s="528"/>
      <c r="WXM90" s="528"/>
      <c r="WXN90" s="528"/>
      <c r="WXO90" s="528"/>
      <c r="WXP90" s="528"/>
      <c r="WXQ90" s="528"/>
      <c r="WXR90" s="528"/>
      <c r="WXS90" s="528"/>
      <c r="WXT90" s="528"/>
      <c r="WXU90" s="528"/>
      <c r="WXV90" s="528"/>
      <c r="WXW90" s="528"/>
      <c r="WXX90" s="528"/>
      <c r="WXY90" s="528"/>
      <c r="WXZ90" s="528"/>
      <c r="WYA90" s="528"/>
      <c r="WYB90" s="528"/>
      <c r="WYC90" s="528"/>
      <c r="WYD90" s="528"/>
      <c r="WYE90" s="528"/>
      <c r="WYF90" s="528"/>
      <c r="WYG90" s="528"/>
      <c r="WYH90" s="528"/>
      <c r="WYI90" s="528"/>
      <c r="WYJ90" s="528"/>
      <c r="WYK90" s="528"/>
      <c r="WYL90" s="528"/>
      <c r="WYM90" s="528"/>
      <c r="WYN90" s="528"/>
      <c r="WYO90" s="528"/>
      <c r="WYP90" s="528"/>
      <c r="WYQ90" s="528"/>
      <c r="WYR90" s="528"/>
      <c r="WYS90" s="528"/>
      <c r="WYT90" s="528"/>
      <c r="WYU90" s="528"/>
      <c r="WYV90" s="528"/>
      <c r="WYW90" s="528"/>
      <c r="WYX90" s="528"/>
      <c r="WYY90" s="528"/>
      <c r="WYZ90" s="528"/>
      <c r="WZA90" s="528"/>
      <c r="WZB90" s="528"/>
      <c r="WZC90" s="528"/>
      <c r="WZD90" s="528"/>
      <c r="WZE90" s="528"/>
      <c r="WZF90" s="528"/>
      <c r="WZG90" s="528"/>
      <c r="WZH90" s="528"/>
      <c r="WZI90" s="528"/>
      <c r="WZJ90" s="528"/>
      <c r="WZK90" s="528"/>
      <c r="WZL90" s="528"/>
      <c r="WZM90" s="528"/>
      <c r="WZN90" s="528"/>
      <c r="WZO90" s="528"/>
      <c r="WZP90" s="528"/>
      <c r="WZQ90" s="528"/>
      <c r="WZR90" s="528"/>
      <c r="WZS90" s="528"/>
      <c r="WZT90" s="528"/>
      <c r="WZU90" s="528"/>
      <c r="WZV90" s="528"/>
      <c r="WZW90" s="528"/>
      <c r="WZX90" s="528"/>
      <c r="WZY90" s="528"/>
      <c r="WZZ90" s="528"/>
      <c r="XAA90" s="528"/>
      <c r="XAB90" s="528"/>
      <c r="XAC90" s="528"/>
      <c r="XAD90" s="528"/>
      <c r="XAE90" s="528"/>
      <c r="XAF90" s="528"/>
      <c r="XAG90" s="528"/>
      <c r="XAH90" s="528"/>
      <c r="XAI90" s="528"/>
      <c r="XAJ90" s="528"/>
      <c r="XAK90" s="528"/>
      <c r="XAL90" s="528"/>
      <c r="XAM90" s="528"/>
      <c r="XAN90" s="528"/>
      <c r="XAO90" s="528"/>
      <c r="XAP90" s="528"/>
      <c r="XAQ90" s="528"/>
      <c r="XAR90" s="528"/>
      <c r="XAS90" s="528"/>
      <c r="XAT90" s="528"/>
      <c r="XAU90" s="528"/>
      <c r="XAV90" s="528"/>
      <c r="XAW90" s="528"/>
      <c r="XAX90" s="528"/>
      <c r="XAY90" s="528"/>
      <c r="XAZ90" s="528"/>
      <c r="XBA90" s="528"/>
      <c r="XBB90" s="528"/>
      <c r="XBC90" s="528"/>
      <c r="XBD90" s="528"/>
      <c r="XBE90" s="528"/>
      <c r="XBF90" s="528"/>
      <c r="XBG90" s="528"/>
      <c r="XBH90" s="528"/>
      <c r="XBI90" s="528"/>
      <c r="XBJ90" s="528"/>
      <c r="XBK90" s="528"/>
      <c r="XBL90" s="528"/>
      <c r="XBM90" s="528"/>
      <c r="XBN90" s="528"/>
      <c r="XBO90" s="528"/>
      <c r="XBP90" s="528"/>
      <c r="XBQ90" s="528"/>
      <c r="XBR90" s="528"/>
      <c r="XBS90" s="528"/>
      <c r="XBT90" s="528"/>
      <c r="XBU90" s="528"/>
      <c r="XBV90" s="528"/>
      <c r="XBW90" s="528"/>
      <c r="XBX90" s="528"/>
      <c r="XBY90" s="528"/>
      <c r="XBZ90" s="528"/>
      <c r="XCA90" s="528"/>
      <c r="XCB90" s="528"/>
      <c r="XCC90" s="528"/>
      <c r="XCD90" s="528"/>
      <c r="XCE90" s="528"/>
      <c r="XCF90" s="528"/>
      <c r="XCG90" s="528"/>
      <c r="XCH90" s="528"/>
      <c r="XCI90" s="528"/>
      <c r="XCJ90" s="528"/>
      <c r="XCK90" s="528"/>
      <c r="XCL90" s="528"/>
      <c r="XCM90" s="528"/>
      <c r="XCN90" s="528"/>
      <c r="XCO90" s="528"/>
      <c r="XCP90" s="528"/>
      <c r="XCQ90" s="528"/>
      <c r="XCR90" s="528"/>
      <c r="XCS90" s="528"/>
      <c r="XCT90" s="528"/>
      <c r="XCU90" s="528"/>
      <c r="XCV90" s="528"/>
      <c r="XCW90" s="528"/>
      <c r="XCX90" s="528"/>
      <c r="XCY90" s="528"/>
      <c r="XCZ90" s="528"/>
      <c r="XDA90" s="528"/>
      <c r="XDB90" s="528"/>
      <c r="XDC90" s="528"/>
      <c r="XDD90" s="528"/>
      <c r="XDE90" s="528"/>
      <c r="XDF90" s="528"/>
      <c r="XDG90" s="528"/>
      <c r="XDH90" s="528"/>
      <c r="XDI90" s="528"/>
      <c r="XDJ90" s="528"/>
      <c r="XDK90" s="528"/>
      <c r="XDL90" s="528"/>
      <c r="XDM90" s="528"/>
      <c r="XDN90" s="528"/>
      <c r="XDO90" s="528"/>
      <c r="XDP90" s="528"/>
      <c r="XDQ90" s="528"/>
      <c r="XDR90" s="528"/>
      <c r="XDS90" s="528"/>
      <c r="XDT90" s="528"/>
      <c r="XDU90" s="528"/>
      <c r="XDV90" s="528"/>
      <c r="XDW90" s="528"/>
      <c r="XDX90" s="528"/>
      <c r="XDY90" s="528"/>
      <c r="XDZ90" s="528"/>
      <c r="XEA90" s="528"/>
      <c r="XEB90" s="528"/>
      <c r="XEC90" s="528"/>
      <c r="XED90" s="528"/>
      <c r="XEE90" s="528"/>
      <c r="XEF90" s="528"/>
      <c r="XEG90" s="528"/>
      <c r="XEH90" s="528"/>
      <c r="XEI90" s="528"/>
      <c r="XEJ90" s="528"/>
      <c r="XEK90" s="528"/>
      <c r="XEL90" s="528"/>
      <c r="XEM90" s="528"/>
      <c r="XEN90" s="528"/>
    </row>
    <row r="91" spans="1:16368" s="192" customFormat="1">
      <c r="A91" s="46"/>
      <c r="B91" s="229"/>
      <c r="C91" s="314"/>
      <c r="D91" s="83"/>
      <c r="E91" s="48"/>
      <c r="F91" s="112"/>
      <c r="G91" s="109"/>
      <c r="H91" s="109"/>
      <c r="I91" s="109"/>
      <c r="J91" s="90"/>
      <c r="K91" s="61"/>
      <c r="L91" s="90"/>
      <c r="M91" s="90"/>
      <c r="N91" s="400"/>
      <c r="O91" s="323">
        <f>1</f>
        <v>1</v>
      </c>
      <c r="P91" s="186"/>
      <c r="R91" s="194"/>
      <c r="S91" s="193"/>
      <c r="V91" s="322"/>
      <c r="W91" s="322" t="str">
        <f t="shared" si="10"/>
        <v/>
      </c>
      <c r="X91" s="186" t="str">
        <f>IF(R91="yes",W91,"")</f>
        <v/>
      </c>
    </row>
    <row r="92" spans="1:16368" s="192" customFormat="1" ht="204">
      <c r="A92" s="46">
        <f>A90+1</f>
        <v>1</v>
      </c>
      <c r="B92" s="231" t="s">
        <v>310</v>
      </c>
      <c r="C92" s="191" t="s">
        <v>310</v>
      </c>
      <c r="D92" s="240" t="s">
        <v>311</v>
      </c>
      <c r="E92" s="197">
        <f>LEN(D92)</f>
        <v>298</v>
      </c>
      <c r="F92" s="206" t="s">
        <v>30</v>
      </c>
      <c r="G92" s="197" t="s">
        <v>23</v>
      </c>
      <c r="H92" s="197" t="s">
        <v>23</v>
      </c>
      <c r="I92" s="197" t="s">
        <v>31</v>
      </c>
      <c r="J92" s="221" t="s">
        <v>312</v>
      </c>
      <c r="K92" s="266" t="s">
        <v>23</v>
      </c>
      <c r="L92" s="221" t="s">
        <v>313</v>
      </c>
      <c r="M92" s="61"/>
      <c r="N92" s="10"/>
      <c r="O92" s="318">
        <f>1</f>
        <v>1</v>
      </c>
      <c r="P92" s="186"/>
      <c r="R92" s="472" t="s">
        <v>57</v>
      </c>
      <c r="S92" s="193"/>
      <c r="V92" s="321">
        <v>15.876502990722656</v>
      </c>
      <c r="W92" s="321">
        <f t="shared" si="10"/>
        <v>15.876502990722656</v>
      </c>
      <c r="X92" s="186">
        <f>IF(R92="yes",W92,"")</f>
        <v>15.876502990722656</v>
      </c>
    </row>
    <row r="93" spans="1:16368" s="192" customFormat="1">
      <c r="A93" s="46"/>
      <c r="B93" s="229"/>
      <c r="C93" s="103"/>
      <c r="D93" s="313"/>
      <c r="E93" s="48"/>
      <c r="F93" s="104"/>
      <c r="G93" s="48"/>
      <c r="H93" s="48"/>
      <c r="I93" s="48"/>
      <c r="J93" s="61"/>
      <c r="K93" s="61"/>
      <c r="L93" s="61"/>
      <c r="M93" s="61"/>
      <c r="N93" s="10"/>
      <c r="O93" s="323">
        <f>1</f>
        <v>1</v>
      </c>
      <c r="P93" s="186"/>
      <c r="R93" s="194"/>
      <c r="S93" s="193"/>
      <c r="V93" s="322"/>
      <c r="W93" s="322" t="str">
        <f t="shared" si="10"/>
        <v/>
      </c>
      <c r="X93" s="186" t="str">
        <f t="shared" si="9"/>
        <v/>
      </c>
    </row>
    <row r="94" spans="1:16368" s="192" customFormat="1" ht="409" customHeight="1">
      <c r="A94" s="46">
        <f>A96+1</f>
        <v>2</v>
      </c>
      <c r="B94" s="231" t="s">
        <v>314</v>
      </c>
      <c r="C94" s="428" t="s">
        <v>315</v>
      </c>
      <c r="D94" s="429" t="s">
        <v>316</v>
      </c>
      <c r="E94" s="197">
        <f>LEN(D94)</f>
        <v>1440</v>
      </c>
      <c r="F94" s="206" t="s">
        <v>193</v>
      </c>
      <c r="G94" s="197" t="s">
        <v>23</v>
      </c>
      <c r="H94" s="197" t="s">
        <v>23</v>
      </c>
      <c r="I94" s="405" t="s">
        <v>317</v>
      </c>
      <c r="J94" s="221" t="s">
        <v>318</v>
      </c>
      <c r="K94" s="266" t="s">
        <v>319</v>
      </c>
      <c r="L94" s="221" t="s">
        <v>320</v>
      </c>
      <c r="M94" s="93"/>
      <c r="N94" s="10"/>
      <c r="O94" s="318">
        <f>1</f>
        <v>1</v>
      </c>
      <c r="P94" s="186"/>
      <c r="R94" s="472" t="s">
        <v>57</v>
      </c>
      <c r="S94" s="193"/>
      <c r="V94" s="321">
        <v>37.853630065917969</v>
      </c>
      <c r="W94" s="321">
        <f t="shared" si="10"/>
        <v>37.853630065917969</v>
      </c>
      <c r="X94" s="186">
        <f t="shared" si="9"/>
        <v>37.853630065917969</v>
      </c>
    </row>
    <row r="95" spans="1:16368" s="192" customFormat="1" ht="102">
      <c r="A95" s="26">
        <v>28</v>
      </c>
      <c r="B95" s="287" t="s">
        <v>321</v>
      </c>
      <c r="C95" s="291" t="s">
        <v>321</v>
      </c>
      <c r="D95" s="37" t="s">
        <v>322</v>
      </c>
      <c r="E95" s="24">
        <f>LEN(D95)</f>
        <v>331</v>
      </c>
      <c r="F95" s="36" t="s">
        <v>25</v>
      </c>
      <c r="G95" s="20" t="s">
        <v>23</v>
      </c>
      <c r="H95" s="20" t="s">
        <v>23</v>
      </c>
      <c r="I95" s="20" t="s">
        <v>26</v>
      </c>
      <c r="J95" s="29" t="s">
        <v>323</v>
      </c>
      <c r="K95" s="84" t="s">
        <v>23</v>
      </c>
      <c r="L95" s="29" t="s">
        <v>324</v>
      </c>
      <c r="M95" s="22"/>
      <c r="N95" s="10"/>
      <c r="O95" s="323">
        <f>1</f>
        <v>1</v>
      </c>
      <c r="P95" s="186"/>
      <c r="R95" s="194" t="s">
        <v>22</v>
      </c>
      <c r="S95" s="193"/>
      <c r="V95" s="322"/>
      <c r="W95" s="322" t="str">
        <f t="shared" si="10"/>
        <v/>
      </c>
      <c r="X95" s="186" t="str">
        <f t="shared" si="9"/>
        <v/>
      </c>
    </row>
    <row r="96" spans="1:16368" s="192" customFormat="1" ht="323">
      <c r="A96" s="14">
        <f>A90+1</f>
        <v>1</v>
      </c>
      <c r="B96" s="282" t="s">
        <v>325</v>
      </c>
      <c r="C96" s="17" t="s">
        <v>326</v>
      </c>
      <c r="D96" s="22" t="s">
        <v>327</v>
      </c>
      <c r="E96" s="20">
        <f>LEN(D96)</f>
        <v>685</v>
      </c>
      <c r="F96" s="36" t="s">
        <v>328</v>
      </c>
      <c r="G96" s="20" t="s">
        <v>23</v>
      </c>
      <c r="H96" s="430" t="s">
        <v>329</v>
      </c>
      <c r="I96" s="20" t="s">
        <v>330</v>
      </c>
      <c r="J96" s="431" t="s">
        <v>331</v>
      </c>
      <c r="K96" s="84" t="s">
        <v>332</v>
      </c>
      <c r="L96" s="431" t="s">
        <v>333</v>
      </c>
      <c r="M96" s="171"/>
      <c r="N96" s="52"/>
      <c r="O96" s="323">
        <f>1</f>
        <v>1</v>
      </c>
      <c r="P96" s="186"/>
      <c r="R96" s="194" t="s">
        <v>22</v>
      </c>
      <c r="S96" s="193"/>
      <c r="V96" s="322">
        <v>24.773489999999999</v>
      </c>
      <c r="W96" s="322">
        <f t="shared" si="10"/>
        <v>24.773489999999999</v>
      </c>
      <c r="X96" s="186" t="str">
        <f t="shared" si="9"/>
        <v/>
      </c>
    </row>
    <row r="97" spans="1:24" s="192" customFormat="1" ht="17" thickBot="1">
      <c r="A97" s="46"/>
      <c r="B97" s="229"/>
      <c r="C97" s="103"/>
      <c r="D97" s="83"/>
      <c r="E97" s="48"/>
      <c r="F97" s="104"/>
      <c r="G97" s="48"/>
      <c r="H97" s="48"/>
      <c r="I97" s="48"/>
      <c r="J97" s="61"/>
      <c r="K97" s="61"/>
      <c r="L97" s="61"/>
      <c r="M97" s="94"/>
      <c r="N97" s="52"/>
      <c r="O97" s="323">
        <f>1</f>
        <v>1</v>
      </c>
      <c r="P97" s="186"/>
      <c r="R97" s="194"/>
      <c r="S97" s="193"/>
      <c r="V97" s="322"/>
      <c r="W97" s="322" t="str">
        <f t="shared" si="10"/>
        <v/>
      </c>
      <c r="X97" s="186" t="str">
        <f t="shared" si="9"/>
        <v/>
      </c>
    </row>
    <row r="98" spans="1:24" s="469" customFormat="1" ht="17" thickBot="1">
      <c r="A98" s="549" t="s">
        <v>334</v>
      </c>
      <c r="B98" s="550"/>
      <c r="C98" s="550"/>
      <c r="D98" s="550"/>
      <c r="E98" s="550"/>
      <c r="F98" s="550"/>
      <c r="G98" s="550"/>
      <c r="H98" s="550"/>
      <c r="I98" s="550"/>
      <c r="J98" s="550"/>
      <c r="K98" s="550"/>
      <c r="L98" s="550"/>
      <c r="M98" s="550"/>
      <c r="N98" s="551"/>
      <c r="O98" s="318"/>
      <c r="P98" s="474"/>
      <c r="R98" s="472"/>
      <c r="S98" s="475"/>
      <c r="V98" s="321"/>
      <c r="W98" s="321" t="str">
        <f t="shared" si="10"/>
        <v/>
      </c>
      <c r="X98" s="474" t="str">
        <f t="shared" si="9"/>
        <v/>
      </c>
    </row>
    <row r="99" spans="1:24" s="192" customFormat="1" ht="153">
      <c r="A99" s="102">
        <f>A95+1</f>
        <v>29</v>
      </c>
      <c r="B99" s="239" t="s">
        <v>335</v>
      </c>
      <c r="C99" s="191" t="s">
        <v>335</v>
      </c>
      <c r="D99" s="215" t="s">
        <v>336</v>
      </c>
      <c r="E99" s="189">
        <f>LEN(D99)</f>
        <v>218</v>
      </c>
      <c r="F99" s="199" t="s">
        <v>30</v>
      </c>
      <c r="G99" s="189" t="s">
        <v>23</v>
      </c>
      <c r="H99" s="189" t="s">
        <v>337</v>
      </c>
      <c r="I99" s="197" t="s">
        <v>31</v>
      </c>
      <c r="J99" s="214" t="s">
        <v>338</v>
      </c>
      <c r="K99" s="266" t="s">
        <v>23</v>
      </c>
      <c r="L99" s="195" t="s">
        <v>339</v>
      </c>
      <c r="M99" s="220"/>
      <c r="N99" s="238"/>
      <c r="O99" s="323" t="str">
        <f>'Additional information'!$D$17</f>
        <v>%</v>
      </c>
      <c r="P99" s="186"/>
      <c r="R99" s="472" t="s">
        <v>57</v>
      </c>
      <c r="S99" s="193"/>
      <c r="V99" s="321">
        <v>7.3040728569030762</v>
      </c>
      <c r="W99" s="321" t="e">
        <f t="shared" si="10"/>
        <v>#VALUE!</v>
      </c>
      <c r="X99" s="186" t="e">
        <f t="shared" si="9"/>
        <v>#VALUE!</v>
      </c>
    </row>
    <row r="100" spans="1:24" s="192" customFormat="1">
      <c r="A100" s="102"/>
      <c r="B100" s="110"/>
      <c r="C100" s="103"/>
      <c r="D100" s="111"/>
      <c r="E100" s="109"/>
      <c r="F100" s="112"/>
      <c r="G100" s="109"/>
      <c r="H100" s="109"/>
      <c r="I100" s="48"/>
      <c r="J100" s="94"/>
      <c r="K100" s="83"/>
      <c r="L100" s="220"/>
      <c r="M100" s="220"/>
      <c r="N100" s="238"/>
      <c r="O100" s="323" t="str">
        <f>'Additional information'!$D$17</f>
        <v>%</v>
      </c>
      <c r="P100" s="186"/>
      <c r="R100" s="194"/>
      <c r="S100" s="193"/>
      <c r="V100" s="322"/>
      <c r="W100" s="322" t="str">
        <f t="shared" si="10"/>
        <v/>
      </c>
      <c r="X100" s="186" t="str">
        <f t="shared" si="9"/>
        <v/>
      </c>
    </row>
    <row r="101" spans="1:24" s="289" customFormat="1" ht="85">
      <c r="A101" s="372"/>
      <c r="B101" s="213" t="s">
        <v>340</v>
      </c>
      <c r="C101" s="197" t="s">
        <v>340</v>
      </c>
      <c r="D101" s="211" t="s">
        <v>341</v>
      </c>
      <c r="E101" s="197">
        <f>LEN(D101)</f>
        <v>237</v>
      </c>
      <c r="F101" s="198" t="s">
        <v>97</v>
      </c>
      <c r="G101" s="197" t="s">
        <v>23</v>
      </c>
      <c r="H101" s="197" t="s">
        <v>23</v>
      </c>
      <c r="I101" s="197" t="s">
        <v>26</v>
      </c>
      <c r="J101" s="221" t="s">
        <v>342</v>
      </c>
      <c r="K101" s="266" t="s">
        <v>23</v>
      </c>
      <c r="L101" s="195" t="s">
        <v>343</v>
      </c>
      <c r="M101" s="237"/>
      <c r="N101" s="236"/>
      <c r="O101" s="323" t="str">
        <f>'Additional information'!$D$17</f>
        <v>%</v>
      </c>
      <c r="P101" s="186"/>
      <c r="R101" s="472" t="s">
        <v>57</v>
      </c>
      <c r="S101" s="193"/>
      <c r="V101" s="321">
        <v>23.939905166625977</v>
      </c>
      <c r="W101" s="321" t="e">
        <f t="shared" ref="W101:W108" si="11">IF(V101="","",V101*O101)</f>
        <v>#VALUE!</v>
      </c>
      <c r="X101" s="186" t="e">
        <f t="shared" si="9"/>
        <v>#VALUE!</v>
      </c>
    </row>
    <row r="102" spans="1:24" s="289" customFormat="1" ht="187">
      <c r="A102" s="372"/>
      <c r="B102" s="213" t="s">
        <v>344</v>
      </c>
      <c r="C102" s="197" t="s">
        <v>344</v>
      </c>
      <c r="D102" s="211" t="s">
        <v>345</v>
      </c>
      <c r="E102" s="197">
        <f>LEN(D102)</f>
        <v>157</v>
      </c>
      <c r="F102" s="198" t="s">
        <v>30</v>
      </c>
      <c r="G102" s="197" t="s">
        <v>23</v>
      </c>
      <c r="H102" s="197" t="s">
        <v>23</v>
      </c>
      <c r="I102" s="197" t="s">
        <v>31</v>
      </c>
      <c r="J102" s="221" t="s">
        <v>346</v>
      </c>
      <c r="K102" s="266" t="s">
        <v>23</v>
      </c>
      <c r="L102" s="195" t="s">
        <v>347</v>
      </c>
      <c r="M102" s="220"/>
      <c r="N102" s="234"/>
      <c r="O102" s="323" t="str">
        <f>'Additional information'!$D$17</f>
        <v>%</v>
      </c>
      <c r="P102" s="186"/>
      <c r="R102" s="472" t="s">
        <v>57</v>
      </c>
      <c r="S102" s="193"/>
      <c r="V102" s="321">
        <v>2.2494626045227051</v>
      </c>
      <c r="W102" s="321" t="e">
        <f t="shared" si="11"/>
        <v>#VALUE!</v>
      </c>
      <c r="X102" s="186" t="e">
        <f t="shared" si="9"/>
        <v>#VALUE!</v>
      </c>
    </row>
    <row r="103" spans="1:24" s="289" customFormat="1">
      <c r="A103" s="170"/>
      <c r="B103" s="312"/>
      <c r="C103" s="109"/>
      <c r="D103" s="111"/>
      <c r="E103" s="109"/>
      <c r="F103" s="103"/>
      <c r="G103" s="109"/>
      <c r="H103" s="109"/>
      <c r="I103" s="109"/>
      <c r="J103" s="94"/>
      <c r="K103" s="83"/>
      <c r="L103" s="290"/>
      <c r="M103" s="235"/>
      <c r="N103" s="234"/>
      <c r="O103" s="323" t="str">
        <f>'Additional information'!$D$17</f>
        <v>%</v>
      </c>
      <c r="P103" s="186"/>
      <c r="R103" s="194"/>
      <c r="S103" s="193"/>
      <c r="V103" s="322"/>
      <c r="W103" s="322" t="str">
        <f t="shared" si="11"/>
        <v/>
      </c>
      <c r="X103" s="186" t="str">
        <f t="shared" si="9"/>
        <v/>
      </c>
    </row>
    <row r="104" spans="1:24" s="192" customFormat="1" ht="119">
      <c r="A104" s="102">
        <f>A99+1</f>
        <v>30</v>
      </c>
      <c r="B104" s="281" t="s">
        <v>348</v>
      </c>
      <c r="C104" s="191" t="s">
        <v>348</v>
      </c>
      <c r="D104" s="215" t="s">
        <v>349</v>
      </c>
      <c r="E104" s="189">
        <f>LEN(D104)</f>
        <v>216</v>
      </c>
      <c r="F104" s="199" t="s">
        <v>30</v>
      </c>
      <c r="G104" s="189" t="s">
        <v>23</v>
      </c>
      <c r="H104" s="189" t="s">
        <v>23</v>
      </c>
      <c r="I104" s="191" t="s">
        <v>350</v>
      </c>
      <c r="J104" s="214" t="s">
        <v>351</v>
      </c>
      <c r="K104" s="441" t="s">
        <v>352</v>
      </c>
      <c r="L104" s="437" t="s">
        <v>353</v>
      </c>
      <c r="M104" s="232"/>
      <c r="N104" s="52"/>
      <c r="O104" s="323" t="str">
        <f>'Additional information'!$D$17</f>
        <v>%</v>
      </c>
      <c r="P104" s="186"/>
      <c r="R104" s="472" t="s">
        <v>57</v>
      </c>
      <c r="S104" s="193"/>
      <c r="V104" s="321">
        <v>23.440116882324219</v>
      </c>
      <c r="W104" s="321" t="e">
        <f t="shared" si="11"/>
        <v>#VALUE!</v>
      </c>
      <c r="X104" s="186" t="e">
        <f t="shared" si="9"/>
        <v>#VALUE!</v>
      </c>
    </row>
    <row r="105" spans="1:24" s="192" customFormat="1" ht="102">
      <c r="A105" s="102"/>
      <c r="B105" s="281" t="s">
        <v>354</v>
      </c>
      <c r="C105" s="191" t="s">
        <v>354</v>
      </c>
      <c r="D105" s="215" t="s">
        <v>355</v>
      </c>
      <c r="E105" s="189">
        <f>LEN(D105)</f>
        <v>173</v>
      </c>
      <c r="F105" s="199" t="s">
        <v>30</v>
      </c>
      <c r="G105" s="189" t="s">
        <v>23</v>
      </c>
      <c r="H105" s="189" t="s">
        <v>23</v>
      </c>
      <c r="I105" s="191" t="s">
        <v>31</v>
      </c>
      <c r="J105" s="214" t="s">
        <v>356</v>
      </c>
      <c r="K105" s="266" t="s">
        <v>23</v>
      </c>
      <c r="L105" s="233" t="s">
        <v>357</v>
      </c>
      <c r="M105" s="232"/>
      <c r="N105" s="52"/>
      <c r="O105" s="323" t="str">
        <f>'Additional information'!$D$17</f>
        <v>%</v>
      </c>
      <c r="P105" s="186"/>
      <c r="R105" s="472" t="s">
        <v>57</v>
      </c>
      <c r="S105" s="193"/>
      <c r="V105" s="321">
        <v>7.7659573554992676</v>
      </c>
      <c r="W105" s="321" t="e">
        <f t="shared" si="11"/>
        <v>#VALUE!</v>
      </c>
      <c r="X105" s="186" t="e">
        <f t="shared" si="9"/>
        <v>#VALUE!</v>
      </c>
    </row>
    <row r="106" spans="1:24" s="192" customFormat="1">
      <c r="A106" s="102"/>
      <c r="B106" s="309"/>
      <c r="C106" s="103"/>
      <c r="D106" s="111"/>
      <c r="E106" s="109"/>
      <c r="F106" s="112"/>
      <c r="G106" s="109"/>
      <c r="H106" s="109"/>
      <c r="I106" s="103"/>
      <c r="J106" s="94"/>
      <c r="K106" s="83"/>
      <c r="L106" s="360"/>
      <c r="M106" s="232"/>
      <c r="N106" s="52"/>
      <c r="O106" s="323" t="str">
        <f>'Additional information'!$D$17</f>
        <v>%</v>
      </c>
      <c r="P106" s="186"/>
      <c r="R106" s="194"/>
      <c r="S106" s="193"/>
      <c r="V106" s="322"/>
      <c r="W106" s="322" t="str">
        <f t="shared" si="11"/>
        <v/>
      </c>
      <c r="X106" s="186" t="str">
        <f t="shared" si="9"/>
        <v/>
      </c>
    </row>
    <row r="107" spans="1:24" s="192" customFormat="1" ht="204">
      <c r="A107" s="46">
        <f>A104+1</f>
        <v>31</v>
      </c>
      <c r="B107" s="213" t="s">
        <v>358</v>
      </c>
      <c r="C107" s="197" t="s">
        <v>359</v>
      </c>
      <c r="D107" s="211" t="s">
        <v>360</v>
      </c>
      <c r="E107" s="197">
        <f>LEN(D107)</f>
        <v>331</v>
      </c>
      <c r="F107" s="198" t="s">
        <v>65</v>
      </c>
      <c r="G107" s="197" t="s">
        <v>23</v>
      </c>
      <c r="H107" s="197" t="s">
        <v>23</v>
      </c>
      <c r="I107" s="197" t="s">
        <v>66</v>
      </c>
      <c r="J107" s="221" t="s">
        <v>361</v>
      </c>
      <c r="K107" s="266" t="s">
        <v>23</v>
      </c>
      <c r="L107" s="233" t="s">
        <v>362</v>
      </c>
      <c r="M107" s="72"/>
      <c r="N107" s="10"/>
      <c r="O107" s="323" t="str">
        <f>'Additional information'!$D$17</f>
        <v>%</v>
      </c>
      <c r="P107" s="186"/>
      <c r="R107" s="472" t="s">
        <v>57</v>
      </c>
      <c r="S107" s="193"/>
      <c r="V107" s="321">
        <v>16.481756210327148</v>
      </c>
      <c r="W107" s="321" t="e">
        <f t="shared" si="11"/>
        <v>#VALUE!</v>
      </c>
      <c r="X107" s="186" t="e">
        <f t="shared" si="9"/>
        <v>#VALUE!</v>
      </c>
    </row>
    <row r="108" spans="1:24" s="192" customFormat="1" ht="14" customHeight="1">
      <c r="A108" s="46"/>
      <c r="B108" s="229"/>
      <c r="C108" s="228"/>
      <c r="D108" s="227"/>
      <c r="E108" s="48"/>
      <c r="F108" s="104"/>
      <c r="G108" s="48"/>
      <c r="H108" s="48"/>
      <c r="I108" s="48"/>
      <c r="J108" s="225"/>
      <c r="K108" s="83"/>
      <c r="L108" s="311"/>
      <c r="M108" s="225"/>
      <c r="N108" s="10"/>
      <c r="O108" s="323" t="str">
        <f>'Additional information'!$D$17</f>
        <v>%</v>
      </c>
      <c r="P108" s="186"/>
      <c r="R108" s="194"/>
      <c r="S108" s="193"/>
      <c r="V108" s="322"/>
      <c r="W108" s="322" t="str">
        <f t="shared" si="11"/>
        <v/>
      </c>
      <c r="X108" s="186" t="str">
        <f t="shared" si="9"/>
        <v/>
      </c>
    </row>
    <row r="109" spans="1:24" s="192" customFormat="1" ht="204">
      <c r="A109" s="14"/>
      <c r="B109" s="39" t="s">
        <v>363</v>
      </c>
      <c r="C109" s="20" t="s">
        <v>363</v>
      </c>
      <c r="D109" s="38" t="s">
        <v>364</v>
      </c>
      <c r="E109" s="20">
        <f>LEN(D109)</f>
        <v>335</v>
      </c>
      <c r="F109" s="17" t="s">
        <v>30</v>
      </c>
      <c r="G109" s="16" t="s">
        <v>23</v>
      </c>
      <c r="H109" s="489" t="s">
        <v>365</v>
      </c>
      <c r="I109" s="16" t="s">
        <v>31</v>
      </c>
      <c r="J109" s="431" t="s">
        <v>366</v>
      </c>
      <c r="K109" s="84" t="s">
        <v>23</v>
      </c>
      <c r="L109" s="453" t="s">
        <v>367</v>
      </c>
      <c r="M109" s="64"/>
      <c r="N109" s="10"/>
      <c r="O109" s="323"/>
      <c r="P109" s="186"/>
      <c r="R109" s="194" t="s">
        <v>22</v>
      </c>
      <c r="S109" s="193"/>
      <c r="V109" s="322"/>
      <c r="W109" s="322"/>
      <c r="X109" s="186"/>
    </row>
    <row r="110" spans="1:24" s="192" customFormat="1" ht="153">
      <c r="A110" s="14"/>
      <c r="B110" s="39" t="s">
        <v>368</v>
      </c>
      <c r="C110" s="20" t="s">
        <v>368</v>
      </c>
      <c r="D110" s="38" t="s">
        <v>369</v>
      </c>
      <c r="E110" s="20">
        <f>LEN(D110)</f>
        <v>188</v>
      </c>
      <c r="F110" s="17" t="s">
        <v>30</v>
      </c>
      <c r="G110" s="16" t="s">
        <v>23</v>
      </c>
      <c r="H110" s="16" t="s">
        <v>23</v>
      </c>
      <c r="I110" s="16" t="s">
        <v>31</v>
      </c>
      <c r="J110" s="431" t="s">
        <v>370</v>
      </c>
      <c r="K110" s="84" t="s">
        <v>23</v>
      </c>
      <c r="L110" s="453" t="s">
        <v>371</v>
      </c>
      <c r="M110" s="64"/>
      <c r="N110" s="10"/>
      <c r="O110" s="323"/>
      <c r="P110" s="186"/>
      <c r="R110" s="194" t="s">
        <v>22</v>
      </c>
      <c r="S110" s="193"/>
      <c r="V110" s="322"/>
      <c r="W110" s="322"/>
      <c r="X110" s="186"/>
    </row>
    <row r="111" spans="1:24" s="192" customFormat="1" ht="238">
      <c r="A111" s="14">
        <f>A107+1</f>
        <v>32</v>
      </c>
      <c r="B111" s="39" t="s">
        <v>372</v>
      </c>
      <c r="C111" s="20" t="s">
        <v>373</v>
      </c>
      <c r="D111" s="503" t="s">
        <v>374</v>
      </c>
      <c r="E111" s="20">
        <f>LEN(D111)</f>
        <v>326</v>
      </c>
      <c r="F111" s="17" t="s">
        <v>375</v>
      </c>
      <c r="G111" s="16" t="s">
        <v>23</v>
      </c>
      <c r="H111" s="16" t="s">
        <v>23</v>
      </c>
      <c r="I111" s="16" t="s">
        <v>376</v>
      </c>
      <c r="J111" s="171" t="s">
        <v>377</v>
      </c>
      <c r="K111" s="84" t="s">
        <v>378</v>
      </c>
      <c r="L111" s="169" t="s">
        <v>379</v>
      </c>
      <c r="M111" s="64"/>
      <c r="N111" s="10"/>
      <c r="O111" s="323" t="str">
        <f>'Additional information'!$D$17</f>
        <v>%</v>
      </c>
      <c r="P111" s="186"/>
      <c r="R111" s="194" t="s">
        <v>22</v>
      </c>
      <c r="S111" s="193"/>
      <c r="V111" s="322">
        <v>18.511110305786133</v>
      </c>
      <c r="W111" s="322" t="e">
        <f t="shared" ref="W111:W142" si="12">IF(V111="","",V111*O111)</f>
        <v>#VALUE!</v>
      </c>
      <c r="X111" s="186" t="str">
        <f t="shared" si="9"/>
        <v/>
      </c>
    </row>
    <row r="112" spans="1:24" s="192" customFormat="1">
      <c r="A112" s="46"/>
      <c r="B112" s="229"/>
      <c r="C112" s="228"/>
      <c r="D112" s="227"/>
      <c r="E112" s="48"/>
      <c r="F112" s="104"/>
      <c r="G112" s="48"/>
      <c r="H112" s="48"/>
      <c r="I112" s="48"/>
      <c r="J112" s="225"/>
      <c r="K112" s="83"/>
      <c r="L112" s="226"/>
      <c r="M112" s="225"/>
      <c r="N112" s="10"/>
      <c r="O112" s="323" t="str">
        <f>'Additional information'!$D$17</f>
        <v>%</v>
      </c>
      <c r="P112" s="186"/>
      <c r="R112" s="194"/>
      <c r="S112" s="193"/>
      <c r="V112" s="322"/>
      <c r="W112" s="322" t="str">
        <f t="shared" si="12"/>
        <v/>
      </c>
      <c r="X112" s="186" t="str">
        <f t="shared" si="9"/>
        <v/>
      </c>
    </row>
    <row r="113" spans="1:24" s="192" customFormat="1" ht="204">
      <c r="A113" s="46">
        <f>A111+1</f>
        <v>33</v>
      </c>
      <c r="B113" s="231" t="s">
        <v>380</v>
      </c>
      <c r="C113" s="230" t="s">
        <v>380</v>
      </c>
      <c r="D113" s="211" t="s">
        <v>381</v>
      </c>
      <c r="E113" s="197">
        <f>LEN(D113)</f>
        <v>255</v>
      </c>
      <c r="F113" s="206" t="s">
        <v>30</v>
      </c>
      <c r="G113" s="197" t="s">
        <v>23</v>
      </c>
      <c r="H113" s="197" t="s">
        <v>23</v>
      </c>
      <c r="I113" s="197" t="s">
        <v>31</v>
      </c>
      <c r="J113" s="221" t="s">
        <v>382</v>
      </c>
      <c r="K113" s="266" t="s">
        <v>23</v>
      </c>
      <c r="L113" s="221" t="s">
        <v>383</v>
      </c>
      <c r="M113" s="61"/>
      <c r="N113" s="10"/>
      <c r="O113" s="323" t="str">
        <f>'Additional information'!$D$17</f>
        <v>%</v>
      </c>
      <c r="P113" s="186"/>
      <c r="R113" s="472" t="s">
        <v>57</v>
      </c>
      <c r="S113" s="193"/>
      <c r="V113" s="321">
        <v>20.308681488037109</v>
      </c>
      <c r="W113" s="321" t="e">
        <f t="shared" si="12"/>
        <v>#VALUE!</v>
      </c>
      <c r="X113" s="186" t="e">
        <f t="shared" si="9"/>
        <v>#VALUE!</v>
      </c>
    </row>
    <row r="114" spans="1:24" s="192" customFormat="1">
      <c r="A114" s="46"/>
      <c r="B114" s="229"/>
      <c r="C114" s="228"/>
      <c r="D114" s="227"/>
      <c r="E114" s="48"/>
      <c r="F114" s="104"/>
      <c r="G114" s="48"/>
      <c r="H114" s="48"/>
      <c r="I114" s="48"/>
      <c r="J114" s="225"/>
      <c r="K114" s="83"/>
      <c r="L114" s="226"/>
      <c r="M114" s="225"/>
      <c r="N114" s="10"/>
      <c r="O114" s="323" t="str">
        <f>'Additional information'!$D$17</f>
        <v>%</v>
      </c>
      <c r="P114" s="186"/>
      <c r="R114" s="194"/>
      <c r="S114" s="193"/>
      <c r="V114" s="322"/>
      <c r="W114" s="322" t="str">
        <f t="shared" si="12"/>
        <v/>
      </c>
      <c r="X114" s="186" t="str">
        <f t="shared" si="9"/>
        <v/>
      </c>
    </row>
    <row r="115" spans="1:24" s="192" customFormat="1" ht="204">
      <c r="A115" s="46">
        <f>A113+1</f>
        <v>34</v>
      </c>
      <c r="B115" s="213" t="s">
        <v>384</v>
      </c>
      <c r="C115" s="197" t="s">
        <v>384</v>
      </c>
      <c r="D115" s="211" t="s">
        <v>385</v>
      </c>
      <c r="E115" s="197">
        <f>LEN(D115)</f>
        <v>275</v>
      </c>
      <c r="F115" s="206" t="s">
        <v>30</v>
      </c>
      <c r="G115" s="197" t="s">
        <v>23</v>
      </c>
      <c r="H115" s="197" t="s">
        <v>23</v>
      </c>
      <c r="I115" s="197" t="s">
        <v>31</v>
      </c>
      <c r="J115" s="196" t="s">
        <v>386</v>
      </c>
      <c r="K115" s="266" t="s">
        <v>23</v>
      </c>
      <c r="L115" s="224" t="s">
        <v>387</v>
      </c>
      <c r="M115" s="223"/>
      <c r="N115" s="172"/>
      <c r="O115" s="323" t="str">
        <f>'Additional information'!$D$17</f>
        <v>%</v>
      </c>
      <c r="P115" s="186"/>
      <c r="R115" s="472" t="s">
        <v>57</v>
      </c>
      <c r="S115" s="193"/>
      <c r="V115" s="321">
        <v>15.448612213134766</v>
      </c>
      <c r="W115" s="321" t="e">
        <f t="shared" si="12"/>
        <v>#VALUE!</v>
      </c>
      <c r="X115" s="186" t="e">
        <f t="shared" si="9"/>
        <v>#VALUE!</v>
      </c>
    </row>
    <row r="116" spans="1:24" s="192" customFormat="1" ht="85">
      <c r="A116" s="14">
        <f>A115+1</f>
        <v>35</v>
      </c>
      <c r="B116" s="54" t="s">
        <v>388</v>
      </c>
      <c r="C116" s="55" t="s">
        <v>388</v>
      </c>
      <c r="D116" s="19" t="s">
        <v>389</v>
      </c>
      <c r="E116" s="20">
        <f>LEN(D116)</f>
        <v>234</v>
      </c>
      <c r="F116" s="56" t="s">
        <v>97</v>
      </c>
      <c r="G116" s="20" t="s">
        <v>23</v>
      </c>
      <c r="H116" s="20" t="s">
        <v>23</v>
      </c>
      <c r="I116" s="20" t="s">
        <v>26</v>
      </c>
      <c r="J116" s="22" t="s">
        <v>390</v>
      </c>
      <c r="K116" s="84" t="s">
        <v>23</v>
      </c>
      <c r="L116" s="57" t="s">
        <v>391</v>
      </c>
      <c r="M116" s="70"/>
      <c r="N116" s="552" t="s">
        <v>392</v>
      </c>
      <c r="O116" s="323" t="str">
        <f>'Additional information'!$D$17</f>
        <v>%</v>
      </c>
      <c r="P116" s="186"/>
      <c r="R116" s="194" t="s">
        <v>22</v>
      </c>
      <c r="S116" s="193"/>
      <c r="V116" s="322">
        <v>30.343915939331055</v>
      </c>
      <c r="W116" s="322" t="e">
        <f t="shared" si="12"/>
        <v>#VALUE!</v>
      </c>
      <c r="X116" s="186" t="str">
        <f t="shared" si="9"/>
        <v/>
      </c>
    </row>
    <row r="117" spans="1:24" s="192" customFormat="1" ht="221">
      <c r="A117" s="14">
        <f>A116+1</f>
        <v>36</v>
      </c>
      <c r="B117" s="54" t="s">
        <v>393</v>
      </c>
      <c r="C117" s="55" t="s">
        <v>393</v>
      </c>
      <c r="D117" s="60" t="s">
        <v>394</v>
      </c>
      <c r="E117" s="20">
        <f>LEN(D117)</f>
        <v>175</v>
      </c>
      <c r="F117" s="56" t="s">
        <v>395</v>
      </c>
      <c r="G117" s="20" t="s">
        <v>23</v>
      </c>
      <c r="H117" s="20" t="s">
        <v>23</v>
      </c>
      <c r="I117" s="20" t="s">
        <v>396</v>
      </c>
      <c r="J117" s="22" t="s">
        <v>397</v>
      </c>
      <c r="K117" s="84" t="s">
        <v>23</v>
      </c>
      <c r="L117" s="57" t="s">
        <v>398</v>
      </c>
      <c r="M117" s="70"/>
      <c r="N117" s="553"/>
      <c r="O117" s="323" t="str">
        <f>'Additional information'!$D$17</f>
        <v>%</v>
      </c>
      <c r="P117" s="186"/>
      <c r="R117" s="194" t="s">
        <v>22</v>
      </c>
      <c r="S117" s="193"/>
      <c r="V117" s="322">
        <v>5.4708995819091797</v>
      </c>
      <c r="W117" s="322" t="e">
        <f t="shared" si="12"/>
        <v>#VALUE!</v>
      </c>
      <c r="X117" s="186" t="str">
        <f t="shared" si="9"/>
        <v/>
      </c>
    </row>
    <row r="118" spans="1:24" s="192" customFormat="1" ht="68">
      <c r="A118" s="14">
        <f>A117+1</f>
        <v>37</v>
      </c>
      <c r="B118" s="54" t="s">
        <v>399</v>
      </c>
      <c r="C118" s="55" t="s">
        <v>399</v>
      </c>
      <c r="D118" s="60" t="s">
        <v>400</v>
      </c>
      <c r="E118" s="20">
        <f>LEN(D118)</f>
        <v>123</v>
      </c>
      <c r="F118" s="56" t="s">
        <v>97</v>
      </c>
      <c r="G118" s="20" t="s">
        <v>23</v>
      </c>
      <c r="H118" s="20" t="s">
        <v>23</v>
      </c>
      <c r="I118" s="20" t="s">
        <v>26</v>
      </c>
      <c r="J118" s="22" t="s">
        <v>401</v>
      </c>
      <c r="K118" s="84" t="s">
        <v>23</v>
      </c>
      <c r="L118" s="57" t="s">
        <v>402</v>
      </c>
      <c r="M118" s="70"/>
      <c r="N118" s="553"/>
      <c r="O118" s="323" t="str">
        <f>'Additional information'!$D$17</f>
        <v>%</v>
      </c>
      <c r="P118" s="186"/>
      <c r="R118" s="194" t="s">
        <v>22</v>
      </c>
      <c r="S118" s="193"/>
      <c r="V118" s="322">
        <v>7.9054727554321289</v>
      </c>
      <c r="W118" s="322" t="e">
        <f t="shared" si="12"/>
        <v>#VALUE!</v>
      </c>
      <c r="X118" s="186" t="str">
        <f t="shared" si="9"/>
        <v/>
      </c>
    </row>
    <row r="119" spans="1:24" s="192" customFormat="1" ht="85">
      <c r="A119" s="14">
        <f>A118+1</f>
        <v>38</v>
      </c>
      <c r="B119" s="54" t="s">
        <v>403</v>
      </c>
      <c r="C119" s="55" t="s">
        <v>403</v>
      </c>
      <c r="D119" s="58" t="s">
        <v>404</v>
      </c>
      <c r="E119" s="20">
        <f>LEN(D119)</f>
        <v>218</v>
      </c>
      <c r="F119" s="56" t="s">
        <v>97</v>
      </c>
      <c r="G119" s="20" t="s">
        <v>23</v>
      </c>
      <c r="H119" s="20" t="s">
        <v>23</v>
      </c>
      <c r="I119" s="20" t="s">
        <v>26</v>
      </c>
      <c r="J119" s="22" t="s">
        <v>405</v>
      </c>
      <c r="K119" s="84" t="s">
        <v>23</v>
      </c>
      <c r="L119" s="57" t="s">
        <v>406</v>
      </c>
      <c r="M119" s="70"/>
      <c r="N119" s="554"/>
      <c r="O119" s="323" t="str">
        <f>'Additional information'!$D$17</f>
        <v>%</v>
      </c>
      <c r="P119" s="186"/>
      <c r="R119" s="194" t="s">
        <v>22</v>
      </c>
      <c r="S119" s="193"/>
      <c r="V119" s="322">
        <v>16.435977935791016</v>
      </c>
      <c r="W119" s="322" t="e">
        <f t="shared" si="12"/>
        <v>#VALUE!</v>
      </c>
      <c r="X119" s="186" t="str">
        <f t="shared" si="9"/>
        <v/>
      </c>
    </row>
    <row r="120" spans="1:24" s="192" customFormat="1">
      <c r="A120" s="46"/>
      <c r="B120" s="288"/>
      <c r="C120" s="103"/>
      <c r="D120" s="83"/>
      <c r="E120" s="48"/>
      <c r="F120" s="104"/>
      <c r="G120" s="48"/>
      <c r="H120" s="48"/>
      <c r="I120" s="48"/>
      <c r="J120" s="88"/>
      <c r="K120" s="88"/>
      <c r="L120" s="88"/>
      <c r="M120" s="88"/>
      <c r="N120" s="10"/>
      <c r="O120" s="323" t="str">
        <f>'Additional information'!$D$17</f>
        <v>%</v>
      </c>
      <c r="P120" s="186"/>
      <c r="R120" s="194"/>
      <c r="S120" s="193"/>
      <c r="V120" s="322"/>
      <c r="W120" s="322" t="str">
        <f t="shared" si="12"/>
        <v/>
      </c>
      <c r="X120" s="186" t="str">
        <f t="shared" si="9"/>
        <v/>
      </c>
    </row>
    <row r="121" spans="1:24" s="192" customFormat="1" ht="153">
      <c r="A121" s="46">
        <f>A119+1</f>
        <v>39</v>
      </c>
      <c r="B121" s="213" t="s">
        <v>407</v>
      </c>
      <c r="C121" s="191" t="s">
        <v>407</v>
      </c>
      <c r="D121" s="212" t="s">
        <v>408</v>
      </c>
      <c r="E121" s="197">
        <f>LEN(D121)</f>
        <v>157</v>
      </c>
      <c r="F121" s="206" t="s">
        <v>30</v>
      </c>
      <c r="G121" s="197" t="s">
        <v>23</v>
      </c>
      <c r="H121" s="197" t="s">
        <v>23</v>
      </c>
      <c r="I121" s="197" t="s">
        <v>31</v>
      </c>
      <c r="J121" s="196" t="s">
        <v>409</v>
      </c>
      <c r="K121" s="266" t="s">
        <v>23</v>
      </c>
      <c r="L121" s="196" t="s">
        <v>410</v>
      </c>
      <c r="M121" s="62"/>
      <c r="N121" s="10"/>
      <c r="O121" s="323" t="str">
        <f>'Additional information'!$D$17</f>
        <v>%</v>
      </c>
      <c r="P121" s="186"/>
      <c r="R121" s="472" t="s">
        <v>57</v>
      </c>
      <c r="S121" s="193"/>
      <c r="V121" s="321">
        <v>11.375329971313477</v>
      </c>
      <c r="W121" s="321" t="e">
        <f t="shared" si="12"/>
        <v>#VALUE!</v>
      </c>
      <c r="X121" s="186" t="e">
        <f t="shared" si="9"/>
        <v>#VALUE!</v>
      </c>
    </row>
    <row r="122" spans="1:24" s="192" customFormat="1" ht="388">
      <c r="A122" s="116">
        <f>A121+1</f>
        <v>40</v>
      </c>
      <c r="B122" s="283" t="s">
        <v>411</v>
      </c>
      <c r="C122" s="198" t="s">
        <v>412</v>
      </c>
      <c r="D122" s="454" t="s">
        <v>413</v>
      </c>
      <c r="E122" s="180">
        <f>LEN(D122)</f>
        <v>773</v>
      </c>
      <c r="F122" s="191" t="s">
        <v>375</v>
      </c>
      <c r="G122" s="180" t="s">
        <v>23</v>
      </c>
      <c r="H122" s="180" t="s">
        <v>23</v>
      </c>
      <c r="I122" s="180" t="s">
        <v>414</v>
      </c>
      <c r="J122" s="450" t="s">
        <v>415</v>
      </c>
      <c r="K122" s="266" t="s">
        <v>416</v>
      </c>
      <c r="L122" s="212" t="s">
        <v>417</v>
      </c>
      <c r="M122" s="62"/>
      <c r="N122" s="10"/>
      <c r="O122" s="323" t="str">
        <f>'Additional information'!$D$17</f>
        <v>%</v>
      </c>
      <c r="P122" s="186"/>
      <c r="R122" s="472" t="s">
        <v>57</v>
      </c>
      <c r="S122" s="193"/>
      <c r="V122" s="321">
        <v>25.844999313354492</v>
      </c>
      <c r="W122" s="321" t="e">
        <f t="shared" si="12"/>
        <v>#VALUE!</v>
      </c>
      <c r="X122" s="186" t="e">
        <f t="shared" si="9"/>
        <v>#VALUE!</v>
      </c>
    </row>
    <row r="123" spans="1:24" s="192" customFormat="1">
      <c r="A123" s="46"/>
      <c r="B123" s="288"/>
      <c r="C123" s="103"/>
      <c r="D123" s="83"/>
      <c r="E123" s="48"/>
      <c r="F123" s="104"/>
      <c r="G123" s="48"/>
      <c r="H123" s="48"/>
      <c r="I123" s="48"/>
      <c r="J123" s="88"/>
      <c r="K123" s="88"/>
      <c r="L123" s="88"/>
      <c r="M123" s="88"/>
      <c r="N123" s="10"/>
      <c r="O123" s="323" t="str">
        <f>'Additional information'!$D$17</f>
        <v>%</v>
      </c>
      <c r="P123" s="186"/>
      <c r="R123" s="194"/>
      <c r="S123" s="193"/>
      <c r="V123" s="322"/>
      <c r="W123" s="322" t="str">
        <f t="shared" si="12"/>
        <v/>
      </c>
      <c r="X123" s="186" t="str">
        <f t="shared" si="9"/>
        <v/>
      </c>
    </row>
    <row r="124" spans="1:24" s="192" customFormat="1" ht="221">
      <c r="A124" s="113">
        <f>A122+1</f>
        <v>41</v>
      </c>
      <c r="B124" s="282" t="s">
        <v>418</v>
      </c>
      <c r="C124" s="291" t="s">
        <v>418</v>
      </c>
      <c r="D124" s="22" t="s">
        <v>419</v>
      </c>
      <c r="E124" s="20">
        <f>LEN(D124)</f>
        <v>296</v>
      </c>
      <c r="F124" s="21" t="s">
        <v>30</v>
      </c>
      <c r="G124" s="20" t="s">
        <v>23</v>
      </c>
      <c r="H124" s="451" t="s">
        <v>420</v>
      </c>
      <c r="I124" s="20" t="s">
        <v>31</v>
      </c>
      <c r="J124" s="22" t="s">
        <v>421</v>
      </c>
      <c r="K124" s="84" t="s">
        <v>23</v>
      </c>
      <c r="L124" s="22" t="s">
        <v>422</v>
      </c>
      <c r="M124" s="31"/>
      <c r="N124" s="10"/>
      <c r="O124" s="323" t="str">
        <f>'Additional information'!$D$17</f>
        <v>%</v>
      </c>
      <c r="P124" s="186"/>
      <c r="R124" s="194" t="s">
        <v>22</v>
      </c>
      <c r="S124" s="193"/>
      <c r="V124" s="322">
        <v>12.186037063598633</v>
      </c>
      <c r="W124" s="322" t="e">
        <f t="shared" si="12"/>
        <v>#VALUE!</v>
      </c>
      <c r="X124" s="186" t="str">
        <f t="shared" si="9"/>
        <v/>
      </c>
    </row>
    <row r="125" spans="1:24" s="192" customFormat="1" ht="136">
      <c r="A125" s="59"/>
      <c r="B125" s="287" t="s">
        <v>423</v>
      </c>
      <c r="C125" s="286" t="s">
        <v>424</v>
      </c>
      <c r="D125" s="15" t="s">
        <v>425</v>
      </c>
      <c r="E125" s="24">
        <f>LEN(D125)</f>
        <v>233</v>
      </c>
      <c r="F125" s="28" t="s">
        <v>193</v>
      </c>
      <c r="G125" s="24" t="s">
        <v>23</v>
      </c>
      <c r="H125" s="452" t="s">
        <v>23</v>
      </c>
      <c r="I125" s="24" t="s">
        <v>426</v>
      </c>
      <c r="J125" s="29" t="s">
        <v>427</v>
      </c>
      <c r="K125" s="84" t="s">
        <v>23</v>
      </c>
      <c r="L125" s="65" t="s">
        <v>428</v>
      </c>
      <c r="M125" s="65"/>
      <c r="N125" s="172"/>
      <c r="O125" s="323" t="str">
        <f>'Additional information'!$D$17</f>
        <v>%</v>
      </c>
      <c r="P125" s="186"/>
      <c r="R125" s="194" t="s">
        <v>22</v>
      </c>
      <c r="S125" s="193"/>
      <c r="V125" s="322">
        <v>18.744722366333008</v>
      </c>
      <c r="W125" s="322" t="e">
        <f t="shared" si="12"/>
        <v>#VALUE!</v>
      </c>
      <c r="X125" s="186" t="str">
        <f t="shared" si="9"/>
        <v/>
      </c>
    </row>
    <row r="126" spans="1:24" s="192" customFormat="1" ht="17" thickBot="1">
      <c r="A126" s="116"/>
      <c r="B126" s="310"/>
      <c r="C126" s="117"/>
      <c r="D126" s="92"/>
      <c r="E126" s="106"/>
      <c r="F126" s="117"/>
      <c r="G126" s="106"/>
      <c r="H126" s="106"/>
      <c r="I126" s="106"/>
      <c r="J126" s="98"/>
      <c r="K126" s="88"/>
      <c r="L126" s="92"/>
      <c r="M126" s="98"/>
      <c r="N126" s="75"/>
      <c r="O126" s="323" t="str">
        <f>'Additional information'!$D$17</f>
        <v>%</v>
      </c>
      <c r="P126" s="186"/>
      <c r="R126" s="194"/>
      <c r="S126" s="193"/>
      <c r="V126" s="322"/>
      <c r="W126" s="322" t="str">
        <f t="shared" si="12"/>
        <v/>
      </c>
      <c r="X126" s="186" t="str">
        <f t="shared" si="9"/>
        <v/>
      </c>
    </row>
    <row r="127" spans="1:24" s="469" customFormat="1" ht="17" thickBot="1">
      <c r="A127" s="549" t="s">
        <v>429</v>
      </c>
      <c r="B127" s="550"/>
      <c r="C127" s="550"/>
      <c r="D127" s="550"/>
      <c r="E127" s="550"/>
      <c r="F127" s="550"/>
      <c r="G127" s="550"/>
      <c r="H127" s="550"/>
      <c r="I127" s="550"/>
      <c r="J127" s="550"/>
      <c r="K127" s="550"/>
      <c r="L127" s="550"/>
      <c r="M127" s="550"/>
      <c r="N127" s="551"/>
      <c r="O127" s="318"/>
      <c r="P127" s="474"/>
      <c r="R127" s="472"/>
      <c r="S127" s="475"/>
      <c r="V127" s="321"/>
      <c r="W127" s="321" t="str">
        <f t="shared" si="12"/>
        <v/>
      </c>
      <c r="X127" s="474" t="str">
        <f t="shared" si="9"/>
        <v/>
      </c>
    </row>
    <row r="128" spans="1:24" s="192" customFormat="1" ht="238">
      <c r="A128" s="46"/>
      <c r="B128" s="231" t="s">
        <v>430</v>
      </c>
      <c r="C128" s="230" t="s">
        <v>430</v>
      </c>
      <c r="D128" s="529" t="s">
        <v>431</v>
      </c>
      <c r="E128" s="189">
        <f>LEN(D128)</f>
        <v>104</v>
      </c>
      <c r="F128" s="199" t="s">
        <v>30</v>
      </c>
      <c r="G128" s="197" t="s">
        <v>23</v>
      </c>
      <c r="H128" s="191" t="s">
        <v>432</v>
      </c>
      <c r="I128" s="189" t="s">
        <v>31</v>
      </c>
      <c r="J128" s="196" t="s">
        <v>433</v>
      </c>
      <c r="K128" s="441" t="s">
        <v>434</v>
      </c>
      <c r="L128" s="196" t="s">
        <v>435</v>
      </c>
      <c r="M128" s="88"/>
      <c r="N128" s="10"/>
      <c r="O128" s="323" t="str">
        <f>'Additional information'!$D$17</f>
        <v>%</v>
      </c>
      <c r="P128" s="186"/>
      <c r="R128" s="472" t="s">
        <v>57</v>
      </c>
      <c r="S128" s="193"/>
      <c r="V128" s="321">
        <v>17.612014770507812</v>
      </c>
      <c r="W128" s="321" t="e">
        <f t="shared" si="12"/>
        <v>#VALUE!</v>
      </c>
      <c r="X128" s="186" t="e">
        <f t="shared" si="9"/>
        <v>#VALUE!</v>
      </c>
    </row>
    <row r="129" spans="1:24" s="192" customFormat="1">
      <c r="A129" s="46"/>
      <c r="B129" s="229"/>
      <c r="C129" s="103"/>
      <c r="D129" s="530"/>
      <c r="E129" s="109"/>
      <c r="F129" s="49"/>
      <c r="G129" s="48"/>
      <c r="H129" s="115"/>
      <c r="I129" s="48"/>
      <c r="J129" s="88"/>
      <c r="K129" s="88"/>
      <c r="L129" s="90"/>
      <c r="M129" s="90"/>
      <c r="N129" s="10"/>
      <c r="O129" s="323" t="str">
        <f>'Additional information'!$D$17</f>
        <v>%</v>
      </c>
      <c r="P129" s="194"/>
      <c r="Q129" s="193"/>
      <c r="T129" s="200"/>
      <c r="U129" s="245"/>
      <c r="V129" s="322"/>
      <c r="W129" s="322" t="str">
        <f t="shared" si="12"/>
        <v/>
      </c>
      <c r="X129" s="186" t="str">
        <f t="shared" si="9"/>
        <v/>
      </c>
    </row>
    <row r="130" spans="1:24" s="192" customFormat="1" ht="222" customHeight="1">
      <c r="A130" s="102">
        <f>A122+1</f>
        <v>41</v>
      </c>
      <c r="B130" s="455" t="s">
        <v>436</v>
      </c>
      <c r="C130" s="191" t="s">
        <v>436</v>
      </c>
      <c r="D130" s="190" t="s">
        <v>437</v>
      </c>
      <c r="E130" s="189">
        <f>LEN(D130)</f>
        <v>167</v>
      </c>
      <c r="F130" s="199" t="s">
        <v>30</v>
      </c>
      <c r="G130" s="189" t="s">
        <v>23</v>
      </c>
      <c r="H130" s="191" t="s">
        <v>23</v>
      </c>
      <c r="I130" s="189" t="s">
        <v>31</v>
      </c>
      <c r="J130" s="188" t="s">
        <v>438</v>
      </c>
      <c r="K130" s="266" t="s">
        <v>23</v>
      </c>
      <c r="L130" s="188" t="s">
        <v>439</v>
      </c>
      <c r="M130" s="90"/>
      <c r="N130" s="52"/>
      <c r="O130" s="323" t="str">
        <f>'Additional information'!$D$17</f>
        <v>%</v>
      </c>
      <c r="P130" s="186"/>
      <c r="R130" s="472" t="s">
        <v>57</v>
      </c>
      <c r="S130" s="193"/>
      <c r="V130" s="321">
        <v>10.457156181335449</v>
      </c>
      <c r="W130" s="321" t="e">
        <f t="shared" si="12"/>
        <v>#VALUE!</v>
      </c>
      <c r="X130" s="186" t="e">
        <f t="shared" si="9"/>
        <v>#VALUE!</v>
      </c>
    </row>
    <row r="131" spans="1:24" s="192" customFormat="1" ht="289">
      <c r="A131" s="46">
        <f>A130+1</f>
        <v>42</v>
      </c>
      <c r="B131" s="231" t="s">
        <v>440</v>
      </c>
      <c r="C131" s="191" t="s">
        <v>441</v>
      </c>
      <c r="D131" s="454" t="s">
        <v>442</v>
      </c>
      <c r="E131" s="189">
        <f>LEN(D131)</f>
        <v>684</v>
      </c>
      <c r="F131" s="191" t="s">
        <v>375</v>
      </c>
      <c r="G131" s="197" t="s">
        <v>23</v>
      </c>
      <c r="H131" s="222" t="s">
        <v>23</v>
      </c>
      <c r="I131" s="197" t="s">
        <v>443</v>
      </c>
      <c r="J131" s="196" t="s">
        <v>444</v>
      </c>
      <c r="K131" s="266" t="s">
        <v>445</v>
      </c>
      <c r="L131" s="196" t="s">
        <v>446</v>
      </c>
      <c r="M131" s="88"/>
      <c r="N131" s="10"/>
      <c r="O131" s="323" t="str">
        <f>'Additional information'!$D$17</f>
        <v>%</v>
      </c>
      <c r="P131" s="186"/>
      <c r="R131" s="472" t="s">
        <v>57</v>
      </c>
      <c r="S131" s="193"/>
      <c r="V131" s="321">
        <v>20.769962310791016</v>
      </c>
      <c r="W131" s="321" t="e">
        <f t="shared" si="12"/>
        <v>#VALUE!</v>
      </c>
      <c r="X131" s="186" t="e">
        <f t="shared" ref="X131:X194" si="13">IF(R131="yes",W131,"")</f>
        <v>#VALUE!</v>
      </c>
    </row>
    <row r="132" spans="1:24" s="192" customFormat="1">
      <c r="A132" s="46"/>
      <c r="B132" s="229"/>
      <c r="C132" s="103"/>
      <c r="D132" s="530"/>
      <c r="E132" s="109"/>
      <c r="F132" s="49"/>
      <c r="G132" s="48"/>
      <c r="H132" s="114"/>
      <c r="I132" s="48"/>
      <c r="J132" s="88"/>
      <c r="K132" s="88"/>
      <c r="L132" s="90"/>
      <c r="M132" s="90"/>
      <c r="N132" s="10"/>
      <c r="O132" s="323" t="str">
        <f>'Additional information'!$D$17</f>
        <v>%</v>
      </c>
      <c r="P132" s="186"/>
      <c r="R132" s="194"/>
      <c r="S132" s="193"/>
      <c r="V132" s="322"/>
      <c r="W132" s="322" t="str">
        <f t="shared" si="12"/>
        <v/>
      </c>
      <c r="X132" s="186" t="str">
        <f>IF(R132="yes",W132,"")</f>
        <v/>
      </c>
    </row>
    <row r="133" spans="1:24" s="192" customFormat="1" ht="261" customHeight="1">
      <c r="A133" s="46">
        <f>A131+1</f>
        <v>43</v>
      </c>
      <c r="B133" s="231" t="s">
        <v>447</v>
      </c>
      <c r="C133" s="191" t="s">
        <v>447</v>
      </c>
      <c r="D133" s="212" t="s">
        <v>448</v>
      </c>
      <c r="E133" s="197">
        <f>LEN(D133)</f>
        <v>343</v>
      </c>
      <c r="F133" s="206" t="s">
        <v>30</v>
      </c>
      <c r="G133" s="197" t="s">
        <v>23</v>
      </c>
      <c r="H133" s="197" t="s">
        <v>23</v>
      </c>
      <c r="I133" s="197" t="s">
        <v>31</v>
      </c>
      <c r="J133" s="221" t="s">
        <v>449</v>
      </c>
      <c r="K133" s="266" t="s">
        <v>23</v>
      </c>
      <c r="L133" s="195" t="s">
        <v>450</v>
      </c>
      <c r="M133" s="220"/>
      <c r="N133" s="10"/>
      <c r="O133" s="323" t="str">
        <f>'Additional information'!$D$17</f>
        <v>%</v>
      </c>
      <c r="P133" s="186"/>
      <c r="R133" s="472" t="s">
        <v>57</v>
      </c>
      <c r="S133" s="193"/>
      <c r="V133" s="321">
        <v>23.569721221923828</v>
      </c>
      <c r="W133" s="321" t="e">
        <f t="shared" si="12"/>
        <v>#VALUE!</v>
      </c>
      <c r="X133" s="186" t="e">
        <f t="shared" si="13"/>
        <v>#VALUE!</v>
      </c>
    </row>
    <row r="134" spans="1:24" s="192" customFormat="1" ht="17" thickBot="1">
      <c r="A134" s="46"/>
      <c r="B134" s="229"/>
      <c r="C134" s="103"/>
      <c r="D134" s="530"/>
      <c r="E134" s="109"/>
      <c r="F134" s="49"/>
      <c r="G134" s="48"/>
      <c r="H134" s="114"/>
      <c r="I134" s="48"/>
      <c r="J134" s="88"/>
      <c r="K134" s="88"/>
      <c r="L134" s="90"/>
      <c r="M134" s="90"/>
      <c r="N134" s="10"/>
      <c r="O134" s="323" t="str">
        <f>'Additional information'!$D$17</f>
        <v>%</v>
      </c>
      <c r="P134" s="186"/>
      <c r="R134" s="194"/>
      <c r="S134" s="193"/>
      <c r="V134" s="322"/>
      <c r="W134" s="322" t="str">
        <f t="shared" si="12"/>
        <v/>
      </c>
      <c r="X134" s="186" t="str">
        <f>IF(R134="yes",W134,"")</f>
        <v/>
      </c>
    </row>
    <row r="135" spans="1:24" s="469" customFormat="1" ht="17" thickBot="1">
      <c r="A135" s="549" t="s">
        <v>451</v>
      </c>
      <c r="B135" s="550"/>
      <c r="C135" s="550"/>
      <c r="D135" s="550"/>
      <c r="E135" s="550"/>
      <c r="F135" s="550"/>
      <c r="G135" s="550"/>
      <c r="H135" s="550"/>
      <c r="I135" s="550"/>
      <c r="J135" s="550"/>
      <c r="K135" s="550"/>
      <c r="L135" s="550"/>
      <c r="M135" s="550"/>
      <c r="N135" s="551"/>
      <c r="O135" s="318"/>
      <c r="P135" s="474"/>
      <c r="R135" s="472"/>
      <c r="S135" s="475"/>
      <c r="V135" s="321"/>
      <c r="W135" s="321" t="str">
        <f t="shared" si="12"/>
        <v/>
      </c>
      <c r="X135" s="474" t="str">
        <f t="shared" si="13"/>
        <v/>
      </c>
    </row>
    <row r="136" spans="1:24" s="192" customFormat="1" ht="136">
      <c r="A136" s="102">
        <f>A133+1</f>
        <v>44</v>
      </c>
      <c r="B136" s="457" t="s">
        <v>452</v>
      </c>
      <c r="C136" s="531" t="s">
        <v>452</v>
      </c>
      <c r="D136" s="532" t="s">
        <v>453</v>
      </c>
      <c r="E136" s="189">
        <f>LEN(D136)</f>
        <v>173</v>
      </c>
      <c r="F136" s="189" t="s">
        <v>30</v>
      </c>
      <c r="G136" s="189" t="s">
        <v>23</v>
      </c>
      <c r="H136" s="189" t="s">
        <v>454</v>
      </c>
      <c r="I136" s="189" t="s">
        <v>31</v>
      </c>
      <c r="J136" s="188" t="s">
        <v>455</v>
      </c>
      <c r="K136" s="266" t="s">
        <v>23</v>
      </c>
      <c r="L136" s="195" t="s">
        <v>456</v>
      </c>
      <c r="M136" s="220"/>
      <c r="N136" s="9"/>
      <c r="O136" s="318">
        <f>'Additional information'!$D$18</f>
        <v>0.91</v>
      </c>
      <c r="P136" s="186"/>
      <c r="R136" s="472" t="s">
        <v>57</v>
      </c>
      <c r="S136" s="193"/>
      <c r="V136" s="321">
        <v>4.5019583702087402</v>
      </c>
      <c r="W136" s="321">
        <f t="shared" si="12"/>
        <v>4.0967821168899539</v>
      </c>
      <c r="X136" s="186">
        <f t="shared" si="13"/>
        <v>4.0967821168899539</v>
      </c>
    </row>
    <row r="137" spans="1:24" s="192" customFormat="1">
      <c r="A137" s="46"/>
      <c r="B137" s="229"/>
      <c r="C137" s="103"/>
      <c r="D137" s="530"/>
      <c r="E137" s="109"/>
      <c r="F137" s="49"/>
      <c r="G137" s="48"/>
      <c r="H137" s="115"/>
      <c r="I137" s="48"/>
      <c r="J137" s="88"/>
      <c r="K137" s="88"/>
      <c r="L137" s="90"/>
      <c r="M137" s="90"/>
      <c r="N137" s="10"/>
      <c r="O137" s="323">
        <f>'Additional information'!$D$18</f>
        <v>0.91</v>
      </c>
      <c r="P137" s="186"/>
      <c r="R137" s="194"/>
      <c r="S137" s="193"/>
      <c r="V137" s="322"/>
      <c r="W137" s="322" t="str">
        <f t="shared" si="12"/>
        <v/>
      </c>
      <c r="X137" s="186" t="str">
        <f t="shared" si="13"/>
        <v/>
      </c>
    </row>
    <row r="138" spans="1:24" s="192" customFormat="1" ht="306">
      <c r="A138" s="102">
        <f>A136+1</f>
        <v>45</v>
      </c>
      <c r="B138" s="281" t="s">
        <v>457</v>
      </c>
      <c r="C138" s="191" t="s">
        <v>457</v>
      </c>
      <c r="D138" s="190" t="s">
        <v>458</v>
      </c>
      <c r="E138" s="189">
        <f>LEN(D138)</f>
        <v>578</v>
      </c>
      <c r="F138" s="189" t="s">
        <v>30</v>
      </c>
      <c r="G138" s="189" t="s">
        <v>23</v>
      </c>
      <c r="H138" s="189" t="s">
        <v>23</v>
      </c>
      <c r="I138" s="191" t="s">
        <v>459</v>
      </c>
      <c r="J138" s="188" t="s">
        <v>460</v>
      </c>
      <c r="K138" s="266" t="s">
        <v>23</v>
      </c>
      <c r="L138" s="195" t="s">
        <v>461</v>
      </c>
      <c r="M138" s="220"/>
      <c r="N138" s="52"/>
      <c r="O138" s="318">
        <f>'Additional information'!$D$18</f>
        <v>0.91</v>
      </c>
      <c r="P138" s="186"/>
      <c r="R138" s="472" t="s">
        <v>57</v>
      </c>
      <c r="S138" s="193"/>
      <c r="V138" s="321">
        <v>17.402484893798828</v>
      </c>
      <c r="W138" s="321">
        <f t="shared" si="12"/>
        <v>15.836261253356934</v>
      </c>
      <c r="X138" s="186">
        <f t="shared" si="13"/>
        <v>15.836261253356934</v>
      </c>
    </row>
    <row r="139" spans="1:24" s="192" customFormat="1">
      <c r="A139" s="102"/>
      <c r="B139" s="309"/>
      <c r="C139" s="103"/>
      <c r="D139" s="218"/>
      <c r="E139" s="109"/>
      <c r="F139" s="109"/>
      <c r="G139" s="109"/>
      <c r="H139" s="109"/>
      <c r="I139" s="103"/>
      <c r="J139" s="90"/>
      <c r="K139" s="88"/>
      <c r="L139" s="220"/>
      <c r="M139" s="220"/>
      <c r="N139" s="52"/>
      <c r="O139" s="323">
        <f>'Additional information'!$D$18</f>
        <v>0.91</v>
      </c>
      <c r="P139" s="186"/>
      <c r="R139" s="194"/>
      <c r="S139" s="193"/>
      <c r="V139" s="322"/>
      <c r="W139" s="322" t="str">
        <f t="shared" si="12"/>
        <v/>
      </c>
      <c r="X139" s="186" t="str">
        <f t="shared" si="13"/>
        <v/>
      </c>
    </row>
    <row r="140" spans="1:24" s="192" customFormat="1" ht="68">
      <c r="A140" s="46">
        <f>A138+1</f>
        <v>46</v>
      </c>
      <c r="B140" s="231" t="s">
        <v>462</v>
      </c>
      <c r="C140" s="191" t="s">
        <v>462</v>
      </c>
      <c r="D140" s="212" t="s">
        <v>463</v>
      </c>
      <c r="E140" s="197">
        <f>LEN(D140)</f>
        <v>152</v>
      </c>
      <c r="F140" s="206" t="s">
        <v>97</v>
      </c>
      <c r="G140" s="197" t="s">
        <v>23</v>
      </c>
      <c r="H140" s="197" t="s">
        <v>23</v>
      </c>
      <c r="I140" s="197" t="s">
        <v>464</v>
      </c>
      <c r="J140" s="196" t="s">
        <v>465</v>
      </c>
      <c r="K140" s="266" t="s">
        <v>23</v>
      </c>
      <c r="L140" s="196" t="s">
        <v>466</v>
      </c>
      <c r="M140" s="90"/>
      <c r="N140" s="10"/>
      <c r="O140" s="318">
        <f>'Additional information'!$D$18</f>
        <v>0.91</v>
      </c>
      <c r="P140" s="186"/>
      <c r="R140" s="472" t="s">
        <v>57</v>
      </c>
      <c r="S140" s="193"/>
      <c r="V140" s="321">
        <v>16.332881927490234</v>
      </c>
      <c r="W140" s="321">
        <f t="shared" si="12"/>
        <v>14.862922554016114</v>
      </c>
      <c r="X140" s="186">
        <f t="shared" si="13"/>
        <v>14.862922554016114</v>
      </c>
    </row>
    <row r="141" spans="1:24" s="192" customFormat="1" ht="68">
      <c r="A141" s="46">
        <f>A140+1</f>
        <v>47</v>
      </c>
      <c r="B141" s="231" t="s">
        <v>467</v>
      </c>
      <c r="C141" s="191" t="s">
        <v>467</v>
      </c>
      <c r="D141" s="211" t="s">
        <v>468</v>
      </c>
      <c r="E141" s="197">
        <f>LEN(D141)</f>
        <v>128</v>
      </c>
      <c r="F141" s="206" t="s">
        <v>97</v>
      </c>
      <c r="G141" s="197" t="s">
        <v>23</v>
      </c>
      <c r="H141" s="197" t="s">
        <v>23</v>
      </c>
      <c r="I141" s="197" t="s">
        <v>464</v>
      </c>
      <c r="J141" s="196" t="s">
        <v>469</v>
      </c>
      <c r="K141" s="266" t="s">
        <v>23</v>
      </c>
      <c r="L141" s="196" t="s">
        <v>470</v>
      </c>
      <c r="M141" s="90"/>
      <c r="N141" s="10"/>
      <c r="O141" s="318">
        <f>'Additional information'!$D$18</f>
        <v>0.91</v>
      </c>
      <c r="P141" s="186"/>
      <c r="R141" s="472" t="s">
        <v>57</v>
      </c>
      <c r="S141" s="193"/>
      <c r="V141" s="321">
        <v>7.4144525527954102</v>
      </c>
      <c r="W141" s="321">
        <f t="shared" si="12"/>
        <v>6.7471518230438239</v>
      </c>
      <c r="X141" s="186">
        <f t="shared" si="13"/>
        <v>6.7471518230438239</v>
      </c>
    </row>
    <row r="142" spans="1:24" s="192" customFormat="1" ht="400" customHeight="1">
      <c r="A142" s="46">
        <v>44</v>
      </c>
      <c r="B142" s="231" t="s">
        <v>471</v>
      </c>
      <c r="C142" s="191" t="s">
        <v>472</v>
      </c>
      <c r="D142" s="454" t="s">
        <v>473</v>
      </c>
      <c r="E142" s="197">
        <f>LEN(D142)</f>
        <v>787</v>
      </c>
      <c r="F142" s="191" t="s">
        <v>375</v>
      </c>
      <c r="G142" s="197" t="s">
        <v>23</v>
      </c>
      <c r="H142" s="197" t="s">
        <v>23</v>
      </c>
      <c r="I142" s="197" t="s">
        <v>474</v>
      </c>
      <c r="J142" s="196" t="s">
        <v>475</v>
      </c>
      <c r="K142" s="266" t="s">
        <v>476</v>
      </c>
      <c r="L142" s="195" t="s">
        <v>477</v>
      </c>
      <c r="M142" s="30"/>
      <c r="N142" s="10"/>
      <c r="O142" s="318">
        <f>'Additional information'!$D$18</f>
        <v>0.91</v>
      </c>
      <c r="P142" s="186"/>
      <c r="R142" s="472" t="s">
        <v>57</v>
      </c>
      <c r="S142" s="193"/>
      <c r="V142" s="321">
        <v>17.791135787963867</v>
      </c>
      <c r="W142" s="321">
        <f t="shared" si="12"/>
        <v>16.18993356704712</v>
      </c>
      <c r="X142" s="186">
        <f t="shared" si="13"/>
        <v>16.18993356704712</v>
      </c>
    </row>
    <row r="143" spans="1:24" s="192" customFormat="1" ht="238" customHeight="1">
      <c r="A143" s="14">
        <v>45</v>
      </c>
      <c r="B143" s="282" t="s">
        <v>478</v>
      </c>
      <c r="C143" s="17" t="s">
        <v>479</v>
      </c>
      <c r="D143" s="22" t="s">
        <v>480</v>
      </c>
      <c r="E143" s="20">
        <f>LEN(D143)</f>
        <v>285</v>
      </c>
      <c r="F143" s="432" t="s">
        <v>375</v>
      </c>
      <c r="G143" s="20" t="s">
        <v>23</v>
      </c>
      <c r="H143" s="20" t="s">
        <v>23</v>
      </c>
      <c r="I143" s="20" t="s">
        <v>481</v>
      </c>
      <c r="J143" s="31" t="s">
        <v>482</v>
      </c>
      <c r="K143" s="84" t="s">
        <v>483</v>
      </c>
      <c r="L143" s="169" t="s">
        <v>484</v>
      </c>
      <c r="M143" s="64"/>
      <c r="N143" s="10"/>
      <c r="O143" s="323">
        <f>'Additional information'!$D$18</f>
        <v>0.91</v>
      </c>
      <c r="P143" s="186"/>
      <c r="R143" s="194" t="s">
        <v>22</v>
      </c>
      <c r="S143" s="193"/>
      <c r="V143" s="322">
        <v>18.086816787719727</v>
      </c>
      <c r="W143" s="322">
        <f t="shared" ref="W143:W174" si="14">IF(V143="","",V143*O143)</f>
        <v>16.459003276824951</v>
      </c>
      <c r="X143" s="186" t="str">
        <f t="shared" si="13"/>
        <v/>
      </c>
    </row>
    <row r="144" spans="1:24" s="192" customFormat="1">
      <c r="A144" s="46"/>
      <c r="B144" s="229"/>
      <c r="C144" s="103"/>
      <c r="D144" s="83"/>
      <c r="E144" s="48"/>
      <c r="F144" s="104"/>
      <c r="G144" s="48"/>
      <c r="H144" s="48"/>
      <c r="I144" s="48"/>
      <c r="J144" s="88"/>
      <c r="K144" s="88"/>
      <c r="L144" s="88"/>
      <c r="M144" s="90"/>
      <c r="N144" s="10"/>
      <c r="O144" s="323">
        <f>'Additional information'!$D$18</f>
        <v>0.91</v>
      </c>
      <c r="P144" s="186"/>
      <c r="R144" s="194"/>
      <c r="S144" s="193"/>
      <c r="V144" s="322"/>
      <c r="W144" s="322" t="str">
        <f t="shared" si="14"/>
        <v/>
      </c>
      <c r="X144" s="186" t="str">
        <f t="shared" si="13"/>
        <v/>
      </c>
    </row>
    <row r="145" spans="1:24" s="192" customFormat="1" ht="153">
      <c r="A145" s="46">
        <f>A143+1</f>
        <v>46</v>
      </c>
      <c r="B145" s="231" t="s">
        <v>485</v>
      </c>
      <c r="C145" s="191" t="s">
        <v>485</v>
      </c>
      <c r="D145" s="212" t="s">
        <v>486</v>
      </c>
      <c r="E145" s="197">
        <f>LEN(D145)</f>
        <v>167</v>
      </c>
      <c r="F145" s="206" t="s">
        <v>30</v>
      </c>
      <c r="G145" s="197" t="s">
        <v>23</v>
      </c>
      <c r="H145" s="197" t="s">
        <v>23</v>
      </c>
      <c r="I145" s="197" t="s">
        <v>31</v>
      </c>
      <c r="J145" s="196" t="s">
        <v>487</v>
      </c>
      <c r="K145" s="266" t="s">
        <v>23</v>
      </c>
      <c r="L145" s="196" t="s">
        <v>488</v>
      </c>
      <c r="M145" s="44"/>
      <c r="N145" s="10"/>
      <c r="O145" s="318">
        <f>'Additional information'!$D$18</f>
        <v>0.91</v>
      </c>
      <c r="P145" s="186"/>
      <c r="R145" s="472" t="s">
        <v>57</v>
      </c>
      <c r="S145" s="193"/>
      <c r="V145" s="321">
        <v>10.37455940246582</v>
      </c>
      <c r="W145" s="321">
        <f t="shared" si="14"/>
        <v>9.4408490562438967</v>
      </c>
      <c r="X145" s="186">
        <f t="shared" si="13"/>
        <v>9.4408490562438967</v>
      </c>
    </row>
    <row r="146" spans="1:24" s="192" customFormat="1" ht="323">
      <c r="A146" s="116">
        <f>A145+1</f>
        <v>47</v>
      </c>
      <c r="B146" s="283" t="s">
        <v>489</v>
      </c>
      <c r="C146" s="182" t="s">
        <v>490</v>
      </c>
      <c r="D146" s="212" t="s">
        <v>491</v>
      </c>
      <c r="E146" s="197">
        <f>LEN(D146)</f>
        <v>662</v>
      </c>
      <c r="F146" s="191" t="s">
        <v>375</v>
      </c>
      <c r="G146" s="197" t="s">
        <v>23</v>
      </c>
      <c r="H146" s="197" t="s">
        <v>23</v>
      </c>
      <c r="I146" s="197" t="s">
        <v>492</v>
      </c>
      <c r="J146" s="456" t="s">
        <v>493</v>
      </c>
      <c r="K146" s="266" t="s">
        <v>494</v>
      </c>
      <c r="L146" s="212" t="s">
        <v>495</v>
      </c>
      <c r="M146" s="62"/>
      <c r="N146" s="10"/>
      <c r="O146" s="318">
        <f>'Additional information'!$D$18</f>
        <v>0.91</v>
      </c>
      <c r="P146" s="186"/>
      <c r="R146" s="472" t="s">
        <v>57</v>
      </c>
      <c r="S146" s="193"/>
      <c r="V146" s="321">
        <v>19.616762161254883</v>
      </c>
      <c r="W146" s="321">
        <f t="shared" si="14"/>
        <v>17.851253566741946</v>
      </c>
      <c r="X146" s="186">
        <f t="shared" si="13"/>
        <v>17.851253566741946</v>
      </c>
    </row>
    <row r="147" spans="1:24" s="192" customFormat="1" ht="238">
      <c r="A147" s="14"/>
      <c r="B147" s="284" t="s">
        <v>496</v>
      </c>
      <c r="C147" s="291" t="s">
        <v>497</v>
      </c>
      <c r="D147" s="15" t="s">
        <v>498</v>
      </c>
      <c r="E147" s="24">
        <f>LEN(D147)</f>
        <v>241</v>
      </c>
      <c r="F147" s="28" t="s">
        <v>193</v>
      </c>
      <c r="G147" s="24" t="s">
        <v>23</v>
      </c>
      <c r="H147" s="24" t="s">
        <v>499</v>
      </c>
      <c r="I147" s="24" t="s">
        <v>500</v>
      </c>
      <c r="J147" s="29" t="s">
        <v>501</v>
      </c>
      <c r="K147" s="84" t="s">
        <v>502</v>
      </c>
      <c r="L147" s="65" t="s">
        <v>503</v>
      </c>
      <c r="M147" s="65"/>
      <c r="N147" s="172"/>
      <c r="O147" s="323">
        <f>'Additional information'!$D$18</f>
        <v>0.91</v>
      </c>
      <c r="P147" s="186"/>
      <c r="R147" s="194" t="s">
        <v>22</v>
      </c>
      <c r="S147" s="193"/>
      <c r="V147" s="322">
        <v>7.2497549057006836</v>
      </c>
      <c r="W147" s="322">
        <f t="shared" si="14"/>
        <v>6.5972769641876221</v>
      </c>
      <c r="X147" s="186" t="str">
        <f t="shared" si="13"/>
        <v/>
      </c>
    </row>
    <row r="148" spans="1:24" s="192" customFormat="1" ht="17" thickBot="1">
      <c r="A148" s="46"/>
      <c r="B148" s="229"/>
      <c r="C148" s="103"/>
      <c r="D148" s="83"/>
      <c r="E148" s="48"/>
      <c r="F148" s="104"/>
      <c r="G148" s="48"/>
      <c r="H148" s="48"/>
      <c r="I148" s="48"/>
      <c r="J148" s="88"/>
      <c r="K148" s="88"/>
      <c r="L148" s="88"/>
      <c r="M148" s="90"/>
      <c r="N148" s="52"/>
      <c r="O148" s="323">
        <f>'Additional information'!$D$18</f>
        <v>0.91</v>
      </c>
      <c r="P148" s="186"/>
      <c r="R148" s="194"/>
      <c r="S148" s="193"/>
      <c r="V148" s="322"/>
      <c r="W148" s="322" t="str">
        <f t="shared" si="14"/>
        <v/>
      </c>
      <c r="X148" s="186" t="str">
        <f t="shared" si="13"/>
        <v/>
      </c>
    </row>
    <row r="149" spans="1:24" s="469" customFormat="1" ht="17" thickBot="1">
      <c r="A149" s="549" t="s">
        <v>504</v>
      </c>
      <c r="B149" s="550"/>
      <c r="C149" s="550"/>
      <c r="D149" s="550"/>
      <c r="E149" s="550"/>
      <c r="F149" s="550"/>
      <c r="G149" s="550"/>
      <c r="H149" s="550"/>
      <c r="I149" s="550"/>
      <c r="J149" s="550"/>
      <c r="K149" s="550"/>
      <c r="L149" s="550"/>
      <c r="M149" s="550"/>
      <c r="N149" s="551"/>
      <c r="O149" s="318"/>
      <c r="P149" s="474"/>
      <c r="R149" s="472"/>
      <c r="S149" s="475"/>
      <c r="V149" s="321"/>
      <c r="W149" s="321" t="str">
        <f t="shared" si="14"/>
        <v/>
      </c>
      <c r="X149" s="474" t="str">
        <f t="shared" si="13"/>
        <v/>
      </c>
    </row>
    <row r="150" spans="1:24" s="192" customFormat="1" ht="306">
      <c r="A150" s="102">
        <f>A146+1</f>
        <v>48</v>
      </c>
      <c r="B150" s="281" t="s">
        <v>505</v>
      </c>
      <c r="C150" s="191" t="s">
        <v>505</v>
      </c>
      <c r="D150" s="215" t="s">
        <v>506</v>
      </c>
      <c r="E150" s="189">
        <f>LEN(D150)</f>
        <v>503</v>
      </c>
      <c r="F150" s="199" t="s">
        <v>30</v>
      </c>
      <c r="G150" s="189" t="s">
        <v>23</v>
      </c>
      <c r="H150" s="189" t="s">
        <v>507</v>
      </c>
      <c r="I150" s="191" t="s">
        <v>508</v>
      </c>
      <c r="J150" s="188" t="s">
        <v>509</v>
      </c>
      <c r="K150" s="266" t="s">
        <v>23</v>
      </c>
      <c r="L150" s="188" t="s">
        <v>510</v>
      </c>
      <c r="M150" s="90"/>
      <c r="N150" s="9"/>
      <c r="O150" s="318">
        <f>'Additional information'!$D$18</f>
        <v>0.91</v>
      </c>
      <c r="P150" s="186"/>
      <c r="R150" s="472" t="s">
        <v>57</v>
      </c>
      <c r="S150" s="193"/>
      <c r="V150" s="321">
        <v>12.992362976074219</v>
      </c>
      <c r="W150" s="321">
        <f t="shared" si="14"/>
        <v>11.82305030822754</v>
      </c>
      <c r="X150" s="186">
        <f t="shared" si="13"/>
        <v>11.82305030822754</v>
      </c>
    </row>
    <row r="151" spans="1:24" s="192" customFormat="1">
      <c r="A151" s="102"/>
      <c r="B151" s="309"/>
      <c r="C151" s="103"/>
      <c r="D151" s="111"/>
      <c r="E151" s="109"/>
      <c r="F151" s="112"/>
      <c r="G151" s="109"/>
      <c r="H151" s="109"/>
      <c r="I151" s="103"/>
      <c r="J151" s="90"/>
      <c r="K151" s="88"/>
      <c r="L151" s="90"/>
      <c r="M151" s="90"/>
      <c r="N151" s="52"/>
      <c r="O151" s="323">
        <f>'Additional information'!$D$18</f>
        <v>0.91</v>
      </c>
      <c r="P151" s="186"/>
      <c r="R151" s="194"/>
      <c r="S151" s="193"/>
      <c r="V151" s="322"/>
      <c r="W151" s="322" t="str">
        <f t="shared" si="14"/>
        <v/>
      </c>
      <c r="X151" s="186" t="str">
        <f t="shared" si="13"/>
        <v/>
      </c>
    </row>
    <row r="152" spans="1:24" s="192" customFormat="1" ht="153">
      <c r="A152" s="46">
        <f>A150+1</f>
        <v>49</v>
      </c>
      <c r="B152" s="213" t="s">
        <v>511</v>
      </c>
      <c r="C152" s="191" t="s">
        <v>511</v>
      </c>
      <c r="D152" s="212" t="s">
        <v>512</v>
      </c>
      <c r="E152" s="197">
        <f>LEN(D152)</f>
        <v>166</v>
      </c>
      <c r="F152" s="206" t="s">
        <v>30</v>
      </c>
      <c r="G152" s="197" t="s">
        <v>23</v>
      </c>
      <c r="H152" s="197" t="s">
        <v>23</v>
      </c>
      <c r="I152" s="197" t="s">
        <v>31</v>
      </c>
      <c r="J152" s="196" t="s">
        <v>513</v>
      </c>
      <c r="K152" s="266" t="s">
        <v>23</v>
      </c>
      <c r="L152" s="196" t="s">
        <v>514</v>
      </c>
      <c r="M152" s="88"/>
      <c r="N152" s="10"/>
      <c r="O152" s="318">
        <f>'Additional information'!$D$18</f>
        <v>0.91</v>
      </c>
      <c r="P152" s="186"/>
      <c r="R152" s="472" t="s">
        <v>57</v>
      </c>
      <c r="S152" s="193"/>
      <c r="V152" s="321">
        <v>8.6295709609985352</v>
      </c>
      <c r="W152" s="321">
        <f t="shared" si="14"/>
        <v>7.8529095745086677</v>
      </c>
      <c r="X152" s="186">
        <f t="shared" si="13"/>
        <v>7.8529095745086677</v>
      </c>
    </row>
    <row r="153" spans="1:24" s="192" customFormat="1" ht="306">
      <c r="A153" s="46">
        <f>A152+1</f>
        <v>50</v>
      </c>
      <c r="B153" s="231" t="s">
        <v>515</v>
      </c>
      <c r="C153" s="191" t="s">
        <v>516</v>
      </c>
      <c r="D153" s="454" t="s">
        <v>517</v>
      </c>
      <c r="E153" s="197">
        <f>LEN(D153)</f>
        <v>751</v>
      </c>
      <c r="F153" s="191" t="s">
        <v>375</v>
      </c>
      <c r="G153" s="197" t="s">
        <v>23</v>
      </c>
      <c r="H153" s="197" t="s">
        <v>23</v>
      </c>
      <c r="I153" s="197" t="s">
        <v>518</v>
      </c>
      <c r="J153" s="196" t="s">
        <v>519</v>
      </c>
      <c r="K153" s="266" t="s">
        <v>520</v>
      </c>
      <c r="L153" s="196" t="s">
        <v>521</v>
      </c>
      <c r="M153" s="88"/>
      <c r="N153" s="10"/>
      <c r="O153" s="318">
        <f>'Additional information'!$D$18</f>
        <v>0.91</v>
      </c>
      <c r="P153" s="186"/>
      <c r="R153" s="472" t="s">
        <v>57</v>
      </c>
      <c r="S153" s="193"/>
      <c r="V153" s="321">
        <v>18.256172180175781</v>
      </c>
      <c r="W153" s="321">
        <f t="shared" si="14"/>
        <v>16.613116683959962</v>
      </c>
      <c r="X153" s="186">
        <f t="shared" si="13"/>
        <v>16.613116683959962</v>
      </c>
    </row>
    <row r="154" spans="1:24" s="192" customFormat="1">
      <c r="A154" s="46"/>
      <c r="B154" s="229"/>
      <c r="C154" s="103"/>
      <c r="D154" s="174"/>
      <c r="E154" s="48"/>
      <c r="F154" s="49"/>
      <c r="G154" s="48"/>
      <c r="H154" s="48"/>
      <c r="I154" s="48"/>
      <c r="J154" s="88"/>
      <c r="K154" s="88"/>
      <c r="L154" s="88"/>
      <c r="M154" s="88"/>
      <c r="N154" s="10"/>
      <c r="O154" s="323">
        <f>'Additional information'!$D$18</f>
        <v>0.91</v>
      </c>
      <c r="P154" s="186"/>
      <c r="R154" s="194"/>
      <c r="S154" s="193"/>
      <c r="V154" s="322"/>
      <c r="W154" s="322" t="str">
        <f t="shared" si="14"/>
        <v/>
      </c>
      <c r="X154" s="186" t="str">
        <f t="shared" si="13"/>
        <v/>
      </c>
    </row>
    <row r="155" spans="1:24" s="192" customFormat="1" ht="204">
      <c r="A155" s="46">
        <f>A153+1</f>
        <v>51</v>
      </c>
      <c r="B155" s="231" t="s">
        <v>522</v>
      </c>
      <c r="C155" s="191" t="s">
        <v>522</v>
      </c>
      <c r="D155" s="212" t="s">
        <v>523</v>
      </c>
      <c r="E155" s="197">
        <f>LEN(D155)</f>
        <v>341</v>
      </c>
      <c r="F155" s="206" t="s">
        <v>30</v>
      </c>
      <c r="G155" s="197" t="s">
        <v>23</v>
      </c>
      <c r="H155" s="197" t="s">
        <v>23</v>
      </c>
      <c r="I155" s="197" t="s">
        <v>31</v>
      </c>
      <c r="J155" s="221" t="s">
        <v>524</v>
      </c>
      <c r="K155" s="266" t="s">
        <v>23</v>
      </c>
      <c r="L155" s="221" t="s">
        <v>525</v>
      </c>
      <c r="M155" s="61"/>
      <c r="N155" s="10"/>
      <c r="O155" s="318">
        <f>'Additional information'!$D$18</f>
        <v>0.91</v>
      </c>
      <c r="P155" s="186"/>
      <c r="R155" s="472" t="s">
        <v>57</v>
      </c>
      <c r="S155" s="193"/>
      <c r="V155" s="321">
        <v>15.456279754638672</v>
      </c>
      <c r="W155" s="321">
        <f t="shared" si="14"/>
        <v>14.065214576721193</v>
      </c>
      <c r="X155" s="186">
        <f t="shared" si="13"/>
        <v>14.065214576721193</v>
      </c>
    </row>
    <row r="156" spans="1:24" s="192" customFormat="1" ht="17" thickBot="1">
      <c r="A156" s="46"/>
      <c r="B156" s="229"/>
      <c r="C156" s="103"/>
      <c r="D156" s="83"/>
      <c r="E156" s="48"/>
      <c r="F156" s="104"/>
      <c r="G156" s="48"/>
      <c r="H156" s="48"/>
      <c r="I156" s="48"/>
      <c r="J156" s="61"/>
      <c r="K156" s="88"/>
      <c r="L156" s="61"/>
      <c r="M156" s="61"/>
      <c r="N156" s="10"/>
      <c r="O156" s="323">
        <f>'Additional information'!$D$18</f>
        <v>0.91</v>
      </c>
      <c r="P156" s="186"/>
      <c r="R156" s="194"/>
      <c r="S156" s="193"/>
      <c r="V156" s="322"/>
      <c r="W156" s="322" t="str">
        <f t="shared" si="14"/>
        <v/>
      </c>
      <c r="X156" s="186" t="str">
        <f t="shared" si="13"/>
        <v/>
      </c>
    </row>
    <row r="157" spans="1:24" s="469" customFormat="1" ht="17" thickBot="1">
      <c r="A157" s="549" t="s">
        <v>526</v>
      </c>
      <c r="B157" s="550"/>
      <c r="C157" s="550"/>
      <c r="D157" s="550"/>
      <c r="E157" s="550"/>
      <c r="F157" s="550"/>
      <c r="G157" s="550"/>
      <c r="H157" s="550"/>
      <c r="I157" s="550"/>
      <c r="J157" s="550"/>
      <c r="K157" s="550"/>
      <c r="L157" s="550"/>
      <c r="M157" s="550"/>
      <c r="N157" s="551"/>
      <c r="O157" s="318"/>
      <c r="P157" s="474"/>
      <c r="R157" s="472"/>
      <c r="S157" s="475"/>
      <c r="V157" s="321"/>
      <c r="W157" s="321" t="str">
        <f t="shared" si="14"/>
        <v/>
      </c>
      <c r="X157" s="474" t="str">
        <f t="shared" si="13"/>
        <v/>
      </c>
    </row>
    <row r="158" spans="1:24" s="192" customFormat="1" ht="120" customHeight="1">
      <c r="A158" s="102">
        <f>A155+1</f>
        <v>52</v>
      </c>
      <c r="B158" s="281" t="s">
        <v>527</v>
      </c>
      <c r="C158" s="191" t="s">
        <v>527</v>
      </c>
      <c r="D158" s="498" t="s">
        <v>528</v>
      </c>
      <c r="E158" s="189">
        <f>LEN(D158)</f>
        <v>218</v>
      </c>
      <c r="F158" s="189" t="s">
        <v>30</v>
      </c>
      <c r="G158" s="189" t="s">
        <v>23</v>
      </c>
      <c r="H158" s="189" t="s">
        <v>529</v>
      </c>
      <c r="I158" s="197" t="s">
        <v>31</v>
      </c>
      <c r="J158" s="188" t="s">
        <v>530</v>
      </c>
      <c r="K158" s="266" t="s">
        <v>23</v>
      </c>
      <c r="L158" s="195" t="s">
        <v>531</v>
      </c>
      <c r="M158" s="488"/>
      <c r="N158" s="9"/>
      <c r="O158" s="318">
        <f>'Additional information'!$D$19</f>
        <v>0.05</v>
      </c>
      <c r="P158" s="186"/>
      <c r="R158" s="472" t="s">
        <v>57</v>
      </c>
      <c r="S158" s="193"/>
      <c r="V158" s="321">
        <v>2.4801323413848877</v>
      </c>
      <c r="W158" s="321">
        <f t="shared" si="14"/>
        <v>0.12400661706924439</v>
      </c>
      <c r="X158" s="186">
        <f t="shared" si="13"/>
        <v>0.12400661706924439</v>
      </c>
    </row>
    <row r="159" spans="1:24" s="192" customFormat="1">
      <c r="A159" s="46"/>
      <c r="B159" s="229"/>
      <c r="C159" s="103"/>
      <c r="D159" s="83"/>
      <c r="E159" s="48"/>
      <c r="F159" s="104"/>
      <c r="G159" s="48"/>
      <c r="H159" s="48"/>
      <c r="I159" s="48"/>
      <c r="J159" s="61"/>
      <c r="K159" s="95"/>
      <c r="L159" s="61"/>
      <c r="M159" s="61"/>
      <c r="N159" s="10"/>
      <c r="O159" s="323">
        <f>'Additional information'!$D$19</f>
        <v>0.05</v>
      </c>
      <c r="P159" s="186"/>
      <c r="R159" s="194"/>
      <c r="S159" s="193"/>
      <c r="V159" s="322"/>
      <c r="W159" s="322" t="str">
        <f t="shared" si="14"/>
        <v/>
      </c>
      <c r="X159" s="186" t="str">
        <f t="shared" si="13"/>
        <v/>
      </c>
    </row>
    <row r="160" spans="1:24" s="192" customFormat="1" ht="170">
      <c r="A160" s="102">
        <f>A158+1</f>
        <v>53</v>
      </c>
      <c r="B160" s="281" t="s">
        <v>532</v>
      </c>
      <c r="C160" s="458" t="s">
        <v>533</v>
      </c>
      <c r="D160" s="454" t="s">
        <v>534</v>
      </c>
      <c r="E160" s="189">
        <f>LEN(D160)</f>
        <v>282</v>
      </c>
      <c r="F160" s="191" t="s">
        <v>193</v>
      </c>
      <c r="G160" s="189" t="s">
        <v>23</v>
      </c>
      <c r="H160" s="189" t="s">
        <v>23</v>
      </c>
      <c r="I160" s="189" t="s">
        <v>535</v>
      </c>
      <c r="J160" s="188" t="s">
        <v>536</v>
      </c>
      <c r="K160" s="266" t="s">
        <v>537</v>
      </c>
      <c r="L160" s="188" t="s">
        <v>538</v>
      </c>
      <c r="M160" s="90"/>
      <c r="N160" s="52"/>
      <c r="O160" s="318">
        <f>'Additional information'!$D$19</f>
        <v>0.05</v>
      </c>
      <c r="P160" s="186"/>
      <c r="R160" s="472" t="s">
        <v>57</v>
      </c>
      <c r="S160" s="193"/>
      <c r="V160" s="321">
        <v>12.71689510345459</v>
      </c>
      <c r="W160" s="321">
        <f t="shared" si="14"/>
        <v>0.63584475517272954</v>
      </c>
      <c r="X160" s="186">
        <f t="shared" si="13"/>
        <v>0.63584475517272954</v>
      </c>
    </row>
    <row r="161" spans="1:24" s="192" customFormat="1">
      <c r="A161" s="102"/>
      <c r="B161" s="309"/>
      <c r="C161" s="103"/>
      <c r="D161" s="533"/>
      <c r="E161" s="109"/>
      <c r="F161" s="103"/>
      <c r="G161" s="109"/>
      <c r="H161" s="109"/>
      <c r="I161" s="109"/>
      <c r="J161" s="90"/>
      <c r="K161" s="95"/>
      <c r="L161" s="90"/>
      <c r="M161" s="90"/>
      <c r="N161" s="52"/>
      <c r="O161" s="323">
        <f>'Additional information'!$D$19</f>
        <v>0.05</v>
      </c>
      <c r="P161" s="186"/>
      <c r="R161" s="194"/>
      <c r="S161" s="193"/>
      <c r="V161" s="322"/>
      <c r="W161" s="322" t="str">
        <f t="shared" si="14"/>
        <v/>
      </c>
      <c r="X161" s="186" t="str">
        <f t="shared" si="13"/>
        <v/>
      </c>
    </row>
    <row r="162" spans="1:24" ht="204">
      <c r="A162" s="102">
        <f>A160+1</f>
        <v>54</v>
      </c>
      <c r="B162" s="459" t="s">
        <v>539</v>
      </c>
      <c r="C162" s="460" t="s">
        <v>539</v>
      </c>
      <c r="D162" s="454" t="s">
        <v>540</v>
      </c>
      <c r="E162" s="189">
        <f>LEN(D162)</f>
        <v>290</v>
      </c>
      <c r="F162" s="460" t="s">
        <v>30</v>
      </c>
      <c r="G162" s="460" t="s">
        <v>23</v>
      </c>
      <c r="H162" s="460" t="s">
        <v>23</v>
      </c>
      <c r="I162" s="460" t="s">
        <v>31</v>
      </c>
      <c r="J162" s="461" t="s">
        <v>541</v>
      </c>
      <c r="K162" s="266" t="s">
        <v>23</v>
      </c>
      <c r="L162" s="461" t="s">
        <v>542</v>
      </c>
      <c r="M162" s="95"/>
      <c r="N162" s="10"/>
      <c r="O162" s="318">
        <f>'Additional information'!$D$19</f>
        <v>0.05</v>
      </c>
      <c r="P162" s="186"/>
      <c r="R162" s="472" t="s">
        <v>57</v>
      </c>
      <c r="V162" s="321">
        <v>10.51750373840332</v>
      </c>
      <c r="W162" s="321">
        <f t="shared" si="14"/>
        <v>0.52587518692016599</v>
      </c>
      <c r="X162" s="186">
        <f t="shared" si="13"/>
        <v>0.52587518692016599</v>
      </c>
    </row>
    <row r="163" spans="1:24">
      <c r="A163" s="102"/>
      <c r="B163" s="219"/>
      <c r="C163" s="217"/>
      <c r="D163" s="218"/>
      <c r="E163" s="109"/>
      <c r="F163" s="217"/>
      <c r="G163" s="217"/>
      <c r="H163" s="217"/>
      <c r="I163" s="217"/>
      <c r="J163" s="95"/>
      <c r="K163" s="95"/>
      <c r="L163" s="216"/>
      <c r="M163" s="95"/>
      <c r="N163" s="10"/>
      <c r="O163" s="323">
        <f>'Additional information'!$D$19</f>
        <v>0.05</v>
      </c>
      <c r="P163" s="186"/>
      <c r="R163" s="194"/>
      <c r="V163" s="322"/>
      <c r="W163" s="322" t="str">
        <f t="shared" si="14"/>
        <v/>
      </c>
      <c r="X163" s="186" t="str">
        <f t="shared" si="13"/>
        <v/>
      </c>
    </row>
    <row r="164" spans="1:24" s="192" customFormat="1" ht="153">
      <c r="A164" s="102">
        <f>A162+1</f>
        <v>55</v>
      </c>
      <c r="B164" s="281" t="s">
        <v>543</v>
      </c>
      <c r="C164" s="191" t="s">
        <v>543</v>
      </c>
      <c r="D164" s="454" t="s">
        <v>544</v>
      </c>
      <c r="E164" s="189">
        <f>LEN(D164)</f>
        <v>174</v>
      </c>
      <c r="F164" s="199" t="s">
        <v>30</v>
      </c>
      <c r="G164" s="189" t="s">
        <v>23</v>
      </c>
      <c r="H164" s="189" t="s">
        <v>23</v>
      </c>
      <c r="I164" s="189" t="s">
        <v>31</v>
      </c>
      <c r="J164" s="188" t="s">
        <v>545</v>
      </c>
      <c r="K164" s="266" t="s">
        <v>23</v>
      </c>
      <c r="L164" s="196" t="s">
        <v>546</v>
      </c>
      <c r="M164" s="44"/>
      <c r="N164" s="10"/>
      <c r="O164" s="318">
        <f>'Additional information'!$D$19</f>
        <v>0.05</v>
      </c>
      <c r="P164" s="186"/>
      <c r="R164" s="472" t="s">
        <v>57</v>
      </c>
      <c r="S164" s="193"/>
      <c r="V164" s="321">
        <v>6.4824962615966797</v>
      </c>
      <c r="W164" s="321">
        <f t="shared" si="14"/>
        <v>0.32412481307983398</v>
      </c>
      <c r="X164" s="186">
        <f t="shared" si="13"/>
        <v>0.32412481307983398</v>
      </c>
    </row>
    <row r="165" spans="1:24" s="192" customFormat="1" ht="289">
      <c r="A165" s="46">
        <f>A164+1</f>
        <v>56</v>
      </c>
      <c r="B165" s="281" t="s">
        <v>547</v>
      </c>
      <c r="C165" s="191" t="s">
        <v>548</v>
      </c>
      <c r="D165" s="454" t="s">
        <v>549</v>
      </c>
      <c r="E165" s="197">
        <f>LEN(D165)</f>
        <v>767</v>
      </c>
      <c r="F165" s="191" t="s">
        <v>375</v>
      </c>
      <c r="G165" s="197" t="s">
        <v>23</v>
      </c>
      <c r="H165" s="197" t="s">
        <v>23</v>
      </c>
      <c r="I165" s="197" t="s">
        <v>518</v>
      </c>
      <c r="J165" s="462" t="s">
        <v>550</v>
      </c>
      <c r="K165" s="266" t="s">
        <v>551</v>
      </c>
      <c r="L165" s="196" t="s">
        <v>552</v>
      </c>
      <c r="M165" s="62"/>
      <c r="N165" s="10"/>
      <c r="O165" s="318">
        <f>'Additional information'!$D$19</f>
        <v>0.05</v>
      </c>
      <c r="P165" s="186"/>
      <c r="R165" s="472" t="s">
        <v>57</v>
      </c>
      <c r="S165" s="193"/>
      <c r="V165" s="321">
        <v>23.642156600952148</v>
      </c>
      <c r="W165" s="321">
        <f t="shared" si="14"/>
        <v>1.1821078300476076</v>
      </c>
      <c r="X165" s="186">
        <f t="shared" si="13"/>
        <v>1.1821078300476076</v>
      </c>
    </row>
    <row r="166" spans="1:24" s="192" customFormat="1" ht="255">
      <c r="A166" s="14">
        <f>A165+1</f>
        <v>57</v>
      </c>
      <c r="B166" s="282" t="s">
        <v>553</v>
      </c>
      <c r="C166" s="21" t="s">
        <v>554</v>
      </c>
      <c r="D166" s="433" t="s">
        <v>555</v>
      </c>
      <c r="E166" s="20">
        <f>LEN(D166)</f>
        <v>334</v>
      </c>
      <c r="F166" s="21" t="s">
        <v>328</v>
      </c>
      <c r="G166" s="20" t="s">
        <v>23</v>
      </c>
      <c r="H166" s="20" t="s">
        <v>556</v>
      </c>
      <c r="I166" s="20" t="s">
        <v>557</v>
      </c>
      <c r="J166" s="31" t="s">
        <v>558</v>
      </c>
      <c r="K166" s="84" t="s">
        <v>559</v>
      </c>
      <c r="L166" s="31" t="s">
        <v>560</v>
      </c>
      <c r="M166" s="31"/>
      <c r="N166" s="440"/>
      <c r="O166" s="323">
        <f>'Additional information'!$D$19</f>
        <v>0.05</v>
      </c>
      <c r="P166" s="186"/>
      <c r="R166" s="194" t="s">
        <v>22</v>
      </c>
      <c r="S166" s="193"/>
      <c r="V166" s="322">
        <v>19.200000762939453</v>
      </c>
      <c r="W166" s="322">
        <f t="shared" si="14"/>
        <v>0.96000003814697266</v>
      </c>
      <c r="X166" s="186" t="str">
        <f t="shared" si="13"/>
        <v/>
      </c>
    </row>
    <row r="167" spans="1:24" s="192" customFormat="1" ht="17" thickBot="1">
      <c r="A167" s="102"/>
      <c r="B167" s="309"/>
      <c r="C167" s="103"/>
      <c r="D167" s="218"/>
      <c r="E167" s="109"/>
      <c r="F167" s="112"/>
      <c r="G167" s="109"/>
      <c r="H167" s="109"/>
      <c r="I167" s="109"/>
      <c r="J167" s="90"/>
      <c r="K167" s="95"/>
      <c r="L167" s="90"/>
      <c r="M167" s="90"/>
      <c r="N167" s="52"/>
      <c r="O167" s="323">
        <f>'Additional information'!$D$19</f>
        <v>0.05</v>
      </c>
      <c r="P167" s="186"/>
      <c r="R167" s="194"/>
      <c r="S167" s="193"/>
      <c r="V167" s="322"/>
      <c r="W167" s="322" t="str">
        <f t="shared" si="14"/>
        <v/>
      </c>
      <c r="X167" s="186" t="str">
        <f t="shared" si="13"/>
        <v/>
      </c>
    </row>
    <row r="168" spans="1:24" s="469" customFormat="1" ht="17" thickBot="1">
      <c r="A168" s="549" t="s">
        <v>561</v>
      </c>
      <c r="B168" s="550"/>
      <c r="C168" s="550"/>
      <c r="D168" s="550"/>
      <c r="E168" s="550"/>
      <c r="F168" s="550"/>
      <c r="G168" s="550"/>
      <c r="H168" s="550"/>
      <c r="I168" s="550"/>
      <c r="J168" s="550"/>
      <c r="K168" s="550"/>
      <c r="L168" s="550"/>
      <c r="M168" s="550"/>
      <c r="N168" s="551"/>
      <c r="O168" s="318"/>
      <c r="P168" s="474"/>
      <c r="R168" s="472"/>
      <c r="S168" s="475"/>
      <c r="V168" s="321"/>
      <c r="W168" s="321" t="str">
        <f t="shared" si="14"/>
        <v/>
      </c>
      <c r="X168" s="474" t="str">
        <f t="shared" si="13"/>
        <v/>
      </c>
    </row>
    <row r="169" spans="1:24" s="192" customFormat="1" ht="204">
      <c r="A169" s="102">
        <f>A166+1</f>
        <v>58</v>
      </c>
      <c r="B169" s="281" t="s">
        <v>562</v>
      </c>
      <c r="C169" s="191" t="s">
        <v>562</v>
      </c>
      <c r="D169" s="499" t="s">
        <v>563</v>
      </c>
      <c r="E169" s="189">
        <f>LEN(D169)</f>
        <v>307</v>
      </c>
      <c r="F169" s="199" t="s">
        <v>65</v>
      </c>
      <c r="G169" s="189" t="s">
        <v>23</v>
      </c>
      <c r="H169" s="500" t="s">
        <v>564</v>
      </c>
      <c r="I169" s="189" t="s">
        <v>396</v>
      </c>
      <c r="J169" s="214" t="s">
        <v>565</v>
      </c>
      <c r="K169" s="266" t="s">
        <v>23</v>
      </c>
      <c r="L169" s="501" t="s">
        <v>566</v>
      </c>
      <c r="M169" s="96"/>
      <c r="N169" s="9"/>
      <c r="O169" s="318">
        <f>'Additional information'!$D$19</f>
        <v>0.05</v>
      </c>
      <c r="P169" s="186"/>
      <c r="R169" s="472" t="s">
        <v>57</v>
      </c>
      <c r="S169" s="193"/>
      <c r="V169" s="321">
        <v>9.2754945755004883</v>
      </c>
      <c r="W169" s="321">
        <f t="shared" si="14"/>
        <v>0.46377472877502446</v>
      </c>
      <c r="X169" s="186">
        <f t="shared" si="13"/>
        <v>0.46377472877502446</v>
      </c>
    </row>
    <row r="170" spans="1:24" s="192" customFormat="1">
      <c r="A170" s="102"/>
      <c r="B170" s="309"/>
      <c r="C170" s="103"/>
      <c r="D170" s="111"/>
      <c r="E170" s="109"/>
      <c r="F170" s="112"/>
      <c r="G170" s="109"/>
      <c r="H170" s="109"/>
      <c r="I170" s="109"/>
      <c r="J170" s="94"/>
      <c r="K170" s="83"/>
      <c r="L170" s="91"/>
      <c r="M170" s="91"/>
      <c r="N170" s="52"/>
      <c r="O170" s="323">
        <f>'Additional information'!$D$19</f>
        <v>0.05</v>
      </c>
      <c r="P170" s="186"/>
      <c r="R170" s="194"/>
      <c r="S170" s="193"/>
      <c r="V170" s="322"/>
      <c r="W170" s="322" t="str">
        <f t="shared" si="14"/>
        <v/>
      </c>
      <c r="X170" s="186" t="str">
        <f t="shared" si="13"/>
        <v/>
      </c>
    </row>
    <row r="171" spans="1:24" s="192" customFormat="1" ht="153">
      <c r="A171" s="46">
        <f>A169+1</f>
        <v>59</v>
      </c>
      <c r="B171" s="213" t="s">
        <v>567</v>
      </c>
      <c r="C171" s="197" t="s">
        <v>567</v>
      </c>
      <c r="D171" s="454" t="s">
        <v>568</v>
      </c>
      <c r="E171" s="197">
        <f>LEN(D171)</f>
        <v>179</v>
      </c>
      <c r="F171" s="206" t="s">
        <v>30</v>
      </c>
      <c r="G171" s="197" t="s">
        <v>23</v>
      </c>
      <c r="H171" s="197" t="s">
        <v>23</v>
      </c>
      <c r="I171" s="197" t="s">
        <v>31</v>
      </c>
      <c r="J171" s="196" t="s">
        <v>569</v>
      </c>
      <c r="K171" s="266" t="s">
        <v>23</v>
      </c>
      <c r="L171" s="463" t="s">
        <v>570</v>
      </c>
      <c r="M171" s="97"/>
      <c r="N171" s="10"/>
      <c r="O171" s="318">
        <f>'Additional information'!$D$19</f>
        <v>0.05</v>
      </c>
      <c r="P171" s="186"/>
      <c r="R171" s="472" t="s">
        <v>57</v>
      </c>
      <c r="S171" s="193"/>
      <c r="V171" s="321">
        <v>6.4158415794372559</v>
      </c>
      <c r="W171" s="321">
        <f t="shared" si="14"/>
        <v>0.32079207897186279</v>
      </c>
      <c r="X171" s="186">
        <f t="shared" si="13"/>
        <v>0.32079207897186279</v>
      </c>
    </row>
    <row r="172" spans="1:24" s="192" customFormat="1" ht="306">
      <c r="A172" s="46">
        <f>A171+1</f>
        <v>60</v>
      </c>
      <c r="B172" s="231" t="s">
        <v>571</v>
      </c>
      <c r="C172" s="191" t="s">
        <v>572</v>
      </c>
      <c r="D172" s="454" t="s">
        <v>573</v>
      </c>
      <c r="E172" s="197">
        <f>LEN(D172)</f>
        <v>666</v>
      </c>
      <c r="F172" s="191" t="s">
        <v>375</v>
      </c>
      <c r="G172" s="197" t="s">
        <v>23</v>
      </c>
      <c r="H172" s="197" t="s">
        <v>23</v>
      </c>
      <c r="I172" s="197" t="s">
        <v>443</v>
      </c>
      <c r="J172" s="196" t="s">
        <v>574</v>
      </c>
      <c r="K172" s="266" t="s">
        <v>575</v>
      </c>
      <c r="L172" s="450" t="s">
        <v>576</v>
      </c>
      <c r="M172" s="98"/>
      <c r="N172" s="10"/>
      <c r="O172" s="318">
        <f>'Additional information'!$D$19</f>
        <v>0.05</v>
      </c>
      <c r="P172" s="186"/>
      <c r="R172" s="472" t="s">
        <v>57</v>
      </c>
      <c r="S172" s="193"/>
      <c r="V172" s="321">
        <v>20.534351348876953</v>
      </c>
      <c r="W172" s="321">
        <f t="shared" si="14"/>
        <v>1.0267175674438478</v>
      </c>
      <c r="X172" s="186">
        <f t="shared" si="13"/>
        <v>1.0267175674438478</v>
      </c>
    </row>
    <row r="173" spans="1:24" s="192" customFormat="1">
      <c r="A173" s="116"/>
      <c r="B173" s="310"/>
      <c r="C173" s="49"/>
      <c r="D173" s="534"/>
      <c r="E173" s="106"/>
      <c r="F173" s="117"/>
      <c r="G173" s="106"/>
      <c r="H173" s="106"/>
      <c r="I173" s="106"/>
      <c r="J173" s="98"/>
      <c r="K173" s="83"/>
      <c r="L173" s="98"/>
      <c r="M173" s="98"/>
      <c r="N173" s="25"/>
      <c r="O173" s="323">
        <f>'Additional information'!$D$19</f>
        <v>0.05</v>
      </c>
      <c r="P173" s="186"/>
      <c r="R173" s="194"/>
      <c r="S173" s="193"/>
      <c r="V173" s="322"/>
      <c r="W173" s="322" t="str">
        <f t="shared" si="14"/>
        <v/>
      </c>
      <c r="X173" s="186" t="str">
        <f t="shared" si="13"/>
        <v/>
      </c>
    </row>
    <row r="174" spans="1:24" s="192" customFormat="1" ht="204">
      <c r="A174" s="116">
        <f>A172+1</f>
        <v>61</v>
      </c>
      <c r="B174" s="283" t="s">
        <v>577</v>
      </c>
      <c r="C174" s="198" t="s">
        <v>577</v>
      </c>
      <c r="D174" s="464" t="s">
        <v>578</v>
      </c>
      <c r="E174" s="180">
        <f>LEN(D174)</f>
        <v>357</v>
      </c>
      <c r="F174" s="449" t="s">
        <v>30</v>
      </c>
      <c r="G174" s="180" t="s">
        <v>23</v>
      </c>
      <c r="H174" s="180" t="s">
        <v>23</v>
      </c>
      <c r="I174" s="180" t="s">
        <v>31</v>
      </c>
      <c r="J174" s="450" t="s">
        <v>579</v>
      </c>
      <c r="K174" s="266" t="s">
        <v>23</v>
      </c>
      <c r="L174" s="450" t="s">
        <v>580</v>
      </c>
      <c r="M174" s="98"/>
      <c r="N174" s="10"/>
      <c r="O174" s="318">
        <f>'Additional information'!$D$19</f>
        <v>0.05</v>
      </c>
      <c r="P174" s="186"/>
      <c r="R174" s="472" t="s">
        <v>57</v>
      </c>
      <c r="S174" s="193"/>
      <c r="V174" s="321">
        <v>8.3069305419921875</v>
      </c>
      <c r="W174" s="321">
        <f t="shared" si="14"/>
        <v>0.4153465270996094</v>
      </c>
      <c r="X174" s="186">
        <f t="shared" si="13"/>
        <v>0.4153465270996094</v>
      </c>
    </row>
    <row r="175" spans="1:24" s="192" customFormat="1" ht="17" thickBot="1">
      <c r="A175" s="116"/>
      <c r="B175" s="310"/>
      <c r="C175" s="118"/>
      <c r="D175" s="534"/>
      <c r="E175" s="106"/>
      <c r="F175" s="117"/>
      <c r="G175" s="106"/>
      <c r="H175" s="106"/>
      <c r="I175" s="106"/>
      <c r="J175" s="98"/>
      <c r="K175" s="98"/>
      <c r="L175" s="98"/>
      <c r="M175" s="98"/>
      <c r="N175" s="75"/>
      <c r="O175" s="323">
        <f>'Additional information'!$D$19</f>
        <v>0.05</v>
      </c>
      <c r="P175" s="186"/>
      <c r="R175" s="194"/>
      <c r="S175" s="193"/>
      <c r="V175" s="322"/>
      <c r="W175" s="322" t="str">
        <f t="shared" ref="W175:W206" si="15">IF(V175="","",V175*O175)</f>
        <v/>
      </c>
      <c r="X175" s="186" t="str">
        <f t="shared" si="13"/>
        <v/>
      </c>
    </row>
    <row r="176" spans="1:24" s="469" customFormat="1" ht="17" thickBot="1">
      <c r="A176" s="549" t="s">
        <v>581</v>
      </c>
      <c r="B176" s="550"/>
      <c r="C176" s="550"/>
      <c r="D176" s="550"/>
      <c r="E176" s="550"/>
      <c r="F176" s="550"/>
      <c r="G176" s="550"/>
      <c r="H176" s="550"/>
      <c r="I176" s="550"/>
      <c r="J176" s="550"/>
      <c r="K176" s="550"/>
      <c r="L176" s="550"/>
      <c r="M176" s="550"/>
      <c r="N176" s="551"/>
      <c r="O176" s="318"/>
      <c r="P176" s="474"/>
      <c r="R176" s="472"/>
      <c r="S176" s="475"/>
      <c r="V176" s="321"/>
      <c r="W176" s="321" t="str">
        <f t="shared" si="15"/>
        <v/>
      </c>
      <c r="X176" s="474" t="str">
        <f t="shared" si="13"/>
        <v/>
      </c>
    </row>
    <row r="177" spans="1:24" s="192" customFormat="1" ht="136">
      <c r="A177" s="102">
        <f>A174+1</f>
        <v>62</v>
      </c>
      <c r="B177" s="281" t="s">
        <v>582</v>
      </c>
      <c r="C177" s="292" t="s">
        <v>582</v>
      </c>
      <c r="D177" s="190" t="s">
        <v>583</v>
      </c>
      <c r="E177" s="189">
        <f t="shared" ref="E177:E208" si="16">LEN(D177)</f>
        <v>335</v>
      </c>
      <c r="F177" s="199" t="s">
        <v>30</v>
      </c>
      <c r="G177" s="189" t="s">
        <v>23</v>
      </c>
      <c r="H177" s="189" t="s">
        <v>23</v>
      </c>
      <c r="I177" s="189" t="s">
        <v>31</v>
      </c>
      <c r="J177" s="188" t="s">
        <v>584</v>
      </c>
      <c r="K177" s="266" t="s">
        <v>23</v>
      </c>
      <c r="L177" s="188" t="s">
        <v>585</v>
      </c>
      <c r="M177" s="90"/>
      <c r="N177" s="434" t="s">
        <v>586</v>
      </c>
      <c r="O177" s="318">
        <v>1</v>
      </c>
      <c r="P177" s="186"/>
      <c r="R177" s="472" t="s">
        <v>57</v>
      </c>
      <c r="S177" s="193"/>
      <c r="V177" s="321">
        <v>8.0881662368774414</v>
      </c>
      <c r="W177" s="321">
        <f t="shared" si="15"/>
        <v>8.0881662368774414</v>
      </c>
      <c r="X177" s="186">
        <f t="shared" si="13"/>
        <v>8.0881662368774414</v>
      </c>
    </row>
    <row r="178" spans="1:24" s="192" customFormat="1" ht="170">
      <c r="A178" s="46">
        <f t="shared" ref="A178:A219" si="17">A177+1</f>
        <v>63</v>
      </c>
      <c r="B178" s="231" t="s">
        <v>587</v>
      </c>
      <c r="C178" s="191" t="s">
        <v>587</v>
      </c>
      <c r="D178" s="211" t="s">
        <v>588</v>
      </c>
      <c r="E178" s="197">
        <f t="shared" si="16"/>
        <v>236</v>
      </c>
      <c r="F178" s="206" t="s">
        <v>30</v>
      </c>
      <c r="G178" s="197" t="s">
        <v>23</v>
      </c>
      <c r="H178" s="197" t="s">
        <v>23</v>
      </c>
      <c r="I178" s="197" t="s">
        <v>31</v>
      </c>
      <c r="J178" s="196" t="s">
        <v>589</v>
      </c>
      <c r="K178" s="266" t="s">
        <v>23</v>
      </c>
      <c r="L178" s="208" t="s">
        <v>590</v>
      </c>
      <c r="M178" s="99"/>
      <c r="N178" s="10"/>
      <c r="O178" s="318">
        <v>1</v>
      </c>
      <c r="P178" s="186"/>
      <c r="R178" s="472" t="s">
        <v>57</v>
      </c>
      <c r="S178" s="193"/>
      <c r="V178" s="321">
        <v>20.224567413330078</v>
      </c>
      <c r="W178" s="321">
        <f t="shared" si="15"/>
        <v>20.224567413330078</v>
      </c>
      <c r="X178" s="186">
        <f t="shared" si="13"/>
        <v>20.224567413330078</v>
      </c>
    </row>
    <row r="179" spans="1:24" s="192" customFormat="1" ht="170">
      <c r="A179" s="46">
        <f t="shared" si="17"/>
        <v>64</v>
      </c>
      <c r="B179" s="231" t="s">
        <v>591</v>
      </c>
      <c r="C179" s="191" t="s">
        <v>591</v>
      </c>
      <c r="D179" s="211" t="s">
        <v>592</v>
      </c>
      <c r="E179" s="197">
        <f t="shared" si="16"/>
        <v>234</v>
      </c>
      <c r="F179" s="206" t="s">
        <v>30</v>
      </c>
      <c r="G179" s="197" t="s">
        <v>23</v>
      </c>
      <c r="H179" s="197" t="s">
        <v>23</v>
      </c>
      <c r="I179" s="197" t="s">
        <v>31</v>
      </c>
      <c r="J179" s="196" t="s">
        <v>593</v>
      </c>
      <c r="K179" s="266" t="s">
        <v>23</v>
      </c>
      <c r="L179" s="208" t="s">
        <v>594</v>
      </c>
      <c r="M179" s="99"/>
      <c r="N179" s="10"/>
      <c r="O179" s="318">
        <v>1</v>
      </c>
      <c r="P179" s="186"/>
      <c r="R179" s="472" t="s">
        <v>57</v>
      </c>
      <c r="S179" s="193"/>
      <c r="V179" s="321">
        <v>14.026061058044434</v>
      </c>
      <c r="W179" s="321">
        <f t="shared" si="15"/>
        <v>14.026061058044434</v>
      </c>
      <c r="X179" s="186">
        <f t="shared" si="13"/>
        <v>14.026061058044434</v>
      </c>
    </row>
    <row r="180" spans="1:24" s="192" customFormat="1" ht="153">
      <c r="A180" s="46">
        <f t="shared" si="17"/>
        <v>65</v>
      </c>
      <c r="B180" s="231" t="s">
        <v>595</v>
      </c>
      <c r="C180" s="191" t="s">
        <v>595</v>
      </c>
      <c r="D180" s="211" t="s">
        <v>596</v>
      </c>
      <c r="E180" s="197">
        <f t="shared" si="16"/>
        <v>217</v>
      </c>
      <c r="F180" s="206" t="s">
        <v>30</v>
      </c>
      <c r="G180" s="197" t="s">
        <v>23</v>
      </c>
      <c r="H180" s="197" t="s">
        <v>23</v>
      </c>
      <c r="I180" s="197" t="s">
        <v>31</v>
      </c>
      <c r="J180" s="196" t="s">
        <v>597</v>
      </c>
      <c r="K180" s="266" t="s">
        <v>23</v>
      </c>
      <c r="L180" s="208" t="s">
        <v>598</v>
      </c>
      <c r="M180" s="99"/>
      <c r="N180" s="10"/>
      <c r="O180" s="318">
        <v>1</v>
      </c>
      <c r="P180" s="186"/>
      <c r="R180" s="472" t="s">
        <v>57</v>
      </c>
      <c r="S180" s="193"/>
      <c r="V180" s="321">
        <v>11.558505058288574</v>
      </c>
      <c r="W180" s="321">
        <f t="shared" si="15"/>
        <v>11.558505058288574</v>
      </c>
      <c r="X180" s="186">
        <f t="shared" si="13"/>
        <v>11.558505058288574</v>
      </c>
    </row>
    <row r="181" spans="1:24" s="192" customFormat="1" ht="153">
      <c r="A181" s="46">
        <f t="shared" si="17"/>
        <v>66</v>
      </c>
      <c r="B181" s="231" t="s">
        <v>599</v>
      </c>
      <c r="C181" s="191" t="s">
        <v>599</v>
      </c>
      <c r="D181" s="211" t="s">
        <v>600</v>
      </c>
      <c r="E181" s="197">
        <f t="shared" si="16"/>
        <v>218</v>
      </c>
      <c r="F181" s="206" t="s">
        <v>30</v>
      </c>
      <c r="G181" s="197" t="s">
        <v>23</v>
      </c>
      <c r="H181" s="197" t="s">
        <v>23</v>
      </c>
      <c r="I181" s="197" t="s">
        <v>31</v>
      </c>
      <c r="J181" s="196" t="s">
        <v>601</v>
      </c>
      <c r="K181" s="266" t="s">
        <v>23</v>
      </c>
      <c r="L181" s="196" t="s">
        <v>602</v>
      </c>
      <c r="M181" s="88"/>
      <c r="N181" s="10"/>
      <c r="O181" s="318">
        <v>1</v>
      </c>
      <c r="P181" s="186"/>
      <c r="R181" s="472" t="s">
        <v>57</v>
      </c>
      <c r="S181" s="193"/>
      <c r="V181" s="321">
        <v>11.379257202148438</v>
      </c>
      <c r="W181" s="321">
        <f t="shared" si="15"/>
        <v>11.379257202148438</v>
      </c>
      <c r="X181" s="186">
        <f t="shared" si="13"/>
        <v>11.379257202148438</v>
      </c>
    </row>
    <row r="182" spans="1:24" s="192" customFormat="1" ht="153">
      <c r="A182" s="46">
        <f t="shared" si="17"/>
        <v>67</v>
      </c>
      <c r="B182" s="231" t="s">
        <v>603</v>
      </c>
      <c r="C182" s="191" t="s">
        <v>603</v>
      </c>
      <c r="D182" s="211" t="s">
        <v>604</v>
      </c>
      <c r="E182" s="197">
        <f t="shared" si="16"/>
        <v>224</v>
      </c>
      <c r="F182" s="206" t="s">
        <v>30</v>
      </c>
      <c r="G182" s="197" t="s">
        <v>23</v>
      </c>
      <c r="H182" s="197" t="s">
        <v>23</v>
      </c>
      <c r="I182" s="197" t="s">
        <v>31</v>
      </c>
      <c r="J182" s="196" t="s">
        <v>605</v>
      </c>
      <c r="K182" s="266" t="s">
        <v>23</v>
      </c>
      <c r="L182" s="196" t="s">
        <v>606</v>
      </c>
      <c r="M182" s="88"/>
      <c r="N182" s="10"/>
      <c r="O182" s="318">
        <v>1</v>
      </c>
      <c r="P182" s="186"/>
      <c r="R182" s="472" t="s">
        <v>57</v>
      </c>
      <c r="S182" s="193"/>
      <c r="V182" s="321">
        <v>10.443217277526855</v>
      </c>
      <c r="W182" s="321">
        <f t="shared" si="15"/>
        <v>10.443217277526855</v>
      </c>
      <c r="X182" s="186">
        <f t="shared" si="13"/>
        <v>10.443217277526855</v>
      </c>
    </row>
    <row r="183" spans="1:24" s="192" customFormat="1" ht="146">
      <c r="A183" s="46">
        <f t="shared" si="17"/>
        <v>68</v>
      </c>
      <c r="B183" s="231" t="s">
        <v>607</v>
      </c>
      <c r="C183" s="230" t="s">
        <v>607</v>
      </c>
      <c r="D183" s="210" t="s">
        <v>608</v>
      </c>
      <c r="E183" s="197">
        <f t="shared" si="16"/>
        <v>182</v>
      </c>
      <c r="F183" s="206" t="s">
        <v>30</v>
      </c>
      <c r="G183" s="197" t="s">
        <v>23</v>
      </c>
      <c r="H183" s="197" t="s">
        <v>23</v>
      </c>
      <c r="I183" s="197" t="s">
        <v>31</v>
      </c>
      <c r="J183" s="196" t="s">
        <v>609</v>
      </c>
      <c r="K183" s="266" t="s">
        <v>23</v>
      </c>
      <c r="L183" s="208" t="s">
        <v>610</v>
      </c>
      <c r="M183" s="99"/>
      <c r="N183" s="10"/>
      <c r="O183" s="318">
        <v>1</v>
      </c>
      <c r="P183" s="186"/>
      <c r="R183" s="472" t="s">
        <v>57</v>
      </c>
      <c r="S183" s="193"/>
      <c r="V183" s="321">
        <v>10.732010841369629</v>
      </c>
      <c r="W183" s="321">
        <f t="shared" si="15"/>
        <v>10.732010841369629</v>
      </c>
      <c r="X183" s="186">
        <f t="shared" si="13"/>
        <v>10.732010841369629</v>
      </c>
    </row>
    <row r="184" spans="1:24" s="387" customFormat="1" ht="147">
      <c r="A184" s="46">
        <f t="shared" si="17"/>
        <v>69</v>
      </c>
      <c r="B184" s="231" t="s">
        <v>611</v>
      </c>
      <c r="C184" s="230" t="s">
        <v>611</v>
      </c>
      <c r="D184" s="209" t="s">
        <v>612</v>
      </c>
      <c r="E184" s="197">
        <f t="shared" si="16"/>
        <v>214</v>
      </c>
      <c r="F184" s="206" t="s">
        <v>30</v>
      </c>
      <c r="G184" s="197" t="s">
        <v>23</v>
      </c>
      <c r="H184" s="197" t="s">
        <v>23</v>
      </c>
      <c r="I184" s="197" t="s">
        <v>31</v>
      </c>
      <c r="J184" s="196" t="s">
        <v>613</v>
      </c>
      <c r="K184" s="266" t="s">
        <v>23</v>
      </c>
      <c r="L184" s="196" t="s">
        <v>614</v>
      </c>
      <c r="M184" s="88"/>
      <c r="N184" s="10"/>
      <c r="O184" s="318">
        <v>1</v>
      </c>
      <c r="P184" s="186"/>
      <c r="R184" s="472" t="s">
        <v>57</v>
      </c>
      <c r="S184" s="193"/>
      <c r="V184" s="321">
        <v>11.586139678955078</v>
      </c>
      <c r="W184" s="321">
        <f t="shared" si="15"/>
        <v>11.586139678955078</v>
      </c>
      <c r="X184" s="186">
        <f t="shared" si="13"/>
        <v>11.586139678955078</v>
      </c>
    </row>
    <row r="185" spans="1:24" s="192" customFormat="1" ht="146">
      <c r="A185" s="46">
        <f t="shared" si="17"/>
        <v>70</v>
      </c>
      <c r="B185" s="231" t="s">
        <v>615</v>
      </c>
      <c r="C185" s="191" t="s">
        <v>615</v>
      </c>
      <c r="D185" s="210" t="s">
        <v>616</v>
      </c>
      <c r="E185" s="197">
        <f t="shared" si="16"/>
        <v>184</v>
      </c>
      <c r="F185" s="206" t="s">
        <v>30</v>
      </c>
      <c r="G185" s="197" t="s">
        <v>23</v>
      </c>
      <c r="H185" s="197" t="s">
        <v>23</v>
      </c>
      <c r="I185" s="197" t="s">
        <v>31</v>
      </c>
      <c r="J185" s="196" t="s">
        <v>617</v>
      </c>
      <c r="K185" s="266" t="s">
        <v>23</v>
      </c>
      <c r="L185" s="208" t="s">
        <v>618</v>
      </c>
      <c r="M185" s="99"/>
      <c r="N185" s="10"/>
      <c r="O185" s="318">
        <v>1</v>
      </c>
      <c r="P185" s="186"/>
      <c r="R185" s="472" t="s">
        <v>57</v>
      </c>
      <c r="S185" s="193"/>
      <c r="V185" s="321">
        <v>9.7552013397216797</v>
      </c>
      <c r="W185" s="321">
        <f t="shared" si="15"/>
        <v>9.7552013397216797</v>
      </c>
      <c r="X185" s="186">
        <f t="shared" si="13"/>
        <v>9.7552013397216797</v>
      </c>
    </row>
    <row r="186" spans="1:24" s="192" customFormat="1" ht="147">
      <c r="A186" s="46">
        <f t="shared" si="17"/>
        <v>71</v>
      </c>
      <c r="B186" s="231" t="s">
        <v>619</v>
      </c>
      <c r="C186" s="230" t="s">
        <v>619</v>
      </c>
      <c r="D186" s="209" t="s">
        <v>612</v>
      </c>
      <c r="E186" s="197">
        <f t="shared" si="16"/>
        <v>214</v>
      </c>
      <c r="F186" s="206" t="s">
        <v>30</v>
      </c>
      <c r="G186" s="197" t="s">
        <v>23</v>
      </c>
      <c r="H186" s="197" t="s">
        <v>23</v>
      </c>
      <c r="I186" s="197" t="s">
        <v>31</v>
      </c>
      <c r="J186" s="196" t="s">
        <v>620</v>
      </c>
      <c r="K186" s="266" t="s">
        <v>23</v>
      </c>
      <c r="L186" s="196" t="s">
        <v>621</v>
      </c>
      <c r="M186" s="88"/>
      <c r="N186" s="10"/>
      <c r="O186" s="318">
        <v>1</v>
      </c>
      <c r="P186" s="186"/>
      <c r="R186" s="472" t="s">
        <v>57</v>
      </c>
      <c r="S186" s="193"/>
      <c r="V186" s="321">
        <v>7.9447951316833496</v>
      </c>
      <c r="W186" s="321">
        <f t="shared" si="15"/>
        <v>7.9447951316833496</v>
      </c>
      <c r="X186" s="186">
        <f t="shared" si="13"/>
        <v>7.9447951316833496</v>
      </c>
    </row>
    <row r="187" spans="1:24" s="192" customFormat="1" ht="146">
      <c r="A187" s="46">
        <f t="shared" si="17"/>
        <v>72</v>
      </c>
      <c r="B187" s="231" t="s">
        <v>622</v>
      </c>
      <c r="C187" s="191" t="s">
        <v>622</v>
      </c>
      <c r="D187" s="210" t="s">
        <v>623</v>
      </c>
      <c r="E187" s="197">
        <f t="shared" si="16"/>
        <v>212</v>
      </c>
      <c r="F187" s="206" t="s">
        <v>30</v>
      </c>
      <c r="G187" s="197" t="s">
        <v>23</v>
      </c>
      <c r="H187" s="197" t="s">
        <v>23</v>
      </c>
      <c r="I187" s="197" t="s">
        <v>31</v>
      </c>
      <c r="J187" s="196" t="s">
        <v>624</v>
      </c>
      <c r="K187" s="266" t="s">
        <v>23</v>
      </c>
      <c r="L187" s="208" t="s">
        <v>625</v>
      </c>
      <c r="M187" s="43"/>
      <c r="N187" s="10"/>
      <c r="O187" s="318">
        <v>1</v>
      </c>
      <c r="P187" s="186"/>
      <c r="R187" s="472" t="s">
        <v>57</v>
      </c>
      <c r="S187" s="193"/>
      <c r="V187" s="321">
        <v>7.9312248229980469</v>
      </c>
      <c r="W187" s="321">
        <f t="shared" si="15"/>
        <v>7.9312248229980469</v>
      </c>
      <c r="X187" s="186">
        <f t="shared" si="13"/>
        <v>7.9312248229980469</v>
      </c>
    </row>
    <row r="188" spans="1:24" s="192" customFormat="1" ht="147">
      <c r="A188" s="46">
        <f t="shared" si="17"/>
        <v>73</v>
      </c>
      <c r="B188" s="231" t="s">
        <v>626</v>
      </c>
      <c r="C188" s="230" t="s">
        <v>626</v>
      </c>
      <c r="D188" s="209" t="s">
        <v>612</v>
      </c>
      <c r="E188" s="197">
        <f t="shared" si="16"/>
        <v>214</v>
      </c>
      <c r="F188" s="206" t="s">
        <v>30</v>
      </c>
      <c r="G188" s="197" t="s">
        <v>23</v>
      </c>
      <c r="H188" s="197" t="s">
        <v>23</v>
      </c>
      <c r="I188" s="197" t="s">
        <v>31</v>
      </c>
      <c r="J188" s="196" t="s">
        <v>627</v>
      </c>
      <c r="K188" s="266" t="s">
        <v>23</v>
      </c>
      <c r="L188" s="208" t="s">
        <v>628</v>
      </c>
      <c r="M188" s="43"/>
      <c r="N188" s="10"/>
      <c r="O188" s="318">
        <v>1</v>
      </c>
      <c r="P188" s="186"/>
      <c r="R188" s="472" t="s">
        <v>57</v>
      </c>
      <c r="S188" s="193"/>
      <c r="V188" s="321">
        <v>5.3390059471130371</v>
      </c>
      <c r="W188" s="321">
        <f t="shared" si="15"/>
        <v>5.3390059471130371</v>
      </c>
      <c r="X188" s="186">
        <f t="shared" si="13"/>
        <v>5.3390059471130371</v>
      </c>
    </row>
    <row r="189" spans="1:24" s="192" customFormat="1" ht="153">
      <c r="A189" s="14">
        <f t="shared" si="17"/>
        <v>74</v>
      </c>
      <c r="B189" s="282" t="s">
        <v>629</v>
      </c>
      <c r="C189" s="17" t="s">
        <v>629</v>
      </c>
      <c r="D189" s="38" t="s">
        <v>630</v>
      </c>
      <c r="E189" s="20">
        <f t="shared" si="16"/>
        <v>142</v>
      </c>
      <c r="F189" s="36" t="s">
        <v>30</v>
      </c>
      <c r="G189" s="20" t="s">
        <v>23</v>
      </c>
      <c r="H189" s="20" t="s">
        <v>23</v>
      </c>
      <c r="I189" s="20" t="s">
        <v>31</v>
      </c>
      <c r="J189" s="31" t="s">
        <v>631</v>
      </c>
      <c r="K189" s="84" t="s">
        <v>23</v>
      </c>
      <c r="L189" s="393"/>
      <c r="M189" s="394"/>
      <c r="N189" s="168" t="s">
        <v>632</v>
      </c>
      <c r="O189" s="323">
        <v>1</v>
      </c>
      <c r="P189" s="186"/>
      <c r="R189" s="194" t="s">
        <v>22</v>
      </c>
      <c r="S189" s="193"/>
      <c r="V189" s="322">
        <v>3.8165555000305176</v>
      </c>
      <c r="W189" s="322">
        <f t="shared" si="15"/>
        <v>3.8165555000305176</v>
      </c>
      <c r="X189" s="186" t="str">
        <f t="shared" si="13"/>
        <v/>
      </c>
    </row>
    <row r="190" spans="1:24" s="192" customFormat="1" ht="204">
      <c r="A190" s="14">
        <f t="shared" si="17"/>
        <v>75</v>
      </c>
      <c r="B190" s="395" t="s">
        <v>633</v>
      </c>
      <c r="C190" s="17" t="s">
        <v>634</v>
      </c>
      <c r="D190" s="22" t="s">
        <v>635</v>
      </c>
      <c r="E190" s="20">
        <f t="shared" si="16"/>
        <v>406</v>
      </c>
      <c r="F190" s="36" t="s">
        <v>30</v>
      </c>
      <c r="G190" s="20" t="s">
        <v>23</v>
      </c>
      <c r="H190" s="20" t="s">
        <v>23</v>
      </c>
      <c r="I190" s="20" t="s">
        <v>31</v>
      </c>
      <c r="J190" s="31" t="s">
        <v>636</v>
      </c>
      <c r="K190" s="84" t="s">
        <v>23</v>
      </c>
      <c r="L190" s="42"/>
      <c r="M190" s="42"/>
      <c r="N190" s="10"/>
      <c r="O190" s="323">
        <v>1</v>
      </c>
      <c r="P190" s="186"/>
      <c r="R190" s="194" t="s">
        <v>22</v>
      </c>
      <c r="S190" s="193"/>
      <c r="V190" s="322">
        <v>16.827030181884766</v>
      </c>
      <c r="W190" s="322">
        <f t="shared" si="15"/>
        <v>16.827030181884766</v>
      </c>
      <c r="X190" s="186" t="str">
        <f t="shared" si="13"/>
        <v/>
      </c>
    </row>
    <row r="191" spans="1:24" s="192" customFormat="1" ht="204">
      <c r="A191" s="14">
        <f t="shared" si="17"/>
        <v>76</v>
      </c>
      <c r="B191" s="395" t="s">
        <v>637</v>
      </c>
      <c r="C191" s="17" t="s">
        <v>638</v>
      </c>
      <c r="D191" s="22" t="s">
        <v>639</v>
      </c>
      <c r="E191" s="20">
        <f t="shared" si="16"/>
        <v>344</v>
      </c>
      <c r="F191" s="36" t="s">
        <v>30</v>
      </c>
      <c r="G191" s="20" t="s">
        <v>23</v>
      </c>
      <c r="H191" s="20" t="s">
        <v>23</v>
      </c>
      <c r="I191" s="20" t="s">
        <v>31</v>
      </c>
      <c r="J191" s="31" t="s">
        <v>636</v>
      </c>
      <c r="K191" s="84" t="s">
        <v>23</v>
      </c>
      <c r="L191" s="42"/>
      <c r="M191" s="42"/>
      <c r="N191" s="10"/>
      <c r="O191" s="323">
        <v>1</v>
      </c>
      <c r="P191" s="186"/>
      <c r="R191" s="194" t="s">
        <v>22</v>
      </c>
      <c r="S191" s="193"/>
      <c r="V191" s="322">
        <v>12.211404800415039</v>
      </c>
      <c r="W191" s="322">
        <f t="shared" si="15"/>
        <v>12.211404800415039</v>
      </c>
      <c r="X191" s="186" t="str">
        <f t="shared" si="13"/>
        <v/>
      </c>
    </row>
    <row r="192" spans="1:24" s="192" customFormat="1" ht="204">
      <c r="A192" s="14">
        <f t="shared" si="17"/>
        <v>77</v>
      </c>
      <c r="B192" s="395" t="s">
        <v>640</v>
      </c>
      <c r="C192" s="17" t="s">
        <v>640</v>
      </c>
      <c r="D192" s="22" t="s">
        <v>641</v>
      </c>
      <c r="E192" s="20">
        <f t="shared" si="16"/>
        <v>378</v>
      </c>
      <c r="F192" s="36" t="s">
        <v>30</v>
      </c>
      <c r="G192" s="20" t="s">
        <v>23</v>
      </c>
      <c r="H192" s="20" t="s">
        <v>23</v>
      </c>
      <c r="I192" s="20" t="s">
        <v>31</v>
      </c>
      <c r="J192" s="31" t="s">
        <v>636</v>
      </c>
      <c r="K192" s="84" t="s">
        <v>23</v>
      </c>
      <c r="L192" s="42"/>
      <c r="M192" s="42"/>
      <c r="N192" s="10"/>
      <c r="O192" s="323">
        <v>1</v>
      </c>
      <c r="P192" s="186"/>
      <c r="R192" s="194" t="s">
        <v>22</v>
      </c>
      <c r="S192" s="193"/>
      <c r="V192" s="322">
        <v>10.392949104309082</v>
      </c>
      <c r="W192" s="322">
        <f t="shared" si="15"/>
        <v>10.392949104309082</v>
      </c>
      <c r="X192" s="186" t="str">
        <f t="shared" si="13"/>
        <v/>
      </c>
    </row>
    <row r="193" spans="1:24" s="192" customFormat="1" ht="204">
      <c r="A193" s="14">
        <f t="shared" si="17"/>
        <v>78</v>
      </c>
      <c r="B193" s="395" t="s">
        <v>642</v>
      </c>
      <c r="C193" s="17" t="s">
        <v>642</v>
      </c>
      <c r="D193" s="22" t="s">
        <v>643</v>
      </c>
      <c r="E193" s="20">
        <f t="shared" si="16"/>
        <v>370</v>
      </c>
      <c r="F193" s="36" t="s">
        <v>30</v>
      </c>
      <c r="G193" s="20" t="s">
        <v>23</v>
      </c>
      <c r="H193" s="20" t="s">
        <v>23</v>
      </c>
      <c r="I193" s="20" t="s">
        <v>31</v>
      </c>
      <c r="J193" s="31" t="s">
        <v>636</v>
      </c>
      <c r="K193" s="84" t="s">
        <v>23</v>
      </c>
      <c r="L193" s="42"/>
      <c r="M193" s="42"/>
      <c r="N193" s="10"/>
      <c r="O193" s="323">
        <v>1</v>
      </c>
      <c r="P193" s="186"/>
      <c r="R193" s="194" t="s">
        <v>22</v>
      </c>
      <c r="S193" s="193"/>
      <c r="V193" s="322">
        <v>11.913414001464844</v>
      </c>
      <c r="W193" s="322">
        <f t="shared" si="15"/>
        <v>11.913414001464844</v>
      </c>
      <c r="X193" s="186" t="str">
        <f t="shared" si="13"/>
        <v/>
      </c>
    </row>
    <row r="194" spans="1:24" s="192" customFormat="1" ht="204">
      <c r="A194" s="14">
        <f t="shared" si="17"/>
        <v>79</v>
      </c>
      <c r="B194" s="395" t="s">
        <v>644</v>
      </c>
      <c r="C194" s="17" t="s">
        <v>644</v>
      </c>
      <c r="D194" s="22" t="s">
        <v>645</v>
      </c>
      <c r="E194" s="20">
        <f t="shared" si="16"/>
        <v>384</v>
      </c>
      <c r="F194" s="36" t="s">
        <v>30</v>
      </c>
      <c r="G194" s="20" t="s">
        <v>23</v>
      </c>
      <c r="H194" s="20" t="s">
        <v>23</v>
      </c>
      <c r="I194" s="20" t="s">
        <v>31</v>
      </c>
      <c r="J194" s="31" t="s">
        <v>636</v>
      </c>
      <c r="K194" s="84" t="s">
        <v>23</v>
      </c>
      <c r="L194" s="42"/>
      <c r="M194" s="42"/>
      <c r="N194" s="10"/>
      <c r="O194" s="323">
        <v>1</v>
      </c>
      <c r="P194" s="186"/>
      <c r="R194" s="194" t="s">
        <v>22</v>
      </c>
      <c r="S194" s="193"/>
      <c r="V194" s="322">
        <v>11.458892822265625</v>
      </c>
      <c r="W194" s="322">
        <f t="shared" si="15"/>
        <v>11.458892822265625</v>
      </c>
      <c r="X194" s="186" t="str">
        <f t="shared" si="13"/>
        <v/>
      </c>
    </row>
    <row r="195" spans="1:24" s="192" customFormat="1" ht="204">
      <c r="A195" s="14">
        <f t="shared" si="17"/>
        <v>80</v>
      </c>
      <c r="B195" s="395" t="s">
        <v>646</v>
      </c>
      <c r="C195" s="17" t="s">
        <v>646</v>
      </c>
      <c r="D195" s="22" t="s">
        <v>647</v>
      </c>
      <c r="E195" s="20">
        <f t="shared" si="16"/>
        <v>371</v>
      </c>
      <c r="F195" s="36" t="s">
        <v>30</v>
      </c>
      <c r="G195" s="20" t="s">
        <v>23</v>
      </c>
      <c r="H195" s="20" t="s">
        <v>23</v>
      </c>
      <c r="I195" s="20" t="s">
        <v>31</v>
      </c>
      <c r="J195" s="31" t="s">
        <v>636</v>
      </c>
      <c r="K195" s="84" t="s">
        <v>23</v>
      </c>
      <c r="L195" s="42"/>
      <c r="M195" s="42"/>
      <c r="N195" s="10"/>
      <c r="O195" s="323">
        <v>1</v>
      </c>
      <c r="P195" s="186"/>
      <c r="R195" s="194" t="s">
        <v>22</v>
      </c>
      <c r="S195" s="193"/>
      <c r="V195" s="322">
        <v>10.843878746032715</v>
      </c>
      <c r="W195" s="322">
        <f t="shared" si="15"/>
        <v>10.843878746032715</v>
      </c>
      <c r="X195" s="186" t="str">
        <f t="shared" ref="X195:X244" si="18">IF(R195="yes",W195,"")</f>
        <v/>
      </c>
    </row>
    <row r="196" spans="1:24" s="192" customFormat="1" ht="204">
      <c r="A196" s="14">
        <f t="shared" si="17"/>
        <v>81</v>
      </c>
      <c r="B196" s="395" t="s">
        <v>648</v>
      </c>
      <c r="C196" s="17" t="s">
        <v>648</v>
      </c>
      <c r="D196" s="22" t="s">
        <v>649</v>
      </c>
      <c r="E196" s="20">
        <f t="shared" si="16"/>
        <v>343</v>
      </c>
      <c r="F196" s="36" t="s">
        <v>30</v>
      </c>
      <c r="G196" s="20" t="s">
        <v>23</v>
      </c>
      <c r="H196" s="20" t="s">
        <v>23</v>
      </c>
      <c r="I196" s="20" t="s">
        <v>31</v>
      </c>
      <c r="J196" s="31" t="s">
        <v>636</v>
      </c>
      <c r="K196" s="84" t="s">
        <v>23</v>
      </c>
      <c r="L196" s="42"/>
      <c r="M196" s="42"/>
      <c r="N196" s="10"/>
      <c r="O196" s="323">
        <v>1</v>
      </c>
      <c r="P196" s="186"/>
      <c r="R196" s="194" t="s">
        <v>22</v>
      </c>
      <c r="S196" s="193"/>
      <c r="V196" s="322">
        <v>8.2318143844604492</v>
      </c>
      <c r="W196" s="322">
        <f t="shared" si="15"/>
        <v>8.2318143844604492</v>
      </c>
      <c r="X196" s="186" t="str">
        <f t="shared" si="18"/>
        <v/>
      </c>
    </row>
    <row r="197" spans="1:24" s="192" customFormat="1" ht="204">
      <c r="A197" s="14">
        <f t="shared" si="17"/>
        <v>82</v>
      </c>
      <c r="B197" s="395" t="s">
        <v>650</v>
      </c>
      <c r="C197" s="17" t="s">
        <v>650</v>
      </c>
      <c r="D197" s="22" t="s">
        <v>651</v>
      </c>
      <c r="E197" s="20">
        <f t="shared" si="16"/>
        <v>370</v>
      </c>
      <c r="F197" s="36" t="s">
        <v>30</v>
      </c>
      <c r="G197" s="20" t="s">
        <v>23</v>
      </c>
      <c r="H197" s="20" t="s">
        <v>23</v>
      </c>
      <c r="I197" s="20" t="s">
        <v>31</v>
      </c>
      <c r="J197" s="31" t="s">
        <v>636</v>
      </c>
      <c r="K197" s="84" t="s">
        <v>23</v>
      </c>
      <c r="L197" s="42"/>
      <c r="M197" s="42"/>
      <c r="N197" s="10"/>
      <c r="O197" s="323">
        <v>1</v>
      </c>
      <c r="P197" s="186"/>
      <c r="R197" s="194" t="s">
        <v>22</v>
      </c>
      <c r="S197" s="193"/>
      <c r="V197" s="322">
        <v>12.454976081848145</v>
      </c>
      <c r="W197" s="322">
        <f t="shared" si="15"/>
        <v>12.454976081848145</v>
      </c>
      <c r="X197" s="186" t="str">
        <f t="shared" si="18"/>
        <v/>
      </c>
    </row>
    <row r="198" spans="1:24" s="192" customFormat="1" ht="221">
      <c r="A198" s="14">
        <f t="shared" si="17"/>
        <v>83</v>
      </c>
      <c r="B198" s="395" t="s">
        <v>652</v>
      </c>
      <c r="C198" s="17" t="s">
        <v>652</v>
      </c>
      <c r="D198" s="22" t="s">
        <v>653</v>
      </c>
      <c r="E198" s="20">
        <f t="shared" si="16"/>
        <v>425</v>
      </c>
      <c r="F198" s="36" t="s">
        <v>30</v>
      </c>
      <c r="G198" s="20" t="s">
        <v>23</v>
      </c>
      <c r="H198" s="20" t="s">
        <v>23</v>
      </c>
      <c r="I198" s="20" t="s">
        <v>31</v>
      </c>
      <c r="J198" s="31" t="s">
        <v>636</v>
      </c>
      <c r="K198" s="84" t="s">
        <v>23</v>
      </c>
      <c r="L198" s="42"/>
      <c r="M198" s="42"/>
      <c r="N198" s="10"/>
      <c r="O198" s="323">
        <v>1</v>
      </c>
      <c r="P198" s="186"/>
      <c r="R198" s="194" t="s">
        <v>22</v>
      </c>
      <c r="S198" s="193"/>
      <c r="V198" s="322">
        <v>11.934056282043457</v>
      </c>
      <c r="W198" s="322">
        <f t="shared" si="15"/>
        <v>11.934056282043457</v>
      </c>
      <c r="X198" s="186" t="str">
        <f t="shared" si="18"/>
        <v/>
      </c>
    </row>
    <row r="199" spans="1:24" s="192" customFormat="1" ht="204">
      <c r="A199" s="14">
        <f t="shared" si="17"/>
        <v>84</v>
      </c>
      <c r="B199" s="395" t="s">
        <v>654</v>
      </c>
      <c r="C199" s="17" t="s">
        <v>654</v>
      </c>
      <c r="D199" s="22" t="s">
        <v>655</v>
      </c>
      <c r="E199" s="20">
        <f t="shared" si="16"/>
        <v>360</v>
      </c>
      <c r="F199" s="36" t="s">
        <v>30</v>
      </c>
      <c r="G199" s="20" t="s">
        <v>23</v>
      </c>
      <c r="H199" s="20" t="s">
        <v>23</v>
      </c>
      <c r="I199" s="20" t="s">
        <v>31</v>
      </c>
      <c r="J199" s="31" t="s">
        <v>636</v>
      </c>
      <c r="K199" s="84" t="s">
        <v>23</v>
      </c>
      <c r="L199" s="22"/>
      <c r="M199" s="31"/>
      <c r="N199" s="10"/>
      <c r="O199" s="323">
        <v>1</v>
      </c>
      <c r="P199" s="186"/>
      <c r="R199" s="194" t="s">
        <v>22</v>
      </c>
      <c r="S199" s="193"/>
      <c r="V199" s="322">
        <v>11.360984802246094</v>
      </c>
      <c r="W199" s="322">
        <f t="shared" si="15"/>
        <v>11.360984802246094</v>
      </c>
      <c r="X199" s="186" t="str">
        <f t="shared" si="18"/>
        <v/>
      </c>
    </row>
    <row r="200" spans="1:24" s="192" customFormat="1" ht="204">
      <c r="A200" s="14">
        <f t="shared" si="17"/>
        <v>85</v>
      </c>
      <c r="B200" s="395" t="s">
        <v>656</v>
      </c>
      <c r="C200" s="17" t="s">
        <v>656</v>
      </c>
      <c r="D200" s="22" t="s">
        <v>657</v>
      </c>
      <c r="E200" s="20">
        <f t="shared" si="16"/>
        <v>374</v>
      </c>
      <c r="F200" s="36" t="s">
        <v>30</v>
      </c>
      <c r="G200" s="20" t="s">
        <v>23</v>
      </c>
      <c r="H200" s="20" t="s">
        <v>23</v>
      </c>
      <c r="I200" s="20" t="s">
        <v>31</v>
      </c>
      <c r="J200" s="31" t="s">
        <v>636</v>
      </c>
      <c r="K200" s="84" t="s">
        <v>23</v>
      </c>
      <c r="L200" s="396"/>
      <c r="M200" s="397"/>
      <c r="N200" s="10"/>
      <c r="O200" s="323">
        <v>1</v>
      </c>
      <c r="P200" s="186"/>
      <c r="R200" s="194" t="s">
        <v>22</v>
      </c>
      <c r="S200" s="193"/>
      <c r="V200" s="322">
        <v>12.756719589233398</v>
      </c>
      <c r="W200" s="322">
        <f t="shared" si="15"/>
        <v>12.756719589233398</v>
      </c>
      <c r="X200" s="186" t="str">
        <f t="shared" si="18"/>
        <v/>
      </c>
    </row>
    <row r="201" spans="1:24" s="192" customFormat="1" ht="204">
      <c r="A201" s="14">
        <f t="shared" si="17"/>
        <v>86</v>
      </c>
      <c r="B201" s="395" t="s">
        <v>658</v>
      </c>
      <c r="C201" s="17" t="s">
        <v>658</v>
      </c>
      <c r="D201" s="22" t="s">
        <v>659</v>
      </c>
      <c r="E201" s="20">
        <f t="shared" si="16"/>
        <v>379</v>
      </c>
      <c r="F201" s="36" t="s">
        <v>30</v>
      </c>
      <c r="G201" s="20" t="s">
        <v>23</v>
      </c>
      <c r="H201" s="20" t="s">
        <v>23</v>
      </c>
      <c r="I201" s="20" t="s">
        <v>31</v>
      </c>
      <c r="J201" s="31" t="s">
        <v>636</v>
      </c>
      <c r="K201" s="84" t="s">
        <v>23</v>
      </c>
      <c r="L201" s="398"/>
      <c r="M201" s="399"/>
      <c r="N201" s="10"/>
      <c r="O201" s="323">
        <v>1</v>
      </c>
      <c r="P201" s="186"/>
      <c r="R201" s="194" t="s">
        <v>22</v>
      </c>
      <c r="S201" s="193"/>
      <c r="V201" s="322">
        <v>7.8922214508056641</v>
      </c>
      <c r="W201" s="322">
        <f t="shared" si="15"/>
        <v>7.8922214508056641</v>
      </c>
      <c r="X201" s="186" t="str">
        <f t="shared" si="18"/>
        <v/>
      </c>
    </row>
    <row r="202" spans="1:24" s="192" customFormat="1" ht="204">
      <c r="A202" s="14">
        <f t="shared" si="17"/>
        <v>87</v>
      </c>
      <c r="B202" s="395" t="s">
        <v>660</v>
      </c>
      <c r="C202" s="17" t="s">
        <v>660</v>
      </c>
      <c r="D202" s="22" t="s">
        <v>661</v>
      </c>
      <c r="E202" s="20">
        <f t="shared" si="16"/>
        <v>398</v>
      </c>
      <c r="F202" s="36" t="s">
        <v>30</v>
      </c>
      <c r="G202" s="20" t="s">
        <v>23</v>
      </c>
      <c r="H202" s="20" t="s">
        <v>23</v>
      </c>
      <c r="I202" s="20" t="s">
        <v>31</v>
      </c>
      <c r="J202" s="31" t="s">
        <v>636</v>
      </c>
      <c r="K202" s="84" t="s">
        <v>23</v>
      </c>
      <c r="L202" s="398"/>
      <c r="M202" s="399"/>
      <c r="N202" s="10"/>
      <c r="O202" s="323">
        <v>1</v>
      </c>
      <c r="P202" s="186"/>
      <c r="R202" s="194" t="s">
        <v>22</v>
      </c>
      <c r="S202" s="193"/>
      <c r="V202" s="322">
        <v>9.5187292098999023</v>
      </c>
      <c r="W202" s="322">
        <f t="shared" si="15"/>
        <v>9.5187292098999023</v>
      </c>
      <c r="X202" s="186" t="str">
        <f t="shared" si="18"/>
        <v/>
      </c>
    </row>
    <row r="203" spans="1:24" s="192" customFormat="1" ht="221">
      <c r="A203" s="14">
        <f t="shared" si="17"/>
        <v>88</v>
      </c>
      <c r="B203" s="395" t="s">
        <v>662</v>
      </c>
      <c r="C203" s="17" t="s">
        <v>662</v>
      </c>
      <c r="D203" s="22" t="s">
        <v>663</v>
      </c>
      <c r="E203" s="20">
        <f t="shared" si="16"/>
        <v>421</v>
      </c>
      <c r="F203" s="36" t="s">
        <v>30</v>
      </c>
      <c r="G203" s="20" t="s">
        <v>23</v>
      </c>
      <c r="H203" s="20" t="s">
        <v>23</v>
      </c>
      <c r="I203" s="20" t="s">
        <v>31</v>
      </c>
      <c r="J203" s="31" t="s">
        <v>636</v>
      </c>
      <c r="K203" s="84" t="s">
        <v>23</v>
      </c>
      <c r="L203" s="398"/>
      <c r="M203" s="399"/>
      <c r="N203" s="10"/>
      <c r="O203" s="323">
        <v>1</v>
      </c>
      <c r="P203" s="186"/>
      <c r="R203" s="194" t="s">
        <v>22</v>
      </c>
      <c r="S203" s="193"/>
      <c r="V203" s="322">
        <v>9.0232686996459961</v>
      </c>
      <c r="W203" s="322">
        <f t="shared" si="15"/>
        <v>9.0232686996459961</v>
      </c>
      <c r="X203" s="186" t="str">
        <f t="shared" si="18"/>
        <v/>
      </c>
    </row>
    <row r="204" spans="1:24" s="192" customFormat="1" ht="204">
      <c r="A204" s="14">
        <f t="shared" si="17"/>
        <v>89</v>
      </c>
      <c r="B204" s="395" t="s">
        <v>664</v>
      </c>
      <c r="C204" s="17" t="s">
        <v>664</v>
      </c>
      <c r="D204" s="22" t="s">
        <v>665</v>
      </c>
      <c r="E204" s="20">
        <f t="shared" si="16"/>
        <v>351</v>
      </c>
      <c r="F204" s="36" t="s">
        <v>30</v>
      </c>
      <c r="G204" s="20" t="s">
        <v>23</v>
      </c>
      <c r="H204" s="20" t="s">
        <v>23</v>
      </c>
      <c r="I204" s="20" t="s">
        <v>31</v>
      </c>
      <c r="J204" s="31" t="s">
        <v>636</v>
      </c>
      <c r="K204" s="84" t="s">
        <v>23</v>
      </c>
      <c r="L204" s="398"/>
      <c r="M204" s="399"/>
      <c r="N204" s="10"/>
      <c r="O204" s="323">
        <v>1</v>
      </c>
      <c r="P204" s="186"/>
      <c r="R204" s="194" t="s">
        <v>22</v>
      </c>
      <c r="S204" s="193"/>
      <c r="V204" s="322">
        <v>9.0632390975952148</v>
      </c>
      <c r="W204" s="322">
        <f t="shared" si="15"/>
        <v>9.0632390975952148</v>
      </c>
      <c r="X204" s="186" t="str">
        <f t="shared" si="18"/>
        <v/>
      </c>
    </row>
    <row r="205" spans="1:24" s="192" customFormat="1" ht="204">
      <c r="A205" s="14">
        <f t="shared" si="17"/>
        <v>90</v>
      </c>
      <c r="B205" s="395" t="s">
        <v>666</v>
      </c>
      <c r="C205" s="17" t="s">
        <v>666</v>
      </c>
      <c r="D205" s="22" t="s">
        <v>667</v>
      </c>
      <c r="E205" s="20">
        <f t="shared" si="16"/>
        <v>334</v>
      </c>
      <c r="F205" s="36" t="s">
        <v>30</v>
      </c>
      <c r="G205" s="20" t="s">
        <v>23</v>
      </c>
      <c r="H205" s="20" t="s">
        <v>23</v>
      </c>
      <c r="I205" s="20" t="s">
        <v>31</v>
      </c>
      <c r="J205" s="31" t="s">
        <v>636</v>
      </c>
      <c r="K205" s="84" t="s">
        <v>23</v>
      </c>
      <c r="L205" s="398"/>
      <c r="M205" s="399"/>
      <c r="N205" s="10"/>
      <c r="O205" s="323">
        <v>1</v>
      </c>
      <c r="P205" s="186"/>
      <c r="R205" s="194" t="s">
        <v>22</v>
      </c>
      <c r="S205" s="193"/>
      <c r="V205" s="322">
        <v>9.1058073043823242</v>
      </c>
      <c r="W205" s="322">
        <f t="shared" si="15"/>
        <v>9.1058073043823242</v>
      </c>
      <c r="X205" s="186" t="str">
        <f t="shared" si="18"/>
        <v/>
      </c>
    </row>
    <row r="206" spans="1:24" s="192" customFormat="1" ht="204">
      <c r="A206" s="14">
        <f t="shared" si="17"/>
        <v>91</v>
      </c>
      <c r="B206" s="395" t="s">
        <v>668</v>
      </c>
      <c r="C206" s="17" t="s">
        <v>668</v>
      </c>
      <c r="D206" s="22" t="s">
        <v>669</v>
      </c>
      <c r="E206" s="20">
        <f t="shared" si="16"/>
        <v>401</v>
      </c>
      <c r="F206" s="36" t="s">
        <v>30</v>
      </c>
      <c r="G206" s="20" t="s">
        <v>23</v>
      </c>
      <c r="H206" s="20" t="s">
        <v>23</v>
      </c>
      <c r="I206" s="20" t="s">
        <v>31</v>
      </c>
      <c r="J206" s="31" t="s">
        <v>636</v>
      </c>
      <c r="K206" s="84" t="s">
        <v>23</v>
      </c>
      <c r="L206" s="398"/>
      <c r="M206" s="399"/>
      <c r="N206" s="10"/>
      <c r="O206" s="323">
        <v>1</v>
      </c>
      <c r="P206" s="186"/>
      <c r="R206" s="194" t="s">
        <v>22</v>
      </c>
      <c r="S206" s="193"/>
      <c r="V206" s="322">
        <v>11.21794319152832</v>
      </c>
      <c r="W206" s="322">
        <f t="shared" si="15"/>
        <v>11.21794319152832</v>
      </c>
      <c r="X206" s="186" t="str">
        <f t="shared" si="18"/>
        <v/>
      </c>
    </row>
    <row r="207" spans="1:24" s="192" customFormat="1" ht="220" customHeight="1">
      <c r="A207" s="14">
        <f t="shared" si="17"/>
        <v>92</v>
      </c>
      <c r="B207" s="395" t="s">
        <v>670</v>
      </c>
      <c r="C207" s="17" t="s">
        <v>670</v>
      </c>
      <c r="D207" s="22" t="s">
        <v>671</v>
      </c>
      <c r="E207" s="20">
        <f t="shared" si="16"/>
        <v>360</v>
      </c>
      <c r="F207" s="36" t="s">
        <v>30</v>
      </c>
      <c r="G207" s="20" t="s">
        <v>23</v>
      </c>
      <c r="H207" s="20" t="s">
        <v>23</v>
      </c>
      <c r="I207" s="20" t="s">
        <v>31</v>
      </c>
      <c r="J207" s="31" t="s">
        <v>636</v>
      </c>
      <c r="K207" s="84" t="s">
        <v>23</v>
      </c>
      <c r="L207" s="398"/>
      <c r="M207" s="399"/>
      <c r="N207" s="10"/>
      <c r="O207" s="323">
        <v>1</v>
      </c>
      <c r="P207" s="186"/>
      <c r="R207" s="194" t="s">
        <v>22</v>
      </c>
      <c r="S207" s="193"/>
      <c r="U207" s="207"/>
      <c r="V207" s="322">
        <v>6.2936897277832031</v>
      </c>
      <c r="W207" s="322">
        <f t="shared" ref="W207:W239" si="19">IF(V207="","",V207*O207)</f>
        <v>6.2936897277832031</v>
      </c>
      <c r="X207" s="186" t="str">
        <f t="shared" si="18"/>
        <v/>
      </c>
    </row>
    <row r="208" spans="1:24" s="192" customFormat="1" ht="204">
      <c r="A208" s="14">
        <f t="shared" si="17"/>
        <v>93</v>
      </c>
      <c r="B208" s="395" t="s">
        <v>672</v>
      </c>
      <c r="C208" s="17" t="s">
        <v>672</v>
      </c>
      <c r="D208" s="22" t="s">
        <v>673</v>
      </c>
      <c r="E208" s="20">
        <f t="shared" si="16"/>
        <v>335</v>
      </c>
      <c r="F208" s="36" t="s">
        <v>30</v>
      </c>
      <c r="G208" s="20" t="s">
        <v>23</v>
      </c>
      <c r="H208" s="20" t="s">
        <v>23</v>
      </c>
      <c r="I208" s="20" t="s">
        <v>31</v>
      </c>
      <c r="J208" s="31" t="s">
        <v>636</v>
      </c>
      <c r="K208" s="84" t="s">
        <v>23</v>
      </c>
      <c r="L208" s="398"/>
      <c r="M208" s="399"/>
      <c r="N208" s="10"/>
      <c r="O208" s="323">
        <v>1</v>
      </c>
      <c r="P208" s="186"/>
      <c r="R208" s="194" t="s">
        <v>22</v>
      </c>
      <c r="S208" s="193"/>
      <c r="V208" s="322">
        <v>9.0649547576904297</v>
      </c>
      <c r="W208" s="322">
        <f t="shared" si="19"/>
        <v>9.0649547576904297</v>
      </c>
      <c r="X208" s="186" t="str">
        <f t="shared" si="18"/>
        <v/>
      </c>
    </row>
    <row r="209" spans="1:24" s="192" customFormat="1" ht="409.6">
      <c r="A209" s="46">
        <f t="shared" si="17"/>
        <v>94</v>
      </c>
      <c r="B209" s="231" t="s">
        <v>674</v>
      </c>
      <c r="C209" s="191" t="s">
        <v>675</v>
      </c>
      <c r="D209" s="535" t="s">
        <v>676</v>
      </c>
      <c r="E209" s="197">
        <f t="shared" ref="E209:E226" si="20">LEN(D209)</f>
        <v>1361</v>
      </c>
      <c r="F209" s="206" t="s">
        <v>193</v>
      </c>
      <c r="G209" s="197" t="s">
        <v>23</v>
      </c>
      <c r="H209" s="197" t="s">
        <v>23</v>
      </c>
      <c r="I209" s="197" t="s">
        <v>677</v>
      </c>
      <c r="J209" s="196" t="s">
        <v>678</v>
      </c>
      <c r="K209" s="266" t="s">
        <v>679</v>
      </c>
      <c r="L209" s="196" t="s">
        <v>680</v>
      </c>
      <c r="M209" s="88"/>
      <c r="N209" s="205"/>
      <c r="O209" s="318">
        <v>1</v>
      </c>
      <c r="P209" s="186"/>
      <c r="R209" s="472" t="s">
        <v>57</v>
      </c>
      <c r="S209" s="193"/>
      <c r="V209" s="321">
        <v>52.174358367919922</v>
      </c>
      <c r="W209" s="321">
        <f t="shared" si="19"/>
        <v>52.174358367919922</v>
      </c>
      <c r="X209" s="186">
        <f t="shared" si="18"/>
        <v>52.174358367919922</v>
      </c>
    </row>
    <row r="210" spans="1:24" s="192" customFormat="1" ht="153">
      <c r="A210" s="386">
        <f t="shared" si="17"/>
        <v>95</v>
      </c>
      <c r="B210" s="283" t="s">
        <v>681</v>
      </c>
      <c r="C210" s="230" t="s">
        <v>681</v>
      </c>
      <c r="D210" s="204" t="s">
        <v>682</v>
      </c>
      <c r="E210" s="180">
        <f t="shared" si="20"/>
        <v>327</v>
      </c>
      <c r="F210" s="203" t="s">
        <v>30</v>
      </c>
      <c r="G210" s="181" t="s">
        <v>23</v>
      </c>
      <c r="H210" s="181" t="s">
        <v>23</v>
      </c>
      <c r="I210" s="181" t="s">
        <v>31</v>
      </c>
      <c r="J210" s="202" t="s">
        <v>683</v>
      </c>
      <c r="K210" s="266" t="s">
        <v>23</v>
      </c>
      <c r="L210" s="202" t="s">
        <v>684</v>
      </c>
      <c r="M210" s="45"/>
      <c r="N210" s="201"/>
      <c r="O210" s="318">
        <v>1</v>
      </c>
      <c r="P210" s="186"/>
      <c r="R210" s="472" t="s">
        <v>57</v>
      </c>
      <c r="S210" s="193"/>
      <c r="V210" s="321">
        <v>1.2871023416519165</v>
      </c>
      <c r="W210" s="321">
        <f t="shared" si="19"/>
        <v>1.2871023416519165</v>
      </c>
      <c r="X210" s="186">
        <f t="shared" si="18"/>
        <v>1.2871023416519165</v>
      </c>
    </row>
    <row r="211" spans="1:24" s="192" customFormat="1" ht="85">
      <c r="A211" s="14">
        <f t="shared" si="17"/>
        <v>96</v>
      </c>
      <c r="B211" s="282" t="s">
        <v>685</v>
      </c>
      <c r="C211" s="291" t="s">
        <v>685</v>
      </c>
      <c r="D211" s="536" t="s">
        <v>686</v>
      </c>
      <c r="E211" s="20">
        <f t="shared" si="20"/>
        <v>179</v>
      </c>
      <c r="F211" s="36" t="s">
        <v>30</v>
      </c>
      <c r="G211" s="20" t="s">
        <v>23</v>
      </c>
      <c r="H211" s="20" t="s">
        <v>23</v>
      </c>
      <c r="I211" s="20" t="s">
        <v>31</v>
      </c>
      <c r="J211" s="31" t="s">
        <v>687</v>
      </c>
      <c r="K211" s="84" t="s">
        <v>23</v>
      </c>
      <c r="L211" s="31" t="s">
        <v>688</v>
      </c>
      <c r="M211" s="31"/>
      <c r="N211" s="173"/>
      <c r="O211" s="323">
        <v>1</v>
      </c>
      <c r="P211" s="186"/>
      <c r="R211" s="194" t="s">
        <v>22</v>
      </c>
      <c r="S211" s="193"/>
      <c r="V211" s="322">
        <v>5.6449732780456543</v>
      </c>
      <c r="W211" s="322">
        <f t="shared" si="19"/>
        <v>5.6449732780456543</v>
      </c>
      <c r="X211" s="186" t="str">
        <f t="shared" si="18"/>
        <v/>
      </c>
    </row>
    <row r="212" spans="1:24" s="192" customFormat="1" ht="102">
      <c r="A212" s="14">
        <f t="shared" si="17"/>
        <v>97</v>
      </c>
      <c r="B212" s="282" t="s">
        <v>689</v>
      </c>
      <c r="C212" s="291" t="s">
        <v>689</v>
      </c>
      <c r="D212" s="536" t="s">
        <v>690</v>
      </c>
      <c r="E212" s="20">
        <f t="shared" si="20"/>
        <v>292</v>
      </c>
      <c r="F212" s="36" t="s">
        <v>97</v>
      </c>
      <c r="G212" s="20" t="s">
        <v>23</v>
      </c>
      <c r="H212" s="20" t="s">
        <v>23</v>
      </c>
      <c r="I212" s="20" t="s">
        <v>26</v>
      </c>
      <c r="J212" s="31" t="s">
        <v>691</v>
      </c>
      <c r="K212" s="84" t="s">
        <v>23</v>
      </c>
      <c r="L212" s="31" t="s">
        <v>692</v>
      </c>
      <c r="M212" s="31"/>
      <c r="N212" s="172"/>
      <c r="O212" s="323">
        <v>1</v>
      </c>
      <c r="P212" s="186"/>
      <c r="R212" s="194" t="s">
        <v>22</v>
      </c>
      <c r="S212" s="193"/>
      <c r="V212" s="322">
        <v>26.998960494995117</v>
      </c>
      <c r="W212" s="322">
        <f t="shared" si="19"/>
        <v>26.998960494995117</v>
      </c>
      <c r="X212" s="186" t="str">
        <f t="shared" si="18"/>
        <v/>
      </c>
    </row>
    <row r="213" spans="1:24" s="192" customFormat="1" ht="102">
      <c r="A213" s="14">
        <f t="shared" si="17"/>
        <v>98</v>
      </c>
      <c r="B213" s="282" t="s">
        <v>693</v>
      </c>
      <c r="C213" s="291" t="s">
        <v>693</v>
      </c>
      <c r="D213" s="536" t="s">
        <v>694</v>
      </c>
      <c r="E213" s="20">
        <f t="shared" si="20"/>
        <v>267</v>
      </c>
      <c r="F213" s="36" t="s">
        <v>97</v>
      </c>
      <c r="G213" s="20" t="s">
        <v>23</v>
      </c>
      <c r="H213" s="20" t="s">
        <v>23</v>
      </c>
      <c r="I213" s="20" t="s">
        <v>26</v>
      </c>
      <c r="J213" s="31" t="s">
        <v>695</v>
      </c>
      <c r="K213" s="84" t="s">
        <v>23</v>
      </c>
      <c r="L213" s="31" t="s">
        <v>696</v>
      </c>
      <c r="M213" s="31"/>
      <c r="N213" s="172"/>
      <c r="O213" s="323">
        <v>1</v>
      </c>
      <c r="P213" s="186"/>
      <c r="R213" s="194" t="s">
        <v>22</v>
      </c>
      <c r="S213" s="193"/>
      <c r="V213" s="322">
        <v>18.273832321166992</v>
      </c>
      <c r="W213" s="322">
        <f t="shared" si="19"/>
        <v>18.273832321166992</v>
      </c>
      <c r="X213" s="186" t="str">
        <f t="shared" si="18"/>
        <v/>
      </c>
    </row>
    <row r="214" spans="1:24" s="192" customFormat="1" ht="85">
      <c r="A214" s="14">
        <f t="shared" si="17"/>
        <v>99</v>
      </c>
      <c r="B214" s="282" t="s">
        <v>697</v>
      </c>
      <c r="C214" s="291" t="s">
        <v>697</v>
      </c>
      <c r="D214" s="536" t="s">
        <v>698</v>
      </c>
      <c r="E214" s="20">
        <f t="shared" si="20"/>
        <v>251</v>
      </c>
      <c r="F214" s="36" t="s">
        <v>97</v>
      </c>
      <c r="G214" s="20" t="s">
        <v>23</v>
      </c>
      <c r="H214" s="20" t="s">
        <v>23</v>
      </c>
      <c r="I214" s="20" t="s">
        <v>26</v>
      </c>
      <c r="J214" s="31" t="s">
        <v>699</v>
      </c>
      <c r="K214" s="84" t="s">
        <v>23</v>
      </c>
      <c r="L214" s="31" t="s">
        <v>700</v>
      </c>
      <c r="M214" s="31"/>
      <c r="N214" s="172"/>
      <c r="O214" s="323">
        <v>1</v>
      </c>
      <c r="P214" s="186"/>
      <c r="R214" s="194" t="s">
        <v>22</v>
      </c>
      <c r="S214" s="193"/>
      <c r="V214" s="322">
        <v>16.352115631103516</v>
      </c>
      <c r="W214" s="322">
        <f t="shared" si="19"/>
        <v>16.352115631103516</v>
      </c>
      <c r="X214" s="186" t="str">
        <f t="shared" si="18"/>
        <v/>
      </c>
    </row>
    <row r="215" spans="1:24" s="192" customFormat="1" ht="85">
      <c r="A215" s="14">
        <f t="shared" si="17"/>
        <v>100</v>
      </c>
      <c r="B215" s="282" t="s">
        <v>701</v>
      </c>
      <c r="C215" s="291" t="s">
        <v>701</v>
      </c>
      <c r="D215" s="536" t="s">
        <v>702</v>
      </c>
      <c r="E215" s="20">
        <f t="shared" si="20"/>
        <v>220</v>
      </c>
      <c r="F215" s="36" t="s">
        <v>97</v>
      </c>
      <c r="G215" s="20" t="s">
        <v>23</v>
      </c>
      <c r="H215" s="20" t="s">
        <v>23</v>
      </c>
      <c r="I215" s="20" t="s">
        <v>26</v>
      </c>
      <c r="J215" s="31" t="s">
        <v>703</v>
      </c>
      <c r="K215" s="84" t="s">
        <v>23</v>
      </c>
      <c r="L215" s="31" t="s">
        <v>704</v>
      </c>
      <c r="M215" s="31"/>
      <c r="N215" s="172"/>
      <c r="O215" s="323">
        <v>1</v>
      </c>
      <c r="P215" s="186"/>
      <c r="R215" s="194" t="s">
        <v>22</v>
      </c>
      <c r="S215" s="193"/>
      <c r="V215" s="322">
        <v>14.01507568359375</v>
      </c>
      <c r="W215" s="322">
        <f t="shared" si="19"/>
        <v>14.01507568359375</v>
      </c>
      <c r="X215" s="186" t="str">
        <f t="shared" si="18"/>
        <v/>
      </c>
    </row>
    <row r="216" spans="1:24" s="192" customFormat="1" ht="102">
      <c r="A216" s="14">
        <f t="shared" si="17"/>
        <v>101</v>
      </c>
      <c r="B216" s="282" t="s">
        <v>705</v>
      </c>
      <c r="C216" s="291" t="s">
        <v>705</v>
      </c>
      <c r="D216" s="536" t="s">
        <v>706</v>
      </c>
      <c r="E216" s="20">
        <f t="shared" si="20"/>
        <v>273</v>
      </c>
      <c r="F216" s="36" t="s">
        <v>97</v>
      </c>
      <c r="G216" s="20" t="s">
        <v>23</v>
      </c>
      <c r="H216" s="20" t="s">
        <v>23</v>
      </c>
      <c r="I216" s="20" t="s">
        <v>26</v>
      </c>
      <c r="J216" s="31" t="s">
        <v>707</v>
      </c>
      <c r="K216" s="84" t="s">
        <v>23</v>
      </c>
      <c r="L216" s="31" t="s">
        <v>708</v>
      </c>
      <c r="M216" s="31"/>
      <c r="N216" s="172"/>
      <c r="O216" s="323">
        <v>1</v>
      </c>
      <c r="P216" s="186"/>
      <c r="R216" s="194" t="s">
        <v>22</v>
      </c>
      <c r="S216" s="193"/>
      <c r="V216" s="322">
        <v>17.227466583251953</v>
      </c>
      <c r="W216" s="322">
        <f t="shared" si="19"/>
        <v>17.227466583251953</v>
      </c>
      <c r="X216" s="186" t="str">
        <f t="shared" si="18"/>
        <v/>
      </c>
    </row>
    <row r="217" spans="1:24" s="192" customFormat="1" ht="102">
      <c r="A217" s="14">
        <f t="shared" si="17"/>
        <v>102</v>
      </c>
      <c r="B217" s="282" t="s">
        <v>709</v>
      </c>
      <c r="C217" s="291" t="s">
        <v>709</v>
      </c>
      <c r="D217" s="536" t="s">
        <v>710</v>
      </c>
      <c r="E217" s="20">
        <f t="shared" si="20"/>
        <v>307</v>
      </c>
      <c r="F217" s="36" t="s">
        <v>97</v>
      </c>
      <c r="G217" s="20" t="s">
        <v>23</v>
      </c>
      <c r="H217" s="20" t="s">
        <v>23</v>
      </c>
      <c r="I217" s="20" t="s">
        <v>26</v>
      </c>
      <c r="J217" s="31" t="s">
        <v>711</v>
      </c>
      <c r="K217" s="84" t="s">
        <v>23</v>
      </c>
      <c r="L217" s="31" t="s">
        <v>712</v>
      </c>
      <c r="M217" s="31"/>
      <c r="N217" s="172"/>
      <c r="O217" s="323">
        <v>1</v>
      </c>
      <c r="P217" s="186"/>
      <c r="R217" s="194" t="s">
        <v>22</v>
      </c>
      <c r="S217" s="193"/>
      <c r="V217" s="322">
        <v>19.492774716706517</v>
      </c>
      <c r="W217" s="322">
        <f t="shared" si="19"/>
        <v>19.492774716706517</v>
      </c>
      <c r="X217" s="186" t="str">
        <f t="shared" si="18"/>
        <v/>
      </c>
    </row>
    <row r="218" spans="1:24" s="192" customFormat="1" ht="102">
      <c r="A218" s="14">
        <f t="shared" si="17"/>
        <v>103</v>
      </c>
      <c r="B218" s="282" t="s">
        <v>713</v>
      </c>
      <c r="C218" s="291" t="s">
        <v>713</v>
      </c>
      <c r="D218" s="536" t="s">
        <v>714</v>
      </c>
      <c r="E218" s="20">
        <f t="shared" si="20"/>
        <v>292</v>
      </c>
      <c r="F218" s="36" t="s">
        <v>97</v>
      </c>
      <c r="G218" s="20" t="s">
        <v>23</v>
      </c>
      <c r="H218" s="20" t="s">
        <v>23</v>
      </c>
      <c r="I218" s="20" t="s">
        <v>26</v>
      </c>
      <c r="J218" s="31" t="s">
        <v>715</v>
      </c>
      <c r="K218" s="84" t="s">
        <v>23</v>
      </c>
      <c r="L218" s="31" t="s">
        <v>716</v>
      </c>
      <c r="M218" s="31"/>
      <c r="N218" s="172"/>
      <c r="O218" s="323">
        <v>1</v>
      </c>
      <c r="P218" s="186"/>
      <c r="R218" s="194" t="s">
        <v>22</v>
      </c>
      <c r="S218" s="193"/>
      <c r="V218" s="322">
        <v>14.174134254455566</v>
      </c>
      <c r="W218" s="322">
        <f t="shared" si="19"/>
        <v>14.174134254455566</v>
      </c>
      <c r="X218" s="186" t="str">
        <f t="shared" si="18"/>
        <v/>
      </c>
    </row>
    <row r="219" spans="1:24" s="192" customFormat="1" ht="102">
      <c r="A219" s="14">
        <f t="shared" si="17"/>
        <v>104</v>
      </c>
      <c r="B219" s="282" t="s">
        <v>717</v>
      </c>
      <c r="C219" s="291" t="s">
        <v>717</v>
      </c>
      <c r="D219" s="536" t="s">
        <v>718</v>
      </c>
      <c r="E219" s="20">
        <f t="shared" si="20"/>
        <v>262</v>
      </c>
      <c r="F219" s="36" t="s">
        <v>97</v>
      </c>
      <c r="G219" s="20" t="s">
        <v>23</v>
      </c>
      <c r="H219" s="20" t="s">
        <v>23</v>
      </c>
      <c r="I219" s="20" t="s">
        <v>26</v>
      </c>
      <c r="J219" s="31" t="s">
        <v>719</v>
      </c>
      <c r="K219" s="84" t="s">
        <v>23</v>
      </c>
      <c r="L219" s="31" t="s">
        <v>720</v>
      </c>
      <c r="M219" s="31"/>
      <c r="N219" s="172"/>
      <c r="O219" s="323">
        <v>1</v>
      </c>
      <c r="P219" s="186"/>
      <c r="R219" s="194" t="s">
        <v>22</v>
      </c>
      <c r="S219" s="193"/>
      <c r="V219" s="322">
        <v>13.378625869750977</v>
      </c>
      <c r="W219" s="322">
        <f t="shared" si="19"/>
        <v>13.378625869750977</v>
      </c>
      <c r="X219" s="186" t="str">
        <f t="shared" si="18"/>
        <v/>
      </c>
    </row>
    <row r="220" spans="1:24" s="192" customFormat="1" ht="85">
      <c r="A220" s="14"/>
      <c r="B220" s="282" t="s">
        <v>721</v>
      </c>
      <c r="C220" s="291" t="s">
        <v>721</v>
      </c>
      <c r="D220" s="536" t="s">
        <v>722</v>
      </c>
      <c r="E220" s="20">
        <f t="shared" si="20"/>
        <v>257</v>
      </c>
      <c r="F220" s="36" t="s">
        <v>97</v>
      </c>
      <c r="G220" s="20" t="s">
        <v>23</v>
      </c>
      <c r="H220" s="20" t="s">
        <v>23</v>
      </c>
      <c r="I220" s="20" t="s">
        <v>26</v>
      </c>
      <c r="J220" s="31" t="s">
        <v>723</v>
      </c>
      <c r="K220" s="84" t="s">
        <v>23</v>
      </c>
      <c r="L220" s="31" t="s">
        <v>724</v>
      </c>
      <c r="M220" s="31"/>
      <c r="N220" s="172"/>
      <c r="O220" s="323">
        <v>1</v>
      </c>
      <c r="P220" s="186"/>
      <c r="R220" s="194" t="s">
        <v>22</v>
      </c>
      <c r="S220" s="193"/>
      <c r="V220" s="322">
        <v>12.756523132324219</v>
      </c>
      <c r="W220" s="322">
        <f t="shared" si="19"/>
        <v>12.756523132324219</v>
      </c>
      <c r="X220" s="186" t="str">
        <f t="shared" si="18"/>
        <v/>
      </c>
    </row>
    <row r="221" spans="1:24" s="192" customFormat="1" ht="85">
      <c r="A221" s="14">
        <f>A219+1</f>
        <v>105</v>
      </c>
      <c r="B221" s="282" t="s">
        <v>725</v>
      </c>
      <c r="C221" s="291" t="s">
        <v>725</v>
      </c>
      <c r="D221" s="536" t="s">
        <v>726</v>
      </c>
      <c r="E221" s="20">
        <f t="shared" si="20"/>
        <v>204</v>
      </c>
      <c r="F221" s="36" t="s">
        <v>30</v>
      </c>
      <c r="G221" s="20" t="s">
        <v>23</v>
      </c>
      <c r="H221" s="20" t="s">
        <v>23</v>
      </c>
      <c r="I221" s="20" t="s">
        <v>31</v>
      </c>
      <c r="J221" s="31" t="s">
        <v>727</v>
      </c>
      <c r="K221" s="84" t="s">
        <v>23</v>
      </c>
      <c r="L221" s="31" t="s">
        <v>728</v>
      </c>
      <c r="M221" s="31"/>
      <c r="N221" s="172"/>
      <c r="O221" s="323">
        <v>1</v>
      </c>
      <c r="P221" s="186"/>
      <c r="R221" s="194" t="s">
        <v>22</v>
      </c>
      <c r="S221" s="193"/>
      <c r="V221" s="322">
        <v>5.8349170684814453</v>
      </c>
      <c r="W221" s="322">
        <f t="shared" si="19"/>
        <v>5.8349170684814453</v>
      </c>
      <c r="X221" s="186" t="str">
        <f t="shared" si="18"/>
        <v/>
      </c>
    </row>
    <row r="222" spans="1:24" s="192" customFormat="1" ht="68">
      <c r="A222" s="14">
        <f>A221+1</f>
        <v>106</v>
      </c>
      <c r="B222" s="282" t="s">
        <v>729</v>
      </c>
      <c r="C222" s="291" t="s">
        <v>729</v>
      </c>
      <c r="D222" s="536" t="s">
        <v>730</v>
      </c>
      <c r="E222" s="20">
        <f t="shared" si="20"/>
        <v>169</v>
      </c>
      <c r="F222" s="119" t="s">
        <v>97</v>
      </c>
      <c r="G222" s="20" t="s">
        <v>23</v>
      </c>
      <c r="H222" s="20" t="s">
        <v>23</v>
      </c>
      <c r="I222" s="20" t="s">
        <v>26</v>
      </c>
      <c r="J222" s="31" t="s">
        <v>731</v>
      </c>
      <c r="K222" s="84" t="s">
        <v>23</v>
      </c>
      <c r="L222" s="31" t="s">
        <v>732</v>
      </c>
      <c r="M222" s="31"/>
      <c r="N222" s="172"/>
      <c r="O222" s="323">
        <v>1</v>
      </c>
      <c r="P222" s="186"/>
      <c r="R222" s="194" t="s">
        <v>22</v>
      </c>
      <c r="S222" s="193"/>
      <c r="V222" s="322">
        <v>28.608445494708722</v>
      </c>
      <c r="W222" s="322">
        <f t="shared" si="19"/>
        <v>28.608445494708722</v>
      </c>
      <c r="X222" s="186" t="str">
        <f t="shared" si="18"/>
        <v/>
      </c>
    </row>
    <row r="223" spans="1:24" s="192" customFormat="1" ht="68">
      <c r="A223" s="14">
        <f>A222+1</f>
        <v>107</v>
      </c>
      <c r="B223" s="282" t="s">
        <v>733</v>
      </c>
      <c r="C223" s="291" t="s">
        <v>733</v>
      </c>
      <c r="D223" s="536" t="s">
        <v>734</v>
      </c>
      <c r="E223" s="20">
        <f t="shared" si="20"/>
        <v>192</v>
      </c>
      <c r="F223" s="119" t="s">
        <v>97</v>
      </c>
      <c r="G223" s="20" t="s">
        <v>23</v>
      </c>
      <c r="H223" s="20" t="s">
        <v>23</v>
      </c>
      <c r="I223" s="20" t="s">
        <v>26</v>
      </c>
      <c r="J223" s="31" t="s">
        <v>735</v>
      </c>
      <c r="K223" s="84" t="s">
        <v>23</v>
      </c>
      <c r="L223" s="31" t="s">
        <v>736</v>
      </c>
      <c r="M223" s="31"/>
      <c r="N223" s="172"/>
      <c r="O223" s="323">
        <v>1</v>
      </c>
      <c r="P223" s="186"/>
      <c r="R223" s="194" t="s">
        <v>22</v>
      </c>
      <c r="S223" s="193"/>
      <c r="V223" s="322">
        <v>14.618206024169922</v>
      </c>
      <c r="W223" s="322">
        <f t="shared" si="19"/>
        <v>14.618206024169922</v>
      </c>
      <c r="X223" s="186" t="str">
        <f t="shared" si="18"/>
        <v/>
      </c>
    </row>
    <row r="224" spans="1:24" s="192" customFormat="1" ht="68">
      <c r="A224" s="14">
        <f>A223+1</f>
        <v>108</v>
      </c>
      <c r="B224" s="284" t="s">
        <v>737</v>
      </c>
      <c r="C224" s="285" t="s">
        <v>737</v>
      </c>
      <c r="D224" s="536" t="s">
        <v>738</v>
      </c>
      <c r="E224" s="20">
        <f t="shared" si="20"/>
        <v>178</v>
      </c>
      <c r="F224" s="119" t="s">
        <v>97</v>
      </c>
      <c r="G224" s="20" t="s">
        <v>23</v>
      </c>
      <c r="H224" s="20" t="s">
        <v>23</v>
      </c>
      <c r="I224" s="20" t="s">
        <v>26</v>
      </c>
      <c r="J224" s="31" t="s">
        <v>739</v>
      </c>
      <c r="K224" s="84" t="s">
        <v>23</v>
      </c>
      <c r="L224" s="31" t="s">
        <v>740</v>
      </c>
      <c r="M224" s="31"/>
      <c r="N224" s="172"/>
      <c r="O224" s="323">
        <v>1</v>
      </c>
      <c r="P224" s="186"/>
      <c r="R224" s="194" t="s">
        <v>22</v>
      </c>
      <c r="S224" s="193"/>
      <c r="V224" s="322">
        <v>13.777663230895996</v>
      </c>
      <c r="W224" s="322">
        <f t="shared" si="19"/>
        <v>13.777663230895996</v>
      </c>
      <c r="X224" s="186" t="str">
        <f t="shared" si="18"/>
        <v/>
      </c>
    </row>
    <row r="225" spans="1:24" s="192" customFormat="1" ht="68">
      <c r="A225" s="14">
        <f>A224+1</f>
        <v>109</v>
      </c>
      <c r="B225" s="282" t="s">
        <v>741</v>
      </c>
      <c r="C225" s="291" t="s">
        <v>741</v>
      </c>
      <c r="D225" s="536" t="s">
        <v>742</v>
      </c>
      <c r="E225" s="20">
        <f t="shared" si="20"/>
        <v>169</v>
      </c>
      <c r="F225" s="119" t="s">
        <v>97</v>
      </c>
      <c r="G225" s="20" t="s">
        <v>23</v>
      </c>
      <c r="H225" s="20" t="s">
        <v>23</v>
      </c>
      <c r="I225" s="20" t="s">
        <v>26</v>
      </c>
      <c r="J225" s="31" t="s">
        <v>743</v>
      </c>
      <c r="K225" s="84" t="s">
        <v>23</v>
      </c>
      <c r="L225" s="31" t="s">
        <v>744</v>
      </c>
      <c r="M225" s="31"/>
      <c r="N225" s="173"/>
      <c r="O225" s="323">
        <v>1</v>
      </c>
      <c r="P225" s="186"/>
      <c r="R225" s="194" t="s">
        <v>22</v>
      </c>
      <c r="S225" s="193"/>
      <c r="V225" s="322">
        <v>12.399773597717285</v>
      </c>
      <c r="W225" s="322">
        <f t="shared" si="19"/>
        <v>12.399773597717285</v>
      </c>
      <c r="X225" s="186" t="str">
        <f t="shared" si="18"/>
        <v/>
      </c>
    </row>
    <row r="226" spans="1:24" s="192" customFormat="1" ht="69" thickBot="1">
      <c r="A226" s="14">
        <f>A225+1</f>
        <v>110</v>
      </c>
      <c r="B226" s="282" t="s">
        <v>745</v>
      </c>
      <c r="C226" s="291" t="s">
        <v>745</v>
      </c>
      <c r="D226" s="41" t="s">
        <v>746</v>
      </c>
      <c r="E226" s="20">
        <f t="shared" si="20"/>
        <v>190</v>
      </c>
      <c r="F226" s="119" t="s">
        <v>97</v>
      </c>
      <c r="G226" s="24" t="s">
        <v>23</v>
      </c>
      <c r="H226" s="24" t="s">
        <v>23</v>
      </c>
      <c r="I226" s="20" t="s">
        <v>26</v>
      </c>
      <c r="J226" s="29" t="s">
        <v>747</v>
      </c>
      <c r="K226" s="84" t="s">
        <v>23</v>
      </c>
      <c r="L226" s="29" t="s">
        <v>748</v>
      </c>
      <c r="M226" s="29"/>
      <c r="N226" s="173"/>
      <c r="O226" s="323">
        <v>1</v>
      </c>
      <c r="P226" s="186"/>
      <c r="R226" s="194" t="s">
        <v>22</v>
      </c>
      <c r="S226" s="193"/>
      <c r="V226" s="322">
        <v>13.343881607055664</v>
      </c>
      <c r="W226" s="322">
        <f t="shared" si="19"/>
        <v>13.343881607055664</v>
      </c>
      <c r="X226" s="186" t="str">
        <f t="shared" si="18"/>
        <v/>
      </c>
    </row>
    <row r="227" spans="1:24" s="469" customFormat="1" ht="17" thickBot="1">
      <c r="A227" s="549" t="s">
        <v>749</v>
      </c>
      <c r="B227" s="550"/>
      <c r="C227" s="550"/>
      <c r="D227" s="550"/>
      <c r="E227" s="550"/>
      <c r="F227" s="550"/>
      <c r="G227" s="550"/>
      <c r="H227" s="550"/>
      <c r="I227" s="550"/>
      <c r="J227" s="550"/>
      <c r="K227" s="550"/>
      <c r="L227" s="550"/>
      <c r="M227" s="550"/>
      <c r="N227" s="551"/>
      <c r="O227" s="318"/>
      <c r="P227" s="474"/>
      <c r="R227" s="472"/>
      <c r="S227" s="475"/>
      <c r="V227" s="321"/>
      <c r="W227" s="321" t="str">
        <f t="shared" si="19"/>
        <v/>
      </c>
      <c r="X227" s="474" t="str">
        <f t="shared" si="18"/>
        <v/>
      </c>
    </row>
    <row r="228" spans="1:24" s="279" customFormat="1" ht="153">
      <c r="A228" s="385">
        <f>A226+1</f>
        <v>111</v>
      </c>
      <c r="B228" s="281" t="s">
        <v>750</v>
      </c>
      <c r="C228" s="191" t="s">
        <v>750</v>
      </c>
      <c r="D228" s="524" t="s">
        <v>751</v>
      </c>
      <c r="E228" s="189">
        <f>LEN(D228)</f>
        <v>190</v>
      </c>
      <c r="F228" s="199" t="s">
        <v>30</v>
      </c>
      <c r="G228" s="189" t="s">
        <v>23</v>
      </c>
      <c r="H228" s="505" t="s">
        <v>23</v>
      </c>
      <c r="I228" s="197" t="s">
        <v>31</v>
      </c>
      <c r="J228" s="188" t="s">
        <v>752</v>
      </c>
      <c r="K228" s="266" t="s">
        <v>23</v>
      </c>
      <c r="L228" s="188" t="s">
        <v>753</v>
      </c>
      <c r="M228" s="90"/>
      <c r="N228" s="9"/>
      <c r="O228" s="318">
        <v>1</v>
      </c>
      <c r="P228" s="187"/>
      <c r="R228" s="476" t="s">
        <v>57</v>
      </c>
      <c r="S228" s="273"/>
      <c r="V228" s="325">
        <v>14.472773551940918</v>
      </c>
      <c r="W228" s="321">
        <f t="shared" si="19"/>
        <v>14.472773551940918</v>
      </c>
      <c r="X228" s="186">
        <f t="shared" si="18"/>
        <v>14.472773551940918</v>
      </c>
    </row>
    <row r="229" spans="1:24" s="515" customFormat="1" ht="221">
      <c r="A229" s="510"/>
      <c r="B229" s="504" t="s">
        <v>754</v>
      </c>
      <c r="C229" s="519" t="s">
        <v>755</v>
      </c>
      <c r="D229" s="511" t="s">
        <v>756</v>
      </c>
      <c r="E229" s="520">
        <f>LEN(D229)</f>
        <v>352</v>
      </c>
      <c r="F229" s="522" t="s">
        <v>328</v>
      </c>
      <c r="G229" s="505" t="s">
        <v>23</v>
      </c>
      <c r="H229" s="505" t="s">
        <v>23</v>
      </c>
      <c r="I229" s="505" t="s">
        <v>757</v>
      </c>
      <c r="J229" s="521" t="s">
        <v>758</v>
      </c>
      <c r="K229" s="506" t="s">
        <v>759</v>
      </c>
      <c r="L229" s="521" t="s">
        <v>760</v>
      </c>
      <c r="M229" s="512"/>
      <c r="N229" s="513"/>
      <c r="O229" s="507"/>
      <c r="P229" s="514"/>
      <c r="R229" s="516"/>
      <c r="S229" s="517"/>
      <c r="V229" s="518"/>
      <c r="W229" s="509"/>
      <c r="X229" s="508"/>
    </row>
    <row r="230" spans="1:24" s="515" customFormat="1" ht="127.5" customHeight="1">
      <c r="A230" s="510"/>
      <c r="B230" s="504" t="s">
        <v>761</v>
      </c>
      <c r="C230" s="519" t="s">
        <v>761</v>
      </c>
      <c r="D230" s="525" t="s">
        <v>762</v>
      </c>
      <c r="E230" s="520">
        <f>LEN(D230)</f>
        <v>203</v>
      </c>
      <c r="F230" s="522" t="s">
        <v>30</v>
      </c>
      <c r="G230" s="505" t="s">
        <v>23</v>
      </c>
      <c r="H230" s="505" t="s">
        <v>763</v>
      </c>
      <c r="I230" s="505" t="s">
        <v>764</v>
      </c>
      <c r="J230" s="521" t="s">
        <v>765</v>
      </c>
      <c r="K230" s="506" t="s">
        <v>23</v>
      </c>
      <c r="L230" s="521" t="s">
        <v>766</v>
      </c>
      <c r="M230" s="512"/>
      <c r="N230" s="513"/>
      <c r="O230" s="507"/>
      <c r="P230" s="514"/>
      <c r="R230" s="516"/>
      <c r="S230" s="517"/>
      <c r="V230" s="518"/>
      <c r="W230" s="509"/>
      <c r="X230" s="508"/>
    </row>
    <row r="231" spans="1:24" s="192" customFormat="1" ht="409.6">
      <c r="A231" s="46">
        <f>A229+1</f>
        <v>1</v>
      </c>
      <c r="B231" s="281" t="s">
        <v>767</v>
      </c>
      <c r="C231" s="523" t="s">
        <v>768</v>
      </c>
      <c r="D231" s="454" t="s">
        <v>769</v>
      </c>
      <c r="E231" s="197">
        <f>LEN(D231)</f>
        <v>1183</v>
      </c>
      <c r="F231" s="198" t="s">
        <v>328</v>
      </c>
      <c r="G231" s="197" t="s">
        <v>23</v>
      </c>
      <c r="H231" s="505" t="s">
        <v>770</v>
      </c>
      <c r="I231" s="197" t="s">
        <v>771</v>
      </c>
      <c r="J231" s="196" t="s">
        <v>772</v>
      </c>
      <c r="K231" s="523" t="s">
        <v>773</v>
      </c>
      <c r="L231" s="195" t="s">
        <v>774</v>
      </c>
      <c r="M231" s="220"/>
      <c r="N231" s="10"/>
      <c r="O231" s="318">
        <v>1</v>
      </c>
      <c r="P231" s="186"/>
      <c r="R231" s="472" t="s">
        <v>57</v>
      </c>
      <c r="S231" s="193"/>
      <c r="V231" s="321">
        <v>33.740764617919922</v>
      </c>
      <c r="W231" s="321">
        <f t="shared" ref="W231" si="21">IF(V231="","",V231*O231)</f>
        <v>33.740764617919922</v>
      </c>
      <c r="X231" s="186">
        <f t="shared" ref="X231" si="22">IF(R231="yes",W231,"")</f>
        <v>33.740764617919922</v>
      </c>
    </row>
    <row r="232" spans="1:24" s="192" customFormat="1">
      <c r="A232" s="116"/>
      <c r="B232" s="309"/>
      <c r="C232" s="103"/>
      <c r="D232" s="166"/>
      <c r="E232" s="106"/>
      <c r="F232" s="117"/>
      <c r="G232" s="106"/>
      <c r="H232" s="106"/>
      <c r="I232" s="106"/>
      <c r="J232" s="98"/>
      <c r="K232" s="83"/>
      <c r="L232" s="308"/>
      <c r="M232" s="308"/>
      <c r="N232" s="10"/>
      <c r="O232" s="323">
        <v>1</v>
      </c>
      <c r="P232" s="186"/>
      <c r="R232" s="194"/>
      <c r="S232" s="193"/>
      <c r="V232" s="322"/>
      <c r="W232" s="322" t="str">
        <f t="shared" si="19"/>
        <v/>
      </c>
      <c r="X232" s="186" t="str">
        <f t="shared" si="18"/>
        <v/>
      </c>
    </row>
    <row r="233" spans="1:24" s="192" customFormat="1" ht="289">
      <c r="A233" s="404" t="e">
        <f>#REF!+1</f>
        <v>#REF!</v>
      </c>
      <c r="B233" s="231" t="s">
        <v>775</v>
      </c>
      <c r="C233" s="198" t="s">
        <v>776</v>
      </c>
      <c r="D233" s="454" t="s">
        <v>777</v>
      </c>
      <c r="E233" s="180">
        <f>LEN(D233)</f>
        <v>497</v>
      </c>
      <c r="F233" s="465" t="s">
        <v>328</v>
      </c>
      <c r="G233" s="180" t="s">
        <v>23</v>
      </c>
      <c r="H233" s="180" t="s">
        <v>23</v>
      </c>
      <c r="I233" s="180" t="s">
        <v>778</v>
      </c>
      <c r="J233" s="450" t="s">
        <v>779</v>
      </c>
      <c r="K233" s="266" t="s">
        <v>780</v>
      </c>
      <c r="L233" s="450" t="s">
        <v>781</v>
      </c>
      <c r="M233" s="98"/>
      <c r="N233" s="10"/>
      <c r="O233" s="323">
        <v>1</v>
      </c>
      <c r="P233" s="186"/>
      <c r="R233" s="472" t="s">
        <v>57</v>
      </c>
      <c r="S233" s="193"/>
      <c r="V233" s="321">
        <v>14.550599098205566</v>
      </c>
      <c r="W233" s="321">
        <f t="shared" si="19"/>
        <v>14.550599098205566</v>
      </c>
      <c r="X233" s="186">
        <f t="shared" si="18"/>
        <v>14.550599098205566</v>
      </c>
    </row>
    <row r="234" spans="1:24" s="192" customFormat="1" ht="238" customHeight="1">
      <c r="A234" s="404" t="e">
        <f>A233+1</f>
        <v>#REF!</v>
      </c>
      <c r="B234" s="466" t="s">
        <v>782</v>
      </c>
      <c r="C234" s="467" t="s">
        <v>782</v>
      </c>
      <c r="D234" s="454" t="s">
        <v>783</v>
      </c>
      <c r="E234" s="180">
        <f>LEN(D234)</f>
        <v>460</v>
      </c>
      <c r="F234" s="465" t="s">
        <v>30</v>
      </c>
      <c r="G234" s="180" t="s">
        <v>23</v>
      </c>
      <c r="H234" s="468" t="s">
        <v>23</v>
      </c>
      <c r="I234" s="180" t="s">
        <v>31</v>
      </c>
      <c r="J234" s="463" t="s">
        <v>784</v>
      </c>
      <c r="K234" s="485" t="s">
        <v>23</v>
      </c>
      <c r="L234" s="208" t="s">
        <v>785</v>
      </c>
      <c r="M234" s="83"/>
      <c r="N234" s="10"/>
      <c r="O234" s="323">
        <v>1</v>
      </c>
      <c r="P234" s="186"/>
      <c r="R234" s="472" t="s">
        <v>57</v>
      </c>
      <c r="S234" s="193"/>
      <c r="V234" s="321">
        <v>10.812456130981445</v>
      </c>
      <c r="W234" s="321">
        <f t="shared" si="19"/>
        <v>10.812456130981445</v>
      </c>
      <c r="X234" s="186">
        <f t="shared" si="18"/>
        <v>10.812456130981445</v>
      </c>
    </row>
    <row r="235" spans="1:24" s="192" customFormat="1">
      <c r="A235" s="116"/>
      <c r="B235" s="309"/>
      <c r="C235" s="103"/>
      <c r="D235" s="166"/>
      <c r="E235" s="106"/>
      <c r="F235" s="117"/>
      <c r="G235" s="106"/>
      <c r="H235" s="106"/>
      <c r="I235" s="106"/>
      <c r="J235" s="98"/>
      <c r="K235" s="83"/>
      <c r="L235" s="308"/>
      <c r="M235" s="406"/>
      <c r="N235" s="52"/>
      <c r="O235" s="323">
        <v>1</v>
      </c>
      <c r="P235" s="186"/>
      <c r="R235" s="194"/>
      <c r="S235" s="193"/>
      <c r="V235" s="322"/>
      <c r="W235" s="322" t="str">
        <f t="shared" si="19"/>
        <v/>
      </c>
      <c r="X235" s="186" t="str">
        <f t="shared" si="18"/>
        <v/>
      </c>
    </row>
    <row r="236" spans="1:24" s="192" customFormat="1" ht="187">
      <c r="A236" s="40"/>
      <c r="B236" s="54" t="s">
        <v>786</v>
      </c>
      <c r="C236" s="470" t="s">
        <v>787</v>
      </c>
      <c r="D236" s="433" t="s">
        <v>788</v>
      </c>
      <c r="E236" s="23">
        <f>LEN(D236)</f>
        <v>188</v>
      </c>
      <c r="F236" s="436" t="s">
        <v>193</v>
      </c>
      <c r="G236" s="23" t="s">
        <v>23</v>
      </c>
      <c r="H236" s="471" t="s">
        <v>23</v>
      </c>
      <c r="I236" s="23" t="s">
        <v>789</v>
      </c>
      <c r="J236" s="42" t="s">
        <v>790</v>
      </c>
      <c r="K236" s="84" t="s">
        <v>791</v>
      </c>
      <c r="L236" s="31" t="s">
        <v>792</v>
      </c>
      <c r="M236" s="407"/>
      <c r="N236" s="75"/>
      <c r="O236" s="323">
        <v>1</v>
      </c>
      <c r="P236" s="186"/>
      <c r="R236" s="194" t="s">
        <v>22</v>
      </c>
      <c r="S236" s="193"/>
      <c r="V236" s="322">
        <v>10.812456130981445</v>
      </c>
      <c r="W236" s="322">
        <f t="shared" si="19"/>
        <v>10.812456130981445</v>
      </c>
      <c r="X236" s="186" t="str">
        <f t="shared" si="18"/>
        <v/>
      </c>
    </row>
    <row r="237" spans="1:24" s="192" customFormat="1" ht="17" thickBot="1">
      <c r="A237" s="116"/>
      <c r="B237" s="309"/>
      <c r="C237" s="103"/>
      <c r="D237" s="166"/>
      <c r="E237" s="106"/>
      <c r="F237" s="117"/>
      <c r="G237" s="106"/>
      <c r="H237" s="106"/>
      <c r="I237" s="106"/>
      <c r="J237" s="98"/>
      <c r="K237" s="83"/>
      <c r="L237" s="308"/>
      <c r="M237" s="308"/>
      <c r="N237" s="10"/>
      <c r="O237" s="323">
        <v>1</v>
      </c>
      <c r="P237" s="186"/>
      <c r="R237" s="194"/>
      <c r="S237" s="193"/>
      <c r="V237" s="322"/>
      <c r="W237" s="322" t="str">
        <f t="shared" si="19"/>
        <v/>
      </c>
      <c r="X237" s="186" t="str">
        <f t="shared" si="18"/>
        <v/>
      </c>
    </row>
    <row r="238" spans="1:24" s="469" customFormat="1" ht="17" thickBot="1">
      <c r="A238" s="549" t="s">
        <v>793</v>
      </c>
      <c r="B238" s="550"/>
      <c r="C238" s="550"/>
      <c r="D238" s="550"/>
      <c r="E238" s="550"/>
      <c r="F238" s="550"/>
      <c r="G238" s="550"/>
      <c r="H238" s="550"/>
      <c r="I238" s="550"/>
      <c r="J238" s="550"/>
      <c r="K238" s="550"/>
      <c r="L238" s="550"/>
      <c r="M238" s="550"/>
      <c r="N238" s="551"/>
      <c r="O238" s="318"/>
      <c r="P238" s="474"/>
      <c r="R238" s="472"/>
      <c r="S238" s="475"/>
      <c r="V238" s="321"/>
      <c r="W238" s="321" t="str">
        <f t="shared" si="19"/>
        <v/>
      </c>
      <c r="X238" s="474" t="str">
        <f t="shared" si="18"/>
        <v/>
      </c>
    </row>
    <row r="239" spans="1:24" s="192" customFormat="1" ht="119">
      <c r="A239" s="102" t="s">
        <v>23</v>
      </c>
      <c r="B239" s="281" t="s">
        <v>794</v>
      </c>
      <c r="C239" s="191" t="s">
        <v>794</v>
      </c>
      <c r="D239" s="190" t="s">
        <v>795</v>
      </c>
      <c r="E239" s="189">
        <f>LEN(D239)</f>
        <v>162</v>
      </c>
      <c r="F239" s="189" t="s">
        <v>30</v>
      </c>
      <c r="G239" s="189" t="s">
        <v>23</v>
      </c>
      <c r="H239" s="189" t="s">
        <v>23</v>
      </c>
      <c r="I239" s="189" t="s">
        <v>31</v>
      </c>
      <c r="J239" s="188" t="s">
        <v>796</v>
      </c>
      <c r="K239" s="266" t="s">
        <v>23</v>
      </c>
      <c r="L239" s="188" t="s">
        <v>797</v>
      </c>
      <c r="M239" s="90"/>
      <c r="N239" s="9"/>
      <c r="O239" s="318">
        <v>1</v>
      </c>
      <c r="P239" s="186"/>
      <c r="R239" s="472" t="s">
        <v>57</v>
      </c>
      <c r="S239" s="193"/>
      <c r="V239" s="321">
        <v>14.946464538574219</v>
      </c>
      <c r="W239" s="321">
        <f t="shared" si="19"/>
        <v>14.946464538574219</v>
      </c>
      <c r="X239" s="186">
        <f t="shared" si="18"/>
        <v>14.946464538574219</v>
      </c>
    </row>
    <row r="240" spans="1:24" s="335" customFormat="1" ht="187">
      <c r="A240" s="384"/>
      <c r="B240" s="336" t="s">
        <v>798</v>
      </c>
      <c r="C240" s="337" t="s">
        <v>799</v>
      </c>
      <c r="D240" s="435" t="s">
        <v>800</v>
      </c>
      <c r="E240" s="339">
        <f>LEN(D240)</f>
        <v>166</v>
      </c>
      <c r="F240" s="339" t="s">
        <v>193</v>
      </c>
      <c r="G240" s="339" t="s">
        <v>23</v>
      </c>
      <c r="H240" s="339" t="s">
        <v>23</v>
      </c>
      <c r="I240" s="339" t="s">
        <v>677</v>
      </c>
      <c r="J240" s="340" t="s">
        <v>801</v>
      </c>
      <c r="K240" s="266" t="s">
        <v>23</v>
      </c>
      <c r="L240" s="341" t="s">
        <v>802</v>
      </c>
      <c r="M240" s="329"/>
      <c r="N240" s="342"/>
      <c r="O240" s="330">
        <v>1</v>
      </c>
      <c r="P240" s="333"/>
      <c r="R240" s="473" t="s">
        <v>108</v>
      </c>
      <c r="V240" s="483">
        <v>19.354913711547852</v>
      </c>
      <c r="W240" s="321">
        <f>IF(V240="","",V240*O240)</f>
        <v>19.354913711547852</v>
      </c>
      <c r="X240" s="186" t="str">
        <f t="shared" si="18"/>
        <v/>
      </c>
    </row>
    <row r="241" spans="1:24" s="335" customFormat="1" ht="120" customHeight="1">
      <c r="A241" s="384"/>
      <c r="B241" s="336" t="s">
        <v>803</v>
      </c>
      <c r="C241" s="337" t="s">
        <v>804</v>
      </c>
      <c r="D241" s="338" t="s">
        <v>805</v>
      </c>
      <c r="E241" s="339">
        <f>LEN(D241)</f>
        <v>130</v>
      </c>
      <c r="F241" s="339" t="s">
        <v>193</v>
      </c>
      <c r="G241" s="339" t="s">
        <v>23</v>
      </c>
      <c r="H241" s="339" t="s">
        <v>23</v>
      </c>
      <c r="I241" s="339" t="s">
        <v>677</v>
      </c>
      <c r="J241" s="340" t="s">
        <v>806</v>
      </c>
      <c r="K241" s="266" t="s">
        <v>23</v>
      </c>
      <c r="L241" s="341" t="s">
        <v>807</v>
      </c>
      <c r="M241" s="329"/>
      <c r="N241" s="342"/>
      <c r="O241" s="330">
        <v>1</v>
      </c>
      <c r="P241" s="333"/>
      <c r="R241" s="473" t="s">
        <v>108</v>
      </c>
      <c r="V241" s="483">
        <v>15.889399528503418</v>
      </c>
      <c r="W241" s="321">
        <f>IF(V241="","",V241*O241)</f>
        <v>15.889399528503418</v>
      </c>
      <c r="X241" s="186" t="str">
        <f t="shared" si="18"/>
        <v/>
      </c>
    </row>
    <row r="242" spans="1:24" s="184" customFormat="1">
      <c r="A242" s="307"/>
      <c r="B242" s="306"/>
      <c r="C242" s="305"/>
      <c r="D242" s="304"/>
      <c r="E242" s="303"/>
      <c r="F242" s="303"/>
      <c r="G242" s="302"/>
      <c r="H242" s="302"/>
      <c r="I242" s="302"/>
      <c r="J242" s="301"/>
      <c r="K242" s="88"/>
      <c r="L242" s="301"/>
      <c r="M242" s="300"/>
      <c r="N242" s="299"/>
      <c r="O242" s="323">
        <v>1</v>
      </c>
      <c r="P242" s="186"/>
      <c r="R242" s="185"/>
      <c r="V242" s="326"/>
      <c r="W242" s="322" t="str">
        <f>IF(V242="","",V242*O242)</f>
        <v/>
      </c>
      <c r="X242" s="186" t="str">
        <f t="shared" si="18"/>
        <v/>
      </c>
    </row>
    <row r="243" spans="1:24" s="279" customFormat="1" ht="103" thickBot="1">
      <c r="A243" s="383" t="s">
        <v>23</v>
      </c>
      <c r="B243" s="280" t="s">
        <v>808</v>
      </c>
      <c r="C243" s="182" t="s">
        <v>808</v>
      </c>
      <c r="D243" s="537" t="s">
        <v>809</v>
      </c>
      <c r="E243" s="181">
        <f>LEN(D243)</f>
        <v>158</v>
      </c>
      <c r="F243" s="181" t="s">
        <v>30</v>
      </c>
      <c r="G243" s="181" t="s">
        <v>23</v>
      </c>
      <c r="H243" s="181" t="s">
        <v>23</v>
      </c>
      <c r="I243" s="181" t="s">
        <v>31</v>
      </c>
      <c r="J243" s="202" t="s">
        <v>810</v>
      </c>
      <c r="K243" s="266" t="s">
        <v>23</v>
      </c>
      <c r="L243" s="298" t="s">
        <v>23</v>
      </c>
      <c r="M243" s="167"/>
      <c r="N243" s="297"/>
      <c r="O243" s="318">
        <v>1</v>
      </c>
      <c r="P243" s="186"/>
      <c r="R243" s="472" t="s">
        <v>57</v>
      </c>
      <c r="S243" s="193"/>
      <c r="V243" s="321">
        <v>17.309154088391789</v>
      </c>
      <c r="W243" s="321">
        <f>IF(V243="","",V243*O243)</f>
        <v>17.309154088391789</v>
      </c>
      <c r="X243" s="186">
        <f t="shared" si="18"/>
        <v>17.309154088391789</v>
      </c>
    </row>
    <row r="244" spans="1:24" s="192" customFormat="1" ht="35" thickBot="1">
      <c r="A244" s="382" t="s">
        <v>23</v>
      </c>
      <c r="B244" s="278" t="s">
        <v>811</v>
      </c>
      <c r="C244" s="179" t="s">
        <v>811</v>
      </c>
      <c r="D244" s="178" t="s">
        <v>812</v>
      </c>
      <c r="E244" s="177">
        <f>LEN(D244)</f>
        <v>141</v>
      </c>
      <c r="F244" s="177" t="s">
        <v>23</v>
      </c>
      <c r="G244" s="177" t="s">
        <v>23</v>
      </c>
      <c r="H244" s="177" t="s">
        <v>23</v>
      </c>
      <c r="I244" s="177" t="s">
        <v>23</v>
      </c>
      <c r="J244" s="176" t="s">
        <v>23</v>
      </c>
      <c r="K244" s="176"/>
      <c r="L244" s="175" t="s">
        <v>23</v>
      </c>
      <c r="M244" s="100"/>
      <c r="N244" s="101"/>
      <c r="O244" s="318">
        <v>1</v>
      </c>
      <c r="P244" s="193"/>
      <c r="R244" s="194" t="s">
        <v>22</v>
      </c>
      <c r="S244" s="193"/>
      <c r="V244" s="327"/>
      <c r="W244" s="321" t="str">
        <f>IF(V244="","",V244*O244)</f>
        <v/>
      </c>
      <c r="X244" s="186" t="str">
        <f t="shared" si="18"/>
        <v/>
      </c>
    </row>
    <row r="245" spans="1:24">
      <c r="V245" s="381"/>
    </row>
    <row r="246" spans="1:24" ht="17" thickBot="1"/>
    <row r="247" spans="1:24" ht="18" customHeight="1" thickBot="1">
      <c r="D247" s="277" t="s">
        <v>813</v>
      </c>
      <c r="E247" s="276"/>
      <c r="F247" s="276"/>
      <c r="G247" s="276"/>
      <c r="H247" s="276"/>
      <c r="I247" s="276"/>
      <c r="J247" s="276"/>
      <c r="K247" s="276"/>
      <c r="L247" s="276"/>
      <c r="M247" s="276"/>
      <c r="N247" s="276"/>
      <c r="O247" s="375"/>
      <c r="V247" s="376"/>
      <c r="W247" s="480" t="e">
        <f>(SUM(W5:W245))/60</f>
        <v>#VALUE!</v>
      </c>
      <c r="X247" s="479" t="e">
        <f>SUM(X2:X244)/60</f>
        <v>#VALUE!</v>
      </c>
    </row>
    <row r="248" spans="1:24" ht="18" thickBot="1">
      <c r="D248" s="380" t="s">
        <v>814</v>
      </c>
      <c r="E248" s="379"/>
      <c r="F248" s="379"/>
      <c r="G248" s="379"/>
      <c r="H248" s="379"/>
      <c r="I248" s="379"/>
      <c r="J248" s="379"/>
      <c r="K248" s="379"/>
      <c r="L248" s="379"/>
      <c r="M248" s="379"/>
      <c r="N248" s="379"/>
      <c r="O248" s="377"/>
      <c r="V248" s="378"/>
      <c r="W248" s="481" t="e">
        <f>(SUM(W6:W156)+SUM(W177:W245))/60</f>
        <v>#VALUE!</v>
      </c>
    </row>
    <row r="249" spans="1:24" ht="18" thickBot="1">
      <c r="D249" s="277" t="s">
        <v>815</v>
      </c>
      <c r="E249" s="276"/>
      <c r="F249" s="276"/>
      <c r="G249" s="276"/>
      <c r="H249" s="276"/>
      <c r="I249" s="276"/>
      <c r="J249" s="276"/>
      <c r="K249" s="276"/>
      <c r="L249" s="276"/>
      <c r="M249" s="276"/>
      <c r="N249" s="276"/>
      <c r="O249" s="375"/>
      <c r="V249" s="376"/>
      <c r="W249" s="482" t="e">
        <f>(SUM(W6:W23)+SUM(W32:W156)+SUM(W176:W239)+SUM(W242:W245))/60</f>
        <v>#VALUE!</v>
      </c>
    </row>
  </sheetData>
  <sheetProtection algorithmName="SHA-512" hashValue="4rkOkC0eJHBEVDylhLiM/zqO+a2X47R39//JZsVmg0f1tcZM5NJqA0hSyvSFWiDGa63QjWVVBFgmrnw4zxW4Uw==" saltValue="ibeTlzlJrEju2AiZFJQPoA==" spinCount="100000" sheet="1" formatCells="0" formatRows="0" insertRows="0" deleteRows="0" autoFilter="0"/>
  <autoFilter ref="A3:XEN3" xr:uid="{B552B1A1-C6E2-EE4B-AA1C-ECCCDCBD94D9}"/>
  <mergeCells count="22">
    <mergeCell ref="L33:L34"/>
    <mergeCell ref="A39:N39"/>
    <mergeCell ref="N46:N48"/>
    <mergeCell ref="A1:N1"/>
    <mergeCell ref="A2:M2"/>
    <mergeCell ref="N2:N3"/>
    <mergeCell ref="A4:N4"/>
    <mergeCell ref="A18:N18"/>
    <mergeCell ref="A56:N56"/>
    <mergeCell ref="N63:N64"/>
    <mergeCell ref="N75:N76"/>
    <mergeCell ref="N87:N88"/>
    <mergeCell ref="A168:N168"/>
    <mergeCell ref="A227:N227"/>
    <mergeCell ref="A238:N238"/>
    <mergeCell ref="A98:N98"/>
    <mergeCell ref="A127:N127"/>
    <mergeCell ref="A135:N135"/>
    <mergeCell ref="A149:N149"/>
    <mergeCell ref="A157:N157"/>
    <mergeCell ref="A176:N176"/>
    <mergeCell ref="N116:N119"/>
  </mergeCells>
  <conditionalFormatting sqref="B5:B8">
    <cfRule type="duplicateValues" dxfId="159" priority="965"/>
  </conditionalFormatting>
  <conditionalFormatting sqref="B11 B13:B16">
    <cfRule type="duplicateValues" dxfId="158" priority="593"/>
  </conditionalFormatting>
  <conditionalFormatting sqref="B12">
    <cfRule type="duplicateValues" dxfId="157" priority="196"/>
    <cfRule type="duplicateValues" dxfId="156" priority="197"/>
  </conditionalFormatting>
  <conditionalFormatting sqref="B17">
    <cfRule type="duplicateValues" dxfId="155" priority="592"/>
  </conditionalFormatting>
  <conditionalFormatting sqref="B25">
    <cfRule type="duplicateValues" dxfId="154" priority="450"/>
  </conditionalFormatting>
  <conditionalFormatting sqref="B31:B32">
    <cfRule type="duplicateValues" dxfId="153" priority="443"/>
  </conditionalFormatting>
  <conditionalFormatting sqref="B33:B34">
    <cfRule type="duplicateValues" dxfId="152" priority="213"/>
  </conditionalFormatting>
  <conditionalFormatting sqref="B35">
    <cfRule type="duplicateValues" dxfId="151" priority="202"/>
  </conditionalFormatting>
  <conditionalFormatting sqref="B46">
    <cfRule type="duplicateValues" dxfId="150" priority="604"/>
  </conditionalFormatting>
  <conditionalFormatting sqref="B47">
    <cfRule type="duplicateValues" dxfId="149" priority="606"/>
  </conditionalFormatting>
  <conditionalFormatting sqref="B48:B49">
    <cfRule type="duplicateValues" dxfId="148" priority="564"/>
  </conditionalFormatting>
  <conditionalFormatting sqref="B52:B53">
    <cfRule type="duplicateValues" dxfId="147" priority="562"/>
  </conditionalFormatting>
  <conditionalFormatting sqref="B59:B61">
    <cfRule type="duplicateValues" dxfId="146" priority="212"/>
  </conditionalFormatting>
  <conditionalFormatting sqref="B64 B67">
    <cfRule type="duplicateValues" dxfId="145" priority="590"/>
  </conditionalFormatting>
  <conditionalFormatting sqref="B65">
    <cfRule type="duplicateValues" dxfId="144" priority="228"/>
  </conditionalFormatting>
  <conditionalFormatting sqref="B66">
    <cfRule type="duplicateValues" dxfId="143" priority="230"/>
  </conditionalFormatting>
  <conditionalFormatting sqref="B71:B73">
    <cfRule type="duplicateValues" dxfId="142" priority="208"/>
  </conditionalFormatting>
  <conditionalFormatting sqref="B74">
    <cfRule type="duplicateValues" dxfId="141" priority="11"/>
  </conditionalFormatting>
  <conditionalFormatting sqref="B75">
    <cfRule type="duplicateValues" dxfId="140" priority="557"/>
  </conditionalFormatting>
  <conditionalFormatting sqref="B76 B79">
    <cfRule type="duplicateValues" dxfId="139" priority="588"/>
  </conditionalFormatting>
  <conditionalFormatting sqref="B77">
    <cfRule type="duplicateValues" dxfId="138" priority="221"/>
  </conditionalFormatting>
  <conditionalFormatting sqref="B78">
    <cfRule type="duplicateValues" dxfId="137" priority="222"/>
  </conditionalFormatting>
  <conditionalFormatting sqref="B83:B85">
    <cfRule type="duplicateValues" dxfId="136" priority="204"/>
  </conditionalFormatting>
  <conditionalFormatting sqref="B86">
    <cfRule type="duplicateValues" dxfId="135" priority="763"/>
  </conditionalFormatting>
  <conditionalFormatting sqref="B88">
    <cfRule type="duplicateValues" dxfId="134" priority="586"/>
  </conditionalFormatting>
  <conditionalFormatting sqref="B89">
    <cfRule type="duplicateValues" dxfId="133" priority="219"/>
  </conditionalFormatting>
  <conditionalFormatting sqref="B90">
    <cfRule type="duplicateValues" dxfId="132" priority="220"/>
  </conditionalFormatting>
  <conditionalFormatting sqref="B91">
    <cfRule type="duplicateValues" dxfId="131" priority="217"/>
  </conditionalFormatting>
  <conditionalFormatting sqref="B92">
    <cfRule type="duplicateValues" dxfId="130" priority="218"/>
  </conditionalFormatting>
  <conditionalFormatting sqref="B93">
    <cfRule type="duplicateValues" dxfId="129" priority="410"/>
  </conditionalFormatting>
  <conditionalFormatting sqref="B97">
    <cfRule type="duplicateValues" dxfId="128" priority="550"/>
  </conditionalFormatting>
  <conditionalFormatting sqref="B108">
    <cfRule type="duplicateValues" dxfId="127" priority="214"/>
  </conditionalFormatting>
  <conditionalFormatting sqref="B112">
    <cfRule type="duplicateValues" dxfId="126" priority="403"/>
  </conditionalFormatting>
  <conditionalFormatting sqref="B113:B115">
    <cfRule type="duplicateValues" dxfId="125" priority="583"/>
  </conditionalFormatting>
  <conditionalFormatting sqref="B120">
    <cfRule type="duplicateValues" dxfId="124" priority="409"/>
  </conditionalFormatting>
  <conditionalFormatting sqref="B122">
    <cfRule type="duplicateValues" dxfId="123" priority="596"/>
  </conditionalFormatting>
  <conditionalFormatting sqref="B123">
    <cfRule type="duplicateValues" dxfId="122" priority="399"/>
  </conditionalFormatting>
  <conditionalFormatting sqref="B124">
    <cfRule type="duplicateValues" dxfId="121" priority="554"/>
  </conditionalFormatting>
  <conditionalFormatting sqref="B125">
    <cfRule type="duplicateValues" dxfId="120" priority="601"/>
  </conditionalFormatting>
  <conditionalFormatting sqref="B126">
    <cfRule type="duplicateValues" dxfId="119" priority="408"/>
  </conditionalFormatting>
  <conditionalFormatting sqref="B128:B129">
    <cfRule type="duplicateValues" dxfId="118" priority="643"/>
  </conditionalFormatting>
  <conditionalFormatting sqref="B132">
    <cfRule type="duplicateValues" dxfId="117" priority="447"/>
  </conditionalFormatting>
  <conditionalFormatting sqref="B134">
    <cfRule type="duplicateValues" dxfId="116" priority="201"/>
  </conditionalFormatting>
  <conditionalFormatting sqref="B137">
    <cfRule type="duplicateValues" dxfId="115" priority="446"/>
  </conditionalFormatting>
  <conditionalFormatting sqref="B143">
    <cfRule type="duplicateValues" dxfId="114" priority="597"/>
  </conditionalFormatting>
  <conditionalFormatting sqref="B144">
    <cfRule type="duplicateValues" dxfId="113" priority="407"/>
  </conditionalFormatting>
  <conditionalFormatting sqref="B146">
    <cfRule type="duplicateValues" dxfId="112" priority="595"/>
    <cfRule type="duplicateValues" dxfId="111" priority="594"/>
  </conditionalFormatting>
  <conditionalFormatting sqref="B147">
    <cfRule type="duplicateValues" dxfId="110" priority="600"/>
  </conditionalFormatting>
  <conditionalFormatting sqref="B148">
    <cfRule type="duplicateValues" dxfId="109" priority="406"/>
  </conditionalFormatting>
  <conditionalFormatting sqref="B153:B154">
    <cfRule type="duplicateValues" dxfId="108" priority="581"/>
  </conditionalFormatting>
  <conditionalFormatting sqref="B156">
    <cfRule type="duplicateValues" dxfId="107" priority="551"/>
  </conditionalFormatting>
  <conditionalFormatting sqref="B158">
    <cfRule type="duplicateValues" dxfId="106" priority="552"/>
  </conditionalFormatting>
  <conditionalFormatting sqref="B159">
    <cfRule type="duplicateValues" dxfId="105" priority="445"/>
  </conditionalFormatting>
  <conditionalFormatting sqref="B160:B161">
    <cfRule type="duplicateValues" dxfId="104" priority="580"/>
  </conditionalFormatting>
  <conditionalFormatting sqref="B167">
    <cfRule type="duplicateValues" dxfId="103" priority="405"/>
  </conditionalFormatting>
  <conditionalFormatting sqref="B171:B174">
    <cfRule type="duplicateValues" dxfId="102" priority="579"/>
  </conditionalFormatting>
  <conditionalFormatting sqref="B175">
    <cfRule type="duplicateValues" dxfId="101" priority="444"/>
  </conditionalFormatting>
  <conditionalFormatting sqref="B177">
    <cfRule type="duplicateValues" dxfId="100" priority="200"/>
  </conditionalFormatting>
  <conditionalFormatting sqref="B183">
    <cfRule type="duplicateValues" dxfId="99" priority="577"/>
  </conditionalFormatting>
  <conditionalFormatting sqref="B184">
    <cfRule type="duplicateValues" dxfId="98" priority="575"/>
  </conditionalFormatting>
  <conditionalFormatting sqref="B186">
    <cfRule type="duplicateValues" dxfId="97" priority="573"/>
  </conditionalFormatting>
  <conditionalFormatting sqref="B188">
    <cfRule type="duplicateValues" dxfId="96" priority="571"/>
  </conditionalFormatting>
  <conditionalFormatting sqref="B189">
    <cfRule type="duplicateValues" dxfId="95" priority="198"/>
  </conditionalFormatting>
  <conditionalFormatting sqref="B210">
    <cfRule type="duplicateValues" dxfId="94" priority="569"/>
  </conditionalFormatting>
  <conditionalFormatting sqref="B211:B219 B221:B223">
    <cfRule type="duplicateValues" dxfId="93" priority="602"/>
  </conditionalFormatting>
  <conditionalFormatting sqref="B220">
    <cfRule type="duplicateValues" dxfId="92" priority="457"/>
  </conditionalFormatting>
  <conditionalFormatting sqref="B224">
    <cfRule type="duplicateValues" dxfId="91" priority="455"/>
  </conditionalFormatting>
  <conditionalFormatting sqref="B225 C211:C219 C221:C223">
    <cfRule type="duplicateValues" dxfId="90" priority="888"/>
  </conditionalFormatting>
  <conditionalFormatting sqref="B226">
    <cfRule type="duplicateValues" dxfId="89" priority="456"/>
  </conditionalFormatting>
  <conditionalFormatting sqref="B231">
    <cfRule type="duplicateValues" dxfId="88" priority="1"/>
  </conditionalFormatting>
  <conditionalFormatting sqref="B235">
    <cfRule type="duplicateValues" dxfId="87" priority="366"/>
  </conditionalFormatting>
  <conditionalFormatting sqref="B237">
    <cfRule type="duplicateValues" dxfId="86" priority="404"/>
  </conditionalFormatting>
  <conditionalFormatting sqref="B243:B248 B239 B228:B230 B185 B169:B170 B130:B131 B133 B2:B3 B150:B152 B68:B70 B80:B82 B121 B138:B142 B145:B146 B155 B162:B166 B178:B182 B187 B42 B50:B51 B21:B24 B209 B54:B55 B87 B94:B96 B104:B106 B9:B11 B26:B30 B44:B45 B250:B1048576 B58 B62:B63 B13:B17 B36:B38 B232:B233">
    <cfRule type="duplicateValues" dxfId="85" priority="599"/>
  </conditionalFormatting>
  <conditionalFormatting sqref="B249">
    <cfRule type="duplicateValues" dxfId="84" priority="367"/>
  </conditionalFormatting>
  <conditionalFormatting sqref="C24">
    <cfRule type="duplicateValues" dxfId="83" priority="897"/>
  </conditionalFormatting>
  <conditionalFormatting sqref="C25">
    <cfRule type="duplicateValues" dxfId="82" priority="898"/>
  </conditionalFormatting>
  <conditionalFormatting sqref="C26:C27 C29:C30">
    <cfRule type="duplicateValues" dxfId="81" priority="899"/>
  </conditionalFormatting>
  <conditionalFormatting sqref="C28">
    <cfRule type="duplicateValues" dxfId="80" priority="904"/>
  </conditionalFormatting>
  <conditionalFormatting sqref="C31:C32">
    <cfRule type="duplicateValues" dxfId="79" priority="903"/>
  </conditionalFormatting>
  <conditionalFormatting sqref="C36 C38">
    <cfRule type="duplicateValues" dxfId="78" priority="869"/>
  </conditionalFormatting>
  <conditionalFormatting sqref="C46">
    <cfRule type="duplicateValues" dxfId="77" priority="901"/>
  </conditionalFormatting>
  <conditionalFormatting sqref="C47">
    <cfRule type="duplicateValues" dxfId="76" priority="902"/>
  </conditionalFormatting>
  <conditionalFormatting sqref="C48:C49">
    <cfRule type="duplicateValues" dxfId="75" priority="885"/>
  </conditionalFormatting>
  <conditionalFormatting sqref="C52">
    <cfRule type="duplicateValues" dxfId="74" priority="48"/>
  </conditionalFormatting>
  <conditionalFormatting sqref="C54">
    <cfRule type="duplicateValues" dxfId="73" priority="883"/>
  </conditionalFormatting>
  <conditionalFormatting sqref="C55">
    <cfRule type="duplicateValues" dxfId="72" priority="884"/>
  </conditionalFormatting>
  <conditionalFormatting sqref="C59">
    <cfRule type="duplicateValues" dxfId="71" priority="210"/>
  </conditionalFormatting>
  <conditionalFormatting sqref="C60">
    <cfRule type="duplicateValues" dxfId="70" priority="209"/>
  </conditionalFormatting>
  <conditionalFormatting sqref="C61">
    <cfRule type="duplicateValues" dxfId="69" priority="211"/>
  </conditionalFormatting>
  <conditionalFormatting sqref="C62">
    <cfRule type="duplicateValues" dxfId="68" priority="909"/>
  </conditionalFormatting>
  <conditionalFormatting sqref="C64 C67">
    <cfRule type="duplicateValues" dxfId="67" priority="870"/>
  </conditionalFormatting>
  <conditionalFormatting sqref="C65">
    <cfRule type="duplicateValues" dxfId="66" priority="917"/>
  </conditionalFormatting>
  <conditionalFormatting sqref="C66">
    <cfRule type="duplicateValues" dxfId="65" priority="916"/>
  </conditionalFormatting>
  <conditionalFormatting sqref="C71">
    <cfRule type="duplicateValues" dxfId="64" priority="206"/>
  </conditionalFormatting>
  <conditionalFormatting sqref="C72">
    <cfRule type="duplicateValues" dxfId="63" priority="205"/>
  </conditionalFormatting>
  <conditionalFormatting sqref="C73">
    <cfRule type="duplicateValues" dxfId="62" priority="207"/>
  </conditionalFormatting>
  <conditionalFormatting sqref="C74">
    <cfRule type="duplicateValues" dxfId="61" priority="12"/>
  </conditionalFormatting>
  <conditionalFormatting sqref="C76 C79">
    <cfRule type="duplicateValues" dxfId="60" priority="872"/>
  </conditionalFormatting>
  <conditionalFormatting sqref="C77">
    <cfRule type="duplicateValues" dxfId="59" priority="919"/>
  </conditionalFormatting>
  <conditionalFormatting sqref="C78">
    <cfRule type="duplicateValues" dxfId="58" priority="918"/>
  </conditionalFormatting>
  <conditionalFormatting sqref="C83:C85">
    <cfRule type="duplicateValues" dxfId="57" priority="203"/>
  </conditionalFormatting>
  <conditionalFormatting sqref="C86">
    <cfRule type="duplicateValues" dxfId="56" priority="913"/>
  </conditionalFormatting>
  <conditionalFormatting sqref="C88">
    <cfRule type="duplicateValues" dxfId="55" priority="874"/>
  </conditionalFormatting>
  <conditionalFormatting sqref="C89">
    <cfRule type="duplicateValues" dxfId="54" priority="915"/>
  </conditionalFormatting>
  <conditionalFormatting sqref="C90">
    <cfRule type="duplicateValues" dxfId="53" priority="914"/>
  </conditionalFormatting>
  <conditionalFormatting sqref="C91">
    <cfRule type="duplicateValues" dxfId="52" priority="920"/>
  </conditionalFormatting>
  <conditionalFormatting sqref="C95">
    <cfRule type="duplicateValues" dxfId="51" priority="875"/>
  </conditionalFormatting>
  <conditionalFormatting sqref="C108">
    <cfRule type="duplicateValues" dxfId="50" priority="906"/>
  </conditionalFormatting>
  <conditionalFormatting sqref="C112">
    <cfRule type="duplicateValues" dxfId="49" priority="905"/>
  </conditionalFormatting>
  <conditionalFormatting sqref="C113:C115">
    <cfRule type="duplicateValues" dxfId="48" priority="876"/>
  </conditionalFormatting>
  <conditionalFormatting sqref="C124">
    <cfRule type="duplicateValues" dxfId="47" priority="887"/>
  </conditionalFormatting>
  <conditionalFormatting sqref="C125">
    <cfRule type="duplicateValues" dxfId="46" priority="892"/>
  </conditionalFormatting>
  <conditionalFormatting sqref="C128">
    <cfRule type="duplicateValues" dxfId="45" priority="907"/>
  </conditionalFormatting>
  <conditionalFormatting sqref="C147">
    <cfRule type="duplicateValues" dxfId="44" priority="891"/>
  </conditionalFormatting>
  <conditionalFormatting sqref="C171">
    <cfRule type="duplicateValues" dxfId="43" priority="877"/>
  </conditionalFormatting>
  <conditionalFormatting sqref="C177">
    <cfRule type="duplicateValues" dxfId="42" priority="199"/>
  </conditionalFormatting>
  <conditionalFormatting sqref="C183">
    <cfRule type="duplicateValues" dxfId="41" priority="878"/>
  </conditionalFormatting>
  <conditionalFormatting sqref="C184">
    <cfRule type="duplicateValues" dxfId="40" priority="879"/>
  </conditionalFormatting>
  <conditionalFormatting sqref="C186">
    <cfRule type="duplicateValues" dxfId="39" priority="880"/>
  </conditionalFormatting>
  <conditionalFormatting sqref="C188">
    <cfRule type="duplicateValues" dxfId="38" priority="881"/>
  </conditionalFormatting>
  <conditionalFormatting sqref="C210">
    <cfRule type="duplicateValues" dxfId="37" priority="882"/>
  </conditionalFormatting>
  <conditionalFormatting sqref="C220">
    <cfRule type="duplicateValues" dxfId="36" priority="893"/>
  </conditionalFormatting>
  <conditionalFormatting sqref="C224">
    <cfRule type="duplicateValues" dxfId="35" priority="896"/>
  </conditionalFormatting>
  <conditionalFormatting sqref="C225">
    <cfRule type="duplicateValues" dxfId="34" priority="894"/>
  </conditionalFormatting>
  <conditionalFormatting sqref="C226">
    <cfRule type="duplicateValues" dxfId="33" priority="895"/>
  </conditionalFormatting>
  <conditionalFormatting sqref="C229:C230">
    <cfRule type="duplicateValues" dxfId="32" priority="3"/>
  </conditionalFormatting>
  <conditionalFormatting sqref="D24:D32 D240:D242">
    <cfRule type="expression" dxfId="31" priority="33" stopIfTrue="1">
      <formula>$A24="integer"</formula>
    </cfRule>
    <cfRule type="expression" dxfId="30" priority="32" stopIfTrue="1">
      <formula>$A24="integer"</formula>
    </cfRule>
    <cfRule type="expression" dxfId="29" priority="13" stopIfTrue="1">
      <formula>OR($A24="audio", $A24="video")</formula>
    </cfRule>
    <cfRule type="expression" dxfId="28" priority="38" stopIfTrue="1">
      <formula>$A24="begin repeat"</formula>
    </cfRule>
    <cfRule type="expression" dxfId="27" priority="37" stopIfTrue="1">
      <formula>$A24="begin repeat"</formula>
    </cfRule>
    <cfRule type="expression" dxfId="26" priority="36" stopIfTrue="1">
      <formula>$A24="end repeat"</formula>
    </cfRule>
    <cfRule type="expression" dxfId="25" priority="35" stopIfTrue="1">
      <formula>$A24="text"</formula>
    </cfRule>
    <cfRule type="expression" dxfId="24" priority="14" stopIfTrue="1">
      <formula>OR($A24="audio", $A24="video")</formula>
    </cfRule>
    <cfRule type="expression" dxfId="23" priority="15" stopIfTrue="1">
      <formula>$A24="image"</formula>
    </cfRule>
    <cfRule type="expression" dxfId="22" priority="16" stopIfTrue="1">
      <formula>$A24="image"</formula>
    </cfRule>
    <cfRule type="expression" dxfId="21" priority="40" stopIfTrue="1">
      <formula>$A24="begin group"</formula>
    </cfRule>
    <cfRule type="expression" dxfId="20" priority="41" stopIfTrue="1">
      <formula>$A24="begin group"</formula>
    </cfRule>
    <cfRule type="expression" dxfId="19" priority="17" stopIfTrue="1">
      <formula>OR($A24="date", $A24="datetime")</formula>
    </cfRule>
    <cfRule type="expression" dxfId="18" priority="18" stopIfTrue="1">
      <formula>OR($A24="date", $A24="datetime")</formula>
    </cfRule>
    <cfRule type="expression" dxfId="17" priority="19" stopIfTrue="1">
      <formula>OR($A24="calculate", $A24="calculate_here")</formula>
    </cfRule>
    <cfRule type="expression" dxfId="16" priority="34" stopIfTrue="1">
      <formula>$A24="text"</formula>
    </cfRule>
    <cfRule type="expression" dxfId="15" priority="20" stopIfTrue="1">
      <formula>$A24="note"</formula>
    </cfRule>
    <cfRule type="expression" dxfId="14" priority="21" stopIfTrue="1">
      <formula>$A24="note"</formula>
    </cfRule>
    <cfRule type="expression" dxfId="13" priority="22" stopIfTrue="1">
      <formula>$A24="barcode"</formula>
    </cfRule>
    <cfRule type="expression" dxfId="12" priority="23" stopIfTrue="1">
      <formula>$A24="barcode"</formula>
    </cfRule>
    <cfRule type="expression" dxfId="11" priority="24" stopIfTrue="1">
      <formula>$A24="geopoint"</formula>
    </cfRule>
    <cfRule type="expression" dxfId="10" priority="25" stopIfTrue="1">
      <formula>$A24="geopoint"</formula>
    </cfRule>
    <cfRule type="expression" dxfId="9" priority="26" stopIfTrue="1">
      <formula>OR($A24="audio audit", $A24="text audit")</formula>
    </cfRule>
    <cfRule type="expression" dxfId="8" priority="27" stopIfTrue="1">
      <formula>OR($A24="username", $A24="phonenumber", $A24="start", $A24="end", $A24="deviceid", $A24="subscriberid", $A24="simserial")</formula>
    </cfRule>
    <cfRule type="expression" dxfId="7" priority="28" stopIfTrue="1">
      <formula>OR(AND(LEFT($A24, 16)="select_multiple ", LEN($A24)&gt;16, NOT(ISNUMBER(SEARCH(" ", $A24, 17)))), AND(LEFT($A24, 11)="select_one ", LEN($A24)&gt;11, NOT(ISNUMBER(SEARCH(" ", $A24, 12)))))</formula>
    </cfRule>
    <cfRule type="expression" dxfId="6" priority="29" stopIfTrue="1">
      <formula>OR(AND(LEFT($A24, 16)="select_multiple ", LEN($A24)&gt;16, NOT(ISNUMBER(SEARCH(" ", $A24, 17)))), AND(LEFT($A24, 11)="select_one ", LEN($A24)&gt;11, NOT(ISNUMBER(SEARCH(" ", $A24, 12)))))</formula>
    </cfRule>
    <cfRule type="expression" dxfId="5" priority="30" stopIfTrue="1">
      <formula>$A24="decimal"</formula>
    </cfRule>
    <cfRule type="expression" dxfId="4" priority="31" stopIfTrue="1">
      <formula>$A24="decimal"</formula>
    </cfRule>
    <cfRule type="expression" dxfId="3" priority="39" stopIfTrue="1">
      <formula>$A24="end group"</formula>
    </cfRule>
  </conditionalFormatting>
  <conditionalFormatting sqref="D42">
    <cfRule type="cellIs" dxfId="2" priority="563" operator="notEqual">
      <formula>$D$42</formula>
    </cfRule>
  </conditionalFormatting>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93"/>
  <sheetViews>
    <sheetView topLeftCell="A70" workbookViewId="0">
      <selection activeCell="D2" sqref="D2"/>
    </sheetView>
  </sheetViews>
  <sheetFormatPr baseColWidth="10" defaultColWidth="11.5" defaultRowHeight="15"/>
  <cols>
    <col min="1" max="1" width="39.1640625" customWidth="1"/>
  </cols>
  <sheetData>
    <row r="1" spans="1:4">
      <c r="A1" t="s">
        <v>816</v>
      </c>
      <c r="B1" t="s">
        <v>817</v>
      </c>
      <c r="C1" t="s">
        <v>818</v>
      </c>
      <c r="D1" t="s">
        <v>819</v>
      </c>
    </row>
    <row r="2" spans="1:4">
      <c r="A2" t="s">
        <v>46</v>
      </c>
      <c r="B2" s="66">
        <v>50.822540283203125</v>
      </c>
      <c r="C2" s="67">
        <v>1</v>
      </c>
      <c r="D2" s="66">
        <v>50.822540283203125</v>
      </c>
    </row>
    <row r="3" spans="1:4">
      <c r="A3" t="s">
        <v>820</v>
      </c>
      <c r="B3" s="66">
        <v>3.4964737892150879</v>
      </c>
      <c r="C3" s="67">
        <v>0.7969874100719424</v>
      </c>
      <c r="D3" s="66">
        <v>2.7866455896509637</v>
      </c>
    </row>
    <row r="4" spans="1:4">
      <c r="A4" t="s">
        <v>95</v>
      </c>
      <c r="B4" s="66">
        <v>13.753072738647461</v>
      </c>
      <c r="C4" s="67">
        <v>1</v>
      </c>
      <c r="D4" s="66">
        <v>13.753072738647461</v>
      </c>
    </row>
    <row r="5" spans="1:4">
      <c r="A5" t="s">
        <v>100</v>
      </c>
      <c r="B5" s="66">
        <v>2.1173560619354248</v>
      </c>
      <c r="C5" s="67">
        <v>1</v>
      </c>
      <c r="D5" s="66">
        <v>2.1173560619354248</v>
      </c>
    </row>
    <row r="6" spans="1:4">
      <c r="A6" t="s">
        <v>147</v>
      </c>
      <c r="B6" s="66">
        <v>2.284250020980835</v>
      </c>
      <c r="C6" s="67">
        <v>0.7969874100719424</v>
      </c>
      <c r="D6" s="66">
        <v>1.8205185081782957</v>
      </c>
    </row>
    <row r="7" spans="1:4">
      <c r="A7" t="s">
        <v>150</v>
      </c>
      <c r="B7" s="66">
        <v>31.372377395629883</v>
      </c>
      <c r="C7" s="67">
        <v>1</v>
      </c>
      <c r="D7" s="66">
        <v>31.372377395629883</v>
      </c>
    </row>
    <row r="8" spans="1:4">
      <c r="A8" t="s">
        <v>821</v>
      </c>
      <c r="B8" s="66">
        <v>7.9225454330444336</v>
      </c>
      <c r="C8" s="67">
        <v>0.15190347721822542</v>
      </c>
      <c r="D8" s="66">
        <v>1.2034621996988208</v>
      </c>
    </row>
    <row r="9" spans="1:4">
      <c r="A9" t="s">
        <v>164</v>
      </c>
      <c r="B9" s="66">
        <v>10.085731506347656</v>
      </c>
      <c r="C9" s="67">
        <v>1</v>
      </c>
      <c r="D9" s="66">
        <v>10.085731506347656</v>
      </c>
    </row>
    <row r="10" spans="1:4">
      <c r="A10" t="s">
        <v>168</v>
      </c>
      <c r="B10" s="66">
        <v>12.894034385681152</v>
      </c>
      <c r="C10" s="67">
        <v>1</v>
      </c>
      <c r="D10" s="66">
        <v>12.894034385681152</v>
      </c>
    </row>
    <row r="11" spans="1:4">
      <c r="A11" t="s">
        <v>172</v>
      </c>
      <c r="B11" s="66">
        <v>15.265829086303711</v>
      </c>
      <c r="C11" s="67">
        <v>0.63796462829736211</v>
      </c>
      <c r="D11" s="66">
        <v>9.7390589786948052</v>
      </c>
    </row>
    <row r="12" spans="1:4">
      <c r="A12" t="s">
        <v>177</v>
      </c>
      <c r="B12" s="66">
        <v>15.12371826171875</v>
      </c>
      <c r="C12" s="67">
        <v>0.59180155875299756</v>
      </c>
      <c r="D12" s="66">
        <v>8.9502400414263317</v>
      </c>
    </row>
    <row r="13" spans="1:4">
      <c r="A13" t="s">
        <v>822</v>
      </c>
      <c r="B13" s="66">
        <v>12.8214111328125</v>
      </c>
      <c r="C13" s="67">
        <v>0.15190347721822542</v>
      </c>
      <c r="D13" s="66">
        <v>1.9476169339186853</v>
      </c>
    </row>
    <row r="14" spans="1:4">
      <c r="A14" t="s">
        <v>187</v>
      </c>
      <c r="B14" s="66">
        <v>15.211848258972168</v>
      </c>
      <c r="C14" s="67">
        <v>0.51611211031175064</v>
      </c>
      <c r="D14" s="66">
        <v>7.8510191066802557</v>
      </c>
    </row>
    <row r="15" spans="1:4">
      <c r="A15" t="s">
        <v>823</v>
      </c>
      <c r="B15" s="66">
        <v>19.310310363769531</v>
      </c>
      <c r="C15" s="67">
        <v>0.15190347721822542</v>
      </c>
      <c r="D15" s="66">
        <v>2.9333032904197274</v>
      </c>
    </row>
    <row r="16" spans="1:4">
      <c r="A16" t="s">
        <v>211</v>
      </c>
      <c r="B16" s="66">
        <v>36.928733825683594</v>
      </c>
      <c r="C16" s="67">
        <v>1</v>
      </c>
      <c r="D16" s="66">
        <v>36.928733825683594</v>
      </c>
    </row>
    <row r="17" spans="1:4">
      <c r="A17" t="s">
        <v>229</v>
      </c>
      <c r="B17" s="66">
        <v>40.047317504882812</v>
      </c>
      <c r="C17" s="67">
        <v>0.75547062350119909</v>
      </c>
      <c r="D17" s="66">
        <v>30.254571924964303</v>
      </c>
    </row>
    <row r="18" spans="1:4">
      <c r="A18" t="s">
        <v>234</v>
      </c>
      <c r="B18" s="66">
        <v>3.6870110034942627</v>
      </c>
      <c r="C18" s="67">
        <v>4.7886690647482015E-2</v>
      </c>
      <c r="D18" s="66">
        <v>0.17655875533819199</v>
      </c>
    </row>
    <row r="19" spans="1:4">
      <c r="A19" t="s">
        <v>246</v>
      </c>
      <c r="B19" s="66">
        <v>27.242166519165039</v>
      </c>
      <c r="C19" s="67">
        <v>0.94476918465227822</v>
      </c>
      <c r="D19" s="66">
        <v>25.737559450473146</v>
      </c>
    </row>
    <row r="20" spans="1:4">
      <c r="A20" t="s">
        <v>250</v>
      </c>
      <c r="B20" s="66">
        <v>25.308004379272461</v>
      </c>
      <c r="C20" s="67">
        <v>0.94476918465227822</v>
      </c>
      <c r="D20" s="66">
        <v>23.910222662581528</v>
      </c>
    </row>
    <row r="21" spans="1:4">
      <c r="A21" t="s">
        <v>265</v>
      </c>
      <c r="B21" s="66">
        <v>30.828470230102539</v>
      </c>
      <c r="C21" s="67">
        <v>0.33902877697841727</v>
      </c>
      <c r="D21" s="66">
        <v>10.451738558227209</v>
      </c>
    </row>
    <row r="22" spans="1:4">
      <c r="A22" t="s">
        <v>269</v>
      </c>
      <c r="B22" s="66">
        <v>2.2941176891326904</v>
      </c>
      <c r="C22" s="67">
        <v>1.1465827338129496E-2</v>
      </c>
      <c r="D22" s="66">
        <v>2.6303957316944068E-2</v>
      </c>
    </row>
    <row r="23" spans="1:4">
      <c r="A23" t="s">
        <v>278</v>
      </c>
      <c r="B23" s="66">
        <v>21.193256378173828</v>
      </c>
      <c r="C23" s="67">
        <v>0.43120503597122301</v>
      </c>
      <c r="D23" s="66">
        <v>9.1386388788977975</v>
      </c>
    </row>
    <row r="24" spans="1:4">
      <c r="A24" t="s">
        <v>282</v>
      </c>
      <c r="B24" s="66">
        <v>20.229927062988281</v>
      </c>
      <c r="C24" s="67">
        <v>0.43120503597122301</v>
      </c>
      <c r="D24" s="66">
        <v>8.7232464268910803</v>
      </c>
    </row>
    <row r="25" spans="1:4">
      <c r="A25" t="s">
        <v>297</v>
      </c>
      <c r="B25" s="66">
        <v>29.429832458496094</v>
      </c>
      <c r="C25" s="67">
        <v>7.6363908872901676E-2</v>
      </c>
      <c r="D25" s="66">
        <v>2.2473770440053595</v>
      </c>
    </row>
    <row r="26" spans="1:4">
      <c r="A26" t="s">
        <v>301</v>
      </c>
      <c r="B26" s="66">
        <v>1.5555555820465088</v>
      </c>
      <c r="C26" s="67">
        <v>2.0233812949640288E-3</v>
      </c>
      <c r="D26" s="66">
        <v>3.1474820679897883E-3</v>
      </c>
    </row>
    <row r="27" spans="1:4">
      <c r="A27" t="s">
        <v>310</v>
      </c>
      <c r="B27" s="66">
        <v>16.348396301269531</v>
      </c>
      <c r="C27" s="67">
        <v>0.11443345323741007</v>
      </c>
      <c r="D27" s="66">
        <v>1.8708034436479746</v>
      </c>
    </row>
    <row r="28" spans="1:4">
      <c r="A28" t="s">
        <v>824</v>
      </c>
      <c r="B28" s="66">
        <v>39.025390625</v>
      </c>
      <c r="C28" s="67">
        <v>0.7969124700239808</v>
      </c>
      <c r="D28" s="66">
        <v>31.099820436619453</v>
      </c>
    </row>
    <row r="29" spans="1:4">
      <c r="A29" t="s">
        <v>825</v>
      </c>
      <c r="B29" s="66">
        <v>10.040084838867188</v>
      </c>
      <c r="C29" s="67">
        <v>3.5521582733812951E-2</v>
      </c>
      <c r="D29" s="66">
        <v>0.35663970425832187</v>
      </c>
    </row>
    <row r="30" spans="1:4">
      <c r="A30" t="s">
        <v>321</v>
      </c>
      <c r="B30" s="66">
        <v>26.118782043457031</v>
      </c>
      <c r="C30" s="67">
        <v>0.35708932853717024</v>
      </c>
      <c r="D30" s="66">
        <v>9.3267383421067702</v>
      </c>
    </row>
    <row r="31" spans="1:4">
      <c r="A31" t="s">
        <v>348</v>
      </c>
      <c r="B31" s="66">
        <v>27.057552337646484</v>
      </c>
      <c r="C31" s="67">
        <v>0.50651978417266186</v>
      </c>
      <c r="D31" s="66">
        <v>13.705185570305199</v>
      </c>
    </row>
    <row r="32" spans="1:4">
      <c r="A32" t="s">
        <v>826</v>
      </c>
      <c r="B32" s="66">
        <v>15.983505249023438</v>
      </c>
      <c r="C32" s="67">
        <v>0.37709832134292565</v>
      </c>
      <c r="D32" s="66">
        <v>6.0273529985825789</v>
      </c>
    </row>
    <row r="33" spans="1:4">
      <c r="A33" t="s">
        <v>827</v>
      </c>
      <c r="B33" s="66">
        <v>3.4111571311950684</v>
      </c>
      <c r="C33" s="67">
        <v>3.6270983213429253E-2</v>
      </c>
      <c r="D33" s="66">
        <v>0.12372602304394581</v>
      </c>
    </row>
    <row r="34" spans="1:4">
      <c r="A34" t="s">
        <v>828</v>
      </c>
      <c r="B34" s="66">
        <v>5.6326532363891602</v>
      </c>
      <c r="C34" s="67">
        <v>3.6720623501199042E-3</v>
      </c>
      <c r="D34" s="66">
        <v>2.0683453880625664E-2</v>
      </c>
    </row>
    <row r="35" spans="1:4">
      <c r="A35" t="s">
        <v>829</v>
      </c>
      <c r="B35" s="66">
        <v>15.95429515838623</v>
      </c>
      <c r="C35" s="67">
        <v>0.25906774580335734</v>
      </c>
      <c r="D35" s="66">
        <v>4.1332432825645391</v>
      </c>
    </row>
    <row r="36" spans="1:4">
      <c r="A36" t="s">
        <v>372</v>
      </c>
      <c r="B36" s="66">
        <v>17.928909301757812</v>
      </c>
      <c r="C36" s="67">
        <v>0.14231115107913669</v>
      </c>
      <c r="D36" s="66">
        <v>2.5514837203265954</v>
      </c>
    </row>
    <row r="37" spans="1:4">
      <c r="A37" t="s">
        <v>380</v>
      </c>
      <c r="B37" s="66">
        <v>25.436874389648438</v>
      </c>
      <c r="C37" s="67">
        <v>0.49385491606714627</v>
      </c>
      <c r="D37" s="66">
        <v>12.562125466710372</v>
      </c>
    </row>
    <row r="38" spans="1:4">
      <c r="A38" t="s">
        <v>384</v>
      </c>
      <c r="B38" s="66">
        <v>19.364946365356445</v>
      </c>
      <c r="C38" s="67">
        <v>0.49385491606714627</v>
      </c>
      <c r="D38" s="66">
        <v>9.5634739619078957</v>
      </c>
    </row>
    <row r="39" spans="1:4">
      <c r="A39" t="s">
        <v>830</v>
      </c>
      <c r="B39" s="66">
        <v>13.458864212036133</v>
      </c>
      <c r="C39" s="67">
        <v>0.38803956834532372</v>
      </c>
      <c r="D39" s="66">
        <v>5.222571859256826</v>
      </c>
    </row>
    <row r="40" spans="1:4">
      <c r="A40" t="s">
        <v>411</v>
      </c>
      <c r="B40" s="66">
        <v>37.523288726806641</v>
      </c>
      <c r="C40" s="67">
        <v>0.30732913669064749</v>
      </c>
      <c r="D40" s="66">
        <v>11.531999930203391</v>
      </c>
    </row>
    <row r="41" spans="1:4">
      <c r="A41" t="s">
        <v>831</v>
      </c>
      <c r="B41" s="66">
        <v>12.681487083435059</v>
      </c>
      <c r="C41" s="67">
        <v>0.2983363309352518</v>
      </c>
      <c r="D41" s="66">
        <v>3.783348327274803</v>
      </c>
    </row>
    <row r="42" spans="1:4">
      <c r="A42" t="s">
        <v>440</v>
      </c>
      <c r="B42" s="66">
        <v>22.613609313964844</v>
      </c>
      <c r="C42" s="67">
        <v>0.12335131894484412</v>
      </c>
      <c r="D42" s="66">
        <v>2.789418534980975</v>
      </c>
    </row>
    <row r="43" spans="1:4">
      <c r="A43" t="s">
        <v>447</v>
      </c>
      <c r="B43" s="66">
        <v>21.701908111572266</v>
      </c>
      <c r="C43" s="67">
        <v>0.38489208633093525</v>
      </c>
      <c r="D43" s="66">
        <v>8.3528926904252963</v>
      </c>
    </row>
    <row r="44" spans="1:4">
      <c r="A44" t="s">
        <v>832</v>
      </c>
      <c r="B44" s="66">
        <v>12.125755310058594</v>
      </c>
      <c r="C44" s="67">
        <v>6.1975419664268588E-2</v>
      </c>
      <c r="D44" s="66">
        <v>0.75149877408711463</v>
      </c>
    </row>
    <row r="45" spans="1:4">
      <c r="A45" t="s">
        <v>833</v>
      </c>
      <c r="B45" s="66">
        <v>13.560262680053711</v>
      </c>
      <c r="C45" s="67">
        <v>0.14860611510791366</v>
      </c>
      <c r="D45" s="66">
        <v>2.0151379567256074</v>
      </c>
    </row>
    <row r="46" spans="1:4">
      <c r="A46" t="s">
        <v>834</v>
      </c>
      <c r="B46" s="66">
        <v>14.065656661987305</v>
      </c>
      <c r="C46" s="67">
        <v>1.4838129496402877E-2</v>
      </c>
      <c r="D46" s="66">
        <v>0.20870803500250945</v>
      </c>
    </row>
    <row r="47" spans="1:4">
      <c r="A47" t="s">
        <v>835</v>
      </c>
      <c r="B47" s="66">
        <v>11.010929107666016</v>
      </c>
      <c r="C47" s="67">
        <v>1.3714028776978417E-2</v>
      </c>
      <c r="D47" s="66">
        <v>0.15100419864380102</v>
      </c>
    </row>
    <row r="48" spans="1:4">
      <c r="A48" t="s">
        <v>836</v>
      </c>
      <c r="B48" s="66">
        <v>4.8961749076843262</v>
      </c>
      <c r="C48" s="67">
        <v>1.3714028776978417E-2</v>
      </c>
      <c r="D48" s="66">
        <v>6.7146283581102487E-2</v>
      </c>
    </row>
    <row r="49" spans="1:4">
      <c r="A49" t="s">
        <v>457</v>
      </c>
      <c r="B49" s="66">
        <v>20.294422149658203</v>
      </c>
      <c r="C49" s="67">
        <v>0.40572541966426856</v>
      </c>
      <c r="D49" s="66">
        <v>8.2339629435139017</v>
      </c>
    </row>
    <row r="50" spans="1:4">
      <c r="A50" t="s">
        <v>462</v>
      </c>
      <c r="B50" s="66">
        <v>18.539077758789062</v>
      </c>
      <c r="C50" s="67">
        <v>0.40272781774580335</v>
      </c>
      <c r="D50" s="66">
        <v>7.4662023288168777</v>
      </c>
    </row>
    <row r="51" spans="1:4">
      <c r="A51" t="s">
        <v>467</v>
      </c>
      <c r="B51" s="66">
        <v>8.9158916473388672</v>
      </c>
      <c r="C51" s="67">
        <v>0.40272781774580335</v>
      </c>
      <c r="D51" s="66">
        <v>3.5906775863908176</v>
      </c>
    </row>
    <row r="52" spans="1:4">
      <c r="A52" t="s">
        <v>471</v>
      </c>
      <c r="B52" s="66">
        <v>25.81001091003418</v>
      </c>
      <c r="C52" s="67">
        <v>0.40272781774580335</v>
      </c>
      <c r="D52" s="66">
        <v>10.394409369793442</v>
      </c>
    </row>
    <row r="53" spans="1:4">
      <c r="A53" t="s">
        <v>837</v>
      </c>
      <c r="B53" s="66">
        <v>19.553197860717773</v>
      </c>
      <c r="C53" s="67">
        <v>0.29301558752997603</v>
      </c>
      <c r="D53" s="66">
        <v>5.729391759248089</v>
      </c>
    </row>
    <row r="54" spans="1:4">
      <c r="A54" t="s">
        <v>838</v>
      </c>
      <c r="B54" s="66">
        <v>13.613316535949707</v>
      </c>
      <c r="C54" s="67">
        <v>0.3038818944844125</v>
      </c>
      <c r="D54" s="66">
        <v>4.1368404191603769</v>
      </c>
    </row>
    <row r="55" spans="1:4">
      <c r="A55" t="s">
        <v>489</v>
      </c>
      <c r="B55" s="66">
        <v>27.754648208618164</v>
      </c>
      <c r="C55" s="67">
        <v>0.205560551558753</v>
      </c>
      <c r="D55" s="66">
        <v>5.7052607940827054</v>
      </c>
    </row>
    <row r="56" spans="1:4">
      <c r="A56" t="s">
        <v>505</v>
      </c>
      <c r="B56" s="66">
        <v>13.999390602111816</v>
      </c>
      <c r="C56" s="67">
        <v>0.24602817745803357</v>
      </c>
      <c r="D56" s="66">
        <v>3.4442445553606933</v>
      </c>
    </row>
    <row r="57" spans="1:4">
      <c r="A57" t="s">
        <v>839</v>
      </c>
      <c r="B57" s="66">
        <v>10.25279426574707</v>
      </c>
      <c r="C57" s="67">
        <v>0.174310551558753</v>
      </c>
      <c r="D57" s="66">
        <v>1.7871702234807918</v>
      </c>
    </row>
    <row r="58" spans="1:4">
      <c r="A58" t="s">
        <v>515</v>
      </c>
      <c r="B58" s="66">
        <v>24.194343566894531</v>
      </c>
      <c r="C58" s="67">
        <v>0.10334232613908872</v>
      </c>
      <c r="D58" s="66">
        <v>2.500299743611178</v>
      </c>
    </row>
    <row r="59" spans="1:4">
      <c r="A59" t="s">
        <v>522</v>
      </c>
      <c r="B59" s="66">
        <v>19.321737289428711</v>
      </c>
      <c r="C59" s="67">
        <v>0.23478717026378898</v>
      </c>
      <c r="D59" s="66">
        <v>4.5364960227652995</v>
      </c>
    </row>
    <row r="60" spans="1:4">
      <c r="A60" t="s">
        <v>840</v>
      </c>
      <c r="B60" s="66">
        <v>6.0948905944824219</v>
      </c>
      <c r="C60" s="67">
        <v>1.0266786570743406E-2</v>
      </c>
      <c r="D60" s="66">
        <v>6.2574940905582424E-2</v>
      </c>
    </row>
    <row r="61" spans="1:4">
      <c r="A61" t="s">
        <v>841</v>
      </c>
      <c r="B61" s="66">
        <v>17.534246444702148</v>
      </c>
      <c r="C61" s="67">
        <v>1.6411870503597121E-2</v>
      </c>
      <c r="D61" s="66">
        <v>0.28776978202860987</v>
      </c>
    </row>
    <row r="62" spans="1:4">
      <c r="A62" t="s">
        <v>842</v>
      </c>
      <c r="B62" s="66">
        <v>31.458333969116211</v>
      </c>
      <c r="C62" s="67">
        <v>1.7985611510791368E-3</v>
      </c>
      <c r="D62" s="66">
        <v>5.657973735452556E-2</v>
      </c>
    </row>
    <row r="63" spans="1:4">
      <c r="A63" t="s">
        <v>843</v>
      </c>
      <c r="B63" s="66">
        <v>2.5</v>
      </c>
      <c r="C63" s="67">
        <v>1.4988009592326138E-4</v>
      </c>
      <c r="D63" s="66">
        <v>3.7470023980815342E-4</v>
      </c>
    </row>
    <row r="64" spans="1:4">
      <c r="A64" t="s">
        <v>844</v>
      </c>
      <c r="B64" s="66">
        <v>5.75</v>
      </c>
      <c r="C64" s="67">
        <v>2.9976019184652276E-4</v>
      </c>
      <c r="D64" s="66">
        <v>1.7236211031175059E-3</v>
      </c>
    </row>
    <row r="65" spans="1:4">
      <c r="A65" t="s">
        <v>845</v>
      </c>
      <c r="B65" s="66">
        <v>4.5</v>
      </c>
      <c r="C65" s="67">
        <v>1.4988009592326138E-4</v>
      </c>
      <c r="D65" s="66">
        <v>6.7446043165467619E-4</v>
      </c>
    </row>
    <row r="66" spans="1:4">
      <c r="A66" t="s">
        <v>846</v>
      </c>
      <c r="B66" s="66">
        <v>3</v>
      </c>
      <c r="C66" s="67">
        <v>7.494004796163069E-5</v>
      </c>
      <c r="D66" s="66">
        <v>2.2482014388489207E-4</v>
      </c>
    </row>
    <row r="67" spans="1:4">
      <c r="A67" t="s">
        <v>847</v>
      </c>
      <c r="B67" s="66">
        <v>2</v>
      </c>
      <c r="C67" s="67">
        <v>7.494004796163069E-5</v>
      </c>
      <c r="D67" s="66">
        <v>1.4988009592326138E-4</v>
      </c>
    </row>
    <row r="68" spans="1:4">
      <c r="A68" t="s">
        <v>532</v>
      </c>
      <c r="B68" s="66">
        <v>19.090116500854492</v>
      </c>
      <c r="C68" s="67">
        <v>2.5779376498800959E-2</v>
      </c>
      <c r="D68" s="66">
        <v>0.49213130068150068</v>
      </c>
    </row>
    <row r="69" spans="1:4">
      <c r="A69" t="s">
        <v>539</v>
      </c>
      <c r="B69" s="66">
        <v>17.656976699829102</v>
      </c>
      <c r="C69" s="67">
        <v>2.5779376498800959E-2</v>
      </c>
      <c r="D69" s="66">
        <v>0.45518585017545043</v>
      </c>
    </row>
    <row r="70" spans="1:4">
      <c r="A70" t="s">
        <v>848</v>
      </c>
      <c r="B70" s="66">
        <v>8.7647056579589844</v>
      </c>
      <c r="C70" s="67">
        <v>2.4205635491606713E-2</v>
      </c>
      <c r="D70" s="66">
        <v>0.21215527034777817</v>
      </c>
    </row>
    <row r="71" spans="1:4">
      <c r="A71" t="s">
        <v>547</v>
      </c>
      <c r="B71" s="66">
        <v>27.953845977783203</v>
      </c>
      <c r="C71" s="67">
        <v>9.7422062350119906E-3</v>
      </c>
      <c r="D71" s="66">
        <v>0.27233213257732436</v>
      </c>
    </row>
    <row r="72" spans="1:4">
      <c r="A72" t="s">
        <v>553</v>
      </c>
      <c r="B72" s="66">
        <v>21.25</v>
      </c>
      <c r="C72" s="67">
        <v>1.7985611510791368E-3</v>
      </c>
      <c r="D72" s="66">
        <v>3.821942446043166E-2</v>
      </c>
    </row>
    <row r="73" spans="1:4">
      <c r="A73" t="s">
        <v>562</v>
      </c>
      <c r="B73" s="66">
        <v>14.384955406188965</v>
      </c>
      <c r="C73" s="67">
        <v>3.3872901678657072E-2</v>
      </c>
      <c r="D73" s="66">
        <v>0.48726018012570532</v>
      </c>
    </row>
    <row r="74" spans="1:4">
      <c r="A74" t="s">
        <v>849</v>
      </c>
      <c r="B74" s="66">
        <v>9.4380531311035156</v>
      </c>
      <c r="C74" s="67">
        <v>3.3872901678657072E-2</v>
      </c>
      <c r="D74" s="66">
        <v>0.31969424574781091</v>
      </c>
    </row>
    <row r="75" spans="1:4">
      <c r="A75" t="s">
        <v>567</v>
      </c>
      <c r="B75" s="66">
        <v>27.766990661621094</v>
      </c>
      <c r="C75" s="67">
        <v>7.7188249400479613E-3</v>
      </c>
      <c r="D75" s="66">
        <v>0.21432854002899973</v>
      </c>
    </row>
    <row r="76" spans="1:4">
      <c r="A76" t="s">
        <v>577</v>
      </c>
      <c r="B76" s="66">
        <v>13.705752372741699</v>
      </c>
      <c r="C76" s="67">
        <v>3.3872901678657072E-2</v>
      </c>
      <c r="D76" s="66">
        <v>0.46425360255390047</v>
      </c>
    </row>
    <row r="77" spans="1:4">
      <c r="A77" t="s">
        <v>850</v>
      </c>
      <c r="B77" s="66">
        <v>12.77690315246582</v>
      </c>
      <c r="C77" s="67">
        <v>1</v>
      </c>
      <c r="D77" s="66">
        <v>12.77690315246582</v>
      </c>
    </row>
    <row r="78" spans="1:4">
      <c r="A78" t="s">
        <v>587</v>
      </c>
      <c r="B78" s="66">
        <v>21.398605346679688</v>
      </c>
      <c r="C78" s="67">
        <v>1</v>
      </c>
      <c r="D78" s="66">
        <v>21.398605346679688</v>
      </c>
    </row>
    <row r="79" spans="1:4">
      <c r="A79" t="s">
        <v>591</v>
      </c>
      <c r="B79" s="66">
        <v>14.980740547180176</v>
      </c>
      <c r="C79" s="67">
        <v>1</v>
      </c>
      <c r="D79" s="66">
        <v>14.980740547180176</v>
      </c>
    </row>
    <row r="80" spans="1:4">
      <c r="A80" t="s">
        <v>595</v>
      </c>
      <c r="B80" s="66">
        <v>13.723021507263184</v>
      </c>
      <c r="C80" s="67">
        <v>1</v>
      </c>
      <c r="D80" s="66">
        <v>13.723021507263184</v>
      </c>
    </row>
    <row r="81" spans="1:4">
      <c r="A81" t="s">
        <v>599</v>
      </c>
      <c r="B81" s="66">
        <v>13.062200546264648</v>
      </c>
      <c r="C81" s="67">
        <v>1</v>
      </c>
      <c r="D81" s="66">
        <v>13.062200546264648</v>
      </c>
    </row>
    <row r="82" spans="1:4">
      <c r="A82" t="s">
        <v>603</v>
      </c>
      <c r="B82" s="66">
        <v>13.09532356262207</v>
      </c>
      <c r="C82" s="67">
        <v>1</v>
      </c>
      <c r="D82" s="66">
        <v>13.09532356262207</v>
      </c>
    </row>
    <row r="83" spans="1:4">
      <c r="A83" t="s">
        <v>607</v>
      </c>
      <c r="B83" s="66">
        <v>16.101019184652277</v>
      </c>
      <c r="C83" s="67">
        <v>1</v>
      </c>
      <c r="D83" s="66">
        <v>16.101019184652277</v>
      </c>
    </row>
    <row r="84" spans="1:4">
      <c r="A84" t="s">
        <v>611</v>
      </c>
      <c r="B84" s="66">
        <v>11.765043258666992</v>
      </c>
      <c r="C84" s="67">
        <v>0.32628896882494007</v>
      </c>
      <c r="D84" s="66">
        <v>3.8388038330512657</v>
      </c>
    </row>
    <row r="85" spans="1:4">
      <c r="A85" t="s">
        <v>615</v>
      </c>
      <c r="B85" s="66">
        <v>12.432478904724121</v>
      </c>
      <c r="C85" s="67">
        <v>1</v>
      </c>
      <c r="D85" s="66">
        <v>12.432478904724121</v>
      </c>
    </row>
    <row r="86" spans="1:4">
      <c r="A86" t="s">
        <v>619</v>
      </c>
      <c r="B86" s="66">
        <v>8.9801836013793945</v>
      </c>
      <c r="C86" s="67">
        <v>0.25337230215827339</v>
      </c>
      <c r="D86" s="66">
        <v>2.2753297928854717</v>
      </c>
    </row>
    <row r="87" spans="1:4">
      <c r="A87" t="s">
        <v>622</v>
      </c>
      <c r="B87" s="66">
        <v>11.089328765869141</v>
      </c>
      <c r="C87" s="67">
        <v>1</v>
      </c>
      <c r="D87" s="66">
        <v>11.089328765869141</v>
      </c>
    </row>
    <row r="88" spans="1:4">
      <c r="A88" t="s">
        <v>626</v>
      </c>
      <c r="B88" s="66">
        <v>8.0683355331420898</v>
      </c>
      <c r="C88" s="67">
        <v>0.14366007194244604</v>
      </c>
      <c r="D88" s="66">
        <v>1.1590976631469863</v>
      </c>
    </row>
    <row r="89" spans="1:4">
      <c r="A89" t="s">
        <v>851</v>
      </c>
      <c r="B89" s="66">
        <v>5.7112536430358887</v>
      </c>
      <c r="C89" s="67">
        <v>0.80508093525179858</v>
      </c>
      <c r="D89" s="66">
        <v>4.5980214243955748</v>
      </c>
    </row>
    <row r="90" spans="1:4">
      <c r="A90" t="s">
        <v>633</v>
      </c>
      <c r="B90" s="66">
        <v>19.851530075073242</v>
      </c>
      <c r="C90" s="67">
        <v>0.31092625899280574</v>
      </c>
      <c r="D90" s="66">
        <v>6.1723619815256949</v>
      </c>
    </row>
    <row r="91" spans="1:4">
      <c r="A91" t="s">
        <v>637</v>
      </c>
      <c r="B91" s="66">
        <v>15.436671257019043</v>
      </c>
      <c r="C91" s="67">
        <v>0.7969874100719424</v>
      </c>
      <c r="D91" s="66">
        <v>12.302832645263603</v>
      </c>
    </row>
    <row r="92" spans="1:4">
      <c r="A92" t="s">
        <v>646</v>
      </c>
      <c r="B92" s="66">
        <v>12.408086776733398</v>
      </c>
      <c r="C92" s="67">
        <v>0.7969874100719424</v>
      </c>
      <c r="D92" s="66">
        <v>9.8890889441366667</v>
      </c>
    </row>
    <row r="93" spans="1:4">
      <c r="A93" t="s">
        <v>648</v>
      </c>
      <c r="B93" s="66">
        <v>9.2894678115844727</v>
      </c>
      <c r="C93" s="67">
        <v>0.31092625899280574</v>
      </c>
      <c r="D93" s="66">
        <v>2.8883394746900461</v>
      </c>
    </row>
    <row r="94" spans="1:4">
      <c r="A94" t="s">
        <v>852</v>
      </c>
      <c r="B94" s="66">
        <v>15.059520721435547</v>
      </c>
      <c r="C94" s="67">
        <v>0.7969874100719424</v>
      </c>
      <c r="D94" s="66">
        <v>12.002248416701667</v>
      </c>
    </row>
    <row r="95" spans="1:4">
      <c r="A95" t="s">
        <v>656</v>
      </c>
      <c r="B95" s="66">
        <v>15.543986320495605</v>
      </c>
      <c r="C95" s="67">
        <v>0.31092625899280574</v>
      </c>
      <c r="D95" s="66">
        <v>4.8330335164670464</v>
      </c>
    </row>
    <row r="96" spans="1:4">
      <c r="A96" t="s">
        <v>853</v>
      </c>
      <c r="B96" s="66">
        <v>12.996181488037109</v>
      </c>
      <c r="C96" s="67">
        <v>0.78507194244604317</v>
      </c>
      <c r="D96" s="66">
        <v>10.202937445194602</v>
      </c>
    </row>
    <row r="97" spans="1:4">
      <c r="A97" t="s">
        <v>664</v>
      </c>
      <c r="B97" s="66">
        <v>10.668112754821777</v>
      </c>
      <c r="C97" s="67">
        <v>0.31092625899280574</v>
      </c>
      <c r="D97" s="66">
        <v>3.3169963893701704</v>
      </c>
    </row>
    <row r="98" spans="1:4">
      <c r="A98" t="s">
        <v>666</v>
      </c>
      <c r="B98" s="66">
        <v>9.716710090637207</v>
      </c>
      <c r="C98" s="67">
        <v>0.43277877697841727</v>
      </c>
      <c r="D98" s="66">
        <v>4.2051859092798161</v>
      </c>
    </row>
    <row r="99" spans="1:4">
      <c r="A99" t="s">
        <v>668</v>
      </c>
      <c r="B99" s="66">
        <v>10.953365325927734</v>
      </c>
      <c r="C99" s="67">
        <v>0.63796462829736211</v>
      </c>
      <c r="D99" s="66">
        <v>6.9878596387607015</v>
      </c>
    </row>
    <row r="100" spans="1:4">
      <c r="A100" t="s">
        <v>670</v>
      </c>
      <c r="B100" s="66">
        <v>10.114131927490234</v>
      </c>
      <c r="C100" s="67">
        <v>0.23703537170263789</v>
      </c>
      <c r="D100" s="66">
        <v>2.3974070208821652</v>
      </c>
    </row>
    <row r="101" spans="1:4">
      <c r="A101" t="s">
        <v>854</v>
      </c>
      <c r="B101" s="66">
        <v>3.6575121879577637</v>
      </c>
      <c r="C101" s="67">
        <v>4.6387889688249404E-2</v>
      </c>
      <c r="D101" s="66">
        <v>0.16966427190841246</v>
      </c>
    </row>
    <row r="102" spans="1:4">
      <c r="A102" t="s">
        <v>672</v>
      </c>
      <c r="B102" s="66">
        <v>10.867705345153809</v>
      </c>
      <c r="C102" s="67">
        <v>0.79361510791366907</v>
      </c>
      <c r="D102" s="66">
        <v>8.6247751502681975</v>
      </c>
    </row>
    <row r="103" spans="1:4">
      <c r="A103" t="s">
        <v>855</v>
      </c>
      <c r="B103" s="66">
        <v>21.533300399780273</v>
      </c>
      <c r="C103" s="67">
        <v>0.15190347721822542</v>
      </c>
      <c r="D103" s="66">
        <v>3.270983206711227</v>
      </c>
    </row>
    <row r="104" spans="1:4">
      <c r="A104" t="s">
        <v>674</v>
      </c>
      <c r="B104" s="66">
        <v>72.295135498046875</v>
      </c>
      <c r="C104" s="67">
        <v>0.84097721822541971</v>
      </c>
      <c r="D104" s="66">
        <v>60.798561942377255</v>
      </c>
    </row>
    <row r="105" spans="1:4">
      <c r="A105" t="s">
        <v>681</v>
      </c>
      <c r="B105" s="66">
        <v>3.7052218914031982</v>
      </c>
      <c r="C105" s="67">
        <v>0.84097721822541971</v>
      </c>
      <c r="D105" s="66">
        <v>3.1160071991401899</v>
      </c>
    </row>
    <row r="106" spans="1:4">
      <c r="A106" t="s">
        <v>856</v>
      </c>
      <c r="B106" s="66">
        <v>2.7029058933258057</v>
      </c>
      <c r="C106" s="67">
        <v>0.14958033573141488</v>
      </c>
      <c r="D106" s="66">
        <v>0.40430157097409386</v>
      </c>
    </row>
    <row r="107" spans="1:4">
      <c r="A107" t="s">
        <v>857</v>
      </c>
      <c r="B107" s="66">
        <v>18.146602630615234</v>
      </c>
      <c r="C107" s="67">
        <v>6.2874700239808151E-2</v>
      </c>
      <c r="D107" s="66">
        <v>1.1409622007708469</v>
      </c>
    </row>
    <row r="108" spans="1:4">
      <c r="A108" t="s">
        <v>858</v>
      </c>
      <c r="B108" s="66">
        <v>14.324113845825195</v>
      </c>
      <c r="C108" s="67">
        <v>8.6705635491606717E-2</v>
      </c>
      <c r="D108" s="66">
        <v>1.2419813938563962</v>
      </c>
    </row>
    <row r="109" spans="1:4">
      <c r="A109" t="s">
        <v>859</v>
      </c>
      <c r="B109" s="66">
        <v>7.9697494506835938</v>
      </c>
      <c r="C109" s="67">
        <v>8.6705635491606717E-2</v>
      </c>
      <c r="D109" s="66">
        <v>0.6910221908304045</v>
      </c>
    </row>
    <row r="110" spans="1:4">
      <c r="A110" t="s">
        <v>860</v>
      </c>
      <c r="B110" s="66">
        <v>7.6092715263366699</v>
      </c>
      <c r="C110" s="67">
        <v>3.3947841726618702E-2</v>
      </c>
      <c r="D110" s="66">
        <v>0.25831834543094356</v>
      </c>
    </row>
    <row r="111" spans="1:4">
      <c r="A111" t="s">
        <v>861</v>
      </c>
      <c r="B111" s="66">
        <v>7.3416147232055664</v>
      </c>
      <c r="C111" s="67">
        <v>1.2065347721822542E-2</v>
      </c>
      <c r="D111" s="66">
        <v>8.8579134475127108E-2</v>
      </c>
    </row>
    <row r="112" spans="1:4">
      <c r="A112" t="s">
        <v>862</v>
      </c>
      <c r="B112" s="66">
        <v>7.5166668891906738</v>
      </c>
      <c r="C112" s="67">
        <v>4.4964028776978415E-3</v>
      </c>
      <c r="D112" s="66">
        <v>3.379796263125303E-2</v>
      </c>
    </row>
    <row r="113" spans="1:4">
      <c r="A113" t="s">
        <v>863</v>
      </c>
      <c r="B113" s="66">
        <v>8.3076925277709961</v>
      </c>
      <c r="C113" s="67">
        <v>1.9484412470023981E-3</v>
      </c>
      <c r="D113" s="66">
        <v>1.6187050788522624E-2</v>
      </c>
    </row>
    <row r="114" spans="1:4">
      <c r="A114" t="s">
        <v>864</v>
      </c>
      <c r="B114" s="66">
        <v>7.769230842590332</v>
      </c>
      <c r="C114" s="67">
        <v>9.7422062350119906E-4</v>
      </c>
      <c r="D114" s="66">
        <v>7.5689449155930998E-3</v>
      </c>
    </row>
    <row r="115" spans="1:4">
      <c r="A115" t="s">
        <v>865</v>
      </c>
      <c r="B115" s="66">
        <v>9.3333330154418945</v>
      </c>
      <c r="C115" s="67">
        <v>4.496402877697842E-4</v>
      </c>
      <c r="D115" s="66">
        <v>4.1966425429145211E-3</v>
      </c>
    </row>
    <row r="116" spans="1:4">
      <c r="A116" t="s">
        <v>866</v>
      </c>
      <c r="B116" s="66">
        <v>6.1999998092651367</v>
      </c>
      <c r="C116" s="67">
        <v>3.7470023980815348E-4</v>
      </c>
      <c r="D116" s="66">
        <v>2.3231414153421525E-3</v>
      </c>
    </row>
    <row r="117" spans="1:4">
      <c r="A117" t="s">
        <v>867</v>
      </c>
      <c r="B117" s="66">
        <v>15.666666984558105</v>
      </c>
      <c r="C117" s="67">
        <v>2.248201438848921E-4</v>
      </c>
      <c r="D117" s="66">
        <v>3.5221823256650418E-3</v>
      </c>
    </row>
    <row r="118" spans="1:4">
      <c r="A118" t="s">
        <v>868</v>
      </c>
      <c r="B118" s="66">
        <v>19.828245162963867</v>
      </c>
      <c r="C118" s="67">
        <v>0.63092026378896882</v>
      </c>
      <c r="D118" s="66">
        <v>12.510041668689508</v>
      </c>
    </row>
    <row r="119" spans="1:4">
      <c r="A119" t="s">
        <v>767</v>
      </c>
      <c r="B119" s="66">
        <v>49.529693603515625</v>
      </c>
      <c r="C119" s="67">
        <v>0.67386091127098324</v>
      </c>
      <c r="D119" s="66">
        <v>33.376124466637627</v>
      </c>
    </row>
    <row r="120" spans="1:4">
      <c r="A120" t="s">
        <v>869</v>
      </c>
      <c r="B120" s="66">
        <v>10.34935474395752</v>
      </c>
      <c r="C120" s="67">
        <v>6.3923860911270988E-2</v>
      </c>
      <c r="D120" s="66">
        <v>0.66157071317414307</v>
      </c>
    </row>
    <row r="121" spans="1:4">
      <c r="A121" t="s">
        <v>870</v>
      </c>
      <c r="B121" s="66">
        <v>9.9121618270874023</v>
      </c>
      <c r="C121" s="67">
        <v>2.2182254196642687E-2</v>
      </c>
      <c r="D121" s="66">
        <v>0.21987409328671098</v>
      </c>
    </row>
    <row r="122" spans="1:4">
      <c r="A122" t="s">
        <v>871</v>
      </c>
      <c r="B122" s="66">
        <v>12.817567825317383</v>
      </c>
      <c r="C122" s="67">
        <v>2.2182254196642687E-2</v>
      </c>
      <c r="D122" s="66">
        <v>0.28432254768389881</v>
      </c>
    </row>
    <row r="123" spans="1:4">
      <c r="A123" t="s">
        <v>775</v>
      </c>
      <c r="B123" s="66">
        <v>22.029750823974609</v>
      </c>
      <c r="C123" s="67">
        <v>1</v>
      </c>
      <c r="D123" s="66">
        <v>22.029750823974609</v>
      </c>
    </row>
    <row r="124" spans="1:4">
      <c r="A124" t="s">
        <v>794</v>
      </c>
      <c r="B124" s="66">
        <v>36.783046722412109</v>
      </c>
      <c r="C124" s="67">
        <v>1</v>
      </c>
      <c r="D124" s="66">
        <v>36.783046722412109</v>
      </c>
    </row>
    <row r="125" spans="1:4">
      <c r="A125" t="s">
        <v>180</v>
      </c>
      <c r="B125" s="66">
        <v>13.760138511657715</v>
      </c>
      <c r="C125" s="67">
        <v>0.28087529976019182</v>
      </c>
      <c r="D125" s="66">
        <v>3.8648830292036203</v>
      </c>
    </row>
    <row r="126" spans="1:4">
      <c r="A126" t="s">
        <v>640</v>
      </c>
      <c r="B126" s="66">
        <v>13.399938583374023</v>
      </c>
      <c r="C126" s="67">
        <v>0.48606115107913667</v>
      </c>
      <c r="D126" s="66">
        <v>6.5131895722245137</v>
      </c>
    </row>
    <row r="127" spans="1:4">
      <c r="A127" t="s">
        <v>642</v>
      </c>
      <c r="B127" s="66">
        <v>14.625933647155762</v>
      </c>
      <c r="C127" s="67">
        <v>0.28087529976019182</v>
      </c>
      <c r="D127" s="66">
        <v>4.1080634974175503</v>
      </c>
    </row>
    <row r="128" spans="1:4">
      <c r="A128" t="s">
        <v>872</v>
      </c>
      <c r="B128" s="66">
        <v>14.752389907836914</v>
      </c>
      <c r="C128" s="67">
        <v>0.48606115107913667</v>
      </c>
      <c r="D128" s="66">
        <v>7.1705636197714497</v>
      </c>
    </row>
    <row r="129" spans="1:4">
      <c r="A129" t="s">
        <v>873</v>
      </c>
      <c r="B129" s="66">
        <v>14.082502365112305</v>
      </c>
      <c r="C129" s="67">
        <v>0.16531774580335731</v>
      </c>
      <c r="D129" s="66">
        <v>2.3280875462708139</v>
      </c>
    </row>
    <row r="130" spans="1:4">
      <c r="A130" t="s">
        <v>874</v>
      </c>
      <c r="B130" s="66">
        <v>15.481228828430176</v>
      </c>
      <c r="C130" s="67">
        <v>2.1957434052757793E-2</v>
      </c>
      <c r="D130" s="66">
        <v>0.33992806105590839</v>
      </c>
    </row>
    <row r="131" spans="1:4">
      <c r="A131" t="s">
        <v>41</v>
      </c>
      <c r="B131" s="66">
        <v>3.062232494354248</v>
      </c>
      <c r="C131" s="67">
        <v>0.68277877697841727</v>
      </c>
      <c r="D131" s="66">
        <v>2.0908273573187617</v>
      </c>
    </row>
    <row r="132" spans="1:4">
      <c r="A132" t="s">
        <v>875</v>
      </c>
      <c r="B132" s="66">
        <v>10.030631065368652</v>
      </c>
      <c r="C132" s="67">
        <v>0.15902278177458035</v>
      </c>
      <c r="D132" s="66">
        <v>1.5950988549694456</v>
      </c>
    </row>
    <row r="133" spans="1:4">
      <c r="A133" t="s">
        <v>876</v>
      </c>
      <c r="B133" s="66">
        <v>11.380664825439453</v>
      </c>
      <c r="C133" s="67">
        <v>2.4805155875299759E-2</v>
      </c>
      <c r="D133" s="66">
        <v>0.28229916495956675</v>
      </c>
    </row>
    <row r="134" spans="1:4">
      <c r="A134" t="s">
        <v>183</v>
      </c>
      <c r="B134" s="66">
        <v>30.646188735961914</v>
      </c>
      <c r="C134" s="67">
        <v>0.56722122302158273</v>
      </c>
      <c r="D134" s="66">
        <v>17.383168655762571</v>
      </c>
    </row>
    <row r="135" spans="1:4">
      <c r="A135" t="s">
        <v>877</v>
      </c>
      <c r="B135" s="66">
        <v>10.112629890441895</v>
      </c>
      <c r="C135" s="67">
        <v>0.15902278177458035</v>
      </c>
      <c r="D135" s="66">
        <v>1.6081385362348397</v>
      </c>
    </row>
    <row r="136" spans="1:4">
      <c r="A136" t="s">
        <v>878</v>
      </c>
      <c r="B136" s="66">
        <v>13.900094032287598</v>
      </c>
      <c r="C136" s="67">
        <v>0.15902278177458035</v>
      </c>
      <c r="D136" s="66">
        <v>2.2104316199426171</v>
      </c>
    </row>
    <row r="137" spans="1:4">
      <c r="A137" t="s">
        <v>207</v>
      </c>
      <c r="B137" s="66">
        <v>8.2288064956665039</v>
      </c>
      <c r="C137" s="67">
        <v>0.36420863309352519</v>
      </c>
      <c r="D137" s="66">
        <v>2.9970023657778184</v>
      </c>
    </row>
    <row r="138" spans="1:4">
      <c r="A138" t="s">
        <v>879</v>
      </c>
      <c r="B138" s="66">
        <v>32.266731262207031</v>
      </c>
      <c r="C138" s="67">
        <v>0.15902278177458035</v>
      </c>
      <c r="D138" s="66">
        <v>5.1311453640889786</v>
      </c>
    </row>
    <row r="139" spans="1:4">
      <c r="A139" t="s">
        <v>880</v>
      </c>
      <c r="B139" s="66">
        <v>11.012422561645508</v>
      </c>
      <c r="C139" s="67">
        <v>8.4457434052757796E-2</v>
      </c>
      <c r="D139" s="66">
        <v>0.93008095226127752</v>
      </c>
    </row>
    <row r="140" spans="1:4">
      <c r="A140" t="s">
        <v>881</v>
      </c>
      <c r="B140" s="66">
        <v>59.445335388183594</v>
      </c>
      <c r="C140" s="67">
        <v>0.15902278177458035</v>
      </c>
      <c r="D140" s="66">
        <v>9.4531625969518576</v>
      </c>
    </row>
    <row r="141" spans="1:4">
      <c r="A141" t="s">
        <v>882</v>
      </c>
      <c r="B141" s="66">
        <v>31.696512222290039</v>
      </c>
      <c r="C141" s="67">
        <v>0.15902278177458035</v>
      </c>
      <c r="D141" s="66">
        <v>5.0404675461405475</v>
      </c>
    </row>
    <row r="142" spans="1:4">
      <c r="A142" t="s">
        <v>883</v>
      </c>
      <c r="B142" s="66">
        <v>18.788320541381836</v>
      </c>
      <c r="C142" s="67">
        <v>3.0800359712230215E-2</v>
      </c>
      <c r="D142" s="66">
        <v>0.57868703106324448</v>
      </c>
    </row>
    <row r="143" spans="1:4">
      <c r="A143" t="s">
        <v>884</v>
      </c>
      <c r="B143" s="66">
        <v>14.180000305175781</v>
      </c>
      <c r="C143" s="67">
        <v>1.1241007194244604E-2</v>
      </c>
      <c r="D143" s="66">
        <v>0.15939748544487164</v>
      </c>
    </row>
    <row r="144" spans="1:4">
      <c r="A144" t="s">
        <v>885</v>
      </c>
      <c r="B144" s="66">
        <v>14.373562812805176</v>
      </c>
      <c r="C144" s="67">
        <v>1.3039568345323741E-2</v>
      </c>
      <c r="D144" s="66">
        <v>0.18742505466337686</v>
      </c>
    </row>
    <row r="145" spans="1:4">
      <c r="A145" t="s">
        <v>886</v>
      </c>
      <c r="B145" s="66">
        <v>13.638889312744141</v>
      </c>
      <c r="C145" s="67">
        <v>2.6978417266187052E-3</v>
      </c>
      <c r="D145" s="66">
        <v>3.6795564692655054E-2</v>
      </c>
    </row>
    <row r="146" spans="1:4">
      <c r="A146" t="s">
        <v>654</v>
      </c>
      <c r="B146" s="66">
        <v>15.408385276794434</v>
      </c>
      <c r="C146" s="67">
        <v>0.14478417266187049</v>
      </c>
      <c r="D146" s="66">
        <v>2.2308903143560284</v>
      </c>
    </row>
    <row r="147" spans="1:4">
      <c r="A147" t="s">
        <v>887</v>
      </c>
      <c r="B147" s="66">
        <v>13.428935050964355</v>
      </c>
      <c r="C147" s="67">
        <v>0.14710731414868106</v>
      </c>
      <c r="D147" s="66">
        <v>1.9754945672244477</v>
      </c>
    </row>
    <row r="148" spans="1:4">
      <c r="A148" t="s">
        <v>888</v>
      </c>
      <c r="B148" s="66">
        <v>16.118755340576172</v>
      </c>
      <c r="C148" s="67">
        <v>0.15902278177458035</v>
      </c>
      <c r="D148" s="66">
        <v>2.563249313002296</v>
      </c>
    </row>
    <row r="149" spans="1:4">
      <c r="A149" t="s">
        <v>889</v>
      </c>
      <c r="B149" s="66">
        <v>24.200000762939453</v>
      </c>
      <c r="C149" s="67">
        <v>3.3723021582733811E-3</v>
      </c>
      <c r="D149" s="66">
        <v>8.1609714803078187E-2</v>
      </c>
    </row>
    <row r="150" spans="1:4">
      <c r="A150" t="s">
        <v>890</v>
      </c>
      <c r="B150" s="66">
        <v>15.139491081237793</v>
      </c>
      <c r="C150" s="67">
        <v>0.15902278177458035</v>
      </c>
      <c r="D150" s="66">
        <v>2.407523986389883</v>
      </c>
    </row>
    <row r="151" spans="1:4">
      <c r="A151" t="s">
        <v>891</v>
      </c>
      <c r="B151" s="66">
        <v>17.901508331298828</v>
      </c>
      <c r="C151" s="67">
        <v>0.15902278177458035</v>
      </c>
      <c r="D151" s="66">
        <v>2.8467476528039657</v>
      </c>
    </row>
    <row r="152" spans="1:4">
      <c r="A152" t="s">
        <v>892</v>
      </c>
      <c r="B152" s="66">
        <v>27.199811935424805</v>
      </c>
      <c r="C152" s="67">
        <v>0.15902278177458035</v>
      </c>
      <c r="D152" s="66">
        <v>4.3253897577166844</v>
      </c>
    </row>
    <row r="153" spans="1:4">
      <c r="A153" t="s">
        <v>893</v>
      </c>
      <c r="B153" s="66">
        <v>20.648445129394531</v>
      </c>
      <c r="C153" s="67">
        <v>0.15902278177458035</v>
      </c>
      <c r="D153" s="66">
        <v>3.2835731837961029</v>
      </c>
    </row>
    <row r="154" spans="1:4">
      <c r="A154" t="s">
        <v>894</v>
      </c>
      <c r="B154" s="66">
        <v>55.302074432373047</v>
      </c>
      <c r="C154" s="67">
        <v>0.15902278177458035</v>
      </c>
      <c r="D154" s="66">
        <v>8.7942897141408576</v>
      </c>
    </row>
    <row r="155" spans="1:4">
      <c r="A155" t="s">
        <v>895</v>
      </c>
      <c r="B155" s="66">
        <v>24.500471115112305</v>
      </c>
      <c r="C155" s="67">
        <v>0.15902278177458035</v>
      </c>
      <c r="D155" s="66">
        <v>3.8961330715129132</v>
      </c>
    </row>
    <row r="156" spans="1:4">
      <c r="A156" t="s">
        <v>896</v>
      </c>
      <c r="B156" s="66">
        <v>24.924598693847656</v>
      </c>
      <c r="C156" s="67">
        <v>0.15902278177458035</v>
      </c>
      <c r="D156" s="66">
        <v>3.9635790189107261</v>
      </c>
    </row>
    <row r="157" spans="1:4">
      <c r="A157" t="s">
        <v>897</v>
      </c>
      <c r="B157" s="66">
        <v>17.525918960571289</v>
      </c>
      <c r="C157" s="67">
        <v>0.15902278177458035</v>
      </c>
      <c r="D157" s="66">
        <v>2.7870203862659082</v>
      </c>
    </row>
    <row r="158" spans="1:4">
      <c r="A158" t="s">
        <v>898</v>
      </c>
      <c r="B158" s="66">
        <v>28.034400939941406</v>
      </c>
      <c r="C158" s="67">
        <v>0.15902278177458035</v>
      </c>
      <c r="D158" s="66">
        <v>4.4581084228533925</v>
      </c>
    </row>
    <row r="159" spans="1:4">
      <c r="A159" t="s">
        <v>899</v>
      </c>
      <c r="B159" s="66">
        <v>15.688972473144531</v>
      </c>
      <c r="C159" s="67">
        <v>0.15902278177458035</v>
      </c>
      <c r="D159" s="66">
        <v>2.4949040458642608</v>
      </c>
    </row>
    <row r="160" spans="1:4">
      <c r="A160" t="s">
        <v>900</v>
      </c>
      <c r="B160" s="66">
        <v>21.188030242919922</v>
      </c>
      <c r="C160" s="67">
        <v>0.15902278177458035</v>
      </c>
      <c r="D160" s="66">
        <v>3.3693795095530632</v>
      </c>
    </row>
    <row r="161" spans="1:4">
      <c r="A161" t="s">
        <v>901</v>
      </c>
      <c r="B161" s="66">
        <v>10.56944465637207</v>
      </c>
      <c r="C161" s="67">
        <v>5.3956834532374104E-3</v>
      </c>
      <c r="D161" s="66">
        <v>5.7029377642295348E-2</v>
      </c>
    </row>
    <row r="162" spans="1:4">
      <c r="A162" t="s">
        <v>808</v>
      </c>
      <c r="B162" s="66">
        <v>17.507846832275391</v>
      </c>
      <c r="C162" s="67">
        <v>0.68277877697841727</v>
      </c>
      <c r="D162" s="66">
        <v>11.953986247666448</v>
      </c>
    </row>
    <row r="163" spans="1:4">
      <c r="A163" t="s">
        <v>52</v>
      </c>
      <c r="B163" s="66">
        <v>4.6240768432617188</v>
      </c>
      <c r="C163" s="67">
        <v>0.20293764988009591</v>
      </c>
      <c r="D163" s="66">
        <v>0.9383992874365058</v>
      </c>
    </row>
    <row r="164" spans="1:4">
      <c r="A164" t="s">
        <v>902</v>
      </c>
      <c r="B164" s="66">
        <v>10.743817329406738</v>
      </c>
      <c r="C164" s="67">
        <v>0.20301258992805754</v>
      </c>
      <c r="D164" s="66">
        <v>2.1811301817568083</v>
      </c>
    </row>
    <row r="165" spans="1:4">
      <c r="A165" t="s">
        <v>903</v>
      </c>
      <c r="B165" s="66"/>
      <c r="C165" s="67">
        <v>0</v>
      </c>
      <c r="D165" s="66">
        <v>0</v>
      </c>
    </row>
    <row r="166" spans="1:4">
      <c r="A166" t="s">
        <v>325</v>
      </c>
      <c r="B166" s="66">
        <v>56.471023559570312</v>
      </c>
      <c r="C166" s="67">
        <v>0.20301258992805754</v>
      </c>
      <c r="D166" s="66">
        <v>11.464328748716724</v>
      </c>
    </row>
    <row r="167" spans="1:4">
      <c r="A167" t="s">
        <v>904</v>
      </c>
      <c r="B167" s="66">
        <v>31</v>
      </c>
      <c r="C167" s="67">
        <v>4.0467625899280575E-3</v>
      </c>
      <c r="D167" s="66">
        <v>0.12544964028776978</v>
      </c>
    </row>
    <row r="168" spans="1:4">
      <c r="A168" t="s">
        <v>905</v>
      </c>
      <c r="B168" s="66">
        <v>30.833333969116211</v>
      </c>
      <c r="C168" s="67">
        <v>4.0467625899280575E-3</v>
      </c>
      <c r="D168" s="66">
        <v>0.12477518242897748</v>
      </c>
    </row>
    <row r="169" spans="1:4">
      <c r="A169" t="s">
        <v>407</v>
      </c>
      <c r="B169" s="66">
        <v>16.882986068725586</v>
      </c>
      <c r="C169" s="67">
        <v>0.11848021582733813</v>
      </c>
      <c r="D169" s="66">
        <v>2.0002998332325501</v>
      </c>
    </row>
    <row r="170" spans="1:4">
      <c r="A170" t="s">
        <v>436</v>
      </c>
      <c r="B170" s="66">
        <v>16.826990127563477</v>
      </c>
      <c r="C170" s="67">
        <v>8.6630695443645087E-2</v>
      </c>
      <c r="D170" s="66">
        <v>1.457733856974174</v>
      </c>
    </row>
    <row r="171" spans="1:4">
      <c r="A171" t="s">
        <v>906</v>
      </c>
      <c r="B171" s="66">
        <v>39.486873626708984</v>
      </c>
      <c r="C171" s="67">
        <v>3.139988009592326E-2</v>
      </c>
      <c r="D171" s="66">
        <v>1.2398830972415367</v>
      </c>
    </row>
    <row r="172" spans="1:4">
      <c r="A172" t="s">
        <v>485</v>
      </c>
      <c r="B172" s="66">
        <v>15.938098907470703</v>
      </c>
      <c r="C172" s="67">
        <v>0.10169364508393286</v>
      </c>
      <c r="D172" s="66">
        <v>1.6208033736089438</v>
      </c>
    </row>
    <row r="173" spans="1:4">
      <c r="A173" t="s">
        <v>511</v>
      </c>
      <c r="B173" s="66">
        <v>13.330855369567871</v>
      </c>
      <c r="C173" s="67">
        <v>6.047661870503597E-2</v>
      </c>
      <c r="D173" s="66">
        <v>0.80620505719733748</v>
      </c>
    </row>
    <row r="174" spans="1:4">
      <c r="A174" t="s">
        <v>907</v>
      </c>
      <c r="B174" s="66">
        <v>16.437650680541992</v>
      </c>
      <c r="C174" s="67">
        <v>6.25E-2</v>
      </c>
      <c r="D174" s="66">
        <v>1.0273531675338745</v>
      </c>
    </row>
    <row r="175" spans="1:4">
      <c r="A175" t="s">
        <v>908</v>
      </c>
      <c r="B175" s="66">
        <v>8.6666669845581055</v>
      </c>
      <c r="C175" s="67">
        <v>6.7446043165467629E-4</v>
      </c>
      <c r="D175" s="66">
        <v>5.8453239554123919E-3</v>
      </c>
    </row>
    <row r="176" spans="1:4">
      <c r="A176" t="s">
        <v>543</v>
      </c>
      <c r="B176" s="66">
        <v>12.523809432983398</v>
      </c>
      <c r="C176" s="67">
        <v>1.5737410071942446E-3</v>
      </c>
      <c r="D176" s="66">
        <v>1.9709232470972074E-2</v>
      </c>
    </row>
    <row r="177" spans="1:4">
      <c r="A177" t="s">
        <v>909</v>
      </c>
      <c r="B177" s="66">
        <v>22.220184326171875</v>
      </c>
      <c r="C177" s="67">
        <v>8.1684652278177453E-3</v>
      </c>
      <c r="D177" s="66">
        <v>0.18150480302403585</v>
      </c>
    </row>
    <row r="178" spans="1:4">
      <c r="A178" t="s">
        <v>910</v>
      </c>
      <c r="B178" s="66">
        <v>12.889907836914062</v>
      </c>
      <c r="C178" s="67">
        <v>8.1684652278177453E-3</v>
      </c>
      <c r="D178" s="66">
        <v>0.10529076395560796</v>
      </c>
    </row>
    <row r="179" spans="1:4">
      <c r="A179" t="s">
        <v>911</v>
      </c>
      <c r="B179" s="66">
        <v>14.844037055969238</v>
      </c>
      <c r="C179" s="67">
        <v>8.1684652278177453E-3</v>
      </c>
      <c r="D179" s="66">
        <v>0.12125300053212282</v>
      </c>
    </row>
    <row r="180" spans="1:4">
      <c r="A180" t="s">
        <v>912</v>
      </c>
      <c r="B180" s="66">
        <v>18.513761520385742</v>
      </c>
      <c r="C180" s="67">
        <v>8.1684652278177453E-3</v>
      </c>
      <c r="D180" s="66">
        <v>0.15122901721538112</v>
      </c>
    </row>
    <row r="181" spans="1:4">
      <c r="A181" t="s">
        <v>913</v>
      </c>
      <c r="B181" s="66">
        <v>16.880733489990234</v>
      </c>
      <c r="C181" s="67">
        <v>8.1684652278177453E-3</v>
      </c>
      <c r="D181" s="66">
        <v>0.13788968453304373</v>
      </c>
    </row>
    <row r="182" spans="1:4">
      <c r="A182" t="s">
        <v>914</v>
      </c>
      <c r="B182" s="66">
        <v>17.431192398071289</v>
      </c>
      <c r="C182" s="67">
        <v>8.1684652278177453E-3</v>
      </c>
      <c r="D182" s="66">
        <v>0.14238608898304633</v>
      </c>
    </row>
    <row r="183" spans="1:4">
      <c r="A183" t="s">
        <v>915</v>
      </c>
      <c r="B183" s="66">
        <v>14.110092163085938</v>
      </c>
      <c r="C183" s="67">
        <v>8.1684652278177453E-3</v>
      </c>
      <c r="D183" s="66">
        <v>0.11525779719547116</v>
      </c>
    </row>
    <row r="184" spans="1:4">
      <c r="A184" t="s">
        <v>916</v>
      </c>
      <c r="B184" s="66">
        <v>15.256880760192871</v>
      </c>
      <c r="C184" s="67">
        <v>8.1684652278177453E-3</v>
      </c>
      <c r="D184" s="66">
        <v>0.12462529997459704</v>
      </c>
    </row>
    <row r="185" spans="1:4">
      <c r="A185" t="s">
        <v>917</v>
      </c>
      <c r="B185" s="66">
        <v>12.284403800964355</v>
      </c>
      <c r="C185" s="67">
        <v>8.1684652278177453E-3</v>
      </c>
      <c r="D185" s="66">
        <v>0.10034472529264948</v>
      </c>
    </row>
    <row r="186" spans="1:4">
      <c r="A186" t="s">
        <v>918</v>
      </c>
      <c r="B186" s="66">
        <v>12.577981948852539</v>
      </c>
      <c r="C186" s="67">
        <v>8.1684652278177453E-3</v>
      </c>
      <c r="D186" s="66">
        <v>0.10274280818532125</v>
      </c>
    </row>
    <row r="187" spans="1:4">
      <c r="A187" t="s">
        <v>750</v>
      </c>
      <c r="B187" s="66">
        <v>16.782251358032227</v>
      </c>
      <c r="C187" s="67">
        <v>0.16381894484412471</v>
      </c>
      <c r="D187" s="66">
        <v>2.7492507095817182</v>
      </c>
    </row>
    <row r="188" spans="1:4">
      <c r="A188" t="s">
        <v>644</v>
      </c>
      <c r="B188" s="66">
        <v>11.787801742553711</v>
      </c>
      <c r="C188" s="67">
        <v>0.20518585131894485</v>
      </c>
      <c r="D188" s="66">
        <v>2.4186901357248245</v>
      </c>
    </row>
    <row r="189" spans="1:4">
      <c r="A189" t="s">
        <v>314</v>
      </c>
      <c r="B189" s="66">
        <v>46.247528076171875</v>
      </c>
      <c r="C189" s="67">
        <v>1</v>
      </c>
      <c r="D189" s="66">
        <v>46.247528076171875</v>
      </c>
    </row>
    <row r="190" spans="1:4">
      <c r="A190" t="s">
        <v>919</v>
      </c>
      <c r="B190" s="66">
        <v>0.1537020355463028</v>
      </c>
      <c r="C190" s="67">
        <v>1</v>
      </c>
      <c r="D190" s="66">
        <v>0.1537020355463028</v>
      </c>
    </row>
    <row r="191" spans="1:4">
      <c r="A191" t="s">
        <v>920</v>
      </c>
      <c r="B191" s="66">
        <v>0.67963129281997681</v>
      </c>
      <c r="C191" s="67">
        <v>1</v>
      </c>
      <c r="D191" s="66">
        <v>0.67963129281997681</v>
      </c>
    </row>
    <row r="192" spans="1:4">
      <c r="A192" t="s">
        <v>921</v>
      </c>
      <c r="B192" s="66">
        <v>2.892535924911499</v>
      </c>
      <c r="C192" s="67">
        <v>1</v>
      </c>
      <c r="D192" s="66">
        <v>2.892535924911499</v>
      </c>
    </row>
    <row r="193" spans="1:4">
      <c r="A193" t="s">
        <v>922</v>
      </c>
      <c r="B193" s="66">
        <v>3.3438248634338379</v>
      </c>
      <c r="C193" s="67">
        <v>1</v>
      </c>
      <c r="D193" s="66">
        <v>3.3438248634338379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F94"/>
  <sheetViews>
    <sheetView tabSelected="1" workbookViewId="0">
      <pane ySplit="3" topLeftCell="A4" activePane="bottomLeft" state="frozen"/>
      <selection activeCell="B5" sqref="B5"/>
      <selection pane="bottomLeft" activeCell="C5" sqref="C5"/>
    </sheetView>
  </sheetViews>
  <sheetFormatPr baseColWidth="10" defaultColWidth="10.83203125" defaultRowHeight="15"/>
  <cols>
    <col min="1" max="2" width="10.83203125" style="1"/>
    <col min="3" max="3" width="15.1640625" style="2" customWidth="1"/>
    <col min="4" max="4" width="10.83203125" style="366" hidden="1" customWidth="1"/>
    <col min="5" max="5" width="10.83203125" style="366"/>
    <col min="6" max="6" width="41.6640625" style="1" customWidth="1"/>
    <col min="7" max="16384" width="10.83203125" style="1"/>
  </cols>
  <sheetData>
    <row r="2" spans="2:6">
      <c r="C2" s="4"/>
      <c r="D2" s="363"/>
      <c r="E2" s="363"/>
      <c r="F2" s="5"/>
    </row>
    <row r="3" spans="2:6" ht="32">
      <c r="B3" s="3"/>
      <c r="C3" s="364" t="s">
        <v>923</v>
      </c>
      <c r="D3" s="361" t="s">
        <v>924</v>
      </c>
      <c r="E3" s="361" t="s">
        <v>925</v>
      </c>
      <c r="F3" s="361" t="s">
        <v>926</v>
      </c>
    </row>
    <row r="4" spans="2:6" ht="16">
      <c r="B4" s="3"/>
      <c r="C4" s="51" t="s">
        <v>927</v>
      </c>
      <c r="D4" s="8" cm="1">
        <f t="array" ref="D4:D93">_xlfn.SEQUENCE(90,1,1,1)</f>
        <v>1</v>
      </c>
      <c r="E4" s="362" t="s">
        <v>928</v>
      </c>
      <c r="F4" s="8" t="s">
        <v>929</v>
      </c>
    </row>
    <row r="5" spans="2:6" ht="16">
      <c r="B5" s="3"/>
      <c r="C5" s="51"/>
      <c r="D5" s="8">
        <v>2</v>
      </c>
      <c r="E5" s="362" t="s">
        <v>930</v>
      </c>
      <c r="F5" s="8" t="s">
        <v>931</v>
      </c>
    </row>
    <row r="6" spans="2:6" ht="16">
      <c r="B6" s="3"/>
      <c r="C6" s="51"/>
      <c r="D6" s="8">
        <v>3</v>
      </c>
      <c r="E6" s="362" t="s">
        <v>932</v>
      </c>
      <c r="F6" s="8" t="s">
        <v>933</v>
      </c>
    </row>
    <row r="7" spans="2:6" ht="16">
      <c r="B7" s="3"/>
      <c r="C7" s="51"/>
      <c r="D7" s="8">
        <v>4</v>
      </c>
      <c r="E7" s="362" t="s">
        <v>934</v>
      </c>
      <c r="F7" s="8" t="s">
        <v>935</v>
      </c>
    </row>
    <row r="8" spans="2:6" ht="16">
      <c r="B8" s="3"/>
      <c r="C8" s="51"/>
      <c r="D8" s="8">
        <v>5</v>
      </c>
      <c r="E8" s="362" t="s">
        <v>936</v>
      </c>
      <c r="F8" s="8" t="s">
        <v>937</v>
      </c>
    </row>
    <row r="9" spans="2:6" ht="16">
      <c r="B9" s="3"/>
      <c r="C9" s="51"/>
      <c r="D9" s="8">
        <v>6</v>
      </c>
      <c r="E9" s="362" t="s">
        <v>938</v>
      </c>
      <c r="F9" s="8" t="s">
        <v>939</v>
      </c>
    </row>
    <row r="10" spans="2:6" ht="16">
      <c r="B10" s="3"/>
      <c r="C10" s="401"/>
      <c r="D10" s="8">
        <v>7</v>
      </c>
      <c r="E10" s="362" t="s">
        <v>940</v>
      </c>
      <c r="F10" s="50" t="s">
        <v>941</v>
      </c>
    </row>
    <row r="11" spans="2:6" ht="16">
      <c r="B11" s="3"/>
      <c r="C11" s="51"/>
      <c r="D11" s="8">
        <v>8</v>
      </c>
      <c r="E11" s="362" t="s">
        <v>942</v>
      </c>
      <c r="F11" s="8" t="s">
        <v>943</v>
      </c>
    </row>
    <row r="12" spans="2:6" ht="16">
      <c r="B12" s="3"/>
      <c r="C12" s="51"/>
      <c r="D12" s="8">
        <v>9</v>
      </c>
      <c r="E12" s="362" t="s">
        <v>944</v>
      </c>
      <c r="F12" s="8" t="s">
        <v>945</v>
      </c>
    </row>
    <row r="13" spans="2:6" ht="16">
      <c r="B13" s="3"/>
      <c r="C13" s="51"/>
      <c r="D13" s="8">
        <v>10</v>
      </c>
      <c r="E13" s="362" t="s">
        <v>946</v>
      </c>
      <c r="F13" s="8" t="s">
        <v>947</v>
      </c>
    </row>
    <row r="14" spans="2:6" ht="16">
      <c r="B14" s="3"/>
      <c r="C14" s="51"/>
      <c r="D14" s="8">
        <v>11</v>
      </c>
      <c r="E14" s="362" t="s">
        <v>948</v>
      </c>
      <c r="F14" s="8" t="s">
        <v>949</v>
      </c>
    </row>
    <row r="15" spans="2:6" ht="16">
      <c r="B15" s="3"/>
      <c r="C15" s="51"/>
      <c r="D15" s="8">
        <v>12</v>
      </c>
      <c r="E15" s="362" t="s">
        <v>950</v>
      </c>
      <c r="F15" s="8" t="s">
        <v>951</v>
      </c>
    </row>
    <row r="16" spans="2:6" ht="16">
      <c r="B16" s="3"/>
      <c r="C16" s="51"/>
      <c r="D16" s="8">
        <v>13</v>
      </c>
      <c r="E16" s="362" t="s">
        <v>952</v>
      </c>
      <c r="F16" s="8" t="s">
        <v>953</v>
      </c>
    </row>
    <row r="17" spans="2:6" ht="16">
      <c r="B17" s="3"/>
      <c r="C17" s="401"/>
      <c r="D17" s="8">
        <v>14</v>
      </c>
      <c r="E17" s="362" t="s">
        <v>954</v>
      </c>
      <c r="F17" s="50" t="s">
        <v>955</v>
      </c>
    </row>
    <row r="18" spans="2:6" ht="16">
      <c r="B18" s="3"/>
      <c r="C18" s="51"/>
      <c r="D18" s="8">
        <v>15</v>
      </c>
      <c r="E18" s="362" t="s">
        <v>956</v>
      </c>
      <c r="F18" s="8" t="s">
        <v>957</v>
      </c>
    </row>
    <row r="19" spans="2:6" ht="16">
      <c r="B19" s="3"/>
      <c r="C19" s="51"/>
      <c r="D19" s="8">
        <v>16</v>
      </c>
      <c r="E19" s="362" t="s">
        <v>958</v>
      </c>
      <c r="F19" s="8" t="s">
        <v>959</v>
      </c>
    </row>
    <row r="20" spans="2:6" ht="16">
      <c r="B20" s="3"/>
      <c r="C20" s="51"/>
      <c r="D20" s="8">
        <v>17</v>
      </c>
      <c r="E20" s="362" t="s">
        <v>960</v>
      </c>
      <c r="F20" s="8" t="s">
        <v>961</v>
      </c>
    </row>
    <row r="21" spans="2:6" ht="16">
      <c r="B21" s="3"/>
      <c r="C21" s="51"/>
      <c r="D21" s="8">
        <v>18</v>
      </c>
      <c r="E21" s="362" t="s">
        <v>962</v>
      </c>
      <c r="F21" s="8" t="s">
        <v>963</v>
      </c>
    </row>
    <row r="22" spans="2:6" ht="16">
      <c r="B22" s="3"/>
      <c r="C22" s="51"/>
      <c r="D22" s="8">
        <v>19</v>
      </c>
      <c r="E22" s="362" t="s">
        <v>964</v>
      </c>
      <c r="F22" s="8" t="s">
        <v>965</v>
      </c>
    </row>
    <row r="23" spans="2:6" ht="16">
      <c r="B23" s="3"/>
      <c r="C23" s="51"/>
      <c r="D23" s="8">
        <v>20</v>
      </c>
      <c r="E23" s="362" t="s">
        <v>966</v>
      </c>
      <c r="F23" s="8" t="s">
        <v>967</v>
      </c>
    </row>
    <row r="24" spans="2:6" ht="16">
      <c r="B24" s="3"/>
      <c r="C24" s="51"/>
      <c r="D24" s="8">
        <v>21</v>
      </c>
      <c r="E24" s="362" t="s">
        <v>968</v>
      </c>
      <c r="F24" s="8" t="s">
        <v>969</v>
      </c>
    </row>
    <row r="25" spans="2:6" ht="16">
      <c r="B25" s="3"/>
      <c r="C25" s="401"/>
      <c r="D25" s="8">
        <v>22</v>
      </c>
      <c r="E25" s="362" t="s">
        <v>970</v>
      </c>
      <c r="F25" s="50" t="s">
        <v>971</v>
      </c>
    </row>
    <row r="26" spans="2:6" ht="16">
      <c r="B26" s="3"/>
      <c r="C26" s="51"/>
      <c r="D26" s="8">
        <v>23</v>
      </c>
      <c r="E26" s="362" t="s">
        <v>972</v>
      </c>
      <c r="F26" s="8" t="s">
        <v>973</v>
      </c>
    </row>
    <row r="27" spans="2:6" ht="16">
      <c r="B27" s="3"/>
      <c r="C27" s="51"/>
      <c r="D27" s="8">
        <v>24</v>
      </c>
      <c r="E27" s="362" t="s">
        <v>974</v>
      </c>
      <c r="F27" s="8" t="s">
        <v>975</v>
      </c>
    </row>
    <row r="28" spans="2:6" ht="16">
      <c r="B28" s="3"/>
      <c r="C28" s="51"/>
      <c r="D28" s="8">
        <v>25</v>
      </c>
      <c r="E28" s="362" t="s">
        <v>976</v>
      </c>
      <c r="F28" s="8" t="s">
        <v>977</v>
      </c>
    </row>
    <row r="29" spans="2:6" ht="16">
      <c r="B29" s="3"/>
      <c r="C29" s="51"/>
      <c r="D29" s="8">
        <v>26</v>
      </c>
      <c r="E29" s="362" t="s">
        <v>978</v>
      </c>
      <c r="F29" s="8" t="s">
        <v>979</v>
      </c>
    </row>
    <row r="30" spans="2:6" ht="16">
      <c r="B30" s="3"/>
      <c r="C30" s="51"/>
      <c r="D30" s="8">
        <v>27</v>
      </c>
      <c r="E30" s="362" t="s">
        <v>980</v>
      </c>
      <c r="F30" s="8" t="s">
        <v>981</v>
      </c>
    </row>
    <row r="31" spans="2:6" ht="16">
      <c r="B31" s="3"/>
      <c r="C31" s="51"/>
      <c r="D31" s="8">
        <v>28</v>
      </c>
      <c r="E31" s="362" t="s">
        <v>982</v>
      </c>
      <c r="F31" s="8" t="s">
        <v>983</v>
      </c>
    </row>
    <row r="32" spans="2:6" ht="16">
      <c r="B32" s="3"/>
      <c r="C32" s="51"/>
      <c r="D32" s="8">
        <v>29</v>
      </c>
      <c r="E32" s="362" t="s">
        <v>984</v>
      </c>
      <c r="F32" s="8" t="s">
        <v>985</v>
      </c>
    </row>
    <row r="33" spans="2:6" ht="16">
      <c r="B33" s="3"/>
      <c r="C33" s="51"/>
      <c r="D33" s="8">
        <v>30</v>
      </c>
      <c r="E33" s="362" t="s">
        <v>986</v>
      </c>
      <c r="F33" s="8" t="s">
        <v>987</v>
      </c>
    </row>
    <row r="34" spans="2:6" ht="16">
      <c r="B34" s="3"/>
      <c r="C34" s="51"/>
      <c r="D34" s="8">
        <v>31</v>
      </c>
      <c r="E34" s="362" t="s">
        <v>988</v>
      </c>
      <c r="F34" s="8" t="s">
        <v>989</v>
      </c>
    </row>
    <row r="35" spans="2:6" ht="16">
      <c r="B35" s="3"/>
      <c r="C35" s="401"/>
      <c r="D35" s="8">
        <v>32</v>
      </c>
      <c r="E35" s="362" t="s">
        <v>990</v>
      </c>
      <c r="F35" s="50" t="s">
        <v>991</v>
      </c>
    </row>
    <row r="36" spans="2:6" ht="16">
      <c r="B36" s="3"/>
      <c r="C36" s="51"/>
      <c r="D36" s="8">
        <v>33</v>
      </c>
      <c r="E36" s="362" t="s">
        <v>992</v>
      </c>
      <c r="F36" s="8" t="s">
        <v>993</v>
      </c>
    </row>
    <row r="37" spans="2:6" ht="16">
      <c r="B37" s="3"/>
      <c r="C37" s="51"/>
      <c r="D37" s="8">
        <v>34</v>
      </c>
      <c r="E37" s="362" t="s">
        <v>994</v>
      </c>
      <c r="F37" s="8" t="s">
        <v>995</v>
      </c>
    </row>
    <row r="38" spans="2:6" ht="16">
      <c r="B38" s="3"/>
      <c r="C38" s="51"/>
      <c r="D38" s="8">
        <v>35</v>
      </c>
      <c r="E38" s="362" t="s">
        <v>996</v>
      </c>
      <c r="F38" s="8" t="s">
        <v>997</v>
      </c>
    </row>
    <row r="39" spans="2:6" ht="16">
      <c r="B39" s="3"/>
      <c r="C39" s="51"/>
      <c r="D39" s="8">
        <v>36</v>
      </c>
      <c r="E39" s="362" t="s">
        <v>998</v>
      </c>
      <c r="F39" s="8" t="s">
        <v>999</v>
      </c>
    </row>
    <row r="40" spans="2:6" ht="16">
      <c r="B40" s="3"/>
      <c r="C40" s="51"/>
      <c r="D40" s="8">
        <v>37</v>
      </c>
      <c r="E40" s="362" t="s">
        <v>1000</v>
      </c>
      <c r="F40" s="8" t="s">
        <v>1001</v>
      </c>
    </row>
    <row r="41" spans="2:6" ht="16">
      <c r="B41" s="3"/>
      <c r="C41" s="51"/>
      <c r="D41" s="8">
        <v>38</v>
      </c>
      <c r="E41" s="362" t="s">
        <v>1002</v>
      </c>
      <c r="F41" s="8" t="s">
        <v>1003</v>
      </c>
    </row>
    <row r="42" spans="2:6" ht="16">
      <c r="B42" s="3"/>
      <c r="C42" s="51"/>
      <c r="D42" s="8">
        <v>39</v>
      </c>
      <c r="E42" s="362" t="s">
        <v>1004</v>
      </c>
      <c r="F42" s="8" t="s">
        <v>1005</v>
      </c>
    </row>
    <row r="43" spans="2:6" ht="16">
      <c r="B43" s="3"/>
      <c r="C43" s="51"/>
      <c r="D43" s="8">
        <v>40</v>
      </c>
      <c r="E43" s="362" t="s">
        <v>1006</v>
      </c>
      <c r="F43" s="8" t="s">
        <v>1007</v>
      </c>
    </row>
    <row r="44" spans="2:6" ht="16">
      <c r="B44" s="3"/>
      <c r="C44" s="51"/>
      <c r="D44" s="8">
        <v>41</v>
      </c>
      <c r="E44" s="362" t="s">
        <v>1008</v>
      </c>
      <c r="F44" s="8" t="s">
        <v>1009</v>
      </c>
    </row>
    <row r="45" spans="2:6" ht="16">
      <c r="B45" s="3"/>
      <c r="C45" s="51"/>
      <c r="D45" s="8">
        <v>42</v>
      </c>
      <c r="E45" s="362" t="s">
        <v>1010</v>
      </c>
      <c r="F45" s="8" t="s">
        <v>1011</v>
      </c>
    </row>
    <row r="46" spans="2:6" ht="16">
      <c r="B46" s="3"/>
      <c r="C46" s="51"/>
      <c r="D46" s="8">
        <v>43</v>
      </c>
      <c r="E46" s="362" t="s">
        <v>1012</v>
      </c>
      <c r="F46" s="8" t="s">
        <v>1013</v>
      </c>
    </row>
    <row r="47" spans="2:6" ht="16">
      <c r="B47" s="3"/>
      <c r="C47" s="401"/>
      <c r="D47" s="8">
        <v>44</v>
      </c>
      <c r="E47" s="362" t="s">
        <v>1014</v>
      </c>
      <c r="F47" s="50" t="s">
        <v>1015</v>
      </c>
    </row>
    <row r="48" spans="2:6" ht="16">
      <c r="B48" s="3"/>
      <c r="C48" s="51"/>
      <c r="D48" s="8">
        <v>45</v>
      </c>
      <c r="E48" s="362" t="s">
        <v>1016</v>
      </c>
      <c r="F48" s="8" t="s">
        <v>1017</v>
      </c>
    </row>
    <row r="49" spans="2:6" ht="16">
      <c r="B49" s="3"/>
      <c r="C49" s="51"/>
      <c r="D49" s="8">
        <v>46</v>
      </c>
      <c r="E49" s="362" t="s">
        <v>1018</v>
      </c>
      <c r="F49" s="8" t="s">
        <v>1019</v>
      </c>
    </row>
    <row r="50" spans="2:6" ht="16">
      <c r="B50" s="3"/>
      <c r="C50" s="51"/>
      <c r="D50" s="8">
        <v>47</v>
      </c>
      <c r="E50" s="362" t="s">
        <v>1020</v>
      </c>
      <c r="F50" s="8" t="s">
        <v>1021</v>
      </c>
    </row>
    <row r="51" spans="2:6" ht="16">
      <c r="B51" s="3"/>
      <c r="C51" s="51"/>
      <c r="D51" s="8">
        <v>48</v>
      </c>
      <c r="E51" s="362" t="s">
        <v>1022</v>
      </c>
      <c r="F51" s="8" t="s">
        <v>1023</v>
      </c>
    </row>
    <row r="52" spans="2:6" ht="16">
      <c r="B52" s="3"/>
      <c r="C52" s="401"/>
      <c r="D52" s="8">
        <v>49</v>
      </c>
      <c r="E52" s="362" t="s">
        <v>1024</v>
      </c>
      <c r="F52" s="50" t="s">
        <v>1025</v>
      </c>
    </row>
    <row r="53" spans="2:6" ht="16">
      <c r="B53" s="3"/>
      <c r="C53" s="51"/>
      <c r="D53" s="8">
        <v>50</v>
      </c>
      <c r="E53" s="362" t="s">
        <v>1026</v>
      </c>
      <c r="F53" s="8" t="s">
        <v>1027</v>
      </c>
    </row>
    <row r="54" spans="2:6" ht="16">
      <c r="B54" s="3"/>
      <c r="C54" s="51"/>
      <c r="D54" s="8">
        <v>51</v>
      </c>
      <c r="E54" s="362" t="s">
        <v>1028</v>
      </c>
      <c r="F54" s="8" t="s">
        <v>1029</v>
      </c>
    </row>
    <row r="55" spans="2:6" ht="16">
      <c r="B55" s="3"/>
      <c r="C55" s="51"/>
      <c r="D55" s="8">
        <v>52</v>
      </c>
      <c r="E55" s="362" t="s">
        <v>1030</v>
      </c>
      <c r="F55" s="8" t="s">
        <v>1031</v>
      </c>
    </row>
    <row r="56" spans="2:6" ht="16">
      <c r="B56" s="3"/>
      <c r="C56" s="51"/>
      <c r="D56" s="8">
        <v>53</v>
      </c>
      <c r="E56" s="362" t="s">
        <v>1032</v>
      </c>
      <c r="F56" s="8" t="s">
        <v>1033</v>
      </c>
    </row>
    <row r="57" spans="2:6" ht="16">
      <c r="B57" s="3"/>
      <c r="C57" s="51"/>
      <c r="D57" s="8">
        <v>54</v>
      </c>
      <c r="E57" s="362" t="s">
        <v>1034</v>
      </c>
      <c r="F57" s="8" t="s">
        <v>1035</v>
      </c>
    </row>
    <row r="58" spans="2:6" ht="16">
      <c r="B58" s="3"/>
      <c r="C58" s="51"/>
      <c r="D58" s="8">
        <v>55</v>
      </c>
      <c r="E58" s="362" t="s">
        <v>1036</v>
      </c>
      <c r="F58" s="8" t="s">
        <v>1037</v>
      </c>
    </row>
    <row r="59" spans="2:6" ht="16">
      <c r="B59" s="3"/>
      <c r="C59" s="51"/>
      <c r="D59" s="8">
        <v>56</v>
      </c>
      <c r="E59" s="362" t="s">
        <v>1038</v>
      </c>
      <c r="F59" s="8" t="s">
        <v>1039</v>
      </c>
    </row>
    <row r="60" spans="2:6" ht="16">
      <c r="B60" s="3"/>
      <c r="C60" s="51"/>
      <c r="D60" s="8">
        <v>57</v>
      </c>
      <c r="E60" s="362" t="s">
        <v>1040</v>
      </c>
      <c r="F60" s="8" t="s">
        <v>1041</v>
      </c>
    </row>
    <row r="61" spans="2:6" ht="16">
      <c r="B61" s="3"/>
      <c r="C61" s="51"/>
      <c r="D61" s="8">
        <v>58</v>
      </c>
      <c r="E61" s="362" t="s">
        <v>1042</v>
      </c>
      <c r="F61" s="8" t="s">
        <v>1043</v>
      </c>
    </row>
    <row r="62" spans="2:6" ht="16">
      <c r="B62" s="3"/>
      <c r="C62" s="51"/>
      <c r="D62" s="8">
        <v>59</v>
      </c>
      <c r="E62" s="362" t="s">
        <v>1044</v>
      </c>
      <c r="F62" s="8" t="s">
        <v>1045</v>
      </c>
    </row>
    <row r="63" spans="2:6" ht="16">
      <c r="B63" s="3"/>
      <c r="C63" s="51"/>
      <c r="D63" s="8">
        <v>60</v>
      </c>
      <c r="E63" s="362" t="s">
        <v>1046</v>
      </c>
      <c r="F63" s="8" t="s">
        <v>1047</v>
      </c>
    </row>
    <row r="64" spans="2:6" ht="16">
      <c r="B64" s="3"/>
      <c r="C64" s="51"/>
      <c r="D64" s="8">
        <v>61</v>
      </c>
      <c r="E64" s="362" t="s">
        <v>1048</v>
      </c>
      <c r="F64" s="8" t="s">
        <v>1049</v>
      </c>
    </row>
    <row r="65" spans="2:6" ht="16">
      <c r="B65" s="3"/>
      <c r="C65" s="51"/>
      <c r="D65" s="8">
        <v>62</v>
      </c>
      <c r="E65" s="362" t="s">
        <v>1050</v>
      </c>
      <c r="F65" s="8" t="s">
        <v>1051</v>
      </c>
    </row>
    <row r="66" spans="2:6" ht="16">
      <c r="B66" s="3"/>
      <c r="C66" s="51"/>
      <c r="D66" s="8">
        <v>63</v>
      </c>
      <c r="E66" s="362" t="s">
        <v>1052</v>
      </c>
      <c r="F66" s="8" t="s">
        <v>1053</v>
      </c>
    </row>
    <row r="67" spans="2:6" ht="16">
      <c r="B67" s="3"/>
      <c r="C67" s="51"/>
      <c r="D67" s="8">
        <v>64</v>
      </c>
      <c r="E67" s="362" t="s">
        <v>1054</v>
      </c>
      <c r="F67" s="8" t="s">
        <v>1055</v>
      </c>
    </row>
    <row r="68" spans="2:6" ht="16">
      <c r="B68" s="3"/>
      <c r="C68" s="51"/>
      <c r="D68" s="8">
        <v>65</v>
      </c>
      <c r="E68" s="362" t="s">
        <v>1056</v>
      </c>
      <c r="F68" s="8" t="s">
        <v>1057</v>
      </c>
    </row>
    <row r="69" spans="2:6" ht="16">
      <c r="B69" s="3"/>
      <c r="C69" s="51"/>
      <c r="D69" s="8">
        <v>66</v>
      </c>
      <c r="E69" s="362" t="s">
        <v>1058</v>
      </c>
      <c r="F69" s="8" t="s">
        <v>1059</v>
      </c>
    </row>
    <row r="70" spans="2:6" ht="16">
      <c r="B70" s="3"/>
      <c r="C70" s="51"/>
      <c r="D70" s="8">
        <v>67</v>
      </c>
      <c r="E70" s="362" t="s">
        <v>1060</v>
      </c>
      <c r="F70" s="8" t="s">
        <v>1061</v>
      </c>
    </row>
    <row r="71" spans="2:6" ht="16">
      <c r="B71" s="3"/>
      <c r="C71" s="401"/>
      <c r="D71" s="8">
        <v>68</v>
      </c>
      <c r="E71" s="362" t="s">
        <v>1062</v>
      </c>
      <c r="F71" s="50" t="s">
        <v>1063</v>
      </c>
    </row>
    <row r="72" spans="2:6" ht="16">
      <c r="B72" s="3"/>
      <c r="C72" s="51"/>
      <c r="D72" s="8">
        <v>69</v>
      </c>
      <c r="E72" s="362" t="s">
        <v>1064</v>
      </c>
      <c r="F72" s="8" t="s">
        <v>1065</v>
      </c>
    </row>
    <row r="73" spans="2:6" ht="16">
      <c r="B73" s="3"/>
      <c r="C73" s="51"/>
      <c r="D73" s="8">
        <v>70</v>
      </c>
      <c r="E73" s="362" t="s">
        <v>1066</v>
      </c>
      <c r="F73" s="8" t="s">
        <v>1067</v>
      </c>
    </row>
    <row r="74" spans="2:6" ht="16">
      <c r="B74" s="3"/>
      <c r="C74" s="51"/>
      <c r="D74" s="8">
        <v>71</v>
      </c>
      <c r="E74" s="362" t="s">
        <v>1068</v>
      </c>
      <c r="F74" s="8" t="s">
        <v>1069</v>
      </c>
    </row>
    <row r="75" spans="2:6" ht="16">
      <c r="B75" s="3"/>
      <c r="C75" s="51"/>
      <c r="D75" s="8">
        <v>72</v>
      </c>
      <c r="E75" s="362" t="s">
        <v>1070</v>
      </c>
      <c r="F75" s="8" t="s">
        <v>1071</v>
      </c>
    </row>
    <row r="76" spans="2:6" ht="16">
      <c r="B76" s="3"/>
      <c r="C76" s="51"/>
      <c r="D76" s="8">
        <v>73</v>
      </c>
      <c r="E76" s="362" t="s">
        <v>1072</v>
      </c>
      <c r="F76" s="8" t="s">
        <v>1073</v>
      </c>
    </row>
    <row r="77" spans="2:6" ht="16">
      <c r="B77" s="3"/>
      <c r="C77" s="51"/>
      <c r="D77" s="8">
        <v>74</v>
      </c>
      <c r="E77" s="362" t="s">
        <v>1074</v>
      </c>
      <c r="F77" s="8" t="s">
        <v>1075</v>
      </c>
    </row>
    <row r="78" spans="2:6" ht="16">
      <c r="B78" s="3"/>
      <c r="C78" s="51"/>
      <c r="D78" s="8">
        <v>75</v>
      </c>
      <c r="E78" s="362" t="s">
        <v>1076</v>
      </c>
      <c r="F78" s="8" t="s">
        <v>1077</v>
      </c>
    </row>
    <row r="79" spans="2:6" ht="16">
      <c r="B79" s="3"/>
      <c r="C79" s="51"/>
      <c r="D79" s="8">
        <v>76</v>
      </c>
      <c r="E79" s="362" t="s">
        <v>1078</v>
      </c>
      <c r="F79" s="8" t="s">
        <v>1079</v>
      </c>
    </row>
    <row r="80" spans="2:6" ht="16">
      <c r="B80" s="3"/>
      <c r="C80" s="401"/>
      <c r="D80" s="8">
        <v>77</v>
      </c>
      <c r="E80" s="362" t="s">
        <v>1080</v>
      </c>
      <c r="F80" s="50" t="s">
        <v>1081</v>
      </c>
    </row>
    <row r="81" spans="2:6" ht="16">
      <c r="B81" s="3"/>
      <c r="C81" s="51"/>
      <c r="D81" s="8">
        <v>78</v>
      </c>
      <c r="E81" s="362" t="s">
        <v>1082</v>
      </c>
      <c r="F81" s="8" t="s">
        <v>1083</v>
      </c>
    </row>
    <row r="82" spans="2:6" ht="16">
      <c r="B82" s="3"/>
      <c r="C82" s="51"/>
      <c r="D82" s="8">
        <v>79</v>
      </c>
      <c r="E82" s="362" t="s">
        <v>1084</v>
      </c>
      <c r="F82" s="8" t="s">
        <v>1085</v>
      </c>
    </row>
    <row r="83" spans="2:6" ht="16">
      <c r="B83" s="3"/>
      <c r="C83" s="51"/>
      <c r="D83" s="8">
        <v>80</v>
      </c>
      <c r="E83" s="362" t="s">
        <v>1086</v>
      </c>
      <c r="F83" s="8" t="s">
        <v>1087</v>
      </c>
    </row>
    <row r="84" spans="2:6" ht="16">
      <c r="B84" s="3"/>
      <c r="C84" s="51"/>
      <c r="D84" s="8">
        <v>81</v>
      </c>
      <c r="E84" s="362" t="s">
        <v>1088</v>
      </c>
      <c r="F84" s="8" t="s">
        <v>1089</v>
      </c>
    </row>
    <row r="85" spans="2:6" ht="16">
      <c r="B85" s="3"/>
      <c r="C85" s="51"/>
      <c r="D85" s="8">
        <v>82</v>
      </c>
      <c r="E85" s="362" t="s">
        <v>1090</v>
      </c>
      <c r="F85" s="8" t="s">
        <v>1091</v>
      </c>
    </row>
    <row r="86" spans="2:6" ht="16">
      <c r="B86" s="3"/>
      <c r="C86" s="401"/>
      <c r="D86" s="8">
        <v>83</v>
      </c>
      <c r="E86" s="362" t="s">
        <v>1092</v>
      </c>
      <c r="F86" s="50" t="s">
        <v>1093</v>
      </c>
    </row>
    <row r="87" spans="2:6" ht="16">
      <c r="B87" s="3"/>
      <c r="C87" s="51"/>
      <c r="D87" s="8">
        <v>84</v>
      </c>
      <c r="E87" s="362" t="s">
        <v>1094</v>
      </c>
      <c r="F87" s="8" t="s">
        <v>1095</v>
      </c>
    </row>
    <row r="88" spans="2:6" ht="16">
      <c r="B88" s="3"/>
      <c r="C88" s="51"/>
      <c r="D88" s="8">
        <v>85</v>
      </c>
      <c r="E88" s="362" t="s">
        <v>1096</v>
      </c>
      <c r="F88" s="8" t="s">
        <v>1097</v>
      </c>
    </row>
    <row r="89" spans="2:6" ht="16">
      <c r="B89" s="3"/>
      <c r="C89" s="51"/>
      <c r="D89" s="8">
        <v>86</v>
      </c>
      <c r="E89" s="362" t="s">
        <v>1098</v>
      </c>
      <c r="F89" s="8" t="s">
        <v>1099</v>
      </c>
    </row>
    <row r="90" spans="2:6" ht="16">
      <c r="B90" s="3"/>
      <c r="C90" s="51"/>
      <c r="D90" s="8">
        <v>87</v>
      </c>
      <c r="E90" s="362" t="s">
        <v>1100</v>
      </c>
      <c r="F90" s="8" t="s">
        <v>1101</v>
      </c>
    </row>
    <row r="91" spans="2:6" ht="16">
      <c r="B91" s="3"/>
      <c r="C91" s="51"/>
      <c r="D91" s="8">
        <v>88</v>
      </c>
      <c r="E91" s="362" t="s">
        <v>1102</v>
      </c>
      <c r="F91" s="8" t="s">
        <v>1103</v>
      </c>
    </row>
    <row r="92" spans="2:6" ht="16">
      <c r="B92" s="3"/>
      <c r="C92" s="51"/>
      <c r="D92" s="8">
        <v>89</v>
      </c>
      <c r="E92" s="362" t="s">
        <v>1104</v>
      </c>
      <c r="F92" s="8" t="s">
        <v>1105</v>
      </c>
    </row>
    <row r="93" spans="2:6" ht="16">
      <c r="B93" s="3"/>
      <c r="C93" s="401"/>
      <c r="D93" s="8">
        <v>90</v>
      </c>
      <c r="E93" s="362" t="s">
        <v>1106</v>
      </c>
      <c r="F93" s="50" t="s">
        <v>1107</v>
      </c>
    </row>
    <row r="94" spans="2:6">
      <c r="C94" s="6"/>
      <c r="D94" s="365"/>
      <c r="E94" s="365"/>
      <c r="F94" s="7"/>
    </row>
  </sheetData>
  <sheetProtection algorithmName="SHA-512" hashValue="T53QySLnOXCrAc+3gjQRMw3xCjXdYHMc8NuTdGDiW2Gc/wGBkxUH7VmN0lNlAbyYscLiJemn+uEngbHIbxZzpQ==" saltValue="vZHJk8a0A2mG4gHnsbfknQ==" spinCount="100000" sheet="1" selectLockedCells="1"/>
  <autoFilter ref="C3:F93" xr:uid="{00000000-0001-0000-0200-000000000000}"/>
  <conditionalFormatting sqref="D85">
    <cfRule type="duplicateValues" dxfId="1" priority="1"/>
  </conditionalFormatting>
  <conditionalFormatting sqref="D86:D1048576 D1:D84">
    <cfRule type="duplicateValues" dxfId="0" priority="2"/>
  </conditionalFormatting>
  <dataValidations count="1">
    <dataValidation type="list" allowBlank="1" showInputMessage="1" showErrorMessage="1" sqref="C87:C92 C81:C85 C72:C79 C53:C70 C48:C51 C36:C46 C26:C34 C18:C24 C4:C9 C11:C16" xr:uid="{00000000-0002-0000-0200-000000000000}">
      <formula1>"x"</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0"/>
  <sheetViews>
    <sheetView zoomScale="109" zoomScaleNormal="90" workbookViewId="0">
      <selection activeCell="B3" sqref="B3:B9"/>
    </sheetView>
  </sheetViews>
  <sheetFormatPr baseColWidth="10" defaultColWidth="10.83203125" defaultRowHeight="16"/>
  <cols>
    <col min="1" max="1" width="10.83203125" style="121"/>
    <col min="2" max="2" width="8.83203125" style="121" customWidth="1"/>
    <col min="3" max="3" width="27.6640625" style="121" customWidth="1"/>
    <col min="4" max="4" width="28" style="121" customWidth="1"/>
    <col min="5" max="5" width="51.1640625" style="161" customWidth="1"/>
    <col min="6" max="6" width="22.83203125" style="121" customWidth="1"/>
    <col min="7" max="8" width="10.83203125" style="121"/>
    <col min="9" max="9" width="44" style="121" customWidth="1"/>
    <col min="10" max="16384" width="10.83203125" style="121"/>
  </cols>
  <sheetData>
    <row r="1" spans="1:10" ht="40" customHeight="1" thickBot="1">
      <c r="C1" s="122"/>
      <c r="D1" s="122"/>
      <c r="E1" s="149"/>
      <c r="F1" s="122"/>
    </row>
    <row r="2" spans="1:10" ht="17" thickBot="1">
      <c r="A2" s="123"/>
      <c r="B2" s="124"/>
      <c r="C2" s="125" t="s">
        <v>1108</v>
      </c>
      <c r="D2" s="126" t="s">
        <v>1109</v>
      </c>
      <c r="E2" s="150" t="s">
        <v>1110</v>
      </c>
      <c r="F2" s="127" t="s">
        <v>1111</v>
      </c>
      <c r="G2" s="128"/>
    </row>
    <row r="3" spans="1:10" ht="32" customHeight="1">
      <c r="A3" s="123"/>
      <c r="B3" s="571" t="s">
        <v>1112</v>
      </c>
      <c r="C3" s="129" t="s">
        <v>1113</v>
      </c>
      <c r="D3" s="538"/>
      <c r="E3" s="151" t="s">
        <v>1114</v>
      </c>
      <c r="F3" s="130" t="s">
        <v>1115</v>
      </c>
      <c r="G3" s="128"/>
    </row>
    <row r="4" spans="1:10" ht="32">
      <c r="A4" s="123"/>
      <c r="B4" s="572"/>
      <c r="C4" s="131" t="s">
        <v>1116</v>
      </c>
      <c r="D4" s="539"/>
      <c r="E4" s="152" t="s">
        <v>1117</v>
      </c>
      <c r="F4" s="132" t="s">
        <v>1118</v>
      </c>
      <c r="G4" s="128"/>
    </row>
    <row r="5" spans="1:10" ht="64">
      <c r="A5" s="123"/>
      <c r="B5" s="572"/>
      <c r="C5" s="131" t="s">
        <v>1119</v>
      </c>
      <c r="D5" s="539"/>
      <c r="E5" s="152" t="s">
        <v>1120</v>
      </c>
      <c r="F5" s="132" t="s">
        <v>1121</v>
      </c>
      <c r="G5" s="128"/>
    </row>
    <row r="6" spans="1:10" ht="76" customHeight="1">
      <c r="A6" s="123"/>
      <c r="B6" s="572"/>
      <c r="C6" s="131" t="s">
        <v>1122</v>
      </c>
      <c r="D6" s="539"/>
      <c r="E6" s="153" t="s">
        <v>1123</v>
      </c>
      <c r="F6" s="133" t="s">
        <v>1124</v>
      </c>
      <c r="G6" s="128"/>
      <c r="H6" s="540"/>
    </row>
    <row r="7" spans="1:10" ht="76" customHeight="1">
      <c r="A7" s="123"/>
      <c r="B7" s="572"/>
      <c r="C7" s="131" t="s">
        <v>1125</v>
      </c>
      <c r="D7" s="539"/>
      <c r="E7" s="153" t="s">
        <v>1126</v>
      </c>
      <c r="F7" s="133" t="s">
        <v>1127</v>
      </c>
      <c r="G7" s="128"/>
    </row>
    <row r="8" spans="1:10" ht="76" customHeight="1">
      <c r="A8" s="123"/>
      <c r="B8" s="572"/>
      <c r="C8" s="137" t="s">
        <v>1128</v>
      </c>
      <c r="D8" s="539"/>
      <c r="E8" s="371" t="s">
        <v>1129</v>
      </c>
      <c r="F8" s="133" t="s">
        <v>1130</v>
      </c>
      <c r="G8" s="128"/>
    </row>
    <row r="9" spans="1:10" ht="50.25" customHeight="1" thickBot="1">
      <c r="A9" s="123"/>
      <c r="B9" s="573"/>
      <c r="C9" s="403" t="s">
        <v>1131</v>
      </c>
      <c r="D9" s="541"/>
      <c r="E9" s="367" t="s">
        <v>1132</v>
      </c>
      <c r="F9" s="402">
        <v>0.2</v>
      </c>
      <c r="G9" s="128"/>
    </row>
    <row r="10" spans="1:10" ht="32" customHeight="1">
      <c r="A10" s="123"/>
      <c r="B10" s="571" t="s">
        <v>1133</v>
      </c>
      <c r="C10" s="135" t="s">
        <v>1134</v>
      </c>
      <c r="D10" s="542"/>
      <c r="E10" s="155" t="s">
        <v>1135</v>
      </c>
      <c r="F10" s="136" t="s">
        <v>1136</v>
      </c>
      <c r="G10" s="128"/>
    </row>
    <row r="11" spans="1:10" ht="94" customHeight="1">
      <c r="A11" s="123"/>
      <c r="B11" s="572"/>
      <c r="C11" s="368" t="s">
        <v>1137</v>
      </c>
      <c r="D11" s="162"/>
      <c r="E11" s="369" t="s">
        <v>1138</v>
      </c>
      <c r="F11" s="370">
        <v>5</v>
      </c>
      <c r="G11" s="128"/>
      <c r="I11" s="122"/>
    </row>
    <row r="12" spans="1:10" ht="158" customHeight="1">
      <c r="A12" s="123"/>
      <c r="B12" s="572"/>
      <c r="C12" s="131" t="s">
        <v>1139</v>
      </c>
      <c r="D12" s="543"/>
      <c r="E12" s="153" t="s">
        <v>1140</v>
      </c>
      <c r="F12" s="163">
        <v>5000000</v>
      </c>
      <c r="G12" s="128"/>
      <c r="H12" s="123"/>
      <c r="I12" s="164"/>
      <c r="J12" s="128"/>
    </row>
    <row r="13" spans="1:10" ht="116.25" customHeight="1">
      <c r="A13" s="123"/>
      <c r="B13" s="572"/>
      <c r="C13" s="368" t="s">
        <v>1141</v>
      </c>
      <c r="D13" s="162"/>
      <c r="E13" s="371" t="s">
        <v>1142</v>
      </c>
      <c r="F13" s="163">
        <v>1200000</v>
      </c>
      <c r="G13" s="128"/>
      <c r="I13" s="148"/>
    </row>
    <row r="14" spans="1:10" ht="50.25" customHeight="1">
      <c r="A14" s="123"/>
      <c r="B14" s="572"/>
      <c r="C14" s="137" t="s">
        <v>1143</v>
      </c>
      <c r="D14" s="539"/>
      <c r="E14" s="153" t="s">
        <v>1144</v>
      </c>
      <c r="F14" s="133" t="s">
        <v>1145</v>
      </c>
      <c r="G14" s="128"/>
    </row>
    <row r="15" spans="1:10" ht="50.25" customHeight="1" thickBot="1">
      <c r="A15" s="123"/>
      <c r="B15" s="573"/>
      <c r="C15" s="138" t="s">
        <v>1146</v>
      </c>
      <c r="D15" s="544"/>
      <c r="E15" s="156" t="s">
        <v>1147</v>
      </c>
      <c r="F15" s="134" t="s">
        <v>1148</v>
      </c>
      <c r="G15" s="128"/>
    </row>
    <row r="16" spans="1:10" ht="5.5" customHeight="1" thickBot="1">
      <c r="A16" s="123"/>
      <c r="B16" s="139"/>
      <c r="C16" s="140"/>
      <c r="D16" s="545"/>
      <c r="E16" s="154"/>
      <c r="F16" s="141"/>
      <c r="G16" s="128"/>
    </row>
    <row r="17" spans="1:7" ht="144">
      <c r="A17" s="123"/>
      <c r="B17" s="568" t="s">
        <v>1149</v>
      </c>
      <c r="C17" s="142" t="s">
        <v>1150</v>
      </c>
      <c r="D17" s="546" t="s">
        <v>1151</v>
      </c>
      <c r="E17" s="157" t="s">
        <v>1152</v>
      </c>
      <c r="F17" s="143">
        <v>0.91</v>
      </c>
      <c r="G17" s="128"/>
    </row>
    <row r="18" spans="1:7" ht="144">
      <c r="A18" s="123"/>
      <c r="B18" s="569"/>
      <c r="C18" s="144" t="s">
        <v>1153</v>
      </c>
      <c r="D18" s="547">
        <v>0.91</v>
      </c>
      <c r="E18" s="158" t="s">
        <v>1154</v>
      </c>
      <c r="F18" s="145">
        <v>0.91</v>
      </c>
      <c r="G18" s="128"/>
    </row>
    <row r="19" spans="1:7" ht="129" thickBot="1">
      <c r="A19" s="123"/>
      <c r="B19" s="570"/>
      <c r="C19" s="146" t="s">
        <v>1155</v>
      </c>
      <c r="D19" s="548">
        <v>0.05</v>
      </c>
      <c r="E19" s="159" t="s">
        <v>1156</v>
      </c>
      <c r="F19" s="147">
        <v>0.05</v>
      </c>
      <c r="G19" s="128"/>
    </row>
    <row r="20" spans="1:7">
      <c r="B20" s="148"/>
      <c r="C20" s="148"/>
      <c r="D20" s="148"/>
      <c r="E20" s="160"/>
      <c r="F20" s="148"/>
    </row>
  </sheetData>
  <sheetProtection algorithmName="SHA-512" hashValue="ahbjYP2Lz/XlG2qQpV/uR0qLMrwRe8oEpIvF5cnJ1RbCSmKhXoVWeucaFPT15kqYR9dIGwhOTiIb0U35fqAmIg==" saltValue="8fmSijYUqARxNXhMvKgDwA==" spinCount="100000" sheet="1" formatCells="0"/>
  <dataConsolidate/>
  <mergeCells count="3">
    <mergeCell ref="B17:B19"/>
    <mergeCell ref="B3:B9"/>
    <mergeCell ref="B10:B15"/>
  </mergeCells>
  <dataValidations count="2">
    <dataValidation type="list" allowBlank="1" showInputMessage="1" showErrorMessage="1" sqref="D7" xr:uid="{00000000-0002-0000-0300-000000000000}">
      <formula1>"Not yet in season,Land preparation,Planting,Early growing,Growing,Maturing,Harvesting,Recently finished "</formula1>
    </dataValidation>
    <dataValidation type="list" allowBlank="1" showInputMessage="1" showErrorMessage="1" sqref="D5" xr:uid="{047C897E-3A9F-DE43-87E3-9C0E35D91F63}">
      <formula1>"last year, a normal year"</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A0901C00BE8754680E1F02E394963D6" ma:contentTypeVersion="19" ma:contentTypeDescription="Create a new document." ma:contentTypeScope="" ma:versionID="0d430058b807eac633862913e0e337dd">
  <xsd:schema xmlns:xsd="http://www.w3.org/2001/XMLSchema" xmlns:xs="http://www.w3.org/2001/XMLSchema" xmlns:p="http://schemas.microsoft.com/office/2006/metadata/properties" xmlns:ns2="651ac188-b77a-445d-b0b3-bedb0cff8e72" xmlns:ns3="4efa6d18-7e22-4963-b4bf-16e1a76dd523" targetNamespace="http://schemas.microsoft.com/office/2006/metadata/properties" ma:root="true" ma:fieldsID="331872c60b0833bf7ed92ecf8b952f1d" ns2:_="" ns3:_="">
    <xsd:import namespace="651ac188-b77a-445d-b0b3-bedb0cff8e72"/>
    <xsd:import namespace="4efa6d18-7e22-4963-b4bf-16e1a76dd523"/>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51ac188-b77a-445d-b0b3-bedb0cff8e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40eee1e-ad38-437e-be40-fc9f033adc9a"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efa6d18-7e22-4963-b4bf-16e1a76dd523"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7d7dcf17-34ce-4834-a227-7b447e9c0ccd}" ma:internalName="TaxCatchAll" ma:showField="CatchAllData" ma:web="4efa6d18-7e22-4963-b4bf-16e1a76dd52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51ac188-b77a-445d-b0b3-bedb0cff8e72">
      <Terms xmlns="http://schemas.microsoft.com/office/infopath/2007/PartnerControls"/>
    </lcf76f155ced4ddcb4097134ff3c332f>
    <TaxCatchAll xmlns="4efa6d18-7e22-4963-b4bf-16e1a76dd523" xsi:nil="true"/>
    <SharedWithUsers xmlns="4efa6d18-7e22-4963-b4bf-16e1a76dd523">
      <UserInfo>
        <DisplayName>Zeitouny, Joelle (OER)</DisplayName>
        <AccountId>34985</AccountId>
        <AccountType/>
      </UserInfo>
      <UserInfo>
        <DisplayName>Najim, Halmat (FAOIQ)</DisplayName>
        <AccountId>33489</AccountId>
        <AccountType/>
      </UserInfo>
    </SharedWithUsers>
  </documentManagement>
</p:properties>
</file>

<file path=customXml/itemProps1.xml><?xml version="1.0" encoding="utf-8"?>
<ds:datastoreItem xmlns:ds="http://schemas.openxmlformats.org/officeDocument/2006/customXml" ds:itemID="{FD89E0E9-3F6C-4457-BD7D-786E54CF282B}">
  <ds:schemaRefs>
    <ds:schemaRef ds:uri="http://schemas.microsoft.com/sharepoint/v3/contenttype/forms"/>
  </ds:schemaRefs>
</ds:datastoreItem>
</file>

<file path=customXml/itemProps2.xml><?xml version="1.0" encoding="utf-8"?>
<ds:datastoreItem xmlns:ds="http://schemas.openxmlformats.org/officeDocument/2006/customXml" ds:itemID="{BE6B7351-D788-4392-ACF8-F448E57D039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51ac188-b77a-445d-b0b3-bedb0cff8e72"/>
    <ds:schemaRef ds:uri="4efa6d18-7e22-4963-b4bf-16e1a76dd52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436B137-5CF2-43EE-A8CA-ED4DE3DC60C8}">
  <ds:schemaRefs>
    <ds:schemaRef ds:uri="4efa6d18-7e22-4963-b4bf-16e1a76dd523"/>
    <ds:schemaRef ds:uri="http://schemas.microsoft.com/office/infopath/2007/PartnerControls"/>
    <ds:schemaRef ds:uri="http://purl.org/dc/dcmitype/"/>
    <ds:schemaRef ds:uri="http://schemas.microsoft.com/office/2006/metadata/properties"/>
    <ds:schemaRef ds:uri="http://purl.org/dc/terms/"/>
    <ds:schemaRef ds:uri="http://schemas.microsoft.com/office/2006/documentManagement/types"/>
    <ds:schemaRef ds:uri="http://schemas.openxmlformats.org/package/2006/metadata/core-properties"/>
    <ds:schemaRef ds:uri="651ac188-b77a-445d-b0b3-bedb0cff8e72"/>
    <ds:schemaRef ds:uri="http://www.w3.org/XML/1998/namespace"/>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survey</vt:lpstr>
      <vt:lpstr>New Durations</vt:lpstr>
      <vt:lpstr>Crop list</vt:lpstr>
      <vt:lpstr>Additional information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Lawi Analo</dc:creator>
  <cp:keywords/>
  <dc:description/>
  <cp:lastModifiedBy>Frias, RenziGonzales (OER)</cp:lastModifiedBy>
  <cp:revision/>
  <dcterms:created xsi:type="dcterms:W3CDTF">2020-12-10T15:46:11Z</dcterms:created>
  <dcterms:modified xsi:type="dcterms:W3CDTF">2026-02-25T14:26:37Z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0x010100AA0901C00BE8754680E1F02E394963D6</vt:lpwstr>
  </property>
  <property fmtid="{D5CDD505-2E9C-101B-9397-08002B2CF9AE}" pid="3" name="MediaServiceImageTags">
    <vt:lpwstr/>
  </property>
</Properties>
</file>