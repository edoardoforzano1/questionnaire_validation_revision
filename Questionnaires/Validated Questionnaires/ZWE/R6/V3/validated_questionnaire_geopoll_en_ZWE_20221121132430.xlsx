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760" tabRatio="600" firstSheet="0" activeTab="0" autoFilterDateGrouping="1"/>
  </bookViews>
  <sheets>
    <sheet xmlns:r="http://schemas.openxmlformats.org/officeDocument/2006/relationships" name="survey" sheetId="1" state="visible" r:id="rId1"/>
    <sheet xmlns:r="http://schemas.openxmlformats.org/officeDocument/2006/relationships" name="New Durations" sheetId="2" state="hidden" r:id="rId2"/>
    <sheet xmlns:r="http://schemas.openxmlformats.org/officeDocument/2006/relationships" name="Admin 2 info" sheetId="3" state="visible" r:id="rId3"/>
    <sheet xmlns:r="http://schemas.openxmlformats.org/officeDocument/2006/relationships" name="Admin 2 info1" sheetId="4" state="visible" r:id="rId4"/>
  </sheets>
  <externalReferences>
    <externalReference xmlns:r="http://schemas.openxmlformats.org/officeDocument/2006/relationships" r:id="rId5"/>
  </externalReferences>
  <definedNames/>
  <calcPr calcId="191029" fullCalcOnLoad="1"/>
</workbook>
</file>

<file path=xl/styles.xml><?xml version="1.0" encoding="utf-8"?>
<styleSheet xmlns="http://schemas.openxmlformats.org/spreadsheetml/2006/main">
  <numFmts count="1">
    <numFmt numFmtId="164" formatCode="0.0"/>
  </numFmts>
  <fonts count="41">
    <font>
      <name val="Calibri"/>
      <family val="2"/>
      <color theme="1"/>
      <sz val="11"/>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sz val="12"/>
      <scheme val="minor"/>
    </font>
    <font>
      <name val="Calibri"/>
      <family val="2"/>
      <color rgb="FFFF0000"/>
      <sz val="12"/>
      <scheme val="minor"/>
    </font>
    <font>
      <name val="Calibri"/>
      <family val="2"/>
      <b val="1"/>
      <color rgb="FF0070C0"/>
      <sz val="12"/>
      <scheme val="minor"/>
    </font>
    <font>
      <name val="Calibri"/>
      <family val="2"/>
      <sz val="11"/>
    </font>
    <font>
      <name val="Calibri"/>
      <family val="2"/>
      <b val="1"/>
      <sz val="11"/>
    </font>
    <font>
      <name val="Calibri (Body)"/>
      <color theme="9" tint="-0.499984740745262"/>
      <sz val="12"/>
    </font>
    <font>
      <name val="Calibri (Body)"/>
      <b val="1"/>
      <color theme="9" tint="-0.499984740745262"/>
      <sz val="12"/>
    </font>
    <font>
      <name val="Calibri (Body)"/>
      <color theme="9" tint="-0.499984740745262"/>
      <sz val="11"/>
    </font>
    <font>
      <name val="Calibri"/>
      <family val="2"/>
      <b val="1"/>
      <sz val="11"/>
    </font>
    <font>
      <name val="Calibri"/>
      <family val="2"/>
      <sz val="14"/>
      <scheme val="minor"/>
    </font>
    <font>
      <name val="Calibri"/>
      <family val="2"/>
      <b val="1"/>
      <sz val="14"/>
      <scheme val="minor"/>
    </font>
    <font>
      <name val="Calibri"/>
      <family val="2"/>
      <sz val="14"/>
    </font>
    <font>
      <name val="Calibri"/>
      <family val="2"/>
      <color theme="1"/>
      <sz val="14"/>
      <scheme val="minor"/>
    </font>
    <font>
      <name val="Calibri"/>
      <family val="2"/>
      <b val="1"/>
      <sz val="14"/>
    </font>
    <font>
      <name val="Calibri"/>
      <family val="2"/>
      <i val="1"/>
      <sz val="14"/>
      <scheme val="minor"/>
    </font>
    <font>
      <name val="Calibri (Body)"/>
      <color theme="9" tint="-0.499984740745262"/>
      <sz val="14"/>
    </font>
    <font>
      <name val="Calibri"/>
      <family val="2"/>
      <b val="1"/>
      <color rgb="FF0070C0"/>
      <sz val="14"/>
      <scheme val="minor"/>
    </font>
    <font>
      <name val="Calibri"/>
      <family val="2"/>
      <b val="1"/>
      <i val="1"/>
      <sz val="14"/>
      <scheme val="minor"/>
    </font>
    <font>
      <name val="Calibri"/>
      <family val="2"/>
      <sz val="8"/>
      <scheme val="minor"/>
    </font>
    <font>
      <name val="Calibri"/>
      <family val="2"/>
      <b val="1"/>
      <color rgb="FFFF0000"/>
      <sz val="14"/>
      <scheme val="minor"/>
    </font>
    <font>
      <name val="Calibri"/>
      <family val="2"/>
      <b val="1"/>
      <i val="1"/>
      <color rgb="FFFF0000"/>
      <sz val="14"/>
      <scheme val="minor"/>
    </font>
    <font>
      <name val="Calibri"/>
      <family val="2"/>
      <color rgb="FF000000"/>
      <sz val="14"/>
      <scheme val="minor"/>
    </font>
    <font>
      <name val="Calibri"/>
      <family val="2"/>
      <b val="1"/>
      <color theme="1"/>
      <sz val="14"/>
      <scheme val="minor"/>
    </font>
    <font>
      <name val="Calibri"/>
      <family val="2"/>
      <color theme="9" tint="-0.499984740745262"/>
      <sz val="14"/>
      <scheme val="minor"/>
    </font>
    <font>
      <name val="Calibri"/>
      <family val="2"/>
      <b val="1"/>
      <color rgb="FF7030A0"/>
      <sz val="14"/>
      <scheme val="minor"/>
    </font>
    <font>
      <name val="Calibri"/>
      <family val="2"/>
      <color rgb="FF7030A0"/>
      <sz val="14"/>
      <scheme val="minor"/>
    </font>
    <font>
      <name val="Calibri"/>
      <family val="2"/>
      <b val="1"/>
      <color theme="0" tint="-0.0499893185216834"/>
      <sz val="14"/>
      <scheme val="minor"/>
    </font>
    <font>
      <name val="Calibri"/>
      <family val="2"/>
      <color theme="0" tint="-0.0499893185216834"/>
      <sz val="14"/>
      <scheme val="minor"/>
    </font>
    <font>
      <name val="Calibri"/>
      <family val="2"/>
      <color rgb="FF000000"/>
      <sz val="11"/>
      <scheme val="minor"/>
    </font>
    <font>
      <name val="Calibri"/>
      <family val="2"/>
      <color theme="1"/>
      <sz val="11"/>
    </font>
    <font>
      <name val="Calibri"/>
      <family val="2"/>
      <b val="1"/>
      <color theme="1"/>
      <sz val="12"/>
      <scheme val="minor"/>
    </font>
    <font>
      <name val="Calibri (Body)"/>
      <color theme="1"/>
      <sz val="14"/>
    </font>
    <font>
      <name val="Calibri (Body)"/>
      <sz val="14"/>
    </font>
    <font>
      <b val="1"/>
    </font>
  </fonts>
  <fills count="14">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rgb="FFF6DFDC"/>
        <bgColor indexed="64"/>
      </patternFill>
    </fill>
    <fill>
      <patternFill patternType="solid">
        <fgColor rgb="FFFFFF00"/>
        <bgColor indexed="64"/>
      </patternFill>
    </fill>
    <fill>
      <patternFill patternType="solid">
        <fgColor theme="7"/>
        <bgColor indexed="64"/>
      </patternFill>
    </fill>
    <fill>
      <patternFill patternType="solid">
        <fgColor rgb="FF0099CC"/>
        <bgColor indexed="64"/>
      </patternFill>
    </fill>
    <fill>
      <patternFill patternType="solid">
        <fgColor rgb="FF92D050"/>
        <bgColor indexed="64"/>
      </patternFill>
    </fill>
    <fill>
      <patternFill patternType="solid">
        <fgColor theme="0"/>
        <bgColor rgb="FF000000"/>
      </patternFill>
    </fill>
    <fill>
      <patternFill patternType="solid">
        <fgColor rgb="FF00B050"/>
        <bgColor indexed="64"/>
      </patternFill>
    </fill>
    <fill>
      <patternFill patternType="solid">
        <fgColor theme="5" tint="0.3999755851924192"/>
        <bgColor indexed="64"/>
      </patternFill>
    </fill>
    <fill>
      <patternFill patternType="solid">
        <fgColor rgb="FFC00000"/>
        <bgColor indexed="64"/>
      </patternFill>
    </fill>
  </fills>
  <borders count="61">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style="medium">
        <color indexed="64"/>
      </right>
      <top/>
      <bottom style="thin">
        <color auto="1"/>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top style="thin">
        <color auto="1"/>
      </top>
      <bottom style="medium">
        <color indexed="64"/>
      </bottom>
      <diagonal/>
    </border>
    <border>
      <left style="thin">
        <color auto="1"/>
      </left>
      <right/>
      <top/>
      <bottom/>
      <diagonal/>
    </border>
    <border>
      <left style="thin">
        <color auto="1"/>
      </left>
      <right style="medium">
        <color indexed="64"/>
      </right>
      <top style="thin">
        <color auto="1"/>
      </top>
      <bottom style="medium">
        <color indexed="64"/>
      </bottom>
      <diagonal/>
    </border>
    <border>
      <left style="thin">
        <color auto="1"/>
      </left>
      <right style="medium">
        <color indexed="64"/>
      </right>
      <top style="thin">
        <color auto="1"/>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indexed="64"/>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right style="medium">
        <color indexed="64"/>
      </right>
      <top/>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theme="1"/>
      </left>
      <right style="thin">
        <color auto="1"/>
      </right>
      <top style="thin">
        <color auto="1"/>
      </top>
      <bottom style="thin">
        <color indexed="64"/>
      </bottom>
      <diagonal/>
    </border>
    <border>
      <left style="medium">
        <color indexed="64"/>
      </left>
      <right style="thin">
        <color auto="1"/>
      </right>
      <top/>
      <bottom style="medium">
        <color indexed="64"/>
      </bottom>
      <diagonal/>
    </border>
    <border>
      <left/>
      <right/>
      <top/>
      <bottom style="thin">
        <color indexed="64"/>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thin">
        <color auto="1"/>
      </right>
      <top/>
      <bottom/>
      <diagonal/>
    </border>
    <border>
      <left/>
      <right/>
      <top style="thin">
        <color auto="1"/>
      </top>
      <bottom style="thin">
        <color indexed="64"/>
      </bottom>
      <diagonal/>
    </border>
    <border>
      <left style="thin">
        <color auto="1"/>
      </left>
      <right style="thin">
        <color auto="1"/>
      </right>
      <top style="thin">
        <color auto="1"/>
      </top>
      <bottom style="thin">
        <color auto="1"/>
      </bottom>
      <diagonal/>
    </border>
    <border>
      <left/>
      <right style="thin">
        <color theme="1"/>
      </right>
      <top style="thin">
        <color theme="1"/>
      </top>
      <bottom style="thin">
        <color theme="1"/>
      </bottom>
      <diagonal/>
    </border>
    <border>
      <left/>
      <right style="thin">
        <color auto="1"/>
      </right>
      <top style="medium">
        <color indexed="64"/>
      </top>
      <bottom style="medium">
        <color indexed="64"/>
      </bottom>
      <diagonal/>
    </border>
    <border>
      <left style="thin">
        <color auto="1"/>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theme="1"/>
      </left>
      <right style="thin">
        <color theme="1"/>
      </right>
      <top style="thin">
        <color theme="1"/>
      </top>
      <bottom/>
      <diagonal/>
    </border>
    <border>
      <left style="thin">
        <color auto="1"/>
      </left>
      <right style="medium">
        <color indexed="64"/>
      </right>
      <top/>
      <bottom/>
      <diagonal/>
    </border>
    <border>
      <left style="thin">
        <color theme="1"/>
      </left>
      <right style="thin">
        <color theme="1"/>
      </right>
      <top/>
      <bottom style="thin">
        <color theme="1"/>
      </bottom>
      <diagonal/>
    </border>
    <border>
      <left style="medium">
        <color indexed="64"/>
      </left>
      <right style="thin">
        <color auto="1"/>
      </right>
      <top/>
      <bottom/>
      <diagonal/>
    </border>
    <border>
      <left style="thin">
        <color theme="1"/>
      </left>
      <right style="thin">
        <color theme="1"/>
      </right>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right style="thin">
        <color auto="1"/>
      </right>
      <top style="medium">
        <color indexed="64"/>
      </top>
      <bottom/>
      <diagonal/>
    </border>
    <border>
      <left style="thin"/>
      <right style="thin"/>
      <top style="thin"/>
      <bottom style="thin"/>
    </border>
  </borders>
  <cellStyleXfs count="16">
    <xf numFmtId="0" fontId="2" fillId="0" borderId="0"/>
    <xf numFmtId="0" fontId="3" fillId="0" borderId="0"/>
    <xf numFmtId="0" fontId="4" fillId="0" borderId="0"/>
    <xf numFmtId="0" fontId="2" fillId="0" borderId="0"/>
    <xf numFmtId="0" fontId="3" fillId="0" borderId="0"/>
    <xf numFmtId="0" fontId="2" fillId="0" borderId="0"/>
    <xf numFmtId="0" fontId="2" fillId="0" borderId="0"/>
    <xf numFmtId="0" fontId="3" fillId="0" borderId="0"/>
    <xf numFmtId="0" fontId="3" fillId="0" borderId="0"/>
    <xf numFmtId="0" fontId="3" fillId="0" borderId="0"/>
    <xf numFmtId="9" fontId="2" fillId="0" borderId="0"/>
    <xf numFmtId="0" fontId="3" fillId="0" borderId="0"/>
    <xf numFmtId="0" fontId="3" fillId="0" borderId="0"/>
    <xf numFmtId="0" fontId="3" fillId="0" borderId="0"/>
    <xf numFmtId="0" fontId="3" fillId="0" borderId="0"/>
    <xf numFmtId="0" fontId="2" fillId="0" borderId="0"/>
  </cellStyleXfs>
  <cellXfs count="589">
    <xf numFmtId="0" fontId="0" fillId="0" borderId="0" pivotButton="0" quotePrefix="0" xfId="0"/>
    <xf numFmtId="1" fontId="0" fillId="0" borderId="0" pivotButton="0" quotePrefix="0" xfId="0"/>
    <xf numFmtId="9" fontId="0" fillId="0" borderId="0" pivotButton="0" quotePrefix="0" xfId="10"/>
    <xf numFmtId="0" fontId="6" fillId="0" borderId="0" applyAlignment="1" applyProtection="1" pivotButton="0" quotePrefix="0" xfId="0">
      <alignment horizontal="center" vertical="center"/>
      <protection locked="0" hidden="0"/>
    </xf>
    <xf numFmtId="0" fontId="6" fillId="0" borderId="0" applyAlignment="1" applyProtection="1" pivotButton="0" quotePrefix="0" xfId="0">
      <alignment horizontal="center" vertical="center" wrapText="1"/>
      <protection locked="0" hidden="0"/>
    </xf>
    <xf numFmtId="0" fontId="6" fillId="0" borderId="0" applyProtection="1" pivotButton="0" quotePrefix="0" xfId="3">
      <protection locked="0" hidden="0"/>
    </xf>
    <xf numFmtId="0" fontId="6" fillId="0" borderId="0" applyAlignment="1" applyProtection="1" pivotButton="0" quotePrefix="0" xfId="3">
      <alignment vertical="center"/>
      <protection locked="0" hidden="0"/>
    </xf>
    <xf numFmtId="0" fontId="7" fillId="0" borderId="0" applyAlignment="1" applyProtection="1" pivotButton="0" quotePrefix="0" xfId="3">
      <alignment horizontal="center" vertical="center"/>
      <protection locked="0" hidden="0"/>
    </xf>
    <xf numFmtId="0" fontId="6" fillId="0" borderId="0" applyAlignment="1" applyProtection="1" pivotButton="0" quotePrefix="0" xfId="3">
      <alignment vertical="center" wrapText="1"/>
      <protection locked="0" hidden="0"/>
    </xf>
    <xf numFmtId="0" fontId="2" fillId="0" borderId="0" applyProtection="1" pivotButton="0" quotePrefix="0" xfId="0">
      <protection locked="0" hidden="0"/>
    </xf>
    <xf numFmtId="0" fontId="6" fillId="0" borderId="0" applyAlignment="1" applyProtection="1" pivotButton="0" quotePrefix="0" xfId="0">
      <alignment vertical="center" wrapText="1"/>
      <protection locked="0" hidden="0"/>
    </xf>
    <xf numFmtId="0" fontId="7" fillId="0" borderId="0" applyAlignment="1" applyProtection="1" pivotButton="0" quotePrefix="0" xfId="3">
      <alignment horizontal="center" vertical="center" wrapText="1"/>
      <protection locked="0" hidden="0"/>
    </xf>
    <xf numFmtId="0" fontId="7" fillId="0" borderId="0" applyAlignment="1" applyProtection="1" pivotButton="0" quotePrefix="0" xfId="0">
      <alignment horizontal="center" vertical="center"/>
      <protection locked="0" hidden="0"/>
    </xf>
    <xf numFmtId="0" fontId="6" fillId="0" borderId="0" applyAlignment="1" applyProtection="1" pivotButton="0" quotePrefix="0" xfId="3">
      <alignment horizontal="left" vertical="center"/>
      <protection locked="0" hidden="0"/>
    </xf>
    <xf numFmtId="0" fontId="6" fillId="0" borderId="0" applyAlignment="1" applyProtection="1" pivotButton="0" quotePrefix="0" xfId="0">
      <alignment vertical="center"/>
      <protection locked="0" hidden="0"/>
    </xf>
    <xf numFmtId="0" fontId="7" fillId="0" borderId="24" applyProtection="1" pivotButton="0" quotePrefix="0" xfId="0">
      <protection locked="0" hidden="0"/>
    </xf>
    <xf numFmtId="0" fontId="7" fillId="0" borderId="23" applyAlignment="1" applyProtection="1" pivotButton="0" quotePrefix="0" xfId="0">
      <alignment wrapText="1"/>
      <protection locked="0" hidden="0"/>
    </xf>
    <xf numFmtId="0" fontId="6" fillId="0" borderId="0" applyAlignment="1" applyProtection="1" pivotButton="0" quotePrefix="0" xfId="3">
      <alignment wrapText="1"/>
      <protection locked="0" hidden="0"/>
    </xf>
    <xf numFmtId="0" fontId="8" fillId="0" borderId="0" applyProtection="1" pivotButton="0" quotePrefix="0" xfId="3">
      <protection locked="0" hidden="0"/>
    </xf>
    <xf numFmtId="0" fontId="7" fillId="0" borderId="0" applyAlignment="1" applyProtection="1" pivotButton="0" quotePrefix="0" xfId="0">
      <alignment vertical="center"/>
      <protection locked="0" hidden="0"/>
    </xf>
    <xf numFmtId="9" fontId="10" fillId="0" borderId="0" applyAlignment="1" pivotButton="0" quotePrefix="0" xfId="10">
      <alignment horizontal="center" vertical="center"/>
    </xf>
    <xf numFmtId="9" fontId="14" fillId="0" borderId="0" applyAlignment="1" pivotButton="0" quotePrefix="0" xfId="10">
      <alignment horizontal="center" vertical="center"/>
    </xf>
    <xf numFmtId="0" fontId="12" fillId="0" borderId="0" applyAlignment="1" applyProtection="1" pivotButton="0" quotePrefix="0" xfId="0">
      <alignment horizontal="center" vertical="center" wrapText="1"/>
      <protection locked="0" hidden="0"/>
    </xf>
    <xf numFmtId="0" fontId="12" fillId="0" borderId="0" applyAlignment="1" applyProtection="1" pivotButton="0" quotePrefix="0" xfId="3">
      <alignment wrapText="1"/>
      <protection locked="0" hidden="0"/>
    </xf>
    <xf numFmtId="0" fontId="13" fillId="0" borderId="0" applyAlignment="1" applyProtection="1" pivotButton="0" quotePrefix="0" xfId="3">
      <alignment horizontal="center" vertical="center" wrapText="1"/>
      <protection locked="0" hidden="0"/>
    </xf>
    <xf numFmtId="0" fontId="12" fillId="0" borderId="0" applyAlignment="1" applyProtection="1" pivotButton="0" quotePrefix="0" xfId="0">
      <alignment wrapText="1"/>
      <protection locked="0" hidden="0"/>
    </xf>
    <xf numFmtId="0" fontId="12" fillId="0" borderId="0" applyAlignment="1" applyProtection="1" pivotButton="0" quotePrefix="0" xfId="0">
      <alignment vertical="center" wrapText="1"/>
      <protection locked="0" hidden="0"/>
    </xf>
    <xf numFmtId="0" fontId="12" fillId="0" borderId="0" applyAlignment="1" applyProtection="1" pivotButton="0" quotePrefix="0" xfId="0">
      <alignment horizontal="center" vertical="center"/>
      <protection locked="0" hidden="0"/>
    </xf>
    <xf numFmtId="0" fontId="12" fillId="0" borderId="0" applyProtection="1" pivotButton="0" quotePrefix="0" xfId="3">
      <protection locked="0" hidden="0"/>
    </xf>
    <xf numFmtId="0" fontId="12" fillId="0" borderId="0" applyProtection="1" pivotButton="0" quotePrefix="0" xfId="0">
      <protection locked="0" hidden="0"/>
    </xf>
    <xf numFmtId="0" fontId="10" fillId="0" borderId="0" applyAlignment="1" applyProtection="1" pivotButton="0" quotePrefix="0" xfId="0">
      <alignment horizontal="right" vertical="center"/>
      <protection locked="0" hidden="0"/>
    </xf>
    <xf numFmtId="9" fontId="10" fillId="0" borderId="0" applyAlignment="1" applyProtection="1" pivotButton="0" quotePrefix="0" xfId="10">
      <alignment horizontal="right" vertical="center"/>
      <protection locked="0" hidden="0"/>
    </xf>
    <xf numFmtId="9" fontId="11" fillId="0" borderId="24" applyAlignment="1" applyProtection="1" pivotButton="0" quotePrefix="0" xfId="10">
      <alignment horizontal="right" vertical="center"/>
      <protection locked="0" hidden="0"/>
    </xf>
    <xf numFmtId="0" fontId="11" fillId="0" borderId="24" applyAlignment="1" applyProtection="1" pivotButton="0" quotePrefix="0" xfId="0">
      <alignment horizontal="right" vertical="center"/>
      <protection locked="0" hidden="0"/>
    </xf>
    <xf numFmtId="9" fontId="11" fillId="0" borderId="41" applyAlignment="1" applyProtection="1" pivotButton="0" quotePrefix="0" xfId="10">
      <alignment horizontal="right" vertical="center"/>
      <protection locked="0" hidden="0"/>
    </xf>
    <xf numFmtId="0" fontId="11" fillId="0" borderId="41" applyAlignment="1" applyProtection="1" pivotButton="0" quotePrefix="0" xfId="0">
      <alignment horizontal="right" vertical="center"/>
      <protection locked="0" hidden="0"/>
    </xf>
    <xf numFmtId="0" fontId="7" fillId="0" borderId="41" applyProtection="1" pivotButton="0" quotePrefix="0" xfId="0">
      <protection locked="0" hidden="0"/>
    </xf>
    <xf numFmtId="0" fontId="7" fillId="0" borderId="42" applyAlignment="1" applyProtection="1" pivotButton="0" quotePrefix="0" xfId="0">
      <alignment wrapText="1"/>
      <protection locked="0" hidden="0"/>
    </xf>
    <xf numFmtId="0" fontId="12" fillId="0" borderId="0" applyAlignment="1" applyProtection="1" pivotButton="0" quotePrefix="0" xfId="0">
      <alignment vertical="center"/>
      <protection locked="0" hidden="0"/>
    </xf>
    <xf numFmtId="9" fontId="14" fillId="0" borderId="0" applyAlignment="1" applyProtection="1" pivotButton="0" quotePrefix="0" xfId="10">
      <alignment horizontal="center" vertical="center"/>
      <protection locked="0" hidden="0"/>
    </xf>
    <xf numFmtId="0" fontId="7" fillId="0" borderId="0" applyProtection="1" pivotButton="0" quotePrefix="0" xfId="3">
      <protection locked="0" hidden="0"/>
    </xf>
    <xf numFmtId="0" fontId="12" fillId="0" borderId="0" applyAlignment="1" applyProtection="1" pivotButton="0" quotePrefix="0" xfId="3">
      <alignment vertical="center"/>
      <protection locked="0" hidden="0"/>
    </xf>
    <xf numFmtId="9" fontId="10" fillId="0" borderId="0" applyAlignment="1" applyProtection="1" pivotButton="0" quotePrefix="0" xfId="10">
      <alignment horizontal="center" vertical="center"/>
      <protection locked="0" hidden="0"/>
    </xf>
    <xf numFmtId="0" fontId="1" fillId="0" borderId="0" applyAlignment="1" applyProtection="1" pivotButton="0" quotePrefix="0" xfId="0">
      <alignment horizontal="left" vertical="center"/>
      <protection locked="0" hidden="0"/>
    </xf>
    <xf numFmtId="164" fontId="10" fillId="0" borderId="0" applyAlignment="1" applyProtection="1" pivotButton="0" quotePrefix="0" xfId="0">
      <alignment horizontal="center" vertical="center"/>
      <protection locked="0" hidden="0"/>
    </xf>
    <xf numFmtId="164" fontId="10" fillId="0" borderId="0" applyAlignment="1" pivotButton="0" quotePrefix="0" xfId="0">
      <alignment horizontal="center" vertical="center"/>
    </xf>
    <xf numFmtId="164" fontId="14" fillId="0" borderId="0" applyAlignment="1" pivotButton="0" quotePrefix="0" xfId="0">
      <alignment horizontal="center" vertical="center"/>
    </xf>
    <xf numFmtId="164" fontId="10" fillId="0" borderId="0" applyAlignment="1" pivotButton="0" quotePrefix="0" xfId="0">
      <alignment horizontal="center" vertical="center" wrapText="1"/>
    </xf>
    <xf numFmtId="164" fontId="14" fillId="0" borderId="0" applyAlignment="1" pivotButton="0" quotePrefix="0" xfId="0">
      <alignment horizontal="center" vertical="center" wrapText="1"/>
    </xf>
    <xf numFmtId="164" fontId="14" fillId="0" borderId="0" applyAlignment="1" applyProtection="1" pivotButton="0" quotePrefix="0" xfId="0">
      <alignment horizontal="center" vertical="center" wrapText="1"/>
      <protection locked="0" hidden="0"/>
    </xf>
    <xf numFmtId="164" fontId="14" fillId="0" borderId="0" applyAlignment="1" applyProtection="1" pivotButton="0" quotePrefix="0" xfId="0">
      <alignment horizontal="center" vertical="center"/>
      <protection locked="0" hidden="0"/>
    </xf>
    <xf numFmtId="164" fontId="10" fillId="0" borderId="0" applyAlignment="1" pivotButton="0" quotePrefix="0" xfId="0">
      <alignment horizontal="right" vertical="center"/>
    </xf>
    <xf numFmtId="0" fontId="7" fillId="0" borderId="0" applyProtection="1" pivotButton="0" quotePrefix="0" xfId="0">
      <protection locked="0" hidden="0"/>
    </xf>
    <xf numFmtId="0" fontId="6" fillId="0" borderId="0" applyAlignment="1" applyProtection="1" pivotButton="0" quotePrefix="0" xfId="0">
      <alignment wrapText="1"/>
      <protection locked="0" hidden="0"/>
    </xf>
    <xf numFmtId="0" fontId="6" fillId="0" borderId="0" applyProtection="1" pivotButton="0" quotePrefix="0" xfId="0">
      <protection locked="0" hidden="0"/>
    </xf>
    <xf numFmtId="0" fontId="15" fillId="0" borderId="45" applyAlignment="1" pivotButton="0" quotePrefix="0" xfId="0">
      <alignment horizontal="center" vertical="top"/>
    </xf>
    <xf numFmtId="0" fontId="18" fillId="0" borderId="0" applyAlignment="1" applyProtection="1" pivotButton="0" quotePrefix="0" xfId="0">
      <alignment horizontal="center" vertical="center"/>
      <protection locked="0" hidden="0"/>
    </xf>
    <xf numFmtId="9" fontId="18" fillId="0" borderId="0" applyAlignment="1" applyProtection="1" pivotButton="0" quotePrefix="0" xfId="10">
      <alignment horizontal="center" vertical="center"/>
      <protection locked="0" hidden="0"/>
    </xf>
    <xf numFmtId="164" fontId="18" fillId="0" borderId="0" applyAlignment="1" applyProtection="1" pivotButton="0" quotePrefix="0" xfId="0">
      <alignment horizontal="center" vertical="center"/>
      <protection locked="0" hidden="0"/>
    </xf>
    <xf numFmtId="0" fontId="17" fillId="0" borderId="2" applyAlignment="1" pivotButton="0" quotePrefix="0" xfId="13">
      <alignment horizontal="center" vertical="center" wrapText="1"/>
    </xf>
    <xf numFmtId="0" fontId="16" fillId="0" borderId="2" applyAlignment="1" pivotButton="0" quotePrefix="0" xfId="13">
      <alignment horizontal="center" vertical="center" wrapText="1"/>
    </xf>
    <xf numFmtId="0" fontId="16" fillId="0" borderId="2" applyAlignment="1" pivotButton="0" quotePrefix="0" xfId="3">
      <alignment horizontal="left" vertical="center" wrapText="1"/>
    </xf>
    <xf numFmtId="0" fontId="16" fillId="0" borderId="2" applyAlignment="1" pivotButton="0" quotePrefix="0" xfId="2">
      <alignment horizontal="center" vertical="center" wrapText="1"/>
    </xf>
    <xf numFmtId="0" fontId="16" fillId="0" borderId="16" applyAlignment="1" pivotButton="0" quotePrefix="0" xfId="3">
      <alignment horizontal="left" vertical="center" wrapText="1"/>
    </xf>
    <xf numFmtId="0" fontId="16" fillId="0" borderId="11" applyAlignment="1" applyProtection="1" pivotButton="0" quotePrefix="0" xfId="3">
      <alignment horizontal="left" vertical="center" wrapText="1"/>
      <protection locked="0" hidden="0"/>
    </xf>
    <xf numFmtId="0" fontId="16" fillId="0" borderId="27" applyAlignment="1" applyProtection="1" pivotButton="0" quotePrefix="0" xfId="3">
      <alignment horizontal="left" vertical="center" wrapText="1"/>
      <protection locked="0" hidden="0"/>
    </xf>
    <xf numFmtId="0" fontId="17" fillId="0" borderId="2" applyAlignment="1" pivotButton="0" quotePrefix="0" xfId="0">
      <alignment horizontal="center" vertical="center" wrapText="1"/>
    </xf>
    <xf numFmtId="0" fontId="16" fillId="0" borderId="2" applyAlignment="1" pivotButton="0" quotePrefix="0" xfId="0">
      <alignment horizontal="center" vertical="center" wrapText="1"/>
    </xf>
    <xf numFmtId="0" fontId="16" fillId="0" borderId="36" applyAlignment="1" applyProtection="1" pivotButton="0" quotePrefix="0" xfId="3">
      <alignment horizontal="left" vertical="center" wrapText="1"/>
      <protection locked="0" hidden="0"/>
    </xf>
    <xf numFmtId="0" fontId="16" fillId="0" borderId="2" applyAlignment="1" applyProtection="1" pivotButton="0" quotePrefix="0" xfId="0">
      <alignment horizontal="center" vertical="center" wrapText="1"/>
      <protection locked="0" hidden="0"/>
    </xf>
    <xf numFmtId="0" fontId="16" fillId="0" borderId="2" applyAlignment="1" applyProtection="1" pivotButton="0" quotePrefix="0" xfId="2">
      <alignment horizontal="center" vertical="center" wrapText="1"/>
      <protection locked="0" hidden="0"/>
    </xf>
    <xf numFmtId="0" fontId="16" fillId="0" borderId="14" applyAlignment="1" pivotButton="0" quotePrefix="0" xfId="3">
      <alignment horizontal="left" vertical="center" wrapText="1"/>
    </xf>
    <xf numFmtId="0" fontId="16" fillId="0" borderId="9" applyAlignment="1" applyProtection="1" pivotButton="0" quotePrefix="0" xfId="3">
      <alignment horizontal="left" vertical="center" wrapText="1"/>
      <protection locked="0" hidden="0"/>
    </xf>
    <xf numFmtId="0" fontId="16" fillId="0" borderId="28" applyAlignment="1" applyProtection="1" pivotButton="0" quotePrefix="0" xfId="3">
      <alignment horizontal="left" vertical="center" wrapText="1"/>
      <protection locked="0" hidden="0"/>
    </xf>
    <xf numFmtId="0" fontId="16" fillId="0" borderId="14" applyAlignment="1" pivotButton="0" quotePrefix="0" xfId="5">
      <alignment horizontal="left" vertical="center" wrapText="1"/>
    </xf>
    <xf numFmtId="0" fontId="16" fillId="0" borderId="9" applyAlignment="1" applyProtection="1" pivotButton="0" quotePrefix="0" xfId="5">
      <alignment horizontal="left" vertical="center" wrapText="1"/>
      <protection locked="0" hidden="0"/>
    </xf>
    <xf numFmtId="0" fontId="16" fillId="0" borderId="28" applyAlignment="1" applyProtection="1" pivotButton="0" quotePrefix="0" xfId="5">
      <alignment horizontal="left" vertical="center" wrapText="1"/>
      <protection locked="0" hidden="0"/>
    </xf>
    <xf numFmtId="0" fontId="21" fillId="5" borderId="28" applyAlignment="1" applyProtection="1" pivotButton="0" quotePrefix="0" xfId="3">
      <alignment horizontal="left" vertical="center" wrapText="1"/>
      <protection locked="0" hidden="0"/>
    </xf>
    <xf numFmtId="0" fontId="17" fillId="0" borderId="10" applyAlignment="1" pivotButton="0" quotePrefix="0" xfId="13">
      <alignment horizontal="center" vertical="center" wrapText="1"/>
    </xf>
    <xf numFmtId="0" fontId="16" fillId="0" borderId="13" applyAlignment="1" pivotButton="0" quotePrefix="0" xfId="0">
      <alignment horizontal="center" vertical="center" wrapText="1"/>
    </xf>
    <xf numFmtId="0" fontId="16" fillId="0" borderId="10" applyAlignment="1" pivotButton="0" quotePrefix="0" xfId="3">
      <alignment horizontal="left" vertical="center" wrapText="1"/>
    </xf>
    <xf numFmtId="0" fontId="16" fillId="0" borderId="10" applyAlignment="1" pivotButton="0" quotePrefix="0" xfId="2">
      <alignment horizontal="center" vertical="center" wrapText="1"/>
    </xf>
    <xf numFmtId="0" fontId="16" fillId="0" borderId="10" applyAlignment="1" pivotButton="0" quotePrefix="0" xfId="3">
      <alignment horizontal="center" vertical="center" wrapText="1"/>
    </xf>
    <xf numFmtId="0" fontId="16" fillId="0" borderId="17" applyAlignment="1" pivotButton="0" quotePrefix="0" xfId="3">
      <alignment horizontal="left" vertical="center" wrapText="1"/>
    </xf>
    <xf numFmtId="0" fontId="16" fillId="0" borderId="19" applyAlignment="1" applyProtection="1" pivotButton="0" quotePrefix="0" xfId="3">
      <alignment horizontal="left" vertical="center" wrapText="1"/>
      <protection locked="0" hidden="0"/>
    </xf>
    <xf numFmtId="0" fontId="16" fillId="0" borderId="29" applyAlignment="1" applyProtection="1" pivotButton="0" quotePrefix="0" xfId="3">
      <alignment horizontal="left" vertical="center" wrapText="1"/>
      <protection locked="0" hidden="0"/>
    </xf>
    <xf numFmtId="0" fontId="17" fillId="0" borderId="2" applyAlignment="1" pivotButton="0" quotePrefix="0" xfId="2">
      <alignment horizontal="center" vertical="center"/>
    </xf>
    <xf numFmtId="0" fontId="16" fillId="0" borderId="2" applyAlignment="1" pivotButton="0" quotePrefix="0" xfId="2">
      <alignment horizontal="center" vertical="center"/>
    </xf>
    <xf numFmtId="0" fontId="16" fillId="0" borderId="2" applyAlignment="1" pivotButton="0" quotePrefix="0" xfId="2">
      <alignment horizontal="left" vertical="center" wrapText="1"/>
    </xf>
    <xf numFmtId="0" fontId="16" fillId="0" borderId="16" applyAlignment="1" pivotButton="0" quotePrefix="0" xfId="2">
      <alignment horizontal="left" vertical="center"/>
    </xf>
    <xf numFmtId="0" fontId="16" fillId="0" borderId="11" applyAlignment="1" applyProtection="1" pivotButton="0" quotePrefix="0" xfId="3">
      <alignment horizontal="left" vertical="center"/>
      <protection locked="0" hidden="0"/>
    </xf>
    <xf numFmtId="0" fontId="16" fillId="0" borderId="36" applyAlignment="1" applyProtection="1" pivotButton="0" quotePrefix="0" xfId="3">
      <alignment horizontal="left" vertical="center"/>
      <protection locked="0" hidden="0"/>
    </xf>
    <xf numFmtId="164" fontId="18" fillId="0" borderId="0" applyAlignment="1" pivotButton="0" quotePrefix="0" xfId="0">
      <alignment horizontal="center" vertical="center"/>
    </xf>
    <xf numFmtId="9" fontId="18" fillId="0" borderId="0" applyAlignment="1" pivotButton="0" quotePrefix="0" xfId="10">
      <alignment horizontal="center" vertical="center"/>
    </xf>
    <xf numFmtId="0" fontId="17" fillId="0" borderId="2" applyAlignment="1" pivotButton="0" quotePrefix="0" xfId="13">
      <alignment horizontal="center" vertical="center"/>
    </xf>
    <xf numFmtId="0" fontId="16" fillId="0" borderId="2" applyAlignment="1" pivotButton="0" quotePrefix="0" xfId="0">
      <alignment horizontal="center" vertical="center"/>
    </xf>
    <xf numFmtId="0" fontId="22" fillId="0" borderId="9" applyAlignment="1" applyProtection="1" pivotButton="0" quotePrefix="0" xfId="3">
      <alignment horizontal="left" vertical="center" wrapText="1"/>
      <protection locked="0" hidden="0"/>
    </xf>
    <xf numFmtId="0" fontId="22" fillId="0" borderId="28" applyAlignment="1" applyProtection="1" pivotButton="0" quotePrefix="0" xfId="3">
      <alignment horizontal="left" vertical="center" wrapText="1"/>
      <protection locked="0" hidden="0"/>
    </xf>
    <xf numFmtId="164" fontId="22" fillId="0" borderId="0" applyAlignment="1" pivotButton="0" quotePrefix="0" xfId="0">
      <alignment horizontal="center" vertical="center"/>
    </xf>
    <xf numFmtId="9" fontId="22" fillId="0" borderId="0" applyAlignment="1" pivotButton="0" quotePrefix="0" xfId="10">
      <alignment horizontal="center" vertical="center"/>
    </xf>
    <xf numFmtId="0" fontId="22" fillId="4" borderId="16" applyAlignment="1" pivotButton="0" quotePrefix="0" xfId="0">
      <alignment horizontal="left" vertical="center" wrapText="1"/>
    </xf>
    <xf numFmtId="0" fontId="22" fillId="4" borderId="16" applyAlignment="1" applyProtection="1" pivotButton="0" quotePrefix="0" xfId="0">
      <alignment horizontal="left" vertical="center" wrapText="1"/>
      <protection locked="0" hidden="0"/>
    </xf>
    <xf numFmtId="0" fontId="22" fillId="4" borderId="9" applyAlignment="1" applyProtection="1" pivotButton="0" quotePrefix="0" xfId="3">
      <alignment horizontal="left" vertical="center" wrapText="1"/>
      <protection locked="0" hidden="0"/>
    </xf>
    <xf numFmtId="0" fontId="22" fillId="4" borderId="28" applyAlignment="1" applyProtection="1" pivotButton="0" quotePrefix="0" xfId="3">
      <alignment horizontal="left" vertical="center" wrapText="1"/>
      <protection locked="0" hidden="0"/>
    </xf>
    <xf numFmtId="0" fontId="22" fillId="4" borderId="14" applyAlignment="1" applyProtection="1" pivotButton="0" quotePrefix="0" xfId="3">
      <alignment horizontal="left" vertical="center" wrapText="1"/>
      <protection locked="0" hidden="0"/>
    </xf>
    <xf numFmtId="0" fontId="22" fillId="4" borderId="16" applyAlignment="1" applyProtection="1" pivotButton="0" quotePrefix="0" xfId="3">
      <alignment horizontal="left" vertical="center" wrapText="1"/>
      <protection locked="0" hidden="0"/>
    </xf>
    <xf numFmtId="0" fontId="16" fillId="0" borderId="2" applyAlignment="1" pivotButton="0" quotePrefix="0" xfId="3">
      <alignment horizontal="center" vertical="center" wrapText="1"/>
    </xf>
    <xf numFmtId="0" fontId="17" fillId="0" borderId="1" applyAlignment="1" pivotButton="0" quotePrefix="0" xfId="13">
      <alignment horizontal="center" vertical="center" wrapText="1"/>
    </xf>
    <xf numFmtId="0" fontId="16" fillId="0" borderId="1" applyAlignment="1" pivotButton="0" quotePrefix="0" xfId="3">
      <alignment horizontal="left" vertical="center" wrapText="1"/>
    </xf>
    <xf numFmtId="0" fontId="16" fillId="0" borderId="1" applyAlignment="1" pivotButton="0" quotePrefix="0" xfId="2">
      <alignment horizontal="center" vertical="center" wrapText="1"/>
    </xf>
    <xf numFmtId="0" fontId="16" fillId="0" borderId="1" applyAlignment="1" pivotButton="0" quotePrefix="0" xfId="3">
      <alignment horizontal="center" vertical="center" wrapText="1"/>
    </xf>
    <xf numFmtId="0" fontId="16" fillId="0" borderId="20" applyAlignment="1" applyProtection="1" pivotButton="0" quotePrefix="0" xfId="3">
      <alignment horizontal="left" vertical="center" wrapText="1"/>
      <protection locked="0" hidden="0"/>
    </xf>
    <xf numFmtId="0" fontId="16" fillId="0" borderId="26" applyAlignment="1" applyProtection="1" pivotButton="0" quotePrefix="0" xfId="3">
      <alignment horizontal="left" vertical="center" wrapText="1"/>
      <protection locked="0" hidden="0"/>
    </xf>
    <xf numFmtId="0" fontId="21" fillId="0" borderId="28" applyAlignment="1" applyProtection="1" pivotButton="0" quotePrefix="0" xfId="3">
      <alignment horizontal="left" vertical="center" wrapText="1"/>
      <protection locked="0" hidden="0"/>
    </xf>
    <xf numFmtId="0" fontId="19" fillId="0" borderId="2" applyAlignment="1" pivotButton="0" quotePrefix="0" xfId="3">
      <alignment horizontal="left" vertical="center" wrapText="1"/>
    </xf>
    <xf numFmtId="0" fontId="16" fillId="0" borderId="35" applyAlignment="1" pivotButton="0" quotePrefix="0" xfId="3">
      <alignment vertical="center" wrapText="1"/>
    </xf>
    <xf numFmtId="0" fontId="16" fillId="0" borderId="14" applyAlignment="1" pivotButton="0" quotePrefix="0" xfId="2">
      <alignment horizontal="left" vertical="center" wrapText="1"/>
    </xf>
    <xf numFmtId="0" fontId="16" fillId="0" borderId="2" applyAlignment="1" pivotButton="0" quotePrefix="0" xfId="3">
      <alignment vertical="center" wrapText="1"/>
    </xf>
    <xf numFmtId="0" fontId="17" fillId="0" borderId="28" applyAlignment="1" applyProtection="1" pivotButton="0" quotePrefix="0" xfId="3">
      <alignment horizontal="center" vertical="center" wrapText="1"/>
      <protection locked="0" hidden="0"/>
    </xf>
    <xf numFmtId="0" fontId="21" fillId="0" borderId="36" applyAlignment="1" applyProtection="1" pivotButton="0" quotePrefix="0" xfId="3">
      <alignment vertical="center" wrapText="1"/>
      <protection locked="0" hidden="0"/>
    </xf>
    <xf numFmtId="0" fontId="17" fillId="0" borderId="45" applyAlignment="1" pivotButton="0" quotePrefix="0" xfId="13">
      <alignment horizontal="center" vertical="center" wrapText="1"/>
    </xf>
    <xf numFmtId="0" fontId="16" fillId="0" borderId="45" applyAlignment="1" pivotButton="0" quotePrefix="0" xfId="13">
      <alignment horizontal="center" vertical="center" wrapText="1"/>
    </xf>
    <xf numFmtId="0" fontId="16" fillId="0" borderId="45" applyAlignment="1" pivotButton="0" quotePrefix="0" xfId="2">
      <alignment horizontal="center" vertical="center" wrapText="1"/>
    </xf>
    <xf numFmtId="0" fontId="16" fillId="0" borderId="45" applyAlignment="1" pivotButton="0" quotePrefix="0" xfId="3">
      <alignment horizontal="center" vertical="center" wrapText="1"/>
    </xf>
    <xf numFmtId="0" fontId="16" fillId="0" borderId="45" applyAlignment="1" pivotButton="0" quotePrefix="0" xfId="3">
      <alignment horizontal="left" vertical="center" wrapText="1"/>
    </xf>
    <xf numFmtId="0" fontId="17" fillId="4" borderId="45" applyAlignment="1" pivotButton="0" quotePrefix="0" xfId="13">
      <alignment horizontal="center" vertical="center" wrapText="1"/>
    </xf>
    <xf numFmtId="0" fontId="16" fillId="4" borderId="45" applyAlignment="1" pivotButton="0" quotePrefix="0" xfId="13">
      <alignment horizontal="center" vertical="center" wrapText="1"/>
    </xf>
    <xf numFmtId="0" fontId="16" fillId="4" borderId="45" applyAlignment="1" pivotButton="0" quotePrefix="0" xfId="2">
      <alignment horizontal="center" vertical="center" wrapText="1"/>
    </xf>
    <xf numFmtId="0" fontId="16" fillId="4" borderId="45" applyAlignment="1" pivotButton="0" quotePrefix="0" xfId="3">
      <alignment horizontal="center" vertical="center" wrapText="1"/>
    </xf>
    <xf numFmtId="0" fontId="16" fillId="4" borderId="45" applyAlignment="1" pivotButton="0" quotePrefix="0" xfId="3">
      <alignment horizontal="left" vertical="center" wrapText="1"/>
    </xf>
    <xf numFmtId="0" fontId="19" fillId="0" borderId="36" pivotButton="0" quotePrefix="0" xfId="0"/>
    <xf numFmtId="0" fontId="16" fillId="0" borderId="2" applyAlignment="1" applyProtection="1" pivotButton="0" quotePrefix="0" xfId="3">
      <alignment horizontal="left" vertical="center" wrapText="1"/>
      <protection locked="0" hidden="0"/>
    </xf>
    <xf numFmtId="0" fontId="16" fillId="0" borderId="1" applyAlignment="1" applyProtection="1" pivotButton="0" quotePrefix="0" xfId="2">
      <alignment horizontal="center" vertical="center" wrapText="1"/>
      <protection locked="0" hidden="0"/>
    </xf>
    <xf numFmtId="0" fontId="17" fillId="0" borderId="1" applyAlignment="1" applyProtection="1" pivotButton="0" quotePrefix="0" xfId="13">
      <alignment horizontal="center" vertical="center" wrapText="1"/>
      <protection locked="0" hidden="0"/>
    </xf>
    <xf numFmtId="0" fontId="16" fillId="0" borderId="1" applyAlignment="1" applyProtection="1" pivotButton="0" quotePrefix="0" xfId="13">
      <alignment horizontal="center" vertical="center" wrapText="1"/>
      <protection locked="0" hidden="0"/>
    </xf>
    <xf numFmtId="0" fontId="16" fillId="0" borderId="1" applyAlignment="1" applyProtection="1" pivotButton="0" quotePrefix="0" xfId="0">
      <alignment horizontal="left" vertical="center" wrapText="1"/>
      <protection locked="0" hidden="0"/>
    </xf>
    <xf numFmtId="0" fontId="17" fillId="0" borderId="2" applyAlignment="1" applyProtection="1" pivotButton="0" quotePrefix="0" xfId="13">
      <alignment horizontal="center" vertical="center" wrapText="1"/>
      <protection locked="0" hidden="0"/>
    </xf>
    <xf numFmtId="0" fontId="16" fillId="0" borderId="2" applyAlignment="1" applyProtection="1" pivotButton="0" quotePrefix="0" xfId="13">
      <alignment horizontal="center" vertical="center" wrapText="1"/>
      <protection locked="0" hidden="0"/>
    </xf>
    <xf numFmtId="0" fontId="23" fillId="0" borderId="16" applyAlignment="1" pivotButton="0" quotePrefix="0" xfId="3">
      <alignment horizontal="left" vertical="center" wrapText="1"/>
    </xf>
    <xf numFmtId="0" fontId="23" fillId="0" borderId="18" applyAlignment="1" pivotButton="0" quotePrefix="0" xfId="3">
      <alignment horizontal="left" vertical="center" wrapText="1"/>
    </xf>
    <xf numFmtId="0" fontId="23" fillId="0" borderId="45" applyAlignment="1" applyProtection="1" pivotButton="0" quotePrefix="0" xfId="3">
      <alignment horizontal="left" vertical="center" wrapText="1"/>
      <protection locked="0" hidden="0"/>
    </xf>
    <xf numFmtId="0" fontId="9" fillId="0" borderId="24" applyAlignment="1" applyProtection="1" pivotButton="0" quotePrefix="0" xfId="0">
      <alignment horizontal="left"/>
      <protection locked="0" hidden="0"/>
    </xf>
    <xf numFmtId="0" fontId="9" fillId="0" borderId="41" applyAlignment="1" applyProtection="1" pivotButton="0" quotePrefix="0" xfId="0">
      <alignment horizontal="left"/>
      <protection locked="0" hidden="0"/>
    </xf>
    <xf numFmtId="0" fontId="16" fillId="0" borderId="2" applyAlignment="1" applyProtection="1" pivotButton="0" quotePrefix="0" xfId="3">
      <alignment horizontal="center" vertical="center" wrapText="1"/>
      <protection locked="0" hidden="0"/>
    </xf>
    <xf numFmtId="0" fontId="23" fillId="0" borderId="16" applyAlignment="1" applyProtection="1" pivotButton="0" quotePrefix="0" xfId="3">
      <alignment horizontal="left" vertical="center" wrapText="1"/>
      <protection locked="0" hidden="0"/>
    </xf>
    <xf numFmtId="0" fontId="23" fillId="0" borderId="14" applyAlignment="1" pivotButton="0" quotePrefix="0" xfId="3">
      <alignment horizontal="left" vertical="center" wrapText="1"/>
    </xf>
    <xf numFmtId="0" fontId="23" fillId="0" borderId="14" applyAlignment="1" pivotButton="0" quotePrefix="0" xfId="5">
      <alignment horizontal="left" vertical="center" wrapText="1"/>
    </xf>
    <xf numFmtId="0" fontId="23" fillId="0" borderId="15" applyAlignment="1" pivotButton="0" quotePrefix="0" xfId="3">
      <alignment horizontal="left" vertical="center" wrapText="1"/>
    </xf>
    <xf numFmtId="0" fontId="23" fillId="0" borderId="16" applyAlignment="1" pivotButton="0" quotePrefix="0" xfId="2">
      <alignment horizontal="left" vertical="center"/>
    </xf>
    <xf numFmtId="0" fontId="23" fillId="0" borderId="45" applyAlignment="1" pivotButton="0" quotePrefix="0" xfId="3">
      <alignment horizontal="left" vertical="center" wrapText="1"/>
    </xf>
    <xf numFmtId="0" fontId="23" fillId="0" borderId="14" applyAlignment="1" applyProtection="1" pivotButton="0" quotePrefix="0" xfId="3">
      <alignment horizontal="left" vertical="center" wrapText="1"/>
      <protection locked="0" hidden="0"/>
    </xf>
    <xf numFmtId="0" fontId="23" fillId="0" borderId="14" applyAlignment="1" pivotButton="0" quotePrefix="0" xfId="2">
      <alignment horizontal="left" vertical="center" wrapText="1"/>
    </xf>
    <xf numFmtId="0" fontId="23" fillId="0" borderId="14" applyAlignment="1" applyProtection="1" pivotButton="0" quotePrefix="0" xfId="0">
      <alignment horizontal="left" vertical="center" wrapText="1"/>
      <protection locked="0" hidden="0"/>
    </xf>
    <xf numFmtId="0" fontId="23" fillId="0" borderId="16" applyAlignment="1" pivotButton="0" quotePrefix="0" xfId="2">
      <alignment horizontal="left" vertical="center" wrapText="1"/>
    </xf>
    <xf numFmtId="0" fontId="9" fillId="0" borderId="0" applyAlignment="1" applyProtection="1" pivotButton="0" quotePrefix="0" xfId="0">
      <alignment horizontal="left"/>
      <protection locked="0" hidden="0"/>
    </xf>
    <xf numFmtId="0" fontId="16" fillId="0" borderId="45" applyAlignment="1" pivotButton="0" quotePrefix="0" xfId="0">
      <alignment horizontal="center" vertical="center" wrapText="1"/>
    </xf>
    <xf numFmtId="0" fontId="16" fillId="0" borderId="45" applyAlignment="1" pivotButton="0" quotePrefix="0" xfId="2">
      <alignment horizontal="left" vertical="center" wrapText="1"/>
    </xf>
    <xf numFmtId="0" fontId="23" fillId="0" borderId="45" applyAlignment="1" pivotButton="0" quotePrefix="0" xfId="2">
      <alignment horizontal="left" vertical="center" wrapText="1"/>
    </xf>
    <xf numFmtId="0" fontId="16" fillId="0" borderId="1" applyAlignment="1" pivotButton="0" quotePrefix="0" xfId="0">
      <alignment horizontal="center" vertical="center" wrapText="1"/>
    </xf>
    <xf numFmtId="0" fontId="16" fillId="0" borderId="45" applyAlignment="1" applyProtection="1" pivotButton="0" quotePrefix="0" xfId="3">
      <alignment horizontal="left" vertical="center" wrapText="1"/>
      <protection locked="0" hidden="0"/>
    </xf>
    <xf numFmtId="0" fontId="17" fillId="0" borderId="45" applyAlignment="1" applyProtection="1" pivotButton="0" quotePrefix="0" xfId="13">
      <alignment horizontal="center" vertical="center" wrapText="1"/>
      <protection locked="0" hidden="0"/>
    </xf>
    <xf numFmtId="0" fontId="16" fillId="0" borderId="45" applyAlignment="1" pivotButton="0" quotePrefix="0" xfId="3">
      <alignment vertical="center" wrapText="1"/>
    </xf>
    <xf numFmtId="0" fontId="16" fillId="0" borderId="45" applyAlignment="1" applyProtection="1" pivotButton="0" quotePrefix="0" xfId="13">
      <alignment horizontal="center" vertical="center" wrapText="1"/>
      <protection locked="0" hidden="0"/>
    </xf>
    <xf numFmtId="0" fontId="16" fillId="0" borderId="45" applyAlignment="1" applyProtection="1" pivotButton="0" quotePrefix="0" xfId="2">
      <alignment horizontal="center" vertical="center" wrapText="1"/>
      <protection locked="0" hidden="0"/>
    </xf>
    <xf numFmtId="0" fontId="17" fillId="0" borderId="45" applyAlignment="1" pivotButton="0" quotePrefix="0" xfId="2">
      <alignment horizontal="center" vertical="center" wrapText="1"/>
    </xf>
    <xf numFmtId="0" fontId="16" fillId="0" borderId="45" applyAlignment="1" applyProtection="1" pivotButton="0" quotePrefix="0" xfId="0">
      <alignment horizontal="center" vertical="center" wrapText="1"/>
      <protection locked="0" hidden="0"/>
    </xf>
    <xf numFmtId="0" fontId="16" fillId="0" borderId="45" applyAlignment="1" pivotButton="0" quotePrefix="0" xfId="3">
      <alignment horizontal="center" vertical="center"/>
    </xf>
    <xf numFmtId="0" fontId="16" fillId="0" borderId="45" applyAlignment="1" pivotButton="0" quotePrefix="0" xfId="0">
      <alignment horizontal="left" vertical="center" wrapText="1"/>
    </xf>
    <xf numFmtId="0" fontId="16" fillId="0" borderId="45" applyAlignment="1" applyProtection="1" pivotButton="0" quotePrefix="0" xfId="0">
      <alignment horizontal="left" vertical="center" wrapText="1"/>
      <protection locked="0" hidden="0"/>
    </xf>
    <xf numFmtId="0" fontId="17" fillId="0" borderId="45" applyAlignment="1" pivotButton="0" quotePrefix="0" xfId="0">
      <alignment horizontal="center" vertical="center"/>
    </xf>
    <xf numFmtId="0" fontId="16" fillId="0" borderId="45" applyAlignment="1" pivotButton="0" quotePrefix="0" xfId="0">
      <alignment horizontal="center" vertical="center"/>
    </xf>
    <xf numFmtId="0" fontId="23" fillId="0" borderId="45" applyAlignment="1" pivotButton="0" quotePrefix="0" xfId="0">
      <alignment horizontal="left" vertical="center"/>
    </xf>
    <xf numFmtId="0" fontId="16" fillId="0" borderId="45" applyAlignment="1" pivotButton="0" quotePrefix="0" xfId="6">
      <alignment vertical="center" wrapText="1"/>
    </xf>
    <xf numFmtId="0" fontId="30" fillId="4" borderId="45" applyAlignment="1" pivotButton="0" quotePrefix="0" xfId="3">
      <alignment horizontal="left" vertical="center" wrapText="1"/>
    </xf>
    <xf numFmtId="0" fontId="30" fillId="4" borderId="45" applyAlignment="1" applyProtection="1" pivotButton="0" quotePrefix="0" xfId="3">
      <alignment horizontal="left" vertical="center" wrapText="1"/>
      <protection locked="0" hidden="0"/>
    </xf>
    <xf numFmtId="0" fontId="30" fillId="4" borderId="45" applyAlignment="1" applyProtection="1" pivotButton="0" quotePrefix="0" xfId="0">
      <alignment horizontal="left" vertical="center" wrapText="1"/>
      <protection locked="0" hidden="0"/>
    </xf>
    <xf numFmtId="0" fontId="23" fillId="0" borderId="1" applyAlignment="1" pivotButton="0" quotePrefix="0" xfId="3">
      <alignment horizontal="left" vertical="center" wrapText="1"/>
    </xf>
    <xf numFmtId="0" fontId="16" fillId="0" borderId="1" applyAlignment="1" applyProtection="1" pivotButton="0" quotePrefix="0" xfId="3">
      <alignment horizontal="left" vertical="center" wrapText="1"/>
      <protection locked="0" hidden="0"/>
    </xf>
    <xf numFmtId="0" fontId="17" fillId="0" borderId="3" applyAlignment="1" pivotButton="0" quotePrefix="0" xfId="13">
      <alignment horizontal="center" vertical="center" wrapText="1"/>
    </xf>
    <xf numFmtId="0" fontId="16" fillId="0" borderId="3" applyAlignment="1" pivotButton="0" quotePrefix="0" xfId="0">
      <alignment horizontal="center" vertical="center" wrapText="1"/>
    </xf>
    <xf numFmtId="0" fontId="16" fillId="0" borderId="3" applyAlignment="1" pivotButton="0" quotePrefix="0" xfId="3">
      <alignment horizontal="left" vertical="center" wrapText="1"/>
    </xf>
    <xf numFmtId="0" fontId="16" fillId="0" borderId="3" applyAlignment="1" pivotButton="0" quotePrefix="0" xfId="2">
      <alignment horizontal="center" vertical="center" wrapText="1"/>
    </xf>
    <xf numFmtId="0" fontId="16" fillId="0" borderId="3" applyAlignment="1" pivotButton="0" quotePrefix="0" xfId="2">
      <alignment horizontal="left" vertical="center" wrapText="1"/>
    </xf>
    <xf numFmtId="0" fontId="23" fillId="0" borderId="3" applyAlignment="1" pivotButton="0" quotePrefix="0" xfId="2">
      <alignment horizontal="left" vertical="center" wrapText="1"/>
    </xf>
    <xf numFmtId="0" fontId="16" fillId="0" borderId="3" applyAlignment="1" applyProtection="1" pivotButton="0" quotePrefix="0" xfId="3">
      <alignment horizontal="left" vertical="center" wrapText="1"/>
      <protection locked="0" hidden="0"/>
    </xf>
    <xf numFmtId="0" fontId="16" fillId="0" borderId="12" applyAlignment="1" applyProtection="1" pivotButton="0" quotePrefix="0" xfId="3">
      <alignment horizontal="left" vertical="center" wrapText="1"/>
      <protection locked="0" hidden="0"/>
    </xf>
    <xf numFmtId="0" fontId="16" fillId="0" borderId="45" applyAlignment="1" pivotButton="0" quotePrefix="0" xfId="5">
      <alignment horizontal="left" vertical="center" wrapText="1"/>
    </xf>
    <xf numFmtId="0" fontId="16" fillId="0" borderId="45" applyAlignment="1" pivotButton="0" quotePrefix="0" xfId="2">
      <alignment horizontal="center" vertical="center"/>
    </xf>
    <xf numFmtId="0" fontId="22" fillId="4" borderId="45" applyAlignment="1" pivotButton="0" quotePrefix="0" xfId="3">
      <alignment horizontal="left" vertical="center" wrapText="1"/>
    </xf>
    <xf numFmtId="0" fontId="16" fillId="0" borderId="43" applyAlignment="1" applyProtection="1" pivotButton="0" quotePrefix="0" xfId="0">
      <alignment horizontal="left" vertical="center" wrapText="1"/>
      <protection locked="0" hidden="0"/>
    </xf>
    <xf numFmtId="0" fontId="17" fillId="0" borderId="43" applyAlignment="1" applyProtection="1" pivotButton="0" quotePrefix="0" xfId="13">
      <alignment horizontal="center" vertical="center" wrapText="1"/>
      <protection locked="0" hidden="0"/>
    </xf>
    <xf numFmtId="0" fontId="16" fillId="0" borderId="43" applyAlignment="1" applyProtection="1" pivotButton="0" quotePrefix="0" xfId="13">
      <alignment horizontal="center" vertical="center" wrapText="1"/>
      <protection locked="0" hidden="0"/>
    </xf>
    <xf numFmtId="0" fontId="16" fillId="0" borderId="43" applyAlignment="1" applyProtection="1" pivotButton="0" quotePrefix="0" xfId="2">
      <alignment horizontal="center" vertical="center" wrapText="1"/>
      <protection locked="0" hidden="0"/>
    </xf>
    <xf numFmtId="0" fontId="16" fillId="0" borderId="45" applyAlignment="1" applyProtection="1" pivotButton="0" quotePrefix="0" xfId="3">
      <alignment horizontal="center" vertical="center" wrapText="1"/>
      <protection locked="0" hidden="0"/>
    </xf>
    <xf numFmtId="0" fontId="16" fillId="0" borderId="43" applyAlignment="1" applyProtection="1" pivotButton="0" quotePrefix="0" xfId="3">
      <alignment horizontal="left" vertical="center" wrapText="1"/>
      <protection locked="0" hidden="0"/>
    </xf>
    <xf numFmtId="0" fontId="16" fillId="0" borderId="9" applyAlignment="1" applyProtection="1" pivotButton="0" quotePrefix="0" xfId="3">
      <alignment horizontal="center" vertical="center" wrapText="1"/>
      <protection locked="0" hidden="0"/>
    </xf>
    <xf numFmtId="0" fontId="24" fillId="5" borderId="9" applyAlignment="1" applyProtection="1" pivotButton="0" quotePrefix="0" xfId="3">
      <alignment horizontal="left" vertical="center" wrapText="1"/>
      <protection locked="0" hidden="0"/>
    </xf>
    <xf numFmtId="0" fontId="16" fillId="0" borderId="9" applyAlignment="1" applyProtection="1" pivotButton="0" quotePrefix="0" xfId="3">
      <alignment vertical="center" wrapText="1"/>
      <protection locked="0" hidden="0"/>
    </xf>
    <xf numFmtId="0" fontId="30" fillId="4" borderId="9" applyAlignment="1" applyProtection="1" pivotButton="0" quotePrefix="0" xfId="3">
      <alignment horizontal="left" vertical="center" wrapText="1"/>
      <protection locked="0" hidden="0"/>
    </xf>
    <xf numFmtId="0" fontId="16" fillId="0" borderId="20" applyAlignment="1" applyProtection="1" pivotButton="0" quotePrefix="0" xfId="3">
      <alignment horizontal="center" vertical="center" wrapText="1"/>
      <protection locked="0" hidden="0"/>
    </xf>
    <xf numFmtId="0" fontId="17" fillId="0" borderId="45" applyAlignment="1" pivotButton="0" quotePrefix="0" xfId="0">
      <alignment horizontal="center" vertical="center" wrapText="1"/>
    </xf>
    <xf numFmtId="0" fontId="17" fillId="0" borderId="45" applyAlignment="1" applyProtection="1" pivotButton="0" quotePrefix="0" xfId="0">
      <alignment horizontal="center" vertical="center" wrapText="1"/>
      <protection locked="0" hidden="0"/>
    </xf>
    <xf numFmtId="0" fontId="19" fillId="0" borderId="45" applyAlignment="1" applyProtection="1" pivotButton="0" quotePrefix="0" xfId="3">
      <alignment vertical="center" wrapText="1"/>
      <protection locked="0" hidden="0"/>
    </xf>
    <xf numFmtId="49" fontId="16" fillId="0" borderId="45" applyAlignment="1" pivotButton="0" quotePrefix="0" xfId="0">
      <alignment horizontal="left" vertical="center" wrapText="1"/>
    </xf>
    <xf numFmtId="2" fontId="11" fillId="7" borderId="25" applyAlignment="1" applyProtection="1" pivotButton="0" quotePrefix="0" xfId="0">
      <alignment horizontal="right" vertical="center"/>
      <protection locked="0" hidden="0"/>
    </xf>
    <xf numFmtId="2" fontId="11" fillId="7" borderId="40" applyAlignment="1" applyProtection="1" pivotButton="0" quotePrefix="0" xfId="0">
      <alignment horizontal="right" vertical="center"/>
      <protection locked="0" hidden="0"/>
    </xf>
    <xf numFmtId="2" fontId="11" fillId="7" borderId="12" applyAlignment="1" applyProtection="1" pivotButton="0" quotePrefix="0" xfId="0">
      <alignment horizontal="right" vertical="center"/>
      <protection locked="0" hidden="0"/>
    </xf>
    <xf numFmtId="0" fontId="23" fillId="7" borderId="16" applyAlignment="1" pivotButton="0" quotePrefix="0" xfId="2">
      <alignment horizontal="left" vertical="center" wrapText="1"/>
    </xf>
    <xf numFmtId="0" fontId="31" fillId="7" borderId="45" applyAlignment="1" pivotButton="0" quotePrefix="0" xfId="2">
      <alignment horizontal="left" vertical="center" wrapText="1"/>
    </xf>
    <xf numFmtId="0" fontId="16" fillId="0" borderId="1" applyAlignment="1" applyProtection="1" pivotButton="0" quotePrefix="0" xfId="0">
      <alignment horizontal="center" vertical="center" wrapText="1"/>
      <protection locked="0" hidden="0"/>
    </xf>
    <xf numFmtId="0" fontId="23" fillId="0" borderId="1" applyAlignment="1" applyProtection="1" pivotButton="0" quotePrefix="0" xfId="3">
      <alignment horizontal="left" vertical="center" wrapText="1"/>
      <protection locked="0" hidden="0"/>
    </xf>
    <xf numFmtId="0" fontId="23" fillId="0" borderId="2" applyAlignment="1" pivotButton="0" quotePrefix="0" xfId="3">
      <alignment horizontal="left" vertical="center" wrapText="1"/>
    </xf>
    <xf numFmtId="0" fontId="16" fillId="0" borderId="1" applyAlignment="1" pivotButton="0" quotePrefix="0" xfId="2">
      <alignment horizontal="left" vertical="center" wrapText="1"/>
    </xf>
    <xf numFmtId="0" fontId="23" fillId="0" borderId="1" applyAlignment="1" pivotButton="0" quotePrefix="0" xfId="2">
      <alignment horizontal="left" vertical="center" wrapText="1"/>
    </xf>
    <xf numFmtId="0" fontId="29" fillId="0" borderId="2" applyAlignment="1" pivotButton="0" quotePrefix="0" xfId="0">
      <alignment horizontal="center" vertical="center"/>
    </xf>
    <xf numFmtId="0" fontId="19" fillId="0" borderId="2" applyAlignment="1" pivotButton="0" quotePrefix="0" xfId="0">
      <alignment horizontal="center" vertical="center"/>
    </xf>
    <xf numFmtId="0" fontId="19" fillId="0" borderId="2" applyAlignment="1" pivotButton="0" quotePrefix="0" xfId="0">
      <alignment vertical="center" wrapText="1"/>
    </xf>
    <xf numFmtId="0" fontId="16" fillId="0" borderId="2" applyAlignment="1" applyProtection="1" pivotButton="0" quotePrefix="0" xfId="0">
      <alignment horizontal="left" vertical="center" wrapText="1"/>
      <protection locked="0" hidden="0"/>
    </xf>
    <xf numFmtId="0" fontId="16" fillId="0" borderId="1" applyAlignment="1" applyProtection="1" pivotButton="0" quotePrefix="0" xfId="2">
      <alignment horizontal="left" vertical="center" wrapText="1"/>
      <protection locked="0" hidden="0"/>
    </xf>
    <xf numFmtId="0" fontId="24" fillId="0" borderId="11" applyAlignment="1" applyProtection="1" pivotButton="0" quotePrefix="0" xfId="3">
      <alignment horizontal="left" vertical="center" wrapText="1"/>
      <protection locked="0" hidden="0"/>
    </xf>
    <xf numFmtId="0" fontId="16" fillId="0" borderId="35" applyAlignment="1" pivotButton="0" quotePrefix="0" xfId="3">
      <alignment horizontal="left" vertical="center" wrapText="1"/>
    </xf>
    <xf numFmtId="0" fontId="23" fillId="0" borderId="2" applyAlignment="1" pivotButton="0" quotePrefix="0" xfId="2">
      <alignment horizontal="left" vertical="center" wrapText="1"/>
    </xf>
    <xf numFmtId="0" fontId="6" fillId="0" borderId="0" applyAlignment="1" applyProtection="1" pivotButton="0" quotePrefix="0" xfId="0">
      <alignment horizontal="left"/>
      <protection locked="0" hidden="0"/>
    </xf>
    <xf numFmtId="0" fontId="7" fillId="0" borderId="24" applyAlignment="1" applyProtection="1" pivotButton="0" quotePrefix="0" xfId="0">
      <alignment horizontal="left"/>
      <protection locked="0" hidden="0"/>
    </xf>
    <xf numFmtId="0" fontId="7" fillId="0" borderId="41" applyAlignment="1" applyProtection="1" pivotButton="0" quotePrefix="0" xfId="0">
      <alignment horizontal="left"/>
      <protection locked="0" hidden="0"/>
    </xf>
    <xf numFmtId="0" fontId="23" fillId="7" borderId="2" applyAlignment="1" pivotButton="0" quotePrefix="0" xfId="3">
      <alignment horizontal="left" vertical="center" wrapText="1"/>
    </xf>
    <xf numFmtId="0" fontId="16" fillId="0" borderId="13" applyAlignment="1" pivotButton="0" quotePrefix="0" xfId="2">
      <alignment horizontal="center" vertical="center" wrapText="1"/>
    </xf>
    <xf numFmtId="0" fontId="16" fillId="0" borderId="13" applyAlignment="1" pivotButton="0" quotePrefix="0" xfId="2">
      <alignment horizontal="left" vertical="center" wrapText="1"/>
    </xf>
    <xf numFmtId="0" fontId="23" fillId="0" borderId="13" applyAlignment="1" pivotButton="0" quotePrefix="0" xfId="2">
      <alignment horizontal="left" vertical="center" wrapText="1"/>
    </xf>
    <xf numFmtId="0" fontId="16" fillId="0" borderId="13" applyAlignment="1" applyProtection="1" pivotButton="0" quotePrefix="0" xfId="3">
      <alignment horizontal="left" vertical="center" wrapText="1"/>
      <protection locked="0" hidden="0"/>
    </xf>
    <xf numFmtId="0" fontId="16" fillId="0" borderId="40" applyAlignment="1" applyProtection="1" pivotButton="0" quotePrefix="0" xfId="3">
      <alignment horizontal="left" vertical="center" wrapText="1"/>
      <protection locked="0" hidden="0"/>
    </xf>
    <xf numFmtId="0" fontId="16" fillId="0" borderId="33" applyAlignment="1" pivotButton="0" quotePrefix="0" xfId="0">
      <alignment horizontal="center" vertical="center" wrapText="1"/>
    </xf>
    <xf numFmtId="0" fontId="16" fillId="0" borderId="33" applyAlignment="1" pivotButton="0" quotePrefix="0" xfId="2">
      <alignment horizontal="center" vertical="center" wrapText="1"/>
    </xf>
    <xf numFmtId="0" fontId="16" fillId="0" borderId="33" applyAlignment="1" pivotButton="0" quotePrefix="0" xfId="2">
      <alignment horizontal="left" vertical="center" wrapText="1"/>
    </xf>
    <xf numFmtId="0" fontId="23" fillId="0" borderId="33" applyAlignment="1" pivotButton="0" quotePrefix="0" xfId="2">
      <alignment horizontal="left" vertical="center" wrapText="1"/>
    </xf>
    <xf numFmtId="0" fontId="16" fillId="0" borderId="33" applyAlignment="1" applyProtection="1" pivotButton="0" quotePrefix="0" xfId="3">
      <alignment horizontal="left" vertical="center" wrapText="1"/>
      <protection locked="0" hidden="0"/>
    </xf>
    <xf numFmtId="0" fontId="16" fillId="0" borderId="48" applyAlignment="1" applyProtection="1" pivotButton="0" quotePrefix="0" xfId="3">
      <alignment horizontal="left" vertical="center" wrapText="1"/>
      <protection locked="0" hidden="0"/>
    </xf>
    <xf numFmtId="0" fontId="16" fillId="0" borderId="33" applyAlignment="1" pivotButton="0" quotePrefix="0" xfId="15">
      <alignment horizontal="left" vertical="center" wrapText="1"/>
    </xf>
    <xf numFmtId="0" fontId="16" fillId="0" borderId="45" applyAlignment="1" pivotButton="0" quotePrefix="0" xfId="15">
      <alignment horizontal="left" vertical="center" wrapText="1"/>
    </xf>
    <xf numFmtId="0" fontId="16" fillId="0" borderId="10" applyAlignment="1" pivotButton="0" quotePrefix="0" xfId="15">
      <alignment horizontal="left" vertical="center" wrapText="1"/>
    </xf>
    <xf numFmtId="0" fontId="16" fillId="4" borderId="43" applyAlignment="1" applyProtection="1" pivotButton="0" quotePrefix="0" xfId="0">
      <alignment horizontal="left" vertical="center" wrapText="1"/>
      <protection locked="0" hidden="0"/>
    </xf>
    <xf numFmtId="0" fontId="19" fillId="0" borderId="35" applyAlignment="1" pivotButton="0" quotePrefix="0" xfId="0">
      <alignment vertical="center" wrapText="1"/>
    </xf>
    <xf numFmtId="49" fontId="16" fillId="4" borderId="30" applyAlignment="1" pivotButton="0" quotePrefix="0" xfId="0">
      <alignment horizontal="left" vertical="center" wrapText="1"/>
    </xf>
    <xf numFmtId="0" fontId="26" fillId="0" borderId="45" applyAlignment="1" pivotButton="0" quotePrefix="0" xfId="2">
      <alignment horizontal="left" vertical="center" wrapText="1"/>
    </xf>
    <xf numFmtId="0" fontId="31" fillId="0" borderId="0" applyAlignment="1" pivotButton="0" quotePrefix="0" xfId="2">
      <alignment horizontal="left" vertical="center" wrapText="1"/>
    </xf>
    <xf numFmtId="0" fontId="17" fillId="0" borderId="36" applyAlignment="1" applyProtection="1" pivotButton="0" quotePrefix="0" xfId="3">
      <alignment horizontal="center" vertical="center" wrapText="1"/>
      <protection locked="0" hidden="0"/>
    </xf>
    <xf numFmtId="0" fontId="19" fillId="0" borderId="2" applyAlignment="1" pivotButton="0" quotePrefix="0" xfId="3">
      <alignment vertical="center" wrapText="1"/>
    </xf>
    <xf numFmtId="0" fontId="19" fillId="0" borderId="6" applyAlignment="1" applyProtection="1" pivotButton="0" quotePrefix="0" xfId="2">
      <alignment horizontal="center" vertical="center"/>
      <protection locked="0" hidden="0"/>
    </xf>
    <xf numFmtId="0" fontId="16" fillId="6" borderId="0" applyProtection="1" pivotButton="0" quotePrefix="0" xfId="3">
      <protection locked="0" hidden="0"/>
    </xf>
    <xf numFmtId="0" fontId="16" fillId="6" borderId="28" applyAlignment="1" applyProtection="1" pivotButton="0" quotePrefix="0" xfId="3">
      <alignment horizontal="left" vertical="center" wrapText="1"/>
      <protection locked="0" hidden="0"/>
    </xf>
    <xf numFmtId="164" fontId="18" fillId="6" borderId="0" applyAlignment="1" pivotButton="0" quotePrefix="0" xfId="0">
      <alignment horizontal="center" vertical="center"/>
    </xf>
    <xf numFmtId="9" fontId="18" fillId="6" borderId="0" applyAlignment="1" applyProtection="1" pivotButton="0" quotePrefix="0" xfId="10">
      <alignment horizontal="center" vertical="center"/>
      <protection locked="0" hidden="0"/>
    </xf>
    <xf numFmtId="0" fontId="16" fillId="6" borderId="0" applyAlignment="1" applyProtection="1" pivotButton="0" quotePrefix="0" xfId="0">
      <alignment horizontal="center" vertical="center"/>
      <protection locked="0" hidden="0"/>
    </xf>
    <xf numFmtId="0" fontId="17" fillId="6" borderId="0" applyAlignment="1" applyProtection="1" pivotButton="0" quotePrefix="0" xfId="3">
      <alignment horizontal="center" vertical="center"/>
      <protection locked="0" hidden="0"/>
    </xf>
    <xf numFmtId="0" fontId="16" fillId="6" borderId="0" applyProtection="1" pivotButton="0" quotePrefix="0" xfId="0">
      <protection locked="0" hidden="0"/>
    </xf>
    <xf numFmtId="0" fontId="16" fillId="6" borderId="0" applyAlignment="1" applyProtection="1" pivotButton="0" quotePrefix="0" xfId="3">
      <alignment vertical="center"/>
      <protection locked="0" hidden="0"/>
    </xf>
    <xf numFmtId="0" fontId="16" fillId="0" borderId="0" applyProtection="1" pivotButton="0" quotePrefix="0" xfId="0">
      <protection locked="0" hidden="0"/>
    </xf>
    <xf numFmtId="164" fontId="16" fillId="0" borderId="0" applyAlignment="1" pivotButton="0" quotePrefix="0" xfId="0">
      <alignment horizontal="center" vertical="center"/>
    </xf>
    <xf numFmtId="9" fontId="16" fillId="0" borderId="0" applyAlignment="1" applyProtection="1" pivotButton="0" quotePrefix="0" xfId="10">
      <alignment horizontal="center" vertical="center"/>
      <protection locked="0" hidden="0"/>
    </xf>
    <xf numFmtId="0" fontId="16" fillId="0" borderId="0" applyAlignment="1" applyProtection="1" pivotButton="0" quotePrefix="0" xfId="0">
      <alignment horizontal="center" vertical="center"/>
      <protection locked="0" hidden="0"/>
    </xf>
    <xf numFmtId="0" fontId="16" fillId="0" borderId="0" applyProtection="1" pivotButton="0" quotePrefix="0" xfId="3">
      <protection locked="0" hidden="0"/>
    </xf>
    <xf numFmtId="0" fontId="17" fillId="0" borderId="0" applyAlignment="1" applyProtection="1" pivotButton="0" quotePrefix="0" xfId="3">
      <alignment horizontal="center" vertical="center"/>
      <protection locked="0" hidden="0"/>
    </xf>
    <xf numFmtId="0" fontId="16" fillId="0" borderId="0" applyAlignment="1" applyProtection="1" pivotButton="0" quotePrefix="0" xfId="3">
      <alignment vertical="center" wrapText="1"/>
      <protection locked="0" hidden="0"/>
    </xf>
    <xf numFmtId="0" fontId="16" fillId="0" borderId="0" applyAlignment="1" applyProtection="1" pivotButton="0" quotePrefix="0" xfId="0">
      <alignment horizontal="center"/>
      <protection locked="0" hidden="0"/>
    </xf>
    <xf numFmtId="0" fontId="21" fillId="0" borderId="28" applyAlignment="1" applyProtection="1" pivotButton="0" quotePrefix="0" xfId="3">
      <alignment horizontal="center" vertical="center" wrapText="1"/>
      <protection locked="0" hidden="0"/>
    </xf>
    <xf numFmtId="0" fontId="17" fillId="0" borderId="33" applyAlignment="1" pivotButton="0" quotePrefix="0" xfId="4">
      <alignment horizontal="center" vertical="center" wrapText="1"/>
    </xf>
    <xf numFmtId="0" fontId="17" fillId="0" borderId="10" applyAlignment="1" pivotButton="0" quotePrefix="0" xfId="0">
      <alignment horizontal="center" vertical="center" wrapText="1"/>
    </xf>
    <xf numFmtId="0" fontId="19" fillId="0" borderId="0" pivotButton="0" quotePrefix="0" xfId="0"/>
    <xf numFmtId="0" fontId="19" fillId="0" borderId="34" pivotButton="0" quotePrefix="0" xfId="0"/>
    <xf numFmtId="164" fontId="16" fillId="0" borderId="0" applyAlignment="1" applyProtection="1" pivotButton="0" quotePrefix="0" xfId="0">
      <alignment horizontal="center" vertical="center"/>
      <protection locked="0" hidden="0"/>
    </xf>
    <xf numFmtId="0" fontId="16" fillId="0" borderId="0" applyAlignment="1" applyProtection="1" pivotButton="0" quotePrefix="0" xfId="3">
      <alignment vertical="center"/>
      <protection locked="0" hidden="0"/>
    </xf>
    <xf numFmtId="0" fontId="16" fillId="6" borderId="14" applyAlignment="1" applyProtection="1" pivotButton="0" quotePrefix="0" xfId="3">
      <alignment horizontal="left" vertical="center" wrapText="1"/>
      <protection locked="0" hidden="0"/>
    </xf>
    <xf numFmtId="0" fontId="17" fillId="4" borderId="2" applyAlignment="1" applyProtection="1" pivotButton="0" quotePrefix="0" xfId="13">
      <alignment horizontal="center" vertical="center" wrapText="1"/>
      <protection locked="0" hidden="0"/>
    </xf>
    <xf numFmtId="0" fontId="16" fillId="4" borderId="2" applyAlignment="1" applyProtection="1" pivotButton="0" quotePrefix="0" xfId="13">
      <alignment horizontal="center" vertical="center" wrapText="1"/>
      <protection locked="0" hidden="0"/>
    </xf>
    <xf numFmtId="0" fontId="16" fillId="4" borderId="2" applyAlignment="1" applyProtection="1" pivotButton="0" quotePrefix="0" xfId="2">
      <alignment horizontal="center" vertical="center" wrapText="1"/>
      <protection locked="0" hidden="0"/>
    </xf>
    <xf numFmtId="0" fontId="16" fillId="4" borderId="2" applyAlignment="1" applyProtection="1" pivotButton="0" quotePrefix="0" xfId="0">
      <alignment horizontal="center" vertical="center" wrapText="1"/>
      <protection locked="0" hidden="0"/>
    </xf>
    <xf numFmtId="0" fontId="16" fillId="0" borderId="10" applyAlignment="1" pivotButton="0" quotePrefix="0" xfId="3">
      <alignment vertical="center" wrapText="1"/>
    </xf>
    <xf numFmtId="0" fontId="16" fillId="0" borderId="10" applyAlignment="1" pivotButton="0" quotePrefix="0" xfId="2">
      <alignment horizontal="left" vertical="center" wrapText="1"/>
    </xf>
    <xf numFmtId="0" fontId="16" fillId="0" borderId="10" applyAlignment="1" pivotButton="0" quotePrefix="0" xfId="0">
      <alignment horizontal="center" vertical="center" wrapText="1"/>
    </xf>
    <xf numFmtId="0" fontId="17" fillId="0" borderId="10" applyAlignment="1" applyProtection="1" pivotButton="0" quotePrefix="0" xfId="13">
      <alignment horizontal="center" vertical="center" wrapText="1"/>
      <protection locked="0" hidden="0"/>
    </xf>
    <xf numFmtId="0" fontId="16" fillId="0" borderId="10" applyAlignment="1" applyProtection="1" pivotButton="0" quotePrefix="0" xfId="13">
      <alignment horizontal="center" vertical="center" wrapText="1"/>
      <protection locked="0" hidden="0"/>
    </xf>
    <xf numFmtId="0" fontId="16" fillId="0" borderId="10" applyAlignment="1" applyProtection="1" pivotButton="0" quotePrefix="0" xfId="3">
      <alignment horizontal="left" vertical="center" wrapText="1"/>
      <protection locked="0" hidden="0"/>
    </xf>
    <xf numFmtId="0" fontId="16" fillId="4" borderId="10" applyAlignment="1" applyProtection="1" pivotButton="0" quotePrefix="0" xfId="2">
      <alignment horizontal="center" vertical="center" wrapText="1"/>
      <protection locked="0" hidden="0"/>
    </xf>
    <xf numFmtId="0" fontId="16" fillId="0" borderId="10" applyAlignment="1" applyProtection="1" pivotButton="0" quotePrefix="0" xfId="2">
      <alignment horizontal="center" vertical="center" wrapText="1"/>
      <protection locked="0" hidden="0"/>
    </xf>
    <xf numFmtId="0" fontId="16" fillId="0" borderId="10" applyAlignment="1" applyProtection="1" pivotButton="0" quotePrefix="0" xfId="3">
      <alignment horizontal="center" vertical="center" wrapText="1"/>
      <protection locked="0" hidden="0"/>
    </xf>
    <xf numFmtId="0" fontId="16" fillId="4" borderId="45" applyAlignment="1" applyProtection="1" pivotButton="0" quotePrefix="0" xfId="13">
      <alignment horizontal="center" vertical="center" wrapText="1"/>
      <protection locked="0" hidden="0"/>
    </xf>
    <xf numFmtId="0" fontId="16" fillId="4" borderId="45" applyAlignment="1" applyProtection="1" pivotButton="0" quotePrefix="0" xfId="2">
      <alignment horizontal="center" vertical="center" wrapText="1"/>
      <protection locked="0" hidden="0"/>
    </xf>
    <xf numFmtId="0" fontId="16" fillId="4" borderId="45" applyAlignment="1" applyProtection="1" pivotButton="0" quotePrefix="0" xfId="3">
      <alignment vertical="center" wrapText="1"/>
      <protection locked="0" hidden="0"/>
    </xf>
    <xf numFmtId="0" fontId="16" fillId="4" borderId="45" applyAlignment="1" applyProtection="1" pivotButton="0" quotePrefix="0" xfId="0">
      <alignment horizontal="center" vertical="center" wrapText="1"/>
      <protection locked="0" hidden="0"/>
    </xf>
    <xf numFmtId="0" fontId="16" fillId="6" borderId="31" applyAlignment="1" applyProtection="1" pivotButton="0" quotePrefix="0" xfId="3">
      <alignment horizontal="left" vertical="center" wrapText="1"/>
      <protection locked="0" hidden="0"/>
    </xf>
    <xf numFmtId="0" fontId="23" fillId="0" borderId="43" applyAlignment="1" pivotButton="0" quotePrefix="0" xfId="3">
      <alignment horizontal="left" vertical="center" wrapText="1"/>
    </xf>
    <xf numFmtId="0" fontId="16" fillId="0" borderId="51" applyAlignment="1" applyProtection="1" pivotButton="0" quotePrefix="0" xfId="3">
      <alignment horizontal="left" vertical="center" wrapText="1"/>
      <protection locked="0" hidden="0"/>
    </xf>
    <xf numFmtId="0" fontId="17" fillId="4" borderId="1" applyAlignment="1" applyProtection="1" pivotButton="0" quotePrefix="0" xfId="13">
      <alignment horizontal="center" vertical="center" wrapText="1"/>
      <protection locked="0" hidden="0"/>
    </xf>
    <xf numFmtId="0" fontId="16" fillId="4" borderId="1" applyAlignment="1" applyProtection="1" pivotButton="0" quotePrefix="0" xfId="13">
      <alignment horizontal="center" vertical="center" wrapText="1"/>
      <protection locked="0" hidden="0"/>
    </xf>
    <xf numFmtId="0" fontId="16" fillId="4" borderId="1" applyAlignment="1" applyProtection="1" pivotButton="0" quotePrefix="0" xfId="0">
      <alignment horizontal="left" vertical="center" wrapText="1"/>
      <protection locked="0" hidden="0"/>
    </xf>
    <xf numFmtId="0" fontId="19" fillId="4" borderId="1" applyAlignment="1" pivotButton="0" quotePrefix="0" xfId="3">
      <alignment horizontal="left" vertical="center" wrapText="1"/>
    </xf>
    <xf numFmtId="0" fontId="16" fillId="4" borderId="1" applyAlignment="1" pivotButton="0" quotePrefix="0" xfId="2">
      <alignment horizontal="center" vertical="center" wrapText="1"/>
    </xf>
    <xf numFmtId="0" fontId="16" fillId="4" borderId="1" applyAlignment="1" applyProtection="1" pivotButton="0" quotePrefix="0" xfId="0">
      <alignment horizontal="center" vertical="center" wrapText="1"/>
      <protection locked="0" hidden="0"/>
    </xf>
    <xf numFmtId="0" fontId="16" fillId="4" borderId="1" applyAlignment="1" applyProtection="1" pivotButton="0" quotePrefix="0" xfId="2">
      <alignment horizontal="center" vertical="center" wrapText="1"/>
      <protection locked="0" hidden="0"/>
    </xf>
    <xf numFmtId="0" fontId="16" fillId="4" borderId="1" applyAlignment="1" applyProtection="1" pivotButton="0" quotePrefix="0" xfId="3">
      <alignment horizontal="left" vertical="center" wrapText="1"/>
      <protection locked="0" hidden="0"/>
    </xf>
    <xf numFmtId="0" fontId="16" fillId="0" borderId="35" applyAlignment="1" pivotButton="0" quotePrefix="0" xfId="0">
      <alignment horizontal="center" vertical="center" wrapText="1"/>
    </xf>
    <xf numFmtId="0" fontId="16" fillId="0" borderId="10" applyAlignment="1" pivotButton="0" quotePrefix="0" xfId="13">
      <alignment horizontal="center" vertical="center" wrapText="1"/>
    </xf>
    <xf numFmtId="0" fontId="16" fillId="0" borderId="10" applyAlignment="1" pivotButton="0" quotePrefix="0" xfId="6">
      <alignment vertical="center" wrapText="1"/>
    </xf>
    <xf numFmtId="0" fontId="17" fillId="0" borderId="10" applyAlignment="1" applyProtection="1" pivotButton="0" quotePrefix="0" xfId="0">
      <alignment horizontal="center" vertical="center" wrapText="1"/>
      <protection locked="0" hidden="0"/>
    </xf>
    <xf numFmtId="0" fontId="16" fillId="0" borderId="10" applyAlignment="1" applyProtection="1" pivotButton="0" quotePrefix="0" xfId="0">
      <alignment horizontal="center" vertical="center" wrapText="1"/>
      <protection locked="0" hidden="0"/>
    </xf>
    <xf numFmtId="0" fontId="19" fillId="0" borderId="2" applyAlignment="1" applyProtection="1" pivotButton="0" quotePrefix="0" xfId="3">
      <alignment vertical="center" wrapText="1"/>
      <protection locked="0" hidden="0"/>
    </xf>
    <xf numFmtId="0" fontId="18" fillId="0" borderId="2" applyAlignment="1" pivotButton="0" quotePrefix="0" xfId="0">
      <alignment horizontal="center" vertical="center" wrapText="1"/>
    </xf>
    <xf numFmtId="0" fontId="23" fillId="0" borderId="43" applyAlignment="1" applyProtection="1" pivotButton="0" quotePrefix="0" xfId="3">
      <alignment horizontal="left" vertical="center" wrapText="1"/>
      <protection locked="0" hidden="0"/>
    </xf>
    <xf numFmtId="0" fontId="16" fillId="4" borderId="2" applyAlignment="1" pivotButton="0" quotePrefix="0" xfId="2">
      <alignment horizontal="center" vertical="center" wrapText="1"/>
    </xf>
    <xf numFmtId="0" fontId="2" fillId="6" borderId="37" applyAlignment="1" applyProtection="1" pivotButton="0" quotePrefix="0" xfId="2">
      <alignment horizontal="left" vertical="center" wrapText="1"/>
      <protection locked="0" hidden="0"/>
    </xf>
    <xf numFmtId="0" fontId="21" fillId="10" borderId="16" applyAlignment="1" applyProtection="1" pivotButton="0" quotePrefix="0" xfId="0">
      <alignment horizontal="left" vertical="center" wrapText="1"/>
      <protection locked="0" hidden="0"/>
    </xf>
    <xf numFmtId="0" fontId="16" fillId="4" borderId="43" applyAlignment="1" pivotButton="0" quotePrefix="0" xfId="0">
      <alignment horizontal="center" vertical="center" wrapText="1"/>
    </xf>
    <xf numFmtId="0" fontId="16" fillId="4" borderId="10" applyAlignment="1" pivotButton="0" quotePrefix="0" xfId="2">
      <alignment horizontal="center" vertical="center" wrapText="1"/>
    </xf>
    <xf numFmtId="0" fontId="16" fillId="4" borderId="45" applyAlignment="1" pivotButton="0" quotePrefix="0" xfId="2">
      <alignment horizontal="center" vertical="center"/>
    </xf>
    <xf numFmtId="0" fontId="16" fillId="4" borderId="2" applyAlignment="1" pivotButton="0" quotePrefix="0" xfId="2">
      <alignment horizontal="center" vertical="center"/>
    </xf>
    <xf numFmtId="0" fontId="19" fillId="4" borderId="2" applyAlignment="1" pivotButton="0" quotePrefix="0" xfId="2">
      <alignment horizontal="center" vertical="center" wrapText="1"/>
    </xf>
    <xf numFmtId="0" fontId="19" fillId="4" borderId="45" applyAlignment="1" pivotButton="0" quotePrefix="0" xfId="2">
      <alignment horizontal="center" vertical="center" wrapText="1"/>
    </xf>
    <xf numFmtId="0" fontId="16" fillId="4" borderId="3" applyAlignment="1" pivotButton="0" quotePrefix="0" xfId="2">
      <alignment horizontal="center" vertical="center" wrapText="1"/>
    </xf>
    <xf numFmtId="0" fontId="16" fillId="4" borderId="33" applyAlignment="1" pivotButton="0" quotePrefix="0" xfId="2">
      <alignment horizontal="center" vertical="center" wrapText="1"/>
    </xf>
    <xf numFmtId="0" fontId="16" fillId="4" borderId="13" applyAlignment="1" pivotButton="0" quotePrefix="0" xfId="2">
      <alignment horizontal="center" vertical="center" wrapText="1"/>
    </xf>
    <xf numFmtId="0" fontId="6" fillId="4" borderId="0" applyProtection="1" pivotButton="0" quotePrefix="0" xfId="0">
      <protection locked="0" hidden="0"/>
    </xf>
    <xf numFmtId="0" fontId="7" fillId="4" borderId="24" applyProtection="1" pivotButton="0" quotePrefix="0" xfId="0">
      <protection locked="0" hidden="0"/>
    </xf>
    <xf numFmtId="0" fontId="7" fillId="4" borderId="41" applyProtection="1" pivotButton="0" quotePrefix="0" xfId="0">
      <protection locked="0" hidden="0"/>
    </xf>
    <xf numFmtId="0" fontId="19" fillId="4" borderId="45" applyAlignment="1" applyProtection="1" pivotButton="0" quotePrefix="0" xfId="2">
      <alignment horizontal="center" vertical="center" wrapText="1"/>
      <protection locked="0" hidden="0"/>
    </xf>
    <xf numFmtId="0" fontId="17" fillId="4" borderId="43" applyAlignment="1" pivotButton="0" quotePrefix="0" xfId="2">
      <alignment horizontal="center" vertical="center" wrapText="1"/>
    </xf>
    <xf numFmtId="0" fontId="19" fillId="4" borderId="45" applyAlignment="1" applyProtection="1" pivotButton="0" quotePrefix="0" xfId="3">
      <alignment vertical="center" wrapText="1"/>
      <protection locked="0" hidden="0"/>
    </xf>
    <xf numFmtId="0" fontId="19" fillId="4" borderId="16" applyAlignment="1" pivotButton="0" quotePrefix="0" xfId="3">
      <alignment horizontal="left" vertical="center" wrapText="1"/>
    </xf>
    <xf numFmtId="0" fontId="16" fillId="4" borderId="45" applyAlignment="1" applyProtection="1" pivotButton="0" quotePrefix="0" xfId="0">
      <alignment horizontal="left" vertical="center" wrapText="1"/>
      <protection locked="0" hidden="0"/>
    </xf>
    <xf numFmtId="0" fontId="19" fillId="4" borderId="45" applyAlignment="1" applyProtection="1" pivotButton="0" quotePrefix="0" xfId="0">
      <alignment horizontal="left" vertical="center" wrapText="1"/>
      <protection locked="0" hidden="0"/>
    </xf>
    <xf numFmtId="0" fontId="19" fillId="4" borderId="45" applyAlignment="1" pivotButton="0" quotePrefix="0" xfId="3">
      <alignment horizontal="center" vertical="center" wrapText="1"/>
    </xf>
    <xf numFmtId="0" fontId="16" fillId="4" borderId="1" applyAlignment="1" pivotButton="0" quotePrefix="0" xfId="3">
      <alignment horizontal="left" vertical="center" wrapText="1"/>
    </xf>
    <xf numFmtId="0" fontId="16" fillId="4" borderId="1" applyAlignment="1" pivotButton="0" quotePrefix="0" xfId="3">
      <alignment horizontal="center" vertical="center" wrapText="1"/>
    </xf>
    <xf numFmtId="0" fontId="29" fillId="4" borderId="1" applyAlignment="1" pivotButton="0" quotePrefix="0" xfId="13">
      <alignment horizontal="center" vertical="center" wrapText="1"/>
    </xf>
    <xf numFmtId="0" fontId="19" fillId="4" borderId="1" applyAlignment="1" pivotButton="0" quotePrefix="0" xfId="13">
      <alignment horizontal="center" vertical="center" wrapText="1"/>
    </xf>
    <xf numFmtId="0" fontId="19" fillId="4" borderId="1" applyAlignment="1" pivotButton="0" quotePrefix="0" xfId="2">
      <alignment horizontal="center" vertical="center" wrapText="1"/>
    </xf>
    <xf numFmtId="0" fontId="19" fillId="4" borderId="45" applyAlignment="1" pivotButton="0" quotePrefix="0" xfId="3">
      <alignment horizontal="left" vertical="center" wrapText="1"/>
    </xf>
    <xf numFmtId="0" fontId="19" fillId="4" borderId="1" applyAlignment="1" pivotButton="0" quotePrefix="0" xfId="3">
      <alignment horizontal="center" vertical="center" wrapText="1"/>
    </xf>
    <xf numFmtId="0" fontId="19" fillId="4" borderId="15" applyAlignment="1" pivotButton="0" quotePrefix="0" xfId="3">
      <alignment horizontal="left" vertical="center" wrapText="1"/>
    </xf>
    <xf numFmtId="0" fontId="19" fillId="4" borderId="2" pivotButton="0" quotePrefix="0" xfId="0"/>
    <xf numFmtId="0" fontId="29" fillId="4" borderId="2" applyAlignment="1" pivotButton="0" quotePrefix="0" xfId="2">
      <alignment horizontal="center" vertical="center"/>
    </xf>
    <xf numFmtId="0" fontId="19" fillId="4" borderId="2" applyAlignment="1" pivotButton="0" quotePrefix="0" xfId="2">
      <alignment horizontal="center" vertical="center"/>
    </xf>
    <xf numFmtId="0" fontId="19" fillId="4" borderId="2" applyAlignment="1" pivotButton="0" quotePrefix="0" xfId="0">
      <alignment vertical="center" wrapText="1"/>
    </xf>
    <xf numFmtId="0" fontId="19" fillId="4" borderId="2" applyAlignment="1" pivotButton="0" quotePrefix="0" xfId="2">
      <alignment horizontal="left" vertical="center" wrapText="1"/>
    </xf>
    <xf numFmtId="0" fontId="19" fillId="4" borderId="2" applyAlignment="1" pivotButton="0" quotePrefix="0" xfId="0">
      <alignment horizontal="center" vertical="center" wrapText="1"/>
    </xf>
    <xf numFmtId="0" fontId="16" fillId="4" borderId="45" applyAlignment="1" pivotButton="0" quotePrefix="0" xfId="0">
      <alignment horizontal="left" vertical="center" wrapText="1"/>
    </xf>
    <xf numFmtId="0" fontId="29" fillId="4" borderId="45" applyAlignment="1" pivotButton="0" quotePrefix="0" xfId="13">
      <alignment horizontal="center" vertical="center" wrapText="1"/>
    </xf>
    <xf numFmtId="0" fontId="19" fillId="4" borderId="45" applyAlignment="1" pivotButton="0" quotePrefix="0" xfId="0">
      <alignment horizontal="center" vertical="center" wrapText="1"/>
    </xf>
    <xf numFmtId="0" fontId="19" fillId="4" borderId="14" applyAlignment="1" pivotButton="0" quotePrefix="0" xfId="3">
      <alignment horizontal="left" vertical="center" wrapText="1"/>
    </xf>
    <xf numFmtId="0" fontId="29" fillId="4" borderId="45" applyAlignment="1" applyProtection="1" pivotButton="0" quotePrefix="0" xfId="13">
      <alignment horizontal="center" vertical="center" wrapText="1"/>
      <protection locked="0" hidden="0"/>
    </xf>
    <xf numFmtId="0" fontId="19" fillId="4" borderId="45" applyAlignment="1" applyProtection="1" pivotButton="0" quotePrefix="0" xfId="0">
      <alignment horizontal="center" vertical="center" wrapText="1"/>
      <protection locked="0" hidden="0"/>
    </xf>
    <xf numFmtId="0" fontId="19" fillId="4" borderId="45" applyAlignment="1" applyProtection="1" pivotButton="0" quotePrefix="0" xfId="13">
      <alignment horizontal="center" vertical="center" wrapText="1"/>
      <protection locked="0" hidden="0"/>
    </xf>
    <xf numFmtId="0" fontId="16" fillId="4" borderId="45" applyAlignment="1" applyProtection="1" pivotButton="0" quotePrefix="0" xfId="3">
      <alignment horizontal="left" vertical="center" wrapText="1"/>
      <protection locked="0" hidden="0"/>
    </xf>
    <xf numFmtId="0" fontId="19" fillId="4" borderId="45" applyAlignment="1" applyProtection="1" pivotButton="0" quotePrefix="0" xfId="3">
      <alignment horizontal="left" vertical="center" wrapText="1"/>
      <protection locked="0" hidden="0"/>
    </xf>
    <xf numFmtId="0" fontId="19" fillId="4" borderId="2" applyAlignment="1" pivotButton="0" quotePrefix="0" xfId="3">
      <alignment horizontal="left" vertical="center" wrapText="1"/>
    </xf>
    <xf numFmtId="0" fontId="16" fillId="4" borderId="16" applyAlignment="1" pivotButton="0" quotePrefix="0" xfId="3">
      <alignment horizontal="left" vertical="center" wrapText="1"/>
    </xf>
    <xf numFmtId="0" fontId="19" fillId="4" borderId="35" applyAlignment="1" pivotButton="0" quotePrefix="0" xfId="3">
      <alignment vertical="center" wrapText="1"/>
    </xf>
    <xf numFmtId="0" fontId="16" fillId="4" borderId="14" applyAlignment="1" applyProtection="1" pivotButton="0" quotePrefix="0" xfId="3">
      <alignment horizontal="left" vertical="center" wrapText="1"/>
      <protection locked="0" hidden="0"/>
    </xf>
    <xf numFmtId="0" fontId="19" fillId="4" borderId="14" applyAlignment="1" applyProtection="1" pivotButton="0" quotePrefix="0" xfId="3">
      <alignment horizontal="left" vertical="center" wrapText="1"/>
      <protection locked="0" hidden="0"/>
    </xf>
    <xf numFmtId="0" fontId="19" fillId="4" borderId="2" applyAlignment="1" applyProtection="1" pivotButton="0" quotePrefix="0" xfId="3">
      <alignment horizontal="center" vertical="center" wrapText="1"/>
      <protection locked="0" hidden="0"/>
    </xf>
    <xf numFmtId="0" fontId="19" fillId="4" borderId="2" applyAlignment="1" applyProtection="1" pivotButton="0" quotePrefix="0" xfId="2">
      <alignment horizontal="center" vertical="center" wrapText="1"/>
      <protection locked="0" hidden="0"/>
    </xf>
    <xf numFmtId="0" fontId="19" fillId="4" borderId="16" applyAlignment="1" applyProtection="1" pivotButton="0" quotePrefix="0" xfId="3">
      <alignment horizontal="left" vertical="center" wrapText="1"/>
      <protection locked="0" hidden="0"/>
    </xf>
    <xf numFmtId="0" fontId="19" fillId="4" borderId="35" applyAlignment="1" applyProtection="1" pivotButton="0" quotePrefix="0" xfId="3">
      <alignment vertical="center" wrapText="1"/>
      <protection locked="0" hidden="0"/>
    </xf>
    <xf numFmtId="0" fontId="19" fillId="4" borderId="2" applyAlignment="1" applyProtection="1" pivotButton="0" quotePrefix="0" xfId="0">
      <alignment horizontal="center" vertical="center" wrapText="1"/>
      <protection locked="0" hidden="0"/>
    </xf>
    <xf numFmtId="0" fontId="29" fillId="4" borderId="6" applyAlignment="1" applyProtection="1" pivotButton="0" quotePrefix="0" xfId="2">
      <alignment horizontal="center" vertical="center"/>
      <protection locked="0" hidden="0"/>
    </xf>
    <xf numFmtId="0" fontId="29" fillId="4" borderId="43" applyAlignment="1" applyProtection="1" pivotButton="0" quotePrefix="0" xfId="13">
      <alignment horizontal="center" vertical="center" wrapText="1"/>
      <protection locked="0" hidden="0"/>
    </xf>
    <xf numFmtId="0" fontId="29" fillId="4" borderId="43" applyAlignment="1" applyProtection="1" pivotButton="0" quotePrefix="0" xfId="0">
      <alignment horizontal="center" vertical="center" wrapText="1"/>
      <protection locked="0" hidden="0"/>
    </xf>
    <xf numFmtId="0" fontId="19" fillId="4" borderId="0" applyAlignment="1" applyProtection="1" pivotButton="0" quotePrefix="0" xfId="3">
      <alignment vertical="center" wrapText="1"/>
      <protection locked="0" hidden="0"/>
    </xf>
    <xf numFmtId="0" fontId="19" fillId="4" borderId="50" applyAlignment="1" applyProtection="1" pivotButton="0" quotePrefix="0" xfId="3">
      <alignment vertical="center" wrapText="1"/>
      <protection locked="0" hidden="0"/>
    </xf>
    <xf numFmtId="0" fontId="19" fillId="4" borderId="43" applyAlignment="1" applyProtection="1" pivotButton="0" quotePrefix="0" xfId="0">
      <alignment horizontal="center" vertical="center" wrapText="1"/>
      <protection locked="0" hidden="0"/>
    </xf>
    <xf numFmtId="0" fontId="19" fillId="4" borderId="43" applyAlignment="1" applyProtection="1" pivotButton="0" quotePrefix="0" xfId="2">
      <alignment horizontal="center" vertical="center" wrapText="1"/>
      <protection locked="0" hidden="0"/>
    </xf>
    <xf numFmtId="0" fontId="19" fillId="4" borderId="18" applyAlignment="1" pivotButton="0" quotePrefix="0" xfId="3">
      <alignment horizontal="left" vertical="center" wrapText="1"/>
    </xf>
    <xf numFmtId="0" fontId="23" fillId="0" borderId="17" applyAlignment="1" pivotButton="0" quotePrefix="0" xfId="2">
      <alignment horizontal="left" vertical="center" wrapText="1"/>
    </xf>
    <xf numFmtId="0" fontId="19" fillId="4" borderId="2" applyAlignment="1" pivotButton="0" quotePrefix="0" xfId="3">
      <alignment vertical="center" wrapText="1"/>
    </xf>
    <xf numFmtId="0" fontId="16" fillId="4" borderId="2" applyAlignment="1" pivotButton="0" quotePrefix="0" xfId="3">
      <alignment horizontal="left" vertical="center" wrapText="1"/>
    </xf>
    <xf numFmtId="0" fontId="19" fillId="4" borderId="2" applyAlignment="1" pivotButton="0" quotePrefix="0" xfId="3">
      <alignment horizontal="center" vertical="center" wrapText="1"/>
    </xf>
    <xf numFmtId="0" fontId="19" fillId="4" borderId="18" applyAlignment="1" applyProtection="1" pivotButton="0" quotePrefix="0" xfId="3">
      <alignment horizontal="left" vertical="center" wrapText="1"/>
      <protection locked="0" hidden="0"/>
    </xf>
    <xf numFmtId="0" fontId="17" fillId="4" borderId="18" applyAlignment="1" pivotButton="0" quotePrefix="0" xfId="2">
      <alignment horizontal="center" vertical="center" wrapText="1"/>
    </xf>
    <xf numFmtId="0" fontId="16" fillId="4" borderId="16" applyAlignment="1" pivotButton="0" quotePrefix="0" xfId="3">
      <alignment horizontal="center" vertical="center" wrapText="1"/>
    </xf>
    <xf numFmtId="0" fontId="16" fillId="4" borderId="14" applyAlignment="1" pivotButton="0" quotePrefix="0" xfId="3">
      <alignment horizontal="center" vertical="center" wrapText="1"/>
    </xf>
    <xf numFmtId="0" fontId="16" fillId="4" borderId="14" applyAlignment="1" pivotButton="0" quotePrefix="0" xfId="5">
      <alignment horizontal="center" vertical="center" wrapText="1"/>
    </xf>
    <xf numFmtId="0" fontId="21" fillId="4" borderId="14" applyAlignment="1" pivotButton="0" quotePrefix="0" xfId="3">
      <alignment horizontal="left" vertical="center" wrapText="1"/>
    </xf>
    <xf numFmtId="0" fontId="16" fillId="4" borderId="14" applyAlignment="1" pivotButton="0" quotePrefix="0" xfId="3">
      <alignment horizontal="left" vertical="center" wrapText="1"/>
    </xf>
    <xf numFmtId="0" fontId="16" fillId="4" borderId="2" applyAlignment="1" pivotButton="0" quotePrefix="0" xfId="2">
      <alignment horizontal="left" vertical="center" wrapText="1"/>
    </xf>
    <xf numFmtId="0" fontId="16" fillId="4" borderId="16" applyAlignment="1" pivotButton="0" quotePrefix="0" xfId="2">
      <alignment horizontal="left" vertical="center" wrapText="1"/>
    </xf>
    <xf numFmtId="0" fontId="21" fillId="4" borderId="16" applyAlignment="1" pivotButton="0" quotePrefix="0" xfId="3">
      <alignment horizontal="left" vertical="center" wrapText="1"/>
    </xf>
    <xf numFmtId="0" fontId="22" fillId="4" borderId="16" applyAlignment="1" pivotButton="0" quotePrefix="0" xfId="3">
      <alignment horizontal="left" vertical="center" wrapText="1"/>
    </xf>
    <xf numFmtId="0" fontId="19" fillId="4" borderId="16" pivotButton="0" quotePrefix="0" xfId="0"/>
    <xf numFmtId="0" fontId="16" fillId="4" borderId="18" applyAlignment="1" pivotButton="0" quotePrefix="0" xfId="3">
      <alignment horizontal="left" vertical="center" wrapText="1"/>
    </xf>
    <xf numFmtId="0" fontId="16" fillId="4" borderId="16" applyAlignment="1" applyProtection="1" pivotButton="0" quotePrefix="0" xfId="3">
      <alignment horizontal="center" vertical="center" wrapText="1"/>
      <protection locked="0" hidden="0"/>
    </xf>
    <xf numFmtId="0" fontId="24" fillId="4" borderId="16" applyAlignment="1" applyProtection="1" pivotButton="0" quotePrefix="0" xfId="3">
      <alignment horizontal="center" vertical="center" wrapText="1"/>
      <protection locked="0" hidden="0"/>
    </xf>
    <xf numFmtId="0" fontId="16" fillId="4" borderId="16" applyAlignment="1" pivotButton="0" quotePrefix="0" xfId="0">
      <alignment horizontal="left" vertical="center" wrapText="1"/>
    </xf>
    <xf numFmtId="0" fontId="21" fillId="10" borderId="14" applyAlignment="1" applyProtection="1" pivotButton="0" quotePrefix="0" xfId="0">
      <alignment horizontal="left" vertical="center" wrapText="1"/>
      <protection locked="0" hidden="0"/>
    </xf>
    <xf numFmtId="0" fontId="16" fillId="10" borderId="16" applyAlignment="1" applyProtection="1" pivotButton="0" quotePrefix="0" xfId="0">
      <alignment horizontal="left" vertical="center" wrapText="1"/>
      <protection locked="0" hidden="0"/>
    </xf>
    <xf numFmtId="0" fontId="16" fillId="4" borderId="17" applyAlignment="1" pivotButton="0" quotePrefix="0" xfId="2">
      <alignment horizontal="left" vertical="center" wrapText="1"/>
    </xf>
    <xf numFmtId="0" fontId="16" fillId="4" borderId="16" applyAlignment="1" applyProtection="1" pivotButton="0" quotePrefix="0" xfId="3">
      <alignment horizontal="left" vertical="center" wrapText="1"/>
      <protection locked="0" hidden="0"/>
    </xf>
    <xf numFmtId="0" fontId="16" fillId="4" borderId="14" applyAlignment="1" pivotButton="0" quotePrefix="0" xfId="2">
      <alignment horizontal="left" vertical="center" wrapText="1"/>
    </xf>
    <xf numFmtId="0" fontId="16" fillId="4" borderId="18" applyAlignment="1" applyProtection="1" pivotButton="0" quotePrefix="0" xfId="3">
      <alignment horizontal="left" vertical="center" wrapText="1"/>
      <protection locked="0" hidden="0"/>
    </xf>
    <xf numFmtId="0" fontId="19" fillId="4" borderId="46" applyAlignment="1" pivotButton="0" quotePrefix="0" xfId="2">
      <alignment horizontal="left" vertical="center" wrapText="1"/>
    </xf>
    <xf numFmtId="0" fontId="16" fillId="4" borderId="45" applyAlignment="1" pivotButton="0" quotePrefix="0" xfId="2">
      <alignment horizontal="left" vertical="center" wrapText="1"/>
    </xf>
    <xf numFmtId="0" fontId="28" fillId="4" borderId="45" applyAlignment="1" pivotButton="0" quotePrefix="0" xfId="0">
      <alignment horizontal="left" vertical="center" wrapText="1"/>
    </xf>
    <xf numFmtId="0" fontId="16" fillId="4" borderId="1" applyAlignment="1" pivotButton="0" quotePrefix="0" xfId="0">
      <alignment horizontal="left" vertical="center" wrapText="1"/>
    </xf>
    <xf numFmtId="0" fontId="16" fillId="4" borderId="2" applyAlignment="1" pivotButton="0" quotePrefix="0" xfId="0">
      <alignment horizontal="left" vertical="center" wrapText="1"/>
    </xf>
    <xf numFmtId="0" fontId="21" fillId="10" borderId="45" applyAlignment="1" applyProtection="1" pivotButton="0" quotePrefix="0" xfId="0">
      <alignment horizontal="left" vertical="center" wrapText="1"/>
      <protection locked="0" hidden="0"/>
    </xf>
    <xf numFmtId="0" fontId="16" fillId="4" borderId="1" applyAlignment="1" pivotButton="0" quotePrefix="0" xfId="2">
      <alignment horizontal="left" vertical="center" wrapText="1"/>
    </xf>
    <xf numFmtId="0" fontId="24" fillId="4" borderId="45" applyAlignment="1" applyProtection="1" pivotButton="0" quotePrefix="0" xfId="3">
      <alignment vertical="center" wrapText="1"/>
      <protection locked="0" hidden="0"/>
    </xf>
    <xf numFmtId="0" fontId="16" fillId="4" borderId="43" applyAlignment="1" applyProtection="1" pivotButton="0" quotePrefix="0" xfId="3">
      <alignment horizontal="left" vertical="center" wrapText="1"/>
      <protection locked="0" hidden="0"/>
    </xf>
    <xf numFmtId="0" fontId="17" fillId="4" borderId="18" applyAlignment="1" pivotButton="0" quotePrefix="0" xfId="2">
      <alignment horizontal="left" vertical="center" wrapText="1"/>
    </xf>
    <xf numFmtId="0" fontId="17" fillId="4" borderId="11" applyAlignment="1" pivotButton="0" quotePrefix="0" xfId="2">
      <alignment horizontal="center" vertical="center" wrapText="1"/>
    </xf>
    <xf numFmtId="0" fontId="20" fillId="4" borderId="47" applyAlignment="1" pivotButton="0" quotePrefix="0" xfId="2">
      <alignment horizontal="center" vertical="center" wrapText="1"/>
    </xf>
    <xf numFmtId="0" fontId="20" fillId="4" borderId="3" applyAlignment="1" pivotButton="0" quotePrefix="0" xfId="2">
      <alignment horizontal="center" vertical="center" wrapText="1"/>
    </xf>
    <xf numFmtId="0" fontId="20" fillId="4" borderId="25" applyAlignment="1" pivotButton="0" quotePrefix="0" xfId="2">
      <alignment horizontal="center" vertical="center" wrapText="1"/>
    </xf>
    <xf numFmtId="0" fontId="7" fillId="4" borderId="0" applyAlignment="1" applyProtection="1" pivotButton="0" quotePrefix="0" xfId="0">
      <alignment horizontal="center" vertical="center" wrapText="1"/>
      <protection locked="0" hidden="0"/>
    </xf>
    <xf numFmtId="0" fontId="7" fillId="4" borderId="0" applyProtection="1" pivotButton="0" quotePrefix="0" xfId="0">
      <protection locked="0" hidden="0"/>
    </xf>
    <xf numFmtId="0" fontId="7" fillId="4" borderId="21" applyAlignment="1" applyProtection="1" pivotButton="0" quotePrefix="0" xfId="0">
      <alignment horizontal="center" vertical="center" wrapText="1"/>
      <protection locked="0" hidden="0"/>
    </xf>
    <xf numFmtId="0" fontId="7" fillId="4" borderId="0" applyAlignment="1" applyProtection="1" pivotButton="0" quotePrefix="0" xfId="0">
      <alignment vertical="center"/>
      <protection locked="0" hidden="0"/>
    </xf>
    <xf numFmtId="0" fontId="16" fillId="4" borderId="14" applyAlignment="1" applyProtection="1" pivotButton="0" quotePrefix="0" xfId="3">
      <alignment horizontal="center" vertical="center" wrapText="1"/>
      <protection locked="0" hidden="0"/>
    </xf>
    <xf numFmtId="0" fontId="16" fillId="4" borderId="14" applyAlignment="1" applyProtection="1" pivotButton="0" quotePrefix="0" xfId="5">
      <alignment horizontal="center" vertical="center" wrapText="1"/>
      <protection locked="0" hidden="0"/>
    </xf>
    <xf numFmtId="0" fontId="21" fillId="4" borderId="14" applyAlignment="1" applyProtection="1" pivotButton="0" quotePrefix="0" xfId="3">
      <alignment horizontal="left" vertical="center" wrapText="1"/>
      <protection locked="0" hidden="0"/>
    </xf>
    <xf numFmtId="0" fontId="16" fillId="4" borderId="15" applyAlignment="1" applyProtection="1" pivotButton="0" quotePrefix="0" xfId="3">
      <alignment horizontal="center" vertical="center" wrapText="1"/>
      <protection locked="0" hidden="0"/>
    </xf>
    <xf numFmtId="0" fontId="16" fillId="4" borderId="16" applyAlignment="1" applyProtection="1" pivotButton="0" quotePrefix="0" xfId="2">
      <alignment horizontal="left" vertical="center"/>
      <protection locked="0" hidden="0"/>
    </xf>
    <xf numFmtId="0" fontId="21" fillId="4" borderId="16" applyAlignment="1" applyProtection="1" pivotButton="0" quotePrefix="0" xfId="3">
      <alignment horizontal="left" vertical="center"/>
      <protection locked="0" hidden="0"/>
    </xf>
    <xf numFmtId="0" fontId="16" fillId="4" borderId="44" applyAlignment="1" applyProtection="1" pivotButton="0" quotePrefix="0" xfId="3">
      <alignment horizontal="left" vertical="center" wrapText="1"/>
      <protection locked="0" hidden="0"/>
    </xf>
    <xf numFmtId="0" fontId="19" fillId="4" borderId="39" pivotButton="0" quotePrefix="0" xfId="0"/>
    <xf numFmtId="0" fontId="19" fillId="4" borderId="0" pivotButton="0" quotePrefix="0" xfId="0"/>
    <xf numFmtId="0" fontId="16" fillId="4" borderId="14" applyAlignment="1" applyProtection="1" pivotButton="0" quotePrefix="0" xfId="3">
      <alignment vertical="center" wrapText="1"/>
      <protection locked="0" hidden="0"/>
    </xf>
    <xf numFmtId="0" fontId="24" fillId="4" borderId="45" applyAlignment="1" applyProtection="1" pivotButton="0" quotePrefix="0" xfId="3">
      <alignment horizontal="center" vertical="center" wrapText="1"/>
      <protection locked="0" hidden="0"/>
    </xf>
    <xf numFmtId="0" fontId="24" fillId="4" borderId="18" applyAlignment="1" applyProtection="1" pivotButton="0" quotePrefix="0" xfId="3">
      <alignment horizontal="center" vertical="center" wrapText="1"/>
      <protection locked="0" hidden="0"/>
    </xf>
    <xf numFmtId="0" fontId="16" fillId="4" borderId="16" applyAlignment="1" applyProtection="1" pivotButton="0" quotePrefix="0" xfId="0">
      <alignment horizontal="left" vertical="center" wrapText="1"/>
      <protection locked="0" hidden="0"/>
    </xf>
    <xf numFmtId="0" fontId="16" fillId="4" borderId="17" applyAlignment="1" applyProtection="1" pivotButton="0" quotePrefix="0" xfId="2">
      <alignment horizontal="left" vertical="center" wrapText="1"/>
      <protection locked="0" hidden="0"/>
    </xf>
    <xf numFmtId="0" fontId="16" fillId="4" borderId="14" applyAlignment="1" applyProtection="1" pivotButton="0" quotePrefix="0" xfId="2">
      <alignment horizontal="left" vertical="center" wrapText="1"/>
      <protection locked="0" hidden="0"/>
    </xf>
    <xf numFmtId="0" fontId="19" fillId="4" borderId="37" applyAlignment="1" applyProtection="1" pivotButton="0" quotePrefix="0" xfId="2">
      <alignment horizontal="left" vertical="center" wrapText="1"/>
      <protection locked="0" hidden="0"/>
    </xf>
    <xf numFmtId="0" fontId="2" fillId="4" borderId="37" applyAlignment="1" applyProtection="1" pivotButton="0" quotePrefix="0" xfId="2">
      <alignment horizontal="left" vertical="center" wrapText="1"/>
      <protection locked="0" hidden="0"/>
    </xf>
    <xf numFmtId="0" fontId="2" fillId="4" borderId="35" applyAlignment="1" applyProtection="1" pivotButton="0" quotePrefix="0" xfId="2">
      <alignment horizontal="left" vertical="center" wrapText="1"/>
      <protection locked="0" hidden="0"/>
    </xf>
    <xf numFmtId="0" fontId="5" fillId="4" borderId="45" applyAlignment="1" applyProtection="1" pivotButton="0" quotePrefix="0" xfId="2">
      <alignment horizontal="left" vertical="center" wrapText="1"/>
      <protection locked="0" hidden="0"/>
    </xf>
    <xf numFmtId="0" fontId="35" fillId="4" borderId="45" applyAlignment="1" applyProtection="1" pivotButton="0" quotePrefix="0" xfId="0">
      <alignment horizontal="left" vertical="center" wrapText="1"/>
      <protection locked="0" hidden="0"/>
    </xf>
    <xf numFmtId="0" fontId="5" fillId="4" borderId="45" applyAlignment="1" applyProtection="1" pivotButton="0" quotePrefix="0" xfId="0">
      <alignment horizontal="left" vertical="center" wrapText="1"/>
      <protection locked="0" hidden="0"/>
    </xf>
    <xf numFmtId="0" fontId="5" fillId="4" borderId="16" applyAlignment="1" applyProtection="1" pivotButton="0" quotePrefix="0" xfId="0">
      <alignment horizontal="left" vertical="center" wrapText="1"/>
      <protection locked="0" hidden="0"/>
    </xf>
    <xf numFmtId="0" fontId="16" fillId="4" borderId="45" applyAlignment="1" applyProtection="1" pivotButton="0" quotePrefix="0" xfId="2">
      <alignment horizontal="left" vertical="center" wrapText="1"/>
      <protection locked="0" hidden="0"/>
    </xf>
    <xf numFmtId="0" fontId="32" fillId="4" borderId="45" applyAlignment="1" pivotButton="0" quotePrefix="0" xfId="0">
      <alignment horizontal="left" vertical="center" wrapText="1"/>
    </xf>
    <xf numFmtId="0" fontId="32" fillId="4" borderId="45" applyAlignment="1" pivotButton="0" quotePrefix="0" xfId="3">
      <alignment horizontal="left" vertical="center" wrapText="1"/>
    </xf>
    <xf numFmtId="0" fontId="16" fillId="4" borderId="2" applyAlignment="1" applyProtection="1" pivotButton="0" quotePrefix="0" xfId="3">
      <alignment horizontal="left" vertical="center" wrapText="1"/>
      <protection locked="0" hidden="0"/>
    </xf>
    <xf numFmtId="0" fontId="16" fillId="4" borderId="2" applyAlignment="1" applyProtection="1" pivotButton="0" quotePrefix="0" xfId="0">
      <alignment horizontal="left" vertical="center" wrapText="1"/>
      <protection locked="0" hidden="0"/>
    </xf>
    <xf numFmtId="0" fontId="32" fillId="10" borderId="45" applyAlignment="1" applyProtection="1" pivotButton="0" quotePrefix="0" xfId="0">
      <alignment horizontal="left" vertical="center" wrapText="1"/>
      <protection locked="0" hidden="0"/>
    </xf>
    <xf numFmtId="0" fontId="24" fillId="10" borderId="45" applyAlignment="1" applyProtection="1" pivotButton="0" quotePrefix="0" xfId="0">
      <alignment horizontal="center" vertical="center" wrapText="1"/>
      <protection locked="0" hidden="0"/>
    </xf>
    <xf numFmtId="0" fontId="16" fillId="4" borderId="1" applyAlignment="1" applyProtection="1" pivotButton="0" quotePrefix="0" xfId="2">
      <alignment horizontal="left" vertical="center" wrapText="1"/>
      <protection locked="0" hidden="0"/>
    </xf>
    <xf numFmtId="0" fontId="16" fillId="4" borderId="45" applyAlignment="1" applyProtection="1" pivotButton="0" quotePrefix="0" xfId="0">
      <alignment vertical="center"/>
      <protection locked="0" hidden="0"/>
    </xf>
    <xf numFmtId="0" fontId="16" fillId="10" borderId="45" applyAlignment="1" applyProtection="1" pivotButton="0" quotePrefix="0" xfId="0">
      <alignment horizontal="left" vertical="center" wrapText="1"/>
      <protection locked="0" hidden="0"/>
    </xf>
    <xf numFmtId="0" fontId="16" fillId="4" borderId="1" applyAlignment="1" applyProtection="1" pivotButton="0" quotePrefix="0" xfId="3">
      <alignment horizontal="center" vertical="center" wrapText="1"/>
      <protection locked="0" hidden="0"/>
    </xf>
    <xf numFmtId="0" fontId="16" fillId="4" borderId="3" applyAlignment="1" applyProtection="1" pivotButton="0" quotePrefix="0" xfId="2">
      <alignment horizontal="center" vertical="center" wrapText="1"/>
      <protection locked="0" hidden="0"/>
    </xf>
    <xf numFmtId="0" fontId="16" fillId="4" borderId="33" applyAlignment="1" applyProtection="1" pivotButton="0" quotePrefix="0" xfId="2">
      <alignment horizontal="center" vertical="center" wrapText="1"/>
      <protection locked="0" hidden="0"/>
    </xf>
    <xf numFmtId="0" fontId="16" fillId="4" borderId="13" applyAlignment="1" applyProtection="1" pivotButton="0" quotePrefix="0" xfId="2">
      <alignment horizontal="center" vertical="center" wrapText="1"/>
      <protection locked="0" hidden="0"/>
    </xf>
    <xf numFmtId="0" fontId="29" fillId="4" borderId="45" applyAlignment="1" applyProtection="1" pivotButton="0" quotePrefix="0" xfId="2">
      <alignment horizontal="center" vertical="center"/>
      <protection locked="0" hidden="0"/>
    </xf>
    <xf numFmtId="0" fontId="19" fillId="4" borderId="45" applyAlignment="1" applyProtection="1" pivotButton="0" quotePrefix="0" xfId="3">
      <alignment horizontal="center" vertical="center" wrapText="1"/>
      <protection locked="0" hidden="0"/>
    </xf>
    <xf numFmtId="0" fontId="19" fillId="4" borderId="14" applyAlignment="1" applyProtection="1" pivotButton="0" quotePrefix="0" xfId="0">
      <alignment horizontal="left" vertical="center" wrapText="1"/>
      <protection locked="0" hidden="0"/>
    </xf>
    <xf numFmtId="0" fontId="29" fillId="4" borderId="7" applyAlignment="1" applyProtection="1" pivotButton="0" quotePrefix="0" xfId="2">
      <alignment horizontal="center" vertical="center"/>
      <protection locked="0" hidden="0"/>
    </xf>
    <xf numFmtId="0" fontId="16" fillId="4" borderId="16" applyAlignment="1" applyProtection="1" pivotButton="0" quotePrefix="0" xfId="2">
      <alignment horizontal="left" vertical="center" wrapText="1"/>
      <protection locked="0" hidden="0"/>
    </xf>
    <xf numFmtId="0" fontId="19" fillId="4" borderId="10" applyAlignment="1" pivotButton="0" quotePrefix="0" xfId="2">
      <alignment horizontal="center" vertical="center" wrapText="1"/>
    </xf>
    <xf numFmtId="0" fontId="23" fillId="0" borderId="17" applyAlignment="1" applyProtection="1" pivotButton="0" quotePrefix="0" xfId="3">
      <alignment horizontal="left" vertical="center" wrapText="1"/>
      <protection locked="0" hidden="0"/>
    </xf>
    <xf numFmtId="0" fontId="16" fillId="4" borderId="17" applyAlignment="1" applyProtection="1" pivotButton="0" quotePrefix="0" xfId="3">
      <alignment horizontal="left" vertical="center" wrapText="1"/>
      <protection locked="0" hidden="0"/>
    </xf>
    <xf numFmtId="0" fontId="19" fillId="4" borderId="16" applyAlignment="1" pivotButton="0" quotePrefix="0" xfId="2">
      <alignment horizontal="left" vertical="center" wrapText="1"/>
    </xf>
    <xf numFmtId="0" fontId="19" fillId="4" borderId="45" applyAlignment="1" pivotButton="0" quotePrefix="0" xfId="3">
      <alignment vertical="center" wrapText="1"/>
    </xf>
    <xf numFmtId="0" fontId="19" fillId="4" borderId="14" applyAlignment="1" pivotButton="0" quotePrefix="0" xfId="2">
      <alignment horizontal="left" vertical="center" wrapText="1"/>
    </xf>
    <xf numFmtId="0" fontId="19" fillId="4" borderId="45" applyAlignment="1" pivotButton="0" quotePrefix="0" xfId="2">
      <alignment horizontal="left" vertical="center" wrapText="1"/>
    </xf>
    <xf numFmtId="0" fontId="19" fillId="4" borderId="35" applyAlignment="1" pivotButton="0" quotePrefix="0" xfId="2">
      <alignment horizontal="left" vertical="center" wrapText="1"/>
    </xf>
    <xf numFmtId="0" fontId="16" fillId="4" borderId="0" applyProtection="1" pivotButton="0" quotePrefix="0" xfId="0">
      <protection locked="0" hidden="0"/>
    </xf>
    <xf numFmtId="0" fontId="17" fillId="4" borderId="24" applyProtection="1" pivotButton="0" quotePrefix="0" xfId="0">
      <protection locked="0" hidden="0"/>
    </xf>
    <xf numFmtId="0" fontId="17" fillId="4" borderId="41" applyProtection="1" pivotButton="0" quotePrefix="0" xfId="0">
      <protection locked="0" hidden="0"/>
    </xf>
    <xf numFmtId="0" fontId="19" fillId="4" borderId="35" applyAlignment="1" applyProtection="1" pivotButton="0" quotePrefix="0" xfId="2">
      <alignment horizontal="left" vertical="center" wrapText="1"/>
      <protection locked="0" hidden="0"/>
    </xf>
    <xf numFmtId="0" fontId="28" fillId="4" borderId="45" applyAlignment="1" applyProtection="1" pivotButton="0" quotePrefix="0" xfId="0">
      <alignment horizontal="left" vertical="center" wrapText="1"/>
      <protection locked="0" hidden="0"/>
    </xf>
    <xf numFmtId="0" fontId="19" fillId="4" borderId="45" applyAlignment="1" applyProtection="1" pivotButton="0" quotePrefix="0" xfId="2">
      <alignment horizontal="left" vertical="center" wrapText="1"/>
      <protection locked="0" hidden="0"/>
    </xf>
    <xf numFmtId="0" fontId="19" fillId="4" borderId="5" applyAlignment="1" applyProtection="1" pivotButton="0" quotePrefix="0" xfId="2">
      <alignment horizontal="center" vertical="center"/>
      <protection locked="0" hidden="0"/>
    </xf>
    <xf numFmtId="0" fontId="29" fillId="4" borderId="1" applyAlignment="1" applyProtection="1" pivotButton="0" quotePrefix="0" xfId="3">
      <alignment horizontal="left" vertical="center" wrapText="1"/>
      <protection locked="0" hidden="0"/>
    </xf>
    <xf numFmtId="0" fontId="19" fillId="4" borderId="1" applyAlignment="1" applyProtection="1" pivotButton="0" quotePrefix="0" xfId="2">
      <alignment horizontal="center" vertical="center" wrapText="1"/>
      <protection locked="0" hidden="0"/>
    </xf>
    <xf numFmtId="0" fontId="19" fillId="4" borderId="1" applyAlignment="1" applyProtection="1" pivotButton="0" quotePrefix="0" xfId="3">
      <alignment horizontal="left" vertical="center" wrapText="1"/>
      <protection locked="0" hidden="0"/>
    </xf>
    <xf numFmtId="0" fontId="19" fillId="4" borderId="20" applyAlignment="1" applyProtection="1" pivotButton="0" quotePrefix="0" xfId="3">
      <alignment horizontal="left" vertical="center" wrapText="1"/>
      <protection locked="0" hidden="0"/>
    </xf>
    <xf numFmtId="164" fontId="36" fillId="4" borderId="0" applyAlignment="1" applyProtection="1" pivotButton="0" quotePrefix="0" xfId="0">
      <alignment horizontal="center" vertical="center"/>
      <protection locked="0" hidden="0"/>
    </xf>
    <xf numFmtId="9" fontId="36" fillId="4" borderId="0" applyAlignment="1" applyProtection="1" pivotButton="0" quotePrefix="0" xfId="10">
      <alignment horizontal="center" vertical="center"/>
      <protection locked="0" hidden="0"/>
    </xf>
    <xf numFmtId="0" fontId="1" fillId="4" borderId="0" applyAlignment="1" applyProtection="1" pivotButton="0" quotePrefix="0" xfId="0">
      <alignment horizontal="center" vertical="center"/>
      <protection locked="0" hidden="0"/>
    </xf>
    <xf numFmtId="0" fontId="1" fillId="4" borderId="0" applyProtection="1" pivotButton="0" quotePrefix="0" xfId="3">
      <protection locked="0" hidden="0"/>
    </xf>
    <xf numFmtId="0" fontId="37" fillId="4" borderId="0" applyAlignment="1" applyProtection="1" pivotButton="0" quotePrefix="0" xfId="3">
      <alignment horizontal="center" vertical="center"/>
      <protection locked="0" hidden="0"/>
    </xf>
    <xf numFmtId="0" fontId="1" fillId="4" borderId="0" applyProtection="1" pivotButton="0" quotePrefix="0" xfId="0">
      <protection locked="0" hidden="0"/>
    </xf>
    <xf numFmtId="0" fontId="1" fillId="4" borderId="0" applyAlignment="1" applyProtection="1" pivotButton="0" quotePrefix="0" xfId="3">
      <alignment vertical="center"/>
      <protection locked="0" hidden="0"/>
    </xf>
    <xf numFmtId="0" fontId="19" fillId="4" borderId="1" applyAlignment="1" applyProtection="1" pivotButton="0" quotePrefix="0" xfId="0">
      <alignment horizontal="center" vertical="center" wrapText="1"/>
      <protection locked="0" hidden="0"/>
    </xf>
    <xf numFmtId="0" fontId="19" fillId="4" borderId="2" applyAlignment="1" pivotButton="0" quotePrefix="0" xfId="0">
      <alignment horizontal="left" vertical="center" wrapText="1"/>
    </xf>
    <xf numFmtId="0" fontId="19" fillId="4" borderId="33" applyAlignment="1" pivotButton="0" quotePrefix="0" xfId="0">
      <alignment vertical="top" wrapText="1"/>
    </xf>
    <xf numFmtId="0" fontId="19" fillId="4" borderId="45" applyAlignment="1" pivotButton="0" quotePrefix="0" xfId="3">
      <alignment horizontal="center" vertical="center"/>
    </xf>
    <xf numFmtId="0" fontId="19" fillId="4" borderId="1" applyAlignment="1" pivotButton="0" quotePrefix="0" xfId="0">
      <alignment horizontal="center" vertical="center" wrapText="1"/>
    </xf>
    <xf numFmtId="0" fontId="16" fillId="4" borderId="45" applyAlignment="1" pivotButton="0" quotePrefix="0" xfId="0">
      <alignment vertical="center" wrapText="1"/>
    </xf>
    <xf numFmtId="0" fontId="19" fillId="4" borderId="45" applyAlignment="1" pivotButton="0" quotePrefix="0" xfId="0">
      <alignment horizontal="center" vertical="center"/>
    </xf>
    <xf numFmtId="0" fontId="19" fillId="4" borderId="45" applyAlignment="1" pivotButton="0" quotePrefix="0" xfId="0">
      <alignment vertical="center"/>
    </xf>
    <xf numFmtId="0" fontId="19" fillId="4" borderId="10" applyAlignment="1" pivotButton="0" quotePrefix="0" xfId="3">
      <alignment horizontal="left" vertical="center" wrapText="1"/>
    </xf>
    <xf numFmtId="0" fontId="19" fillId="4" borderId="2" applyAlignment="1" applyProtection="1" pivotButton="0" quotePrefix="0" xfId="3">
      <alignment vertical="center" wrapText="1"/>
      <protection locked="0" hidden="0"/>
    </xf>
    <xf numFmtId="0" fontId="19" fillId="4" borderId="10" applyAlignment="1" applyProtection="1" pivotButton="0" quotePrefix="0" xfId="2">
      <alignment horizontal="center" vertical="center" wrapText="1"/>
      <protection locked="0" hidden="0"/>
    </xf>
    <xf numFmtId="0" fontId="19" fillId="4" borderId="10" applyAlignment="1" applyProtection="1" pivotButton="0" quotePrefix="0" xfId="3">
      <alignment vertical="center" wrapText="1"/>
      <protection locked="0" hidden="0"/>
    </xf>
    <xf numFmtId="0" fontId="19" fillId="4" borderId="10" applyAlignment="1" applyProtection="1" pivotButton="0" quotePrefix="0" xfId="3">
      <alignment horizontal="center" vertical="center" wrapText="1"/>
      <protection locked="0" hidden="0"/>
    </xf>
    <xf numFmtId="0" fontId="19" fillId="4" borderId="10" applyAlignment="1" applyProtection="1" pivotButton="0" quotePrefix="0" xfId="3">
      <alignment horizontal="left" vertical="center" wrapText="1"/>
      <protection locked="0" hidden="0"/>
    </xf>
    <xf numFmtId="0" fontId="19" fillId="4" borderId="45" applyAlignment="1" pivotButton="0" quotePrefix="0" xfId="3">
      <alignment horizontal="left" vertical="top" wrapText="1"/>
    </xf>
    <xf numFmtId="0" fontId="19" fillId="4" borderId="43" applyAlignment="1" applyProtection="1" pivotButton="0" quotePrefix="0" xfId="3">
      <alignment horizontal="left" vertical="center" wrapText="1"/>
      <protection locked="0" hidden="0"/>
    </xf>
    <xf numFmtId="0" fontId="38" fillId="4" borderId="1" applyAlignment="1" applyProtection="1" pivotButton="0" quotePrefix="0" xfId="2">
      <alignment horizontal="center" vertical="center" wrapText="1"/>
      <protection locked="0" hidden="0"/>
    </xf>
    <xf numFmtId="0" fontId="19" fillId="4" borderId="15" applyAlignment="1" applyProtection="1" pivotButton="0" quotePrefix="0" xfId="3">
      <alignment horizontal="left" vertical="center" wrapText="1"/>
      <protection locked="0" hidden="0"/>
    </xf>
    <xf numFmtId="0" fontId="29" fillId="4" borderId="50" applyAlignment="1" applyProtection="1" pivotButton="0" quotePrefix="0" xfId="0">
      <alignment horizontal="center" vertical="center" wrapText="1"/>
      <protection locked="0" hidden="0"/>
    </xf>
    <xf numFmtId="0" fontId="19" fillId="4" borderId="54" applyAlignment="1" applyProtection="1" pivotButton="0" quotePrefix="0" xfId="3">
      <alignment horizontal="left" vertical="center" wrapText="1"/>
      <protection locked="0" hidden="0"/>
    </xf>
    <xf numFmtId="0" fontId="29" fillId="4" borderId="53" applyAlignment="1" pivotButton="0" quotePrefix="0" xfId="2">
      <alignment horizontal="center" vertical="center"/>
    </xf>
    <xf numFmtId="0" fontId="19" fillId="0" borderId="7" applyAlignment="1" applyProtection="1" pivotButton="0" quotePrefix="0" xfId="2">
      <alignment horizontal="center" vertical="center"/>
      <protection locked="0" hidden="0"/>
    </xf>
    <xf numFmtId="0" fontId="19" fillId="0" borderId="8" applyAlignment="1" applyProtection="1" pivotButton="0" quotePrefix="0" xfId="2">
      <alignment horizontal="center" vertical="center"/>
      <protection locked="0" hidden="0"/>
    </xf>
    <xf numFmtId="0" fontId="19" fillId="0" borderId="32" applyAlignment="1" applyProtection="1" pivotButton="0" quotePrefix="0" xfId="2">
      <alignment horizontal="center" vertical="center"/>
      <protection locked="0" hidden="0"/>
    </xf>
    <xf numFmtId="0" fontId="19" fillId="0" borderId="5" applyAlignment="1" applyProtection="1" pivotButton="0" quotePrefix="0" xfId="2">
      <alignment horizontal="center" vertical="center"/>
      <protection locked="0" hidden="0"/>
    </xf>
    <xf numFmtId="0" fontId="19" fillId="0" borderId="6" applyAlignment="1" applyProtection="1" pivotButton="0" quotePrefix="0" xfId="2">
      <alignment horizontal="center" vertical="center" wrapText="1"/>
      <protection locked="0" hidden="0"/>
    </xf>
    <xf numFmtId="0" fontId="19" fillId="0" borderId="7" applyAlignment="1" applyProtection="1" pivotButton="0" quotePrefix="0" xfId="2">
      <alignment horizontal="center" vertical="center" wrapText="1"/>
      <protection locked="0" hidden="0"/>
    </xf>
    <xf numFmtId="0" fontId="19" fillId="0" borderId="4" applyAlignment="1" applyProtection="1" pivotButton="0" quotePrefix="0" xfId="2">
      <alignment horizontal="center" vertical="center"/>
      <protection locked="0" hidden="0"/>
    </xf>
    <xf numFmtId="0" fontId="19" fillId="0" borderId="38" applyAlignment="1" applyProtection="1" pivotButton="0" quotePrefix="0" xfId="2">
      <alignment horizontal="center" vertical="center"/>
      <protection locked="0" hidden="0"/>
    </xf>
    <xf numFmtId="0" fontId="1" fillId="0" borderId="0" applyProtection="1" pivotButton="0" quotePrefix="0" xfId="0">
      <protection locked="0" hidden="0"/>
    </xf>
    <xf numFmtId="49" fontId="19" fillId="0" borderId="45" applyAlignment="1" pivotButton="0" quotePrefix="0" xfId="0">
      <alignment vertical="center" wrapText="1"/>
    </xf>
    <xf numFmtId="49" fontId="19" fillId="4" borderId="45" applyAlignment="1" pivotButton="0" quotePrefix="0" xfId="0">
      <alignment vertical="center" wrapText="1"/>
    </xf>
    <xf numFmtId="0" fontId="16" fillId="0" borderId="16" applyAlignment="1" pivotButton="0" quotePrefix="0" xfId="3">
      <alignment horizontal="center" vertical="center" wrapText="1"/>
    </xf>
    <xf numFmtId="0" fontId="16" fillId="0" borderId="16" applyAlignment="1" applyProtection="1" pivotButton="0" quotePrefix="0" xfId="3">
      <alignment horizontal="center" vertical="center" wrapText="1"/>
      <protection locked="0" hidden="0"/>
    </xf>
    <xf numFmtId="0" fontId="17" fillId="0" borderId="16" applyAlignment="1" pivotButton="0" quotePrefix="0" xfId="3">
      <alignment horizontal="left" vertical="center" wrapText="1"/>
    </xf>
    <xf numFmtId="0" fontId="16" fillId="0" borderId="6" applyAlignment="1" applyProtection="1" pivotButton="0" quotePrefix="0" xfId="2">
      <alignment horizontal="center" vertical="center"/>
      <protection locked="0" hidden="0"/>
    </xf>
    <xf numFmtId="0" fontId="16" fillId="0" borderId="52" applyAlignment="1" pivotButton="0" quotePrefix="0" xfId="3">
      <alignment vertical="center" wrapText="1"/>
    </xf>
    <xf numFmtId="0" fontId="16" fillId="0" borderId="50" applyAlignment="1" applyProtection="1" pivotButton="0" quotePrefix="0" xfId="3">
      <alignment vertical="center" wrapText="1"/>
      <protection locked="0" hidden="0"/>
    </xf>
    <xf numFmtId="0" fontId="16" fillId="0" borderId="45" applyAlignment="1" applyProtection="1" pivotButton="0" quotePrefix="0" xfId="3">
      <alignment vertical="center" wrapText="1"/>
      <protection locked="0" hidden="0"/>
    </xf>
    <xf numFmtId="0" fontId="16" fillId="0" borderId="45" applyAlignment="1" pivotButton="0" quotePrefix="0" xfId="0">
      <alignment vertical="center" wrapText="1"/>
    </xf>
    <xf numFmtId="0" fontId="16" fillId="0" borderId="2" applyAlignment="1" pivotButton="0" quotePrefix="0" xfId="3">
      <alignment vertical="top" wrapText="1"/>
    </xf>
    <xf numFmtId="0" fontId="17" fillId="0" borderId="45" applyAlignment="1" applyProtection="1" pivotButton="0" quotePrefix="0" xfId="2">
      <alignment horizontal="center" vertical="center" wrapText="1"/>
      <protection locked="0" hidden="0"/>
    </xf>
    <xf numFmtId="0" fontId="16" fillId="0" borderId="45" applyAlignment="1" applyProtection="1" pivotButton="0" quotePrefix="0" xfId="0">
      <alignment vertical="center" wrapText="1"/>
      <protection locked="0" hidden="0"/>
    </xf>
    <xf numFmtId="0" fontId="17" fillId="0" borderId="45" applyAlignment="1" applyProtection="1" pivotButton="0" quotePrefix="0" xfId="0">
      <alignment horizontal="center" vertical="center"/>
      <protection locked="0" hidden="0"/>
    </xf>
    <xf numFmtId="0" fontId="16" fillId="0" borderId="45" applyAlignment="1" applyProtection="1" pivotButton="0" quotePrefix="0" xfId="0">
      <alignment horizontal="center" vertical="center"/>
      <protection locked="0" hidden="0"/>
    </xf>
    <xf numFmtId="0" fontId="16" fillId="0" borderId="2" applyAlignment="1" pivotButton="0" quotePrefix="0" xfId="0">
      <alignment horizontal="left" vertical="center" wrapText="1"/>
    </xf>
    <xf numFmtId="0" fontId="21" fillId="0" borderId="26" applyAlignment="1" applyProtection="1" pivotButton="0" quotePrefix="0" xfId="3">
      <alignment horizontal="center" vertical="center" wrapText="1"/>
      <protection locked="0" hidden="0"/>
    </xf>
    <xf numFmtId="0" fontId="21" fillId="0" borderId="36" applyAlignment="1" applyProtection="1" pivotButton="0" quotePrefix="0" xfId="3">
      <alignment horizontal="center" vertical="center" wrapText="1"/>
      <protection locked="0" hidden="0"/>
    </xf>
    <xf numFmtId="0" fontId="17" fillId="12" borderId="4" applyAlignment="1" pivotButton="0" quotePrefix="0" xfId="2">
      <alignment horizontal="center" vertical="center"/>
    </xf>
    <xf numFmtId="0" fontId="29" fillId="12" borderId="3" pivotButton="0" quotePrefix="0" xfId="0"/>
    <xf numFmtId="0" fontId="29" fillId="9" borderId="3" pivotButton="0" quotePrefix="0" xfId="0"/>
    <xf numFmtId="0" fontId="29" fillId="12" borderId="12" pivotButton="0" quotePrefix="0" xfId="0"/>
    <xf numFmtId="0" fontId="17" fillId="12" borderId="21" applyAlignment="1" pivotButton="0" quotePrefix="0" xfId="2">
      <alignment horizontal="center" vertical="center"/>
    </xf>
    <xf numFmtId="0" fontId="29" fillId="12" borderId="24" pivotButton="0" quotePrefix="0" xfId="0"/>
    <xf numFmtId="0" fontId="29" fillId="9" borderId="24" pivotButton="0" quotePrefix="0" xfId="0"/>
    <xf numFmtId="0" fontId="29" fillId="12" borderId="25" pivotButton="0" quotePrefix="0" xfId="0"/>
    <xf numFmtId="0" fontId="29" fillId="11" borderId="3" pivotButton="0" quotePrefix="0" xfId="0"/>
    <xf numFmtId="0" fontId="17" fillId="12" borderId="4" applyAlignment="1" applyProtection="1" pivotButton="0" quotePrefix="0" xfId="2">
      <alignment horizontal="center" vertical="center"/>
      <protection locked="0" hidden="0"/>
    </xf>
    <xf numFmtId="0" fontId="21" fillId="4" borderId="1" applyAlignment="1" pivotButton="0" quotePrefix="0" xfId="3">
      <alignment horizontal="center" vertical="center" wrapText="1"/>
    </xf>
    <xf numFmtId="0" fontId="21" fillId="4" borderId="43" applyAlignment="1" pivotButton="0" quotePrefix="0" xfId="3">
      <alignment horizontal="center" vertical="center" wrapText="1"/>
    </xf>
    <xf numFmtId="0" fontId="21" fillId="4" borderId="2" applyAlignment="1" pivotButton="0" quotePrefix="0" xfId="3">
      <alignment horizontal="center" vertical="center" wrapText="1"/>
    </xf>
    <xf numFmtId="0" fontId="16" fillId="4" borderId="1" applyAlignment="1" applyProtection="1" pivotButton="0" quotePrefix="0" xfId="3">
      <alignment horizontal="center" vertical="center" wrapText="1"/>
      <protection locked="0" hidden="0"/>
    </xf>
    <xf numFmtId="0" fontId="16" fillId="4" borderId="2" applyAlignment="1" applyProtection="1" pivotButton="0" quotePrefix="0" xfId="3">
      <alignment horizontal="center" vertical="center" wrapText="1"/>
      <protection locked="0" hidden="0"/>
    </xf>
    <xf numFmtId="0" fontId="16" fillId="0" borderId="26" applyAlignment="1" applyProtection="1" pivotButton="0" quotePrefix="0" xfId="3">
      <alignment horizontal="center" vertical="center" wrapText="1"/>
      <protection locked="0" hidden="0"/>
    </xf>
    <xf numFmtId="0" fontId="16" fillId="0" borderId="36" applyAlignment="1" applyProtection="1" pivotButton="0" quotePrefix="0" xfId="3">
      <alignment horizontal="center" vertical="center" wrapText="1"/>
      <protection locked="0" hidden="0"/>
    </xf>
    <xf numFmtId="0" fontId="34" fillId="2" borderId="23" applyAlignment="1" pivotButton="0" quotePrefix="0" xfId="13">
      <alignment horizontal="center" vertical="center" wrapText="1"/>
    </xf>
    <xf numFmtId="0" fontId="17" fillId="0" borderId="24" applyProtection="1" pivotButton="0" quotePrefix="0" xfId="0">
      <protection locked="0" hidden="0"/>
    </xf>
    <xf numFmtId="0" fontId="16" fillId="0" borderId="24" applyAlignment="1" applyProtection="1" pivotButton="0" quotePrefix="0" xfId="0">
      <alignment horizontal="center"/>
      <protection locked="0" hidden="0"/>
    </xf>
    <xf numFmtId="0" fontId="16" fillId="0" borderId="24" applyAlignment="1" applyProtection="1" pivotButton="0" quotePrefix="0" xfId="0">
      <alignment wrapText="1"/>
      <protection locked="0" hidden="0"/>
    </xf>
    <xf numFmtId="0" fontId="16" fillId="0" borderId="24" applyProtection="1" pivotButton="0" quotePrefix="0" xfId="0">
      <protection locked="0" hidden="0"/>
    </xf>
    <xf numFmtId="0" fontId="16" fillId="0" borderId="25" applyProtection="1" pivotButton="0" quotePrefix="0" xfId="0">
      <protection locked="0" hidden="0"/>
    </xf>
    <xf numFmtId="0" fontId="33" fillId="8" borderId="21" applyAlignment="1" pivotButton="0" quotePrefix="0" xfId="13">
      <alignment horizontal="center" vertical="center" wrapText="1"/>
    </xf>
    <xf numFmtId="0" fontId="33" fillId="8" borderId="24" pivotButton="0" quotePrefix="0" xfId="0"/>
    <xf numFmtId="0" fontId="33" fillId="8" borderId="25" pivotButton="0" quotePrefix="0" xfId="0"/>
    <xf numFmtId="0" fontId="17" fillId="3" borderId="49" applyAlignment="1" pivotButton="0" quotePrefix="0" xfId="2">
      <alignment horizontal="center" vertical="center" wrapText="1"/>
    </xf>
    <xf numFmtId="0" fontId="17" fillId="3" borderId="22" applyAlignment="1" pivotButton="0" quotePrefix="0" xfId="2">
      <alignment horizontal="center" vertical="center" wrapText="1"/>
    </xf>
    <xf numFmtId="0" fontId="17" fillId="0" borderId="2" applyAlignment="1" applyProtection="1" pivotButton="0" quotePrefix="0" xfId="0">
      <alignment horizontal="center" vertical="center" wrapText="1"/>
      <protection locked="0" hidden="0"/>
    </xf>
    <xf numFmtId="0" fontId="16" fillId="0" borderId="16" applyAlignment="1" pivotButton="0" quotePrefix="0" xfId="2">
      <alignment horizontal="left" vertical="center" wrapText="1"/>
    </xf>
    <xf numFmtId="0" fontId="16" fillId="0" borderId="16" applyAlignment="1" applyProtection="1" pivotButton="0" quotePrefix="0" xfId="3">
      <alignment horizontal="left" vertical="center" wrapText="1"/>
      <protection locked="0" hidden="0"/>
    </xf>
    <xf numFmtId="0" fontId="17" fillId="0" borderId="0" applyAlignment="1" applyProtection="1" pivotButton="0" quotePrefix="0" xfId="0">
      <alignment horizontal="center" vertical="center"/>
      <protection locked="0" hidden="0"/>
    </xf>
    <xf numFmtId="0" fontId="16" fillId="0" borderId="0" applyAlignment="1" applyProtection="1" pivotButton="0" quotePrefix="0" xfId="0">
      <alignment vertical="center"/>
      <protection locked="0" hidden="0"/>
    </xf>
    <xf numFmtId="0" fontId="16" fillId="0" borderId="2" applyAlignment="1" pivotButton="0" quotePrefix="0" xfId="3">
      <alignment horizontal="left" vertical="center" wrapText="1"/>
    </xf>
    <xf numFmtId="0" fontId="16" fillId="0" borderId="2" applyAlignment="1" pivotButton="0" quotePrefix="0" xfId="2">
      <alignment horizontal="center" vertical="center" wrapText="1"/>
    </xf>
    <xf numFmtId="0" fontId="16" fillId="0" borderId="1" applyAlignment="1" pivotButton="0" quotePrefix="0" xfId="0">
      <alignment horizontal="left" vertical="center" wrapText="1"/>
    </xf>
    <xf numFmtId="0" fontId="16" fillId="0" borderId="45" applyAlignment="1" pivotButton="0" quotePrefix="0" xfId="2">
      <alignment horizontal="center" vertical="center" wrapText="1"/>
    </xf>
    <xf numFmtId="0" fontId="16" fillId="0" borderId="1" applyAlignment="1" pivotButton="0" quotePrefix="0" xfId="0">
      <alignment horizontal="left" vertical="top" wrapText="1"/>
    </xf>
    <xf numFmtId="0" fontId="16" fillId="0" borderId="45" applyAlignment="1" pivotButton="0" quotePrefix="0" xfId="3">
      <alignment horizontal="left" vertical="center" wrapText="1"/>
    </xf>
    <xf numFmtId="0" fontId="16" fillId="0" borderId="1" applyAlignment="1" pivotButton="0" quotePrefix="0" xfId="3">
      <alignment horizontal="left" vertical="center" wrapText="1"/>
    </xf>
    <xf numFmtId="0" fontId="16" fillId="0" borderId="1" applyAlignment="1" pivotButton="0" quotePrefix="0" xfId="2">
      <alignment horizontal="center" vertical="center" wrapText="1"/>
    </xf>
    <xf numFmtId="0" fontId="16" fillId="0" borderId="2" applyAlignment="1" pivotButton="0" quotePrefix="0" xfId="0">
      <alignment horizontal="left" vertical="center" wrapText="1"/>
    </xf>
    <xf numFmtId="0" fontId="16" fillId="0" borderId="2" applyAlignment="1" pivotButton="0" quotePrefix="0" xfId="2">
      <alignment horizontal="left" vertical="center" wrapText="1"/>
    </xf>
    <xf numFmtId="0" fontId="16" fillId="0" borderId="45" applyAlignment="1" pivotButton="0" quotePrefix="0" xfId="0">
      <alignment horizontal="left" vertical="center" wrapText="1"/>
    </xf>
    <xf numFmtId="0" fontId="19" fillId="13" borderId="45" applyAlignment="1" applyProtection="1" pivotButton="0" quotePrefix="0" xfId="3">
      <alignment vertical="center" wrapText="1"/>
      <protection locked="0" hidden="0"/>
    </xf>
    <xf numFmtId="0" fontId="26" fillId="6" borderId="45" applyAlignment="1" pivotButton="0" quotePrefix="0" xfId="2">
      <alignment horizontal="left" vertical="center" wrapText="1"/>
    </xf>
    <xf numFmtId="0" fontId="34" fillId="2" borderId="21" applyAlignment="1" pivotButton="0" quotePrefix="0" xfId="13">
      <alignment horizontal="center" vertical="center" wrapText="1"/>
    </xf>
    <xf numFmtId="0" fontId="0" fillId="0" borderId="24" pivotButton="0" quotePrefix="0" xfId="0"/>
    <xf numFmtId="0" fontId="0" fillId="0" borderId="25" pivotButton="0" quotePrefix="0" xfId="0"/>
    <xf numFmtId="0" fontId="17" fillId="3" borderId="21" applyAlignment="1" pivotButton="0" quotePrefix="0" xfId="2">
      <alignment horizontal="center" vertical="center" wrapText="1"/>
    </xf>
    <xf numFmtId="0" fontId="0" fillId="0" borderId="22" pivotButton="0" quotePrefix="0" xfId="0"/>
    <xf numFmtId="0" fontId="21" fillId="4" borderId="45" applyAlignment="1" pivotButton="0" quotePrefix="0" xfId="3">
      <alignment horizontal="center" vertical="center" wrapText="1"/>
    </xf>
    <xf numFmtId="0" fontId="0" fillId="0" borderId="43" pivotButton="0" quotePrefix="0" xfId="0"/>
    <xf numFmtId="0" fontId="16" fillId="4" borderId="45" applyAlignment="1" applyProtection="1" pivotButton="0" quotePrefix="0" xfId="3">
      <alignment horizontal="center" vertical="center" wrapText="1"/>
      <protection locked="0" hidden="0"/>
    </xf>
    <xf numFmtId="0" fontId="16" fillId="0" borderId="28" applyAlignment="1" applyProtection="1" pivotButton="0" quotePrefix="0" xfId="3">
      <alignment horizontal="center" vertical="center" wrapText="1"/>
      <protection locked="0" hidden="0"/>
    </xf>
    <xf numFmtId="0" fontId="0" fillId="0" borderId="2" pivotButton="0" quotePrefix="0" xfId="0"/>
    <xf numFmtId="0" fontId="0" fillId="0" borderId="36" pivotButton="0" quotePrefix="0" xfId="0"/>
    <xf numFmtId="0" fontId="0" fillId="0" borderId="47" pivotButton="0" quotePrefix="0" xfId="0"/>
    <xf numFmtId="0" fontId="40" fillId="0" borderId="60" applyAlignment="1" pivotButton="0" quotePrefix="0" xfId="0">
      <alignment horizontal="center" vertical="top"/>
    </xf>
  </cellXfs>
  <cellStyles count="16">
    <cellStyle name="Normal" xfId="0" builtinId="0"/>
    <cellStyle name="Normal 2" xfId="1"/>
    <cellStyle name="Normal 5" xfId="2"/>
    <cellStyle name="Normal 3" xfId="3"/>
    <cellStyle name="Normal 2 2" xfId="4"/>
    <cellStyle name="Normal 4" xfId="5"/>
    <cellStyle name="Normal 3 2" xfId="6"/>
    <cellStyle name="Normal 2 3" xfId="7"/>
    <cellStyle name="Normal 2 2 2" xfId="8"/>
    <cellStyle name="Normal 4 2" xfId="9"/>
    <cellStyle name="Percent" xfId="10" builtinId="5"/>
    <cellStyle name="Normal 4 2 2" xfId="11"/>
    <cellStyle name="Normal 2 4" xfId="12"/>
    <cellStyle name="Normal 2 2 3" xfId="13"/>
    <cellStyle name="Normal 2 2 3 2" xfId="14"/>
    <cellStyle name="Normal 3 2 2" xfId="15"/>
  </cellStyles>
  <dxfs count="86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bgColor theme="7" tint="0.399945066682943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
        </patternFill>
      </fill>
    </dxf>
    <dxf>
      <fill>
        <patternFill>
          <bgColor rgb="FF99BCE7"/>
        </patternFill>
      </fill>
    </dxf>
    <dxf>
      <fill>
        <patternFill patternType="solid">
          <fgColor indexed="64"/>
          <bgColor theme="4" tint="0.7999816888943144"/>
        </patternFill>
      </fill>
    </dxf>
    <dxf>
      <fill>
        <patternFill>
          <bgColor theme="9" tint="0.5999633777886288"/>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bgColor theme="7" tint="0.399945066682943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
        </patternFill>
      </fill>
    </dxf>
    <dxf>
      <fill>
        <patternFill>
          <bgColor rgb="FF99BCE7"/>
        </patternFill>
      </fill>
    </dxf>
    <dxf>
      <fill>
        <patternFill patternType="solid">
          <fgColor indexed="64"/>
          <bgColor theme="4" tint="0.7999816888943144"/>
        </patternFill>
      </fill>
    </dxf>
    <dxf>
      <fill>
        <patternFill>
          <bgColor theme="9" tint="0.5999633777886288"/>
        </patternFill>
      </fill>
    </dxf>
    <dxf>
      <fill>
        <patternFill>
          <bgColor rgb="FFFFBB57"/>
        </patternFill>
      </fill>
    </dxf>
    <dxf>
      <fill>
        <patternFill>
          <bgColor rgb="FFFFD44B"/>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bgColor theme="7" tint="0.399945066682943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
        </patternFill>
      </fill>
    </dxf>
    <dxf>
      <fill>
        <patternFill>
          <bgColor rgb="FF99BCE7"/>
        </patternFill>
      </fill>
    </dxf>
    <dxf>
      <fill>
        <patternFill patternType="solid">
          <fgColor indexed="64"/>
          <bgColor theme="4" tint="0.7999816888943144"/>
        </patternFill>
      </fill>
    </dxf>
    <dxf>
      <fill>
        <patternFill>
          <bgColor theme="9" tint="0.5999633777886288"/>
        </patternFill>
      </fill>
    </dxf>
    <dxf>
      <fill>
        <patternFill>
          <bgColor rgb="FFFFBB57"/>
        </patternFill>
      </fill>
    </dxf>
    <dxf>
      <fill>
        <patternFill>
          <bgColor rgb="FFFFD44B"/>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tc={DE0ED6B7-AC3E-2540-AFBE-024CC17F5D56}</author>
  </authors>
  <commentList>
    <comment ref="F68" authorId="0" shapeId="0">
      <text>
        <t>[Threaded comment]
Your version of Excel allows you to read this threaded comment; however, any edits to it will get removed if the file is opened in a newer version of Excel. Learn more: https://go.microsoft.com/fwlink/?linkid=870924
Comment:
    8) Ketenga nekutengesa zvirimwa zvamusingarimi imi [zviri pamutemo kana zviziripamutemo] - they key word is that they are not the producers of the products they are trading</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28916</rowOff>
    </from>
    <ext cx="836271" cy="367959"/>
    <pic>
      <nvPicPr>
        <cNvPr id="2" name="Picture 4"/>
        <cNvPicPr>
          <a:picLocks xmlns:a="http://schemas.openxmlformats.org/drawingml/2006/main" noChangeAspect="1"/>
        </cNvPicPr>
      </nvPicPr>
      <blipFill>
        <a:blip xmlns:a="http://schemas.openxmlformats.org/drawingml/2006/main" xmlns:r="http://schemas.openxmlformats.org/officeDocument/2006/relationships" cstate="print" r:embed="rId1"/>
        <a:srcRect xmlns:a="http://schemas.openxmlformats.org/drawingml/2006/main" t="26785" b="35417"/>
        <a:stretch xmlns:a="http://schemas.openxmlformats.org/drawingml/2006/main">
          <a:fillRect/>
        </a:stretch>
      </blipFill>
      <spPr bwMode="auto">
        <a:xfrm xmlns:a="http://schemas.openxmlformats.org/drawingml/2006/main">
          <a:off x="0" y="28916"/>
          <a:ext cx="836271" cy="367959"/>
        </a:xfrm>
        <a:prstGeom xmlns:a="http://schemas.openxmlformats.org/drawingml/2006/main" prst="rect">
          <avLst/>
        </a:prstGeom>
        <a:noFill xmlns:a="http://schemas.openxmlformats.org/drawingml/2006/main"/>
        <a:ln xmlns:a="http://schemas.openxmlformats.org/drawingml/2006/main">
          <a:noFill/>
          <a:prstDash val="solid"/>
        </a:ln>
      </spPr>
    </pic>
    <clientData/>
  </oneCellAnchor>
</wsDr>
</file>

<file path=xl/externalLinks/_rels/externalLink1.xml.rels><Relationships xmlns="http://schemas.openxmlformats.org/package/2006/relationships"><Relationship Type="http://schemas.openxmlformats.org/officeDocument/2006/relationships/externalLinkPath" Target="/Users/kafembe/Downloads/household_questionnaire_geopoll_EN_template_20220420_ISO3%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urvey"/>
      <sheetName val="New Durations"/>
      <sheetName val="Crop list"/>
      <sheetName val="Additional information"/>
    </sheetNames>
    <sheetDataSet>
      <sheetData sheetId="0" refreshError="1"/>
      <sheetData sheetId="1" refreshError="1"/>
      <sheetData sheetId="2" refreshError="1"/>
      <sheetData sheetId="3" refreshError="1">
        <row r="17">
          <cell r="D17">
            <v>0.91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theme="9" tint="-0.499984740745262"/>
    <outlinePr summaryBelow="1" summaryRight="1"/>
    <pageSetUpPr/>
  </sheetPr>
  <dimension ref="A1:XFB207"/>
  <sheetViews>
    <sheetView tabSelected="1" zoomScale="60" zoomScaleNormal="60" workbookViewId="0">
      <pane xSplit="4" ySplit="3" topLeftCell="N93" activePane="bottomRight" state="frozen"/>
      <selection pane="topRight" activeCell="E1" sqref="E1"/>
      <selection pane="bottomLeft" activeCell="A4" sqref="A4"/>
      <selection pane="bottomRight" activeCell="D94" sqref="D94"/>
    </sheetView>
  </sheetViews>
  <sheetFormatPr baseColWidth="8" defaultColWidth="8.7109375" defaultRowHeight="18.75" outlineLevelCol="1"/>
  <cols>
    <col width="5.85546875" bestFit="1" customWidth="1" style="511" min="1" max="1"/>
    <col width="39.140625" bestFit="1" customWidth="1" style="52" min="2" max="2"/>
    <col width="38.7109375" bestFit="1" customWidth="1" style="263" min="3" max="3"/>
    <col width="106.42578125" customWidth="1" style="53" min="4" max="4"/>
    <col width="9.140625" bestFit="1" customWidth="1" style="320" min="5" max="5"/>
    <col width="106.42578125" customWidth="1" style="222" min="6" max="6"/>
    <col width="9.140625" bestFit="1" customWidth="1" style="320" min="7" max="7"/>
    <col width="106.42578125" customWidth="1" style="222" min="8" max="8"/>
    <col width="9.7109375" customWidth="1" style="54" min="9" max="9"/>
    <col width="18.42578125" bestFit="1" customWidth="1" style="54" min="10" max="10"/>
    <col width="14" bestFit="1" customWidth="1" style="54" min="11" max="11"/>
    <col width="54.7109375" customWidth="1" style="54" min="12" max="12"/>
    <col width="75.7109375" customWidth="1" style="54" min="13" max="13"/>
    <col width="56.140625" bestFit="1" customWidth="1" style="54" min="14" max="14"/>
    <col width="63.85546875" bestFit="1" customWidth="1" style="154" min="15" max="15"/>
    <col width="46.140625" bestFit="1" customWidth="1" style="154" min="16" max="16"/>
    <col width="56.28515625" bestFit="1" customWidth="1" style="464" min="17" max="17"/>
    <col width="32.7109375" customWidth="1" style="320" min="18" max="18"/>
    <col width="36.7109375" customWidth="1" style="54" min="19" max="19"/>
    <col width="40.7109375" customWidth="1" style="54" min="20" max="20"/>
    <col width="15.28515625" customWidth="1" style="30" min="21" max="21"/>
    <col width="15" customWidth="1" style="31" min="22" max="22"/>
    <col width="11.42578125" customWidth="1" style="30" min="23" max="23"/>
    <col width="8.7109375" customWidth="1" style="9" min="24" max="24"/>
    <col width="8.7109375" customWidth="1" style="54" min="25" max="25"/>
    <col hidden="1" width="20.7109375" customWidth="1" style="12" min="26" max="26"/>
    <col outlineLevel="1" width="8.7109375" customWidth="1" style="54" min="27" max="27"/>
    <col width="8.7109375" customWidth="1" style="54" min="28" max="29"/>
    <col hidden="1" width="26.28515625" customWidth="1" style="14" min="30" max="30"/>
    <col width="8.7109375" customWidth="1" style="54" min="31" max="32"/>
    <col width="8.7109375" customWidth="1" style="54" min="33" max="16384"/>
  </cols>
  <sheetData>
    <row r="1" ht="19.5" customHeight="1" thickBot="1">
      <c r="A1" s="576" t="inlineStr">
        <is>
          <t>GeoPoll Submission Form</t>
        </is>
      </c>
      <c r="B1" s="577" t="n"/>
      <c r="C1" s="577" t="n"/>
      <c r="D1" s="577" t="n"/>
      <c r="E1" s="577" t="n"/>
      <c r="F1" s="577" t="n"/>
      <c r="G1" s="577" t="n"/>
      <c r="H1" s="577" t="n"/>
      <c r="I1" s="577" t="n"/>
      <c r="J1" s="577" t="n"/>
      <c r="K1" s="577" t="n"/>
      <c r="L1" s="577" t="n"/>
      <c r="M1" s="577" t="n"/>
      <c r="N1" s="577" t="n"/>
      <c r="O1" s="577" t="n"/>
      <c r="P1" s="577" t="n"/>
      <c r="Q1" s="577" t="n"/>
      <c r="R1" s="577" t="n"/>
      <c r="S1" s="577" t="n"/>
      <c r="T1" s="578" t="n"/>
      <c r="U1" s="56" t="n"/>
      <c r="V1" s="57" t="n"/>
      <c r="W1" s="56" t="n"/>
      <c r="X1" s="3" t="n"/>
      <c r="Z1" s="3" t="n"/>
      <c r="AD1" s="19" t="inlineStr">
        <is>
          <t xml:space="preserve">Change made </t>
        </is>
      </c>
    </row>
    <row r="2" ht="19.5" customHeight="1" thickBot="1">
      <c r="A2" s="553" t="inlineStr">
        <is>
          <t>FAO - Household Questionnaire</t>
        </is>
      </c>
      <c r="B2" s="577" t="n"/>
      <c r="C2" s="577" t="n"/>
      <c r="D2" s="577" t="n"/>
      <c r="E2" s="577" t="n"/>
      <c r="F2" s="577" t="n"/>
      <c r="G2" s="577" t="n"/>
      <c r="H2" s="577" t="n"/>
      <c r="I2" s="577" t="n"/>
      <c r="J2" s="577" t="n"/>
      <c r="K2" s="577" t="n"/>
      <c r="L2" s="577" t="n"/>
      <c r="M2" s="577" t="n"/>
      <c r="N2" s="577" t="n"/>
      <c r="O2" s="577" t="n"/>
      <c r="P2" s="577" t="n"/>
      <c r="Q2" s="577" t="n"/>
      <c r="R2" s="577" t="n"/>
      <c r="S2" s="578" t="n"/>
      <c r="T2" s="579" t="inlineStr">
        <is>
          <t>Additional notes</t>
        </is>
      </c>
      <c r="U2" s="56" t="n"/>
      <c r="V2" s="57" t="n"/>
      <c r="W2" s="56" t="n"/>
      <c r="X2" s="3" t="n"/>
    </row>
    <row r="3" ht="33" customFormat="1" customHeight="1" s="412" thickBot="1">
      <c r="A3" s="502" t="inlineStr">
        <is>
          <t>Q #</t>
        </is>
      </c>
      <c r="B3" s="324" t="inlineStr">
        <is>
          <t>Q Name</t>
        </is>
      </c>
      <c r="C3" s="324" t="inlineStr">
        <is>
          <t>Suggested Qname</t>
        </is>
      </c>
      <c r="D3" s="324" t="inlineStr">
        <is>
          <t>English</t>
        </is>
      </c>
      <c r="E3" s="324" t="inlineStr">
        <is>
          <t>Length</t>
        </is>
      </c>
      <c r="F3" s="324" t="inlineStr">
        <is>
          <t>sn_Shona</t>
        </is>
      </c>
      <c r="G3" s="324" t="inlineStr">
        <is>
          <t>Length</t>
        </is>
      </c>
      <c r="H3" s="324" t="inlineStr">
        <is>
          <t>nd_Ndebele</t>
        </is>
      </c>
      <c r="I3" s="324" t="inlineStr">
        <is>
          <t>Length</t>
        </is>
      </c>
      <c r="J3" s="324" t="inlineStr">
        <is>
          <t>Q Type</t>
        </is>
      </c>
      <c r="K3" s="324" t="inlineStr">
        <is>
          <t>Randomize</t>
        </is>
      </c>
      <c r="L3" s="324" t="inlineStr">
        <is>
          <t>Conditional</t>
        </is>
      </c>
      <c r="M3" s="324" t="inlineStr">
        <is>
          <t>Programming Instructions</t>
        </is>
      </c>
      <c r="N3" s="376" t="inlineStr">
        <is>
          <t>Skip Pattern</t>
        </is>
      </c>
      <c r="O3" s="406" t="inlineStr">
        <is>
          <t>GeoPoll Comments</t>
        </is>
      </c>
      <c r="P3" s="406" t="inlineStr">
        <is>
          <t>FAO Comments</t>
        </is>
      </c>
      <c r="Q3" s="376" t="inlineStr">
        <is>
          <t xml:space="preserve">Default skip patterns &amp; conditional </t>
        </is>
      </c>
      <c r="R3" s="376" t="inlineStr">
        <is>
          <t>Specify skip pattern variable [from blue text]</t>
        </is>
      </c>
      <c r="S3" s="407" t="inlineStr">
        <is>
          <t>UNIVERSE</t>
        </is>
      </c>
      <c r="T3" s="580" t="n"/>
      <c r="U3" s="408" t="inlineStr">
        <is>
          <t>Duration average [sec]</t>
        </is>
      </c>
      <c r="V3" s="409" t="inlineStr">
        <is>
          <t>Estimated percentage of repondents</t>
        </is>
      </c>
      <c r="W3" s="410" t="inlineStr">
        <is>
          <t>Weighted Duration</t>
        </is>
      </c>
      <c r="X3" s="411" t="n"/>
      <c r="Z3" s="413" t="inlineStr">
        <is>
          <t>Mandatory</t>
        </is>
      </c>
      <c r="AD3" s="414" t="n"/>
    </row>
    <row r="4" ht="19.5" customHeight="1" thickBot="1">
      <c r="A4" s="534" t="inlineStr">
        <is>
          <t>A. PRESENTATION OF THE SURVEY AND ELIGIBILITY CRITERIA SELECTION</t>
        </is>
      </c>
      <c r="B4" s="577" t="n"/>
      <c r="C4" s="577" t="n"/>
      <c r="D4" s="577" t="n"/>
      <c r="E4" s="577" t="n"/>
      <c r="F4" s="577" t="n"/>
      <c r="G4" s="577" t="n"/>
      <c r="H4" s="577" t="n"/>
      <c r="I4" s="577" t="n"/>
      <c r="J4" s="577" t="n"/>
      <c r="K4" s="577" t="n"/>
      <c r="L4" s="577" t="n"/>
      <c r="M4" s="577" t="n"/>
      <c r="N4" s="577" t="n"/>
      <c r="O4" s="577" t="n"/>
      <c r="P4" s="577" t="n"/>
      <c r="Q4" s="577" t="n"/>
      <c r="R4" s="577" t="n"/>
      <c r="S4" s="577" t="n"/>
      <c r="T4" s="578" t="n"/>
      <c r="U4" s="56" t="n"/>
      <c r="V4" s="57" t="n"/>
      <c r="W4" s="58" t="n"/>
      <c r="X4" s="3" t="n"/>
      <c r="Z4" s="12" t="inlineStr">
        <is>
          <t>no</t>
        </is>
      </c>
    </row>
    <row r="5">
      <c r="A5" s="247" t="inlineStr">
        <is>
          <t>NA</t>
        </is>
      </c>
      <c r="B5" s="59" t="inlineStr">
        <is>
          <t>Optin</t>
        </is>
      </c>
      <c r="C5" s="60" t="n"/>
      <c r="D5" s="563" t="inlineStr">
        <is>
          <t>Optin</t>
        </is>
      </c>
      <c r="E5" s="308">
        <f>LEN(D5)</f>
        <v/>
      </c>
      <c r="F5" s="563" t="inlineStr">
        <is>
          <t>Optin</t>
        </is>
      </c>
      <c r="G5" s="308">
        <f>LEN(F5)</f>
        <v/>
      </c>
      <c r="H5" s="563" t="inlineStr">
        <is>
          <t>Optin</t>
        </is>
      </c>
      <c r="I5" s="564">
        <f>LEN(H5)</f>
        <v/>
      </c>
      <c r="J5" s="564" t="inlineStr">
        <is>
          <t>Open Ended</t>
        </is>
      </c>
      <c r="K5" s="564" t="inlineStr">
        <is>
          <t>NA</t>
        </is>
      </c>
      <c r="L5" s="564" t="inlineStr">
        <is>
          <t>NA</t>
        </is>
      </c>
      <c r="M5" s="564" t="inlineStr">
        <is>
          <t>Form Type - TextBox</t>
        </is>
      </c>
      <c r="N5" s="63" t="inlineStr">
        <is>
          <t>Any Response = phone_number</t>
        </is>
      </c>
      <c r="O5" s="138" t="n"/>
      <c r="P5" s="138" t="n"/>
      <c r="Q5" s="377" t="inlineStr">
        <is>
          <t>NA</t>
        </is>
      </c>
      <c r="R5" s="388" t="n"/>
      <c r="S5" s="64" t="inlineStr">
        <is>
          <t>ALL</t>
        </is>
      </c>
      <c r="T5" s="65" t="n"/>
      <c r="U5" s="58" t="n">
        <v>0</v>
      </c>
      <c r="V5" s="57" t="n"/>
      <c r="W5" s="58">
        <f>U5*V5</f>
        <v/>
      </c>
      <c r="X5" s="3" t="n"/>
      <c r="Z5" s="12" t="inlineStr">
        <is>
          <t>no</t>
        </is>
      </c>
    </row>
    <row r="6">
      <c r="A6" s="247" t="inlineStr">
        <is>
          <t>NA</t>
        </is>
      </c>
      <c r="B6" s="66" t="inlineStr">
        <is>
          <t>phone_number</t>
        </is>
      </c>
      <c r="C6" s="67" t="inlineStr">
        <is>
          <t>phone_number</t>
        </is>
      </c>
      <c r="D6" s="568" t="inlineStr">
        <is>
          <t xml:space="preserve">Input the phone number that you are contacting: </t>
        </is>
      </c>
      <c r="E6" s="564">
        <f>LEN(D6)</f>
        <v/>
      </c>
      <c r="F6" s="568" t="inlineStr">
        <is>
          <t xml:space="preserve">Isa nhamba dzefoni dzauri kuda kufonera: </t>
        </is>
      </c>
      <c r="G6" s="564">
        <f>LEN(F6)</f>
        <v/>
      </c>
      <c r="H6" s="568" t="inlineStr">
        <is>
          <t xml:space="preserve">Faka inombolo zocingo ozixhumayo: </t>
        </is>
      </c>
      <c r="I6" s="564">
        <f>LEN(H6)</f>
        <v/>
      </c>
      <c r="J6" s="564" t="inlineStr">
        <is>
          <t>Open Ended</t>
        </is>
      </c>
      <c r="K6" s="564" t="inlineStr">
        <is>
          <t>NA</t>
        </is>
      </c>
      <c r="L6" s="564" t="inlineStr">
        <is>
          <t>NA</t>
        </is>
      </c>
      <c r="M6" s="564" t="inlineStr">
        <is>
          <t>Form Type - TextBox</t>
        </is>
      </c>
      <c r="N6" s="63" t="inlineStr">
        <is>
          <t>Any Response = hh_id</t>
        </is>
      </c>
      <c r="O6" s="138" t="n"/>
      <c r="P6" s="138" t="n"/>
      <c r="Q6" s="377" t="inlineStr">
        <is>
          <t>NA</t>
        </is>
      </c>
      <c r="R6" s="388" t="n"/>
      <c r="S6" s="64" t="inlineStr">
        <is>
          <t>ALL</t>
        </is>
      </c>
      <c r="T6" s="68" t="n"/>
      <c r="U6" s="58" t="n">
        <v>0</v>
      </c>
      <c r="V6" s="57" t="n"/>
      <c r="W6" s="58">
        <f>U6*V6</f>
        <v/>
      </c>
      <c r="X6" s="3" t="n"/>
      <c r="Z6" s="12" t="inlineStr">
        <is>
          <t>yes</t>
        </is>
      </c>
      <c r="AD6" s="14" t="inlineStr">
        <is>
          <t>New question</t>
        </is>
      </c>
    </row>
    <row r="7" ht="56.25" customFormat="1" customHeight="1" s="256">
      <c r="A7" s="517" t="inlineStr">
        <is>
          <t>NA</t>
        </is>
      </c>
      <c r="B7" s="558" t="inlineStr">
        <is>
          <t>hh_id</t>
        </is>
      </c>
      <c r="C7" s="69" t="inlineStr">
        <is>
          <t>hh_id</t>
        </is>
      </c>
      <c r="D7" s="159" t="inlineStr">
        <is>
          <t>THE HOUSEHOLD ID IS:  #HH_ID#
PLEASE ENTER THE ID IN THE TEXTBOX BELOW</t>
        </is>
      </c>
      <c r="E7" s="564">
        <f>LEN(D7)</f>
        <v/>
      </c>
      <c r="F7" s="159" t="inlineStr">
        <is>
          <t>THE HOUSEHOLD ID IS:  #HH_ID#
PLEASE ENTER THE ID IN THE TEXTBOX BELOW</t>
        </is>
      </c>
      <c r="G7" s="564">
        <f>LEN(F7)</f>
        <v/>
      </c>
      <c r="H7" s="159" t="inlineStr">
        <is>
          <t>THE HOUSEHOLD ID IS:  #HH_ID#
PLEASE ENTER THE ID IN THE TEXTBOX BELOW</t>
        </is>
      </c>
      <c r="I7" s="564">
        <f>LEN(H7)</f>
        <v/>
      </c>
      <c r="J7" s="70" t="inlineStr">
        <is>
          <t>Open Ended</t>
        </is>
      </c>
      <c r="K7" s="70" t="inlineStr">
        <is>
          <t>NA</t>
        </is>
      </c>
      <c r="L7" s="70" t="inlineStr">
        <is>
          <t>NA</t>
        </is>
      </c>
      <c r="M7" s="70" t="inlineStr">
        <is>
          <t>Form Type - TextBox</t>
        </is>
      </c>
      <c r="N7" s="559" t="inlineStr">
        <is>
          <t>Any Response = calldispo</t>
        </is>
      </c>
      <c r="O7" s="560" t="inlineStr">
        <is>
          <t>Any Response = calldispo</t>
        </is>
      </c>
      <c r="P7" s="516" t="n"/>
      <c r="Q7" s="514" t="n"/>
      <c r="R7" s="515" t="n"/>
      <c r="S7" s="64" t="n"/>
      <c r="T7" s="68" t="n"/>
      <c r="U7" s="58" t="n"/>
      <c r="V7" s="57" t="n"/>
      <c r="W7" s="58" t="n"/>
      <c r="X7" s="259" t="n"/>
      <c r="Z7" s="561" t="n"/>
      <c r="AD7" s="562" t="n"/>
    </row>
    <row r="8" ht="150" customHeight="1">
      <c r="A8" s="503" t="inlineStr">
        <is>
          <t>NA</t>
        </is>
      </c>
      <c r="B8" s="120" t="inlineStr">
        <is>
          <t>calldispo</t>
        </is>
      </c>
      <c r="C8" s="67" t="inlineStr">
        <is>
          <t>calldispo</t>
        </is>
      </c>
      <c r="D8" s="568" t="inlineStr">
        <is>
          <t>Phone number: #CATI_MOBILENUMBER#
1)Someone answers
2)Answering machine
3)No answer
4)Hang up or refusal
5)Call back
6)Under review
7)Disconnected</t>
        </is>
      </c>
      <c r="E8" s="127">
        <f>LEN(D8)</f>
        <v/>
      </c>
      <c r="F8" s="568" t="inlineStr">
        <is>
          <t>Nhamba dzefoni: #CATI_MOBILENUMBER#
1)Pane adaira
2)Muchina unodaira runhare
3)Hapana adaira
4)Yadimburirwa kana kuti aramba
5)Fona zvakare
6)Iri kuongororwa
7)Yadambuka</t>
        </is>
      </c>
      <c r="G8" s="127">
        <f>LEN(F8)</f>
        <v/>
      </c>
      <c r="H8" s="573" t="inlineStr">
        <is>
          <t>Inombolo zocingo: #CATI_MOBILENUMBER#
1)Kulomuntu odobha ucingo
2)Umtshina ophendulayo
3)Akula odobha ucingo
4)Ubeke phansi ucingo/Walile
5)Ufonile
6)Kusakhangelisiswa
7)Luqanyuliwe ucingo</t>
        </is>
      </c>
      <c r="I8" s="566">
        <f>LEN(H8)</f>
        <v/>
      </c>
      <c r="J8" s="123" t="inlineStr">
        <is>
          <t>Single Choice</t>
        </is>
      </c>
      <c r="K8" s="566" t="inlineStr">
        <is>
          <t>NA</t>
        </is>
      </c>
      <c r="L8" s="566" t="inlineStr">
        <is>
          <t>NA</t>
        </is>
      </c>
      <c r="M8" s="566" t="inlineStr">
        <is>
          <t>Form Type - Buttons</t>
        </is>
      </c>
      <c r="N8" s="71" t="inlineStr">
        <is>
          <t>1 = resp_language
2 = AnsweringMachine
3 = NoAnswer
4 = Refusal
5 = WhenCallBack
6 = UnderReview
7 = Disconnected</t>
        </is>
      </c>
      <c r="O8" s="145" t="n"/>
      <c r="P8" s="145" t="n"/>
      <c r="Q8" s="378" t="inlineStr">
        <is>
          <t>NA</t>
        </is>
      </c>
      <c r="R8" s="415" t="n"/>
      <c r="S8" s="72" t="inlineStr">
        <is>
          <t>ALL</t>
        </is>
      </c>
      <c r="T8" s="73" t="n"/>
      <c r="U8" s="58" t="n">
        <v>0</v>
      </c>
      <c r="V8" s="57" t="n"/>
      <c r="W8" s="58">
        <f>U8*V8</f>
        <v/>
      </c>
      <c r="X8" s="3" t="n"/>
      <c r="Z8" s="12" t="inlineStr">
        <is>
          <t>no</t>
        </is>
      </c>
    </row>
    <row r="9">
      <c r="A9" s="503" t="inlineStr">
        <is>
          <t>NA</t>
        </is>
      </c>
      <c r="B9" s="120" t="inlineStr">
        <is>
          <t>AnsweringMachine</t>
        </is>
      </c>
      <c r="C9" s="67" t="inlineStr">
        <is>
          <t>calldispo_answeringmachine</t>
        </is>
      </c>
      <c r="D9" s="186" t="inlineStr">
        <is>
          <t>Reached an answering machine.</t>
        </is>
      </c>
      <c r="E9" s="127">
        <f>LEN(D9)</f>
        <v/>
      </c>
      <c r="F9" s="186" t="inlineStr">
        <is>
          <t>Yasvikira pamuchina unodaira runhare.</t>
        </is>
      </c>
      <c r="G9" s="127">
        <f>LEN(F9)</f>
        <v/>
      </c>
      <c r="H9" s="186" t="inlineStr">
        <is>
          <t>Ucingo lwaphendulwa ngumtshina ophendulayo.</t>
        </is>
      </c>
      <c r="I9" s="566">
        <f>LEN(H9)</f>
        <v/>
      </c>
      <c r="J9" s="123" t="inlineStr">
        <is>
          <t>NA</t>
        </is>
      </c>
      <c r="K9" s="123" t="inlineStr">
        <is>
          <t>NA</t>
        </is>
      </c>
      <c r="L9" s="123" t="inlineStr">
        <is>
          <t>NA</t>
        </is>
      </c>
      <c r="M9" s="123" t="inlineStr">
        <is>
          <t>NA</t>
        </is>
      </c>
      <c r="N9" s="74" t="inlineStr">
        <is>
          <t>End Poll AnsweringMachine</t>
        </is>
      </c>
      <c r="O9" s="146" t="n"/>
      <c r="P9" s="146" t="n"/>
      <c r="Q9" s="379" t="inlineStr">
        <is>
          <t>NA</t>
        </is>
      </c>
      <c r="R9" s="416" t="n"/>
      <c r="S9" s="75" t="inlineStr">
        <is>
          <t>calldispo = 2</t>
        </is>
      </c>
      <c r="T9" s="76" t="n"/>
      <c r="U9" s="58" t="n">
        <v>0</v>
      </c>
      <c r="V9" s="57" t="n"/>
      <c r="W9" s="58">
        <f>U9*V9</f>
        <v/>
      </c>
      <c r="X9" s="3" t="n"/>
      <c r="Z9" s="12" t="inlineStr">
        <is>
          <t>no</t>
        </is>
      </c>
    </row>
    <row r="10">
      <c r="A10" s="503" t="inlineStr">
        <is>
          <t>NA</t>
        </is>
      </c>
      <c r="B10" s="120" t="inlineStr">
        <is>
          <t>NoAnswer</t>
        </is>
      </c>
      <c r="C10" s="67" t="inlineStr">
        <is>
          <t>calldispo_noanswer</t>
        </is>
      </c>
      <c r="D10" s="186" t="inlineStr">
        <is>
          <t>Phone rang and no one answered.</t>
        </is>
      </c>
      <c r="E10" s="127">
        <f>LEN(D10)</f>
        <v/>
      </c>
      <c r="F10" s="186" t="inlineStr">
        <is>
          <t>Runhare rwarira asi hapana adaira.</t>
        </is>
      </c>
      <c r="G10" s="127">
        <f>LEN(F10)</f>
        <v/>
      </c>
      <c r="H10" s="186" t="inlineStr">
        <is>
          <t>Ucingo lwakhala njalo akulamuntu owaludobhayo.</t>
        </is>
      </c>
      <c r="I10" s="566">
        <f>LEN(H10)</f>
        <v/>
      </c>
      <c r="J10" s="123" t="inlineStr">
        <is>
          <t>NA</t>
        </is>
      </c>
      <c r="K10" s="123" t="inlineStr">
        <is>
          <t>NA</t>
        </is>
      </c>
      <c r="L10" s="123" t="inlineStr">
        <is>
          <t>NA</t>
        </is>
      </c>
      <c r="M10" s="123" t="inlineStr">
        <is>
          <t>NA</t>
        </is>
      </c>
      <c r="N10" s="74" t="inlineStr">
        <is>
          <t>End Poll NoAnswer</t>
        </is>
      </c>
      <c r="O10" s="146" t="n"/>
      <c r="P10" s="146" t="n"/>
      <c r="Q10" s="379" t="inlineStr">
        <is>
          <t>NA</t>
        </is>
      </c>
      <c r="R10" s="416" t="n"/>
      <c r="S10" s="75" t="inlineStr">
        <is>
          <t>calldispo = 3</t>
        </is>
      </c>
      <c r="T10" s="76" t="n"/>
      <c r="U10" s="58" t="n">
        <v>0</v>
      </c>
      <c r="V10" s="57" t="n"/>
      <c r="W10" s="58">
        <f>U10*V10</f>
        <v/>
      </c>
      <c r="X10" s="3" t="n"/>
      <c r="Z10" s="12" t="inlineStr">
        <is>
          <t>no</t>
        </is>
      </c>
    </row>
    <row r="11">
      <c r="A11" s="503" t="inlineStr">
        <is>
          <t>NA</t>
        </is>
      </c>
      <c r="B11" s="120" t="inlineStr">
        <is>
          <t>UnderReview</t>
        </is>
      </c>
      <c r="C11" s="67" t="inlineStr">
        <is>
          <t>calldispo_underreview</t>
        </is>
      </c>
      <c r="D11" s="186" t="inlineStr">
        <is>
          <t>Case needs review by a supervisor.</t>
        </is>
      </c>
      <c r="E11" s="127">
        <f>LEN(D11)</f>
        <v/>
      </c>
      <c r="F11" s="186" t="inlineStr">
        <is>
          <t>Nyaya inoda kuongororwa nemukuru webasa.</t>
        </is>
      </c>
      <c r="G11" s="127">
        <f>LEN(F11)</f>
        <v/>
      </c>
      <c r="H11" s="186" t="inlineStr">
        <is>
          <t>Udaba lwakhona ludingakala ukuthi lukhangelisiswe ngumhloli.</t>
        </is>
      </c>
      <c r="I11" s="566">
        <f>LEN(H11)</f>
        <v/>
      </c>
      <c r="J11" s="123" t="inlineStr">
        <is>
          <t>NA</t>
        </is>
      </c>
      <c r="K11" s="123" t="inlineStr">
        <is>
          <t>NA</t>
        </is>
      </c>
      <c r="L11" s="123" t="inlineStr">
        <is>
          <t>NA</t>
        </is>
      </c>
      <c r="M11" s="123" t="inlineStr">
        <is>
          <t>NA</t>
        </is>
      </c>
      <c r="N11" s="74" t="inlineStr">
        <is>
          <t>End Poll UnderReview</t>
        </is>
      </c>
      <c r="O11" s="146" t="n"/>
      <c r="P11" s="146" t="n"/>
      <c r="Q11" s="379" t="inlineStr">
        <is>
          <t>NA</t>
        </is>
      </c>
      <c r="R11" s="416" t="n"/>
      <c r="S11" s="75" t="inlineStr">
        <is>
          <t>calldispo = 6</t>
        </is>
      </c>
      <c r="T11" s="76" t="n"/>
      <c r="U11" s="58" t="n">
        <v>0</v>
      </c>
      <c r="V11" s="57" t="n"/>
      <c r="W11" s="58">
        <f>U11*V11</f>
        <v/>
      </c>
      <c r="X11" s="3" t="n"/>
      <c r="Z11" s="12" t="inlineStr">
        <is>
          <t>no</t>
        </is>
      </c>
    </row>
    <row r="12">
      <c r="A12" s="503" t="inlineStr">
        <is>
          <t>NA</t>
        </is>
      </c>
      <c r="B12" s="120" t="inlineStr">
        <is>
          <t>Disconnected</t>
        </is>
      </c>
      <c r="C12" s="67" t="inlineStr">
        <is>
          <t>calldispo_disconnected</t>
        </is>
      </c>
      <c r="D12" s="186" t="inlineStr">
        <is>
          <t>Phone was disconnected or out of service.</t>
        </is>
      </c>
      <c r="E12" s="127">
        <f>LEN(D12)</f>
        <v/>
      </c>
      <c r="F12" s="186" t="inlineStr">
        <is>
          <t>Runhare rwadambuka kana kuti harusi kushanda.</t>
        </is>
      </c>
      <c r="G12" s="127">
        <f>LEN(F12)</f>
        <v/>
      </c>
      <c r="H12" s="186" t="inlineStr">
        <is>
          <t>Ucingo lwaqanyulwa kumbe lwalungasebenzi.</t>
        </is>
      </c>
      <c r="I12" s="566">
        <f>LEN(H12)</f>
        <v/>
      </c>
      <c r="J12" s="123" t="inlineStr">
        <is>
          <t>NA</t>
        </is>
      </c>
      <c r="K12" s="123" t="inlineStr">
        <is>
          <t>NA</t>
        </is>
      </c>
      <c r="L12" s="123" t="inlineStr">
        <is>
          <t>NA</t>
        </is>
      </c>
      <c r="M12" s="123" t="inlineStr">
        <is>
          <t>NA</t>
        </is>
      </c>
      <c r="N12" s="74" t="inlineStr">
        <is>
          <t>End Poll Disconnected</t>
        </is>
      </c>
      <c r="O12" s="146" t="n"/>
      <c r="P12" s="146" t="n"/>
      <c r="Q12" s="379" t="inlineStr">
        <is>
          <t>NA</t>
        </is>
      </c>
      <c r="R12" s="416" t="n"/>
      <c r="S12" s="75" t="inlineStr">
        <is>
          <t>calldispo = 7</t>
        </is>
      </c>
      <c r="T12" s="76" t="n"/>
      <c r="U12" s="58" t="n">
        <v>0</v>
      </c>
      <c r="V12" s="57" t="n"/>
      <c r="W12" s="58">
        <f>U12*V12</f>
        <v/>
      </c>
      <c r="X12" s="3" t="n"/>
      <c r="Z12" s="12" t="inlineStr">
        <is>
          <t>no</t>
        </is>
      </c>
    </row>
    <row r="13" ht="131.25" customHeight="1">
      <c r="A13" s="503" t="n">
        <v>1</v>
      </c>
      <c r="B13" s="120" t="inlineStr">
        <is>
          <t>resp_language</t>
        </is>
      </c>
      <c r="C13" s="67" t="inlineStr">
        <is>
          <t>resp_language</t>
        </is>
      </c>
      <c r="D13" s="220" t="inlineStr">
        <is>
          <t>Which language do you wish to proceed with?
[OPERATOR: READ ANSWER CHOICES. SINGLE RESPONSE.]
1)English
2)Shona
3)Ndebele</t>
        </is>
      </c>
      <c r="E13" s="127">
        <f>LEN(D13)</f>
        <v/>
      </c>
      <c r="F13" s="220" t="inlineStr">
        <is>
          <t>Unoda kuti tishandise mutauro upi?
[ARI KUITISA ONGORORO: VERENGA MHINDURO DZIRIPO. MHINDURO IMWE CHETE.]
1)Chirungu
2)ChiShona
3)ChiNdebele</t>
        </is>
      </c>
      <c r="G13" s="127">
        <f>LEN(F13)</f>
        <v/>
      </c>
      <c r="H13" s="220" t="inlineStr">
        <is>
          <t>Ungafuna ukuthi ingxoxo le iqhutshwe kusetshenziswa luphi ulimi?
[OQHUBAYO: BALELA PHEZULU IMPENDULO EZIKHETHWAYO. IMPENDULO EYODWA]
1)IsiNgisi
2)IsiShona
3)IsiNdebele</t>
        </is>
      </c>
      <c r="I13" s="566">
        <f>LEN(H13)</f>
        <v/>
      </c>
      <c r="J13" s="123" t="inlineStr">
        <is>
          <t>Single Choice</t>
        </is>
      </c>
      <c r="K13" s="566" t="inlineStr">
        <is>
          <t>NA</t>
        </is>
      </c>
      <c r="L13" s="566" t="inlineStr">
        <is>
          <t>NA</t>
        </is>
      </c>
      <c r="M13" s="566" t="inlineStr">
        <is>
          <t>Form Type - Buttons</t>
        </is>
      </c>
      <c r="N13" s="71" t="inlineStr">
        <is>
          <t>1 = introduction [English]
2 = introduction [Shona]
3 = introduction [Ndebele]</t>
        </is>
      </c>
      <c r="O13" s="145" t="n"/>
      <c r="P13" s="145" t="n"/>
      <c r="Q13" s="380" t="inlineStr">
        <is>
          <t>For any response, go to introduction</t>
        </is>
      </c>
      <c r="R13" s="417" t="n"/>
      <c r="S13" s="72" t="inlineStr">
        <is>
          <t>ALL</t>
        </is>
      </c>
      <c r="T13" s="77" t="inlineStr">
        <is>
          <t>Shona, Ndebele, Tonga</t>
        </is>
      </c>
      <c r="U13" s="58" t="n">
        <v>3.062232494354248</v>
      </c>
      <c r="V13" s="57" t="n"/>
      <c r="W13" s="58">
        <f>U13*V13</f>
        <v/>
      </c>
      <c r="X13" s="3" t="n"/>
      <c r="Z13" s="12" t="inlineStr">
        <is>
          <t>no</t>
        </is>
      </c>
      <c r="AD13" s="10" t="n"/>
    </row>
    <row r="14" ht="409.5" customHeight="1">
      <c r="A14" s="503">
        <f>A13+1</f>
        <v/>
      </c>
      <c r="B14" s="120" t="inlineStr">
        <is>
          <t>introduction</t>
        </is>
      </c>
      <c r="C14" s="67" t="inlineStr">
        <is>
          <t>introduction</t>
        </is>
      </c>
      <c r="D14" s="328"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30 minutes to complete. Any information that you provide will be kept strictly confidential, only used for the purpose of the survey and will not be shown to other people. No personal identifying information will be collected.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is>
      </c>
      <c r="E14" s="316">
        <f>LEN(D14)</f>
        <v/>
      </c>
      <c r="F14" s="328" t="inlineStr">
        <is>
          <t>Makadii henyu, Ndinonzi #OPERATOR#, uye ndiri kufona ndiri kuGeoPoll Polling Agency ndakamiririra sangano reFood and Agriculture Organization of the United Nations [FAO]. Tiri kuita tsvakurudzo iri pamusoro pemararamiro edzimhuri uye mawanikiro ezvokudya munzvimbo yenyu.Ndiri kuda kukubvunzai mibvunzo pamusoro pemhuri yenyu.
Tsvakurudzo iyi inowanzotora maminitsi 30  kuti ipere. Chero mashoko amuchapa haazoudzwi chero ani, achangoshandiswa nekuda kwechinangwa chetsvakurudzo uye haazoratidzwa kune vamwe vanhu. Hapana mashoko anoita kuti muridzi wayo azivikanwe achatorwa. Kubatanidzwa kwako kwekuzvidira pane zvichabuda muhurukuro ino HAKUNA CHERO NEPADIKI POSE kubatana nemukana wako wekuwana chero rubatsiro. Uri kuita izvi uchizvidira uye unogona kusarudza kusapindura chero mubvunzo kana kuti mibvunzo yose kana uchida. Zvisinei, tine tarisiro yekuti uchabatanidzwa sezvo maonero ako akakosha.  
Uchagamuchira #TOPUP#! yemari yekuti vaita kurukurirano sechipo chekuita kuti uve nechido chekubatanidzwa mutsvakurudzo iyi.
Tapota ziva kuti hurukuro yatichaita parunhare inogona kurekodhwa kuti zvibude zvakanaka.
Ungava uine chero mubvunzo?
[ARI KUITISA ONGORORO: PINDURA MIBVUNZO YEARI KUPINDURA, KANA IRIPO]
1)ENDERERA MBERI</t>
        </is>
      </c>
      <c r="G14" s="316">
        <f>LEN(F14)</f>
        <v/>
      </c>
      <c r="H14" s="328" t="inlineStr">
        <is>
          <t>Sakubona mnumzana/nkosazana, ibizo lami ngu #OPERATOR#, njalo ngikutshayela ucingo ngikunhlanganiso yeGeoPoll Polling Agency ngimele inhlanganiso ebona ngezokudla lezokulima eye-Food and Agriculture Organization of the United Nations [FAO]. Siqhuba incwayisiso ngezokuziphilisa ezindlini kanye lokwenelisa ukufinyelela ukudla endaweni ohlala kiyo. Ngizathanda ukukubuza imbuzo mayelana lomuzi wakho.
Incwayisio ivame ukuthatha imizuzu engu 30 ukuthi iphethe. Ulwazi osipha lona luzagcinwa ngemfihlo, lusetshenziswa kuphela kuncwayisiso le njalo kalusoke lutshengiswe abanye abantu. Akula lwazi olukhomba wena oluzaqoqwa. Ukuzikhethela ukuphatheka kwakho kokuzaphuma kungxoxo le akuSOKE KUXHUMANE NGITSHO lethuba lakho lokutholiswa uncedo. Lokhu yikuzikhethela njalo ungakhetha ukungaphenduli eminye imibuzo kumbe yonke imibuzo. Kodwa, silethemba lokuthi uzaphatheka njengoba imibono yakho imqoka.  
Uzamukela i#TOPUP# yemali yokuxhumana lawe njengesikhuthazo sokuphatheka kuncwayisiso.
Sicela unanzelele ukuthi ucingo lolu lungarekhodwa kusenzelwa ukujula.
Ungabe ulemibuzo?
[OQHUBAYO: PHENDULA IMIBUZO KAMAPHENDULA, NXA IKHONA]
1)QHUBEKA</t>
        </is>
      </c>
      <c r="I14" s="316">
        <f>LEN(H14)</f>
        <v/>
      </c>
      <c r="J14" s="329" t="inlineStr">
        <is>
          <t>Single Choice</t>
        </is>
      </c>
      <c r="K14" s="566" t="inlineStr">
        <is>
          <t>NA</t>
        </is>
      </c>
      <c r="L14" s="566" t="inlineStr">
        <is>
          <t>NA</t>
        </is>
      </c>
      <c r="M14" s="566" t="inlineStr">
        <is>
          <t>Form Type - Buttons</t>
        </is>
      </c>
      <c r="N14" s="71" t="inlineStr">
        <is>
          <t>1 = Agree</t>
        </is>
      </c>
      <c r="O14" s="145" t="n"/>
      <c r="P14" s="145" t="n"/>
      <c r="Q14" s="380" t="inlineStr">
        <is>
          <t>For any response, go to Agree</t>
        </is>
      </c>
      <c r="R14" s="417" t="n"/>
      <c r="S14" s="72" t="inlineStr">
        <is>
          <t>ALL</t>
        </is>
      </c>
      <c r="T14" s="77" t="inlineStr">
        <is>
          <t>Set the amount of incentive here, if any.</t>
        </is>
      </c>
      <c r="U14" s="58" t="n">
        <v>50.82254028320312</v>
      </c>
      <c r="V14" s="57" t="n"/>
      <c r="W14" s="58">
        <f>U14*V14</f>
        <v/>
      </c>
      <c r="X14" s="3" t="n"/>
      <c r="Z14" s="12" t="inlineStr">
        <is>
          <t>no</t>
        </is>
      </c>
    </row>
    <row r="15" ht="131.25" customFormat="1" customHeight="1" s="5">
      <c r="A15" s="503">
        <f>A14+1</f>
        <v/>
      </c>
      <c r="B15" s="120" t="inlineStr">
        <is>
          <t>Agree</t>
        </is>
      </c>
      <c r="C15" s="67" t="inlineStr">
        <is>
          <t>resp_agree</t>
        </is>
      </c>
      <c r="D15" s="568" t="inlineStr">
        <is>
          <t>Are you interested in participating in this survey?
[OPERATOR: SINGLE RESPONSE]
1)Yes
2)Not now but another time in the week
3)No</t>
        </is>
      </c>
      <c r="E15" s="127">
        <f>LEN(D15)</f>
        <v/>
      </c>
      <c r="F15" s="568" t="inlineStr">
        <is>
          <t>Uri kuda here kubatanidzwa mukuitwa kwetsvakurudzo iyi?
[ARI KUITISA ONGORORO: MHINDURO IMWE CHETE]
1)Hongu
2)Kwete parizvino asi pane imwewo nguva mukati mevhiki
3)Kwete</t>
        </is>
      </c>
      <c r="G15" s="127">
        <f>LEN(F15)</f>
        <v/>
      </c>
      <c r="H15" s="568" t="inlineStr">
        <is>
          <t>Ungathakazelela ukuphatheka kuncwayisiso le?
[OQHUBAYO: IMPENDULO EYODWA]
1)Yebo
2)Hatshi kathesi mhlawumbe ngesinye isikhathi phakathi kweviki
3)Hatshi</t>
        </is>
      </c>
      <c r="I15" s="566">
        <f>LEN(H15)</f>
        <v/>
      </c>
      <c r="J15" s="123" t="inlineStr">
        <is>
          <t>StartRecording</t>
        </is>
      </c>
      <c r="K15" s="566" t="inlineStr">
        <is>
          <t>NA</t>
        </is>
      </c>
      <c r="L15" s="566" t="inlineStr">
        <is>
          <t>NA</t>
        </is>
      </c>
      <c r="M15" s="566" t="inlineStr">
        <is>
          <t>Form Type - Buttons</t>
        </is>
      </c>
      <c r="N15" s="71" t="inlineStr">
        <is>
          <t>1 = resp_firstname
2 = WhenCallBack
3 = resp_refusalwhy</t>
        </is>
      </c>
      <c r="O15" s="145" t="n"/>
      <c r="P15" s="145" t="n"/>
      <c r="Q15" s="381" t="inlineStr">
        <is>
          <t>if Agree = 1, go to resp_firstname
if Agree = 2, go to WhenCallBack
if Agree = 3, go to resp_refusalwhy</t>
        </is>
      </c>
      <c r="R15" s="356" t="n"/>
      <c r="S15" s="72" t="inlineStr">
        <is>
          <t>ALL</t>
        </is>
      </c>
      <c r="T15" s="73" t="n"/>
      <c r="U15" s="58" t="n">
        <v>3.496473789215088</v>
      </c>
      <c r="V15" s="57" t="n">
        <v>1</v>
      </c>
      <c r="W15" s="58">
        <f>U15*V15</f>
        <v/>
      </c>
      <c r="X15" s="3" t="n"/>
      <c r="Z15" s="12" t="inlineStr">
        <is>
          <t>no</t>
        </is>
      </c>
      <c r="AA15" s="54" t="n"/>
      <c r="AD15" s="6" t="n"/>
    </row>
    <row r="16" ht="131.25" customFormat="1" customHeight="1" s="5">
      <c r="A16" s="503" t="inlineStr">
        <is>
          <t>NA</t>
        </is>
      </c>
      <c r="B16" s="120" t="inlineStr">
        <is>
          <t>resp_refusalwhy</t>
        </is>
      </c>
      <c r="C16" s="67" t="inlineStr">
        <is>
          <t>resp_refusalwhy</t>
        </is>
      </c>
      <c r="D16" s="573" t="inlineStr">
        <is>
          <t>Please let us know why you have REFUSED to take the survey.
[OPERATOR: SINGLE RESPONSE]
1)Not interested
2)Do not want to be recorded
3)Other [specify]</t>
        </is>
      </c>
      <c r="E16" s="127">
        <f>LEN(D16)</f>
        <v/>
      </c>
      <c r="F16" s="573" t="inlineStr">
        <is>
          <t>Tapota tiudze chikonzero chaita kuti URAMBE kubatanidzwa mutsvakurudzo.
1)Kusangoda
2)Kusada kurekodhwa
3)Chimwewo [ratidza]</t>
        </is>
      </c>
      <c r="G16" s="127">
        <f>LEN(F16)</f>
        <v/>
      </c>
      <c r="H16" s="573" t="inlineStr">
        <is>
          <t>Sicela usazise isizatho sakho SOKWALA ukuqhuba incwayisiso.
1)Kangithakazeleli
2)Kangifuni ukurekhodwa
3)Okunye [caca]</t>
        </is>
      </c>
      <c r="I16" s="566">
        <f>LEN(H16)</f>
        <v/>
      </c>
      <c r="J16" s="123" t="inlineStr">
        <is>
          <t>Open Ended-Single Choice</t>
        </is>
      </c>
      <c r="K16" s="566" t="inlineStr">
        <is>
          <t>NA</t>
        </is>
      </c>
      <c r="L16" s="566" t="inlineStr">
        <is>
          <t>NA</t>
        </is>
      </c>
      <c r="M16" s="566" t="inlineStr">
        <is>
          <t>Form Type - RadioList</t>
        </is>
      </c>
      <c r="N16" s="71" t="inlineStr">
        <is>
          <t>1-3 = Refusal</t>
        </is>
      </c>
      <c r="O16" s="145" t="n"/>
      <c r="P16" s="145" t="n"/>
      <c r="Q16" s="381" t="inlineStr">
        <is>
          <t>For any response, go to Refusal</t>
        </is>
      </c>
      <c r="R16" s="356" t="n"/>
      <c r="S16" s="72" t="inlineStr">
        <is>
          <t>resp_agree = 3</t>
        </is>
      </c>
      <c r="T16" s="73" t="n"/>
      <c r="U16" s="58" t="n">
        <v>0</v>
      </c>
      <c r="V16" s="57" t="n">
        <v>1</v>
      </c>
      <c r="W16" s="58">
        <f>U16*V16</f>
        <v/>
      </c>
      <c r="X16" s="3" t="n"/>
      <c r="Z16" s="7" t="inlineStr">
        <is>
          <t>no</t>
        </is>
      </c>
      <c r="AA16" s="54" t="n"/>
      <c r="AD16" s="6" t="n"/>
    </row>
    <row r="17" ht="56.25" customFormat="1" customHeight="1" s="5">
      <c r="A17" s="503" t="inlineStr">
        <is>
          <t>NA</t>
        </is>
      </c>
      <c r="B17" s="120" t="inlineStr">
        <is>
          <t>WhenCallBack</t>
        </is>
      </c>
      <c r="C17" s="67" t="inlineStr">
        <is>
          <t>resp_whencallback</t>
        </is>
      </c>
      <c r="D17" s="568" t="inlineStr">
        <is>
          <t>When would it be a good time to call you back?
[RECORD HH/MM/DD/MM OF CALLBACK]</t>
        </is>
      </c>
      <c r="E17" s="127">
        <f>LEN(D17)</f>
        <v/>
      </c>
      <c r="F17" s="568" t="inlineStr">
        <is>
          <t>Ndeipi nguva yakanaka yekuti tizokufonera zvakare?
[NYORA PASI AWA/MINITSI/ZUVA/MWEDZI WEKUZOFONA ZVAKARE]</t>
        </is>
      </c>
      <c r="G17" s="127">
        <f>LEN(F17)</f>
        <v/>
      </c>
      <c r="H17" s="573" t="inlineStr">
        <is>
          <t>Yisiphi isikhathi esilungileyo ukuthi sikufonele futhi? 
[REKHODA IHOLA/UMZUZU/ILANGA/INYANGA YOKUFONELA]</t>
        </is>
      </c>
      <c r="I17" s="566">
        <f>LEN(H17)</f>
        <v/>
      </c>
      <c r="J17" s="123" t="inlineStr">
        <is>
          <t>Open Ended</t>
        </is>
      </c>
      <c r="K17" s="566" t="inlineStr">
        <is>
          <t>NA</t>
        </is>
      </c>
      <c r="L17" s="566" t="inlineStr">
        <is>
          <t>NA</t>
        </is>
      </c>
      <c r="M17" s="566" t="inlineStr">
        <is>
          <t>Form Type - TextBox
IsDemographic</t>
        </is>
      </c>
      <c r="N17" s="71" t="inlineStr">
        <is>
          <t>Any Response = CallbackMessageEN</t>
        </is>
      </c>
      <c r="O17" s="145" t="n"/>
      <c r="P17" s="145" t="n"/>
      <c r="Q17" s="381" t="inlineStr">
        <is>
          <t>For any response, go to CallbackMessageEN</t>
        </is>
      </c>
      <c r="R17" s="356" t="n"/>
      <c r="S17" s="72" t="inlineStr">
        <is>
          <t>resp_agree = 2</t>
        </is>
      </c>
      <c r="T17" s="73" t="n"/>
      <c r="U17" s="58" t="n">
        <v>0</v>
      </c>
      <c r="V17" s="57" t="n">
        <v>1</v>
      </c>
      <c r="W17" s="58">
        <f>U17*V17</f>
        <v/>
      </c>
      <c r="X17" s="3" t="n"/>
      <c r="Z17" s="7" t="inlineStr">
        <is>
          <t>no</t>
        </is>
      </c>
      <c r="AA17" s="54" t="n"/>
      <c r="AD17" s="6" t="n"/>
    </row>
    <row r="18" ht="93.75" customFormat="1" customHeight="1" s="5">
      <c r="A18" s="503" t="inlineStr">
        <is>
          <t>NA</t>
        </is>
      </c>
      <c r="B18" s="120" t="inlineStr">
        <is>
          <t>CallbackMessageEN</t>
        </is>
      </c>
      <c r="C18" s="67" t="inlineStr">
        <is>
          <t>callbackmessage_en</t>
        </is>
      </c>
      <c r="D18" s="568" t="inlineStr">
        <is>
          <t>Thank you, we will call you back at {WhenCallBack} you requested. Thank you again and have a great day!
[OPERATOR: ENTER CALL NOTES BELOW, WHO YOU SPOKE TO AND WHAT THEY SAID]</t>
        </is>
      </c>
      <c r="E18" s="127">
        <f>LEN(D18)</f>
        <v/>
      </c>
      <c r="F18" s="568" t="inlineStr">
        <is>
          <t>Tinotenda, tichakufonera zvakare musi wa {WhenCallBack} sekukumbira kwavaita. Tinoti vaita basa zvakare uve nezuva rakanaka!
[ARI KUITISA ONGORORO: NYORA PASI MANOTSI EZVAKURUKURWA PARUNHARE, WAVAKURUKURA NAYE UYE ZVAATAURA]</t>
        </is>
      </c>
      <c r="G18" s="127">
        <f>LEN(F18)</f>
        <v/>
      </c>
      <c r="H18" s="573" t="inlineStr">
        <is>
          <t>Siyabonga, sizakufonela futhi ngo {WhenCallBack} osicelileyo. Siphinde sibonge futhi njalo ube lelanga elihle!
[OQHUBAYO: FAKA AMANOTHI OCINGO NGAPHANSI, LO OKHULUME LAYE KANYE LOKUTHI UTHENI]</t>
        </is>
      </c>
      <c r="I18" s="566">
        <f>LEN(H18)</f>
        <v/>
      </c>
      <c r="J18" s="123" t="inlineStr">
        <is>
          <t>Open Ended</t>
        </is>
      </c>
      <c r="K18" s="566" t="inlineStr">
        <is>
          <t>NA</t>
        </is>
      </c>
      <c r="L18" s="566" t="inlineStr">
        <is>
          <t>NA</t>
        </is>
      </c>
      <c r="M18" s="566" t="inlineStr">
        <is>
          <t>Form Type - TextBox</t>
        </is>
      </c>
      <c r="N18" s="71" t="inlineStr">
        <is>
          <t>Any Response = End poll callback</t>
        </is>
      </c>
      <c r="O18" s="145" t="n"/>
      <c r="P18" s="145" t="n"/>
      <c r="Q18" s="378" t="inlineStr">
        <is>
          <t>NA</t>
        </is>
      </c>
      <c r="R18" s="415" t="n"/>
      <c r="S18" s="72" t="inlineStr">
        <is>
          <t>resp_agree = 2</t>
        </is>
      </c>
      <c r="T18" s="73" t="n"/>
      <c r="U18" s="58" t="n">
        <v>0</v>
      </c>
      <c r="V18" s="57" t="n">
        <v>1</v>
      </c>
      <c r="W18" s="58">
        <f>U18*V18</f>
        <v/>
      </c>
      <c r="X18" s="3" t="n"/>
      <c r="Z18" s="7" t="inlineStr">
        <is>
          <t>no</t>
        </is>
      </c>
      <c r="AA18" s="54" t="n"/>
      <c r="AD18" s="6" t="n"/>
    </row>
    <row r="19" ht="56.25" customFormat="1" customHeight="1" s="5">
      <c r="A19" s="503" t="inlineStr">
        <is>
          <t>NA</t>
        </is>
      </c>
      <c r="B19" s="120" t="inlineStr">
        <is>
          <t>Ineligible</t>
        </is>
      </c>
      <c r="C19" s="67" t="inlineStr">
        <is>
          <t>NA</t>
        </is>
      </c>
      <c r="D19" s="568" t="inlineStr">
        <is>
          <t>You are ineligible for this survey. Thank you for your time and please look out for future GeoPoll surveys! For more information visit GeoPoll.com</t>
        </is>
      </c>
      <c r="E19" s="127">
        <f>LEN(D19)</f>
        <v/>
      </c>
      <c r="F19" s="568" t="inlineStr">
        <is>
          <t>Hauna kukodzera kuti uite tsvakurudzo ino. Tinokutenda nenguva yako uye tapota tarisira dzimwe tsvakurudzo dzeGeoPoll dzemune ramangwana! Kuti uwane mashoko azere enda pawebhusaiti inoti GeoPoll.com</t>
        </is>
      </c>
      <c r="G19" s="127">
        <f>LEN(F19)</f>
        <v/>
      </c>
      <c r="H19" s="573" t="inlineStr">
        <is>
          <t>Kawufanelanga ukuphatheka kuncwayisiso le. Siyabonga ngesikhathi sakho njalo kangelela ezinye incwayisiso ezilandelayo zeGeoPoll! Ukuze uthole olunye ulwazi vakatshela iwebhusayithi ethi GeoPoll.com</t>
        </is>
      </c>
      <c r="I19" s="566">
        <f>LEN(H19)</f>
        <v/>
      </c>
      <c r="J19" s="123" t="inlineStr">
        <is>
          <t>NA</t>
        </is>
      </c>
      <c r="K19" s="566" t="inlineStr">
        <is>
          <t>NA</t>
        </is>
      </c>
      <c r="L19" s="566" t="inlineStr">
        <is>
          <t>NA</t>
        </is>
      </c>
      <c r="M19" s="566" t="inlineStr">
        <is>
          <t>NA</t>
        </is>
      </c>
      <c r="N19" s="71" t="inlineStr">
        <is>
          <t>End Poll Ineligible</t>
        </is>
      </c>
      <c r="O19" s="145" t="n"/>
      <c r="P19" s="145" t="n"/>
      <c r="Q19" s="378" t="inlineStr">
        <is>
          <t>NA</t>
        </is>
      </c>
      <c r="R19" s="415" t="n"/>
      <c r="S19" s="72" t="inlineStr">
        <is>
          <t>NA</t>
        </is>
      </c>
      <c r="T19" s="73" t="n"/>
      <c r="U19" s="58" t="n">
        <v>0</v>
      </c>
      <c r="V19" s="57" t="n">
        <v>1</v>
      </c>
      <c r="W19" s="58">
        <f>U19*V19</f>
        <v/>
      </c>
      <c r="X19" s="3" t="n"/>
      <c r="Z19" s="7" t="inlineStr">
        <is>
          <t>no</t>
        </is>
      </c>
      <c r="AA19" s="54" t="n"/>
      <c r="AD19" s="6" t="n"/>
    </row>
    <row r="20" ht="47.25" customFormat="1" customHeight="1" s="5" thickBot="1">
      <c r="A20" s="504" t="inlineStr">
        <is>
          <t>NA</t>
        </is>
      </c>
      <c r="B20" s="78" t="inlineStr">
        <is>
          <t>Refusal</t>
        </is>
      </c>
      <c r="C20" s="79" t="inlineStr">
        <is>
          <t>NA</t>
        </is>
      </c>
      <c r="D20" s="80" t="inlineStr">
        <is>
          <t>Thank you for your time, you will be removed from today's survey.</t>
        </is>
      </c>
      <c r="E20" s="312">
        <f>LEN(D20)</f>
        <v/>
      </c>
      <c r="F20" s="80" t="inlineStr">
        <is>
          <t>Tinotenda nenguva yako, uchabviswa pakuitwa kwetsvakurudzo yanhasi.</t>
        </is>
      </c>
      <c r="G20" s="312">
        <f>LEN(F20)</f>
        <v/>
      </c>
      <c r="H20" s="573" t="inlineStr">
        <is>
          <t>Siyabonga ngesikhathi sakho, uzasuswa kuncwayisiso yalamuhla.</t>
        </is>
      </c>
      <c r="I20" s="81">
        <f>LEN(H20)</f>
        <v/>
      </c>
      <c r="J20" s="82" t="inlineStr">
        <is>
          <t>NA</t>
        </is>
      </c>
      <c r="K20" s="81" t="inlineStr">
        <is>
          <t>NA</t>
        </is>
      </c>
      <c r="L20" s="81" t="inlineStr">
        <is>
          <t>NA</t>
        </is>
      </c>
      <c r="M20" s="81" t="inlineStr">
        <is>
          <t>NA</t>
        </is>
      </c>
      <c r="N20" s="83" t="inlineStr">
        <is>
          <t>End poll declined</t>
        </is>
      </c>
      <c r="O20" s="147" t="n"/>
      <c r="P20" s="147" t="n"/>
      <c r="Q20" s="378" t="inlineStr">
        <is>
          <t>NA</t>
        </is>
      </c>
      <c r="R20" s="418" t="n"/>
      <c r="S20" s="84" t="inlineStr">
        <is>
          <t>calldispo = 4</t>
        </is>
      </c>
      <c r="T20" s="85" t="n"/>
      <c r="U20" s="58" t="n">
        <v>0</v>
      </c>
      <c r="V20" s="57" t="n">
        <v>1</v>
      </c>
      <c r="W20" s="58">
        <f>U20*V20</f>
        <v/>
      </c>
      <c r="X20" s="3" t="n"/>
      <c r="Z20" s="7" t="inlineStr">
        <is>
          <t>no</t>
        </is>
      </c>
      <c r="AA20" s="54" t="n"/>
      <c r="AD20" s="6" t="n"/>
    </row>
    <row r="21" ht="19.5" customFormat="1" customHeight="1" s="5" thickBot="1">
      <c r="A21" s="534" t="inlineStr">
        <is>
          <t>B. GENERAL INFORMATION &amp; ELIGIBILITY CRITERIA</t>
        </is>
      </c>
      <c r="B21" s="577" t="n"/>
      <c r="C21" s="577" t="n"/>
      <c r="D21" s="577" t="n"/>
      <c r="E21" s="577" t="n"/>
      <c r="F21" s="577" t="n"/>
      <c r="G21" s="577" t="n"/>
      <c r="H21" s="577" t="n"/>
      <c r="I21" s="577" t="n"/>
      <c r="J21" s="577" t="n"/>
      <c r="K21" s="577" t="n"/>
      <c r="L21" s="577" t="n"/>
      <c r="M21" s="577" t="n"/>
      <c r="N21" s="577" t="n"/>
      <c r="O21" s="577" t="n"/>
      <c r="P21" s="577" t="n"/>
      <c r="Q21" s="577" t="n"/>
      <c r="R21" s="577" t="n"/>
      <c r="S21" s="577" t="n"/>
      <c r="T21" s="578" t="n"/>
      <c r="U21" s="58" t="n"/>
      <c r="V21" s="57" t="n"/>
      <c r="W21" s="57" t="n"/>
      <c r="X21" s="3" t="n"/>
      <c r="Z21" s="7" t="n"/>
      <c r="AA21" s="54" t="n"/>
      <c r="AD21" s="6" t="n"/>
    </row>
    <row r="22" ht="75" customFormat="1" customHeight="1" s="5">
      <c r="A22" s="505">
        <f>A15+1</f>
        <v/>
      </c>
      <c r="B22" s="86" t="inlineStr">
        <is>
          <t>resp_firstname</t>
        </is>
      </c>
      <c r="C22" s="87" t="inlineStr">
        <is>
          <t>resp_firstname</t>
        </is>
      </c>
      <c r="D22" s="572" t="inlineStr">
        <is>
          <t>What is your first name?
[OPERATOR: RECORD THE RESPONDENT'S FIRST NAME. ENTER 999 FOR REFUSED.]</t>
        </is>
      </c>
      <c r="E22" s="313">
        <f>LEN(D22)</f>
        <v/>
      </c>
      <c r="F22" s="572" t="inlineStr">
        <is>
          <t>Zita rako rekutanga ndiani?
[ARI KUITISA ONGORORO: NYORA PASI ZITA REKUTANGA REARI KUPINDURA. ISA 999 KANA ARAMBA.]</t>
        </is>
      </c>
      <c r="G22" s="313">
        <f>LEN(F22)</f>
        <v/>
      </c>
      <c r="H22" s="572" t="inlineStr">
        <is>
          <t>Ibizo lakho ngubani?
[OQHUBAYO: BHALA IBIZO LIKAMAPHENDULA. FAKA 999 NXA EYALILE]</t>
        </is>
      </c>
      <c r="I22" s="187">
        <f>LEN(H22)</f>
        <v/>
      </c>
      <c r="J22" s="166" t="inlineStr">
        <is>
          <t>Open Ended</t>
        </is>
      </c>
      <c r="K22" s="187" t="inlineStr">
        <is>
          <t>NA</t>
        </is>
      </c>
      <c r="L22" s="187" t="inlineStr">
        <is>
          <t>NA</t>
        </is>
      </c>
      <c r="M22" s="187" t="inlineStr">
        <is>
          <t>Form Type - TextBox</t>
        </is>
      </c>
      <c r="N22" s="89" t="inlineStr">
        <is>
          <t>Any Response = resp_lastname</t>
        </is>
      </c>
      <c r="O22" s="148" t="n"/>
      <c r="P22" s="148" t="n"/>
      <c r="Q22" s="382" t="inlineStr">
        <is>
          <t>For any response, go to resp_lastname</t>
        </is>
      </c>
      <c r="R22" s="419" t="n"/>
      <c r="S22" s="90" t="inlineStr">
        <is>
          <t>resp_agree = 1</t>
        </is>
      </c>
      <c r="T22" s="91" t="n"/>
      <c r="U22" s="92" t="n">
        <v>10</v>
      </c>
      <c r="V22" s="93">
        <f>1</f>
        <v/>
      </c>
      <c r="W22" s="92">
        <f>U22*V22</f>
        <v/>
      </c>
      <c r="X22" s="3" t="n"/>
      <c r="Z22" s="7" t="inlineStr">
        <is>
          <t>yes</t>
        </is>
      </c>
      <c r="AA22" s="54" t="n"/>
      <c r="AD22" s="6" t="inlineStr">
        <is>
          <t>new question</t>
        </is>
      </c>
    </row>
    <row r="23" ht="75" customFormat="1" customHeight="1" s="5">
      <c r="A23" s="503">
        <f>A22+1</f>
        <v/>
      </c>
      <c r="B23" s="86" t="inlineStr">
        <is>
          <t>resp_lastname</t>
        </is>
      </c>
      <c r="C23" s="87" t="inlineStr">
        <is>
          <t>resp_lastname</t>
        </is>
      </c>
      <c r="D23" s="572" t="inlineStr">
        <is>
          <t>What is your last name? 
[OPERATOR: RECORD THE RESPONDENT'S LAST NAME. ENTER 999 FOR REFUSED.]</t>
        </is>
      </c>
      <c r="E23" s="313">
        <f>LEN(D23)</f>
        <v/>
      </c>
      <c r="F23" s="572" t="inlineStr">
        <is>
          <t>Zita rako remhuri ndiani?
[ARI KUITISA ONGORORO: NYORA PASI ZITA REMHURI REARI KUPINDURA. ISA 999 KANA ARAMBA.]</t>
        </is>
      </c>
      <c r="G23" s="313">
        <f>LEN(F23)</f>
        <v/>
      </c>
      <c r="H23" s="572" t="inlineStr">
        <is>
          <t>Ibizo lakho lesibili ngubani? 
[OQHUBAYO: BHALA IBIZO LESIBILI LIKAMAPHENDULA. FAKA 999 NXA EYALILE.]</t>
        </is>
      </c>
      <c r="I23" s="187">
        <f>LEN(H23)</f>
        <v/>
      </c>
      <c r="J23" s="166" t="inlineStr">
        <is>
          <t>Open Ended</t>
        </is>
      </c>
      <c r="K23" s="187" t="inlineStr">
        <is>
          <t>NA</t>
        </is>
      </c>
      <c r="L23" s="187" t="inlineStr">
        <is>
          <t>NA</t>
        </is>
      </c>
      <c r="M23" s="187" t="inlineStr">
        <is>
          <t>Form Type - TextBox</t>
        </is>
      </c>
      <c r="N23" s="89" t="inlineStr">
        <is>
          <t>Any Response = resp_age</t>
        </is>
      </c>
      <c r="O23" s="148" t="n"/>
      <c r="P23" s="148" t="n"/>
      <c r="Q23" s="383" t="inlineStr">
        <is>
          <t>For any response, go to resp_age</t>
        </is>
      </c>
      <c r="R23" s="419" t="n"/>
      <c r="S23" s="90" t="inlineStr">
        <is>
          <t>resp_agree = 1</t>
        </is>
      </c>
      <c r="T23" s="91" t="n"/>
      <c r="U23" s="92" t="n">
        <v>10</v>
      </c>
      <c r="V23" s="93">
        <f>1</f>
        <v/>
      </c>
      <c r="W23" s="92">
        <f>U23*V23</f>
        <v/>
      </c>
      <c r="X23" s="3" t="n"/>
      <c r="Z23" s="7" t="inlineStr">
        <is>
          <t>yes</t>
        </is>
      </c>
      <c r="AA23" s="54" t="n"/>
      <c r="AD23" s="6" t="inlineStr">
        <is>
          <t>new question</t>
        </is>
      </c>
    </row>
    <row r="24" ht="93.75" customFormat="1" customHeight="1" s="5">
      <c r="A24" s="503">
        <f>A23+1</f>
        <v/>
      </c>
      <c r="B24" s="94" t="inlineStr">
        <is>
          <t>resp_age</t>
        </is>
      </c>
      <c r="C24" s="95" t="inlineStr">
        <is>
          <t>resp_age</t>
        </is>
      </c>
      <c r="D24" s="563" t="inlineStr">
        <is>
          <t>How old are you? 
[OPERATOR: RECORD AGE IN NUMBER OF YEARS. ROUND UP TO NEAREST WHOLE NUMBER. IF THE RESPONDENT GIVES BIRTH YEAR, REPEAT THE QUESTION. ENTER 00 FOR DON'T KNOW]</t>
        </is>
      </c>
      <c r="E24" s="314">
        <f>LEN(D24)</f>
        <v/>
      </c>
      <c r="F24" s="563" t="inlineStr">
        <is>
          <t>Une makore mangani ekuzvarwa? 
[ARI KUITISA ONGORORO: NYORA PASI NHAMBA YEMAKORE. ISA NHAMBA YAKAZARA IRI PEDYO NEYATAURWA KANA IINE CHIDIMBU. KANA ARI KUPINDURA AKAPA GORE REKUZVARWA, DZOKORORA MUBVUNZO. ISA 00 KANA ASINGAZIVE]</t>
        </is>
      </c>
      <c r="G24" s="314">
        <f>LEN(F24)</f>
        <v/>
      </c>
      <c r="H24" s="563" t="inlineStr">
        <is>
          <t>Uleminyaka emingaki?
[OQHUBAYO: REKHODA IMINYAKA YAKHE. BHALA INOMBOLO YEMINYAKA EPHELELEYO ESEDUZANE. NXA OPHENDULAYO ESIPHA UMNYAKA WOKUZALWA, PHINDA FUTHI UMBUZO. FAKA U-00 NXA ENGAZI]</t>
        </is>
      </c>
      <c r="I24" s="87">
        <f>LEN(H24)</f>
        <v/>
      </c>
      <c r="J24" s="87" t="inlineStr">
        <is>
          <t>Range</t>
        </is>
      </c>
      <c r="K24" s="87" t="inlineStr">
        <is>
          <t>NA</t>
        </is>
      </c>
      <c r="L24" s="87" t="inlineStr">
        <is>
          <t>NA</t>
        </is>
      </c>
      <c r="M24" s="87" t="inlineStr">
        <is>
          <t>Form Type - TextBox</t>
        </is>
      </c>
      <c r="N24" s="63" t="inlineStr">
        <is>
          <t>0-17 = Ineligible
18-100 = resp_gender
00 = Ineligible</t>
        </is>
      </c>
      <c r="O24" s="138" t="n"/>
      <c r="P24" s="138" t="n"/>
      <c r="Q24" s="384" t="inlineStr">
        <is>
          <t>Only respondents from 18-100 will be eligible for the surve.</t>
        </is>
      </c>
      <c r="R24" s="420" t="n"/>
      <c r="S24" s="90" t="inlineStr">
        <is>
          <t>resp_agree = 1</t>
        </is>
      </c>
      <c r="T24" s="91" t="n"/>
      <c r="U24" s="92" t="n">
        <v>13.75307273864746</v>
      </c>
      <c r="V24" s="93">
        <f>1</f>
        <v/>
      </c>
      <c r="W24" s="92">
        <f>U24*V24</f>
        <v/>
      </c>
      <c r="X24" s="3" t="n"/>
      <c r="Z24" s="12" t="inlineStr">
        <is>
          <t>yes</t>
        </is>
      </c>
      <c r="AA24" s="54" t="n"/>
      <c r="AD24" s="6" t="n"/>
    </row>
    <row r="25" ht="168.75" customFormat="1" customHeight="1" s="5">
      <c r="A25" s="247">
        <f>A24+1</f>
        <v/>
      </c>
      <c r="B25" s="120" t="inlineStr">
        <is>
          <t>resp_gender</t>
        </is>
      </c>
      <c r="C25" s="67" t="inlineStr">
        <is>
          <t>resp_gender</t>
        </is>
      </c>
      <c r="D25" s="568" t="inlineStr">
        <is>
          <t>What is the gender of the respondent?
[OPERATOR: DO NOT ASK THIS QUESTIONNAIRE. LISTEN TO THE VOICE AND CHECK THE CORRECT BOX.]
1)Male
2)Female
3)DON'T KNOW
4)REFUSED</t>
        </is>
      </c>
      <c r="E25" s="127">
        <f>LEN(D25)</f>
        <v/>
      </c>
      <c r="F25" s="568" t="inlineStr">
        <is>
          <t>Ari kupindura murume here kana kuti mukadzi?
[ARI KUITISA ONGORORO: USABVUNZA MUBVUNZO UYU. INGOTEERERA INZWI ORATIDZA MUKABHOKISI KAKAKODZERA.]
1)Murume
2)Mukadzi
3)HANDIZIVI
4)ARAMBA</t>
        </is>
      </c>
      <c r="G25" s="127">
        <f>LEN(F25)</f>
        <v/>
      </c>
      <c r="H25" s="568" t="inlineStr">
        <is>
          <t>Umaphendula uyibuphi ubulili?
[OQHUBAYO: UNGABUZI UMBUZO LO. LALELA IZWI UBUSUBHALA KUBHOKISI ELIQONDILEYO]
1)Ngowesilisa
2)Ngowesifazana
3)KAZI
4)WALILE</t>
        </is>
      </c>
      <c r="I25" s="566">
        <f>LEN(H25)</f>
        <v/>
      </c>
      <c r="J25" s="123" t="inlineStr">
        <is>
          <t>Single Choice</t>
        </is>
      </c>
      <c r="K25" s="566" t="inlineStr">
        <is>
          <t>NA</t>
        </is>
      </c>
      <c r="L25" s="566" t="inlineStr">
        <is>
          <t>NA</t>
        </is>
      </c>
      <c r="M25" s="566" t="inlineStr">
        <is>
          <t>Form Type - Buttons</t>
        </is>
      </c>
      <c r="N25" s="71" t="inlineStr">
        <is>
          <t>1-4 = phone_number_conf</t>
        </is>
      </c>
      <c r="O25" s="138" t="n"/>
      <c r="P25" s="138" t="n"/>
      <c r="Q25" s="354" t="inlineStr">
        <is>
          <t>For any response, go to phone_number_conf</t>
        </is>
      </c>
      <c r="R25" s="394" t="n"/>
      <c r="S25" s="72" t="inlineStr">
        <is>
          <t>resp_agree = 1 
resp_age = 18-100</t>
        </is>
      </c>
      <c r="T25" s="73" t="n"/>
      <c r="U25" s="92" t="n">
        <v>2.117356061935425</v>
      </c>
      <c r="V25" s="93">
        <f>1</f>
        <v/>
      </c>
      <c r="W25" s="92">
        <f>U25*V25</f>
        <v/>
      </c>
      <c r="X25" s="3" t="n"/>
      <c r="Z25" s="12" t="inlineStr">
        <is>
          <t>yes</t>
        </is>
      </c>
      <c r="AA25" s="54" t="n"/>
      <c r="AD25" s="6" t="n"/>
    </row>
    <row r="26" ht="150" customFormat="1" customHeight="1" s="28">
      <c r="A26" s="247">
        <f>A25+1</f>
        <v/>
      </c>
      <c r="B26" s="120" t="inlineStr">
        <is>
          <t>phone_number_conf</t>
        </is>
      </c>
      <c r="C26" s="121" t="inlineStr">
        <is>
          <t>phone_number_conf</t>
        </is>
      </c>
      <c r="D26" s="512" t="inlineStr">
        <is>
          <t>Is the phone number I am calling you on yours or a household member's?
[OPERATOR: SINGLE RESPONSE.]
1)YES
2)NO
3)DON'T KNOW
4)REFUSED</t>
        </is>
      </c>
      <c r="E26" s="316">
        <f>LEN(D26)</f>
        <v/>
      </c>
      <c r="F26" s="512" t="inlineStr">
        <is>
          <t>Nhamba yenhare yandiri kukufonera ndeyako here kana kuti ndeye mumwe wemumhuri?
[ARI KUITISA ONGORORO: MHINDURO IMWE CHETE.]
1)HONGU
2)KWETE
3)HANDIZIVI
4)ARAMBA</t>
        </is>
      </c>
      <c r="G26" s="316">
        <f>LEN(F26)</f>
        <v/>
      </c>
      <c r="H26" s="512" t="inlineStr">
        <is>
          <t>Inombolo zocingo engizifonelayo zingabe zingezakho kumbe ngezelunga lomuzi?
[OQHUBAYO: IMPENDULO EYODWA.]
1)YEBO
2)HATSHI
3)KAZI
4)WALILE</t>
        </is>
      </c>
      <c r="I26" s="566">
        <f>LEN(H26)</f>
        <v/>
      </c>
      <c r="J26" s="123" t="inlineStr">
        <is>
          <t>Single Choice</t>
        </is>
      </c>
      <c r="K26" s="566" t="inlineStr">
        <is>
          <t>NA</t>
        </is>
      </c>
      <c r="L26" s="566" t="inlineStr">
        <is>
          <t>NA</t>
        </is>
      </c>
      <c r="M26" s="566" t="inlineStr">
        <is>
          <t>Form Type - Buttons</t>
        </is>
      </c>
      <c r="N26" s="568" t="inlineStr">
        <is>
          <t>1 = contact_2
2 = phone_number_personal
3-4 = contact_2</t>
        </is>
      </c>
      <c r="O26" s="138" t="n"/>
      <c r="P26" s="138" t="n"/>
      <c r="Q26" s="385" t="inlineStr">
        <is>
          <t>if phone_number_conf = 1, go to contact_2
if phone_number_conf = 2, go to phone_number_personal
if phone_number_conf = 3-4, go to contact_2</t>
        </is>
      </c>
      <c r="R26" s="105" t="n"/>
      <c r="S26" s="96" t="inlineStr">
        <is>
          <t>resp_agree = 1 
resp_age = 18-100</t>
        </is>
      </c>
      <c r="T26" s="97" t="n"/>
      <c r="U26" s="98" t="n">
        <v>10</v>
      </c>
      <c r="V26" s="99">
        <f>1</f>
        <v/>
      </c>
      <c r="W26" s="98">
        <f>U26*V26</f>
        <v/>
      </c>
      <c r="X26" s="27" t="n"/>
      <c r="Z26" s="24" t="inlineStr">
        <is>
          <t>yes - panel</t>
        </is>
      </c>
      <c r="AA26" s="29" t="n"/>
      <c r="AD26" s="41" t="inlineStr">
        <is>
          <t>new question</t>
        </is>
      </c>
    </row>
    <row r="27" ht="75" customFormat="1" customHeight="1" s="28">
      <c r="A27" s="247">
        <f>A26+1</f>
        <v/>
      </c>
      <c r="B27" s="120" t="inlineStr">
        <is>
          <t>phone_number_personal</t>
        </is>
      </c>
      <c r="C27" s="121" t="inlineStr">
        <is>
          <t>phone_number_pers</t>
        </is>
      </c>
      <c r="D27" s="512" t="inlineStr">
        <is>
          <t>What is your phone number?
[OPERATOR: RECORD THE PHONE NUMBER GIVEN. ENTER 99 FOR REFUSED]</t>
        </is>
      </c>
      <c r="E27" s="316">
        <f>LEN(D27)</f>
        <v/>
      </c>
      <c r="F27" s="512" t="inlineStr">
        <is>
          <t>Nhamba yako yenhare inoti chii?
[ARI KUITISA ONGORORO: NYORA PASI NHAMBA YENHARE YATAURWA. ISA 99 KANA ARAMBA]</t>
        </is>
      </c>
      <c r="G27" s="316">
        <f>LEN(F27)</f>
        <v/>
      </c>
      <c r="H27" s="512" t="inlineStr">
        <is>
          <t>Inombolo zakho zocingo zithini?
[OQHUBAYO: BHALA INOMBOLO EPHIWEYO. FAKA U-99 NXA EYALILE]</t>
        </is>
      </c>
      <c r="I27" s="566">
        <f>LEN(H27)</f>
        <v/>
      </c>
      <c r="J27" s="123" t="inlineStr">
        <is>
          <t>Open Ended</t>
        </is>
      </c>
      <c r="K27" s="566" t="inlineStr">
        <is>
          <t>NA</t>
        </is>
      </c>
      <c r="L27" s="566" t="inlineStr">
        <is>
          <t>NA</t>
        </is>
      </c>
      <c r="M27" s="566" t="inlineStr">
        <is>
          <t>Form Type - TextBox</t>
        </is>
      </c>
      <c r="N27" s="568" t="inlineStr">
        <is>
          <t>Any Response = contact_2</t>
        </is>
      </c>
      <c r="O27" s="149" t="n"/>
      <c r="P27" s="149" t="n"/>
      <c r="Q27" s="188" t="inlineStr">
        <is>
          <t>For any response, go to contact_2</t>
        </is>
      </c>
      <c r="R27" s="104" t="n"/>
      <c r="S27" s="96" t="inlineStr">
        <is>
          <t>resp_agree = 1 
resp_age = 18-100
phone_number_conf = 2</t>
        </is>
      </c>
      <c r="T27" s="97" t="n"/>
      <c r="U27" s="98" t="n">
        <v>10</v>
      </c>
      <c r="V27" s="99">
        <f>1</f>
        <v/>
      </c>
      <c r="W27" s="98">
        <f>U27*V27</f>
        <v/>
      </c>
      <c r="X27" s="27" t="n"/>
      <c r="Z27" s="24" t="inlineStr">
        <is>
          <t>yes - panel</t>
        </is>
      </c>
      <c r="AA27" s="29" t="n"/>
      <c r="AD27" s="41" t="inlineStr">
        <is>
          <t>new question</t>
        </is>
      </c>
    </row>
    <row r="28" ht="187.5" customFormat="1" customHeight="1" s="28">
      <c r="A28" s="247">
        <f>A27+1</f>
        <v/>
      </c>
      <c r="B28" s="125" t="inlineStr">
        <is>
          <t>contact_2</t>
        </is>
      </c>
      <c r="C28" s="126" t="inlineStr">
        <is>
          <t>contact_2</t>
        </is>
      </c>
      <c r="D28" s="513" t="inlineStr">
        <is>
          <t>Can you give me an additonal phone number belonging to you, a relative or a friend at which you can be reached?
[OPERATOR: SINGLE RESPONSE.]
1)YES - mine 
2)YES - friend or relative
3)NO
4)DON'T KNOW
5)REFUSED</t>
        </is>
      </c>
      <c r="E28" s="316">
        <f>LEN(D28)</f>
        <v/>
      </c>
      <c r="F28" s="513" t="inlineStr">
        <is>
          <t>Ndinokumbirawo imwe nhamba yenhare yako, yehama kana yeshamwari yatinogona kukubata pairi?
[ARI KUITISA ONGORORO: MHINDURO IMWE CHETE.]
1)HONGU - yangu 
2)HONGU - yeshamwari kana yehama
3)KWETE
4)HANDIZIVI
5)ARAMBA</t>
        </is>
      </c>
      <c r="G28" s="316">
        <f>LEN(F28)</f>
        <v/>
      </c>
      <c r="H28" s="513" t="inlineStr">
        <is>
          <t>Ungangipha ezinye inombolo ezakho, ezesihlobo kumbe umngane lapho ongafinyelelwa khona?
[OQHUBAYO: IMPENDULO EYODWA.]
1)YEBO - ezami 
2)YESBO- ezomngane kumbe isihlobo
3)HATSHI
4)KAZI
5)WALILE</t>
        </is>
      </c>
      <c r="I28" s="127">
        <f>LEN(H28)</f>
        <v/>
      </c>
      <c r="J28" s="128" t="inlineStr">
        <is>
          <t>Single Choice</t>
        </is>
      </c>
      <c r="K28" s="127" t="inlineStr">
        <is>
          <t>NA</t>
        </is>
      </c>
      <c r="L28" s="127" t="inlineStr">
        <is>
          <t>NA</t>
        </is>
      </c>
      <c r="M28" s="127" t="inlineStr">
        <is>
          <t>Form Type - Buttons</t>
        </is>
      </c>
      <c r="N28" s="129" t="inlineStr">
        <is>
          <t>1-2 = phone_number_2
3-5 = hh_admin1</t>
        </is>
      </c>
      <c r="O28" s="138" t="n"/>
      <c r="P28" s="138" t="n"/>
      <c r="Q28" s="100" t="inlineStr">
        <is>
          <t>if contact_2 = 1-2, go to phone_number_2
if contact_2 = 3-5, go to contact_3</t>
        </is>
      </c>
      <c r="R28" s="101" t="n"/>
      <c r="S28" s="102" t="inlineStr">
        <is>
          <t>resp_agree = 1 
resp_age = 18-100</t>
        </is>
      </c>
      <c r="T28" s="103" t="n"/>
      <c r="U28" s="98" t="n">
        <v>10</v>
      </c>
      <c r="V28" s="99">
        <f>1</f>
        <v/>
      </c>
      <c r="W28" s="98">
        <f>U28*V28</f>
        <v/>
      </c>
      <c r="X28" s="27" t="n"/>
      <c r="Z28" s="24" t="inlineStr">
        <is>
          <t>yes - panel</t>
        </is>
      </c>
      <c r="AA28" s="29" t="n"/>
      <c r="AD28" s="41" t="inlineStr">
        <is>
          <t>new question</t>
        </is>
      </c>
    </row>
    <row r="29" ht="75" customFormat="1" customHeight="1" s="28">
      <c r="A29" s="247">
        <f>A28+1</f>
        <v/>
      </c>
      <c r="B29" s="125" t="inlineStr">
        <is>
          <t>phone_number_2</t>
        </is>
      </c>
      <c r="C29" s="126" t="inlineStr">
        <is>
          <t>phone_number_2</t>
        </is>
      </c>
      <c r="D29" s="513" t="inlineStr">
        <is>
          <t>What is the additional phone number?
[OPERATOR: RECORD THE PHONE NUMBER GIVEN. ENTER 99 FOR REFUSED]</t>
        </is>
      </c>
      <c r="E29" s="316">
        <f>LEN(D29)</f>
        <v/>
      </c>
      <c r="F29" s="513" t="inlineStr">
        <is>
          <t>Imwe nhamba yacho inoti kudii?
[ARI KUITISA ONGORORO: NYORA PASI NHAMBA YENHARE YATAURWA. ISA 99 KANA ARAMBA]</t>
        </is>
      </c>
      <c r="G29" s="316">
        <f>LEN(F29)</f>
        <v/>
      </c>
      <c r="H29" s="513" t="inlineStr">
        <is>
          <t>Yiziphi ezinye inombolo zocingo?
[OQHUBAYO: BHALA INOMBOLO EPHIWEYO. FAKA U-99 NXA EYALILE]</t>
        </is>
      </c>
      <c r="I29" s="127">
        <f>LEN(H29)</f>
        <v/>
      </c>
      <c r="J29" s="128" t="inlineStr">
        <is>
          <t>Open Ended</t>
        </is>
      </c>
      <c r="K29" s="127" t="inlineStr">
        <is>
          <t>NA</t>
        </is>
      </c>
      <c r="L29" s="127" t="inlineStr">
        <is>
          <t>NA</t>
        </is>
      </c>
      <c r="M29" s="127" t="inlineStr">
        <is>
          <t>Form Type - TextBox</t>
        </is>
      </c>
      <c r="N29" s="129" t="inlineStr">
        <is>
          <t>Any Response = contact_2_name</t>
        </is>
      </c>
      <c r="O29" s="149" t="n"/>
      <c r="P29" s="149" t="n"/>
      <c r="Q29" s="188" t="inlineStr">
        <is>
          <t>For any response, go to contact_2_name</t>
        </is>
      </c>
      <c r="R29" s="104" t="n"/>
      <c r="S29" s="102" t="inlineStr">
        <is>
          <t>resp_agree = 1 
resp_age = 18-100
contact_2 = 1 | 2</t>
        </is>
      </c>
      <c r="T29" s="103" t="n"/>
      <c r="U29" s="98" t="n">
        <v>10</v>
      </c>
      <c r="V29" s="99">
        <f>1</f>
        <v/>
      </c>
      <c r="W29" s="98">
        <f>U29*V29</f>
        <v/>
      </c>
      <c r="X29" s="27" t="n"/>
      <c r="Z29" s="24" t="inlineStr">
        <is>
          <t>yes - panel</t>
        </is>
      </c>
      <c r="AA29" s="29" t="n"/>
      <c r="AD29" s="41" t="inlineStr">
        <is>
          <t>new question</t>
        </is>
      </c>
    </row>
    <row r="30" ht="90" customFormat="1" customHeight="1" s="28">
      <c r="A30" s="247">
        <f>A29+1</f>
        <v/>
      </c>
      <c r="B30" s="125" t="inlineStr">
        <is>
          <t>contact_2_name</t>
        </is>
      </c>
      <c r="C30" s="126" t="inlineStr">
        <is>
          <t>contact_2_name</t>
        </is>
      </c>
      <c r="D30" s="513" t="inlineStr">
        <is>
          <t>What is the name of the contact?
[OPERATOR: RECORD THE NAME GIVEN. ENTER 99 FOR REFUSED]</t>
        </is>
      </c>
      <c r="E30" s="316">
        <f>LEN(D30)</f>
        <v/>
      </c>
      <c r="F30" s="513" t="inlineStr">
        <is>
          <t>Zita remuridzi wenhamba yacho ndiani?
[ARI KUITISA ONGORORO: NYORA PASI ZITA RATAURWA. ISA 99 KANA ARAMBA]</t>
        </is>
      </c>
      <c r="G30" s="316">
        <f>LEN(F30)</f>
        <v/>
      </c>
      <c r="H30" s="513" t="inlineStr">
        <is>
          <t>Ibizo lenombolo zokuxhuma ngubani?
[OQHUBAYO: BHALA IBIZO ELIPHIWEYO. FAKA U-99 NXA EYALILE]</t>
        </is>
      </c>
      <c r="I30" s="127">
        <f>LEN(H30)</f>
        <v/>
      </c>
      <c r="J30" s="128" t="inlineStr">
        <is>
          <t>Open Ended</t>
        </is>
      </c>
      <c r="K30" s="127" t="inlineStr">
        <is>
          <t>NA</t>
        </is>
      </c>
      <c r="L30" s="127" t="inlineStr">
        <is>
          <t>Send if "contact_2" "Equals" "YES - friend or relative" if not satisfied go to "contact_3"</t>
        </is>
      </c>
      <c r="M30" s="127" t="inlineStr">
        <is>
          <t>Form Type - TextBox</t>
        </is>
      </c>
      <c r="N30" s="129" t="inlineStr">
        <is>
          <t>Any Response = contact_3</t>
        </is>
      </c>
      <c r="O30" s="149" t="n"/>
      <c r="P30" s="149" t="n"/>
      <c r="Q30" s="188" t="inlineStr">
        <is>
          <t>Asked if "contact_2" "Equals" "YES - friend or relative". Otherwise, it skips to "contact_3".
For any response, go to contact_3</t>
        </is>
      </c>
      <c r="R30" s="105" t="n"/>
      <c r="S30" s="102" t="inlineStr">
        <is>
          <t>resp_agree = 1 
resp_age = 18-100
contact_2 = 2</t>
        </is>
      </c>
      <c r="T30" s="103" t="n"/>
      <c r="U30" s="98" t="n">
        <v>10</v>
      </c>
      <c r="V30" s="99">
        <f>1</f>
        <v/>
      </c>
      <c r="W30" s="98">
        <f>U30*V30</f>
        <v/>
      </c>
      <c r="X30" s="27" t="n"/>
      <c r="Z30" s="24" t="inlineStr">
        <is>
          <t>yes - panel</t>
        </is>
      </c>
      <c r="AA30" s="29" t="n"/>
      <c r="AD30" s="41" t="n"/>
    </row>
    <row r="31" ht="187.5" customFormat="1" customHeight="1" s="28">
      <c r="A31" s="247">
        <f>A30+1</f>
        <v/>
      </c>
      <c r="B31" s="125" t="inlineStr">
        <is>
          <t>contact_3</t>
        </is>
      </c>
      <c r="C31" s="126" t="inlineStr">
        <is>
          <t>contact_3</t>
        </is>
      </c>
      <c r="D31" s="513" t="inlineStr">
        <is>
          <t>Can you give me an additonal phone number belonging to you, a relative or a friend at which you can be reached?
[OPERATOR: SINGLE RESPONSE.]
1)YES - mine 
2)YES - friend or relative
3)NO
4)DON'T KNOW
5)REFUSED</t>
        </is>
      </c>
      <c r="E31" s="316">
        <f>LEN(D31)</f>
        <v/>
      </c>
      <c r="F31" s="513" t="inlineStr">
        <is>
          <t>Ndinokumbirawo imwe nhamba yenhare yako, yehama kana yeshamwari yatinogona kukubata pairi?
[ARI KUITISA ONGORORO: MHINDURO IMWE CHETE.]
1)HONGU - yangu 
2)HONGU - yeshamwari kana yehama
3)KWETE
4)HANDIZIVI
5)ARAMBA</t>
        </is>
      </c>
      <c r="G31" s="316">
        <f>LEN(F31)</f>
        <v/>
      </c>
      <c r="H31" s="513" t="inlineStr">
        <is>
          <t>Ungangipha ezinye inombolo zocingo zakho, zesihlobo kumbe umngane lapho ongafinyelelwa khona?
[OQHUBAYO: IMPENDULO EYODWA.]
1)YEBO - ezami 
2)YESBO- ezomngane kumbe isihlobo
3)HATSHI
4)KAZI
5)WALILE</t>
        </is>
      </c>
      <c r="I31" s="127">
        <f>LEN(H31)</f>
        <v/>
      </c>
      <c r="J31" s="128" t="inlineStr">
        <is>
          <t>Single Choice</t>
        </is>
      </c>
      <c r="K31" s="127" t="inlineStr">
        <is>
          <t>NA</t>
        </is>
      </c>
      <c r="L31" s="127" t="inlineStr">
        <is>
          <t>NA</t>
        </is>
      </c>
      <c r="M31" s="127" t="inlineStr">
        <is>
          <t>Form Type - Buttons</t>
        </is>
      </c>
      <c r="N31" s="129" t="inlineStr">
        <is>
          <t>1-2= phone_number_3
3-5 = hh_admin1</t>
        </is>
      </c>
      <c r="O31" s="138" t="n"/>
      <c r="P31" s="138" t="n"/>
      <c r="Q31" s="100" t="inlineStr">
        <is>
          <t>if contact_3 = 1-2, go to phone_number_3
if contact_3 = 3-5, go to hh_admin1</t>
        </is>
      </c>
      <c r="R31" s="101" t="n"/>
      <c r="S31" s="102" t="inlineStr">
        <is>
          <t>resp_agree = 1 
resp_age = 18-100
contact_2 = 1 | 2</t>
        </is>
      </c>
      <c r="T31" s="103" t="n"/>
      <c r="U31" s="98" t="n">
        <v>10</v>
      </c>
      <c r="V31" s="99">
        <f>1</f>
        <v/>
      </c>
      <c r="W31" s="98">
        <f>U31*V31</f>
        <v/>
      </c>
      <c r="X31" s="27" t="n"/>
      <c r="Z31" s="24" t="inlineStr">
        <is>
          <t>yes - panel</t>
        </is>
      </c>
      <c r="AA31" s="29" t="n"/>
      <c r="AD31" s="41" t="inlineStr">
        <is>
          <t>new question</t>
        </is>
      </c>
    </row>
    <row r="32" ht="75" customFormat="1" customHeight="1" s="28">
      <c r="A32" s="247">
        <f>A31+1</f>
        <v/>
      </c>
      <c r="B32" s="125" t="inlineStr">
        <is>
          <t>phone_number_3</t>
        </is>
      </c>
      <c r="C32" s="126" t="inlineStr">
        <is>
          <t>phone_number_3</t>
        </is>
      </c>
      <c r="D32" s="513" t="inlineStr">
        <is>
          <t>What is the additional phone number?
[OPERATOR: RECORD THE PHONE NUMBER GIVEN. ENTER 99 FOR REFUSED]</t>
        </is>
      </c>
      <c r="E32" s="316">
        <f>LEN(D32)</f>
        <v/>
      </c>
      <c r="F32" s="513" t="inlineStr">
        <is>
          <t>Imwe nhamba yacho inoti kudii?
[ARI KUITISA ONGORORO: NYORA PASI NHAMBA YENHARE YATAURWA. ISA 99 KANA ARAMBA]</t>
        </is>
      </c>
      <c r="G32" s="316">
        <f>LEN(F32)</f>
        <v/>
      </c>
      <c r="H32" s="513" t="inlineStr">
        <is>
          <t>Yiziphi ezinye inombolo zocingo?
[OQHUBAYO: BHALA INOMBOLO EPHIWEYO. FAKA U-99 NXA EYALILE]</t>
        </is>
      </c>
      <c r="I32" s="127">
        <f>LEN(H32)</f>
        <v/>
      </c>
      <c r="J32" s="128" t="inlineStr">
        <is>
          <t>Open Ended</t>
        </is>
      </c>
      <c r="K32" s="127" t="inlineStr">
        <is>
          <t>NA</t>
        </is>
      </c>
      <c r="L32" s="127" t="inlineStr">
        <is>
          <t>NA</t>
        </is>
      </c>
      <c r="M32" s="127" t="inlineStr">
        <is>
          <t>Form Type - TextBox</t>
        </is>
      </c>
      <c r="N32" s="129" t="inlineStr">
        <is>
          <t>Any Response = contact_3_name</t>
        </is>
      </c>
      <c r="O32" s="149" t="n"/>
      <c r="P32" s="149" t="n"/>
      <c r="Q32" s="188" t="inlineStr">
        <is>
          <t>For any response, go to contact_3_name</t>
        </is>
      </c>
      <c r="R32" s="104" t="n"/>
      <c r="S32" s="102" t="inlineStr">
        <is>
          <t>resp_agree = 1 
resp_age = 18-100
contact_3 = 1 | 2</t>
        </is>
      </c>
      <c r="T32" s="103" t="n"/>
      <c r="U32" s="98" t="n">
        <v>10</v>
      </c>
      <c r="V32" s="99">
        <f>1</f>
        <v/>
      </c>
      <c r="W32" s="98">
        <f>U32*V32</f>
        <v/>
      </c>
      <c r="X32" s="27" t="n"/>
      <c r="Z32" s="24" t="inlineStr">
        <is>
          <t>yes - panel</t>
        </is>
      </c>
      <c r="AA32" s="29" t="n"/>
      <c r="AD32" s="41" t="inlineStr">
        <is>
          <t>new question</t>
        </is>
      </c>
    </row>
    <row r="33" ht="90" customFormat="1" customHeight="1" s="28">
      <c r="A33" s="247">
        <f>A32+1</f>
        <v/>
      </c>
      <c r="B33" s="125" t="inlineStr">
        <is>
          <t>contact_3_name</t>
        </is>
      </c>
      <c r="C33" s="125" t="inlineStr">
        <is>
          <t>phone_number_3_name</t>
        </is>
      </c>
      <c r="D33" s="513" t="inlineStr">
        <is>
          <t>What is the name of the contact?
[OPERATOR: RECORD THE NAME GIVEN. ENTER 99 FOR REFUSED]</t>
        </is>
      </c>
      <c r="E33" s="316">
        <f>LEN(D33)</f>
        <v/>
      </c>
      <c r="F33" s="513" t="inlineStr">
        <is>
          <t>Zita remuridzi wenhamba yacho ndiani?
[ARI KUITISA ONGORORO: NYORA PASI ZITA RATAURWA. ISA 99 KANA ARAMBA]</t>
        </is>
      </c>
      <c r="G33" s="316">
        <f>LEN(F33)</f>
        <v/>
      </c>
      <c r="H33" s="513" t="inlineStr">
        <is>
          <t>Ibizo lenombolo zokuxhuma ngubani?
[OQHUBAYO: BHALA IBIZO ELIPHIWEYO. FAKA U-99 NXA EYALILE]</t>
        </is>
      </c>
      <c r="I33" s="127">
        <f>LEN(H33)</f>
        <v/>
      </c>
      <c r="J33" s="128" t="inlineStr">
        <is>
          <t>Open Ended</t>
        </is>
      </c>
      <c r="K33" s="127" t="inlineStr">
        <is>
          <t>NA</t>
        </is>
      </c>
      <c r="L33" s="127" t="inlineStr">
        <is>
          <t>Send if "contact_3" "Equals" "YES - friend or relative" if not satisfied go to "hh_admin1"</t>
        </is>
      </c>
      <c r="M33" s="127" t="inlineStr">
        <is>
          <t>Form Type - TextBox</t>
        </is>
      </c>
      <c r="N33" s="129" t="inlineStr">
        <is>
          <t>Any Response = hh_admin1</t>
        </is>
      </c>
      <c r="O33" s="149" t="n"/>
      <c r="P33" s="149" t="n"/>
      <c r="Q33" s="188" t="inlineStr">
        <is>
          <t>Asked if "contact_3" "Equals" "YES - friend or relative". Otherwise, it skips to "hh_admin1".
For any response, go to hh_admin1</t>
        </is>
      </c>
      <c r="R33" s="105" t="n"/>
      <c r="S33" s="102" t="inlineStr">
        <is>
          <t>resp_agree = 1 
resp_age = 18-100
contact_3 = 2</t>
        </is>
      </c>
      <c r="T33" s="103" t="n"/>
      <c r="U33" s="98" t="n">
        <v>10</v>
      </c>
      <c r="V33" s="99">
        <f>1</f>
        <v/>
      </c>
      <c r="W33" s="98">
        <f>U33*V33</f>
        <v/>
      </c>
      <c r="X33" s="27" t="n"/>
      <c r="Z33" s="24" t="inlineStr">
        <is>
          <t>yes - panel</t>
        </is>
      </c>
      <c r="AA33" s="29" t="n"/>
      <c r="AD33" s="41" t="n"/>
    </row>
    <row r="34" ht="356.25" customFormat="1" customHeight="1" s="5">
      <c r="A34" s="247">
        <f>A33+1</f>
        <v/>
      </c>
      <c r="B34" s="59" t="inlineStr">
        <is>
          <t>hh_admin1</t>
        </is>
      </c>
      <c r="C34" s="67" t="inlineStr">
        <is>
          <t>hh_admin1</t>
        </is>
      </c>
      <c r="D34" s="563" t="inlineStr">
        <is>
          <t xml:space="preserve">THE RESPONDENT REPORTED THAT THEY LIVE IN:
#ADMIN1Name#
[OPERATOR: PLEASE SELECT THE CORRESPONDING PROVINCE FROM THE LIST BELOW. SINGLE SELECTION.]
1)BULAWAYO
2)HARARE
3)MANICALAND
4)MASHONALAND CENTRAL
5)MASHONALAND EAST
6)MASHONALAND WEST
7)MASVINGO
8)MATABELELAND NORTH
9)MATABELELAND SOUTH
10)MIDLANDS
11)DON'T KNOW
12)REFUSED </t>
        </is>
      </c>
      <c r="E34" s="564">
        <f>LEN(D34)</f>
        <v/>
      </c>
      <c r="F34" s="563" t="inlineStr">
        <is>
          <t>ARI KUPINDURA ATI ANOGARA KU:
#ADMIN1Name#
[ARI KUITISA ONGORORO: TAPOTA SARUDZA PUROVHINZI CHAIYO PANE DZAKANYORWA PASI. MHINDURO IMWE CHETE.]
1)BULAWAYO
2)HARARE
3)MANICALAND
4)MASHONALAND CENTRAL
5)MASHONALAND EAST
6)MASHONALAND WEST
7)MASVINGO
8)MATABELELAND NORTH
9)MATABELELAND SOUTH
10)MIDLANDS
11)HANDIZIVI
12)ARAMBA</t>
        </is>
      </c>
      <c r="G34" s="564">
        <f>LEN(F34)</f>
        <v/>
      </c>
      <c r="H34" s="563" t="inlineStr">
        <is>
          <t>UMAPHENDULA UTHE UYAHLALA E:
#ADMIN1Name#
[OQHUBAYO: SIYACELA UKHETHE I-PROVINCE EQONDILEYO KULEZI EZIBHALWE PHANSI. IMPENDULO EYODWA.]
1)BULAWAYO
2)HARARE
3)MANICALAND
4)MASHONALAND CENTRAL
5)MASHONALAND EAST
6)MASHONALAND WEST
7)MASVINGO
8)MATABELELAND NORTH
9)MATABELELAND SOUTH
10)MIDLANDS
11)KAZI
12)WALILE</t>
        </is>
      </c>
      <c r="I34" s="564">
        <f>LEN(H34)</f>
        <v/>
      </c>
      <c r="J34" s="106" t="inlineStr">
        <is>
          <t>Single Choice</t>
        </is>
      </c>
      <c r="K34" s="564" t="inlineStr">
        <is>
          <t>NA</t>
        </is>
      </c>
      <c r="L34" s="564" t="inlineStr">
        <is>
          <t>NA</t>
        </is>
      </c>
      <c r="M34" s="564" t="inlineStr">
        <is>
          <t>Form Type - Dropdown
IsDemographic - ADM1</t>
        </is>
      </c>
      <c r="N34" s="63" t="inlineStr">
        <is>
          <t>1 = hh_admin2_1
2 = hh_admin2_2
3 = hh_admin2_3
4 = hh_admin2_4
5 = hh_admin2_5
6 = hh_admin2_6
7 = hh_admin2_7
8 = hh_admin2_8
9 = hh_admin2_9
10 = hh_admin2_10
11,12 = Ineligible</t>
        </is>
      </c>
      <c r="O34" s="138" t="n"/>
      <c r="P34" s="138" t="n"/>
      <c r="Q34" s="581" t="inlineStr">
        <is>
          <t xml:space="preserve">The administrative information will be updated by GeoPoll based on the sample design document and the administrative boundaries provided by the dashboard team after the questionnaire validation. </t>
        </is>
      </c>
      <c r="R34" s="421" t="n"/>
      <c r="S34" s="72" t="inlineStr">
        <is>
          <t>resp_agree = 1 
resp_age = 18-100</t>
        </is>
      </c>
      <c r="T34" s="73" t="n"/>
      <c r="U34" s="92" t="n">
        <v>8.800000000000001</v>
      </c>
      <c r="V34" s="93">
        <f>1</f>
        <v/>
      </c>
      <c r="W34" s="92">
        <f>U34*V34</f>
        <v/>
      </c>
      <c r="X34" s="3" t="n"/>
      <c r="Z34" s="12" t="inlineStr">
        <is>
          <t>yes</t>
        </is>
      </c>
      <c r="AA34" s="54" t="n"/>
      <c r="AD34" s="6" t="n"/>
    </row>
    <row r="35" ht="187.5" customFormat="1" customHeight="1" s="5">
      <c r="A35" s="247">
        <f>A34+1</f>
        <v/>
      </c>
      <c r="B35" s="120" t="inlineStr">
        <is>
          <t>hh_admin2_1</t>
        </is>
      </c>
      <c r="C35" s="67" t="inlineStr">
        <is>
          <t>hh_admin2_1</t>
        </is>
      </c>
      <c r="D35" s="565" t="inlineStr">
        <is>
          <t>THE RESPONDENT REPORTED THAT THEY LIVE IN:
#ADM2#
[OPERATOR: PLEASE SELECT THE CORRESPONDING DISTRICT FROM THE LIST BELOW. SINGLE SELECTION]
1)BULAWAYO
2)DON'T KNOW
3)REFUSED</t>
        </is>
      </c>
      <c r="E35" s="566">
        <f>LEN(D35)</f>
        <v/>
      </c>
      <c r="F35" s="565" t="inlineStr">
        <is>
          <t>ARI KUPINDURA ATI ANOGARA KU:
#ADM2#
[ARI KUITISA ONGORORO: TAPOTA SARUDZA DUNHU CHAIRO PANE AKANYORWA PASI. MHINDURO IMWE CHETE]
1)BULAWAYO
2)HANDIZIVI
3)ARAMBA</t>
        </is>
      </c>
      <c r="G35" s="566">
        <f>LEN(F35)</f>
        <v/>
      </c>
      <c r="H35" s="565" t="inlineStr">
        <is>
          <t>UMAPHENDULA UTHE UYAHLALA E:
#ADM2#
[OQHUBAYO: SIYACELA UKHETHE ISIGABA ESIQONDILEYO KULEZI EZIBHALWE PHANSI. KHETHA EYODWA]
1)BULAWAYO
2)KAZI
3)WALILE</t>
        </is>
      </c>
      <c r="I35" s="566">
        <f>LEN(H35)</f>
        <v/>
      </c>
      <c r="J35" s="123" t="inlineStr">
        <is>
          <t>Single Choice</t>
        </is>
      </c>
      <c r="K35" s="566" t="inlineStr">
        <is>
          <t>NA</t>
        </is>
      </c>
      <c r="L35" s="566" t="inlineStr">
        <is>
          <t>NA</t>
        </is>
      </c>
      <c r="M35" s="566" t="inlineStr">
        <is>
          <t>Form Type - Buttons
IsDemographic - ADM2</t>
        </is>
      </c>
      <c r="N35" s="71" t="inlineStr">
        <is>
          <t>1 = quotareached
2,3 = Ineligible</t>
        </is>
      </c>
      <c r="O35" s="139" t="n"/>
      <c r="P35" s="139" t="n"/>
      <c r="Q35" s="582" t="n"/>
      <c r="R35" s="583" t="n"/>
      <c r="S35" s="72" t="inlineStr">
        <is>
          <t>resp_agree = 1 
resp_age = 18-100
hh_admin1 = 1</t>
        </is>
      </c>
      <c r="T35" s="584" t="n"/>
      <c r="U35" s="92" t="n">
        <v>10.4</v>
      </c>
      <c r="V35" s="93">
        <f>1</f>
        <v/>
      </c>
      <c r="W35" s="92">
        <f>U35*V35</f>
        <v/>
      </c>
      <c r="X35" s="3" t="n"/>
      <c r="Z35" s="12" t="inlineStr">
        <is>
          <t>yes</t>
        </is>
      </c>
      <c r="AA35" s="54" t="n"/>
      <c r="AD35" s="6" t="n"/>
    </row>
    <row r="36" ht="243.75" customFormat="1" customHeight="1" s="5">
      <c r="A36" s="247">
        <f>A35+1</f>
        <v/>
      </c>
      <c r="B36" s="120" t="inlineStr">
        <is>
          <t>hh_admin2_2</t>
        </is>
      </c>
      <c r="C36" s="67" t="inlineStr">
        <is>
          <t>hh_admin2_2</t>
        </is>
      </c>
      <c r="D36" s="565" t="inlineStr">
        <is>
          <t>THE RESPONDENT REPORTED THAT THEY LIVE IN:
#ADM2#
[OPERATOR: PLEASE SELECT THE CORRESPONDING DISTRICT FROM THE LIST BELOW. SINGLE SELECTION]
1)CHITUNGWIZA
2)EPWORTH
3)HARARE
4)HARARE RURAL
5)DON'T KNOW
6)REFUSED</t>
        </is>
      </c>
      <c r="E36" s="566">
        <f>LEN(D36)</f>
        <v/>
      </c>
      <c r="F36" s="565" t="inlineStr">
        <is>
          <t>ARI KUPINDURA ATI ANOGARA KU:
#ADM2#
[ARI KUITISA ONGORORO: TAPOTA SARUDZA DUNHU CHAIRO PANE AKANYORWA PASI. MHINDURO IMWE CHETE]
1)CHITUNGWIZA
2)EPWORTH
3)HARARE
4)HARARE RURAL
5)HANDIZIVI
6)ARAMBA</t>
        </is>
      </c>
      <c r="G36" s="566">
        <f>LEN(F36)</f>
        <v/>
      </c>
      <c r="H36" s="565" t="inlineStr">
        <is>
          <t>UMAPHENDULA UTHE UYAHLALA E:
#ADM2#
[OQHUBAYO: SIYACELA UKHETHE ISIGABA ESIQONDILEYO KULEZI EZIBHALWE PHANSI. KHETHA EYODWA]
1)CHITUNGWIZA
2)EPWORTH
3)HARARE
4)HARARE RURAL
5)KAZI
6)WALILE</t>
        </is>
      </c>
      <c r="I36" s="566">
        <f>LEN(H36)</f>
        <v/>
      </c>
      <c r="J36" s="123" t="inlineStr">
        <is>
          <t>Single Choice</t>
        </is>
      </c>
      <c r="K36" s="566" t="inlineStr">
        <is>
          <t>NA</t>
        </is>
      </c>
      <c r="L36" s="566" t="inlineStr">
        <is>
          <t>NA</t>
        </is>
      </c>
      <c r="M36" s="566" t="inlineStr">
        <is>
          <t>Form Type - Dropdown
IsDemographic - ADM2</t>
        </is>
      </c>
      <c r="N36" s="71" t="inlineStr">
        <is>
          <t>1-4 = quotareached
5,6 = Ineligible</t>
        </is>
      </c>
      <c r="O36" s="138" t="n"/>
      <c r="P36" s="138" t="n"/>
      <c r="Q36" s="585" t="n"/>
      <c r="R36" s="585" t="n"/>
      <c r="S36" s="72" t="inlineStr">
        <is>
          <t>resp_agree = 1 
resp_age = 18-100
hh_admin1 = 2</t>
        </is>
      </c>
      <c r="T36" s="586" t="n"/>
      <c r="U36" s="92" t="n"/>
      <c r="V36" s="93">
        <f>1</f>
        <v/>
      </c>
      <c r="W36" s="92">
        <f>U36*V36</f>
        <v/>
      </c>
      <c r="X36" s="3" t="n"/>
      <c r="Z36" s="12" t="inlineStr">
        <is>
          <t>yes</t>
        </is>
      </c>
      <c r="AA36" s="54" t="n"/>
      <c r="AD36" s="6" t="n"/>
    </row>
    <row r="37" ht="356.25" customFormat="1" customHeight="1" s="5">
      <c r="A37" s="247">
        <f>A36+1</f>
        <v/>
      </c>
      <c r="B37" s="120" t="inlineStr">
        <is>
          <t>hh_admin2_3</t>
        </is>
      </c>
      <c r="C37" s="67" t="inlineStr">
        <is>
          <t>hh_admin2_3</t>
        </is>
      </c>
      <c r="D37" s="565" t="inlineStr">
        <is>
          <t>THE RESPONDENT REPORTED THAT THEY LIVE IN:
#ADM2#
[OPERATOR: PLEASE SELECT THE CORRESPONDING DISTRICT FROM THE LIST BELOW. SINGLE SELECTION]
1)BUHERA
2)CHIMANIMANI
3)CHIPINGE
4)CHIPINGE URBAN
5)MAKONI
6)MUTARE
7)MUTARE URBAN
8)MUTASA
9)NYANGA
10)RUSAPE
11)DON'T KNOW
12)REFUSED</t>
        </is>
      </c>
      <c r="E37" s="566">
        <f>LEN(D37)</f>
        <v/>
      </c>
      <c r="F37" s="565" t="inlineStr">
        <is>
          <t>ARI KUPINDURA ATI ANOGARA KU:
#ADM2#
[ARI KUITISA ONGORORO: TAPOTA SARUDZA DUNHU CHAIRO PANE AKANYORWA PASI. MHINDURO IMWE CHETE]
1)BUHERA
2)CHIMANIMANI
3)CHIPINGE
4)CHIPINGE URBAN
5)MAKONI
6)MUTARE
7)MUTARE URBAN
8)MUTASA
9)NYANGA
10)RUSAPE
11)HANDIZIVI
12)ARAMBA</t>
        </is>
      </c>
      <c r="G37" s="566">
        <f>LEN(F37)</f>
        <v/>
      </c>
      <c r="H37" s="565" t="inlineStr">
        <is>
          <t>UMAPHENDULA UTHE UYAHLALA E:
#ADM2#
[OQHUBAYO: SIYACELA UKHETHE ISIGABA ESIQONDILEYO KULEZI EZIBHALWE PHANSI. KHETHA EYODWA]
1)BUHERA
2)CHIMANIMANI
3)CHIPINGE
4)CHIPINGE URBAN
5)MAKONI
6)MUTARE
7)MUTARE URBAN
8)MUTASA
9)NYANGA
10)RUSAPE
11)KAZI
12)WALILE</t>
        </is>
      </c>
      <c r="I37" s="566">
        <f>LEN(H37)</f>
        <v/>
      </c>
      <c r="J37" s="123" t="inlineStr">
        <is>
          <t>Single Choice</t>
        </is>
      </c>
      <c r="K37" s="566" t="inlineStr">
        <is>
          <t>NA</t>
        </is>
      </c>
      <c r="L37" s="566" t="inlineStr">
        <is>
          <t>NA</t>
        </is>
      </c>
      <c r="M37" s="566" t="inlineStr">
        <is>
          <t>Form Type - Dropdown
IsDemographic - ADM2</t>
        </is>
      </c>
      <c r="N37" s="71" t="inlineStr">
        <is>
          <t>1-10 = quotareached
11,12 = Ineligible</t>
        </is>
      </c>
      <c r="O37" s="138" t="n"/>
      <c r="P37" s="138" t="n"/>
      <c r="Q37" s="386" t="n"/>
      <c r="R37" s="422" t="n"/>
      <c r="S37" s="72" t="n"/>
      <c r="T37" s="130" t="n"/>
      <c r="U37" s="92" t="n"/>
      <c r="V37" s="93" t="n"/>
      <c r="W37" s="92" t="n"/>
      <c r="X37" s="3" t="n"/>
      <c r="Z37" s="12" t="n"/>
      <c r="AA37" s="54" t="n"/>
      <c r="AD37" s="6" t="n"/>
    </row>
    <row r="38" ht="356.25" customFormat="1" customHeight="1" s="5">
      <c r="A38" s="247">
        <f>A37+1</f>
        <v/>
      </c>
      <c r="B38" s="120" t="inlineStr">
        <is>
          <t>hh_admin2_4</t>
        </is>
      </c>
      <c r="C38" s="67" t="inlineStr">
        <is>
          <t>hh_admin2_4</t>
        </is>
      </c>
      <c r="D38" s="565" t="inlineStr">
        <is>
          <t>THE RESPONDENT REPORTED THAT THEY LIVE IN:
#ADM2#
[OPERATOR: PLEASE SELECT THE CORRESPONDING DISTRICT FROM THE LIST BELOW. SINGLE SELECTION]
1)BINDURA
2)BINDURA URBAN
3)CENTENARY/ MUZARABANI
4)GURUVE
5)MAZOWE
6)MBIRE
7)MOUNT DARWIN
8)MVURWI
9)RUSHINGA
10)SHAMVA
11)DON'T KNOW
12)REFUSED</t>
        </is>
      </c>
      <c r="E38" s="566">
        <f>LEN(D38)</f>
        <v/>
      </c>
      <c r="F38" s="565" t="inlineStr">
        <is>
          <t>ARI KUPINDURA ATI ANOGARA KU:
#ADM2#
[ARI KUITISA ONGORORO: TAPOTA SARUDZA DUNHU CHAIRO PANE AKANYORWA PASI. MHINDURO IMWE CHETE]
1)BINDURA
2)BINDURA URBAN
3)CENTENARY/ MUZARABANI
4)GURUVE
5)MAZOWE
6)MBIRE
7)MOUNT DARWIN
8)MVURWI
9)RUSHINGA
10)SHAMVA
11)HANDIZIVI
12)ARAMBA</t>
        </is>
      </c>
      <c r="G38" s="566">
        <f>LEN(F38)</f>
        <v/>
      </c>
      <c r="H38" s="565" t="inlineStr">
        <is>
          <t>UMAPHENDULA UTHE UYAHLALA E:
#ADM2#
[OQHUBAYO: SIYACELA UKHETHE ISIGABA ESIQONDILEYO KULEZI EZIBHALWE PHANSI. KHETHA EYODWA]
1)BINDURA
2)BINDURA URBAN
3)CENTENARY/ MUZARABANI
4)GURUVE
5)MAZOWE
6)MBIRE
7)MOUNT DARWIN
8)MVURWI
9)RUSHINGA
10)SHAMVA
11)KAZI
12)WALILE</t>
        </is>
      </c>
      <c r="I38" s="566">
        <f>LEN(H38)</f>
        <v/>
      </c>
      <c r="J38" s="123" t="inlineStr">
        <is>
          <t>Single Choice</t>
        </is>
      </c>
      <c r="K38" s="566" t="inlineStr">
        <is>
          <t>NA</t>
        </is>
      </c>
      <c r="L38" s="566" t="inlineStr">
        <is>
          <t>NA</t>
        </is>
      </c>
      <c r="M38" s="566" t="inlineStr">
        <is>
          <t>Form Type - Dropdown
IsDemographic - ADM2</t>
        </is>
      </c>
      <c r="N38" s="71" t="inlineStr">
        <is>
          <t>1-10 = quotareached
11,12 = Ineligible</t>
        </is>
      </c>
      <c r="O38" s="138" t="n"/>
      <c r="P38" s="138" t="n"/>
      <c r="Q38" s="386" t="n"/>
      <c r="R38" s="422" t="n"/>
      <c r="S38" s="72" t="n"/>
      <c r="T38" s="130" t="n"/>
      <c r="U38" s="92" t="n"/>
      <c r="V38" s="93" t="n"/>
      <c r="W38" s="92" t="n"/>
      <c r="X38" s="3" t="n"/>
      <c r="Z38" s="12" t="n"/>
      <c r="AA38" s="54" t="n"/>
      <c r="AD38" s="6" t="n"/>
    </row>
    <row r="39" ht="375" customFormat="1" customHeight="1" s="5">
      <c r="A39" s="247">
        <f>A38+1</f>
        <v/>
      </c>
      <c r="B39" s="120" t="inlineStr">
        <is>
          <t>hh_admin2_5</t>
        </is>
      </c>
      <c r="C39" s="67" t="inlineStr">
        <is>
          <t>hh_admin2_5</t>
        </is>
      </c>
      <c r="D39" s="565" t="inlineStr">
        <is>
          <t>THE RESPONDENT REPORTED THAT THEY LIVE IN:
#ADM2#
[OPERATOR: PLEASE SELECT THE CORRESPONDING DISTRICT FROM THE LIST BELOW. SINGLE SELECTION]
1)CHIKOMBA
2)GOROMONZI
3)HWEDZA
4)MARONDERA
5)MARONDERA URBAN
6)MUDZI
7)MUREHWA
8)MUTOKO
9)RUWA
10)SEKE
11)UZUMBA MARAMBA PFUNGWE
12)DON'T KNOW
13)REFUSED</t>
        </is>
      </c>
      <c r="E39" s="566">
        <f>LEN(D39)</f>
        <v/>
      </c>
      <c r="F39" s="565" t="inlineStr">
        <is>
          <t>ARI KUPINDURA ATI ANOGARA KU:
#ADM2#
[ARI KUITISA ONGORORO: TAPOTA SARUDZA DUNHU CHAIRO PANE AKANYORWA PASI. MHINDURO IMWE CHETE]
1)CHIKOMBA
2)GOROMONZI
3)HWEDZA
4)MARONDERA
5)MARONDERA URBAN
6)MUDZI
7)MUREHWA
8)MUTOKO
9)RUWA
10)SEKE
11)UZUMBA MARAMBA PFUNGWE
12)HANDIZIVI
13)ARAMBA</t>
        </is>
      </c>
      <c r="G39" s="566">
        <f>LEN(F39)</f>
        <v/>
      </c>
      <c r="H39" s="565" t="inlineStr">
        <is>
          <t>UMAPHENDULA UTHE UYAHLALA E:
#ADM2#
[OQHUBAYO: SIYACELA UKHETHE ISIGABA ESIQONDILEYO KULEZI EZIBHALWE PHANSI. KHETHA EYODWA]
1)CHIKOMBA
2)GOROMONZI
3)HWEDZA
4)MARONDERA
5)MARONDERA URBAN
6)MUDZI
7)MUREHWA
8)MUTOKO
9)RUWA
10)SEKE
11)UZUMBA MARAMBA PFUNGWE
12)KAZI
13)WALILE</t>
        </is>
      </c>
      <c r="I39" s="566">
        <f>LEN(H39)</f>
        <v/>
      </c>
      <c r="J39" s="123" t="inlineStr">
        <is>
          <t>Single Choice</t>
        </is>
      </c>
      <c r="K39" s="566" t="inlineStr">
        <is>
          <t>NA</t>
        </is>
      </c>
      <c r="L39" s="566" t="inlineStr">
        <is>
          <t>NA</t>
        </is>
      </c>
      <c r="M39" s="566" t="inlineStr">
        <is>
          <t>Form Type - Dropdown
IsDemographic - ADM2</t>
        </is>
      </c>
      <c r="N39" s="71" t="inlineStr">
        <is>
          <t>1-11 = quotareached
12,13 = Ineligible</t>
        </is>
      </c>
      <c r="O39" s="138" t="n"/>
      <c r="P39" s="138" t="n"/>
      <c r="Q39" s="386" t="n"/>
      <c r="R39" s="422" t="n"/>
      <c r="S39" s="72" t="n"/>
      <c r="T39" s="130" t="n"/>
      <c r="U39" s="92" t="n"/>
      <c r="V39" s="93" t="n"/>
      <c r="W39" s="92" t="n"/>
      <c r="X39" s="3" t="n"/>
      <c r="Z39" s="12" t="n"/>
      <c r="AA39" s="54" t="n"/>
      <c r="AD39" s="6" t="n"/>
    </row>
    <row r="40" ht="409.5" customFormat="1" customHeight="1" s="5">
      <c r="A40" s="247">
        <f>A39+1</f>
        <v/>
      </c>
      <c r="B40" s="120" t="inlineStr">
        <is>
          <t>hh_admin2_6</t>
        </is>
      </c>
      <c r="C40" s="67" t="inlineStr">
        <is>
          <t>hh_admin2_6</t>
        </is>
      </c>
      <c r="D40" s="565" t="inlineStr">
        <is>
          <t>THE RESPONDENT REPORTED THAT THEY LIVE IN:
#ADM2#
[OPERATOR: PLEASE SELECT THE CORRESPONDING DISTRICT FROM THE LIST BELOW. SINGLE SELECTION]
1)CHEGUTU
2)CHEGUTU URBAN
3)CHINHOYI
4)HURUNGWE
5)KADOMA URBAN
6)KARIBA
7)KARIBA URBAN
8)KAROI
9)MAKONDE
10)MHONDORO-NGEZI
11)NORTON
12)SANYATI
13)ZVIMBA
14)DON'T KNOW
15)REFUSED</t>
        </is>
      </c>
      <c r="E40" s="566">
        <f>LEN(D40)</f>
        <v/>
      </c>
      <c r="F40" s="567" t="inlineStr">
        <is>
          <t>ARI KUPINDURA ATI ANOGARA KU:
#ADM2#
[ARI KUITISA ONGORORO: TAPOTA SARUDZA DUNHU CHAIRO PANE AKANYORWA PASI. MHINDURO IMWE CHETE]
1)CHEGUTU
2)CHEGUTU URBAN
3)CHINHOYI
4)HURUNGWE
5)KADOMA URBAN
6)KARIBA
7)KARIBA URBAN
8)KAROI
9)MAKONDE
10)MHONDORO-NGEZI
11)NORTON
12)SANYATI
13)ZVIMBA
14)HANDIZIVI
15)ARAMBA</t>
        </is>
      </c>
      <c r="G40" s="566">
        <f>LEN(F40)</f>
        <v/>
      </c>
      <c r="H40" s="567" t="inlineStr">
        <is>
          <t>UMAPHENDULA UTHE UYAHLALA E:
#ADM2#
[OQHUBAYO: SIYACELA UKHETHE ISIGABA ESIQONDILEYO KULEZI EZIBHALWE PHANSI. KHETHA EYODWA]
1)CHEGUTU
2)CHEGUTU URBAN
3)CHINHOYI
4)HURUNGWE
5)KADOMA URBAN
6)KARIBA
7)KARIBA URBAN
8)KAROI
9)MAKONDE
10)MHONDORO-NGEZI
11)NORTON
12)SANYATI
13)ZVIMBA
14)KAZI
15)WALILE</t>
        </is>
      </c>
      <c r="I40" s="566">
        <f>LEN(H40)</f>
        <v/>
      </c>
      <c r="J40" s="123" t="inlineStr">
        <is>
          <t>Single Choice</t>
        </is>
      </c>
      <c r="K40" s="566" t="inlineStr">
        <is>
          <t>NA</t>
        </is>
      </c>
      <c r="L40" s="566" t="inlineStr">
        <is>
          <t>NA</t>
        </is>
      </c>
      <c r="M40" s="566" t="inlineStr">
        <is>
          <t>Form Type - Dropdown
IsDemographic - ADM2</t>
        </is>
      </c>
      <c r="N40" s="71" t="inlineStr">
        <is>
          <t>1-13 = quotareached
14,15 = Ineligible</t>
        </is>
      </c>
      <c r="O40" s="138" t="n"/>
      <c r="P40" s="138" t="n"/>
      <c r="Q40" s="386" t="n"/>
      <c r="R40" s="422" t="n"/>
      <c r="S40" s="72" t="n"/>
      <c r="T40" s="130" t="n"/>
      <c r="U40" s="92" t="n"/>
      <c r="V40" s="93" t="n"/>
      <c r="W40" s="92" t="n"/>
      <c r="X40" s="3" t="n"/>
      <c r="Z40" s="12" t="n"/>
      <c r="AA40" s="54" t="n"/>
      <c r="AD40" s="6" t="n"/>
    </row>
    <row r="41" ht="337.5" customFormat="1" customHeight="1" s="5">
      <c r="A41" s="247">
        <f>A40+1</f>
        <v/>
      </c>
      <c r="B41" s="120" t="inlineStr">
        <is>
          <t>hh_admin2_7</t>
        </is>
      </c>
      <c r="C41" s="67" t="inlineStr">
        <is>
          <t>hh_admin2_7</t>
        </is>
      </c>
      <c r="D41" s="565" t="inlineStr">
        <is>
          <t>THE RESPONDENT REPORTED THAT THEY LIVE IN:
#ADM2#
[OPERATOR: PLEASE SELECT THE CORRESPONDING DISTRICT FROM THE LIST BELOW. SINGLE SELECTION]
1)BIKITA
2)CHIREDZI
3)CHIREDZI URBAN
4)CHIVI
5)GUTU
6)MASVINGO
7)MASVINGO URBAN
8)MWENEZI
9)ZAKA
10)DON'T KNOW
11)REFUSED</t>
        </is>
      </c>
      <c r="E41" s="566">
        <f>LEN(D41)</f>
        <v/>
      </c>
      <c r="F41" s="565" t="inlineStr">
        <is>
          <t>ARI KUPINDURA ATI ANOGARA KU:
#ADM2#
[ARI KUITISA ONGORORO: TAPOTA SARUDZA DUNHU CHAIRO PANE AKANYORWA PASI. MHINDURO IMWE CHETE]
1)BIKITA
2)CHIREDZI
3)CHIREDZI URBAN
4)CHIVI
5)GUTU
6)MASVINGO
7)MASVINGO URBAN
8)MWENEZI
9)ZAKA
10)HANDIZIVI
11)ARAMBA</t>
        </is>
      </c>
      <c r="G41" s="566">
        <f>LEN(F41)</f>
        <v/>
      </c>
      <c r="H41" s="565" t="inlineStr">
        <is>
          <t>UMAPHENDULA UTHE UYAHLALA E:
#ADM2#
[OQHUBAYO: SIYACELA UKHETHE ISIGABA ESIQONDILEYO KULEZI EZIBHALWE PHANSI. KHETHA EYODWA]
1)BIKITA
2)CHIREDZI
3)CHIREDZI URBAN
4)CHIVI
5)GUTU
6)MASVINGO
7)MASVINGO URBAN
8)MWENEZI
9)ZAKA
10)KAZI
11)WALILE</t>
        </is>
      </c>
      <c r="I41" s="566">
        <f>LEN(H41)</f>
        <v/>
      </c>
      <c r="J41" s="123" t="inlineStr">
        <is>
          <t>Single Choice</t>
        </is>
      </c>
      <c r="K41" s="566" t="inlineStr">
        <is>
          <t>NA</t>
        </is>
      </c>
      <c r="L41" s="566" t="inlineStr">
        <is>
          <t>NA</t>
        </is>
      </c>
      <c r="M41" s="566" t="inlineStr">
        <is>
          <t>Form Type - Dropdown
IsDemographic - ADM2</t>
        </is>
      </c>
      <c r="N41" s="71" t="inlineStr">
        <is>
          <t>1-9 = quotareached
10,11 = Ineligible</t>
        </is>
      </c>
      <c r="O41" s="138" t="n"/>
      <c r="P41" s="138" t="n"/>
      <c r="Q41" s="386" t="n"/>
      <c r="R41" s="422" t="n"/>
      <c r="S41" s="72" t="n"/>
      <c r="T41" s="130" t="n"/>
      <c r="U41" s="92" t="n"/>
      <c r="V41" s="93" t="n"/>
      <c r="W41" s="92" t="n"/>
      <c r="X41" s="3" t="n"/>
      <c r="Z41" s="12" t="n"/>
      <c r="AA41" s="54" t="n"/>
      <c r="AD41" s="6" t="n"/>
    </row>
    <row r="42" ht="337.5" customFormat="1" customHeight="1" s="5">
      <c r="A42" s="247">
        <f>A41+1</f>
        <v/>
      </c>
      <c r="B42" s="120" t="inlineStr">
        <is>
          <t>hh_admin2_8</t>
        </is>
      </c>
      <c r="C42" s="67" t="inlineStr">
        <is>
          <t>hh_admin2_8</t>
        </is>
      </c>
      <c r="D42" s="565" t="inlineStr">
        <is>
          <t>THE RESPONDENT REPORTED THAT THEY LIVE IN:
#ADM2#
[OPERATOR: PLEASE SELECT THE CORRESPONDING DISTRICT FROM THE LIST BELOW. SINGLE SELECTION]
1)BINGA
2)BUBI
3)HWANGE
4)HWANGE URBAN
5)LUPANE
6)NKAYI
7)TSHOLOTSHO
8)UMGUZA
9)VICTORIA FALLS
10)DON'T KNOW
11)REFUSED</t>
        </is>
      </c>
      <c r="E42" s="566">
        <f>LEN(D42)</f>
        <v/>
      </c>
      <c r="F42" s="565" t="inlineStr">
        <is>
          <t>ARI KUPINDURA ATI ANOGARA KU:
#ADM2#
[ARI KUITISA ONGORORO: TAPOTA SARUDZA DUNHU CHAIRO PANE AKANYORWA PASI. MHINDURO IMWE CHETE]
1)BINGA
2)BUBI
3)HWANGE
4)HWANGE URBAN
5)LUPANE
6)NKAYI
7)TSHOLOTSHO
8)UMGUZA
9)VICTORIA FALLS
10)HANDIZIVI
11)ARAMBA</t>
        </is>
      </c>
      <c r="G42" s="566">
        <f>LEN(F42)</f>
        <v/>
      </c>
      <c r="H42" s="565" t="inlineStr">
        <is>
          <t>UMAPHENDULA UTHE UYAHLALA E:
#ADM2#
[OQHUBAYO: SIYACELA UKHETHE ISIGABA ESIQONDILEYO KULEZI EZIBHALWE PHANSI. KHETHA EYODWA]
1)BINGA
2)BUBI
3)HWANGE
4)HWANGE URBAN
5)LUPANE
6)NKAYI
7)TSHOLOTSHO
8)UMGUZA
9)VICTORIA FALLS
10)KAZI
11)WALILE</t>
        </is>
      </c>
      <c r="I42" s="566">
        <f>LEN(H42)</f>
        <v/>
      </c>
      <c r="J42" s="123" t="inlineStr">
        <is>
          <t>Single Choice</t>
        </is>
      </c>
      <c r="K42" s="566" t="inlineStr">
        <is>
          <t>NA</t>
        </is>
      </c>
      <c r="L42" s="566" t="inlineStr">
        <is>
          <t>NA</t>
        </is>
      </c>
      <c r="M42" s="566" t="inlineStr">
        <is>
          <t>Form Type - Dropdown
IsDemographic - ADM2</t>
        </is>
      </c>
      <c r="N42" s="71" t="inlineStr">
        <is>
          <t>1-9 = quotareached
10,11 = Ineligible</t>
        </is>
      </c>
      <c r="O42" s="138" t="n"/>
      <c r="P42" s="138" t="n"/>
      <c r="Q42" s="386" t="n"/>
      <c r="R42" s="422" t="n"/>
      <c r="S42" s="72" t="n"/>
      <c r="T42" s="130" t="n"/>
      <c r="U42" s="92" t="n"/>
      <c r="V42" s="93" t="n"/>
      <c r="W42" s="92" t="n"/>
      <c r="X42" s="3" t="n"/>
      <c r="Z42" s="12" t="n"/>
      <c r="AA42" s="54" t="n"/>
      <c r="AD42" s="6" t="n"/>
    </row>
    <row r="43" ht="356.25" customFormat="1" customHeight="1" s="5">
      <c r="A43" s="247">
        <f>A42+1</f>
        <v/>
      </c>
      <c r="B43" s="120" t="inlineStr">
        <is>
          <t>hh_admin2_9</t>
        </is>
      </c>
      <c r="C43" s="67" t="inlineStr">
        <is>
          <t>hh_admin2_9</t>
        </is>
      </c>
      <c r="D43" s="565" t="inlineStr">
        <is>
          <t>THE RESPONDENT REPORTED THAT THEY LIVE IN:
#ADM2#
[OPERATOR: PLEASE SELECT THE CORRESPONDING DISTRICT FROM THE LIST BELOW. SINGLE SELECTION]
1)BEITBRIDGE
2)BEITBRIDGE URBAN
3)BULILIMA
4)GWANDA
5)GWANDA URBAN
6)INSIZA
7)MANGWE
8)MATOBO
9)PLUMTREE
10)UMZINGWANE 
11)DON'T KNOW
12)REFUSED</t>
        </is>
      </c>
      <c r="E43" s="566">
        <f>LEN(D43)</f>
        <v/>
      </c>
      <c r="F43" s="565" t="inlineStr">
        <is>
          <t>ARI KUPINDURA ATI ANOGARA KU:
#ADM2#
[ARI KUITISA ONGORORO: TAPOTA SARUDZA DUNHU CHAIRO PANE AKANYORWA PASI. MHINDURO IMWE CHETE]
1)BEITBRIDGE
2)BEITBRIDGE URBAN
3)BULILIMA
4)GWANDA
5)GWANDA URBAN
6)INSIZA
7)MANGWE
8)MATOBO
9)PLUMTREE
10)UMZINGWANE 
11)HANDIZIVI
12)ARAMBA</t>
        </is>
      </c>
      <c r="G43" s="566">
        <f>LEN(F43)</f>
        <v/>
      </c>
      <c r="H43" s="565" t="inlineStr">
        <is>
          <t>UMAPHENDULA UTHE UYAHLALA E:
#ADM2#
[OQHUBAYO: SIYACELA UKHETHE ISIGABA ESIQONDILEYO KULEZI EZIBHALWE PHANSI. KHETHA EYODWA]
1)BEITBRIDGE
2)BEITBRIDGE URBAN
3)BULILIMA
4)GWANDA
5)GWANDA URBAN
6)INSIZA
7)MANGWE
8)MATOBO
9)PLUMTREE
10)UMZINGWANE 
11)KAZI
12)WALILE</t>
        </is>
      </c>
      <c r="I43" s="566">
        <f>LEN(H43)</f>
        <v/>
      </c>
      <c r="J43" s="123" t="inlineStr">
        <is>
          <t>Single Choice</t>
        </is>
      </c>
      <c r="K43" s="566" t="inlineStr">
        <is>
          <t>NA</t>
        </is>
      </c>
      <c r="L43" s="566" t="inlineStr">
        <is>
          <t>NA</t>
        </is>
      </c>
      <c r="M43" s="566" t="inlineStr">
        <is>
          <t>Form Type - Dropdown
IsDemographic - ADM2</t>
        </is>
      </c>
      <c r="N43" s="71" t="inlineStr">
        <is>
          <t>1-10 = quotareached
11,12 = Ineligible</t>
        </is>
      </c>
      <c r="O43" s="138" t="n"/>
      <c r="P43" s="138" t="n"/>
      <c r="Q43" s="386" t="n"/>
      <c r="R43" s="422" t="n"/>
      <c r="S43" s="72" t="n"/>
      <c r="T43" s="130" t="n"/>
      <c r="U43" s="92" t="n"/>
      <c r="V43" s="93" t="n"/>
      <c r="W43" s="92" t="n"/>
      <c r="X43" s="3" t="n"/>
      <c r="Z43" s="12" t="n"/>
      <c r="AA43" s="54" t="n"/>
      <c r="AD43" s="6" t="n"/>
    </row>
    <row r="44" ht="409.5" customFormat="1" customHeight="1" s="5">
      <c r="A44" s="247">
        <f>A43+1</f>
        <v/>
      </c>
      <c r="B44" s="120" t="inlineStr">
        <is>
          <t>hh_admin2_10</t>
        </is>
      </c>
      <c r="C44" s="67" t="inlineStr">
        <is>
          <t>hh_admin2_10</t>
        </is>
      </c>
      <c r="D44" s="565" t="inlineStr">
        <is>
          <t>THE RESPONDENT REPORTED THAT THEY LIVE IN:
#ADM2#
[OPERATOR: PLEASE SELECT THE CORRESPONDING DISTRICT FROM THE LIST BELOW. SINGLE SELECTION]
1)CHIRUMHANZU
2)GOKWE NORTH
3)GOKWE SOUTH
4)GOKWE SOUTH URBAN
5)GWERU
6)GWERU URBAN
7)KWEKWE
8)KWEKWE URBAN
9)MBERENGWA
10)REDCLIFF
11)SHURUGWI
12)SHURUGWI TOWN
13)ZVISHAVANE
14)ZVISHAVANE URBAN
15)DON'T KNOW
16)REFUSED</t>
        </is>
      </c>
      <c r="E44" s="566">
        <f>LEN(D44)</f>
        <v/>
      </c>
      <c r="F44" s="565" t="inlineStr">
        <is>
          <t>ARI KUPINDURA ATI ANOGARA KU:
#ADM2#
[ARI KUITISA ONGORORO: TAPOTA SARUDZA DUNHU CHAIRO PANE AKANYORWA PASI. MHINDURO IMWE CHETE]
1)CHIRUMHANZU
2)GOKWE NORTH
3)GOKWE SOUTH
4)GOKWE SOUTH URBAN
5)GWERU
6)GWERU URBAN
7)KWEKWE
8)KWEKWE URBAN
9)MBERENGWA
10)REDCLIFF
11)SHURUGWI
12)SHURUGWI TOWN
13)ZVISHAVANE
14)ZVISHAVANE URBAN
15)HANDIZIVI
16)ARAMBA</t>
        </is>
      </c>
      <c r="G44" s="566">
        <f>LEN(F44)</f>
        <v/>
      </c>
      <c r="H44" s="565" t="inlineStr">
        <is>
          <t>UMAPHENDULA UTHE UYAHLALA E:
#ADM2#
[OQHUBAYO: SIYACELA UKHETHE ISIGABA ESIQONDILEYO KULEZI EZIBHALWE PHANSI. KHETHA EYODWA]
1)CHIRUMHANZU
2)GOKWE NORTH
3)GOKWE SOUTH
4)GOKWE SOUTH URBAN
5)GWERU
6)GWERU URBAN
7)KWEKWE
8)KWEKWE URBAN
9)MBERENGWA
10)REDCLIFF
11)SHURUGWI
12)SHURUGWI TOWN
13)ZVISHAVANE
14)ZVISHAVANE URBAN
15)KAZI
16)WALILE</t>
        </is>
      </c>
      <c r="I44" s="566">
        <f>LEN(H44)</f>
        <v/>
      </c>
      <c r="J44" s="123" t="inlineStr">
        <is>
          <t>Single Choice</t>
        </is>
      </c>
      <c r="K44" s="566" t="inlineStr">
        <is>
          <t>NA</t>
        </is>
      </c>
      <c r="L44" s="566" t="inlineStr">
        <is>
          <t>NA</t>
        </is>
      </c>
      <c r="M44" s="566" t="inlineStr">
        <is>
          <t>Form Type - Dropdown
IsDemographic - ADM2</t>
        </is>
      </c>
      <c r="N44" s="71" t="inlineStr">
        <is>
          <t>1-14 = quotareached
15,16 = Ineligible</t>
        </is>
      </c>
      <c r="O44" s="138" t="n"/>
      <c r="P44" s="138" t="n"/>
      <c r="Q44" s="386" t="n"/>
      <c r="R44" s="422" t="n"/>
      <c r="S44" s="72" t="n"/>
      <c r="T44" s="130" t="n"/>
      <c r="U44" s="92" t="n"/>
      <c r="V44" s="93" t="n"/>
      <c r="W44" s="92" t="n"/>
      <c r="X44" s="3" t="n"/>
      <c r="Z44" s="12" t="n"/>
      <c r="AA44" s="54" t="n"/>
      <c r="AD44" s="6" t="n"/>
    </row>
    <row r="45" ht="187.5" customFormat="1" customHeight="1" s="5">
      <c r="A45" s="247">
        <f>A44+1</f>
        <v/>
      </c>
      <c r="B45" s="120" t="inlineStr">
        <is>
          <t>quotareached</t>
        </is>
      </c>
      <c r="C45" s="67" t="inlineStr">
        <is>
          <t>quotareached</t>
        </is>
      </c>
      <c r="D45" s="568" t="inlineStr">
        <is>
          <t>[OPERATOR: DO NOT READ. ANSWER QUESTION BELOW.]
THIS RESPONDENT REPORTED THEY LIVE IN:
{ADM1}
{ADM2}
1)THE GOAL FOR THIS LOCATION HAS BEEN ACHIEVED - END SURVEY
2)THE GOAL FOR THIS LOCATION IS OPEN - CONTINUE SURVEY</t>
        </is>
      </c>
      <c r="E45" s="566">
        <f>LEN(D45)</f>
        <v/>
      </c>
      <c r="F45" s="568" t="inlineStr">
        <is>
          <t>[ARI KUITISA ONGORORO: USAVERENGA. INGOPINDURA MUBVUNZO URI NECHEPASI.]
ARI KUPINDURA UYU ATI ANOGARA MU:
{ADM1}
{ADM2}
1)CHINANGWA CHENZVIMBO IYI CHAKAZADZISWA- PETA UMISE TSVAKURUDZO
2)CHINANGWA CHENZVIMBO IYI HACHISATI CHAZADZISWA - ENDERERA MBERI NETSVAKURUDZO</t>
        </is>
      </c>
      <c r="G45" s="566">
        <f>LEN(F45)</f>
        <v/>
      </c>
      <c r="H45" s="568" t="inlineStr">
        <is>
          <t>[OQHUBAYO: UNGABALI. PHENDULA UMBUZO OPHANSI.]
UMAPHENDULA LO WABIKA UKUTHI UYAHLALA E:
{ADM1}
{ADM2}
1)INJONGO YENDAWO LE IFEZIWE - PHETHA INCWAYISISO
2)INJONGO YENDAWO LE IVULEKILE - QHUBEKA NGENCWAYISISO</t>
        </is>
      </c>
      <c r="I45" s="566">
        <f>LEN(H45)</f>
        <v/>
      </c>
      <c r="J45" s="123" t="inlineStr">
        <is>
          <t>Single Choice</t>
        </is>
      </c>
      <c r="K45" s="566" t="inlineStr">
        <is>
          <t>NA</t>
        </is>
      </c>
      <c r="L45" s="566" t="inlineStr">
        <is>
          <t>NA</t>
        </is>
      </c>
      <c r="M45" s="566" t="inlineStr">
        <is>
          <t>Form Type - Buttons</t>
        </is>
      </c>
      <c r="N45" s="71" t="inlineStr">
        <is>
          <t>1 = End Poll Quota Reached
2 = hh_agricactivity</t>
        </is>
      </c>
      <c r="O45" s="138" t="n"/>
      <c r="P45" s="138" t="n"/>
      <c r="Q45" s="354" t="inlineStr">
        <is>
          <t>If the quota has not been reached, continue the questionnaire. If it has, end of survey.</t>
        </is>
      </c>
      <c r="R45" s="394" t="n"/>
      <c r="S45" s="72" t="inlineStr">
        <is>
          <t>resp_agree = 1 
resp_age = 18-100</t>
        </is>
      </c>
      <c r="T45" s="73" t="n"/>
      <c r="U45" s="92" t="n">
        <v>2.284250020980835</v>
      </c>
      <c r="V45" s="93">
        <f>1</f>
        <v/>
      </c>
      <c r="W45" s="92">
        <f>U45*V45</f>
        <v/>
      </c>
      <c r="X45" s="3" t="n"/>
      <c r="Z45" s="7" t="inlineStr">
        <is>
          <t>no</t>
        </is>
      </c>
      <c r="AA45" s="54" t="n"/>
      <c r="AD45" s="6" t="n"/>
    </row>
    <row r="46" ht="263.25" customFormat="1" customHeight="1" s="5" thickBot="1">
      <c r="A46" s="247">
        <f>A45+1</f>
        <v/>
      </c>
      <c r="B46" s="332" t="inlineStr">
        <is>
          <t>hh_agricactivity</t>
        </is>
      </c>
      <c r="C46" s="333" t="inlineStr">
        <is>
          <t>hh_agricactivity</t>
        </is>
      </c>
      <c r="D46" s="569" t="inlineStr">
        <is>
          <t xml:space="preserve">THE RESPONDENT REPORTED THAT THE MAIN AGRICULTURAL ACTIVITY FOR THE HOUSEHOLD IS:
#hh_agricactivity#
[OPERATOR: PLEASE SELECT THE CORRESPONDING ANSWER FROM THE LIST BELOW. SINGLE SELECTION]
1)Yes - crop production 
2)Yes - livestock production
3)Yes - both crop and livestock production 
4)No
5)DON'T KNOW
6)REFUSED </t>
        </is>
      </c>
      <c r="E46" s="570">
        <f>LEN(D46)</f>
        <v/>
      </c>
      <c r="F46" s="569" t="inlineStr">
        <is>
          <t>ARI KUPINDURA ATI ZVINONYANYA KUITWA NEMHURI PAKURIMA KU:
#hh_agricactivity#
[ARI KUITISA ONGORORO: TAPOTA SARUDZAI MHINDURO CHAIYO KUBVA KUNE DZAKANYORWA PASI. [MHINDURO IMWE CHETE]
1)Hongu - kurima zvirimwa
2)Hongu - kuchengeta zvipfuyo
3)Hongu - zvose kurima zvirimwa nekuchengeta zvipfuyo
4)Kwete
5)HANDIZIVI
6)ARAMBA</t>
        </is>
      </c>
      <c r="G46" s="570">
        <f>LEN(F46)</f>
        <v/>
      </c>
      <c r="H46" s="568" t="inlineStr">
        <is>
          <t>OPHENDULAYO UTHE UMSEBENZI OYIMQOKA WEKULIMA OWENZIWA NGEMUZI NGOWEKHU:
#hh_agricactivity#
[OQHUBAYO: SIYACELA UKHETHE IMPHENDULO EQONDILEYO KULEZI EZIBHALWE PHANSI. KHETHA EYODWA]
1)Yebo- Ukulima izilimo 
2)Yebo-Ukufuya izifuyo
3)Yebo- Konke ukulima izilimo lokufuya izifuyo
4)Hatshi
5)KAZI
6)WALILE</t>
        </is>
      </c>
      <c r="I46" s="570">
        <f>LEN(H46)</f>
        <v/>
      </c>
      <c r="J46" s="110" t="inlineStr">
        <is>
          <t>Single Choice</t>
        </is>
      </c>
      <c r="K46" s="334" t="inlineStr">
        <is>
          <t>NA</t>
        </is>
      </c>
      <c r="L46" s="334" t="inlineStr">
        <is>
          <t>NA</t>
        </is>
      </c>
      <c r="M46" s="334" t="inlineStr">
        <is>
          <t>Form Type - Buttons</t>
        </is>
      </c>
      <c r="N46" s="337" t="inlineStr">
        <is>
          <t>1-4 = resp_id
5-6 = Ineligible</t>
        </is>
      </c>
      <c r="O46" s="139" t="n"/>
      <c r="P46" s="139" t="n"/>
      <c r="Q46" s="387" t="inlineStr">
        <is>
          <t xml:space="preserve">if hh_agricactivity = 1-4, go to hh_gender. Otherwise, the respondent is ineligible. </t>
        </is>
      </c>
      <c r="R46" s="396" t="n"/>
      <c r="S46" s="111" t="inlineStr">
        <is>
          <t xml:space="preserve">resp_agree = 1 
resp_age = 18-100
quotareached = 2 </t>
        </is>
      </c>
      <c r="T46" s="112" t="n"/>
      <c r="U46" s="92" t="n">
        <v>31.37237739562988</v>
      </c>
      <c r="V46" s="93">
        <f>1</f>
        <v/>
      </c>
      <c r="W46" s="92">
        <f>U46*V46</f>
        <v/>
      </c>
      <c r="X46" s="3" t="n"/>
      <c r="Z46" s="12" t="inlineStr">
        <is>
          <t>yes</t>
        </is>
      </c>
      <c r="AA46" s="54" t="n"/>
      <c r="AD46" s="6" t="n"/>
    </row>
    <row r="47" ht="19.5" customFormat="1" customHeight="1" s="5" thickBot="1">
      <c r="A47" s="534" t="inlineStr">
        <is>
          <t>B. GENERAL HOUSEHOLD INFORMATION</t>
        </is>
      </c>
      <c r="B47" s="577" t="n"/>
      <c r="C47" s="577" t="n"/>
      <c r="D47" s="577" t="n"/>
      <c r="E47" s="577" t="n"/>
      <c r="F47" s="577" t="n"/>
      <c r="G47" s="577" t="n"/>
      <c r="H47" s="577" t="n"/>
      <c r="I47" s="577" t="n"/>
      <c r="J47" s="577" t="n"/>
      <c r="K47" s="577" t="n"/>
      <c r="L47" s="577" t="n"/>
      <c r="M47" s="577" t="n"/>
      <c r="N47" s="577" t="n"/>
      <c r="O47" s="577" t="n"/>
      <c r="P47" s="577" t="n"/>
      <c r="Q47" s="577" t="n"/>
      <c r="R47" s="577" t="n"/>
      <c r="S47" s="577" t="n"/>
      <c r="T47" s="578" t="n"/>
      <c r="U47" s="58" t="n"/>
      <c r="V47" s="57" t="n"/>
      <c r="W47" s="58" t="n"/>
      <c r="X47" s="3" t="n"/>
      <c r="Z47" s="7" t="n"/>
      <c r="AA47" s="54" t="n"/>
      <c r="AD47" s="6" t="n"/>
    </row>
    <row r="48" ht="150" customFormat="1" customHeight="1" s="260">
      <c r="A48" s="340">
        <f>A46+1</f>
        <v/>
      </c>
      <c r="B48" s="339" t="inlineStr">
        <is>
          <t>resp_id</t>
        </is>
      </c>
      <c r="C48" s="340" t="inlineStr">
        <is>
          <t>resp_id</t>
        </is>
      </c>
      <c r="D48" s="341" t="inlineStr">
        <is>
          <t>Are you the head of household? 
[OPERATOR: SINGLE RESPONSE.]
1)YES
2)NO
3)DON'T KNOW
4)REFUSED</t>
        </is>
      </c>
      <c r="E48" s="315">
        <f>LEN(D48)</f>
        <v/>
      </c>
      <c r="F48" s="342" t="inlineStr">
        <is>
          <t>Ndimi here musoro wemhuri? 
[ARI KUITISA ONGORORO: MHINDURO IMWE CHETE.]
1)HONGU
2)KWETE
3)HANDIZIVI
4)ARAMBA</t>
        </is>
      </c>
      <c r="G48" s="315">
        <f>LEN(F48)</f>
        <v/>
      </c>
      <c r="H48" s="342" t="inlineStr">
        <is>
          <t>Ungabe unguwe inhloko yomuzi? 
[OQHUBAYO: IMPENDULO EYODWA.]
1)YEBO
2)HATSHI
3)KAZI
4)WALILE</t>
        </is>
      </c>
      <c r="I48" s="315">
        <f>LEN(H48)</f>
        <v/>
      </c>
      <c r="J48" s="343" t="inlineStr">
        <is>
          <t>Single Choice</t>
        </is>
      </c>
      <c r="K48" s="315" t="inlineStr">
        <is>
          <t>NA</t>
        </is>
      </c>
      <c r="L48" s="315" t="inlineStr">
        <is>
          <t>NA</t>
        </is>
      </c>
      <c r="M48" s="315" t="inlineStr">
        <is>
          <t>Form Type - Buttons</t>
        </is>
      </c>
      <c r="N48" s="326" t="inlineStr">
        <is>
          <t>1 = hh_education
2-4 = hh_gender</t>
        </is>
      </c>
      <c r="O48" s="338" t="n"/>
      <c r="P48" s="338" t="n"/>
      <c r="Q48" s="338" t="n"/>
      <c r="R48" s="423" t="n"/>
      <c r="S48" s="267" t="n"/>
      <c r="T48" s="268" t="n"/>
      <c r="U48" s="269" t="n"/>
      <c r="V48" s="258" t="n"/>
      <c r="W48" s="269" t="n"/>
      <c r="X48" s="259" t="n"/>
      <c r="Z48" s="261" t="n"/>
      <c r="AA48" s="256" t="n"/>
      <c r="AD48" s="270" t="n"/>
    </row>
    <row r="49" ht="206.25" customFormat="1" customHeight="1" s="5">
      <c r="A49" s="247">
        <f>A48+1</f>
        <v/>
      </c>
      <c r="B49" s="59" t="inlineStr">
        <is>
          <t>hh_gender</t>
        </is>
      </c>
      <c r="C49" s="67" t="inlineStr">
        <is>
          <t>hh_gender</t>
        </is>
      </c>
      <c r="D49" s="571" t="inlineStr">
        <is>
          <t>THE RESPONDENT REPORTED THAT THE  GENDER OF THE HEAD OF HOUSEHOLD IS:
#HH_Gender#
[OPERATOR: PLEASE SELECT THE CORRESPONDING ANSWER FROM THE LIST BELOW. SINGLE SELECTION]
1)Male 
2)Female
3)DON'T KNOW
4)REFUSED</t>
        </is>
      </c>
      <c r="E49" s="564">
        <f>LEN(D49)</f>
        <v/>
      </c>
      <c r="F49" s="572" t="inlineStr">
        <is>
          <t>THE RESPONDENT REPORTED THAT THE  GENDER OF THE HEAD OF HOUSEHOLD IS:
#HH_Gender#
[OPERATOR: PLEASE SELECT THE CORRESPONDING ANSWER FROM THE LIST BELOW. SINGLE SELECTION]
1)Murume
2)Mukadzi
3)HANDIZIVI
4)ARAMBA</t>
        </is>
      </c>
      <c r="G49" s="564">
        <f>LEN(F49)</f>
        <v/>
      </c>
      <c r="H49" s="572" t="inlineStr">
        <is>
          <t>THE RESPONDENT REPORTED THAT THE  GENDER OF THE HEAD OF HOUSEHOLD IS:
#HH_Gender#
[OPERATOR: PLEASE SELECT THE CORRESPONDING ANSWER FROM THE LIST BELOW. SINGLE SELECTION]
1)Ngowesilisa
2)Ngowesifazana
3)KAZI
4)WALILE</t>
        </is>
      </c>
      <c r="I49" s="564">
        <f>LEN(H49)</f>
        <v/>
      </c>
      <c r="J49" s="67" t="inlineStr">
        <is>
          <t>Single Choice</t>
        </is>
      </c>
      <c r="K49" s="564" t="inlineStr">
        <is>
          <t>NA</t>
        </is>
      </c>
      <c r="L49" s="564" t="inlineStr">
        <is>
          <t>NA</t>
        </is>
      </c>
      <c r="M49" s="564" t="inlineStr">
        <is>
          <t>Form Type - Buttons</t>
        </is>
      </c>
      <c r="N49" s="63" t="inlineStr">
        <is>
          <t>1-4 = hh_education</t>
        </is>
      </c>
      <c r="O49" s="138" t="n"/>
      <c r="P49" s="138" t="n"/>
      <c r="Q49" s="354" t="inlineStr">
        <is>
          <t>if hh_gender = 1-4, go to hh_education.</t>
        </is>
      </c>
      <c r="R49" s="394" t="n"/>
      <c r="S49" s="64" t="inlineStr">
        <is>
          <t>resp_age = 18-100
hh_agricactivity = 1 | 2 | 3 | 4
quotareached = 2</t>
        </is>
      </c>
      <c r="T49" s="68" t="n"/>
      <c r="U49" s="92" t="n">
        <v>10.08573150634766</v>
      </c>
      <c r="V49" s="93">
        <f>1</f>
        <v/>
      </c>
      <c r="W49" s="92">
        <f>U49*V49</f>
        <v/>
      </c>
      <c r="X49" s="3" t="n"/>
      <c r="Z49" s="7" t="inlineStr">
        <is>
          <t>yes</t>
        </is>
      </c>
      <c r="AA49" s="54" t="n"/>
      <c r="AD49" s="6" t="n"/>
    </row>
    <row r="50" ht="281.25" customFormat="1" customHeight="1" s="5">
      <c r="A50" s="503">
        <f>A49+1</f>
        <v/>
      </c>
      <c r="B50" s="345" t="inlineStr">
        <is>
          <t>hh_education</t>
        </is>
      </c>
      <c r="C50" s="343" t="inlineStr">
        <is>
          <t>hh_education</t>
        </is>
      </c>
      <c r="D50" s="573" t="inlineStr">
        <is>
          <t>THE RESPONDENT REPORTED THAT THE EDUCATIONAL LEVEL ATTAINED BY THE HEAD OF HOUSEHOLD IS:
#HH_Education#
[OPERATOR: PLEASE SELECT THE CORRESPONDING ANSWER FROM THE LIST BELOW. SINGLE SELECTION]
1)None or did not complete primary school
2)Completed primary school
3)Completed secondary school
4)Completed higher education [University / College] degree
5)Religious or informal education only
6)DON'T KNOW
7)REFUSED</t>
        </is>
      </c>
      <c r="E50" s="566">
        <f>LEN(D50)</f>
        <v/>
      </c>
      <c r="F50" s="573" t="inlineStr">
        <is>
          <t>THE RESPONDENT REPORTED THAT THE EDUCATIONAL LEVEL ATTAINED BY THE HEAD OF HOUSEHOLD IS:
#HH_Education#
[OPERATOR: PLEASE SELECT THE CORRESPONDING ANSWER FROM THE LIST BELOW. SINGLE SELECTION]
1)Haana kana kuti haana kupedza zvidzidzo zvepurayimari
2)Akapedza zvidzidzo zvepurayimari
3)Akapedza zvidzidzo zvesekondari
4)Akapedza zvedzidzo zvepamusoro zvedhigirii re [Yunivhesiti / Koreji]
5)Akangoitawo zvidzidzo zvechitendero kana kuti zvimwewo 
6)HANDIZIVI
7)ARAMBA</t>
        </is>
      </c>
      <c r="G50" s="566">
        <f>LEN(F50)</f>
        <v/>
      </c>
      <c r="H50" s="573" t="inlineStr">
        <is>
          <t>THE RESPONDENT REPORTED THAT THE EDUCATIONAL LEVEL ATTAINED BY THE HEAD OF HOUSEHOLD IS:
#HH_Education#
[OPERATOR: PLEASE SELECT THE CORRESPONDING ANSWER FROM THE LIST BELOW. SINGLE SELECTION]
1)Akula kumbe kaphutshanga izifundo zaphansi
2)Waphutsha izinga lezifundo zaphansi
3)Waphutsha izinga lezifundo seSecondary
4)Waphutsha izifundo zezinga lokuqeqetsha [Nyuvesi/iKolitshi]i-degree
5)Izifundo zenkolokumbe ezingekho emthethweni
6)KAZI
7)WALILE</t>
        </is>
      </c>
      <c r="I50" s="316">
        <f>LEN(H50)</f>
        <v/>
      </c>
      <c r="J50" s="346" t="inlineStr">
        <is>
          <t>Single Choice</t>
        </is>
      </c>
      <c r="K50" s="316" t="inlineStr">
        <is>
          <t>NA</t>
        </is>
      </c>
      <c r="L50" s="316" t="inlineStr">
        <is>
          <t>NA</t>
        </is>
      </c>
      <c r="M50" s="316" t="inlineStr">
        <is>
          <t>Form Type - Buttons</t>
        </is>
      </c>
      <c r="N50" s="347" t="inlineStr">
        <is>
          <t>1-7 = o_hh_wealth_light</t>
        </is>
      </c>
      <c r="O50" s="138" t="n"/>
      <c r="P50" s="138" t="n"/>
      <c r="Q50" s="354" t="inlineStr">
        <is>
          <t>if hh_education = 1-7, go to hh_wealth.</t>
        </is>
      </c>
      <c r="R50" s="394" t="n"/>
      <c r="S50" s="72" t="inlineStr">
        <is>
          <t>resp_age = 18-100
hh_agricactivity = 1 | 2 | 3 | 4
quotareached = 2</t>
        </is>
      </c>
      <c r="T50" s="112" t="n"/>
      <c r="U50" s="92" t="n">
        <v>12.89403438568115</v>
      </c>
      <c r="V50" s="93">
        <f>1</f>
        <v/>
      </c>
      <c r="W50" s="92">
        <f>U50*V50</f>
        <v/>
      </c>
      <c r="X50" s="3" t="n"/>
      <c r="Z50" s="7" t="inlineStr">
        <is>
          <t>yes</t>
        </is>
      </c>
      <c r="AA50" s="54" t="n"/>
      <c r="AD50" s="6" t="inlineStr">
        <is>
          <t>Changed answer option 5</t>
        </is>
      </c>
    </row>
    <row r="51" ht="225" customFormat="1" customHeight="1" s="5">
      <c r="A51" s="503">
        <f>A50+1</f>
        <v/>
      </c>
      <c r="B51" s="348" t="inlineStr">
        <is>
          <t>o_hh_wealth_light</t>
        </is>
      </c>
      <c r="C51" s="350" t="inlineStr">
        <is>
          <t>o_hh_wealth_light</t>
        </is>
      </c>
      <c r="D51" s="328" t="inlineStr">
        <is>
          <t>What is the main source of light in your dwelling?
[OPERATOR: SINGLE RESPONSE.]
1)Electricity [from generator or electrical grid]
2)Candle
3)Paraffin or Petrol lamp
4)Lamp with batteries
5)Solar panel
6)Other [no electric supply to the house]
7)DON'T KNOW
8)REFUSED</t>
        </is>
      </c>
      <c r="E51" s="316">
        <f>LEN(D51)</f>
        <v/>
      </c>
      <c r="F51" s="328" t="inlineStr">
        <is>
          <t>Chii chamunoshandisa kuti muwane mwenje pamunogara?
[ARI KUITISA ONGORORO: MHINDURO IMWE CHETE.]
1)Magetsi [kubva kujenareta kana kuti kutambo dzemagetsi]
2)Kenduru
3)Parafini kana rambe rePeturu
4)Tochi
5)KuSolar
6)Zvimwewo [hapana kwatinowana magetsi pamba]
7)HANDIZIVI
8)ARAMBA</t>
        </is>
      </c>
      <c r="G51" s="323">
        <f>LEN(F51)</f>
        <v/>
      </c>
      <c r="H51" s="328" t="inlineStr">
        <is>
          <t>Lapho ohlala khona yikuphi okusetshenziswayo ukukhanyisa?
[OQHUBAYO: IMPENDULO EYODWA.]
1)Amagetsi [aphuma kujenaretha kumbe lapho okulungiswa khona amagetsi]
2)Ikhandlela
3)Isibane samafutha epharafini kumbe iphethulo
4)Isibane esisebenzisa amabhathiri
5)Isola
6)Okunye [akulamagetsi asetshenziswa endlini]
7)KAZI
8)WALILE</t>
        </is>
      </c>
      <c r="I51" s="323">
        <f>LEN(H51)</f>
        <v/>
      </c>
      <c r="J51" s="349" t="inlineStr">
        <is>
          <t>Single Choice</t>
        </is>
      </c>
      <c r="K51" s="323" t="inlineStr">
        <is>
          <t>NA</t>
        </is>
      </c>
      <c r="L51" s="323" t="inlineStr">
        <is>
          <t>NA</t>
        </is>
      </c>
      <c r="M51" s="323" t="inlineStr">
        <is>
          <t>Form Type - Buttons</t>
        </is>
      </c>
      <c r="N51" s="325" t="inlineStr">
        <is>
          <t>1-8= hh_residencetype</t>
        </is>
      </c>
      <c r="O51" s="140" t="n"/>
      <c r="P51" s="140" t="n"/>
      <c r="Q51" s="287" t="inlineStr">
        <is>
          <t>For any response, go to [income_main OR other optional question]</t>
        </is>
      </c>
      <c r="R51" s="424" t="n"/>
      <c r="S51" s="72" t="inlineStr">
        <is>
          <t>resp_age = 18-100
hh_agricactivity = 1 | 2 | 3 | 4
quotareached = 2</t>
        </is>
      </c>
      <c r="T51" s="130" t="n"/>
      <c r="U51" s="58" t="n">
        <v>13.76013851165771</v>
      </c>
      <c r="V51" s="57">
        <f>1</f>
        <v/>
      </c>
      <c r="W51" s="58">
        <f>U51*V51</f>
        <v/>
      </c>
      <c r="X51" s="3" t="n"/>
      <c r="Z51" s="7" t="inlineStr">
        <is>
          <t>yes</t>
        </is>
      </c>
      <c r="AA51" s="54" t="n"/>
      <c r="AD51" s="8" t="inlineStr">
        <is>
          <t xml:space="preserve">Change in question text + answer option 1 </t>
        </is>
      </c>
    </row>
    <row r="52" ht="409.5" customFormat="1" customHeight="1" s="5">
      <c r="A52" s="503">
        <f>A51+1</f>
        <v/>
      </c>
      <c r="B52" s="160" t="inlineStr">
        <is>
          <t>hh_residencetype</t>
        </is>
      </c>
      <c r="C52" s="69" t="inlineStr">
        <is>
          <t>hh_residencetype</t>
        </is>
      </c>
      <c r="D52" s="189" t="inlineStr">
        <is>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is>
      </c>
      <c r="E52" s="274">
        <f>LEN(D52)</f>
        <v/>
      </c>
      <c r="F52" s="189" t="inlineStr">
        <is>
          <t>Ndeapi mashoko pane anotevera anonyatsotsanangura mhando yamagariro aunoita?
[ARI KUITISA ONGORORO: VERENGA MHINDURO DZIRIPO. MHINDURO IMWE CHETE.]
[ZVEKUYEUKA: KANA ARIKUPINDURA ANGORI KURE NEMHURI KWEKANGUVA NEKUDA KWEBASA (KWEMWEDZI IRI PASI PE-6)KANA ARI KURE KUMAFURO NEZVIPFUYO, IVA NECHOKWADI CHEKUTI URI KUREVA MAGARIRO EMHURI YAKE KUMUSHA KWAANOBVA.]
1)Mugari wenguva dzose -  wange uri kugara mudungu kana kuti muguta kwenguva inopfuura makore maviri uye iyi ndiyo nzvimbo yaunoti ndoyaunogara nguva dzose
2)Uchangobva kutama zvisiri zvekumanikidzirwa - wange uri kugara munzvimbo iyi kwenguva iri pasi pemakore maviri uye vakatamirako nekuzvidira nekuda kwebasa kana mhuri kana zvimwewo zvikonzero zvisiri zvemhirizhonga kana zvenjodzi dzinongoitika dzoga
3)Akadzoka - wakadzoka kunzvimbo iyi mukati memakore maviri apfuura mushure mekunge wamanikidzirwa kubvamo uchinogara kumwe uchitiza mhirizhonga kana njodzi dzinongoitika dzoga [kana akadzoka munzvimbo iyi kwenguva inopfuura makore 2 anenge ava kuonekwa semugari wenguva dzose]
4)Mugari Akamanikidzirwa Kutiza Kwaaiva - vakamanikidzirwa kutiza kubva mudunhu kana kuti guta ravaigara nekuda kwemhirizhonga kana kuti njodzi dzinongoitika dzoga uye iko zvino wave kugara semunhu akamanikidzirwa kutiza kwaaiva
5)Mupoteri - vakamanikidzirwa kutiza nyika yavaigara nekuda kwemhirizhonga kana kuti njodzi dzinongoitika dzoga uye iko zvino wave kugara semupoteri munzvimbo yauri
6)HANDIZIVI
7)ARAMBA</t>
        </is>
      </c>
      <c r="G52" s="274">
        <f>LEN(F52)</f>
        <v/>
      </c>
      <c r="H52" s="240" t="inlineStr">
        <is>
          <t>Yikhuphi kokokuhlala lokhu okuchaza ngcono ukuhlala kwakho?
[OQHUBAYO: BALELA PHEZULU IMPENDULO. IMPENDULO EYODWA]
[ISIPHAKAMISO: NXA OPHENDULAYO ENGEKHO EMUZINI OKWESIKHATHI ESITHILE (PHANSI KWENYANGA EZINGU 6)KUMBE ENGOHAMBA ESIYA ENDAWENI EZITHILE NGESIKHATHI ESITHILE, QINISEKA UKUTHI UYAGCIZELELA EMUZINI WAKHE LAPHO OYABE EHLALA KHONA.]
1)Uhlala khona- uhlala esabelweni/kudolobho lakho okweminyaka eyedlula emibili njalo lapha yikho ohlala khona
2)Osanda kufika esuka lapho abanjwa ngamandla ukusuka-ubuhlala endaweni lapho ohlala khona okweminyaka ephansi kwemibili njalo wafika lapho ngokuzikhethela ukuzosebenza/imuli kumbe ezinye izizatho ezangasozokungezwani kumbe ezokubhijiswa kwemvelo
3)Umaphenduka-uphenduke lapha ohlala khona kuminyaka emibili edluleyo ngemva kokubanjwa ngamandla ukusuka usiya kwelinye izwe ubalekela ezokulwa kumbe umonakalo wemvelo [nxa ukuphenduka kungemva kweminyaka emibili umaphendula ubizwa njengomhlali walapho]
4)Umuntu okhitshwe endaweni yokuhlala - wabanjwa ngamandla ukubaleka esabelweni kumbe edolobheni obuhlala kilo ngenxa yokulwa kumbe umonakalo wemvelo njalo sungumuntu okhitshwe endaweni yokuhlala yakho lapho osuhlala khona.
5)Isiphepheli- wabanjwa ngamandla ukubaleka ezweni lakho ngenxa yokulwa kumbe umonakalo wemvelo njalo ungusiphepheli lapho osuhlala khona
6)KAZI
7)WALILE</t>
        </is>
      </c>
      <c r="I52" s="70">
        <f>LEN(H52)</f>
        <v/>
      </c>
      <c r="J52" s="69" t="inlineStr">
        <is>
          <t>Single Choice</t>
        </is>
      </c>
      <c r="K52" s="70" t="inlineStr">
        <is>
          <t>NA</t>
        </is>
      </c>
      <c r="L52" s="70" t="inlineStr">
        <is>
          <t>NA</t>
        </is>
      </c>
      <c r="M52" s="70" t="inlineStr">
        <is>
          <t>Form Type - Buttons</t>
        </is>
      </c>
      <c r="N52" s="131" t="inlineStr">
        <is>
          <t>1-7 = hh_size</t>
        </is>
      </c>
      <c r="O52" s="144" t="n"/>
      <c r="P52" s="144" t="n"/>
      <c r="Q52" s="388" t="inlineStr">
        <is>
          <t xml:space="preserve"> </t>
        </is>
      </c>
      <c r="R52" s="388" t="n"/>
      <c r="S52" s="72" t="inlineStr">
        <is>
          <t>resp_age = 18-100
hh_agricactivity = 1 | 2 | 3 | 4
quotareached = 2</t>
        </is>
      </c>
      <c r="T52" s="68" t="n"/>
      <c r="U52" s="58" t="n">
        <v>30.64618873596191</v>
      </c>
      <c r="V52" s="57">
        <f>1</f>
        <v/>
      </c>
      <c r="W52" s="58">
        <f>U52*V52</f>
        <v/>
      </c>
      <c r="X52" s="3" t="n"/>
      <c r="Z52" s="7" t="inlineStr">
        <is>
          <t>no</t>
        </is>
      </c>
      <c r="AA52" s="54" t="n"/>
      <c r="AD52" s="6" t="n"/>
    </row>
    <row r="53" ht="131.25" customFormat="1" customHeight="1" s="5">
      <c r="A53" s="503">
        <f>A52+1</f>
        <v/>
      </c>
      <c r="B53" s="160" t="inlineStr">
        <is>
          <t>hh_size</t>
        </is>
      </c>
      <c r="C53" s="165" t="inlineStr">
        <is>
          <t>hh_size</t>
        </is>
      </c>
      <c r="D53" s="328"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53" s="323">
        <f>LEN(D53)</f>
        <v/>
      </c>
      <c r="F53" s="328" t="inlineStr">
        <is>
          <t>Muri vangani mumhuri menyu?
[ZANO: KUTI MUNZI MHURI IMWE, MUNOFANIRA KUNGE MUCHIGARA PAMUSHA MUMWE CHETE, MUCHISHANDISA ZVINHU ZVIMWE CHETE UYE MUCHIDYIRA MUNDIRO IMWE.]</t>
        </is>
      </c>
      <c r="G53" s="323">
        <f>LEN(F53)</f>
        <v/>
      </c>
      <c r="H53" s="328" t="inlineStr">
        <is>
          <t>Bangaki abantu abayingxenye yomuzi wakho?
[ICEBO: UKUBA YINGXENYE YOMUZI OFANAYO, AMALUNGA KUMELE AHLALE ENDLINI EFANAYO, BEYABELANE INSIZAKUSEBENZA EZIFANAYO NJALO BAPHEKE MBIZANYE.]</t>
        </is>
      </c>
      <c r="I53" s="323">
        <f>LEN(H53)</f>
        <v/>
      </c>
      <c r="J53" s="349" t="inlineStr">
        <is>
          <t>Range</t>
        </is>
      </c>
      <c r="K53" s="323" t="inlineStr">
        <is>
          <t>NA</t>
        </is>
      </c>
      <c r="L53" s="323" t="inlineStr">
        <is>
          <t>NA</t>
        </is>
      </c>
      <c r="M53" s="323" t="inlineStr">
        <is>
          <t>Form Type - TextBox</t>
        </is>
      </c>
      <c r="N53" s="352" t="inlineStr">
        <is>
          <t>1-50 = hh_asset_prod
88-88 = hh_asset_prod
99-99 = hh_asset_prod</t>
        </is>
      </c>
      <c r="O53" s="144" t="n"/>
      <c r="P53" s="144" t="n"/>
      <c r="Q53" s="388" t="inlineStr">
        <is>
          <t xml:space="preserve"> </t>
        </is>
      </c>
      <c r="R53" s="388" t="n"/>
      <c r="S53" s="72" t="inlineStr">
        <is>
          <t>resp_age = 18-100
hh_agricactivity = 1 | 2 | 3 | 4
quotareached = 2</t>
        </is>
      </c>
      <c r="T53" s="73" t="n"/>
      <c r="U53" s="58" t="n">
        <v>15.21184825897217</v>
      </c>
      <c r="V53" s="57">
        <f>1</f>
        <v/>
      </c>
      <c r="W53" s="58">
        <f>U53*V53</f>
        <v/>
      </c>
      <c r="X53" s="3" t="n"/>
      <c r="Z53" s="7" t="inlineStr">
        <is>
          <t>no</t>
        </is>
      </c>
      <c r="AA53" s="54" t="n"/>
      <c r="AD53" s="6" t="n"/>
    </row>
    <row r="54" ht="281.25" customFormat="1" customHeight="1" s="5">
      <c r="A54" s="503">
        <f>A53+1</f>
        <v/>
      </c>
      <c r="B54" s="160" t="inlineStr">
        <is>
          <t>hh_asset_prod</t>
        </is>
      </c>
      <c r="C54" s="285" t="inlineStr">
        <is>
          <t>hh_asset_prod_
1) hh_asset_prod_process
2) hh_asset_prod_farmmach
3) hh_asset_prod_sewing
4) hh_asset_prod_taxi
5) hh_asset_prod_truck
6) hh_asset_prod_other
7) hh_asset_prod_none
8) hh_asset_prod_dk
9) hh_asset_prod_ref</t>
        </is>
      </c>
      <c r="D54" s="328" t="inlineStr">
        <is>
          <t>Does your household own any of the following production assets? 
[OPERATOR: MULTIPLE RESPONSES POSSIBLE. READ ANSWER OPTIONS OUT LOUD.]
1)Processing assets [e.g. grinding/crushing machine/mill/oil press]
2)Farm machinery [e.g. tractor/plough/sickle. etc.]
3)Sewing machine or weaving tool 
4)Taxi
5)Truck
6)Other productive machines or assets
7)No productive machines or assets
8)DON'T KNOW
9)REFUSED</t>
        </is>
      </c>
      <c r="E54" s="323">
        <f>LEN(D54)</f>
        <v/>
      </c>
      <c r="F54" s="328" t="inlineStr">
        <is>
          <t>Mhuri yenyu ine here chero chimwe pamidziyo yebasa inotevera? 
[ARI KUITISA ONGORORO: PANOGONA KUPIWA MHINDURO DZAKAWANDA. VERENGA MHINDURO DZIRIPO ZVINONZWIKA.]
1)Michina [yakadai sezvigayo/michina inopwanya zvinhu neinosvina mafuta]
2)Michina yekurimisa [yakadai setarakita/gejo/yekuchekesa zvirimwa nemimwewo]
3)Muchina wekusonesa kana wekurukisa 
4)Tekisi
5)Rori
6)Mimwewo michina yebasa kana midziyo
7)Hapana michina yebasa kana midziyo
8)HANDIZIVI
9)ARAMBA</t>
        </is>
      </c>
      <c r="G54" s="323">
        <f>LEN(F54)</f>
        <v/>
      </c>
      <c r="H54" s="328" t="inlineStr">
        <is>
          <t>Kungabe abomuzi wakho belempahla zokulungisa ezilandelayo? 
[OQHUBAYO: IMPENDULO EZINENGI ZINGAPHIWA. BALELA PHEZULU IMPENDULO EZIKHETHWAYO.]
1)Impahla zokulungisa [isibonelo. umtshina wokugaya/wokupatshaza/isigayo/umtshina wamafutha]
2)Imtshina yepulazini [isibonelo. ithalakitha/ikhuba lokulima/isikela lokunye]
3)Umtshina wokuthunga kumbe ithuluzi lokweluka 
4)Ithekisi
5)Imota enkulu
6)Eminye imitshina yokulungisa kumbe impahla
7)Akulamitshina/impahla zokulungisa
8)KAZI
9)WALILE</t>
        </is>
      </c>
      <c r="I54" s="323">
        <f>LEN(H54)</f>
        <v/>
      </c>
      <c r="J54" s="349" t="inlineStr">
        <is>
          <t>Select All That Apply</t>
        </is>
      </c>
      <c r="K54" s="323" t="inlineStr">
        <is>
          <t>NA</t>
        </is>
      </c>
      <c r="L54" s="323" t="inlineStr">
        <is>
          <t>NA</t>
        </is>
      </c>
      <c r="M54" s="323" t="inlineStr">
        <is>
          <t>Form Type - Checklist
7,8,9 = IsNone
Processing assets [e.g. grinding/crushing machine/mill/oil press]) hh_asset_prod_process
Farm machinery [e.g. tractor/plough/sickle. etc.]) hh_asset_prod_farmmach
Sewing machine or weaving tool ) hh_asset_prod_sewing
Taxi) hh_asset_prod_taxi
Truck) hh_asset_prod_truck
Other productive machines or assets) hh_asset_prod_other
No productive machines or assets) hh_asset_prod_none
DON'T KNOW) hh_asset_prod_dk
REFUSED) hh_asset_prod_ref</t>
        </is>
      </c>
      <c r="N54" s="352" t="inlineStr">
        <is>
          <t>1-9 = hh_asset_transp</t>
        </is>
      </c>
      <c r="O54" s="144" t="n"/>
      <c r="P54" s="144" t="n"/>
      <c r="Q54" s="388" t="inlineStr">
        <is>
          <t xml:space="preserve"> 
</t>
        </is>
      </c>
      <c r="R54" s="388" t="n"/>
      <c r="S54" s="72" t="inlineStr">
        <is>
          <t>resp_age = 18-100
hh_agricactivity = 1 | 2 | 3 | 4
quotareached = 2</t>
        </is>
      </c>
      <c r="T54" s="113" t="inlineStr">
        <is>
          <t xml:space="preserve">This wealth indicator may be useful to Identify poor households in middle income countries. It could be interesting for F2F surveys, to be used as baseline reference for follow-up surveys. </t>
        </is>
      </c>
      <c r="U54" s="58" t="n">
        <v>17</v>
      </c>
      <c r="V54" s="57">
        <f>1</f>
        <v/>
      </c>
      <c r="W54" s="58">
        <f>U54*V54</f>
        <v/>
      </c>
      <c r="X54" s="3" t="n"/>
      <c r="Z54" s="7" t="inlineStr">
        <is>
          <t>no</t>
        </is>
      </c>
      <c r="AA54" s="54" t="n"/>
      <c r="AD54" s="6" t="inlineStr">
        <is>
          <t>new question</t>
        </is>
      </c>
    </row>
    <row r="55" ht="281.25" customFormat="1" customHeight="1" s="5">
      <c r="A55" s="503">
        <f>A54+1</f>
        <v/>
      </c>
      <c r="B55" s="160" t="inlineStr">
        <is>
          <t>hh_asset_transp</t>
        </is>
      </c>
      <c r="C55" s="285" t="inlineStr">
        <is>
          <t>hh_asset_transp_
1) hh_asset_transp_bici
2) hh_asset_transp_cart
3) hh_asset_transp_boat
4) hh_asset_transp_motorbike
5) hh_asset_transp_car
6) hh_asset_transp_van
7) hh_asset_transp_other
8) hh_asset_transp_none
9) hh_asset_transp_dk
10) hh_asset_transp_ref</t>
        </is>
      </c>
      <c r="D55" s="328" t="inlineStr">
        <is>
          <t>Does you or anyone in your household own any of the following transportation assets? 
[OPERATOR: MULTIPLE RESPONSES.]
1)Bicycle
2)Cart [animal drawn]
3)Boat/canoe
4)Motorbike / scooter / auto rickshaw
5)Car
6)Van or small truck
7)Other motor vehicle
8)None of the above
9)DON'T KNOW
10)REFUSED</t>
        </is>
      </c>
      <c r="E55" s="323">
        <f>LEN(D55)</f>
        <v/>
      </c>
      <c r="F55" s="328" t="inlineStr">
        <is>
          <t>Iwe kana mumwe ari mumhuri menyu ane here chero mumwe wemidziyo yekufambisa pane inotevera? 
[ARI KUITISA ONGORORO: MHINDURO DZAKAWANDA.]
1)Bhasikoro
2)Ngoro [inodhonzwa nemombe]
3)Bhoti/chikepe
4)Mudhudhudhu / kasikuta / kamudhudhudhu kemavhiri matatu
5)Mota
6)Vhani kana karori kadiki
7)Imwewo mhando yemota
8)Hapana pane zviri pamusoro
9)HANDIZIVI
10)ARAMBA</t>
        </is>
      </c>
      <c r="G55" s="323">
        <f>LEN(F55)</f>
        <v/>
      </c>
      <c r="H55" s="328" t="inlineStr">
        <is>
          <t>Kungabe wena kumbe omunye emuzini wakho elempahla zokuhambisa ezilandelayo? 
[OQHUBAYO: IMPENDULO EZINENGI.]
1)Ibhayisikili
2)Inqola [edonswa yizifuyo]
3)Isikepe
4)Umdududu/okokuhambisa okusamdududu[rickshaw]
5)Imota
6)Imota yomsebenzi evalekile kumbe yokuthwala encane
7)Eminye imhlobo yemota zokuhambisa
8)Okungayisikho okuphezulu
9)KAZI
10)WALILE</t>
        </is>
      </c>
      <c r="I55" s="323">
        <f>LEN(H55)</f>
        <v/>
      </c>
      <c r="J55" s="349" t="inlineStr">
        <is>
          <t>Select All That Apply</t>
        </is>
      </c>
      <c r="K55" s="323" t="inlineStr">
        <is>
          <t>NA</t>
        </is>
      </c>
      <c r="L55" s="323" t="inlineStr">
        <is>
          <t>NA</t>
        </is>
      </c>
      <c r="M55" s="323" t="inlineStr">
        <is>
          <t>Form Type - Checklist
8,9,10 = IsNone
Bicycle) hh_asset_transp_bici
Cart [animal drawn]) hh_asset_transp_cart
Boat/canoe) hh_asset_transp_boat
Motorbike / scooter / auto rickshaw) hh_asset_transp_motorbike
Car) hh_asset_transp_car
Van or small truck) hh_asset_transp_van
Other motor vehicle) hh_asset_transp_other
None of the above) hh_asset_transp_none
DON'T KNOW) hh_asset_transp_dk
REFUSED) hh_asset_transp_ref</t>
        </is>
      </c>
      <c r="N55" s="352" t="inlineStr">
        <is>
          <t>1-10 = hh_maritalstat</t>
        </is>
      </c>
      <c r="O55" s="144" t="n"/>
      <c r="P55" s="144" t="n"/>
      <c r="Q55" s="388" t="n"/>
      <c r="R55" s="388" t="n"/>
      <c r="S55" s="72" t="inlineStr">
        <is>
          <t>resp_age = 18-100
hh_agricactivity = 1 | 2 | 3 | 4
quotareached = 2</t>
        </is>
      </c>
      <c r="T55" s="113" t="inlineStr">
        <is>
          <t xml:space="preserve">This wealth indicator may be useful to Identify poor households in middle income countries. It could be interesting for F2F surveys, to be used as baseline reference for follow-up surveys. </t>
        </is>
      </c>
      <c r="U55" s="58" t="n">
        <v>17</v>
      </c>
      <c r="V55" s="57">
        <f>1</f>
        <v/>
      </c>
      <c r="W55" s="58">
        <f>U55*V55</f>
        <v/>
      </c>
      <c r="X55" s="3" t="n"/>
      <c r="Z55" s="7" t="inlineStr">
        <is>
          <t>no</t>
        </is>
      </c>
      <c r="AA55" s="54" t="n"/>
      <c r="AD55" s="6" t="inlineStr">
        <is>
          <t>new question</t>
        </is>
      </c>
    </row>
    <row r="56" ht="206.25" customFormat="1" customHeight="1" s="5">
      <c r="A56" s="503">
        <f>A55+1</f>
        <v/>
      </c>
      <c r="B56" s="190" t="inlineStr">
        <is>
          <t>hh_maritalstat</t>
        </is>
      </c>
      <c r="C56" s="191" t="inlineStr">
        <is>
          <t>hh_maritalstat</t>
        </is>
      </c>
      <c r="D56" s="189" t="inlineStr">
        <is>
          <t xml:space="preserve">What is the head of household’s current marital status? 
[OPERATOR: SINGLE RESPONSE.]
1)Single / never married 
2)Married
3)Separated
4)Divorced
5)Widowed
6)DON’T KNOW
7)REFUSED </t>
        </is>
      </c>
      <c r="E56" s="298">
        <f>LEN(D56)</f>
        <v/>
      </c>
      <c r="F56" s="189" t="inlineStr">
        <is>
          <t>Musoro wemhuri akamira sei panyaya yewanano pari zvino? 
[ARI KUITISA ONGORORO: MHINDURO IMWE CHETE.]
1)Haasi muwanano/ haana kumbobvira apinda muwanano 
2)Ari muwanano
3)Akaparadzana nevaaiva akaroorana naye
4)Akarambana nevaaiva akaroorana naye
5)Akafirwa nevaaiva akaroorana naye
6)HANDIZIVI
7)ARAMBA</t>
        </is>
      </c>
      <c r="G56" s="298">
        <f>LEN(F56)</f>
        <v/>
      </c>
      <c r="H56" s="189" t="inlineStr">
        <is>
          <t>Inhloko yomuzi isimo sayo sezomtshado sime njani? 
[OQHUBAYO: IMPENDULO EYODWA.]
1)Uyedwa/kazake atshade 
2)Utshadile
3)Behlukene okwesikhathi esithile
4)Behlukana
5)Umfelokazi
6)KAZI
7)WALILE</t>
        </is>
      </c>
      <c r="I56" s="132">
        <f>LEN(H56)</f>
        <v/>
      </c>
      <c r="J56" s="165" t="inlineStr">
        <is>
          <t>Single Choice</t>
        </is>
      </c>
      <c r="K56" s="192" t="inlineStr">
        <is>
          <t>NA</t>
        </is>
      </c>
      <c r="L56" s="192" t="inlineStr">
        <is>
          <t>NA</t>
        </is>
      </c>
      <c r="M56" s="163" t="inlineStr">
        <is>
          <t>Form Type - Buttons</t>
        </is>
      </c>
      <c r="N56" s="159" t="inlineStr">
        <is>
          <t>1-7 = hh_age</t>
        </is>
      </c>
      <c r="O56" s="144" t="n"/>
      <c r="P56" s="144" t="n"/>
      <c r="Q56" s="389" t="inlineStr">
        <is>
          <t xml:space="preserve"> </t>
        </is>
      </c>
      <c r="R56" s="425" t="n"/>
      <c r="S56" s="111" t="inlineStr">
        <is>
          <t>resp_age = 18-100
hh_agricactivity = 1 | 2 | 3 | 4
quotareached = 2</t>
        </is>
      </c>
      <c r="T56" s="112" t="n"/>
      <c r="U56" s="58" t="n">
        <v>17</v>
      </c>
      <c r="V56" s="57">
        <f>1</f>
        <v/>
      </c>
      <c r="W56" s="58">
        <f>U56*V56</f>
        <v/>
      </c>
      <c r="X56" s="3" t="n"/>
      <c r="Z56" s="7" t="inlineStr">
        <is>
          <t>no</t>
        </is>
      </c>
      <c r="AA56" s="54" t="n"/>
      <c r="AD56" s="6" t="n"/>
    </row>
    <row r="57" ht="188.25" customFormat="1" customHeight="1" s="5" thickBot="1">
      <c r="A57" s="503">
        <f>A56+1</f>
        <v/>
      </c>
      <c r="B57" s="133" t="inlineStr">
        <is>
          <t>hh_age</t>
        </is>
      </c>
      <c r="C57" s="134" t="inlineStr">
        <is>
          <t>hh_age</t>
        </is>
      </c>
      <c r="D57" s="135" t="inlineStr">
        <is>
          <t>How old is the head of household? 
[OPERATOR: SINGLE RESPONSE.]
1)Under 18
2)18 to 40
3)41 to 65 
4)Over 65
5)DON'T KNOW
6)REFUSED</t>
        </is>
      </c>
      <c r="E57" s="298">
        <f>LEN(D57)</f>
        <v/>
      </c>
      <c r="F57" s="218" t="inlineStr">
        <is>
          <t>Musoro wemhuri ane makore mangani? 
[ARI KUITISA ONGORORO: MHINDURO IMWE CHETE.]
1)Pasi pe18
2)Pakati pe18 ne40
3)Pakati pe41 ne65 
4)Apfuura 65
5)HANDIZIVI
6)ARAMBA</t>
        </is>
      </c>
      <c r="G57" s="298">
        <f>LEN(F57)</f>
        <v/>
      </c>
      <c r="H57" s="135" t="inlineStr">
        <is>
          <t>Inhloko yomuzi ileminyaka emingaki? 
[OQHUBAYO: IMPENDULO EYODWA.]
1)Ngaphansi kwengu-18
2)Engu-18 kusiya kwengu-40
3)Engu-41 kusiya kwengu-65 
4)Ephezu kwengu-65
5)KAZI
6)WALILE</t>
        </is>
      </c>
      <c r="I57" s="132">
        <f>LEN(H57)</f>
        <v/>
      </c>
      <c r="J57" s="165" t="inlineStr">
        <is>
          <t>Single Choice</t>
        </is>
      </c>
      <c r="K57" s="132" t="inlineStr">
        <is>
          <t>NA</t>
        </is>
      </c>
      <c r="L57" s="132" t="inlineStr">
        <is>
          <t>NA</t>
        </is>
      </c>
      <c r="M57" s="163" t="inlineStr">
        <is>
          <t>Form Type - Buttons</t>
        </is>
      </c>
      <c r="N57" s="159" t="inlineStr">
        <is>
          <t>1-6 = income_main</t>
        </is>
      </c>
      <c r="O57" s="144" t="n"/>
      <c r="P57" s="144" t="n"/>
      <c r="Q57" s="389" t="inlineStr">
        <is>
          <t xml:space="preserve"> </t>
        </is>
      </c>
      <c r="R57" s="426" t="n"/>
      <c r="S57" s="111" t="inlineStr">
        <is>
          <t>resp_age = 18-100
hh_agricactivity = 1 | 2 | 3 | 4
quotareached = 2</t>
        </is>
      </c>
      <c r="T57" s="73" t="n"/>
      <c r="U57" s="58" t="n">
        <v>8.228806495666504</v>
      </c>
      <c r="V57" s="57">
        <f>1</f>
        <v/>
      </c>
      <c r="W57" s="58">
        <f>U57*V57</f>
        <v/>
      </c>
      <c r="X57" s="3" t="n"/>
      <c r="Z57" s="7" t="inlineStr">
        <is>
          <t>no</t>
        </is>
      </c>
      <c r="AA57" s="54" t="n"/>
      <c r="AD57" s="6" t="n"/>
    </row>
    <row r="58" ht="19.5" customFormat="1" customHeight="1" s="5" thickBot="1">
      <c r="A58" s="534" t="inlineStr">
        <is>
          <t>C. INCOME SOURCES, LIVELIHOOD AND SHOCKS</t>
        </is>
      </c>
      <c r="B58" s="577" t="n"/>
      <c r="C58" s="577" t="n"/>
      <c r="D58" s="577" t="n"/>
      <c r="E58" s="577" t="n"/>
      <c r="F58" s="577" t="n"/>
      <c r="G58" s="577" t="n"/>
      <c r="H58" s="577" t="n"/>
      <c r="I58" s="577" t="n"/>
      <c r="J58" s="577" t="n"/>
      <c r="K58" s="577" t="n"/>
      <c r="L58" s="577" t="n"/>
      <c r="M58" s="577" t="n"/>
      <c r="N58" s="577" t="n"/>
      <c r="O58" s="577" t="n"/>
      <c r="P58" s="577" t="n"/>
      <c r="Q58" s="577" t="n"/>
      <c r="R58" s="577" t="n"/>
      <c r="S58" s="577" t="n"/>
      <c r="T58" s="578" t="n"/>
      <c r="U58" s="58" t="n"/>
      <c r="V58" s="57" t="n"/>
      <c r="W58" s="58" t="n"/>
      <c r="X58" s="3" t="n"/>
      <c r="Z58" s="7" t="n"/>
      <c r="AA58" s="54" t="n"/>
      <c r="AD58" s="6" t="n"/>
    </row>
    <row r="59" ht="409.5" customFormat="1" customHeight="1" s="5">
      <c r="A59" s="247">
        <f>A57+1</f>
        <v/>
      </c>
      <c r="B59" s="59" t="inlineStr">
        <is>
          <t>income_main</t>
        </is>
      </c>
      <c r="C59" s="67" t="inlineStr">
        <is>
          <t>income_main</t>
        </is>
      </c>
      <c r="D59" s="353" t="inlineStr">
        <is>
          <t>What has been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transfer/pension/humanitarian aid
17)Income not derived from work / Remittances
18)Income not derived from work / Income from other rents 
19)No income source in the last 3 months and used exclusively savings / debt
20)REFUSED</t>
        </is>
      </c>
      <c r="E59" s="315">
        <f>LEN(D59)</f>
        <v/>
      </c>
      <c r="F59" s="353" t="inlineStr">
        <is>
          <t>Mhuri yenyu yainyanya kuwana mari kubva kupi mumwedzi 3 yapfuura?
[ARI KUITISA ONGORORO: MHINDURO IMWE CHETE. MHINDURO YEKUTI ARAMBA INOFANIRA KUDZIVISWA SEZVINGABVIRA.]
1)Kurima nekutengesa zvirimwa zvinonyanya kudyiwa
2)Kurima nekutengesa miriwo nemichhero 
3)Kurima nekutengesa zvirimwa zvisiri zvekudya
4)Kuchengeta nekutengesa zvipfuyo nezvinowanikwa kuzvipfuyo 
5)Kuchengeta nyuchi nekutengesa huchi nezvigadzirwa zvehuchi
6)Kuchengeta nekutengesa hove 
7)Kuunganidza nekutengesa zvinowanikwa musango 
8)Kutengesa zvekurimisa KWETE kuvanogadzira zvinhu [zviri pamutemo kana zvisiri]
9)Muhoro wepazuva pamabasa ekurima kana emaricho muchikamu chezvekurima
10)Basa renguva dzose muchikamu chezvekurima 
11)Kuzvishandira musiri muchikamu chezvekurima / chiremba / kugadzira mapurani edzimba / gweta / kusanganisira maresitorendi
12)Muhoro wepazuva kubva kumaricho asiri muchikamu chezvekurima
13)Basa renguva dzose risiri muchikamu chezvekurima
14)Basa muchikamu chehurumende 
15)Mari isiri yekushandira / yeZvipo
16)Mari isiri yekushandira / Mari yeWerofeya/yepenjeni/yerubatsiro
17)Mari isiri yekushandira / Yekutumirwa kubva kunze
18)Mari isiri yekushandira / Mari kubva kumamwe marendi
19)Hapana kwakabva mari mukati memwedzi 3 yapfuura uye taingoshandisa yagara yakachengetwa / yezvikwereti
20)ARAMBA</t>
        </is>
      </c>
      <c r="G59" s="315">
        <f>LEN(F59)</f>
        <v/>
      </c>
      <c r="H59" s="335" t="inlineStr">
        <is>
          <t>Yiwuphi umthombo wesibili womuzi wakho wokuthola imali kunyanga ezintathu ezidlulileyo?
[OQHUBAYO: IMPENDULO EYODWA. IMPENDULO ETHI YALILE KUMELE IBALEKELWE KAKHULU.]
1)Ukulinywa lokuthengiswa kwezilimo ezilinywa kakhulu njalo ngabanengi
2)Ukulinywa lokuthengiswa kwemibhida kumbe izithelo
3)Ukulinywa lokuthengiswa kwezilimo ezithengiswayo
4)Ukufuywa lokuthengiswa kwezifuyo kanye lokuvela ezifuyweni
5)Ukufuywa lokuthengiswa koluju kanye lokuvela elujwini
6)Ukufuywa lokuthengiswa kwenhlanzi 
7)Ukuqoqwa lokuthengiswa kwezihlahla kumbe okuvela ezigangeni
8)Ukuthengiselana ezilinywayo OKUNGAGOQELI abalungisayo [okusemthethweni kumbe okungekho emthethweni]
9)Umholo wansukuzonke emapulazini kanye leminye imisebenzi-nje kugatsha lwezokulima 
10)Umsebenzi ogxilileyo kugatsha lwezokulima
11)Ukuzisebenzela okungekho kugatsha lwezokulima kumbe umsebenzi wenkululeko/udokotela/umdwebi wezakhiwo/ igwetha/kugoqela indawo zokudlela
12)Imholo evela kumsebenzi ongekho kwezokulima kanye leminye-nje imisebenzi engekho kugatsha lwezokulima
13)Umsebenzi ogxilileyo ongekho kugatsha lwezokulima
14)Umsebenzi kugatsha likahulumende 
15)Imali engatholwa emsebenzini/eyokuphiwa ngabalomusa
16)Imali engatholwa emsebenzini/imali ephiwa ukuziphilisa/ipentsheni/uncedo lokunikela ngokuzithandela
17)Imali engatholwa emsebenzini/ ethunyelwa ivela kwamanye amazwe
18)Imali engatholwa emsebenzini/imali evela kwezokurenta
19)Akulandawo yokuthola imali kunyanga ezintathu ezidlulileyo njalo kwasetshenziswa kakhulu imali egciniweyo/isikwelede
20)WALILE</t>
        </is>
      </c>
      <c r="I59" s="315">
        <f>LEN(H59)</f>
        <v/>
      </c>
      <c r="J59" s="343" t="inlineStr">
        <is>
          <t>Single Choice</t>
        </is>
      </c>
      <c r="K59" s="315" t="inlineStr">
        <is>
          <t>NA</t>
        </is>
      </c>
      <c r="L59" s="315" t="inlineStr">
        <is>
          <t>NA</t>
        </is>
      </c>
      <c r="M59" s="315" t="inlineStr">
        <is>
          <t>Form Type - Buttons
IsDemographic</t>
        </is>
      </c>
      <c r="N59" s="326" t="inlineStr">
        <is>
          <t>1-3 = income_main_cropcheck
4 = income_main_lscheck
5 = income_main_amount
6 = income_main_fishcheck 
7-18 = income_main_amount
19-20 = shock</t>
        </is>
      </c>
      <c r="O59" s="138" t="n"/>
      <c r="P59" s="138" t="n"/>
      <c r="Q59" s="390" t="inlineStr">
        <is>
          <t>if options #1-3 selected go to income_main_cropcheck 
if options #4 selected go to income_main_lscheck 
if options #5 selected go to income_main_fishcheck 
if options #6-18 selected, go to [income_main_comp OR income_main_amount OR income_main_gender] 
if options #19-21 selected, go to shock</t>
        </is>
      </c>
      <c r="R59" s="392" t="n"/>
      <c r="S59" s="64" t="inlineStr">
        <is>
          <t>resp_age = 18-100
hh_agricactivity = 1 | 2 | 3 | 4
quotareached = 2</t>
        </is>
      </c>
      <c r="T59" s="68" t="n"/>
      <c r="U59" s="92" t="n">
        <v>36.92873382568359</v>
      </c>
      <c r="V59" s="93">
        <f>1</f>
        <v/>
      </c>
      <c r="W59" s="92">
        <f>U59*V59</f>
        <v/>
      </c>
      <c r="X59" s="3" t="n"/>
      <c r="Z59" s="7" t="inlineStr">
        <is>
          <t>yes</t>
        </is>
      </c>
      <c r="AA59" s="54" t="n"/>
      <c r="AD59" s="8" t="inlineStr">
        <is>
          <t>Change in skip pattern (col J)
Change in answer option #1</t>
        </is>
      </c>
    </row>
    <row r="60" ht="150" customFormat="1" customHeight="1" s="5">
      <c r="A60" s="247">
        <f>A59+1</f>
        <v/>
      </c>
      <c r="B60" s="59" t="inlineStr">
        <is>
          <t>income_main_cropcheck</t>
        </is>
      </c>
      <c r="C60" s="60" t="inlineStr">
        <is>
          <t>income_main_cropcheck</t>
        </is>
      </c>
      <c r="D60" s="355" t="inlineStr">
        <is>
          <t>Are the crops that you sell produced by you or anyone in your household? 
[OPERATOR: SINGLE RESPONSE.]
1)YES
2)NO
3)DON'T KNOW
4)REFUSED</t>
        </is>
      </c>
      <c r="E60" s="315">
        <f>LEN(D60)</f>
        <v/>
      </c>
      <c r="F60" s="355" t="inlineStr">
        <is>
          <t>Zvirimwa zvamunotengesa zvinorimwa nemi here kana kuti mumwe  wemumhuri menyu? 
[ARI KUITISA ONGORORO: MHINDURO IMWE CHETE.]
1)HONGU 
2)KWETE
3)HANDIZIVI
4)ARAMBA</t>
        </is>
      </c>
      <c r="G60" s="315">
        <f>LEN(F60)</f>
        <v/>
      </c>
      <c r="H60" s="355" t="inlineStr">
        <is>
          <t>Kungabe izilimo ozithengisayo zilinywa nguwe kumbe omunye womuzi wakho?
[OQHUBAYO: IMPENDULO EYODWA.]
1)YEBO  
2)HATSHI
3)KAZI
4)WALILE</t>
        </is>
      </c>
      <c r="I60" s="315">
        <f>LEN(H60)</f>
        <v/>
      </c>
      <c r="J60" s="343" t="inlineStr">
        <is>
          <t>Single Choice</t>
        </is>
      </c>
      <c r="K60" s="315" t="inlineStr">
        <is>
          <t>NA</t>
        </is>
      </c>
      <c r="L60" s="315" t="inlineStr">
        <is>
          <t>NA</t>
        </is>
      </c>
      <c r="M60" s="315" t="inlineStr">
        <is>
          <t>Form Type - Buttons</t>
        </is>
      </c>
      <c r="N60" s="326" t="inlineStr">
        <is>
          <t>1-4 = income_main_amount</t>
        </is>
      </c>
      <c r="O60" s="138" t="n"/>
      <c r="P60" s="138" t="n"/>
      <c r="Q60" s="390" t="inlineStr">
        <is>
          <t>if options #1-4, go to [income_main_comp OR income_main_amount OR income_main_gender]</t>
        </is>
      </c>
      <c r="R60" s="427" t="n"/>
      <c r="S60" s="64" t="inlineStr">
        <is>
          <t>resp_age = 18-100
hh_agricactivity = 1 | 2 | 3 | 4
quotareached = 2
income_main = 1 | 2 | 3</t>
        </is>
      </c>
      <c r="T60" s="68" t="n"/>
      <c r="U60" s="92" t="n"/>
      <c r="V60" s="93">
        <f>1</f>
        <v/>
      </c>
      <c r="W60" s="92">
        <f>U60*V60</f>
        <v/>
      </c>
      <c r="X60" s="3" t="n"/>
      <c r="Z60" s="7" t="inlineStr">
        <is>
          <t>yes</t>
        </is>
      </c>
      <c r="AA60" s="54" t="n"/>
      <c r="AD60" s="6" t="inlineStr">
        <is>
          <t>New question</t>
        </is>
      </c>
    </row>
    <row r="61" ht="168.75" customFormat="1" customHeight="1" s="5">
      <c r="A61" s="247">
        <f>A60+1</f>
        <v/>
      </c>
      <c r="B61" s="59" t="inlineStr">
        <is>
          <t>income_main_lscheck</t>
        </is>
      </c>
      <c r="C61" s="60" t="inlineStr">
        <is>
          <t>income_main_lscheck</t>
        </is>
      </c>
      <c r="D61" s="355" t="inlineStr">
        <is>
          <t>Are the livestock and livestock products that you sell produced by you or anyone in your household? 
[OPERATOR: SINGLE RESPONSE.]
1)YES
2)NO
3)DON'T KNOW
4)REFUSED</t>
        </is>
      </c>
      <c r="E61" s="315">
        <f>LEN(D61)</f>
        <v/>
      </c>
      <c r="F61" s="355" t="inlineStr">
        <is>
          <t>Zvipfuyo zvamunotengesa zvinochengetwa nemi here kana kuti mumwe wemumhuri menyu?
[ARI KUITISA ONGORORO: MHINDURO IMWE CHETE.]
1)HONGU 
2)KWETE
3)HANDIZIVI
4)ARAMBA</t>
        </is>
      </c>
      <c r="G61" s="315">
        <f>LEN(F61)</f>
        <v/>
      </c>
      <c r="H61" s="355" t="inlineStr">
        <is>
          <t>Kungabe izifuyo kanye lokuvela ezifuyweni okuthengisayo kulungiswa nguwe kumbe omunye womuzi wakho? 
[OQHUBAYO: IMPENDULO EYODWA.]
1)YEBO  
2)HATSHI
3)KAZI
4)WALILE</t>
        </is>
      </c>
      <c r="I61" s="315">
        <f>LEN(H61)</f>
        <v/>
      </c>
      <c r="J61" s="343" t="inlineStr">
        <is>
          <t>Single Choice</t>
        </is>
      </c>
      <c r="K61" s="315" t="inlineStr">
        <is>
          <t>NA</t>
        </is>
      </c>
      <c r="L61" s="315" t="inlineStr">
        <is>
          <t>NA</t>
        </is>
      </c>
      <c r="M61" s="315" t="inlineStr">
        <is>
          <t>Form Type - Buttons</t>
        </is>
      </c>
      <c r="N61" s="326" t="inlineStr">
        <is>
          <t>1-4 = income_main_amount</t>
        </is>
      </c>
      <c r="O61" s="138" t="n"/>
      <c r="P61" s="138" t="n"/>
      <c r="Q61" s="390" t="inlineStr">
        <is>
          <t>if options #1-4, go to [income_main_comp OR income_main_amount OR income_main_gender]</t>
        </is>
      </c>
      <c r="R61" s="427" t="n"/>
      <c r="S61" s="64" t="inlineStr">
        <is>
          <t>resp_age = 18-100
hh_agricactivity = 1 | 2 | 3 | 4
quotareached = 2
income_main = 4</t>
        </is>
      </c>
      <c r="T61" s="68" t="n"/>
      <c r="U61" s="92" t="n"/>
      <c r="V61" s="93">
        <f>1</f>
        <v/>
      </c>
      <c r="W61" s="92">
        <f>U61*V61</f>
        <v/>
      </c>
      <c r="X61" s="3" t="n"/>
      <c r="Z61" s="7" t="inlineStr">
        <is>
          <t>yes</t>
        </is>
      </c>
      <c r="AA61" s="54" t="n"/>
      <c r="AD61" s="6" t="inlineStr">
        <is>
          <t>New question</t>
        </is>
      </c>
    </row>
    <row r="62" ht="150" customFormat="1" customHeight="1" s="5">
      <c r="A62" s="247">
        <f>A61+1</f>
        <v/>
      </c>
      <c r="B62" s="59" t="inlineStr">
        <is>
          <t>income_main_fishcheck</t>
        </is>
      </c>
      <c r="C62" s="60" t="inlineStr">
        <is>
          <t>income_main_fishcheck</t>
        </is>
      </c>
      <c r="D62" s="355" t="inlineStr">
        <is>
          <t>Are the fish products that you sell produced by you or anyone in your household? 
[OPERATOR: SINGLE RESPONSE.]
1)YES
2)NO
3)DON'T KNOW
4)REFUSED</t>
        </is>
      </c>
      <c r="E62" s="315">
        <f>LEN(D62)</f>
        <v/>
      </c>
      <c r="F62" s="355" t="inlineStr">
        <is>
          <t>Hove dzamunotengesa dzinochengetwa nemi here kana kuti mumwe wemumhuri menyu? 
[ARI KUITISA ONGORORO: MHINDURO IMWE CHETE.]
1)HONGU 
2)KWETE
3)HANDIZIVI
4)ARAMBA</t>
        </is>
      </c>
      <c r="G62" s="315">
        <f>LEN(F62)</f>
        <v/>
      </c>
      <c r="H62" s="355" t="inlineStr">
        <is>
          <t>Kungabe inhlanzi ozithengisayo zilungiswe nguwe kumbe omunye emuzini wakho?
[OQHUBAYO: IMPENDULO EYODWA.]
1)YEBO  
2)HATSHI
3)KAZI
4)WALILE</t>
        </is>
      </c>
      <c r="I62" s="315">
        <f>LEN(H62)</f>
        <v/>
      </c>
      <c r="J62" s="343" t="inlineStr">
        <is>
          <t>Single Choice</t>
        </is>
      </c>
      <c r="K62" s="315" t="inlineStr">
        <is>
          <t>NA</t>
        </is>
      </c>
      <c r="L62" s="315" t="inlineStr">
        <is>
          <t>NA</t>
        </is>
      </c>
      <c r="M62" s="315" t="inlineStr">
        <is>
          <t>Form Type - Buttons</t>
        </is>
      </c>
      <c r="N62" s="326" t="inlineStr">
        <is>
          <t>1-4 = income_main_amount</t>
        </is>
      </c>
      <c r="O62" s="138" t="n"/>
      <c r="P62" s="138" t="n"/>
      <c r="Q62" s="390" t="inlineStr">
        <is>
          <t>if options #1-4, go to [income_main_comp OR income_main_amount OR income_main_gender]</t>
        </is>
      </c>
      <c r="R62" s="427" t="n"/>
      <c r="S62" s="64" t="inlineStr">
        <is>
          <t>resp_age = 18-100
hh_agricactivity = 1 | 2 | 3 | 4
quotareached = 2
income_main = 5</t>
        </is>
      </c>
      <c r="T62" s="68" t="n"/>
      <c r="U62" s="92" t="n"/>
      <c r="V62" s="93">
        <f>1</f>
        <v/>
      </c>
      <c r="W62" s="92">
        <f>U62*V62</f>
        <v/>
      </c>
      <c r="X62" s="3" t="n"/>
      <c r="Z62" s="7" t="inlineStr">
        <is>
          <t>yes</t>
        </is>
      </c>
      <c r="AA62" s="54" t="n"/>
      <c r="AD62" s="6" t="inlineStr">
        <is>
          <t>New question</t>
        </is>
      </c>
    </row>
    <row r="63" ht="112.5" customFormat="1" customHeight="1" s="5">
      <c r="A63" s="247">
        <f>A62+1</f>
        <v/>
      </c>
      <c r="B63" s="160" t="inlineStr">
        <is>
          <t>income_main_amount</t>
        </is>
      </c>
      <c r="C63" s="69" t="inlineStr">
        <is>
          <t>income_main_amount</t>
        </is>
      </c>
      <c r="D63" s="352" t="inlineStr">
        <is>
          <t>How much was earned [in USD] from your main income source, {income_main}, in the past 3 months ?
[OPERATOR: DOUBLE CHECK FOR OUTLIERS &amp; MAKE SURE THE INFORMATION IS RECORDED IN THE CORRECT CURRENCY. ENTER 8888888 FOR DON'T KNOW AND 9999999 FOR REFUSED.]</t>
        </is>
      </c>
      <c r="E63" s="315">
        <f>LEN(D63)</f>
        <v/>
      </c>
      <c r="F63" s="352" t="inlineStr">
        <is>
          <t>Imarii yakawanikwa [muMadhora ekuAmerika] kubva kwamunonyanya kuwana mari, {income_main}, mumwedzi 3 yapfuura?
[ARI KUITISA ONGORORO: NYATSOONGORORA PANE YAKASIYANA UYE UVE NECHOKWADI CHEKUTI MARI YANYORWA IRI MUMHANDO IRI KUTARISIRWA. ISA 8888888 KANA ASINGAZIVE UYE 9999999 KANA ARAMBA.]</t>
        </is>
      </c>
      <c r="G63" s="323">
        <f>LEN(F63)</f>
        <v/>
      </c>
      <c r="H63" s="352" t="inlineStr">
        <is>
          <t>Wahola malini ngamadola emelika [USD] lapho othola khona imali enengi yesibili, {income_main}, kunyanga ezintathu ezidlulileyo ?
[OQHUBAYO: KHANGELA KABILI OKWAHLUKENEYO UBE SUQINISEKISA UKUTHI ULWAZI LUREKHODIWE NGEMALI EQONDILEYO. FAKA U 8888888 NXA UNGAZI LO 9999999 NXA WALILE.]</t>
        </is>
      </c>
      <c r="I63" s="323">
        <f>LEN(H63)</f>
        <v/>
      </c>
      <c r="J63" s="323" t="inlineStr">
        <is>
          <t>Range</t>
        </is>
      </c>
      <c r="K63" s="323" t="inlineStr">
        <is>
          <t>NA</t>
        </is>
      </c>
      <c r="L63" s="323" t="inlineStr">
        <is>
          <t>NA</t>
        </is>
      </c>
      <c r="M63" s="323" t="inlineStr">
        <is>
          <t>Form Type - TextBox</t>
        </is>
      </c>
      <c r="N63" s="357" t="inlineStr">
        <is>
          <t>1 - 100000 = income_main_gender
100001 - 200000 = income_main_amount_conf
8888888-8888888 =income_main_gender
9999999-9999999 = income_main_gender</t>
        </is>
      </c>
      <c r="O63" s="150" t="n"/>
      <c r="P63" s="150" t="n"/>
      <c r="Q63" s="391" t="inlineStr">
        <is>
          <t>If the income amount is over the threshold set in "Additional information", the respondent will be asked to confirm with income_main_amount_conf. Otherwise, go to income_main_comp.</t>
        </is>
      </c>
      <c r="R63" s="391" t="n"/>
      <c r="S63" s="72" t="inlineStr">
        <is>
          <t>resp_age = 18-100
hh_agricactivity = 1 | 2 | 3 | 4
quotareached = 2
income_main = 1-18</t>
        </is>
      </c>
      <c r="T63" s="264" t="inlineStr">
        <is>
          <t>We recommend using this pair of questions together.</t>
        </is>
      </c>
      <c r="U63" s="58" t="n">
        <v>40.04731750488281</v>
      </c>
      <c r="V63" s="57">
        <f>1</f>
        <v/>
      </c>
      <c r="W63" s="58">
        <f>U63*V63</f>
        <v/>
      </c>
      <c r="X63" s="3" t="n"/>
      <c r="Z63" s="7" t="inlineStr">
        <is>
          <t>no</t>
        </is>
      </c>
      <c r="AA63" s="54" t="n"/>
      <c r="AD63" s="6" t="inlineStr">
        <is>
          <t>Change in question text (col D)</t>
        </is>
      </c>
    </row>
    <row r="64" ht="131.25" customFormat="1" customHeight="1" s="5">
      <c r="A64" s="247">
        <f>A63+1</f>
        <v/>
      </c>
      <c r="B64" s="160" t="inlineStr">
        <is>
          <t>income_main_amount_conf</t>
        </is>
      </c>
      <c r="C64" s="162" t="inlineStr">
        <is>
          <t>income_main_amount_conf</t>
        </is>
      </c>
      <c r="D64" s="352" t="inlineStr">
        <is>
          <t>Can you confirm the amount of income you just stated is correct?
[OPERATOR: IF THE AMOUNT EARNED FROM THIS INCOME SOURCE OVER THE PAST 3 MONTH IS INDEED OVER 100000, CLICK ON CONTINUE. OTHERWISE, GO BACK AND CHANGE THE AMOUNT ENTERED.]
1)CONTINUE</t>
        </is>
      </c>
      <c r="E64" s="315">
        <f>LEN(D64)</f>
        <v/>
      </c>
      <c r="F64" s="352" t="inlineStr">
        <is>
          <t>Munokwanisa kusimbisira here kuti muve nechokwadi chekuti mari yamataura ndiyo chaiyo?
[ARI KUITISA ONGORORO: KANA MARI YAKAWANIKWA ICHIPFUURA 100000, DZVANYA PAKANZI ENDERERA MBERI. ZVICHIDA, PANGADA KUTI UDZOKERE KUTI UCHINJE MARI YAISWA.]
1)ENDERERA MBERI</t>
        </is>
      </c>
      <c r="G64" s="323">
        <f>LEN(F64)</f>
        <v/>
      </c>
      <c r="H64" s="352" t="inlineStr">
        <is>
          <t>Ungavuma inani lemali osanda kuyitsho ukuthi liqondile?
[OQHUBAYO: NXA INANI LEMALI EHOLWE LAPHA KUNYANGA EZINTATHU EZIDLULILEYO LEDLULA ISILINGANISO SE 100000, FITHIZELA KU-QHUBEKA, KUNGENJALO, BUYELA EMUVA UYETSHINTSHA INANI ELIFAKIWEYO]
1)QHUBEKA</t>
        </is>
      </c>
      <c r="I64" s="323">
        <f>LEN(H64)</f>
        <v/>
      </c>
      <c r="J64" s="358" t="inlineStr">
        <is>
          <t>Single Choice</t>
        </is>
      </c>
      <c r="K64" s="359" t="inlineStr">
        <is>
          <t>NA</t>
        </is>
      </c>
      <c r="L64" s="359" t="inlineStr">
        <is>
          <t>NA</t>
        </is>
      </c>
      <c r="M64" s="359" t="inlineStr">
        <is>
          <t>Form Type - Buttons</t>
        </is>
      </c>
      <c r="N64" s="360" t="inlineStr">
        <is>
          <t>1 = income_main_gender</t>
        </is>
      </c>
      <c r="O64" s="144" t="n"/>
      <c r="P64" s="144" t="n"/>
      <c r="Q64" s="392" t="inlineStr">
        <is>
          <t>if income_main_amount_conf = 1, go to income_main_comp</t>
        </is>
      </c>
      <c r="R64" s="392" t="n"/>
      <c r="S64" s="72" t="inlineStr">
        <is>
          <t>NA</t>
        </is>
      </c>
      <c r="T64" s="586" t="n"/>
      <c r="U64" s="58" t="n">
        <v>3.687011003494263</v>
      </c>
      <c r="V64" s="57">
        <f>1</f>
        <v/>
      </c>
      <c r="W64" s="58">
        <f>U64*V64</f>
        <v/>
      </c>
      <c r="X64" s="3" t="n"/>
      <c r="Z64" s="7" t="inlineStr">
        <is>
          <t>no</t>
        </is>
      </c>
      <c r="AA64" s="54" t="n"/>
      <c r="AD64" s="6" t="n"/>
    </row>
    <row r="65" ht="187.5" customFormat="1" customHeight="1" s="5">
      <c r="A65" s="247">
        <f>A62+1</f>
        <v/>
      </c>
      <c r="B65" s="272" t="inlineStr">
        <is>
          <t>income_main_gender</t>
        </is>
      </c>
      <c r="C65" s="273" t="inlineStr">
        <is>
          <t>income_main_gender</t>
        </is>
      </c>
      <c r="D65" s="361" t="inlineStr">
        <is>
          <t>What is the gender of the household member[s] generating income from {income_main} ? 
[OPERATOR: SINGLE RESPONSE.]
1)Male 
2)Female
3)Joint [both male &amp; female]
4)DON'T KNOW
5)REFUSED</t>
        </is>
      </c>
      <c r="E65" s="315">
        <f>LEN(D65)</f>
        <v/>
      </c>
      <c r="F65" s="361" t="inlineStr">
        <is>
          <t>Vanowana kana kuti anowana mari mumhuri kubva mune {income_main} munhurume here kana kuti munhukadzi? 
[ARI KUITISA ONGORORO: MHINDURO IMWE CHETE.]
1)Murume
2)Mukadzi
3)Vakasangana [munhurume nemunhukadzi]
4)HANDIZIVI
5)ARAMBA</t>
        </is>
      </c>
      <c r="G65" s="359">
        <f>LEN(F65)</f>
        <v/>
      </c>
      <c r="H65" s="361" t="inlineStr">
        <is>
          <t>Ubulili bama[be]lunga omuzi abathola imali evela {income_main}  yibuphi ? 
[OQHUBAYO: IMPENDULO EYODWA.]
1)Ngowesilisa
2)Ngowesifazana
3)Bahlangene [bobabili isilisa lesifazane]
4)KAZI
5)WALILE</t>
        </is>
      </c>
      <c r="I65" s="359">
        <f>LEN(H65)</f>
        <v/>
      </c>
      <c r="J65" s="362" t="inlineStr">
        <is>
          <t>Single Choice</t>
        </is>
      </c>
      <c r="K65" s="359" t="inlineStr">
        <is>
          <t>NA</t>
        </is>
      </c>
      <c r="L65" s="359" t="inlineStr">
        <is>
          <t>NA</t>
        </is>
      </c>
      <c r="M65" s="359" t="inlineStr">
        <is>
          <t>Form Type - Buttons</t>
        </is>
      </c>
      <c r="N65" s="326" t="inlineStr">
        <is>
          <t>1-5 = income_main_control</t>
        </is>
      </c>
      <c r="O65" s="144" t="n"/>
      <c r="P65" s="144" t="n"/>
      <c r="Q65" s="392" t="inlineStr">
        <is>
          <t>if options #1-4, go to [income_main_comp OR income_main_amount]</t>
        </is>
      </c>
      <c r="R65" s="392" t="n"/>
      <c r="S65" s="64" t="inlineStr">
        <is>
          <t>resp_age = 18-100
hh_agricactivity = 1 | 2 | 3 | 4
quotareached = 2
income_main =  1-18</t>
        </is>
      </c>
      <c r="T65" s="68" t="n"/>
      <c r="U65" s="58" t="n">
        <v>17</v>
      </c>
      <c r="V65" s="57">
        <f>1</f>
        <v/>
      </c>
      <c r="W65" s="58">
        <f>U65*V65</f>
        <v/>
      </c>
      <c r="X65" s="3" t="n"/>
      <c r="Z65" s="7" t="inlineStr">
        <is>
          <t>no</t>
        </is>
      </c>
      <c r="AA65" s="54" t="n"/>
      <c r="AD65" s="6" t="inlineStr">
        <is>
          <t>New question</t>
        </is>
      </c>
    </row>
    <row r="66" ht="168.75" customFormat="1" customHeight="1" s="5">
      <c r="A66" s="363">
        <f>A63+1</f>
        <v/>
      </c>
      <c r="B66" s="364" t="inlineStr">
        <is>
          <t>income_main_control</t>
        </is>
      </c>
      <c r="C66" s="364" t="inlineStr">
        <is>
          <t>income_main_control</t>
        </is>
      </c>
      <c r="D66" s="366" t="inlineStr">
        <is>
          <t>Who controls the revenue that is earned from {income_main} ? 
[OPERATOR: SINGLE RESPONSE.]
1)Male household member[s]
2)Female household member[s]
3)Joint household members [both female &amp; male]
4)DON'T KNOW
5)REFUSED</t>
        </is>
      </c>
      <c r="E66" s="315">
        <f>LEN(D66)</f>
        <v/>
      </c>
      <c r="F66" s="367" t="inlineStr">
        <is>
          <t>Ndiani anotarisira nhau dzemari inowanikwa kubva mune {income_main} ? 
[ARI KUITISA ONGORORO: MHINDURO IMWE CHETE.]
1)Munhurume kana vanhurume vari mumhuri
2)Munhukadzi kana vanhukadzi vari mumhuri
3)Vakasangana [vose vakadzi nevarume]
4)HANDIZIVI
5)ARAMBA</t>
        </is>
      </c>
      <c r="G66" s="359">
        <f>LEN(F66)</f>
        <v/>
      </c>
      <c r="H66" s="367" t="inlineStr">
        <is>
          <t>Ngubani olawula imali etholwa ivela {income_main}? 
[OQHUBAYO: IMPENDULO EYODWA]
1)Ama[i]lunga omuzi awesilisa
2)Ama[i]lunga omuzi awesifazane
3)Amalunga omuzi ayahlanganisa [bobabili abesifazane labesilisa]
4)KAZI
5)WALILE</t>
        </is>
      </c>
      <c r="I66" s="359">
        <f>LEN(H66)</f>
        <v/>
      </c>
      <c r="J66" s="368" t="inlineStr">
        <is>
          <t>Single Choice</t>
        </is>
      </c>
      <c r="K66" s="369" t="inlineStr">
        <is>
          <t>NA</t>
        </is>
      </c>
      <c r="L66" s="369" t="inlineStr">
        <is>
          <t>NA</t>
        </is>
      </c>
      <c r="M66" s="369" t="inlineStr">
        <is>
          <t>Form Type - Buttons</t>
        </is>
      </c>
      <c r="N66" s="370" t="inlineStr">
        <is>
          <t>1-5 = income_main_comp</t>
        </is>
      </c>
      <c r="O66" s="144" t="n"/>
      <c r="P66" s="144" t="n"/>
      <c r="Q66" s="392" t="n"/>
      <c r="R66" s="392" t="n"/>
      <c r="S66" s="64" t="n"/>
      <c r="T66" s="68" t="n"/>
      <c r="U66" s="58" t="n"/>
      <c r="V66" s="57" t="n"/>
      <c r="W66" s="58" t="n"/>
      <c r="X66" s="3" t="n"/>
      <c r="Z66" s="7" t="n"/>
      <c r="AA66" s="54" t="n"/>
      <c r="AD66" s="6" t="n"/>
    </row>
    <row r="67" ht="244.5" customFormat="1" customHeight="1" s="5" thickBot="1">
      <c r="A67" s="504">
        <f>A64+1</f>
        <v/>
      </c>
      <c r="B67" s="78" t="inlineStr">
        <is>
          <t>income_main_comp</t>
        </is>
      </c>
      <c r="C67" s="278" t="inlineStr">
        <is>
          <t>income_main_comp</t>
        </is>
      </c>
      <c r="D67" s="276"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67" s="312">
        <f>LEN(D67)</f>
        <v/>
      </c>
      <c r="F67" s="276" t="inlineStr">
        <is>
          <t>Mari yakawanikwa nemhuri kubva kwamunonyanya kuwana mari {income_main} yakachinja here mukati memwedzi 3 yapfuura kana muchienzanisa neyamakawana panguva yakafanana gore rapfuura?
[ARI KUITISA ONGORORO: MHINDURO IMWE CHETE.]
1)Yakawedzera zvikuru [yakawedzera nechikamu chinopfuura 50 muzana]
2)Yakawedzera zvishoma
3)Yakangofanana
4)Yakadzikira zvishoma
5)Yakadzikira zvikuru [iri pasi zvikuru pechidimbu]
6)HANDIZIVI
7)ARAMBA</t>
        </is>
      </c>
      <c r="G67" s="312">
        <f>LEN(F67)</f>
        <v/>
      </c>
      <c r="H67" s="276" t="inlineStr">
        <is>
          <t>Kungabe imali etholwa ngabomuzi wakho {income_main} yatshintsha kunyanga ezintathu ezidlulileyo nxa kuqathyaniswa lasikhathi esifanayo ngomnyaka ophelileyo?
[OQHUBAYO: IMPENDULO EYODWA.]
1)Kanengi kakhulu [yengezeleka ngokunengi kulamaphesenti angu- 50%]
2)Kanengi mbijana
3)ngokufanana
4)Kancane mbijana
5)Kancane kakhulu [ngokulutshwana okwedlula ingxenye yakho]
6)KAZI
7)WALILE</t>
        </is>
      </c>
      <c r="I67" s="81">
        <f>LEN(H67)</f>
        <v/>
      </c>
      <c r="J67" s="82" t="inlineStr">
        <is>
          <t>Single Choice</t>
        </is>
      </c>
      <c r="K67" s="81" t="inlineStr">
        <is>
          <t>NA</t>
        </is>
      </c>
      <c r="L67" s="81" t="inlineStr">
        <is>
          <t>NA</t>
        </is>
      </c>
      <c r="M67" s="81" t="inlineStr">
        <is>
          <t>Form Type - Buttons</t>
        </is>
      </c>
      <c r="N67" s="277" t="inlineStr">
        <is>
          <t>1-7= income_sec</t>
        </is>
      </c>
      <c r="O67" s="371" t="n"/>
      <c r="P67" s="371" t="n"/>
      <c r="Q67" s="393" t="inlineStr">
        <is>
          <t>if income_main_comp = 1-7, go to income_sec</t>
        </is>
      </c>
      <c r="R67" s="428" t="n"/>
      <c r="S67" s="84" t="inlineStr">
        <is>
          <t>resp_age = 18-100
hh_agricactivity = 1 | 2 | 3 | 4
quotareached = 2
income_main = 1-18</t>
        </is>
      </c>
      <c r="T67" s="85" t="n"/>
      <c r="U67" s="92" t="n">
        <v>27.24216651916504</v>
      </c>
      <c r="V67" s="93">
        <f>1</f>
        <v/>
      </c>
      <c r="W67" s="92">
        <f>U67*V67</f>
        <v/>
      </c>
      <c r="X67" s="3" t="n"/>
      <c r="Z67" s="7" t="inlineStr">
        <is>
          <t>yes</t>
        </is>
      </c>
      <c r="AA67" s="54" t="n"/>
      <c r="AD67" s="8" t="inlineStr">
        <is>
          <t>Change in options #2,4 + question formulation (col D) + hint</t>
        </is>
      </c>
    </row>
    <row r="68" ht="409.5" customFormat="1" customHeight="1" s="5">
      <c r="A68" s="247">
        <f>A67+1</f>
        <v/>
      </c>
      <c r="B68" s="59" t="inlineStr">
        <is>
          <t>income_sec</t>
        </is>
      </c>
      <c r="C68" s="67" t="inlineStr">
        <is>
          <t>income_sec</t>
        </is>
      </c>
      <c r="D68" s="117" t="inlineStr">
        <is>
          <t>What has been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transfer/pension/humanitarian aid
17)Income not derived from work / Remittances
18)Income not derived from work / Income from other rents 
19)No income source in the last 3 months and used exclusively savings / debt
20)REFUSED</t>
        </is>
      </c>
      <c r="E68" s="564">
        <f>LEN(D68)</f>
        <v/>
      </c>
      <c r="F68" s="117" t="inlineStr">
        <is>
          <t>Ndekupi kumwe kwechipiri kwakakosha uko mhuri yenyu yakawana mari mumwedzi 3 yapfuura?
[ARI KUITISA ONGORORO: MHINDURO IMWE CHETE. MHINDURO DZEKUTI HANDIZIVI UYE ARAMBA DZINOFANIRA KUDZIVISWA SEZVINGABVIRA.]
1)Kurima nekutengesa zvirimwa zvinonyanya kudyiwa
2)Kurima nekutengesa miriwo nemichhero 
3)Kurima nekutengesa zvirimwa zvisiri zvekudya
4)Kuchengeta nekutengesa zvipfuyo nezvinowanikwa kuzvipfuyo 
5)Kuchengeta nyuchi nekutengesa huchi nezvigadzirwa zvehuchi
6)Kuchengeta nekutengesa hove 
7)Kuunganidza nekutengesa zvinowanikwa musango 
8)Ketenga nekutengesa zvirimwa zvamusingarimi imi [zviri pamutemo kana zviziripamutemo]
9)Muhoro wepazuva pamabasa ekurima kana emaricho muchikamu chezvekurima
10)Basa renguva dzose muchikamu chezvekurima 
11)Kuzvishandira musiri muchikamu chezvekurima / chiremba / kugadzira mapurani edzimba / gweta / kusanganisira maresitorendi
12)Muhoro wepazuva kubva kumaricho asiri muchikamu chezvekurima
13)Basa renguva dzose risiri muchikamu chezvekurima
14)Basa muchikamu chehurumende 
15)Mari isiri yekushandira / yeZvipo
16)Mari isiri yekushandira / Mari yeWerofeya/yepenjeni/yerubatsiro
17)Mari isiri yekushandira / Yekutumirwa kubva kunze
18)Mari isiri yekushandira / Mari kubva kumamwe marendi
19)Hapana kwakabva mari mukati memwedzi 3 yapfuura uye taingoshandisa yagara yakachengetwa / yezvikwereti
20)ARAMBA</t>
        </is>
      </c>
      <c r="G68" s="564">
        <f>LEN(F68)</f>
        <v/>
      </c>
      <c r="H68" s="563" t="inlineStr">
        <is>
          <t>Yiwuphi umthombo wesibili womuzi wakho wokuthola imali kunyanga ezintathu ezidlulileyo?
[OQHUBAYO: IMPENDULO EYODWA. IMPENDULO EZIYALIWEYO KUMELE ZIBALEKELWE KAKHULU.]
1)Ukulinywa lokuthengiswa kwezilimo ezilinywa kakhulu njalo ngabanengi
2)Ukulinywa lokuthengiswa kwemibhida kumbe izithelo
3)Ukulinywa lokuthengiswa kwezilimo ezithengiswayo
4)Ukufuywa lokuthengiswa kwezifuyo kanye lokuvela ezifuyweni
5)Ukufuywa lokuthengiswa koluju kanye lokuvela elujwini
6)Ukufuywa lokuthengiswa kwenhlanzi 
7)Ukuqoqwa lokuthengiswa kwezihlahla kumbe okuvela ezigangeni
8)Ukuthengiselana ezilinywayo OKUNGAGOQELI abalungisayo [okusemthethweni kumbe okungekho emthethweni]
9)Umholo wansukuzonke emapulazini kanye leminye imisebenzi-nje kugatsha lwezokulima 
10)Umsebenzi ogxilileyo kugatsha lwezokulima
11)Ukuzisebenzela okungekho kugatsha lwezokulima kumbe umsebenzi wenkululeko/udokotela/umdwebi wezakhiwo/ igwetha/kugoqela indawo zokudlela
12)Imholo evela kumsebenzi ongekho kwezokulima kanye leminye-nje imisebenzi engekho kugatsha lwezokulima
13)Umsebenzi ogxilileyo ongekho kugatsha lwezokulima
14)Umsebenzi kugatsha likahulumende 
15)Imali engatholwa emsebenzini/eyokuphiwa ngabalomusa
16)Imali engatholwa emsebenzini/imali ephiwa ukuziphilisa/ipentsheni/uncedo lokunikela ngokuzithandela
17)Imali engatholwa emsebenzini/ ethunyelwa ivela kwamanye amazwe
18)Imali engatholwa emsebenzini/imali evela kwezokurenta
19)Akulandawo yokuthola imali kunyanga ezintathu ezidlulileyo njalo kwasetshenziswa kakhulu imali egciniweyo/isikwelede
20)WALILE</t>
        </is>
      </c>
      <c r="I68" s="315">
        <f>LEN(H68)</f>
        <v/>
      </c>
      <c r="J68" s="374" t="inlineStr">
        <is>
          <t>Single Choice</t>
        </is>
      </c>
      <c r="K68" s="315" t="inlineStr">
        <is>
          <t>NA</t>
        </is>
      </c>
      <c r="L68" s="315" t="inlineStr">
        <is>
          <t>NA</t>
        </is>
      </c>
      <c r="M68" s="315" t="inlineStr">
        <is>
          <t>Form Type - Buttons
exclude selected "income_main"
IsDemographic</t>
        </is>
      </c>
      <c r="N68" s="353" t="inlineStr">
        <is>
          <t>1-3 = income_sec_cropcheck
4 = income_sec_lscheck 
5 = income_sec_amount
6 = income_sec_fishcheck
7-18 = income_sec_amount
19-20 = shock</t>
        </is>
      </c>
      <c r="O68" s="138" t="n"/>
      <c r="P68" s="138" t="n"/>
      <c r="Q68" s="390" t="inlineStr">
        <is>
          <t xml:space="preserve"> if options #1-3 selected go to income_sec_cropcheck 
if options #4 selected go to income_sec_lscheck 
if options #5 selected go to income_sec_fishcheck 
if options #6-18 selected, go to [income_sec_comp OR income_sec_amount OR income_sec_gender] 
if options #19-21 selected, go to shock</t>
        </is>
      </c>
      <c r="R68" s="392" t="n"/>
      <c r="S68" s="64" t="inlineStr">
        <is>
          <t>resp_age = 18-100
hh_agricactivity = 1 | 2 | 3 | 4
quotareached = 2
income_main = 1-18</t>
        </is>
      </c>
      <c r="T68" s="68" t="n"/>
      <c r="U68" s="92" t="n">
        <v>25.30800437927246</v>
      </c>
      <c r="V68" s="93">
        <f>1</f>
        <v/>
      </c>
      <c r="W68" s="92">
        <f>U68*V68</f>
        <v/>
      </c>
      <c r="X68" s="3" t="n"/>
      <c r="Z68" s="7" t="inlineStr">
        <is>
          <t>yes</t>
        </is>
      </c>
      <c r="AA68" s="54" t="n"/>
      <c r="AD68" s="8" t="inlineStr">
        <is>
          <t>Change in skip pattern (col J)
Change in answer option #1</t>
        </is>
      </c>
    </row>
    <row r="69" ht="150" customFormat="1" customHeight="1" s="5">
      <c r="A69" s="503">
        <f>A68+1</f>
        <v/>
      </c>
      <c r="B69" s="59" t="inlineStr">
        <is>
          <t>income_sec_cropcheck</t>
        </is>
      </c>
      <c r="C69" s="60" t="inlineStr">
        <is>
          <t>income_sec_cropcheck</t>
        </is>
      </c>
      <c r="D69" s="518" t="inlineStr">
        <is>
          <t>Are the crops that you sell produced by you or anyone in your household? 
[OPERATOR: SINGLE RESPONSE.]
1)YES
2)NO
3)DON'T KNOW
4)REFUSED</t>
        </is>
      </c>
      <c r="E69" s="564">
        <f>LEN(D69)</f>
        <v/>
      </c>
      <c r="F69" s="518" t="inlineStr">
        <is>
          <t>Zvirimwa zvamunotengesa zvinorimwa nemi here kana kuti nemumwe  wemumhuri menyu? 
[ARI KUITISA ONGORORO: MHINDURO IMWE CHETE.]
1)HONGU 
2)KWETE
3)HANDIZIVI
4)ARAMBA</t>
        </is>
      </c>
      <c r="G69" s="564">
        <f>LEN(F69)</f>
        <v/>
      </c>
      <c r="H69" s="518" t="inlineStr">
        <is>
          <t>Kungabe izilimo ozithengisayo zilinywa nguwe kumbe omunye womuzi wakho?
[OQHUBAYO: IMPENDULO EYODWA.]
1)YEBO  
2)HATSHI
3)KAZI
4)WALILE</t>
        </is>
      </c>
      <c r="I69" s="315">
        <f>LEN(H69)</f>
        <v/>
      </c>
      <c r="J69" s="343" t="inlineStr">
        <is>
          <t>Single Choice</t>
        </is>
      </c>
      <c r="K69" s="315" t="inlineStr">
        <is>
          <t>NA</t>
        </is>
      </c>
      <c r="L69" s="315" t="inlineStr">
        <is>
          <t>NA</t>
        </is>
      </c>
      <c r="M69" s="315" t="inlineStr">
        <is>
          <t>Form Type - Buttons</t>
        </is>
      </c>
      <c r="N69" s="326" t="inlineStr">
        <is>
          <t>1-4 = income_sec_amount</t>
        </is>
      </c>
      <c r="O69" s="138" t="n"/>
      <c r="P69" s="138" t="n"/>
      <c r="Q69" s="390" t="inlineStr">
        <is>
          <t>if options #1-4, go to [income_sec_comp OR income_sec_amount OR income_sec_gender]</t>
        </is>
      </c>
      <c r="R69" s="392" t="n"/>
      <c r="S69" s="64" t="inlineStr">
        <is>
          <t>resp_age = 18-100
hh_agricactivity = 1 | 2 | 3 | 4
quotareached = 2
income_sec = 1 | 2 | 3</t>
        </is>
      </c>
      <c r="T69" s="68" t="n"/>
      <c r="U69" s="92" t="n"/>
      <c r="V69" s="93">
        <f>1</f>
        <v/>
      </c>
      <c r="W69" s="92">
        <f>U69*V69</f>
        <v/>
      </c>
      <c r="X69" s="3" t="n"/>
      <c r="Z69" s="7" t="inlineStr">
        <is>
          <t>yes</t>
        </is>
      </c>
      <c r="AA69" s="54" t="n"/>
      <c r="AD69" s="6" t="inlineStr">
        <is>
          <t>New question</t>
        </is>
      </c>
    </row>
    <row r="70" ht="168.75" customFormat="1" customHeight="1" s="5">
      <c r="A70" s="503">
        <f>A69+1</f>
        <v/>
      </c>
      <c r="B70" s="59" t="inlineStr">
        <is>
          <t>income_sec_lscheck</t>
        </is>
      </c>
      <c r="C70" s="60" t="inlineStr">
        <is>
          <t>income_sec_lscheck</t>
        </is>
      </c>
      <c r="D70" s="115" t="inlineStr">
        <is>
          <t>Are the livestock and livestock products that you sell produced by you or anyone in your household? 
[OPERATOR: SINGLE RESPONSE.]
1)YES
2)NO
3)DON'T KNOW
4)REFUSED</t>
        </is>
      </c>
      <c r="E70" s="564">
        <f>LEN(D70)</f>
        <v/>
      </c>
      <c r="F70" s="115" t="inlineStr">
        <is>
          <t>Zvipfuyo zvamunotengesa zvinochengetwa nemi here kana kuti nemumwe wemumhuri menyu?
[ARI KUITISA ONGORORO: MHINDURO IMWE CHETE.]
1)HONGU 
2)KWETE
3)HANDIZIVI
4)ARAMBA</t>
        </is>
      </c>
      <c r="G70" s="564">
        <f>LEN(F70)</f>
        <v/>
      </c>
      <c r="H70" s="115" t="inlineStr">
        <is>
          <t>Kungabe izifuyo kanye lokuvela ezifuyweni okuthengisayo kulungiswa nguwe kumbe omunye womuzi wakho? 
[OQHUBAYO: IMPENDULO EYODWA.]
1)YEBO  
2)HATSHI
3)KAZI
4)WALILE</t>
        </is>
      </c>
      <c r="I70" s="315">
        <f>LEN(H70)</f>
        <v/>
      </c>
      <c r="J70" s="343" t="inlineStr">
        <is>
          <t>Single Choice</t>
        </is>
      </c>
      <c r="K70" s="315" t="inlineStr">
        <is>
          <t>NA</t>
        </is>
      </c>
      <c r="L70" s="315" t="inlineStr">
        <is>
          <t>NA</t>
        </is>
      </c>
      <c r="M70" s="315" t="inlineStr">
        <is>
          <t>Form Type - Buttons</t>
        </is>
      </c>
      <c r="N70" s="326" t="inlineStr">
        <is>
          <t>1-4 = income_sec_amount</t>
        </is>
      </c>
      <c r="O70" s="138" t="n"/>
      <c r="P70" s="138" t="n"/>
      <c r="Q70" s="390" t="inlineStr">
        <is>
          <t>if options #1-4, go to [income_sec_comp OR income_sec_amount OR income_sec_gender]</t>
        </is>
      </c>
      <c r="R70" s="392" t="n"/>
      <c r="S70" s="64" t="inlineStr">
        <is>
          <t>resp_age = 18-100
hh_agricactivity = 1 | 2 | 3 | 4
quotareached = 2
income_sec = 4</t>
        </is>
      </c>
      <c r="T70" s="68" t="n"/>
      <c r="U70" s="92" t="n"/>
      <c r="V70" s="93">
        <f>1</f>
        <v/>
      </c>
      <c r="W70" s="92">
        <f>U70*V70</f>
        <v/>
      </c>
      <c r="X70" s="3" t="n"/>
      <c r="Z70" s="7" t="inlineStr">
        <is>
          <t>yes</t>
        </is>
      </c>
      <c r="AA70" s="54" t="n"/>
      <c r="AD70" s="6" t="inlineStr">
        <is>
          <t>New question</t>
        </is>
      </c>
    </row>
    <row r="71" ht="150" customFormat="1" customHeight="1" s="5">
      <c r="A71" s="503">
        <f>A70+1</f>
        <v/>
      </c>
      <c r="B71" s="59" t="inlineStr">
        <is>
          <t>income_sec_fishcheck</t>
        </is>
      </c>
      <c r="C71" s="60" t="inlineStr">
        <is>
          <t>income_sec_fishcheck</t>
        </is>
      </c>
      <c r="D71" s="115" t="inlineStr">
        <is>
          <t>Are the fish products that you sell produced by you or anyone in your household? 
[OPERATOR: SINGLE RESPONSE.]
1)YES
2)NO
3)DON'T KNOW
4)REFUSED</t>
        </is>
      </c>
      <c r="E71" s="564">
        <f>LEN(D71)</f>
        <v/>
      </c>
      <c r="F71" s="115" t="inlineStr">
        <is>
          <t>Hove dzamunotengesa dzinochengetwa nemi here kana kuti nemumwe wemumhuri menyu? 
[ARI KUITISA ONGORORO: MHINDURO IMWE CHETE.]
1)HONGU 
2)KWETE
3)HANDIZIVI
4)ARAMBA</t>
        </is>
      </c>
      <c r="G71" s="564">
        <f>LEN(F71)</f>
        <v/>
      </c>
      <c r="H71" s="115" t="inlineStr">
        <is>
          <t>Kungabe inhlanzi ozithengisayo zilungiswe nguwe kumbe omunye emuzini wakho?
[OQHUBAYO: IMPENDULO EYODWA.]
1)YEBO  
2)HATSHI
3)KAZI
4)WALILE</t>
        </is>
      </c>
      <c r="I71" s="315">
        <f>LEN(H71)</f>
        <v/>
      </c>
      <c r="J71" s="343" t="inlineStr">
        <is>
          <t>Single Choice</t>
        </is>
      </c>
      <c r="K71" s="315" t="inlineStr">
        <is>
          <t>NA</t>
        </is>
      </c>
      <c r="L71" s="315" t="inlineStr">
        <is>
          <t>NA</t>
        </is>
      </c>
      <c r="M71" s="315" t="inlineStr">
        <is>
          <t>Form Type - Buttons</t>
        </is>
      </c>
      <c r="N71" s="326" t="inlineStr">
        <is>
          <t>1-4 =income_sec_amount</t>
        </is>
      </c>
      <c r="O71" s="138" t="n"/>
      <c r="P71" s="138" t="n"/>
      <c r="Q71" s="390" t="inlineStr">
        <is>
          <t>if options #1-4, go to [income_sec_comp OR income_sec_amount OR income_sec_gender]</t>
        </is>
      </c>
      <c r="R71" s="392" t="n"/>
      <c r="S71" s="64" t="inlineStr">
        <is>
          <t>resp_age = 18-100
hh_agricactivity = 1 | 2 | 3 | 4
quotareached = 2
income_sec = 5</t>
        </is>
      </c>
      <c r="T71" s="68" t="n"/>
      <c r="U71" s="92" t="n"/>
      <c r="V71" s="93">
        <f>1</f>
        <v/>
      </c>
      <c r="W71" s="92">
        <f>U71*V71</f>
        <v/>
      </c>
      <c r="X71" s="3" t="n"/>
      <c r="Z71" s="7" t="inlineStr">
        <is>
          <t>yes</t>
        </is>
      </c>
      <c r="AA71" s="54" t="n"/>
      <c r="AD71" s="6" t="inlineStr">
        <is>
          <t>New question</t>
        </is>
      </c>
    </row>
    <row r="72" ht="112.5" customFormat="1" customHeight="1" s="5">
      <c r="A72" s="503">
        <f>A71+1</f>
        <v/>
      </c>
      <c r="B72" s="160" t="inlineStr">
        <is>
          <t>income_sec_amount</t>
        </is>
      </c>
      <c r="C72" s="69" t="inlineStr">
        <is>
          <t>income_sec_amount</t>
        </is>
      </c>
      <c r="D72" s="159" t="inlineStr">
        <is>
          <t>How much was earned [in USD] from your second main income source, {income_sec}, in the past 3 months ?
[OPERATOR: DOUBLE CHECK FOR OUTLIERS &amp; MAKE SURE THE INFORMATION IS RECORDED IN THE CORRECT CURRENCY. ENTER 8888888 FOR DON'T KNOW AND 9999999 FOR REFUSED.]</t>
        </is>
      </c>
      <c r="E72" s="564">
        <f>LEN(D72)</f>
        <v/>
      </c>
      <c r="F72" s="159" t="inlineStr">
        <is>
          <t>Imarii yakawanikwa [muMadhora ekuAmerika] kubva kwamunonyanya kuwana mari kwechipiri, {income_sec}, mumwedzi 3 yapfuura?
[ARI KUITISA ONGORORO: NYATSOONGORORA PANE YAKASIYANA UYE UVE NECHOKWADI CHEKUTI MARI YANYORWA IRI MUMHANDO IRI KUTARISIRWA. ISA 8888888 KANA ASINGAZIVE UYE 9999999 KANA ARAMBA.]</t>
        </is>
      </c>
      <c r="G72" s="163">
        <f>LEN(F72)</f>
        <v/>
      </c>
      <c r="H72" s="159" t="inlineStr">
        <is>
          <t>Yimalini eyatholwayo ngamadola emelika [USD]  iphuma kumthombo wakho wemali wesibili, {income_sec}, kunyanga ezintathu ezidlulileyo?
[OQHUBAYO: KHANGELA KABILI OKWAHLUKENEYO UBE SUQINISEKISA UKUTHI ULWAZI LUREKHODIWE NGEMALI EQONDILEYO. FAKA U 8888888 NXA UNGAZI LO 9999999 NXA WALILE.]</t>
        </is>
      </c>
      <c r="I72" s="323">
        <f>LEN(H72)</f>
        <v/>
      </c>
      <c r="J72" s="323" t="inlineStr">
        <is>
          <t>Range</t>
        </is>
      </c>
      <c r="K72" s="323" t="inlineStr">
        <is>
          <t>NA</t>
        </is>
      </c>
      <c r="L72" s="323" t="inlineStr">
        <is>
          <t>NA</t>
        </is>
      </c>
      <c r="M72" s="323" t="inlineStr">
        <is>
          <t>Form Type - TextBox</t>
        </is>
      </c>
      <c r="N72" s="357" t="inlineStr">
        <is>
          <t>1 - 100000 = income_sec_gender
100001 - 200000 = income_sec_amount_conf
8888888-8888888 = income_sec_gender
9999999-9999999 = income_sec_gender</t>
        </is>
      </c>
      <c r="O72" s="138" t="n"/>
      <c r="P72" s="138" t="n"/>
      <c r="Q72" s="390" t="n"/>
      <c r="R72" s="392" t="n"/>
      <c r="S72" s="64" t="n"/>
      <c r="T72" s="68" t="n"/>
      <c r="U72" s="92" t="n"/>
      <c r="V72" s="93" t="n"/>
      <c r="W72" s="92" t="n"/>
      <c r="X72" s="3" t="n"/>
      <c r="Z72" s="7" t="n"/>
      <c r="AA72" s="54" t="n"/>
      <c r="AD72" s="6" t="n"/>
    </row>
    <row r="73" ht="131.25" customFormat="1" customHeight="1" s="5">
      <c r="A73" s="503">
        <f>A72+1</f>
        <v/>
      </c>
      <c r="B73" s="160" t="inlineStr">
        <is>
          <t>income_sec_amount_conf</t>
        </is>
      </c>
      <c r="C73" s="162" t="inlineStr">
        <is>
          <t>income_sec_amount_conf</t>
        </is>
      </c>
      <c r="D73" s="159" t="inlineStr">
        <is>
          <t>Can you confirm the amount of income you just stated is correct?
[OPERATOR: IF THE AMOUNT EARNED FROM THIS INCOME SOURCE OVER THE PAST 3 MONTH IS INDEED OVER 100000, CLICK ON CONTINUE. OTHERWISE, GO BACK AND CHANGE THE AMOUNT ENTERED.]
1)CONTINUE</t>
        </is>
      </c>
      <c r="E73" s="564">
        <f>LEN(D73)</f>
        <v/>
      </c>
      <c r="F73" s="159" t="inlineStr">
        <is>
          <t>Munokwanisa kusimbisira here kuti muve nechokwadi chekuti mari yamataura ndiyo chaiyo?
[ARI KUITISA ONGORORO: KANA MARI YAKAWANIKWA ICHIPFUURA 100000, DZVANYA PAKANZI ENDERERA MBERI. ZVICHIDA, PANGADA KUTI UDZOKERE KUTI UCHINJE MARI YAISWA.]
1)ENDERERA MBERI</t>
        </is>
      </c>
      <c r="G73" s="163">
        <f>LEN(F73)</f>
        <v/>
      </c>
      <c r="H73" s="159" t="inlineStr">
        <is>
          <t>Ungavuma inani lemali osanda kuyitsho ukuthi liqondile?
[OQHUBAYO: NXA INANI LEMALI EHOLWE LAPHA KUNYANGA EZINTATHU EZIDLULILEYO LEDLULA ISILINGANISO SE 100000, FITHIZELA KU-QHUBEKA, KUNGENJALO, BUYELA EMUVA UYETSHINTSHA INANI ELIFAKIWEYO]
1)QHUBEKA</t>
        </is>
      </c>
      <c r="I73" s="323">
        <f>LEN(H73)</f>
        <v/>
      </c>
      <c r="J73" s="358" t="inlineStr">
        <is>
          <t>Single Choice</t>
        </is>
      </c>
      <c r="K73" s="359" t="inlineStr">
        <is>
          <t>NA</t>
        </is>
      </c>
      <c r="L73" s="359" t="inlineStr">
        <is>
          <t>NA</t>
        </is>
      </c>
      <c r="M73" s="359" t="inlineStr">
        <is>
          <t>Form Type - Buttons</t>
        </is>
      </c>
      <c r="N73" s="360" t="inlineStr">
        <is>
          <t>1 = income_sec_gender</t>
        </is>
      </c>
      <c r="O73" s="144" t="n"/>
      <c r="P73" s="144" t="n"/>
      <c r="Q73" s="394" t="inlineStr">
        <is>
          <t>if income_sec_amount_conf = 1, go to income_sec_comp</t>
        </is>
      </c>
      <c r="R73" s="392" t="n"/>
      <c r="S73" s="64" t="n"/>
      <c r="T73" s="68" t="n"/>
      <c r="U73" s="92" t="n"/>
      <c r="V73" s="93" t="n"/>
      <c r="W73" s="92" t="n"/>
      <c r="X73" s="3" t="n"/>
      <c r="Z73" s="7" t="n"/>
      <c r="AA73" s="54" t="n"/>
      <c r="AD73" s="6" t="n"/>
    </row>
    <row r="74" ht="187.5" customFormat="1" customHeight="1" s="5">
      <c r="A74" s="506">
        <f>A73+1</f>
        <v/>
      </c>
      <c r="B74" s="190" t="inlineStr">
        <is>
          <t>income_sec_gender</t>
        </is>
      </c>
      <c r="C74" s="191" t="inlineStr">
        <is>
          <t>income_sec_gender</t>
        </is>
      </c>
      <c r="D74" s="519" t="inlineStr">
        <is>
          <t>What is the gender of the household member[s] generating income from {income_sec} ? 
[OPERATOR: SINGLE RESPONSE.]
1)Male 
2)Female
3)Joint [both male &amp; female]
4)DON'T KNOW
5)REFUSED</t>
        </is>
      </c>
      <c r="E74" s="564">
        <f>LEN(D74)</f>
        <v/>
      </c>
      <c r="F74" s="519" t="inlineStr">
        <is>
          <t>Vanowana kana kuti anowana mari mumhuri kubva mune {income_sec} munhurume here kana kuti munhukadzi? 
[ARI KUITISA ONGORORO: MHINDURO IMWE CHETE.]
1)Murume
2)Mukadzi
3)Vakasangana [munhurume nemunhukadzi]
4)HANDIZIVI
5)ARAMBA</t>
        </is>
      </c>
      <c r="G74" s="192">
        <f>LEN(F74)</f>
        <v/>
      </c>
      <c r="H74" s="519" t="inlineStr">
        <is>
          <t>Ubulili bama[be]lunga omuzi abathola imali evela {income_sec} yibuphi ? 
[OQHUBAYO: IMPENDULO EYODWA.]
1)Ngowesilisa
2)Ngowesifazana
3)Bahlangene [bobabili isilisa lesifazane]
4)KAZI
5)WALILE</t>
        </is>
      </c>
      <c r="I74" s="369">
        <f>LEN(H74)</f>
        <v/>
      </c>
      <c r="J74" s="368" t="inlineStr">
        <is>
          <t>Single Choice</t>
        </is>
      </c>
      <c r="K74" s="369" t="inlineStr">
        <is>
          <t>NA</t>
        </is>
      </c>
      <c r="L74" s="369" t="inlineStr">
        <is>
          <t>NA</t>
        </is>
      </c>
      <c r="M74" s="369" t="inlineStr">
        <is>
          <t>Form Type - Buttons</t>
        </is>
      </c>
      <c r="N74" s="375" t="inlineStr">
        <is>
          <t>1-5 = income_sec_control</t>
        </is>
      </c>
      <c r="O74" s="144" t="n"/>
      <c r="P74" s="144" t="n"/>
      <c r="Q74" s="392" t="inlineStr">
        <is>
          <t>if options #1-4, go to [income_sec_comp OR income_sec_amount]</t>
        </is>
      </c>
      <c r="R74" s="392" t="n"/>
      <c r="S74" s="64" t="inlineStr">
        <is>
          <t>resp_age = 18-100
hh_agricactivity = 1 | 2 | 3 | 4
quotareached = 2
income_sec =  1-18</t>
        </is>
      </c>
      <c r="T74" s="68" t="n"/>
      <c r="U74" s="58" t="n">
        <v>17</v>
      </c>
      <c r="V74" s="57">
        <f>1</f>
        <v/>
      </c>
      <c r="W74" s="58">
        <f>U74*V74</f>
        <v/>
      </c>
      <c r="X74" s="3" t="n"/>
      <c r="Z74" s="7" t="inlineStr">
        <is>
          <t>no</t>
        </is>
      </c>
      <c r="AA74" s="54" t="n"/>
      <c r="AD74" s="6" t="inlineStr">
        <is>
          <t>New question</t>
        </is>
      </c>
    </row>
    <row r="75" ht="168.75" customFormat="1" customHeight="1" s="5">
      <c r="A75" s="451">
        <f>A74+1</f>
        <v/>
      </c>
      <c r="B75" s="160" t="inlineStr">
        <is>
          <t>income_sec_control</t>
        </is>
      </c>
      <c r="C75" s="160" t="inlineStr">
        <is>
          <t>income_sec_control</t>
        </is>
      </c>
      <c r="D75" s="520" t="inlineStr">
        <is>
          <t>Who controls the revenue that is earned from {income_sec} ? 
[OPERATOR: SINGLE RESPONSE.]
1)Male household member[s]
2)Female household member[s]
3)Joint household members [both female &amp; male]
4)DON'T KNOW
5)REFUSED</t>
        </is>
      </c>
      <c r="E75" s="564">
        <f>LEN(D75)</f>
        <v/>
      </c>
      <c r="F75" s="520" t="inlineStr">
        <is>
          <t>Ndiani anotarisira nhau dzemari inowanikwa kubva mune {income_sec} ? 
[ARI KUITISA ONGORORO: MHINDURO IMWE CHETE.]
1)Munhurume kana vanhurume vari mumhuri
2)Munhukadzi kana vanhukadzi vari mumhuri
3)Vakasangana [vose vakadzi nevarume]
4)HANDIZIVI
5)ARAMBA</t>
        </is>
      </c>
      <c r="G75" s="163">
        <f>LEN(F75)</f>
        <v/>
      </c>
      <c r="H75" s="520" t="inlineStr">
        <is>
          <t>Ngubani olawula imali etholwa ivela {income_sec} ? 
[OQHUBAYO: IMPENDULO EYODWA]
1)Ama[i]lunga omuzi awesilisa
2)Ama[i]lunga omuzi awesifazane
3)Amalunga omuzi ayahlanganisa [bobabili abesifazane labesilisa]
4)KAZI
5)WALILE</t>
        </is>
      </c>
      <c r="I75" s="323">
        <f>LEN(H75)</f>
        <v/>
      </c>
      <c r="J75" s="349" t="inlineStr">
        <is>
          <t>Single Choice</t>
        </is>
      </c>
      <c r="K75" s="323" t="inlineStr">
        <is>
          <t>NA</t>
        </is>
      </c>
      <c r="L75" s="323" t="inlineStr">
        <is>
          <t>NA</t>
        </is>
      </c>
      <c r="M75" s="323" t="inlineStr">
        <is>
          <t>Form Type - Buttons</t>
        </is>
      </c>
      <c r="N75" s="335" t="inlineStr">
        <is>
          <t>1-5 = income_sec_comp</t>
        </is>
      </c>
      <c r="O75" s="144" t="n"/>
      <c r="P75" s="144" t="n"/>
      <c r="Q75" s="392" t="n"/>
      <c r="R75" s="392" t="n"/>
      <c r="S75" s="64" t="n"/>
      <c r="T75" s="264" t="inlineStr">
        <is>
          <t>We recommend using this pair of questions together.</t>
        </is>
      </c>
      <c r="U75" s="58" t="n"/>
      <c r="V75" s="57" t="n"/>
      <c r="W75" s="58" t="n"/>
      <c r="X75" s="3" t="n"/>
      <c r="Z75" s="7" t="n"/>
      <c r="AA75" s="54" t="n"/>
      <c r="AD75" s="6" t="n"/>
    </row>
    <row r="76" ht="244.5" customFormat="1" customHeight="1" s="5" thickBot="1">
      <c r="A76" s="504">
        <f>A74+1</f>
        <v/>
      </c>
      <c r="B76" s="78" t="inlineStr">
        <is>
          <t>income_sec_comp</t>
        </is>
      </c>
      <c r="C76" s="278" t="inlineStr">
        <is>
          <t>income_sec_comp</t>
        </is>
      </c>
      <c r="D76" s="276"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76" s="81">
        <f>LEN(D76)</f>
        <v/>
      </c>
      <c r="F76" s="276" t="inlineStr">
        <is>
          <t>Mari yakawanikwa nemhuri kubva kwamunonyanya kuwana mari {income_sec} yakachinja here mukati memwedzi 3 yapfuura kana muchienzanisa neyamakawana panguva yakafanana gore rapfuura?
[ARI KUITISA ONGORORO: MHINDURO IMWE CHETE.]
1)Yakawedzera zvikuru [yakawedzera nechikamu chinopfuura 50 muzana]
2)Yakawedzera zvishoma
3)Yakangofanana
4)Yakadzikira zvishoma
5)Yakadzikira zvikuru [iri pasi zvikuru pechidimbu]
6)HANDIZIVI
7)ARAMBA</t>
        </is>
      </c>
      <c r="G76" s="81">
        <f>LEN(F76)</f>
        <v/>
      </c>
      <c r="H76" s="276" t="inlineStr">
        <is>
          <t>Kungabe imali etholwa ngabomuzi wakho {income_sec} yatshintsha kunyanga ezintathu ezidlulileyo nxa kuqathyaniswa lasikhathi esifanayo ngomnyaka ophelileyo?
[OQHUBAYO: IMPENDULO EYODWA.]
1)Kanengi kakhulu [yengezeleka ngokunengi kulamaphesenti angu- 50%]
2)Kanengi mbijana
3)ngokufanana
4)Kancane mbijana
5)Kancane kakhulu [ngokulutshwana okwedlula ingxenye yakho]
6)KAZI
7)WALILE</t>
        </is>
      </c>
      <c r="I76" s="81">
        <f>LEN(H76)</f>
        <v/>
      </c>
      <c r="J76" s="82" t="inlineStr">
        <is>
          <t>Single Choice</t>
        </is>
      </c>
      <c r="K76" s="81" t="inlineStr">
        <is>
          <t>NA</t>
        </is>
      </c>
      <c r="L76" s="81" t="inlineStr">
        <is>
          <t>NA</t>
        </is>
      </c>
      <c r="M76" s="81" t="inlineStr">
        <is>
          <t>Form Type - Buttons</t>
        </is>
      </c>
      <c r="N76" s="277" t="inlineStr">
        <is>
          <t>1-7= income_third</t>
        </is>
      </c>
      <c r="O76" s="371" t="n"/>
      <c r="P76" s="371" t="n"/>
      <c r="Q76" s="393" t="inlineStr">
        <is>
          <t>if income_sec_comp = 1-7, go to income_third</t>
        </is>
      </c>
      <c r="R76" s="428" t="n"/>
      <c r="S76" s="84" t="inlineStr">
        <is>
          <t>resp_age = 18-100
hh_agricactivity = 1 | 2 | 3 | 4
quotareached = 2
income_main = 1-18
income_sec = 1-18</t>
        </is>
      </c>
      <c r="T76" s="85" t="n"/>
      <c r="U76" s="92" t="n">
        <v>21.19325637817383</v>
      </c>
      <c r="V76" s="93">
        <f>1</f>
        <v/>
      </c>
      <c r="W76" s="92">
        <f>U76*V76</f>
        <v/>
      </c>
      <c r="X76" s="3" t="n"/>
      <c r="Z76" s="7" t="inlineStr">
        <is>
          <t>yes</t>
        </is>
      </c>
      <c r="AA76" s="54" t="n"/>
      <c r="AD76" s="8" t="inlineStr">
        <is>
          <t xml:space="preserve">Change in options #2,4 + question formulation (col D) </t>
        </is>
      </c>
    </row>
    <row r="77" ht="409.5" customFormat="1" customHeight="1" s="5">
      <c r="A77" s="247">
        <f>A75+1</f>
        <v/>
      </c>
      <c r="B77" s="59" t="inlineStr">
        <is>
          <t>income_third</t>
        </is>
      </c>
      <c r="C77" s="67" t="inlineStr">
        <is>
          <t>income_third</t>
        </is>
      </c>
      <c r="D77" s="117" t="inlineStr">
        <is>
          <t>What has been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transfer/pension/humanitarian aid
17)Income not derived from work / Remittances
18)Income not derived from work / Income from other rents 
19)No income source in the last 3 months and used exclusively savings / debt
20)REFUSED</t>
        </is>
      </c>
      <c r="E77" s="564">
        <f>LEN(D77)</f>
        <v/>
      </c>
      <c r="F77" s="117" t="inlineStr">
        <is>
          <t>Ndekupi kumwe kwechitatu kwakakosha uko mhuri yenyu yakawana mari mumwedzi 3 yapfuura?
[ARI KUITISA ONGORORO: MHINDURO IMWE CHETE. MHINDURO DZEKUTI HANDIZIVI UYE ARAMBA DZINOGONA KUSADZIVISWA SEZVINGABVIRA.]
1)Kurima nekutengesa zvirimwa zvinonyanya kudyiwa
2)Kurima nekutengesa miriwo nemichhero 
3)Kurima nekutengesa zvirimwa zvisiri zvekudya
4)Kuchengeta nekutengesa zvipfuyo nezvinowanikwa kuzvipfuyo 
5)Kuchengeta nyuchi nekutengesa huchi nezvigadzirwa zvehuchi
6)Kuchengeta nekutengesa hove 
7)Kuunganidza nekutengesa zvinowanikwa musango 
8)Ketenga nekutengesa zvirimwa zvamusingarimi imi [zviri pamutemo kana zviziripamutemo]
9)Muhoro wepazuva pamabasa ekurima kana emaricho muchikamu chezvekurima
10)Basa renguva dzose muchikamu chezvekurima 
11)Kuzvishandira musiri muchikamu chezvekurima / chiremba / kugadzira mapurani edzimba / gweta / kusanganisira maresitorendi
12)Muhoro wepazuva kubva kumaricho asiri muchikamu chezvekurima
13)Basa renguva dzose risiri muchikamu chezvekurima
14)Basa muchikamu chehurumende 
15)Mari isiri yekushandira / yeZvipo
16)Mari isiri yekushandira / Mari yeWerofeya/yepenjeni/yerubatsiro
17)Mari isiri yekushandira / Yekutumirwa kubva kunze
18)Mari isiri yekushandira / Mari kubva kumamwe marendi
19)Hapana kwakabva mari mukati memwedzi 3 yapfuura uye taingoshandisa yagara yakachengetwa / yezvikwereti
20)ARAMBA</t>
        </is>
      </c>
      <c r="G77" s="564">
        <f>LEN(F77)</f>
        <v/>
      </c>
      <c r="H77" s="117" t="inlineStr">
        <is>
          <t>Yiwuphi umthombo wesithathu womuzi wakho wokuthola imali oqakathekileyo kunyanga ezintathu ezidlulileyo?
[OQHUBAYO: IMPENDULO EYODWA. IMPENDULO ZOKUNGAZI LOKWALA AKUMELANGA ZIBALEKELWE KAKHULU.]
1)Ukulinywa lokuthengiswa kwezilimo ezilinywa kakhulu njalo ngabanengi
2)Ukulinywa lokuthengiswa kwemibhida kumbe izithelo
3)Ukulinywa lokuthengiswa kwezilimo ezithengiswayo
4)Ukufuywa lokuthengiswa kwezifuyo kanye lokuvela ezifuyweni
5)Ukufuywa lokuthengiswa koluju kanye lokuvela elujwini
6)Ukufuywa lokuthengiswa kwenhlanzi 
7)Ukuqoqwa lokuthengiswa kwezihlahla kumbe okuvela ezigangeni
8)Ukuthengiselana ezilinywayo OKUNGAGOQELI abalungisayo [okusemthethweni kumbe okungekho emthethweni]
9)Umholo wansukuzonke emapulazini kanye leminye imisebenzi-nje kugatsha lwezokulima 
10)Umsebenzi ogxilileyo kugatsha lwezokulima
11)Ukuzisebenzela okungekho kugatsha lwezokulima kumbe umsebenzi wenkululeko/udokotela/umdwebi wezakhiwo/ igwetha/kugoqela indawo zokudlela
12)Imholo evela kumsebenzi ongekho kwezokulima kanye leminye-nje imisebenzi engekho kugatsha lwezokulima
13)Umsebenzi ogxilileyo ongekho kugatsha lwezokulima
14)Umsebenzi kugatsha likahulumende 
15)Imali engatholwa emsebenzini/eyokuphiwa ngabalomusa
16)Imali engatholwa emsebenzini/imali ephiwa ukuziphilisa/ipentsheni/uncedo lokunikela ngokuzithandela
17)Imali engatholwa emsebenzini/ ethunyelwa ivela kwamanye amazwe
18)Imali engatholwa emsebenzini/imali evela kwezokurenta
19)Akulandawo yokuthola imali kunyanga ezintathu ezidlulileyo njalo kwasetshenziswa kakhulu imali egciniweyo/isikwelede
20)WALILE</t>
        </is>
      </c>
      <c r="I77" s="315">
        <f>LEN(H77)</f>
        <v/>
      </c>
      <c r="J77" s="374" t="inlineStr">
        <is>
          <t>Single Choice</t>
        </is>
      </c>
      <c r="K77" s="315" t="inlineStr">
        <is>
          <t>NA</t>
        </is>
      </c>
      <c r="L77" s="315" t="inlineStr">
        <is>
          <t>NA</t>
        </is>
      </c>
      <c r="M77" s="315" t="inlineStr">
        <is>
          <t>Form Type - Buttons
exclude selected "income_main"
exclude selected "income_sec"
IsDemographic</t>
        </is>
      </c>
      <c r="N77" s="326" t="inlineStr">
        <is>
          <t>1-3 = income_third_cropcheck
4 = income_third_lscheck 
5 = income_third_amount
6 = income_third_fishcheck
7-18 = income_third_amount
19-20 = shock</t>
        </is>
      </c>
      <c r="O77" s="138" t="n"/>
      <c r="P77" s="138" t="n"/>
      <c r="Q77" s="390" t="inlineStr">
        <is>
          <t>if options #1-3 selected go to income_third_cropcheck 
if options #4 selected go to income_third_lscheck 
if options #5 selected go to income_third_fishcheck 
if options #6-18 selected, go to [income_third_comp OR income_third_amount OR income_third_gender] 
if options #19-21 selected, go to shock</t>
        </is>
      </c>
      <c r="R77" s="392" t="n"/>
      <c r="S77" s="64" t="inlineStr">
        <is>
          <t>resp_age = 18-100
hh_agricactivity = 1 | 2 | 3 | 4
quotareached = 2
income_main = 1-18
income_sec = 1-18</t>
        </is>
      </c>
      <c r="T77" s="68" t="n"/>
      <c r="U77" s="92" t="n">
        <v>20.22992706298828</v>
      </c>
      <c r="V77" s="93">
        <f>1</f>
        <v/>
      </c>
      <c r="W77" s="92">
        <f>U77*V77</f>
        <v/>
      </c>
      <c r="X77" s="3" t="n"/>
      <c r="Z77" s="7" t="inlineStr">
        <is>
          <t>yes</t>
        </is>
      </c>
      <c r="AA77" s="54" t="n"/>
      <c r="AD77" s="8" t="inlineStr">
        <is>
          <t>Change in skip pattern (col J)
Change in answer option #1</t>
        </is>
      </c>
    </row>
    <row r="78" ht="150" customFormat="1" customHeight="1" s="5">
      <c r="A78" s="503">
        <f>A76+1</f>
        <v/>
      </c>
      <c r="B78" s="59" t="inlineStr">
        <is>
          <t>income_third_cropcheck</t>
        </is>
      </c>
      <c r="C78" s="60" t="inlineStr">
        <is>
          <t>income_third_cropcheck</t>
        </is>
      </c>
      <c r="D78" s="115" t="inlineStr">
        <is>
          <t>Are the crops that you sell produced by you or anyone in your household? 
[OPERATOR: SINGLE RESPONSE.]
1)YES
2)NO
3)DON'T KNOW
4)REFUSED</t>
        </is>
      </c>
      <c r="E78" s="564">
        <f>LEN(D78)</f>
        <v/>
      </c>
      <c r="F78" s="115" t="inlineStr">
        <is>
          <t>Zvirimwa zvamunotengesa zvinorimwa nemi here kana kuti nemumwe  wemumhuri menyu? 
[ARI KUITISA ONGORORO: MHINDURO IMWE CHETE.]
1)HONGU 
2)KWETE
3)HANDIZIVI
4)ARAMBA</t>
        </is>
      </c>
      <c r="G78" s="564">
        <f>LEN(F78)</f>
        <v/>
      </c>
      <c r="H78" s="115" t="inlineStr">
        <is>
          <t>Kungabe izilimo ozithengisayo zilinywa nguwe kumbe omunye womuzi wakho?
[OQHUBAYO: IMPENDULO EYODWA.]
1)YEBO  
2)HATSHI
3)KAZI
4)WALILE</t>
        </is>
      </c>
      <c r="I78" s="315">
        <f>LEN(H78)</f>
        <v/>
      </c>
      <c r="J78" s="343" t="inlineStr">
        <is>
          <t>Single Choice</t>
        </is>
      </c>
      <c r="K78" s="315" t="inlineStr">
        <is>
          <t>NA</t>
        </is>
      </c>
      <c r="L78" s="315" t="inlineStr">
        <is>
          <t>NA</t>
        </is>
      </c>
      <c r="M78" s="315" t="inlineStr">
        <is>
          <t>Form Type - Buttons</t>
        </is>
      </c>
      <c r="N78" s="326" t="inlineStr">
        <is>
          <t>1-4 = income_third_amount</t>
        </is>
      </c>
      <c r="O78" s="138" t="n"/>
      <c r="P78" s="138" t="n"/>
      <c r="Q78" s="390" t="inlineStr">
        <is>
          <t>if options #1-4, go to [income_third_comp OR income_third_amount OR income_third_gender]</t>
        </is>
      </c>
      <c r="R78" s="392" t="n"/>
      <c r="S78" s="64" t="inlineStr">
        <is>
          <t>resp_age = 18-100
hh_agricactivity = 1 | 2 | 3 | 4
quotareached = 2
income_third = 1 | 2 | 3</t>
        </is>
      </c>
      <c r="T78" s="68" t="n"/>
      <c r="U78" s="92" t="n"/>
      <c r="V78" s="93">
        <f>1</f>
        <v/>
      </c>
      <c r="W78" s="92">
        <f>U78*V78</f>
        <v/>
      </c>
      <c r="X78" s="3" t="n"/>
      <c r="Z78" s="7" t="inlineStr">
        <is>
          <t>yes</t>
        </is>
      </c>
      <c r="AA78" s="54" t="n"/>
      <c r="AD78" s="6" t="inlineStr">
        <is>
          <t>New question</t>
        </is>
      </c>
    </row>
    <row r="79" ht="168.75" customFormat="1" customHeight="1" s="5">
      <c r="A79" s="503">
        <f>A78+1</f>
        <v/>
      </c>
      <c r="B79" s="59" t="inlineStr">
        <is>
          <t>income_third_lscheck</t>
        </is>
      </c>
      <c r="C79" s="60" t="inlineStr">
        <is>
          <t>income_third_lscheck</t>
        </is>
      </c>
      <c r="D79" s="115" t="inlineStr">
        <is>
          <t>Are the livestock and livestock products that you sell produced by you or anyone in your household? 
[OPERATOR: SINGLE RESPONSE.]
1)YES
2)NO
3)DON'T KNOW
4)REFUSED</t>
        </is>
      </c>
      <c r="E79" s="564">
        <f>LEN(D79)</f>
        <v/>
      </c>
      <c r="F79" s="115" t="inlineStr">
        <is>
          <t>Zvipfuyo zvamunotengesa zvinochengetwa nemi here kana kuti nemumwe wemumhuri menyu?
[ARI KUITISA ONGORORO: MHINDURO IMWE CHETE.]
1)HONGU 
2)KWETE
3)HANDIZIVI
4)ARAMBA</t>
        </is>
      </c>
      <c r="G79" s="564">
        <f>LEN(F79)</f>
        <v/>
      </c>
      <c r="H79" s="115" t="inlineStr">
        <is>
          <t>Kungabe izifuyo kanye lokuvela ezifuyweni okuthengisayo kulungiswa nguwe kumbe omunye womuzi wakho? 
[OQHUBAYO: IMPENDULO EYODWA.]
1)YEBO  
2)HATSHI
3)KAZI
4)WALILE</t>
        </is>
      </c>
      <c r="I79" s="315">
        <f>LEN(H79)</f>
        <v/>
      </c>
      <c r="J79" s="343" t="inlineStr">
        <is>
          <t>Single Choice</t>
        </is>
      </c>
      <c r="K79" s="315" t="inlineStr">
        <is>
          <t>NA</t>
        </is>
      </c>
      <c r="L79" s="315" t="inlineStr">
        <is>
          <t>NA</t>
        </is>
      </c>
      <c r="M79" s="315" t="inlineStr">
        <is>
          <t>Form Type - Buttons</t>
        </is>
      </c>
      <c r="N79" s="326" t="inlineStr">
        <is>
          <t>1-4 = income_third_amount</t>
        </is>
      </c>
      <c r="O79" s="138" t="n"/>
      <c r="P79" s="138" t="n"/>
      <c r="Q79" s="390" t="inlineStr">
        <is>
          <t>if options #1-4, go to [income_third_comp OR income_third_amount OR income_third_gender]</t>
        </is>
      </c>
      <c r="R79" s="392" t="n"/>
      <c r="S79" s="64" t="inlineStr">
        <is>
          <t>resp_age = 18-100
hh_agricactivity = 1 | 2 | 3 | 4
quotareached = 2
income_third = 4</t>
        </is>
      </c>
      <c r="T79" s="68" t="n"/>
      <c r="U79" s="92" t="n"/>
      <c r="V79" s="93">
        <f>1</f>
        <v/>
      </c>
      <c r="W79" s="92">
        <f>U79*V79</f>
        <v/>
      </c>
      <c r="X79" s="3" t="n"/>
      <c r="Z79" s="7" t="inlineStr">
        <is>
          <t>yes</t>
        </is>
      </c>
      <c r="AA79" s="54" t="n"/>
      <c r="AD79" s="6" t="inlineStr">
        <is>
          <t>New question</t>
        </is>
      </c>
    </row>
    <row r="80" ht="150" customFormat="1" customHeight="1" s="5">
      <c r="A80" s="503">
        <f>A79+1</f>
        <v/>
      </c>
      <c r="B80" s="59" t="inlineStr">
        <is>
          <t>income_third_fishcheck</t>
        </is>
      </c>
      <c r="C80" s="60" t="inlineStr">
        <is>
          <t>income_third_fishcheck</t>
        </is>
      </c>
      <c r="D80" s="115" t="inlineStr">
        <is>
          <t>Are the fish products that you sell produced by you or anyone in your household? 
[OPERATOR: SINGLE RESPONSE.]
1)YES
2)NO
3)DON'T KNOW
4)REFUSED</t>
        </is>
      </c>
      <c r="E80" s="564">
        <f>LEN(D80)</f>
        <v/>
      </c>
      <c r="F80" s="115" t="inlineStr">
        <is>
          <t>Hove dzamunotengesa dzinochengetwa nemi here kana kuti nemumwe wemumhuri menyu? 
[ARI KUITISA ONGORORO: MHINDURO IMWE CHETE.]
1)HONGU
2)KWETE
3)HANDIZIVI
4)ARAMBA</t>
        </is>
      </c>
      <c r="G80" s="564">
        <f>LEN(F80)</f>
        <v/>
      </c>
      <c r="H80" s="115" t="inlineStr">
        <is>
          <t>Kungabe inhlanzi ozithengisayo zilungiswe nguwe kumbe omunye emuzini wakho?
[OQHUBAYO: IMPENDULO EYODWA.]
1)YEBO  
2)HATSHI
3)KAZI
4)WALILE</t>
        </is>
      </c>
      <c r="I80" s="315">
        <f>LEN(H80)</f>
        <v/>
      </c>
      <c r="J80" s="343" t="inlineStr">
        <is>
          <t>Single Choice</t>
        </is>
      </c>
      <c r="K80" s="315" t="inlineStr">
        <is>
          <t>NA</t>
        </is>
      </c>
      <c r="L80" s="315" t="inlineStr">
        <is>
          <t>NA</t>
        </is>
      </c>
      <c r="M80" s="315" t="inlineStr">
        <is>
          <t>Form Type - Buttons</t>
        </is>
      </c>
      <c r="N80" s="326" t="inlineStr">
        <is>
          <t>1-4 = income_third_amount</t>
        </is>
      </c>
      <c r="O80" s="138" t="n"/>
      <c r="P80" s="138" t="n"/>
      <c r="Q80" s="390" t="inlineStr">
        <is>
          <t>if options #1-4, go to [income_third_comp OR income_third_amount OR income_third_gender]</t>
        </is>
      </c>
      <c r="R80" s="392" t="n"/>
      <c r="S80" s="64" t="inlineStr">
        <is>
          <t>resp_age = 18-100
hh_agricactivity = 1 | 2 | 3 | 4
quotareached = 2
income_third = 5</t>
        </is>
      </c>
      <c r="T80" s="68" t="n"/>
      <c r="U80" s="92" t="n"/>
      <c r="V80" s="93">
        <f>1</f>
        <v/>
      </c>
      <c r="W80" s="92">
        <f>U80*V80</f>
        <v/>
      </c>
      <c r="X80" s="3" t="n"/>
      <c r="Z80" s="7" t="inlineStr">
        <is>
          <t>yes</t>
        </is>
      </c>
      <c r="AA80" s="54" t="n"/>
      <c r="AD80" s="6" t="inlineStr">
        <is>
          <t>New question</t>
        </is>
      </c>
    </row>
    <row r="81" ht="112.5" customFormat="1" customHeight="1" s="5">
      <c r="A81" s="503">
        <f>A80+1</f>
        <v/>
      </c>
      <c r="B81" s="160" t="inlineStr">
        <is>
          <t>income_third_amount</t>
        </is>
      </c>
      <c r="C81" s="69" t="inlineStr">
        <is>
          <t>income_third_amount</t>
        </is>
      </c>
      <c r="D81" s="159" t="inlineStr">
        <is>
          <t>How much was earned [in USD] from your third main source of income, {income_third}, in the past 3 months ?
[OPERATOR: DOUBLE CHECK FOR OUTLIERS &amp; MAKE SURE THE INFORMATION IS RECORDED IN THE CORRECT CURRENCY. ENTER 8888888 FOR DON'T KNOW AND 9999999 FOR REFUSED.]</t>
        </is>
      </c>
      <c r="E81" s="564">
        <f>LEN(D81)</f>
        <v/>
      </c>
      <c r="F81" s="159" t="inlineStr">
        <is>
          <t>Imarii yakawanikwa [muMadhora ekuAmerika] kubva kwamunonyanya kuwana mari kwechitatu, {income_third}, mumwedzi 3 yapfuura?
[ARI KUITISA ONGORORO: NYATSOONGORORA PANE YAKASIYANA UYE UVE NECHOKWADI CHEKUTI MARI YANYORWA IRI MUMHANDO IRI KUTARISIRWA. ISA 8888888 KANA ASINGAZIVE UYE 9999999 KANA ARAMBA.]</t>
        </is>
      </c>
      <c r="G81" s="163">
        <f>LEN(F81)</f>
        <v/>
      </c>
      <c r="H81" s="159" t="inlineStr">
        <is>
          <t>Yimalini eyatholwayo ngamadola emelika [USD] kumthombo wakho wesithathu {income_third} kunyanga ezintathu ezidlulileyo ?
[OQHUBAYO: KHANGELA KABILI OKWAHLUKENEYO UBE SUQINISEKISA UKUTHI ULWAZI LUREKHODIWE NGEMALI EQONDILEYO. FAKA U 8888888 NXA UNGAZI LO 9999999 NXA WALILE.]</t>
        </is>
      </c>
      <c r="I81" s="323">
        <f>LEN(H81)</f>
        <v/>
      </c>
      <c r="J81" s="452" t="inlineStr">
        <is>
          <t>Range</t>
        </is>
      </c>
      <c r="K81" s="323" t="inlineStr">
        <is>
          <t>NA</t>
        </is>
      </c>
      <c r="L81" s="323" t="inlineStr">
        <is>
          <t>NA</t>
        </is>
      </c>
      <c r="M81" s="323" t="inlineStr">
        <is>
          <t>Form Type - TextBox</t>
        </is>
      </c>
      <c r="N81" s="453" t="inlineStr">
        <is>
          <t>1-100000 = income_third_gender
100001-1000000 = income_third_amount_conf
8888888-8888888 = income_third_gender
9999999-9999999 =income_third_gender</t>
        </is>
      </c>
      <c r="O81" s="152" t="n"/>
      <c r="P81" s="152" t="n"/>
      <c r="Q81" s="391" t="inlineStr">
        <is>
          <t>If the income amount is over the threshold set in "Additional information", the respondent will be asked to confirm with income_third_amount_conf. Otherwise, go to income_third_comp.</t>
        </is>
      </c>
      <c r="R81" s="391" t="n"/>
      <c r="S81" s="72" t="inlineStr">
        <is>
          <t>resp_age = 18-100
hh_agricactivity = 1 | 2 | 3 | 4
quotareached = 2
income_main = 1-18
income_sec = 1-18
income_third = 1-18</t>
        </is>
      </c>
      <c r="T81" s="264" t="inlineStr">
        <is>
          <t>We recommend using this pair of questions together.</t>
        </is>
      </c>
      <c r="U81" s="58" t="n">
        <v>29.42983245849609</v>
      </c>
      <c r="V81" s="57">
        <f>1</f>
        <v/>
      </c>
      <c r="W81" s="58">
        <f>U81*V81</f>
        <v/>
      </c>
      <c r="X81" s="3" t="n"/>
      <c r="Z81" s="7" t="inlineStr">
        <is>
          <t>no</t>
        </is>
      </c>
      <c r="AA81" s="54" t="n"/>
      <c r="AD81" s="6" t="inlineStr">
        <is>
          <t>Change in question text (col D)</t>
        </is>
      </c>
    </row>
    <row r="82" ht="131.25" customFormat="1" customHeight="1" s="5">
      <c r="A82" s="503">
        <f>A81+1</f>
        <v/>
      </c>
      <c r="B82" s="160" t="inlineStr">
        <is>
          <t>income_third_amount_conf</t>
        </is>
      </c>
      <c r="C82" s="162" t="inlineStr">
        <is>
          <t>income_third_amount_conf</t>
        </is>
      </c>
      <c r="D82" s="159" t="inlineStr">
        <is>
          <t>Can you confirm the amount of income you just stated is correct?
[OPERATOR: IF THE AMOUNT EARNED FROM THIS INCOME SOURCE OVER THE PAST 3 MONTH IS INDEED OVER 100000, CLICK ON CONTINUE. OTHERWISE, GO BACK AND CHANGE THE AMOUNT ENTERED.]
1)CONTINUE</t>
        </is>
      </c>
      <c r="E82" s="564">
        <f>LEN(D82)</f>
        <v/>
      </c>
      <c r="F82" s="159" t="inlineStr">
        <is>
          <t>Munokwanisa kusimbisira here kuti muve nechokwadi chekuti mari yamataura ndiyo chaiyo?
[ARI KUITISA ONGORORO: KANA MARI YAKAWANIKWA ICHIPFUURA 100000, DZVANYA PAKANZI ENDERERA MBERI. ZVICHIDA, PANGADA KUTI UDZOKERE KUTI UCHINJE MARI YAISWA.]
1)ENDERERA MBERI</t>
        </is>
      </c>
      <c r="G82" s="163">
        <f>LEN(F82)</f>
        <v/>
      </c>
      <c r="H82" s="159" t="inlineStr">
        <is>
          <t>Ungavuma inani lemali osanda kuyitsho ukuthi liqondile?
[OQHUBAYO: NXA INANI LEMALI EHOLWE LAPHA KUNYANGA EZINTATHU EZIDLULILEYO LEDLULA ISILINGANISO SE 100000, FITHIZELA KU-QHUBEKA, KUNGENJALO, BUYELA EMUVA UYETSHINTSHA INANI ELIFAKIWEYO]
1)QHUBEKA</t>
        </is>
      </c>
      <c r="I82" s="323">
        <f>LEN(H82)</f>
        <v/>
      </c>
      <c r="J82" s="358" t="inlineStr">
        <is>
          <t>Single Choice</t>
        </is>
      </c>
      <c r="K82" s="359" t="inlineStr">
        <is>
          <t>NA</t>
        </is>
      </c>
      <c r="L82" s="359" t="inlineStr">
        <is>
          <t>NA</t>
        </is>
      </c>
      <c r="M82" s="359" t="inlineStr">
        <is>
          <t>Form Type - Buttons</t>
        </is>
      </c>
      <c r="N82" s="360" t="inlineStr">
        <is>
          <t>1 = income_third_gender</t>
        </is>
      </c>
      <c r="O82" s="144" t="n"/>
      <c r="P82" s="144" t="n"/>
      <c r="Q82" s="394" t="inlineStr">
        <is>
          <t>if income_third_amount_conf = 1, go to income_third_comp</t>
        </is>
      </c>
      <c r="R82" s="394" t="n"/>
      <c r="S82" s="72" t="inlineStr">
        <is>
          <t>NA</t>
        </is>
      </c>
      <c r="T82" s="586" t="n"/>
      <c r="U82" s="58" t="n">
        <v>1.555555582046509</v>
      </c>
      <c r="V82" s="57">
        <f>1</f>
        <v/>
      </c>
      <c r="W82" s="58">
        <f>U82*V82</f>
        <v/>
      </c>
      <c r="X82" s="3" t="n"/>
      <c r="Z82" s="7" t="inlineStr">
        <is>
          <t>no</t>
        </is>
      </c>
      <c r="AA82" s="54" t="n"/>
      <c r="AD82" s="6" t="n"/>
    </row>
    <row r="83" ht="187.5" customFormat="1" customHeight="1" s="5">
      <c r="A83" s="503">
        <f>A82+1</f>
        <v/>
      </c>
      <c r="B83" s="160" t="inlineStr">
        <is>
          <t>income_third_gender</t>
        </is>
      </c>
      <c r="C83" s="162" t="inlineStr">
        <is>
          <t>income_third_gender</t>
        </is>
      </c>
      <c r="D83" s="520" t="inlineStr">
        <is>
          <t>What is the gender of the household member[s] generating income from {income_third} ? 
[OPERATOR: SINGLE RESPONSE.]
1)Male 
2)Female
3)Joint [both male &amp; female]
4)DON'T KNOW
5)REFUSED</t>
        </is>
      </c>
      <c r="E83" s="564">
        <f>LEN(D83)</f>
        <v/>
      </c>
      <c r="F83" s="520" t="inlineStr">
        <is>
          <t>Vanowana kana kuti anowana mari mumhuri kubva mune {income_third} munhurume here kana kuti munhukadzi? 
[ARI KUITISA ONGORORO: MHINDURO IMWE CHETE.]
1)Murume
2)Mukadzi
3)Vakasangana [munhurume nemunhukadzi]
4)HANDIZIVI
5)ARAMBA</t>
        </is>
      </c>
      <c r="G83" s="163">
        <f>LEN(F83)</f>
        <v/>
      </c>
      <c r="H83" s="520" t="inlineStr">
        <is>
          <t>Ubulili bama[be]lunga omuzi abathola imali evela {income_third} yibuphi ? 
[OQHUBAYO: IMPENDULO EYODWA.]
1)Ngowesilisa
2)Ngowesifazana
3)Bahlangene [bobabili isilisa lesifazane]
4)KAZI
5)WALILE</t>
        </is>
      </c>
      <c r="I83" s="323">
        <f>LEN(H83)</f>
        <v/>
      </c>
      <c r="J83" s="349" t="inlineStr">
        <is>
          <t>Single Choice</t>
        </is>
      </c>
      <c r="K83" s="323" t="inlineStr">
        <is>
          <t>NA</t>
        </is>
      </c>
      <c r="L83" s="323" t="inlineStr">
        <is>
          <t>NA</t>
        </is>
      </c>
      <c r="M83" s="359" t="inlineStr">
        <is>
          <t>Form Type - Buttons</t>
        </is>
      </c>
      <c r="N83" s="360" t="inlineStr">
        <is>
          <t>1-5 = income_third_control</t>
        </is>
      </c>
      <c r="O83" s="144" t="n"/>
      <c r="P83" s="144" t="n"/>
      <c r="Q83" s="392" t="inlineStr">
        <is>
          <t>if options #1-4, go to [income_third_comp OR income_third_amount]</t>
        </is>
      </c>
      <c r="R83" s="394" t="n"/>
      <c r="S83" s="72" t="n"/>
      <c r="T83" s="130" t="n"/>
      <c r="U83" s="58" t="n"/>
      <c r="V83" s="57" t="n"/>
      <c r="W83" s="58" t="n"/>
      <c r="X83" s="3" t="n"/>
      <c r="Z83" s="7" t="n"/>
      <c r="AA83" s="54" t="n"/>
      <c r="AD83" s="6" t="n"/>
    </row>
    <row r="84" ht="168.75" customFormat="1" customHeight="1" s="5">
      <c r="A84" s="454">
        <f>A83+1</f>
        <v/>
      </c>
      <c r="B84" s="160" t="inlineStr">
        <is>
          <t>income_third_control</t>
        </is>
      </c>
      <c r="C84" s="160" t="inlineStr">
        <is>
          <t>income_third_control</t>
        </is>
      </c>
      <c r="D84" s="520" t="inlineStr">
        <is>
          <t>Who controls the revenue that is earned from {income_third} ? 
[OPERATOR: SINGLE RESPONSE.]
1)Male household member[s]
2)Female household member[s]
3)Joint household members [both female &amp; male]
4)DON'T KNOW
5)REFUSED</t>
        </is>
      </c>
      <c r="E84" s="564">
        <f>LEN(D84)</f>
        <v/>
      </c>
      <c r="F84" s="520" t="inlineStr">
        <is>
          <t>Ndiani anotarisira nhau dzemari inowanikwa kubva mune {income_third} ? 
[ARI KUITISA ONGORORO: MHINDURO IMWE CHETE.]
1)Munhurume kana vanhurume vari mumhuri
2)Munhukadzi kana vanhukadzi vari mumhuri
3)Vakasangana [vose vakadzi nevarume]
4)HANDIZIVI
5)ARAMBA</t>
        </is>
      </c>
      <c r="G84" s="163">
        <f>LEN(F84)</f>
        <v/>
      </c>
      <c r="H84" s="520" t="inlineStr">
        <is>
          <t>Ngubani olawula imali etholwa ivela  {income_third} ? 
[OQHUBAYO: IMPENDULO EYODWA]
1)Ama[i]lunga omuzi awesilisa
2)Ama[i]lunga omuzi awesifazane
3)Amalunga omuzi ayahlanganisa [bobabili abesifazane labesilisa]
4)KAZI
5)WALILE</t>
        </is>
      </c>
      <c r="I84" s="323">
        <f>LEN(H84)</f>
        <v/>
      </c>
      <c r="J84" s="349" t="inlineStr">
        <is>
          <t>Single Choice</t>
        </is>
      </c>
      <c r="K84" s="323" t="inlineStr">
        <is>
          <t>NA</t>
        </is>
      </c>
      <c r="L84" s="323" t="inlineStr">
        <is>
          <t>NA</t>
        </is>
      </c>
      <c r="M84" s="359" t="inlineStr">
        <is>
          <t>Form Type - Buttons</t>
        </is>
      </c>
      <c r="N84" s="360" t="inlineStr">
        <is>
          <t>1-5 = income_third_comp</t>
        </is>
      </c>
      <c r="O84" s="144" t="n"/>
      <c r="P84" s="144" t="n"/>
      <c r="Q84" s="392" t="n"/>
      <c r="R84" s="394" t="n"/>
      <c r="S84" s="72" t="n"/>
      <c r="T84" s="130" t="n"/>
      <c r="U84" s="58" t="n"/>
      <c r="V84" s="57" t="n"/>
      <c r="W84" s="58" t="n"/>
      <c r="X84" s="3" t="n"/>
      <c r="Z84" s="7" t="n"/>
      <c r="AA84" s="54" t="n"/>
      <c r="AD84" s="6" t="n"/>
    </row>
    <row r="85" ht="243.75" customFormat="1" customHeight="1" s="5">
      <c r="A85" s="503">
        <f>A83+1</f>
        <v/>
      </c>
      <c r="B85" s="120" t="inlineStr">
        <is>
          <t>income_third_comp</t>
        </is>
      </c>
      <c r="C85" s="67" t="inlineStr">
        <is>
          <t>income_third_comp</t>
        </is>
      </c>
      <c r="D85" s="521"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85" s="564">
        <f>LEN(D85)</f>
        <v/>
      </c>
      <c r="F85" s="161" t="inlineStr">
        <is>
          <t>Mari yakawanikwa nemhuri kubva kwamunonyanya kuwana mari {income_third} yakachinja here mukati memwedzi 3 yapfuura kana muchienzanisa neyamakawana panguva yakafanana gore rapfuura?
[ARI KUITISA ONGORORO: MHINDURO IMWE CHETE.]
1)Yakawedzera zvikuru [yakawedzera nechikamu chinopfuura 50 muzana]
2)Yakawedzera zvishoma
3)Yakangofanana
4)Yakadzikira zvishoma
5)Yakadzikira zvikuru [iri pasi zvikuru pechidimbu]
6)HANDIZIVI
7)ARAMBA</t>
        </is>
      </c>
      <c r="G85" s="566">
        <f>LEN(F85)</f>
        <v/>
      </c>
      <c r="H85" s="161" t="inlineStr">
        <is>
          <t>Kungabe imali etholwa ngabomuzi wakho {income_third} yatshintsha kunyanga ezintathu ezidlulileyo nxa kuqathyaniswa lasikhathi esifanayo ngomnyaka ophelileyo?
[OQHUBAYO: IMPENDULO EYODWA.]
1)Kanengi kakhulu [yengezeleka ngokunengi kulamaphesenti angu- 50%]
2)Kanengi mbijana
3)ngokufanana
4)Kancane mbijana
5)Kancane kakhulu [ngokulutshwana okwedlula ingxenye yakho]
6)KAZI
7)WALILE</t>
        </is>
      </c>
      <c r="I85" s="566">
        <f>LEN(H85)</f>
        <v/>
      </c>
      <c r="J85" s="123" t="inlineStr">
        <is>
          <t>Single Choice</t>
        </is>
      </c>
      <c r="K85" s="566" t="inlineStr">
        <is>
          <t>NA</t>
        </is>
      </c>
      <c r="L85" s="566" t="inlineStr">
        <is>
          <t>NA</t>
        </is>
      </c>
      <c r="M85" s="566" t="inlineStr">
        <is>
          <t>Form Type - Buttons</t>
        </is>
      </c>
      <c r="N85" s="116" t="inlineStr">
        <is>
          <t>1-7= income_gender_control</t>
        </is>
      </c>
      <c r="O85" s="151" t="n"/>
      <c r="P85" s="151" t="n"/>
      <c r="Q85" s="395" t="inlineStr">
        <is>
          <t>if income_third_comp = 1-7, go to shock OR income_gender_control</t>
        </is>
      </c>
      <c r="R85" s="429" t="n"/>
      <c r="S85" s="72" t="inlineStr">
        <is>
          <t>resp_age = 18-100
hh_agricactivity = 1 | 2 | 3 | 4
quotareached = 2
income_main = 1-18
income_sec = 1-18
income_third = 1-18</t>
        </is>
      </c>
      <c r="T85" s="73" t="n"/>
      <c r="U85" s="92" t="n">
        <v>16.34839630126953</v>
      </c>
      <c r="V85" s="93">
        <f>1</f>
        <v/>
      </c>
      <c r="W85" s="92">
        <f>U85*V85</f>
        <v/>
      </c>
      <c r="X85" s="3" t="n"/>
      <c r="Z85" s="7" t="inlineStr">
        <is>
          <t>yes</t>
        </is>
      </c>
      <c r="AA85" s="54" t="n"/>
      <c r="AD85" s="8" t="inlineStr">
        <is>
          <t xml:space="preserve">Change in options #2,4 + question formulation (col D) </t>
        </is>
      </c>
    </row>
    <row r="86" ht="169.5" customFormat="1" customHeight="1" s="5" thickBot="1">
      <c r="A86" s="504">
        <f>A85+1</f>
        <v/>
      </c>
      <c r="B86" s="279" t="inlineStr">
        <is>
          <t>income_gender_control</t>
        </is>
      </c>
      <c r="C86" s="280" t="inlineStr">
        <is>
          <t>income_gender_control</t>
        </is>
      </c>
      <c r="D86" s="281" t="inlineStr">
        <is>
          <t>Are women in this household able to decide how to use the income they earn?
[OPERATOR: SINGLE RESPONSE.]
1)YES
2)NO
3)DON'T KNOW
4)REFUSED</t>
        </is>
      </c>
      <c r="E86" s="81">
        <f>LEN(D86)</f>
        <v/>
      </c>
      <c r="F86" s="281" t="inlineStr">
        <is>
          <t>Vakadzi vari mumhuri ino vanokwanisa here kusarudza kuti mari yavanowana voishandisa sei?
[ARI KUITISA ONGORORO: MHINDURO IMWE CHETE.]
1)HONGU 
2)KWETE
3)HANDIZIVI
4)ARAMBA</t>
        </is>
      </c>
      <c r="G86" s="283">
        <f>LEN(F86)</f>
        <v/>
      </c>
      <c r="H86" s="281" t="inlineStr">
        <is>
          <t>Kungabe abesifazane bomuzi lo besenelisa ukuthatha isinqumo sokuthi imali abayisebenzelayo isetshenziswa njani?
[OQHUBAYO: IMPENDULO EYODWA.]
1)YEBO
2)HATSHI
3)KAZI
4)WALILE</t>
        </is>
      </c>
      <c r="I86" s="283">
        <f>LEN(H86)</f>
        <v/>
      </c>
      <c r="J86" s="284" t="inlineStr">
        <is>
          <t>Single Choice</t>
        </is>
      </c>
      <c r="K86" s="283" t="inlineStr">
        <is>
          <t>NA</t>
        </is>
      </c>
      <c r="L86" s="283" t="inlineStr">
        <is>
          <t>Send if "income_main_gender" "Equals" "Female" Or "income_sec_gender" "Equals" "Female" Or "income_third_gender" "Equals" "Female" if not satisfied go to "shock"</t>
        </is>
      </c>
      <c r="M86" s="283" t="inlineStr">
        <is>
          <t>Form Type - Buttons</t>
        </is>
      </c>
      <c r="N86" s="281" t="inlineStr">
        <is>
          <t>1-4 = shock</t>
        </is>
      </c>
      <c r="O86" s="457" t="n"/>
      <c r="P86" s="457" t="n"/>
      <c r="Q86" s="458" t="inlineStr">
        <is>
          <t>If the respondent indicated that any of the three main income sources is generated by a female household member, this question is asked. Otherwise, go to the next question. 
if income_gender_control = 1-4, go to shock</t>
        </is>
      </c>
      <c r="R86" s="458" t="n"/>
      <c r="S86" s="84" t="inlineStr">
        <is>
          <t>resp_age = 18-100
hh_agricactivity = 1 | 2 | 3 | 4
(income_main_gender = 1) | (income_sec_gender = 1) | (income_third_gender = 1)
quotareached = 2</t>
        </is>
      </c>
      <c r="T86" s="85" t="n"/>
      <c r="U86" s="58" t="n">
        <v>0</v>
      </c>
      <c r="V86" s="57">
        <f>1</f>
        <v/>
      </c>
      <c r="W86" s="58">
        <f>U86*V86</f>
        <v/>
      </c>
      <c r="X86" s="3" t="n"/>
      <c r="Y86" s="43" t="n"/>
      <c r="Z86" s="7" t="inlineStr">
        <is>
          <t>no</t>
        </is>
      </c>
      <c r="AA86" s="54" t="n"/>
      <c r="AB86" s="43" t="n"/>
      <c r="AC86" s="43" t="n"/>
      <c r="AD86" s="43" t="inlineStr">
        <is>
          <t>New question</t>
        </is>
      </c>
      <c r="AE86" s="43" t="n"/>
      <c r="AF86" s="43" t="n"/>
      <c r="AG86" s="43" t="n"/>
      <c r="AH86" s="43" t="n"/>
      <c r="AI86" s="43" t="n"/>
      <c r="AJ86" s="43" t="n"/>
      <c r="AK86" s="43" t="n"/>
      <c r="AL86" s="43" t="n"/>
      <c r="AM86" s="43" t="n"/>
      <c r="AN86" s="43" t="n"/>
      <c r="AO86" s="43" t="n"/>
      <c r="AP86" s="43" t="n"/>
      <c r="AQ86" s="43" t="n"/>
      <c r="AR86" s="43" t="n"/>
      <c r="AS86" s="43" t="n"/>
      <c r="AT86" s="43" t="n"/>
      <c r="AU86" s="43" t="n"/>
      <c r="AV86" s="43" t="n"/>
      <c r="AW86" s="43" t="n"/>
      <c r="AX86" s="43" t="n"/>
      <c r="AY86" s="43" t="n"/>
      <c r="AZ86" s="43" t="n"/>
      <c r="BA86" s="43" t="n"/>
      <c r="BB86" s="43" t="n"/>
      <c r="BC86" s="43" t="n"/>
      <c r="BD86" s="43" t="n"/>
      <c r="BE86" s="43" t="n"/>
      <c r="BF86" s="43" t="n"/>
      <c r="BG86" s="43" t="n"/>
      <c r="BH86" s="43" t="n"/>
      <c r="BI86" s="43" t="n"/>
      <c r="BJ86" s="43" t="n"/>
      <c r="BK86" s="43" t="n"/>
      <c r="BL86" s="43" t="n"/>
      <c r="BM86" s="43" t="n"/>
      <c r="BN86" s="43" t="n"/>
      <c r="BO86" s="43" t="n"/>
      <c r="BP86" s="43" t="n"/>
      <c r="BQ86" s="43" t="n"/>
      <c r="BR86" s="43" t="n"/>
      <c r="BS86" s="43" t="n"/>
      <c r="BT86" s="43" t="n"/>
      <c r="BU86" s="43" t="n"/>
      <c r="BV86" s="43" t="n"/>
      <c r="BW86" s="43" t="n"/>
      <c r="BX86" s="43" t="n"/>
      <c r="BY86" s="43" t="n"/>
      <c r="BZ86" s="43" t="n"/>
      <c r="CA86" s="43" t="n"/>
      <c r="CB86" s="43" t="n"/>
      <c r="CC86" s="43" t="n"/>
      <c r="CD86" s="43" t="n"/>
      <c r="CE86" s="43" t="n"/>
      <c r="CF86" s="43" t="n"/>
      <c r="CG86" s="43" t="n"/>
      <c r="CH86" s="43" t="n"/>
      <c r="CI86" s="43" t="n"/>
      <c r="CJ86" s="43" t="n"/>
      <c r="CK86" s="43" t="n"/>
      <c r="CL86" s="43" t="n"/>
      <c r="CM86" s="43" t="n"/>
      <c r="CN86" s="43" t="n"/>
      <c r="CO86" s="43" t="n"/>
      <c r="CP86" s="43" t="n"/>
      <c r="CQ86" s="43" t="n"/>
      <c r="CR86" s="43" t="n"/>
      <c r="CS86" s="43" t="n"/>
      <c r="CT86" s="43" t="n"/>
      <c r="CU86" s="43" t="n"/>
      <c r="CV86" s="43" t="n"/>
      <c r="CW86" s="43" t="n"/>
      <c r="CX86" s="43" t="n"/>
      <c r="CY86" s="43" t="n"/>
      <c r="CZ86" s="43" t="n"/>
      <c r="DA86" s="43" t="n"/>
      <c r="DB86" s="43" t="n"/>
      <c r="DC86" s="43" t="n"/>
      <c r="DD86" s="43" t="n"/>
      <c r="DE86" s="43" t="n"/>
      <c r="DF86" s="43" t="n"/>
      <c r="DG86" s="43" t="n"/>
      <c r="DH86" s="43" t="n"/>
      <c r="DI86" s="43" t="n"/>
      <c r="DJ86" s="43" t="n"/>
      <c r="DK86" s="43" t="n"/>
      <c r="DL86" s="43" t="n"/>
      <c r="DM86" s="43" t="n"/>
      <c r="DN86" s="43" t="n"/>
      <c r="DO86" s="43" t="n"/>
      <c r="DP86" s="43" t="n"/>
      <c r="DQ86" s="43" t="n"/>
      <c r="DR86" s="43" t="n"/>
      <c r="DS86" s="43" t="n"/>
      <c r="DT86" s="43" t="n"/>
      <c r="DU86" s="43" t="n"/>
      <c r="DV86" s="43" t="n"/>
      <c r="DW86" s="43" t="n"/>
      <c r="DX86" s="43" t="n"/>
      <c r="DY86" s="43" t="n"/>
      <c r="DZ86" s="43" t="n"/>
      <c r="EA86" s="43" t="n"/>
      <c r="EB86" s="43" t="n"/>
      <c r="EC86" s="43" t="n"/>
      <c r="ED86" s="43" t="n"/>
      <c r="EE86" s="43" t="n"/>
      <c r="EF86" s="43" t="n"/>
      <c r="EG86" s="43" t="n"/>
      <c r="EH86" s="43" t="n"/>
      <c r="EI86" s="43" t="n"/>
      <c r="EJ86" s="43" t="n"/>
      <c r="EK86" s="43" t="n"/>
      <c r="EL86" s="43" t="n"/>
      <c r="EM86" s="43" t="n"/>
      <c r="EN86" s="43" t="n"/>
      <c r="EO86" s="43" t="n"/>
      <c r="EP86" s="43" t="n"/>
      <c r="EQ86" s="43" t="n"/>
      <c r="ER86" s="43" t="n"/>
      <c r="ES86" s="43" t="n"/>
      <c r="ET86" s="43" t="n"/>
      <c r="EU86" s="43" t="n"/>
      <c r="EV86" s="43" t="n"/>
      <c r="EW86" s="43" t="n"/>
      <c r="EX86" s="43" t="n"/>
      <c r="EY86" s="43" t="n"/>
      <c r="EZ86" s="43" t="n"/>
      <c r="FA86" s="43" t="n"/>
      <c r="FB86" s="43" t="n"/>
      <c r="FC86" s="43" t="n"/>
      <c r="FD86" s="43" t="n"/>
      <c r="FE86" s="43" t="n"/>
      <c r="FF86" s="43" t="n"/>
      <c r="FG86" s="43" t="n"/>
      <c r="FH86" s="43" t="n"/>
      <c r="FI86" s="43" t="n"/>
      <c r="FJ86" s="43" t="n"/>
      <c r="FK86" s="43" t="n"/>
      <c r="FL86" s="43" t="n"/>
      <c r="FM86" s="43" t="n"/>
      <c r="FN86" s="43" t="n"/>
      <c r="FO86" s="43" t="n"/>
      <c r="FP86" s="43" t="n"/>
      <c r="FQ86" s="43" t="n"/>
      <c r="FR86" s="43" t="n"/>
      <c r="FS86" s="43" t="n"/>
      <c r="FT86" s="43" t="n"/>
      <c r="FU86" s="43" t="n"/>
      <c r="FV86" s="43" t="n"/>
      <c r="FW86" s="43" t="n"/>
      <c r="FX86" s="43" t="n"/>
      <c r="FY86" s="43" t="n"/>
      <c r="FZ86" s="43" t="n"/>
      <c r="GA86" s="43" t="n"/>
      <c r="GB86" s="43" t="n"/>
      <c r="GC86" s="43" t="n"/>
      <c r="GD86" s="43" t="n"/>
      <c r="GE86" s="43" t="n"/>
      <c r="GF86" s="43" t="n"/>
      <c r="GG86" s="43" t="n"/>
      <c r="GH86" s="43" t="n"/>
      <c r="GI86" s="43" t="n"/>
      <c r="GJ86" s="43" t="n"/>
      <c r="GK86" s="43" t="n"/>
      <c r="GL86" s="43" t="n"/>
      <c r="GM86" s="43" t="n"/>
      <c r="GN86" s="43" t="n"/>
      <c r="GO86" s="43" t="n"/>
      <c r="GP86" s="43" t="n"/>
      <c r="GQ86" s="43" t="n"/>
      <c r="GR86" s="43" t="n"/>
      <c r="GS86" s="43" t="n"/>
      <c r="GT86" s="43" t="n"/>
      <c r="GU86" s="43" t="n"/>
      <c r="GV86" s="43" t="n"/>
      <c r="GW86" s="43" t="n"/>
      <c r="GX86" s="43" t="n"/>
      <c r="GY86" s="43" t="n"/>
      <c r="GZ86" s="43" t="n"/>
      <c r="HA86" s="43" t="n"/>
      <c r="HB86" s="43" t="n"/>
      <c r="HC86" s="43" t="n"/>
      <c r="HD86" s="43" t="n"/>
      <c r="HE86" s="43" t="n"/>
      <c r="HF86" s="43" t="n"/>
      <c r="HG86" s="43" t="n"/>
      <c r="HH86" s="43" t="n"/>
      <c r="HI86" s="43" t="n"/>
      <c r="HJ86" s="43" t="n"/>
      <c r="HK86" s="43" t="n"/>
      <c r="HL86" s="43" t="n"/>
      <c r="HM86" s="43" t="n"/>
      <c r="HN86" s="43" t="n"/>
      <c r="HO86" s="43" t="n"/>
      <c r="HP86" s="43" t="n"/>
      <c r="HQ86" s="43" t="n"/>
      <c r="HR86" s="43" t="n"/>
      <c r="HS86" s="43" t="n"/>
      <c r="HT86" s="43" t="n"/>
      <c r="HU86" s="43" t="n"/>
      <c r="HV86" s="43" t="n"/>
      <c r="HW86" s="43" t="n"/>
      <c r="HX86" s="43" t="n"/>
      <c r="HY86" s="43" t="n"/>
      <c r="HZ86" s="43" t="n"/>
      <c r="IA86" s="43" t="n"/>
      <c r="IB86" s="43" t="n"/>
      <c r="IC86" s="43" t="n"/>
      <c r="ID86" s="43" t="n"/>
      <c r="IE86" s="43" t="n"/>
      <c r="IF86" s="43" t="n"/>
      <c r="IG86" s="43" t="n"/>
      <c r="IH86" s="43" t="n"/>
      <c r="II86" s="43" t="n"/>
      <c r="IJ86" s="43" t="n"/>
      <c r="IK86" s="43" t="n"/>
      <c r="IL86" s="43" t="n"/>
      <c r="IM86" s="43" t="n"/>
      <c r="IN86" s="43" t="n"/>
      <c r="IO86" s="43" t="n"/>
      <c r="IP86" s="43" t="n"/>
      <c r="IQ86" s="43" t="n"/>
      <c r="IR86" s="43" t="n"/>
      <c r="IS86" s="43" t="n"/>
      <c r="IT86" s="43" t="n"/>
      <c r="IU86" s="43" t="n"/>
      <c r="IV86" s="43" t="n"/>
      <c r="IW86" s="43" t="n"/>
      <c r="IX86" s="43" t="n"/>
      <c r="IY86" s="43" t="n"/>
      <c r="IZ86" s="43" t="n"/>
      <c r="JA86" s="43" t="n"/>
      <c r="JB86" s="43" t="n"/>
      <c r="JC86" s="43" t="n"/>
      <c r="JD86" s="43" t="n"/>
      <c r="JE86" s="43" t="n"/>
      <c r="JF86" s="43" t="n"/>
      <c r="JG86" s="43" t="n"/>
      <c r="JH86" s="43" t="n"/>
      <c r="JI86" s="43" t="n"/>
      <c r="JJ86" s="43" t="n"/>
      <c r="JK86" s="43" t="n"/>
      <c r="JL86" s="43" t="n"/>
      <c r="JM86" s="43" t="n"/>
      <c r="JN86" s="43" t="n"/>
      <c r="JO86" s="43" t="n"/>
      <c r="JP86" s="43" t="n"/>
      <c r="JQ86" s="43" t="n"/>
      <c r="JR86" s="43" t="n"/>
      <c r="JS86" s="43" t="n"/>
      <c r="JT86" s="43" t="n"/>
      <c r="JU86" s="43" t="n"/>
      <c r="JV86" s="43" t="n"/>
      <c r="JW86" s="43" t="n"/>
      <c r="JX86" s="43" t="n"/>
      <c r="JY86" s="43" t="n"/>
      <c r="JZ86" s="43" t="n"/>
      <c r="KA86" s="43" t="n"/>
      <c r="KB86" s="43" t="n"/>
      <c r="KC86" s="43" t="n"/>
      <c r="KD86" s="43" t="n"/>
      <c r="KE86" s="43" t="n"/>
      <c r="KF86" s="43" t="n"/>
      <c r="KG86" s="43" t="n"/>
      <c r="KH86" s="43" t="n"/>
      <c r="KI86" s="43" t="n"/>
      <c r="KJ86" s="43" t="n"/>
      <c r="KK86" s="43" t="n"/>
      <c r="KL86" s="43" t="n"/>
      <c r="KM86" s="43" t="n"/>
      <c r="KN86" s="43" t="n"/>
      <c r="KO86" s="43" t="n"/>
      <c r="KP86" s="43" t="n"/>
      <c r="KQ86" s="43" t="n"/>
      <c r="KR86" s="43" t="n"/>
      <c r="KS86" s="43" t="n"/>
      <c r="KT86" s="43" t="n"/>
      <c r="KU86" s="43" t="n"/>
      <c r="KV86" s="43" t="n"/>
      <c r="KW86" s="43" t="n"/>
      <c r="KX86" s="43" t="n"/>
      <c r="KY86" s="43" t="n"/>
      <c r="KZ86" s="43" t="n"/>
      <c r="LA86" s="43" t="n"/>
      <c r="LB86" s="43" t="n"/>
      <c r="LC86" s="43" t="n"/>
      <c r="LD86" s="43" t="n"/>
      <c r="LE86" s="43" t="n"/>
      <c r="LF86" s="43" t="n"/>
      <c r="LG86" s="43" t="n"/>
      <c r="LH86" s="43" t="n"/>
      <c r="LI86" s="43" t="n"/>
      <c r="LJ86" s="43" t="n"/>
      <c r="LK86" s="43" t="n"/>
      <c r="LL86" s="43" t="n"/>
      <c r="LM86" s="43" t="n"/>
      <c r="LN86" s="43" t="n"/>
      <c r="LO86" s="43" t="n"/>
      <c r="LP86" s="43" t="n"/>
      <c r="LQ86" s="43" t="n"/>
      <c r="LR86" s="43" t="n"/>
      <c r="LS86" s="43" t="n"/>
      <c r="LT86" s="43" t="n"/>
      <c r="LU86" s="43" t="n"/>
      <c r="LV86" s="43" t="n"/>
      <c r="LW86" s="43" t="n"/>
      <c r="LX86" s="43" t="n"/>
      <c r="LY86" s="43" t="n"/>
      <c r="LZ86" s="43" t="n"/>
      <c r="MA86" s="43" t="n"/>
      <c r="MB86" s="43" t="n"/>
      <c r="MC86" s="43" t="n"/>
      <c r="MD86" s="43" t="n"/>
      <c r="ME86" s="43" t="n"/>
      <c r="MF86" s="43" t="n"/>
      <c r="MG86" s="43" t="n"/>
      <c r="MH86" s="43" t="n"/>
      <c r="MI86" s="43" t="n"/>
      <c r="MJ86" s="43" t="n"/>
      <c r="MK86" s="43" t="n"/>
      <c r="ML86" s="43" t="n"/>
      <c r="MM86" s="43" t="n"/>
      <c r="MN86" s="43" t="n"/>
      <c r="MO86" s="43" t="n"/>
      <c r="MP86" s="43" t="n"/>
      <c r="MQ86" s="43" t="n"/>
      <c r="MR86" s="43" t="n"/>
      <c r="MS86" s="43" t="n"/>
      <c r="MT86" s="43" t="n"/>
      <c r="MU86" s="43" t="n"/>
      <c r="MV86" s="43" t="n"/>
      <c r="MW86" s="43" t="n"/>
      <c r="MX86" s="43" t="n"/>
      <c r="MY86" s="43" t="n"/>
      <c r="MZ86" s="43" t="n"/>
      <c r="NA86" s="43" t="n"/>
      <c r="NB86" s="43" t="n"/>
      <c r="NC86" s="43" t="n"/>
      <c r="ND86" s="43" t="n"/>
      <c r="NE86" s="43" t="n"/>
      <c r="NF86" s="43" t="n"/>
      <c r="NG86" s="43" t="n"/>
      <c r="NH86" s="43" t="n"/>
      <c r="NI86" s="43" t="n"/>
      <c r="NJ86" s="43" t="n"/>
      <c r="NK86" s="43" t="n"/>
      <c r="NL86" s="43" t="n"/>
      <c r="NM86" s="43" t="n"/>
      <c r="NN86" s="43" t="n"/>
      <c r="NO86" s="43" t="n"/>
      <c r="NP86" s="43" t="n"/>
      <c r="NQ86" s="43" t="n"/>
      <c r="NR86" s="43" t="n"/>
      <c r="NS86" s="43" t="n"/>
      <c r="NT86" s="43" t="n"/>
      <c r="NU86" s="43" t="n"/>
      <c r="NV86" s="43" t="n"/>
      <c r="NW86" s="43" t="n"/>
      <c r="NX86" s="43" t="n"/>
      <c r="NY86" s="43" t="n"/>
      <c r="NZ86" s="43" t="n"/>
      <c r="OA86" s="43" t="n"/>
      <c r="OB86" s="43" t="n"/>
      <c r="OC86" s="43" t="n"/>
      <c r="OD86" s="43" t="n"/>
      <c r="OE86" s="43" t="n"/>
      <c r="OF86" s="43" t="n"/>
      <c r="OG86" s="43" t="n"/>
      <c r="OH86" s="43" t="n"/>
      <c r="OI86" s="43" t="n"/>
      <c r="OJ86" s="43" t="n"/>
      <c r="OK86" s="43" t="n"/>
      <c r="OL86" s="43" t="n"/>
      <c r="OM86" s="43" t="n"/>
      <c r="ON86" s="43" t="n"/>
      <c r="OO86" s="43" t="n"/>
      <c r="OP86" s="43" t="n"/>
      <c r="OQ86" s="43" t="n"/>
      <c r="OR86" s="43" t="n"/>
      <c r="OS86" s="43" t="n"/>
      <c r="OT86" s="43" t="n"/>
      <c r="OU86" s="43" t="n"/>
      <c r="OV86" s="43" t="n"/>
      <c r="OW86" s="43" t="n"/>
      <c r="OX86" s="43" t="n"/>
      <c r="OY86" s="43" t="n"/>
      <c r="OZ86" s="43" t="n"/>
      <c r="PA86" s="43" t="n"/>
      <c r="PB86" s="43" t="n"/>
      <c r="PC86" s="43" t="n"/>
      <c r="PD86" s="43" t="n"/>
      <c r="PE86" s="43" t="n"/>
      <c r="PF86" s="43" t="n"/>
      <c r="PG86" s="43" t="n"/>
      <c r="PH86" s="43" t="n"/>
      <c r="PI86" s="43" t="n"/>
      <c r="PJ86" s="43" t="n"/>
      <c r="PK86" s="43" t="n"/>
      <c r="PL86" s="43" t="n"/>
      <c r="PM86" s="43" t="n"/>
      <c r="PN86" s="43" t="n"/>
      <c r="PO86" s="43" t="n"/>
      <c r="PP86" s="43" t="n"/>
      <c r="PQ86" s="43" t="n"/>
      <c r="PR86" s="43" t="n"/>
      <c r="PS86" s="43" t="n"/>
      <c r="PT86" s="43" t="n"/>
      <c r="PU86" s="43" t="n"/>
      <c r="PV86" s="43" t="n"/>
      <c r="PW86" s="43" t="n"/>
      <c r="PX86" s="43" t="n"/>
      <c r="PY86" s="43" t="n"/>
      <c r="PZ86" s="43" t="n"/>
      <c r="QA86" s="43" t="n"/>
      <c r="QB86" s="43" t="n"/>
      <c r="QC86" s="43" t="n"/>
      <c r="QD86" s="43" t="n"/>
      <c r="QE86" s="43" t="n"/>
      <c r="QF86" s="43" t="n"/>
      <c r="QG86" s="43" t="n"/>
      <c r="QH86" s="43" t="n"/>
      <c r="QI86" s="43" t="n"/>
      <c r="QJ86" s="43" t="n"/>
      <c r="QK86" s="43" t="n"/>
      <c r="QL86" s="43" t="n"/>
      <c r="QM86" s="43" t="n"/>
      <c r="QN86" s="43" t="n"/>
      <c r="QO86" s="43" t="n"/>
      <c r="QP86" s="43" t="n"/>
      <c r="QQ86" s="43" t="n"/>
      <c r="QR86" s="43" t="n"/>
      <c r="QS86" s="43" t="n"/>
      <c r="QT86" s="43" t="n"/>
      <c r="QU86" s="43" t="n"/>
      <c r="QV86" s="43" t="n"/>
      <c r="QW86" s="43" t="n"/>
      <c r="QX86" s="43" t="n"/>
      <c r="QY86" s="43" t="n"/>
      <c r="QZ86" s="43" t="n"/>
      <c r="RA86" s="43" t="n"/>
      <c r="RB86" s="43" t="n"/>
      <c r="RC86" s="43" t="n"/>
      <c r="RD86" s="43" t="n"/>
      <c r="RE86" s="43" t="n"/>
      <c r="RF86" s="43" t="n"/>
      <c r="RG86" s="43" t="n"/>
      <c r="RH86" s="43" t="n"/>
      <c r="RI86" s="43" t="n"/>
      <c r="RJ86" s="43" t="n"/>
      <c r="RK86" s="43" t="n"/>
      <c r="RL86" s="43" t="n"/>
      <c r="RM86" s="43" t="n"/>
      <c r="RN86" s="43" t="n"/>
      <c r="RO86" s="43" t="n"/>
      <c r="RP86" s="43" t="n"/>
      <c r="RQ86" s="43" t="n"/>
      <c r="RR86" s="43" t="n"/>
      <c r="RS86" s="43" t="n"/>
      <c r="RT86" s="43" t="n"/>
      <c r="RU86" s="43" t="n"/>
      <c r="RV86" s="43" t="n"/>
      <c r="RW86" s="43" t="n"/>
      <c r="RX86" s="43" t="n"/>
      <c r="RY86" s="43" t="n"/>
      <c r="RZ86" s="43" t="n"/>
      <c r="SA86" s="43" t="n"/>
      <c r="SB86" s="43" t="n"/>
      <c r="SC86" s="43" t="n"/>
      <c r="SD86" s="43" t="n"/>
      <c r="SE86" s="43" t="n"/>
      <c r="SF86" s="43" t="n"/>
      <c r="SG86" s="43" t="n"/>
      <c r="SH86" s="43" t="n"/>
      <c r="SI86" s="43" t="n"/>
      <c r="SJ86" s="43" t="n"/>
      <c r="SK86" s="43" t="n"/>
      <c r="SL86" s="43" t="n"/>
      <c r="SM86" s="43" t="n"/>
      <c r="SN86" s="43" t="n"/>
      <c r="SO86" s="43" t="n"/>
      <c r="SP86" s="43" t="n"/>
      <c r="SQ86" s="43" t="n"/>
      <c r="SR86" s="43" t="n"/>
      <c r="SS86" s="43" t="n"/>
      <c r="ST86" s="43" t="n"/>
      <c r="SU86" s="43" t="n"/>
      <c r="SV86" s="43" t="n"/>
      <c r="SW86" s="43" t="n"/>
      <c r="SX86" s="43" t="n"/>
      <c r="SY86" s="43" t="n"/>
      <c r="SZ86" s="43" t="n"/>
      <c r="TA86" s="43" t="n"/>
      <c r="TB86" s="43" t="n"/>
      <c r="TC86" s="43" t="n"/>
      <c r="TD86" s="43" t="n"/>
      <c r="TE86" s="43" t="n"/>
      <c r="TF86" s="43" t="n"/>
      <c r="TG86" s="43" t="n"/>
      <c r="TH86" s="43" t="n"/>
      <c r="TI86" s="43" t="n"/>
      <c r="TJ86" s="43" t="n"/>
      <c r="TK86" s="43" t="n"/>
      <c r="TL86" s="43" t="n"/>
      <c r="TM86" s="43" t="n"/>
      <c r="TN86" s="43" t="n"/>
      <c r="TO86" s="43" t="n"/>
      <c r="TP86" s="43" t="n"/>
      <c r="TQ86" s="43" t="n"/>
      <c r="TR86" s="43" t="n"/>
      <c r="TS86" s="43" t="n"/>
      <c r="TT86" s="43" t="n"/>
      <c r="TU86" s="43" t="n"/>
      <c r="TV86" s="43" t="n"/>
      <c r="TW86" s="43" t="n"/>
      <c r="TX86" s="43" t="n"/>
      <c r="TY86" s="43" t="n"/>
      <c r="TZ86" s="43" t="n"/>
      <c r="UA86" s="43" t="n"/>
      <c r="UB86" s="43" t="n"/>
      <c r="UC86" s="43" t="n"/>
      <c r="UD86" s="43" t="n"/>
      <c r="UE86" s="43" t="n"/>
      <c r="UF86" s="43" t="n"/>
      <c r="UG86" s="43" t="n"/>
      <c r="UH86" s="43" t="n"/>
      <c r="UI86" s="43" t="n"/>
      <c r="UJ86" s="43" t="n"/>
      <c r="UK86" s="43" t="n"/>
      <c r="UL86" s="43" t="n"/>
      <c r="UM86" s="43" t="n"/>
      <c r="UN86" s="43" t="n"/>
      <c r="UO86" s="43" t="n"/>
      <c r="UP86" s="43" t="n"/>
      <c r="UQ86" s="43" t="n"/>
      <c r="UR86" s="43" t="n"/>
      <c r="US86" s="43" t="n"/>
      <c r="UT86" s="43" t="n"/>
      <c r="UU86" s="43" t="n"/>
      <c r="UV86" s="43" t="n"/>
      <c r="UW86" s="43" t="n"/>
      <c r="UX86" s="43" t="n"/>
      <c r="UY86" s="43" t="n"/>
      <c r="UZ86" s="43" t="n"/>
      <c r="VA86" s="43" t="n"/>
      <c r="VB86" s="43" t="n"/>
      <c r="VC86" s="43" t="n"/>
      <c r="VD86" s="43" t="n"/>
      <c r="VE86" s="43" t="n"/>
      <c r="VF86" s="43" t="n"/>
      <c r="VG86" s="43" t="n"/>
      <c r="VH86" s="43" t="n"/>
      <c r="VI86" s="43" t="n"/>
      <c r="VJ86" s="43" t="n"/>
      <c r="VK86" s="43" t="n"/>
      <c r="VL86" s="43" t="n"/>
      <c r="VM86" s="43" t="n"/>
      <c r="VN86" s="43" t="n"/>
      <c r="VO86" s="43" t="n"/>
      <c r="VP86" s="43" t="n"/>
      <c r="VQ86" s="43" t="n"/>
      <c r="VR86" s="43" t="n"/>
      <c r="VS86" s="43" t="n"/>
      <c r="VT86" s="43" t="n"/>
      <c r="VU86" s="43" t="n"/>
      <c r="VV86" s="43" t="n"/>
      <c r="VW86" s="43" t="n"/>
      <c r="VX86" s="43" t="n"/>
      <c r="VY86" s="43" t="n"/>
      <c r="VZ86" s="43" t="n"/>
      <c r="WA86" s="43" t="n"/>
      <c r="WB86" s="43" t="n"/>
      <c r="WC86" s="43" t="n"/>
      <c r="WD86" s="43" t="n"/>
      <c r="WE86" s="43" t="n"/>
      <c r="WF86" s="43" t="n"/>
      <c r="WG86" s="43" t="n"/>
      <c r="WH86" s="43" t="n"/>
      <c r="WI86" s="43" t="n"/>
      <c r="WJ86" s="43" t="n"/>
      <c r="WK86" s="43" t="n"/>
      <c r="WL86" s="43" t="n"/>
      <c r="WM86" s="43" t="n"/>
      <c r="WN86" s="43" t="n"/>
      <c r="WO86" s="43" t="n"/>
      <c r="WP86" s="43" t="n"/>
      <c r="WQ86" s="43" t="n"/>
      <c r="WR86" s="43" t="n"/>
      <c r="WS86" s="43" t="n"/>
      <c r="WT86" s="43" t="n"/>
      <c r="WU86" s="43" t="n"/>
      <c r="WV86" s="43" t="n"/>
      <c r="WW86" s="43" t="n"/>
      <c r="WX86" s="43" t="n"/>
      <c r="WY86" s="43" t="n"/>
      <c r="WZ86" s="43" t="n"/>
      <c r="XA86" s="43" t="n"/>
      <c r="XB86" s="43" t="n"/>
      <c r="XC86" s="43" t="n"/>
      <c r="XD86" s="43" t="n"/>
      <c r="XE86" s="43" t="n"/>
      <c r="XF86" s="43" t="n"/>
      <c r="XG86" s="43" t="n"/>
      <c r="XH86" s="43" t="n"/>
      <c r="XI86" s="43" t="n"/>
      <c r="XJ86" s="43" t="n"/>
      <c r="XK86" s="43" t="n"/>
      <c r="XL86" s="43" t="n"/>
      <c r="XM86" s="43" t="n"/>
      <c r="XN86" s="43" t="n"/>
      <c r="XO86" s="43" t="n"/>
      <c r="XP86" s="43" t="n"/>
      <c r="XQ86" s="43" t="n"/>
      <c r="XR86" s="43" t="n"/>
      <c r="XS86" s="43" t="n"/>
      <c r="XT86" s="43" t="n"/>
      <c r="XU86" s="43" t="n"/>
      <c r="XV86" s="43" t="n"/>
      <c r="XW86" s="43" t="n"/>
      <c r="XX86" s="43" t="n"/>
      <c r="XY86" s="43" t="n"/>
      <c r="XZ86" s="43" t="n"/>
      <c r="YA86" s="43" t="n"/>
      <c r="YB86" s="43" t="n"/>
      <c r="YC86" s="43" t="n"/>
      <c r="YD86" s="43" t="n"/>
      <c r="YE86" s="43" t="n"/>
      <c r="YF86" s="43" t="n"/>
      <c r="YG86" s="43" t="n"/>
      <c r="YH86" s="43" t="n"/>
      <c r="YI86" s="43" t="n"/>
      <c r="YJ86" s="43" t="n"/>
      <c r="YK86" s="43" t="n"/>
      <c r="YL86" s="43" t="n"/>
      <c r="YM86" s="43" t="n"/>
      <c r="YN86" s="43" t="n"/>
      <c r="YO86" s="43" t="n"/>
      <c r="YP86" s="43" t="n"/>
      <c r="YQ86" s="43" t="n"/>
      <c r="YR86" s="43" t="n"/>
      <c r="YS86" s="43" t="n"/>
      <c r="YT86" s="43" t="n"/>
      <c r="YU86" s="43" t="n"/>
      <c r="YV86" s="43" t="n"/>
      <c r="YW86" s="43" t="n"/>
      <c r="YX86" s="43" t="n"/>
      <c r="YY86" s="43" t="n"/>
      <c r="YZ86" s="43" t="n"/>
      <c r="ZA86" s="43" t="n"/>
      <c r="ZB86" s="43" t="n"/>
      <c r="ZC86" s="43" t="n"/>
      <c r="ZD86" s="43" t="n"/>
      <c r="ZE86" s="43" t="n"/>
      <c r="ZF86" s="43" t="n"/>
      <c r="ZG86" s="43" t="n"/>
      <c r="ZH86" s="43" t="n"/>
      <c r="ZI86" s="43" t="n"/>
      <c r="ZJ86" s="43" t="n"/>
      <c r="ZK86" s="43" t="n"/>
      <c r="ZL86" s="43" t="n"/>
      <c r="ZM86" s="43" t="n"/>
      <c r="ZN86" s="43" t="n"/>
      <c r="ZO86" s="43" t="n"/>
      <c r="ZP86" s="43" t="n"/>
      <c r="ZQ86" s="43" t="n"/>
      <c r="ZR86" s="43" t="n"/>
      <c r="ZS86" s="43" t="n"/>
      <c r="ZT86" s="43" t="n"/>
      <c r="ZU86" s="43" t="n"/>
      <c r="ZV86" s="43" t="n"/>
      <c r="ZW86" s="43" t="n"/>
      <c r="ZX86" s="43" t="n"/>
      <c r="ZY86" s="43" t="n"/>
      <c r="ZZ86" s="43" t="n"/>
      <c r="AAA86" s="43" t="n"/>
      <c r="AAB86" s="43" t="n"/>
      <c r="AAC86" s="43" t="n"/>
      <c r="AAD86" s="43" t="n"/>
      <c r="AAE86" s="43" t="n"/>
      <c r="AAF86" s="43" t="n"/>
      <c r="AAG86" s="43" t="n"/>
      <c r="AAH86" s="43" t="n"/>
      <c r="AAI86" s="43" t="n"/>
      <c r="AAJ86" s="43" t="n"/>
      <c r="AAK86" s="43" t="n"/>
      <c r="AAL86" s="43" t="n"/>
      <c r="AAM86" s="43" t="n"/>
      <c r="AAN86" s="43" t="n"/>
      <c r="AAO86" s="43" t="n"/>
      <c r="AAP86" s="43" t="n"/>
      <c r="AAQ86" s="43" t="n"/>
      <c r="AAR86" s="43" t="n"/>
      <c r="AAS86" s="43" t="n"/>
      <c r="AAT86" s="43" t="n"/>
      <c r="AAU86" s="43" t="n"/>
      <c r="AAV86" s="43" t="n"/>
      <c r="AAW86" s="43" t="n"/>
      <c r="AAX86" s="43" t="n"/>
      <c r="AAY86" s="43" t="n"/>
      <c r="AAZ86" s="43" t="n"/>
      <c r="ABA86" s="43" t="n"/>
      <c r="ABB86" s="43" t="n"/>
      <c r="ABC86" s="43" t="n"/>
      <c r="ABD86" s="43" t="n"/>
      <c r="ABE86" s="43" t="n"/>
      <c r="ABF86" s="43" t="n"/>
      <c r="ABG86" s="43" t="n"/>
      <c r="ABH86" s="43" t="n"/>
      <c r="ABI86" s="43" t="n"/>
      <c r="ABJ86" s="43" t="n"/>
      <c r="ABK86" s="43" t="n"/>
      <c r="ABL86" s="43" t="n"/>
      <c r="ABM86" s="43" t="n"/>
      <c r="ABN86" s="43" t="n"/>
      <c r="ABO86" s="43" t="n"/>
      <c r="ABP86" s="43" t="n"/>
      <c r="ABQ86" s="43" t="n"/>
      <c r="ABR86" s="43" t="n"/>
      <c r="ABS86" s="43" t="n"/>
      <c r="ABT86" s="43" t="n"/>
      <c r="ABU86" s="43" t="n"/>
      <c r="ABV86" s="43" t="n"/>
      <c r="ABW86" s="43" t="n"/>
      <c r="ABX86" s="43" t="n"/>
      <c r="ABY86" s="43" t="n"/>
      <c r="ABZ86" s="43" t="n"/>
      <c r="ACA86" s="43" t="n"/>
      <c r="ACB86" s="43" t="n"/>
      <c r="ACC86" s="43" t="n"/>
      <c r="ACD86" s="43" t="n"/>
      <c r="ACE86" s="43" t="n"/>
      <c r="ACF86" s="43" t="n"/>
      <c r="ACG86" s="43" t="n"/>
      <c r="ACH86" s="43" t="n"/>
      <c r="ACI86" s="43" t="n"/>
      <c r="ACJ86" s="43" t="n"/>
      <c r="ACK86" s="43" t="n"/>
      <c r="ACL86" s="43" t="n"/>
      <c r="ACM86" s="43" t="n"/>
      <c r="ACN86" s="43" t="n"/>
      <c r="ACO86" s="43" t="n"/>
      <c r="ACP86" s="43" t="n"/>
      <c r="ACQ86" s="43" t="n"/>
      <c r="ACR86" s="43" t="n"/>
      <c r="ACS86" s="43" t="n"/>
      <c r="ACT86" s="43" t="n"/>
      <c r="ACU86" s="43" t="n"/>
      <c r="ACV86" s="43" t="n"/>
      <c r="ACW86" s="43" t="n"/>
      <c r="ACX86" s="43" t="n"/>
      <c r="ACY86" s="43" t="n"/>
      <c r="ACZ86" s="43" t="n"/>
      <c r="ADA86" s="43" t="n"/>
      <c r="ADB86" s="43" t="n"/>
      <c r="ADC86" s="43" t="n"/>
      <c r="ADD86" s="43" t="n"/>
      <c r="ADE86" s="43" t="n"/>
      <c r="ADF86" s="43" t="n"/>
      <c r="ADG86" s="43" t="n"/>
      <c r="ADH86" s="43" t="n"/>
      <c r="ADI86" s="43" t="n"/>
      <c r="ADJ86" s="43" t="n"/>
      <c r="ADK86" s="43" t="n"/>
      <c r="ADL86" s="43" t="n"/>
      <c r="ADM86" s="43" t="n"/>
      <c r="ADN86" s="43" t="n"/>
      <c r="ADO86" s="43" t="n"/>
      <c r="ADP86" s="43" t="n"/>
      <c r="ADQ86" s="43" t="n"/>
      <c r="ADR86" s="43" t="n"/>
      <c r="ADS86" s="43" t="n"/>
      <c r="ADT86" s="43" t="n"/>
      <c r="ADU86" s="43" t="n"/>
      <c r="ADV86" s="43" t="n"/>
      <c r="ADW86" s="43" t="n"/>
      <c r="ADX86" s="43" t="n"/>
      <c r="ADY86" s="43" t="n"/>
      <c r="ADZ86" s="43" t="n"/>
      <c r="AEA86" s="43" t="n"/>
      <c r="AEB86" s="43" t="n"/>
      <c r="AEC86" s="43" t="n"/>
      <c r="AED86" s="43" t="n"/>
      <c r="AEE86" s="43" t="n"/>
      <c r="AEF86" s="43" t="n"/>
      <c r="AEG86" s="43" t="n"/>
      <c r="AEH86" s="43" t="n"/>
      <c r="AEI86" s="43" t="n"/>
      <c r="AEJ86" s="43" t="n"/>
      <c r="AEK86" s="43" t="n"/>
      <c r="AEL86" s="43" t="n"/>
      <c r="AEM86" s="43" t="n"/>
      <c r="AEN86" s="43" t="n"/>
      <c r="AEO86" s="43" t="n"/>
      <c r="AEP86" s="43" t="n"/>
      <c r="AEQ86" s="43" t="n"/>
      <c r="AER86" s="43" t="n"/>
      <c r="AES86" s="43" t="n"/>
      <c r="AET86" s="43" t="n"/>
      <c r="AEU86" s="43" t="n"/>
      <c r="AEV86" s="43" t="n"/>
      <c r="AEW86" s="43" t="n"/>
      <c r="AEX86" s="43" t="n"/>
      <c r="AEY86" s="43" t="n"/>
      <c r="AEZ86" s="43" t="n"/>
      <c r="AFA86" s="43" t="n"/>
      <c r="AFB86" s="43" t="n"/>
      <c r="AFC86" s="43" t="n"/>
      <c r="AFD86" s="43" t="n"/>
      <c r="AFE86" s="43" t="n"/>
      <c r="AFF86" s="43" t="n"/>
      <c r="AFG86" s="43" t="n"/>
      <c r="AFH86" s="43" t="n"/>
      <c r="AFI86" s="43" t="n"/>
      <c r="AFJ86" s="43" t="n"/>
      <c r="AFK86" s="43" t="n"/>
      <c r="AFL86" s="43" t="n"/>
      <c r="AFM86" s="43" t="n"/>
      <c r="AFN86" s="43" t="n"/>
      <c r="AFO86" s="43" t="n"/>
      <c r="AFP86" s="43" t="n"/>
      <c r="AFQ86" s="43" t="n"/>
      <c r="AFR86" s="43" t="n"/>
      <c r="AFS86" s="43" t="n"/>
      <c r="AFT86" s="43" t="n"/>
      <c r="AFU86" s="43" t="n"/>
      <c r="AFV86" s="43" t="n"/>
      <c r="AFW86" s="43" t="n"/>
      <c r="AFX86" s="43" t="n"/>
      <c r="AFY86" s="43" t="n"/>
      <c r="AFZ86" s="43" t="n"/>
      <c r="AGA86" s="43" t="n"/>
      <c r="AGB86" s="43" t="n"/>
      <c r="AGC86" s="43" t="n"/>
      <c r="AGD86" s="43" t="n"/>
      <c r="AGE86" s="43" t="n"/>
      <c r="AGF86" s="43" t="n"/>
      <c r="AGG86" s="43" t="n"/>
      <c r="AGH86" s="43" t="n"/>
      <c r="AGI86" s="43" t="n"/>
      <c r="AGJ86" s="43" t="n"/>
      <c r="AGK86" s="43" t="n"/>
      <c r="AGL86" s="43" t="n"/>
      <c r="AGM86" s="43" t="n"/>
      <c r="AGN86" s="43" t="n"/>
      <c r="AGO86" s="43" t="n"/>
      <c r="AGP86" s="43" t="n"/>
      <c r="AGQ86" s="43" t="n"/>
      <c r="AGR86" s="43" t="n"/>
      <c r="AGS86" s="43" t="n"/>
      <c r="AGT86" s="43" t="n"/>
      <c r="AGU86" s="43" t="n"/>
      <c r="AGV86" s="43" t="n"/>
      <c r="AGW86" s="43" t="n"/>
      <c r="AGX86" s="43" t="n"/>
      <c r="AGY86" s="43" t="n"/>
      <c r="AGZ86" s="43" t="n"/>
      <c r="AHA86" s="43" t="n"/>
      <c r="AHB86" s="43" t="n"/>
      <c r="AHC86" s="43" t="n"/>
      <c r="AHD86" s="43" t="n"/>
      <c r="AHE86" s="43" t="n"/>
      <c r="AHF86" s="43" t="n"/>
      <c r="AHG86" s="43" t="n"/>
      <c r="AHH86" s="43" t="n"/>
      <c r="AHI86" s="43" t="n"/>
      <c r="AHJ86" s="43" t="n"/>
      <c r="AHK86" s="43" t="n"/>
      <c r="AHL86" s="43" t="n"/>
      <c r="AHM86" s="43" t="n"/>
      <c r="AHN86" s="43" t="n"/>
      <c r="AHO86" s="43" t="n"/>
      <c r="AHP86" s="43" t="n"/>
      <c r="AHQ86" s="43" t="n"/>
      <c r="AHR86" s="43" t="n"/>
      <c r="AHS86" s="43" t="n"/>
      <c r="AHT86" s="43" t="n"/>
      <c r="AHU86" s="43" t="n"/>
      <c r="AHV86" s="43" t="n"/>
      <c r="AHW86" s="43" t="n"/>
      <c r="AHX86" s="43" t="n"/>
      <c r="AHY86" s="43" t="n"/>
      <c r="AHZ86" s="43" t="n"/>
      <c r="AIA86" s="43" t="n"/>
      <c r="AIB86" s="43" t="n"/>
      <c r="AIC86" s="43" t="n"/>
      <c r="AID86" s="43" t="n"/>
      <c r="AIE86" s="43" t="n"/>
      <c r="AIF86" s="43" t="n"/>
      <c r="AIG86" s="43" t="n"/>
      <c r="AIH86" s="43" t="n"/>
      <c r="AII86" s="43" t="n"/>
      <c r="AIJ86" s="43" t="n"/>
      <c r="AIK86" s="43" t="n"/>
      <c r="AIL86" s="43" t="n"/>
      <c r="AIM86" s="43" t="n"/>
      <c r="AIN86" s="43" t="n"/>
      <c r="AIO86" s="43" t="n"/>
      <c r="AIP86" s="43" t="n"/>
      <c r="AIQ86" s="43" t="n"/>
      <c r="AIR86" s="43" t="n"/>
      <c r="AIS86" s="43" t="n"/>
      <c r="AIT86" s="43" t="n"/>
      <c r="AIU86" s="43" t="n"/>
      <c r="AIV86" s="43" t="n"/>
      <c r="AIW86" s="43" t="n"/>
      <c r="AIX86" s="43" t="n"/>
      <c r="AIY86" s="43" t="n"/>
      <c r="AIZ86" s="43" t="n"/>
      <c r="AJA86" s="43" t="n"/>
      <c r="AJB86" s="43" t="n"/>
      <c r="AJC86" s="43" t="n"/>
      <c r="AJD86" s="43" t="n"/>
      <c r="AJE86" s="43" t="n"/>
      <c r="AJF86" s="43" t="n"/>
      <c r="AJG86" s="43" t="n"/>
      <c r="AJH86" s="43" t="n"/>
      <c r="AJI86" s="43" t="n"/>
      <c r="AJJ86" s="43" t="n"/>
      <c r="AJK86" s="43" t="n"/>
      <c r="AJL86" s="43" t="n"/>
      <c r="AJM86" s="43" t="n"/>
      <c r="AJN86" s="43" t="n"/>
      <c r="AJO86" s="43" t="n"/>
      <c r="AJP86" s="43" t="n"/>
      <c r="AJQ86" s="43" t="n"/>
      <c r="AJR86" s="43" t="n"/>
      <c r="AJS86" s="43" t="n"/>
      <c r="AJT86" s="43" t="n"/>
      <c r="AJU86" s="43" t="n"/>
      <c r="AJV86" s="43" t="n"/>
      <c r="AJW86" s="43" t="n"/>
      <c r="AJX86" s="43" t="n"/>
      <c r="AJY86" s="43" t="n"/>
      <c r="AJZ86" s="43" t="n"/>
      <c r="AKA86" s="43" t="n"/>
      <c r="AKB86" s="43" t="n"/>
      <c r="AKC86" s="43" t="n"/>
      <c r="AKD86" s="43" t="n"/>
      <c r="AKE86" s="43" t="n"/>
      <c r="AKF86" s="43" t="n"/>
      <c r="AKG86" s="43" t="n"/>
      <c r="AKH86" s="43" t="n"/>
      <c r="AKI86" s="43" t="n"/>
      <c r="AKJ86" s="43" t="n"/>
      <c r="AKK86" s="43" t="n"/>
      <c r="AKL86" s="43" t="n"/>
      <c r="AKM86" s="43" t="n"/>
      <c r="AKN86" s="43" t="n"/>
      <c r="AKO86" s="43" t="n"/>
      <c r="AKP86" s="43" t="n"/>
      <c r="AKQ86" s="43" t="n"/>
      <c r="AKR86" s="43" t="n"/>
      <c r="AKS86" s="43" t="n"/>
      <c r="AKT86" s="43" t="n"/>
      <c r="AKU86" s="43" t="n"/>
      <c r="AKV86" s="43" t="n"/>
      <c r="AKW86" s="43" t="n"/>
      <c r="AKX86" s="43" t="n"/>
      <c r="AKY86" s="43" t="n"/>
      <c r="AKZ86" s="43" t="n"/>
      <c r="ALA86" s="43" t="n"/>
      <c r="ALB86" s="43" t="n"/>
      <c r="ALC86" s="43" t="n"/>
      <c r="ALD86" s="43" t="n"/>
      <c r="ALE86" s="43" t="n"/>
      <c r="ALF86" s="43" t="n"/>
      <c r="ALG86" s="43" t="n"/>
      <c r="ALH86" s="43" t="n"/>
      <c r="ALI86" s="43" t="n"/>
      <c r="ALJ86" s="43" t="n"/>
      <c r="ALK86" s="43" t="n"/>
      <c r="ALL86" s="43" t="n"/>
      <c r="ALM86" s="43" t="n"/>
      <c r="ALN86" s="43" t="n"/>
      <c r="ALO86" s="43" t="n"/>
      <c r="ALP86" s="43" t="n"/>
      <c r="ALQ86" s="43" t="n"/>
      <c r="ALR86" s="43" t="n"/>
      <c r="ALS86" s="43" t="n"/>
      <c r="ALT86" s="43" t="n"/>
      <c r="ALU86" s="43" t="n"/>
      <c r="ALV86" s="43" t="n"/>
      <c r="ALW86" s="43" t="n"/>
      <c r="ALX86" s="43" t="n"/>
      <c r="ALY86" s="43" t="n"/>
      <c r="ALZ86" s="43" t="n"/>
      <c r="AMA86" s="43" t="n"/>
      <c r="AMB86" s="43" t="n"/>
      <c r="AMC86" s="43" t="n"/>
      <c r="AMD86" s="43" t="n"/>
      <c r="AME86" s="43" t="n"/>
      <c r="AMF86" s="43" t="n"/>
      <c r="AMG86" s="43" t="n"/>
      <c r="AMH86" s="43" t="n"/>
      <c r="AMI86" s="43" t="n"/>
      <c r="AMJ86" s="43" t="n"/>
      <c r="AMK86" s="43" t="n"/>
      <c r="AML86" s="43" t="n"/>
      <c r="AMM86" s="43" t="n"/>
      <c r="AMN86" s="43" t="n"/>
      <c r="AMO86" s="43" t="n"/>
      <c r="AMP86" s="43" t="n"/>
      <c r="AMQ86" s="43" t="n"/>
      <c r="AMR86" s="43" t="n"/>
      <c r="AMS86" s="43" t="n"/>
      <c r="AMT86" s="43" t="n"/>
      <c r="AMU86" s="43" t="n"/>
      <c r="AMV86" s="43" t="n"/>
      <c r="AMW86" s="43" t="n"/>
      <c r="AMX86" s="43" t="n"/>
      <c r="AMY86" s="43" t="n"/>
      <c r="AMZ86" s="43" t="n"/>
      <c r="ANA86" s="43" t="n"/>
      <c r="ANB86" s="43" t="n"/>
      <c r="ANC86" s="43" t="n"/>
      <c r="AND86" s="43" t="n"/>
      <c r="ANE86" s="43" t="n"/>
      <c r="ANF86" s="43" t="n"/>
      <c r="ANG86" s="43" t="n"/>
      <c r="ANH86" s="43" t="n"/>
      <c r="ANI86" s="43" t="n"/>
      <c r="ANJ86" s="43" t="n"/>
      <c r="ANK86" s="43" t="n"/>
      <c r="ANL86" s="43" t="n"/>
      <c r="ANM86" s="43" t="n"/>
      <c r="ANN86" s="43" t="n"/>
      <c r="ANO86" s="43" t="n"/>
      <c r="ANP86" s="43" t="n"/>
      <c r="ANQ86" s="43" t="n"/>
      <c r="ANR86" s="43" t="n"/>
      <c r="ANS86" s="43" t="n"/>
      <c r="ANT86" s="43" t="n"/>
      <c r="ANU86" s="43" t="n"/>
      <c r="ANV86" s="43" t="n"/>
      <c r="ANW86" s="43" t="n"/>
      <c r="ANX86" s="43" t="n"/>
      <c r="ANY86" s="43" t="n"/>
      <c r="ANZ86" s="43" t="n"/>
      <c r="AOA86" s="43" t="n"/>
      <c r="AOB86" s="43" t="n"/>
      <c r="AOC86" s="43" t="n"/>
      <c r="AOD86" s="43" t="n"/>
      <c r="AOE86" s="43" t="n"/>
      <c r="AOF86" s="43" t="n"/>
      <c r="AOG86" s="43" t="n"/>
      <c r="AOH86" s="43" t="n"/>
      <c r="AOI86" s="43" t="n"/>
      <c r="AOJ86" s="43" t="n"/>
      <c r="AOK86" s="43" t="n"/>
      <c r="AOL86" s="43" t="n"/>
      <c r="AOM86" s="43" t="n"/>
      <c r="AON86" s="43" t="n"/>
      <c r="AOO86" s="43" t="n"/>
      <c r="AOP86" s="43" t="n"/>
      <c r="AOQ86" s="43" t="n"/>
      <c r="AOR86" s="43" t="n"/>
      <c r="AOS86" s="43" t="n"/>
      <c r="AOT86" s="43" t="n"/>
      <c r="AOU86" s="43" t="n"/>
      <c r="AOV86" s="43" t="n"/>
      <c r="AOW86" s="43" t="n"/>
      <c r="AOX86" s="43" t="n"/>
      <c r="AOY86" s="43" t="n"/>
      <c r="AOZ86" s="43" t="n"/>
      <c r="APA86" s="43" t="n"/>
      <c r="APB86" s="43" t="n"/>
      <c r="APC86" s="43" t="n"/>
      <c r="APD86" s="43" t="n"/>
      <c r="APE86" s="43" t="n"/>
      <c r="APF86" s="43" t="n"/>
      <c r="APG86" s="43" t="n"/>
      <c r="APH86" s="43" t="n"/>
      <c r="API86" s="43" t="n"/>
      <c r="APJ86" s="43" t="n"/>
      <c r="APK86" s="43" t="n"/>
      <c r="APL86" s="43" t="n"/>
      <c r="APM86" s="43" t="n"/>
      <c r="APN86" s="43" t="n"/>
      <c r="APO86" s="43" t="n"/>
      <c r="APP86" s="43" t="n"/>
      <c r="APQ86" s="43" t="n"/>
      <c r="APR86" s="43" t="n"/>
      <c r="APS86" s="43" t="n"/>
      <c r="APT86" s="43" t="n"/>
      <c r="APU86" s="43" t="n"/>
      <c r="APV86" s="43" t="n"/>
      <c r="APW86" s="43" t="n"/>
      <c r="APX86" s="43" t="n"/>
      <c r="APY86" s="43" t="n"/>
      <c r="APZ86" s="43" t="n"/>
      <c r="AQA86" s="43" t="n"/>
      <c r="AQB86" s="43" t="n"/>
      <c r="AQC86" s="43" t="n"/>
      <c r="AQD86" s="43" t="n"/>
      <c r="AQE86" s="43" t="n"/>
      <c r="AQF86" s="43" t="n"/>
      <c r="AQG86" s="43" t="n"/>
      <c r="AQH86" s="43" t="n"/>
      <c r="AQI86" s="43" t="n"/>
      <c r="AQJ86" s="43" t="n"/>
      <c r="AQK86" s="43" t="n"/>
      <c r="AQL86" s="43" t="n"/>
      <c r="AQM86" s="43" t="n"/>
      <c r="AQN86" s="43" t="n"/>
      <c r="AQO86" s="43" t="n"/>
      <c r="AQP86" s="43" t="n"/>
      <c r="AQQ86" s="43" t="n"/>
      <c r="AQR86" s="43" t="n"/>
      <c r="AQS86" s="43" t="n"/>
      <c r="AQT86" s="43" t="n"/>
      <c r="AQU86" s="43" t="n"/>
      <c r="AQV86" s="43" t="n"/>
      <c r="AQW86" s="43" t="n"/>
      <c r="AQX86" s="43" t="n"/>
      <c r="AQY86" s="43" t="n"/>
      <c r="AQZ86" s="43" t="n"/>
      <c r="ARA86" s="43" t="n"/>
      <c r="ARB86" s="43" t="n"/>
      <c r="ARC86" s="43" t="n"/>
      <c r="ARD86" s="43" t="n"/>
      <c r="ARE86" s="43" t="n"/>
      <c r="ARF86" s="43" t="n"/>
      <c r="ARG86" s="43" t="n"/>
      <c r="ARH86" s="43" t="n"/>
      <c r="ARI86" s="43" t="n"/>
      <c r="ARJ86" s="43" t="n"/>
      <c r="ARK86" s="43" t="n"/>
      <c r="ARL86" s="43" t="n"/>
      <c r="ARM86" s="43" t="n"/>
      <c r="ARN86" s="43" t="n"/>
      <c r="ARO86" s="43" t="n"/>
      <c r="ARP86" s="43" t="n"/>
      <c r="ARQ86" s="43" t="n"/>
      <c r="ARR86" s="43" t="n"/>
      <c r="ARS86" s="43" t="n"/>
      <c r="ART86" s="43" t="n"/>
      <c r="ARU86" s="43" t="n"/>
      <c r="ARV86" s="43" t="n"/>
      <c r="ARW86" s="43" t="n"/>
      <c r="ARX86" s="43" t="n"/>
      <c r="ARY86" s="43" t="n"/>
      <c r="ARZ86" s="43" t="n"/>
      <c r="ASA86" s="43" t="n"/>
      <c r="ASB86" s="43" t="n"/>
      <c r="ASC86" s="43" t="n"/>
      <c r="ASD86" s="43" t="n"/>
      <c r="ASE86" s="43" t="n"/>
      <c r="ASF86" s="43" t="n"/>
      <c r="ASG86" s="43" t="n"/>
      <c r="ASH86" s="43" t="n"/>
      <c r="ASI86" s="43" t="n"/>
      <c r="ASJ86" s="43" t="n"/>
      <c r="ASK86" s="43" t="n"/>
      <c r="ASL86" s="43" t="n"/>
      <c r="ASM86" s="43" t="n"/>
      <c r="ASN86" s="43" t="n"/>
      <c r="ASO86" s="43" t="n"/>
      <c r="ASP86" s="43" t="n"/>
      <c r="ASQ86" s="43" t="n"/>
      <c r="ASR86" s="43" t="n"/>
      <c r="ASS86" s="43" t="n"/>
      <c r="AST86" s="43" t="n"/>
      <c r="ASU86" s="43" t="n"/>
      <c r="ASV86" s="43" t="n"/>
      <c r="ASW86" s="43" t="n"/>
      <c r="ASX86" s="43" t="n"/>
      <c r="ASY86" s="43" t="n"/>
      <c r="ASZ86" s="43" t="n"/>
      <c r="ATA86" s="43" t="n"/>
      <c r="ATB86" s="43" t="n"/>
      <c r="ATC86" s="43" t="n"/>
      <c r="ATD86" s="43" t="n"/>
      <c r="ATE86" s="43" t="n"/>
      <c r="ATF86" s="43" t="n"/>
      <c r="ATG86" s="43" t="n"/>
      <c r="ATH86" s="43" t="n"/>
      <c r="ATI86" s="43" t="n"/>
      <c r="ATJ86" s="43" t="n"/>
      <c r="ATK86" s="43" t="n"/>
      <c r="ATL86" s="43" t="n"/>
      <c r="ATM86" s="43" t="n"/>
      <c r="ATN86" s="43" t="n"/>
      <c r="ATO86" s="43" t="n"/>
      <c r="ATP86" s="43" t="n"/>
      <c r="ATQ86" s="43" t="n"/>
      <c r="ATR86" s="43" t="n"/>
      <c r="ATS86" s="43" t="n"/>
      <c r="ATT86" s="43" t="n"/>
      <c r="ATU86" s="43" t="n"/>
      <c r="ATV86" s="43" t="n"/>
      <c r="ATW86" s="43" t="n"/>
      <c r="ATX86" s="43" t="n"/>
      <c r="ATY86" s="43" t="n"/>
      <c r="ATZ86" s="43" t="n"/>
      <c r="AUA86" s="43" t="n"/>
      <c r="AUB86" s="43" t="n"/>
      <c r="AUC86" s="43" t="n"/>
      <c r="AUD86" s="43" t="n"/>
      <c r="AUE86" s="43" t="n"/>
      <c r="AUF86" s="43" t="n"/>
      <c r="AUG86" s="43" t="n"/>
      <c r="AUH86" s="43" t="n"/>
      <c r="AUI86" s="43" t="n"/>
      <c r="AUJ86" s="43" t="n"/>
      <c r="AUK86" s="43" t="n"/>
      <c r="AUL86" s="43" t="n"/>
      <c r="AUM86" s="43" t="n"/>
      <c r="AUN86" s="43" t="n"/>
      <c r="AUO86" s="43" t="n"/>
      <c r="AUP86" s="43" t="n"/>
      <c r="AUQ86" s="43" t="n"/>
      <c r="AUR86" s="43" t="n"/>
      <c r="AUS86" s="43" t="n"/>
      <c r="AUT86" s="43" t="n"/>
      <c r="AUU86" s="43" t="n"/>
      <c r="AUV86" s="43" t="n"/>
      <c r="AUW86" s="43" t="n"/>
      <c r="AUX86" s="43" t="n"/>
      <c r="AUY86" s="43" t="n"/>
      <c r="AUZ86" s="43" t="n"/>
      <c r="AVA86" s="43" t="n"/>
      <c r="AVB86" s="43" t="n"/>
      <c r="AVC86" s="43" t="n"/>
      <c r="AVD86" s="43" t="n"/>
      <c r="AVE86" s="43" t="n"/>
      <c r="AVF86" s="43" t="n"/>
      <c r="AVG86" s="43" t="n"/>
      <c r="AVH86" s="43" t="n"/>
      <c r="AVI86" s="43" t="n"/>
      <c r="AVJ86" s="43" t="n"/>
      <c r="AVK86" s="43" t="n"/>
      <c r="AVL86" s="43" t="n"/>
      <c r="AVM86" s="43" t="n"/>
      <c r="AVN86" s="43" t="n"/>
      <c r="AVO86" s="43" t="n"/>
      <c r="AVP86" s="43" t="n"/>
      <c r="AVQ86" s="43" t="n"/>
      <c r="AVR86" s="43" t="n"/>
      <c r="AVS86" s="43" t="n"/>
      <c r="AVT86" s="43" t="n"/>
      <c r="AVU86" s="43" t="n"/>
      <c r="AVV86" s="43" t="n"/>
      <c r="AVW86" s="43" t="n"/>
      <c r="AVX86" s="43" t="n"/>
      <c r="AVY86" s="43" t="n"/>
      <c r="AVZ86" s="43" t="n"/>
      <c r="AWA86" s="43" t="n"/>
      <c r="AWB86" s="43" t="n"/>
      <c r="AWC86" s="43" t="n"/>
      <c r="AWD86" s="43" t="n"/>
      <c r="AWE86" s="43" t="n"/>
      <c r="AWF86" s="43" t="n"/>
      <c r="AWG86" s="43" t="n"/>
      <c r="AWH86" s="43" t="n"/>
      <c r="AWI86" s="43" t="n"/>
      <c r="AWJ86" s="43" t="n"/>
      <c r="AWK86" s="43" t="n"/>
      <c r="AWL86" s="43" t="n"/>
      <c r="AWM86" s="43" t="n"/>
      <c r="AWN86" s="43" t="n"/>
      <c r="AWO86" s="43" t="n"/>
      <c r="AWP86" s="43" t="n"/>
      <c r="AWQ86" s="43" t="n"/>
      <c r="AWR86" s="43" t="n"/>
      <c r="AWS86" s="43" t="n"/>
      <c r="AWT86" s="43" t="n"/>
      <c r="AWU86" s="43" t="n"/>
      <c r="AWV86" s="43" t="n"/>
      <c r="AWW86" s="43" t="n"/>
      <c r="AWX86" s="43" t="n"/>
      <c r="AWY86" s="43" t="n"/>
      <c r="AWZ86" s="43" t="n"/>
      <c r="AXA86" s="43" t="n"/>
      <c r="AXB86" s="43" t="n"/>
      <c r="AXC86" s="43" t="n"/>
      <c r="AXD86" s="43" t="n"/>
      <c r="AXE86" s="43" t="n"/>
      <c r="AXF86" s="43" t="n"/>
      <c r="AXG86" s="43" t="n"/>
      <c r="AXH86" s="43" t="n"/>
      <c r="AXI86" s="43" t="n"/>
      <c r="AXJ86" s="43" t="n"/>
      <c r="AXK86" s="43" t="n"/>
      <c r="AXL86" s="43" t="n"/>
      <c r="AXM86" s="43" t="n"/>
      <c r="AXN86" s="43" t="n"/>
      <c r="AXO86" s="43" t="n"/>
      <c r="AXP86" s="43" t="n"/>
      <c r="AXQ86" s="43" t="n"/>
      <c r="AXR86" s="43" t="n"/>
      <c r="AXS86" s="43" t="n"/>
      <c r="AXT86" s="43" t="n"/>
      <c r="AXU86" s="43" t="n"/>
      <c r="AXV86" s="43" t="n"/>
      <c r="AXW86" s="43" t="n"/>
      <c r="AXX86" s="43" t="n"/>
      <c r="AXY86" s="43" t="n"/>
      <c r="AXZ86" s="43" t="n"/>
      <c r="AYA86" s="43" t="n"/>
      <c r="AYB86" s="43" t="n"/>
      <c r="AYC86" s="43" t="n"/>
      <c r="AYD86" s="43" t="n"/>
      <c r="AYE86" s="43" t="n"/>
      <c r="AYF86" s="43" t="n"/>
      <c r="AYG86" s="43" t="n"/>
      <c r="AYH86" s="43" t="n"/>
      <c r="AYI86" s="43" t="n"/>
      <c r="AYJ86" s="43" t="n"/>
      <c r="AYK86" s="43" t="n"/>
      <c r="AYL86" s="43" t="n"/>
      <c r="AYM86" s="43" t="n"/>
      <c r="AYN86" s="43" t="n"/>
      <c r="AYO86" s="43" t="n"/>
      <c r="AYP86" s="43" t="n"/>
      <c r="AYQ86" s="43" t="n"/>
      <c r="AYR86" s="43" t="n"/>
      <c r="AYS86" s="43" t="n"/>
      <c r="AYT86" s="43" t="n"/>
      <c r="AYU86" s="43" t="n"/>
      <c r="AYV86" s="43" t="n"/>
      <c r="AYW86" s="43" t="n"/>
      <c r="AYX86" s="43" t="n"/>
      <c r="AYY86" s="43" t="n"/>
      <c r="AYZ86" s="43" t="n"/>
      <c r="AZA86" s="43" t="n"/>
      <c r="AZB86" s="43" t="n"/>
      <c r="AZC86" s="43" t="n"/>
      <c r="AZD86" s="43" t="n"/>
      <c r="AZE86" s="43" t="n"/>
      <c r="AZF86" s="43" t="n"/>
      <c r="AZG86" s="43" t="n"/>
      <c r="AZH86" s="43" t="n"/>
      <c r="AZI86" s="43" t="n"/>
      <c r="AZJ86" s="43" t="n"/>
      <c r="AZK86" s="43" t="n"/>
      <c r="AZL86" s="43" t="n"/>
      <c r="AZM86" s="43" t="n"/>
      <c r="AZN86" s="43" t="n"/>
      <c r="AZO86" s="43" t="n"/>
      <c r="AZP86" s="43" t="n"/>
      <c r="AZQ86" s="43" t="n"/>
      <c r="AZR86" s="43" t="n"/>
      <c r="AZS86" s="43" t="n"/>
      <c r="AZT86" s="43" t="n"/>
      <c r="AZU86" s="43" t="n"/>
      <c r="AZV86" s="43" t="n"/>
      <c r="AZW86" s="43" t="n"/>
      <c r="AZX86" s="43" t="n"/>
      <c r="AZY86" s="43" t="n"/>
      <c r="AZZ86" s="43" t="n"/>
      <c r="BAA86" s="43" t="n"/>
      <c r="BAB86" s="43" t="n"/>
      <c r="BAC86" s="43" t="n"/>
      <c r="BAD86" s="43" t="n"/>
      <c r="BAE86" s="43" t="n"/>
      <c r="BAF86" s="43" t="n"/>
      <c r="BAG86" s="43" t="n"/>
      <c r="BAH86" s="43" t="n"/>
      <c r="BAI86" s="43" t="n"/>
      <c r="BAJ86" s="43" t="n"/>
      <c r="BAK86" s="43" t="n"/>
      <c r="BAL86" s="43" t="n"/>
      <c r="BAM86" s="43" t="n"/>
      <c r="BAN86" s="43" t="n"/>
      <c r="BAO86" s="43" t="n"/>
      <c r="BAP86" s="43" t="n"/>
      <c r="BAQ86" s="43" t="n"/>
      <c r="BAR86" s="43" t="n"/>
      <c r="BAS86" s="43" t="n"/>
      <c r="BAT86" s="43" t="n"/>
      <c r="BAU86" s="43" t="n"/>
      <c r="BAV86" s="43" t="n"/>
      <c r="BAW86" s="43" t="n"/>
      <c r="BAX86" s="43" t="n"/>
      <c r="BAY86" s="43" t="n"/>
      <c r="BAZ86" s="43" t="n"/>
      <c r="BBA86" s="43" t="n"/>
      <c r="BBB86" s="43" t="n"/>
      <c r="BBC86" s="43" t="n"/>
      <c r="BBD86" s="43" t="n"/>
      <c r="BBE86" s="43" t="n"/>
      <c r="BBF86" s="43" t="n"/>
      <c r="BBG86" s="43" t="n"/>
      <c r="BBH86" s="43" t="n"/>
      <c r="BBI86" s="43" t="n"/>
      <c r="BBJ86" s="43" t="n"/>
      <c r="BBK86" s="43" t="n"/>
      <c r="BBL86" s="43" t="n"/>
      <c r="BBM86" s="43" t="n"/>
      <c r="BBN86" s="43" t="n"/>
      <c r="BBO86" s="43" t="n"/>
      <c r="BBP86" s="43" t="n"/>
      <c r="BBQ86" s="43" t="n"/>
      <c r="BBR86" s="43" t="n"/>
      <c r="BBS86" s="43" t="n"/>
      <c r="BBT86" s="43" t="n"/>
      <c r="BBU86" s="43" t="n"/>
      <c r="BBV86" s="43" t="n"/>
      <c r="BBW86" s="43" t="n"/>
      <c r="BBX86" s="43" t="n"/>
      <c r="BBY86" s="43" t="n"/>
      <c r="BBZ86" s="43" t="n"/>
      <c r="BCA86" s="43" t="n"/>
      <c r="BCB86" s="43" t="n"/>
      <c r="BCC86" s="43" t="n"/>
      <c r="BCD86" s="43" t="n"/>
      <c r="BCE86" s="43" t="n"/>
      <c r="BCF86" s="43" t="n"/>
      <c r="BCG86" s="43" t="n"/>
      <c r="BCH86" s="43" t="n"/>
      <c r="BCI86" s="43" t="n"/>
      <c r="BCJ86" s="43" t="n"/>
      <c r="BCK86" s="43" t="n"/>
      <c r="BCL86" s="43" t="n"/>
      <c r="BCM86" s="43" t="n"/>
      <c r="BCN86" s="43" t="n"/>
      <c r="BCO86" s="43" t="n"/>
      <c r="BCP86" s="43" t="n"/>
      <c r="BCQ86" s="43" t="n"/>
      <c r="BCR86" s="43" t="n"/>
      <c r="BCS86" s="43" t="n"/>
      <c r="BCT86" s="43" t="n"/>
      <c r="BCU86" s="43" t="n"/>
      <c r="BCV86" s="43" t="n"/>
      <c r="BCW86" s="43" t="n"/>
      <c r="BCX86" s="43" t="n"/>
      <c r="BCY86" s="43" t="n"/>
      <c r="BCZ86" s="43" t="n"/>
      <c r="BDA86" s="43" t="n"/>
      <c r="BDB86" s="43" t="n"/>
      <c r="BDC86" s="43" t="n"/>
      <c r="BDD86" s="43" t="n"/>
      <c r="BDE86" s="43" t="n"/>
      <c r="BDF86" s="43" t="n"/>
      <c r="BDG86" s="43" t="n"/>
      <c r="BDH86" s="43" t="n"/>
      <c r="BDI86" s="43" t="n"/>
      <c r="BDJ86" s="43" t="n"/>
      <c r="BDK86" s="43" t="n"/>
      <c r="BDL86" s="43" t="n"/>
      <c r="BDM86" s="43" t="n"/>
      <c r="BDN86" s="43" t="n"/>
      <c r="BDO86" s="43" t="n"/>
      <c r="BDP86" s="43" t="n"/>
      <c r="BDQ86" s="43" t="n"/>
      <c r="BDR86" s="43" t="n"/>
      <c r="BDS86" s="43" t="n"/>
      <c r="BDT86" s="43" t="n"/>
      <c r="BDU86" s="43" t="n"/>
      <c r="BDV86" s="43" t="n"/>
      <c r="BDW86" s="43" t="n"/>
      <c r="BDX86" s="43" t="n"/>
      <c r="BDY86" s="43" t="n"/>
      <c r="BDZ86" s="43" t="n"/>
      <c r="BEA86" s="43" t="n"/>
      <c r="BEB86" s="43" t="n"/>
      <c r="BEC86" s="43" t="n"/>
      <c r="BED86" s="43" t="n"/>
      <c r="BEE86" s="43" t="n"/>
      <c r="BEF86" s="43" t="n"/>
      <c r="BEG86" s="43" t="n"/>
      <c r="BEH86" s="43" t="n"/>
      <c r="BEI86" s="43" t="n"/>
      <c r="BEJ86" s="43" t="n"/>
      <c r="BEK86" s="43" t="n"/>
      <c r="BEL86" s="43" t="n"/>
      <c r="BEM86" s="43" t="n"/>
      <c r="BEN86" s="43" t="n"/>
      <c r="BEO86" s="43" t="n"/>
      <c r="BEP86" s="43" t="n"/>
      <c r="BEQ86" s="43" t="n"/>
      <c r="BER86" s="43" t="n"/>
      <c r="BES86" s="43" t="n"/>
      <c r="BET86" s="43" t="n"/>
      <c r="BEU86" s="43" t="n"/>
      <c r="BEV86" s="43" t="n"/>
      <c r="BEW86" s="43" t="n"/>
      <c r="BEX86" s="43" t="n"/>
      <c r="BEY86" s="43" t="n"/>
      <c r="BEZ86" s="43" t="n"/>
      <c r="BFA86" s="43" t="n"/>
      <c r="BFB86" s="43" t="n"/>
      <c r="BFC86" s="43" t="n"/>
      <c r="BFD86" s="43" t="n"/>
      <c r="BFE86" s="43" t="n"/>
      <c r="BFF86" s="43" t="n"/>
      <c r="BFG86" s="43" t="n"/>
      <c r="BFH86" s="43" t="n"/>
      <c r="BFI86" s="43" t="n"/>
      <c r="BFJ86" s="43" t="n"/>
      <c r="BFK86" s="43" t="n"/>
      <c r="BFL86" s="43" t="n"/>
      <c r="BFM86" s="43" t="n"/>
      <c r="BFN86" s="43" t="n"/>
      <c r="BFO86" s="43" t="n"/>
      <c r="BFP86" s="43" t="n"/>
      <c r="BFQ86" s="43" t="n"/>
      <c r="BFR86" s="43" t="n"/>
      <c r="BFS86" s="43" t="n"/>
      <c r="BFT86" s="43" t="n"/>
      <c r="BFU86" s="43" t="n"/>
      <c r="BFV86" s="43" t="n"/>
      <c r="BFW86" s="43" t="n"/>
      <c r="BFX86" s="43" t="n"/>
      <c r="BFY86" s="43" t="n"/>
      <c r="BFZ86" s="43" t="n"/>
      <c r="BGA86" s="43" t="n"/>
      <c r="BGB86" s="43" t="n"/>
      <c r="BGC86" s="43" t="n"/>
      <c r="BGD86" s="43" t="n"/>
      <c r="BGE86" s="43" t="n"/>
      <c r="BGF86" s="43" t="n"/>
      <c r="BGG86" s="43" t="n"/>
      <c r="BGH86" s="43" t="n"/>
      <c r="BGI86" s="43" t="n"/>
      <c r="BGJ86" s="43" t="n"/>
      <c r="BGK86" s="43" t="n"/>
      <c r="BGL86" s="43" t="n"/>
      <c r="BGM86" s="43" t="n"/>
      <c r="BGN86" s="43" t="n"/>
      <c r="BGO86" s="43" t="n"/>
      <c r="BGP86" s="43" t="n"/>
      <c r="BGQ86" s="43" t="n"/>
      <c r="BGR86" s="43" t="n"/>
      <c r="BGS86" s="43" t="n"/>
      <c r="BGT86" s="43" t="n"/>
      <c r="BGU86" s="43" t="n"/>
      <c r="BGV86" s="43" t="n"/>
      <c r="BGW86" s="43" t="n"/>
      <c r="BGX86" s="43" t="n"/>
      <c r="BGY86" s="43" t="n"/>
      <c r="BGZ86" s="43" t="n"/>
      <c r="BHA86" s="43" t="n"/>
      <c r="BHB86" s="43" t="n"/>
      <c r="BHC86" s="43" t="n"/>
      <c r="BHD86" s="43" t="n"/>
      <c r="BHE86" s="43" t="n"/>
      <c r="BHF86" s="43" t="n"/>
      <c r="BHG86" s="43" t="n"/>
      <c r="BHH86" s="43" t="n"/>
      <c r="BHI86" s="43" t="n"/>
      <c r="BHJ86" s="43" t="n"/>
      <c r="BHK86" s="43" t="n"/>
      <c r="BHL86" s="43" t="n"/>
      <c r="BHM86" s="43" t="n"/>
      <c r="BHN86" s="43" t="n"/>
      <c r="BHO86" s="43" t="n"/>
      <c r="BHP86" s="43" t="n"/>
      <c r="BHQ86" s="43" t="n"/>
      <c r="BHR86" s="43" t="n"/>
      <c r="BHS86" s="43" t="n"/>
      <c r="BHT86" s="43" t="n"/>
      <c r="BHU86" s="43" t="n"/>
      <c r="BHV86" s="43" t="n"/>
      <c r="BHW86" s="43" t="n"/>
      <c r="BHX86" s="43" t="n"/>
      <c r="BHY86" s="43" t="n"/>
      <c r="BHZ86" s="43" t="n"/>
      <c r="BIA86" s="43" t="n"/>
      <c r="BIB86" s="43" t="n"/>
      <c r="BIC86" s="43" t="n"/>
      <c r="BID86" s="43" t="n"/>
      <c r="BIE86" s="43" t="n"/>
      <c r="BIF86" s="43" t="n"/>
      <c r="BIG86" s="43" t="n"/>
      <c r="BIH86" s="43" t="n"/>
      <c r="BII86" s="43" t="n"/>
      <c r="BIJ86" s="43" t="n"/>
      <c r="BIK86" s="43" t="n"/>
      <c r="BIL86" s="43" t="n"/>
      <c r="BIM86" s="43" t="n"/>
      <c r="BIN86" s="43" t="n"/>
      <c r="BIO86" s="43" t="n"/>
      <c r="BIP86" s="43" t="n"/>
      <c r="BIQ86" s="43" t="n"/>
      <c r="BIR86" s="43" t="n"/>
      <c r="BIS86" s="43" t="n"/>
      <c r="BIT86" s="43" t="n"/>
      <c r="BIU86" s="43" t="n"/>
      <c r="BIV86" s="43" t="n"/>
      <c r="BIW86" s="43" t="n"/>
      <c r="BIX86" s="43" t="n"/>
      <c r="BIY86" s="43" t="n"/>
      <c r="BIZ86" s="43" t="n"/>
      <c r="BJA86" s="43" t="n"/>
      <c r="BJB86" s="43" t="n"/>
      <c r="BJC86" s="43" t="n"/>
      <c r="BJD86" s="43" t="n"/>
      <c r="BJE86" s="43" t="n"/>
      <c r="BJF86" s="43" t="n"/>
      <c r="BJG86" s="43" t="n"/>
      <c r="BJH86" s="43" t="n"/>
      <c r="BJI86" s="43" t="n"/>
      <c r="BJJ86" s="43" t="n"/>
      <c r="BJK86" s="43" t="n"/>
      <c r="BJL86" s="43" t="n"/>
      <c r="BJM86" s="43" t="n"/>
      <c r="BJN86" s="43" t="n"/>
      <c r="BJO86" s="43" t="n"/>
      <c r="BJP86" s="43" t="n"/>
      <c r="BJQ86" s="43" t="n"/>
      <c r="BJR86" s="43" t="n"/>
      <c r="BJS86" s="43" t="n"/>
      <c r="BJT86" s="43" t="n"/>
      <c r="BJU86" s="43" t="n"/>
      <c r="BJV86" s="43" t="n"/>
      <c r="BJW86" s="43" t="n"/>
      <c r="BJX86" s="43" t="n"/>
      <c r="BJY86" s="43" t="n"/>
      <c r="BJZ86" s="43" t="n"/>
      <c r="BKA86" s="43" t="n"/>
      <c r="BKB86" s="43" t="n"/>
      <c r="BKC86" s="43" t="n"/>
      <c r="BKD86" s="43" t="n"/>
      <c r="BKE86" s="43" t="n"/>
      <c r="BKF86" s="43" t="n"/>
      <c r="BKG86" s="43" t="n"/>
      <c r="BKH86" s="43" t="n"/>
      <c r="BKI86" s="43" t="n"/>
      <c r="BKJ86" s="43" t="n"/>
      <c r="BKK86" s="43" t="n"/>
      <c r="BKL86" s="43" t="n"/>
      <c r="BKM86" s="43" t="n"/>
      <c r="BKN86" s="43" t="n"/>
      <c r="BKO86" s="43" t="n"/>
      <c r="BKP86" s="43" t="n"/>
      <c r="BKQ86" s="43" t="n"/>
      <c r="BKR86" s="43" t="n"/>
      <c r="BKS86" s="43" t="n"/>
      <c r="BKT86" s="43" t="n"/>
      <c r="BKU86" s="43" t="n"/>
      <c r="BKV86" s="43" t="n"/>
      <c r="BKW86" s="43" t="n"/>
      <c r="BKX86" s="43" t="n"/>
      <c r="BKY86" s="43" t="n"/>
      <c r="BKZ86" s="43" t="n"/>
      <c r="BLA86" s="43" t="n"/>
      <c r="BLB86" s="43" t="n"/>
      <c r="BLC86" s="43" t="n"/>
      <c r="BLD86" s="43" t="n"/>
      <c r="BLE86" s="43" t="n"/>
      <c r="BLF86" s="43" t="n"/>
      <c r="BLG86" s="43" t="n"/>
      <c r="BLH86" s="43" t="n"/>
      <c r="BLI86" s="43" t="n"/>
      <c r="BLJ86" s="43" t="n"/>
      <c r="BLK86" s="43" t="n"/>
      <c r="BLL86" s="43" t="n"/>
      <c r="BLM86" s="43" t="n"/>
      <c r="BLN86" s="43" t="n"/>
      <c r="BLO86" s="43" t="n"/>
      <c r="BLP86" s="43" t="n"/>
      <c r="BLQ86" s="43" t="n"/>
      <c r="BLR86" s="43" t="n"/>
      <c r="BLS86" s="43" t="n"/>
      <c r="BLT86" s="43" t="n"/>
      <c r="BLU86" s="43" t="n"/>
      <c r="BLV86" s="43" t="n"/>
      <c r="BLW86" s="43" t="n"/>
      <c r="BLX86" s="43" t="n"/>
      <c r="BLY86" s="43" t="n"/>
      <c r="BLZ86" s="43" t="n"/>
      <c r="BMA86" s="43" t="n"/>
      <c r="BMB86" s="43" t="n"/>
      <c r="BMC86" s="43" t="n"/>
      <c r="BMD86" s="43" t="n"/>
      <c r="BME86" s="43" t="n"/>
      <c r="BMF86" s="43" t="n"/>
      <c r="BMG86" s="43" t="n"/>
      <c r="BMH86" s="43" t="n"/>
      <c r="BMI86" s="43" t="n"/>
      <c r="BMJ86" s="43" t="n"/>
      <c r="BMK86" s="43" t="n"/>
      <c r="BML86" s="43" t="n"/>
      <c r="BMM86" s="43" t="n"/>
      <c r="BMN86" s="43" t="n"/>
      <c r="BMO86" s="43" t="n"/>
      <c r="BMP86" s="43" t="n"/>
      <c r="BMQ86" s="43" t="n"/>
      <c r="BMR86" s="43" t="n"/>
      <c r="BMS86" s="43" t="n"/>
      <c r="BMT86" s="43" t="n"/>
      <c r="BMU86" s="43" t="n"/>
      <c r="BMV86" s="43" t="n"/>
      <c r="BMW86" s="43" t="n"/>
      <c r="BMX86" s="43" t="n"/>
      <c r="BMY86" s="43" t="n"/>
      <c r="BMZ86" s="43" t="n"/>
      <c r="BNA86" s="43" t="n"/>
      <c r="BNB86" s="43" t="n"/>
      <c r="BNC86" s="43" t="n"/>
      <c r="BND86" s="43" t="n"/>
      <c r="BNE86" s="43" t="n"/>
      <c r="BNF86" s="43" t="n"/>
      <c r="BNG86" s="43" t="n"/>
      <c r="BNH86" s="43" t="n"/>
      <c r="BNI86" s="43" t="n"/>
      <c r="BNJ86" s="43" t="n"/>
      <c r="BNK86" s="43" t="n"/>
      <c r="BNL86" s="43" t="n"/>
      <c r="BNM86" s="43" t="n"/>
      <c r="BNN86" s="43" t="n"/>
      <c r="BNO86" s="43" t="n"/>
      <c r="BNP86" s="43" t="n"/>
      <c r="BNQ86" s="43" t="n"/>
      <c r="BNR86" s="43" t="n"/>
      <c r="BNS86" s="43" t="n"/>
      <c r="BNT86" s="43" t="n"/>
      <c r="BNU86" s="43" t="n"/>
      <c r="BNV86" s="43" t="n"/>
      <c r="BNW86" s="43" t="n"/>
      <c r="BNX86" s="43" t="n"/>
      <c r="BNY86" s="43" t="n"/>
      <c r="BNZ86" s="43" t="n"/>
      <c r="BOA86" s="43" t="n"/>
      <c r="BOB86" s="43" t="n"/>
      <c r="BOC86" s="43" t="n"/>
      <c r="BOD86" s="43" t="n"/>
      <c r="BOE86" s="43" t="n"/>
      <c r="BOF86" s="43" t="n"/>
      <c r="BOG86" s="43" t="n"/>
      <c r="BOH86" s="43" t="n"/>
      <c r="BOI86" s="43" t="n"/>
      <c r="BOJ86" s="43" t="n"/>
      <c r="BOK86" s="43" t="n"/>
      <c r="BOL86" s="43" t="n"/>
      <c r="BOM86" s="43" t="n"/>
      <c r="BON86" s="43" t="n"/>
      <c r="BOO86" s="43" t="n"/>
      <c r="BOP86" s="43" t="n"/>
      <c r="BOQ86" s="43" t="n"/>
      <c r="BOR86" s="43" t="n"/>
      <c r="BOS86" s="43" t="n"/>
      <c r="BOT86" s="43" t="n"/>
      <c r="BOU86" s="43" t="n"/>
      <c r="BOV86" s="43" t="n"/>
      <c r="BOW86" s="43" t="n"/>
      <c r="BOX86" s="43" t="n"/>
      <c r="BOY86" s="43" t="n"/>
      <c r="BOZ86" s="43" t="n"/>
      <c r="BPA86" s="43" t="n"/>
      <c r="BPB86" s="43" t="n"/>
      <c r="BPC86" s="43" t="n"/>
      <c r="BPD86" s="43" t="n"/>
      <c r="BPE86" s="43" t="n"/>
      <c r="BPF86" s="43" t="n"/>
      <c r="BPG86" s="43" t="n"/>
      <c r="BPH86" s="43" t="n"/>
      <c r="BPI86" s="43" t="n"/>
      <c r="BPJ86" s="43" t="n"/>
      <c r="BPK86" s="43" t="n"/>
      <c r="BPL86" s="43" t="n"/>
      <c r="BPM86" s="43" t="n"/>
      <c r="BPN86" s="43" t="n"/>
      <c r="BPO86" s="43" t="n"/>
      <c r="BPP86" s="43" t="n"/>
      <c r="BPQ86" s="43" t="n"/>
      <c r="BPR86" s="43" t="n"/>
      <c r="BPS86" s="43" t="n"/>
      <c r="BPT86" s="43" t="n"/>
      <c r="BPU86" s="43" t="n"/>
      <c r="BPV86" s="43" t="n"/>
      <c r="BPW86" s="43" t="n"/>
      <c r="BPX86" s="43" t="n"/>
      <c r="BPY86" s="43" t="n"/>
      <c r="BPZ86" s="43" t="n"/>
      <c r="BQA86" s="43" t="n"/>
      <c r="BQB86" s="43" t="n"/>
      <c r="BQC86" s="43" t="n"/>
      <c r="BQD86" s="43" t="n"/>
      <c r="BQE86" s="43" t="n"/>
      <c r="BQF86" s="43" t="n"/>
      <c r="BQG86" s="43" t="n"/>
      <c r="BQH86" s="43" t="n"/>
      <c r="BQI86" s="43" t="n"/>
      <c r="BQJ86" s="43" t="n"/>
      <c r="BQK86" s="43" t="n"/>
      <c r="BQL86" s="43" t="n"/>
      <c r="BQM86" s="43" t="n"/>
      <c r="BQN86" s="43" t="n"/>
      <c r="BQO86" s="43" t="n"/>
      <c r="BQP86" s="43" t="n"/>
      <c r="BQQ86" s="43" t="n"/>
      <c r="BQR86" s="43" t="n"/>
      <c r="BQS86" s="43" t="n"/>
      <c r="BQT86" s="43" t="n"/>
      <c r="BQU86" s="43" t="n"/>
      <c r="BQV86" s="43" t="n"/>
      <c r="BQW86" s="43" t="n"/>
      <c r="BQX86" s="43" t="n"/>
      <c r="BQY86" s="43" t="n"/>
      <c r="BQZ86" s="43" t="n"/>
      <c r="BRA86" s="43" t="n"/>
      <c r="BRB86" s="43" t="n"/>
      <c r="BRC86" s="43" t="n"/>
      <c r="BRD86" s="43" t="n"/>
      <c r="BRE86" s="43" t="n"/>
      <c r="BRF86" s="43" t="n"/>
      <c r="BRG86" s="43" t="n"/>
      <c r="BRH86" s="43" t="n"/>
      <c r="BRI86" s="43" t="n"/>
      <c r="BRJ86" s="43" t="n"/>
      <c r="BRK86" s="43" t="n"/>
      <c r="BRL86" s="43" t="n"/>
      <c r="BRM86" s="43" t="n"/>
      <c r="BRN86" s="43" t="n"/>
      <c r="BRO86" s="43" t="n"/>
      <c r="BRP86" s="43" t="n"/>
      <c r="BRQ86" s="43" t="n"/>
      <c r="BRR86" s="43" t="n"/>
      <c r="BRS86" s="43" t="n"/>
      <c r="BRT86" s="43" t="n"/>
      <c r="BRU86" s="43" t="n"/>
      <c r="BRV86" s="43" t="n"/>
      <c r="BRW86" s="43" t="n"/>
      <c r="BRX86" s="43" t="n"/>
      <c r="BRY86" s="43" t="n"/>
      <c r="BRZ86" s="43" t="n"/>
      <c r="BSA86" s="43" t="n"/>
      <c r="BSB86" s="43" t="n"/>
      <c r="BSC86" s="43" t="n"/>
      <c r="BSD86" s="43" t="n"/>
      <c r="BSE86" s="43" t="n"/>
      <c r="BSF86" s="43" t="n"/>
      <c r="BSG86" s="43" t="n"/>
      <c r="BSH86" s="43" t="n"/>
      <c r="BSI86" s="43" t="n"/>
      <c r="BSJ86" s="43" t="n"/>
      <c r="BSK86" s="43" t="n"/>
      <c r="BSL86" s="43" t="n"/>
      <c r="BSM86" s="43" t="n"/>
      <c r="BSN86" s="43" t="n"/>
      <c r="BSO86" s="43" t="n"/>
      <c r="BSP86" s="43" t="n"/>
      <c r="BSQ86" s="43" t="n"/>
      <c r="BSR86" s="43" t="n"/>
      <c r="BSS86" s="43" t="n"/>
      <c r="BST86" s="43" t="n"/>
      <c r="BSU86" s="43" t="n"/>
      <c r="BSV86" s="43" t="n"/>
      <c r="BSW86" s="43" t="n"/>
      <c r="BSX86" s="43" t="n"/>
      <c r="BSY86" s="43" t="n"/>
      <c r="BSZ86" s="43" t="n"/>
      <c r="BTA86" s="43" t="n"/>
      <c r="BTB86" s="43" t="n"/>
      <c r="BTC86" s="43" t="n"/>
      <c r="BTD86" s="43" t="n"/>
      <c r="BTE86" s="43" t="n"/>
      <c r="BTF86" s="43" t="n"/>
      <c r="BTG86" s="43" t="n"/>
      <c r="BTH86" s="43" t="n"/>
      <c r="BTI86" s="43" t="n"/>
      <c r="BTJ86" s="43" t="n"/>
      <c r="BTK86" s="43" t="n"/>
      <c r="BTL86" s="43" t="n"/>
      <c r="BTM86" s="43" t="n"/>
      <c r="BTN86" s="43" t="n"/>
      <c r="BTO86" s="43" t="n"/>
      <c r="BTP86" s="43" t="n"/>
      <c r="BTQ86" s="43" t="n"/>
      <c r="BTR86" s="43" t="n"/>
      <c r="BTS86" s="43" t="n"/>
      <c r="BTT86" s="43" t="n"/>
      <c r="BTU86" s="43" t="n"/>
      <c r="BTV86" s="43" t="n"/>
      <c r="BTW86" s="43" t="n"/>
      <c r="BTX86" s="43" t="n"/>
      <c r="BTY86" s="43" t="n"/>
      <c r="BTZ86" s="43" t="n"/>
      <c r="BUA86" s="43" t="n"/>
      <c r="BUB86" s="43" t="n"/>
      <c r="BUC86" s="43" t="n"/>
      <c r="BUD86" s="43" t="n"/>
      <c r="BUE86" s="43" t="n"/>
      <c r="BUF86" s="43" t="n"/>
      <c r="BUG86" s="43" t="n"/>
      <c r="BUH86" s="43" t="n"/>
      <c r="BUI86" s="43" t="n"/>
      <c r="BUJ86" s="43" t="n"/>
      <c r="BUK86" s="43" t="n"/>
      <c r="BUL86" s="43" t="n"/>
      <c r="BUM86" s="43" t="n"/>
      <c r="BUN86" s="43" t="n"/>
      <c r="BUO86" s="43" t="n"/>
      <c r="BUP86" s="43" t="n"/>
      <c r="BUQ86" s="43" t="n"/>
      <c r="BUR86" s="43" t="n"/>
      <c r="BUS86" s="43" t="n"/>
      <c r="BUT86" s="43" t="n"/>
      <c r="BUU86" s="43" t="n"/>
      <c r="BUV86" s="43" t="n"/>
      <c r="BUW86" s="43" t="n"/>
      <c r="BUX86" s="43" t="n"/>
      <c r="BUY86" s="43" t="n"/>
      <c r="BUZ86" s="43" t="n"/>
      <c r="BVA86" s="43" t="n"/>
      <c r="BVB86" s="43" t="n"/>
      <c r="BVC86" s="43" t="n"/>
      <c r="BVD86" s="43" t="n"/>
      <c r="BVE86" s="43" t="n"/>
      <c r="BVF86" s="43" t="n"/>
      <c r="BVG86" s="43" t="n"/>
      <c r="BVH86" s="43" t="n"/>
      <c r="BVI86" s="43" t="n"/>
      <c r="BVJ86" s="43" t="n"/>
      <c r="BVK86" s="43" t="n"/>
      <c r="BVL86" s="43" t="n"/>
      <c r="BVM86" s="43" t="n"/>
      <c r="BVN86" s="43" t="n"/>
      <c r="BVO86" s="43" t="n"/>
      <c r="BVP86" s="43" t="n"/>
      <c r="BVQ86" s="43" t="n"/>
      <c r="BVR86" s="43" t="n"/>
      <c r="BVS86" s="43" t="n"/>
      <c r="BVT86" s="43" t="n"/>
      <c r="BVU86" s="43" t="n"/>
      <c r="BVV86" s="43" t="n"/>
      <c r="BVW86" s="43" t="n"/>
      <c r="BVX86" s="43" t="n"/>
      <c r="BVY86" s="43" t="n"/>
      <c r="BVZ86" s="43" t="n"/>
      <c r="BWA86" s="43" t="n"/>
      <c r="BWB86" s="43" t="n"/>
      <c r="BWC86" s="43" t="n"/>
      <c r="BWD86" s="43" t="n"/>
      <c r="BWE86" s="43" t="n"/>
      <c r="BWF86" s="43" t="n"/>
      <c r="BWG86" s="43" t="n"/>
      <c r="BWH86" s="43" t="n"/>
      <c r="BWI86" s="43" t="n"/>
      <c r="BWJ86" s="43" t="n"/>
      <c r="BWK86" s="43" t="n"/>
      <c r="BWL86" s="43" t="n"/>
      <c r="BWM86" s="43" t="n"/>
      <c r="BWN86" s="43" t="n"/>
      <c r="BWO86" s="43" t="n"/>
      <c r="BWP86" s="43" t="n"/>
      <c r="BWQ86" s="43" t="n"/>
      <c r="BWR86" s="43" t="n"/>
      <c r="BWS86" s="43" t="n"/>
      <c r="BWT86" s="43" t="n"/>
      <c r="BWU86" s="43" t="n"/>
      <c r="BWV86" s="43" t="n"/>
      <c r="BWW86" s="43" t="n"/>
      <c r="BWX86" s="43" t="n"/>
      <c r="BWY86" s="43" t="n"/>
      <c r="BWZ86" s="43" t="n"/>
      <c r="BXA86" s="43" t="n"/>
      <c r="BXB86" s="43" t="n"/>
      <c r="BXC86" s="43" t="n"/>
      <c r="BXD86" s="43" t="n"/>
      <c r="BXE86" s="43" t="n"/>
      <c r="BXF86" s="43" t="n"/>
      <c r="BXG86" s="43" t="n"/>
      <c r="BXH86" s="43" t="n"/>
      <c r="BXI86" s="43" t="n"/>
      <c r="BXJ86" s="43" t="n"/>
      <c r="BXK86" s="43" t="n"/>
      <c r="BXL86" s="43" t="n"/>
      <c r="BXM86" s="43" t="n"/>
      <c r="BXN86" s="43" t="n"/>
      <c r="BXO86" s="43" t="n"/>
      <c r="BXP86" s="43" t="n"/>
      <c r="BXQ86" s="43" t="n"/>
      <c r="BXR86" s="43" t="n"/>
      <c r="BXS86" s="43" t="n"/>
      <c r="BXT86" s="43" t="n"/>
      <c r="BXU86" s="43" t="n"/>
      <c r="BXV86" s="43" t="n"/>
      <c r="BXW86" s="43" t="n"/>
      <c r="BXX86" s="43" t="n"/>
      <c r="BXY86" s="43" t="n"/>
      <c r="BXZ86" s="43" t="n"/>
      <c r="BYA86" s="43" t="n"/>
      <c r="BYB86" s="43" t="n"/>
      <c r="BYC86" s="43" t="n"/>
      <c r="BYD86" s="43" t="n"/>
      <c r="BYE86" s="43" t="n"/>
      <c r="BYF86" s="43" t="n"/>
      <c r="BYG86" s="43" t="n"/>
      <c r="BYH86" s="43" t="n"/>
      <c r="BYI86" s="43" t="n"/>
      <c r="BYJ86" s="43" t="n"/>
      <c r="BYK86" s="43" t="n"/>
      <c r="BYL86" s="43" t="n"/>
      <c r="BYM86" s="43" t="n"/>
      <c r="BYN86" s="43" t="n"/>
      <c r="BYO86" s="43" t="n"/>
      <c r="BYP86" s="43" t="n"/>
      <c r="BYQ86" s="43" t="n"/>
      <c r="BYR86" s="43" t="n"/>
      <c r="BYS86" s="43" t="n"/>
      <c r="BYT86" s="43" t="n"/>
      <c r="BYU86" s="43" t="n"/>
      <c r="BYV86" s="43" t="n"/>
      <c r="BYW86" s="43" t="n"/>
      <c r="BYX86" s="43" t="n"/>
      <c r="BYY86" s="43" t="n"/>
      <c r="BYZ86" s="43" t="n"/>
      <c r="BZA86" s="43" t="n"/>
      <c r="BZB86" s="43" t="n"/>
      <c r="BZC86" s="43" t="n"/>
      <c r="BZD86" s="43" t="n"/>
      <c r="BZE86" s="43" t="n"/>
      <c r="BZF86" s="43" t="n"/>
      <c r="BZG86" s="43" t="n"/>
      <c r="BZH86" s="43" t="n"/>
      <c r="BZI86" s="43" t="n"/>
      <c r="BZJ86" s="43" t="n"/>
      <c r="BZK86" s="43" t="n"/>
      <c r="BZL86" s="43" t="n"/>
      <c r="BZM86" s="43" t="n"/>
      <c r="BZN86" s="43" t="n"/>
      <c r="BZO86" s="43" t="n"/>
      <c r="BZP86" s="43" t="n"/>
      <c r="BZQ86" s="43" t="n"/>
      <c r="BZR86" s="43" t="n"/>
      <c r="BZS86" s="43" t="n"/>
      <c r="BZT86" s="43" t="n"/>
      <c r="BZU86" s="43" t="n"/>
      <c r="BZV86" s="43" t="n"/>
      <c r="BZW86" s="43" t="n"/>
      <c r="BZX86" s="43" t="n"/>
      <c r="BZY86" s="43" t="n"/>
      <c r="BZZ86" s="43" t="n"/>
      <c r="CAA86" s="43" t="n"/>
      <c r="CAB86" s="43" t="n"/>
      <c r="CAC86" s="43" t="n"/>
      <c r="CAD86" s="43" t="n"/>
      <c r="CAE86" s="43" t="n"/>
      <c r="CAF86" s="43" t="n"/>
      <c r="CAG86" s="43" t="n"/>
      <c r="CAH86" s="43" t="n"/>
      <c r="CAI86" s="43" t="n"/>
      <c r="CAJ86" s="43" t="n"/>
      <c r="CAK86" s="43" t="n"/>
      <c r="CAL86" s="43" t="n"/>
      <c r="CAM86" s="43" t="n"/>
      <c r="CAN86" s="43" t="n"/>
      <c r="CAO86" s="43" t="n"/>
      <c r="CAP86" s="43" t="n"/>
      <c r="CAQ86" s="43" t="n"/>
      <c r="CAR86" s="43" t="n"/>
      <c r="CAS86" s="43" t="n"/>
      <c r="CAT86" s="43" t="n"/>
      <c r="CAU86" s="43" t="n"/>
      <c r="CAV86" s="43" t="n"/>
      <c r="CAW86" s="43" t="n"/>
      <c r="CAX86" s="43" t="n"/>
      <c r="CAY86" s="43" t="n"/>
      <c r="CAZ86" s="43" t="n"/>
      <c r="CBA86" s="43" t="n"/>
      <c r="CBB86" s="43" t="n"/>
      <c r="CBC86" s="43" t="n"/>
      <c r="CBD86" s="43" t="n"/>
      <c r="CBE86" s="43" t="n"/>
      <c r="CBF86" s="43" t="n"/>
      <c r="CBG86" s="43" t="n"/>
      <c r="CBH86" s="43" t="n"/>
      <c r="CBI86" s="43" t="n"/>
      <c r="CBJ86" s="43" t="n"/>
      <c r="CBK86" s="43" t="n"/>
      <c r="CBL86" s="43" t="n"/>
      <c r="CBM86" s="43" t="n"/>
      <c r="CBN86" s="43" t="n"/>
      <c r="CBO86" s="43" t="n"/>
      <c r="CBP86" s="43" t="n"/>
      <c r="CBQ86" s="43" t="n"/>
      <c r="CBR86" s="43" t="n"/>
      <c r="CBS86" s="43" t="n"/>
      <c r="CBT86" s="43" t="n"/>
      <c r="CBU86" s="43" t="n"/>
      <c r="CBV86" s="43" t="n"/>
      <c r="CBW86" s="43" t="n"/>
      <c r="CBX86" s="43" t="n"/>
      <c r="CBY86" s="43" t="n"/>
      <c r="CBZ86" s="43" t="n"/>
      <c r="CCA86" s="43" t="n"/>
      <c r="CCB86" s="43" t="n"/>
      <c r="CCC86" s="43" t="n"/>
      <c r="CCD86" s="43" t="n"/>
      <c r="CCE86" s="43" t="n"/>
      <c r="CCF86" s="43" t="n"/>
      <c r="CCG86" s="43" t="n"/>
      <c r="CCH86" s="43" t="n"/>
      <c r="CCI86" s="43" t="n"/>
      <c r="CCJ86" s="43" t="n"/>
      <c r="CCK86" s="43" t="n"/>
      <c r="CCL86" s="43" t="n"/>
      <c r="CCM86" s="43" t="n"/>
      <c r="CCN86" s="43" t="n"/>
      <c r="CCO86" s="43" t="n"/>
      <c r="CCP86" s="43" t="n"/>
      <c r="CCQ86" s="43" t="n"/>
      <c r="CCR86" s="43" t="n"/>
      <c r="CCS86" s="43" t="n"/>
      <c r="CCT86" s="43" t="n"/>
      <c r="CCU86" s="43" t="n"/>
      <c r="CCV86" s="43" t="n"/>
      <c r="CCW86" s="43" t="n"/>
      <c r="CCX86" s="43" t="n"/>
      <c r="CCY86" s="43" t="n"/>
      <c r="CCZ86" s="43" t="n"/>
      <c r="CDA86" s="43" t="n"/>
      <c r="CDB86" s="43" t="n"/>
      <c r="CDC86" s="43" t="n"/>
      <c r="CDD86" s="43" t="n"/>
      <c r="CDE86" s="43" t="n"/>
      <c r="CDF86" s="43" t="n"/>
      <c r="CDG86" s="43" t="n"/>
      <c r="CDH86" s="43" t="n"/>
      <c r="CDI86" s="43" t="n"/>
      <c r="CDJ86" s="43" t="n"/>
      <c r="CDK86" s="43" t="n"/>
      <c r="CDL86" s="43" t="n"/>
      <c r="CDM86" s="43" t="n"/>
      <c r="CDN86" s="43" t="n"/>
      <c r="CDO86" s="43" t="n"/>
      <c r="CDP86" s="43" t="n"/>
      <c r="CDQ86" s="43" t="n"/>
      <c r="CDR86" s="43" t="n"/>
      <c r="CDS86" s="43" t="n"/>
      <c r="CDT86" s="43" t="n"/>
      <c r="CDU86" s="43" t="n"/>
      <c r="CDV86" s="43" t="n"/>
      <c r="CDW86" s="43" t="n"/>
      <c r="CDX86" s="43" t="n"/>
      <c r="CDY86" s="43" t="n"/>
      <c r="CDZ86" s="43" t="n"/>
      <c r="CEA86" s="43" t="n"/>
      <c r="CEB86" s="43" t="n"/>
      <c r="CEC86" s="43" t="n"/>
      <c r="CED86" s="43" t="n"/>
      <c r="CEE86" s="43" t="n"/>
      <c r="CEF86" s="43" t="n"/>
      <c r="CEG86" s="43" t="n"/>
      <c r="CEH86" s="43" t="n"/>
      <c r="CEI86" s="43" t="n"/>
      <c r="CEJ86" s="43" t="n"/>
      <c r="CEK86" s="43" t="n"/>
      <c r="CEL86" s="43" t="n"/>
      <c r="CEM86" s="43" t="n"/>
      <c r="CEN86" s="43" t="n"/>
      <c r="CEO86" s="43" t="n"/>
      <c r="CEP86" s="43" t="n"/>
      <c r="CEQ86" s="43" t="n"/>
      <c r="CER86" s="43" t="n"/>
      <c r="CES86" s="43" t="n"/>
      <c r="CET86" s="43" t="n"/>
      <c r="CEU86" s="43" t="n"/>
      <c r="CEV86" s="43" t="n"/>
      <c r="CEW86" s="43" t="n"/>
      <c r="CEX86" s="43" t="n"/>
      <c r="CEY86" s="43" t="n"/>
      <c r="CEZ86" s="43" t="n"/>
      <c r="CFA86" s="43" t="n"/>
      <c r="CFB86" s="43" t="n"/>
      <c r="CFC86" s="43" t="n"/>
      <c r="CFD86" s="43" t="n"/>
      <c r="CFE86" s="43" t="n"/>
      <c r="CFF86" s="43" t="n"/>
      <c r="CFG86" s="43" t="n"/>
      <c r="CFH86" s="43" t="n"/>
      <c r="CFI86" s="43" t="n"/>
      <c r="CFJ86" s="43" t="n"/>
      <c r="CFK86" s="43" t="n"/>
      <c r="CFL86" s="43" t="n"/>
      <c r="CFM86" s="43" t="n"/>
      <c r="CFN86" s="43" t="n"/>
      <c r="CFO86" s="43" t="n"/>
      <c r="CFP86" s="43" t="n"/>
      <c r="CFQ86" s="43" t="n"/>
      <c r="CFR86" s="43" t="n"/>
      <c r="CFS86" s="43" t="n"/>
      <c r="CFT86" s="43" t="n"/>
      <c r="CFU86" s="43" t="n"/>
      <c r="CFV86" s="43" t="n"/>
      <c r="CFW86" s="43" t="n"/>
      <c r="CFX86" s="43" t="n"/>
      <c r="CFY86" s="43" t="n"/>
      <c r="CFZ86" s="43" t="n"/>
      <c r="CGA86" s="43" t="n"/>
      <c r="CGB86" s="43" t="n"/>
      <c r="CGC86" s="43" t="n"/>
      <c r="CGD86" s="43" t="n"/>
      <c r="CGE86" s="43" t="n"/>
      <c r="CGF86" s="43" t="n"/>
      <c r="CGG86" s="43" t="n"/>
      <c r="CGH86" s="43" t="n"/>
      <c r="CGI86" s="43" t="n"/>
      <c r="CGJ86" s="43" t="n"/>
      <c r="CGK86" s="43" t="n"/>
      <c r="CGL86" s="43" t="n"/>
      <c r="CGM86" s="43" t="n"/>
      <c r="CGN86" s="43" t="n"/>
      <c r="CGO86" s="43" t="n"/>
      <c r="CGP86" s="43" t="n"/>
      <c r="CGQ86" s="43" t="n"/>
      <c r="CGR86" s="43" t="n"/>
      <c r="CGS86" s="43" t="n"/>
      <c r="CGT86" s="43" t="n"/>
      <c r="CGU86" s="43" t="n"/>
      <c r="CGV86" s="43" t="n"/>
      <c r="CGW86" s="43" t="n"/>
      <c r="CGX86" s="43" t="n"/>
      <c r="CGY86" s="43" t="n"/>
      <c r="CGZ86" s="43" t="n"/>
      <c r="CHA86" s="43" t="n"/>
      <c r="CHB86" s="43" t="n"/>
      <c r="CHC86" s="43" t="n"/>
      <c r="CHD86" s="43" t="n"/>
      <c r="CHE86" s="43" t="n"/>
      <c r="CHF86" s="43" t="n"/>
      <c r="CHG86" s="43" t="n"/>
      <c r="CHH86" s="43" t="n"/>
      <c r="CHI86" s="43" t="n"/>
      <c r="CHJ86" s="43" t="n"/>
      <c r="CHK86" s="43" t="n"/>
      <c r="CHL86" s="43" t="n"/>
      <c r="CHM86" s="43" t="n"/>
      <c r="CHN86" s="43" t="n"/>
      <c r="CHO86" s="43" t="n"/>
      <c r="CHP86" s="43" t="n"/>
      <c r="CHQ86" s="43" t="n"/>
      <c r="CHR86" s="43" t="n"/>
      <c r="CHS86" s="43" t="n"/>
      <c r="CHT86" s="43" t="n"/>
      <c r="CHU86" s="43" t="n"/>
      <c r="CHV86" s="43" t="n"/>
      <c r="CHW86" s="43" t="n"/>
      <c r="CHX86" s="43" t="n"/>
      <c r="CHY86" s="43" t="n"/>
      <c r="CHZ86" s="43" t="n"/>
      <c r="CIA86" s="43" t="n"/>
      <c r="CIB86" s="43" t="n"/>
      <c r="CIC86" s="43" t="n"/>
      <c r="CID86" s="43" t="n"/>
      <c r="CIE86" s="43" t="n"/>
      <c r="CIF86" s="43" t="n"/>
      <c r="CIG86" s="43" t="n"/>
      <c r="CIH86" s="43" t="n"/>
      <c r="CII86" s="43" t="n"/>
      <c r="CIJ86" s="43" t="n"/>
      <c r="CIK86" s="43" t="n"/>
      <c r="CIL86" s="43" t="n"/>
      <c r="CIM86" s="43" t="n"/>
      <c r="CIN86" s="43" t="n"/>
      <c r="CIO86" s="43" t="n"/>
      <c r="CIP86" s="43" t="n"/>
      <c r="CIQ86" s="43" t="n"/>
      <c r="CIR86" s="43" t="n"/>
      <c r="CIS86" s="43" t="n"/>
      <c r="CIT86" s="43" t="n"/>
      <c r="CIU86" s="43" t="n"/>
      <c r="CIV86" s="43" t="n"/>
      <c r="CIW86" s="43" t="n"/>
      <c r="CIX86" s="43" t="n"/>
      <c r="CIY86" s="43" t="n"/>
      <c r="CIZ86" s="43" t="n"/>
      <c r="CJA86" s="43" t="n"/>
      <c r="CJB86" s="43" t="n"/>
      <c r="CJC86" s="43" t="n"/>
      <c r="CJD86" s="43" t="n"/>
      <c r="CJE86" s="43" t="n"/>
      <c r="CJF86" s="43" t="n"/>
      <c r="CJG86" s="43" t="n"/>
      <c r="CJH86" s="43" t="n"/>
      <c r="CJI86" s="43" t="n"/>
      <c r="CJJ86" s="43" t="n"/>
      <c r="CJK86" s="43" t="n"/>
      <c r="CJL86" s="43" t="n"/>
      <c r="CJM86" s="43" t="n"/>
      <c r="CJN86" s="43" t="n"/>
      <c r="CJO86" s="43" t="n"/>
      <c r="CJP86" s="43" t="n"/>
      <c r="CJQ86" s="43" t="n"/>
      <c r="CJR86" s="43" t="n"/>
      <c r="CJS86" s="43" t="n"/>
      <c r="CJT86" s="43" t="n"/>
      <c r="CJU86" s="43" t="n"/>
      <c r="CJV86" s="43" t="n"/>
      <c r="CJW86" s="43" t="n"/>
      <c r="CJX86" s="43" t="n"/>
      <c r="CJY86" s="43" t="n"/>
      <c r="CJZ86" s="43" t="n"/>
      <c r="CKA86" s="43" t="n"/>
      <c r="CKB86" s="43" t="n"/>
      <c r="CKC86" s="43" t="n"/>
      <c r="CKD86" s="43" t="n"/>
      <c r="CKE86" s="43" t="n"/>
      <c r="CKF86" s="43" t="n"/>
      <c r="CKG86" s="43" t="n"/>
      <c r="CKH86" s="43" t="n"/>
      <c r="CKI86" s="43" t="n"/>
      <c r="CKJ86" s="43" t="n"/>
      <c r="CKK86" s="43" t="n"/>
      <c r="CKL86" s="43" t="n"/>
      <c r="CKM86" s="43" t="n"/>
      <c r="CKN86" s="43" t="n"/>
      <c r="CKO86" s="43" t="n"/>
      <c r="CKP86" s="43" t="n"/>
      <c r="CKQ86" s="43" t="n"/>
      <c r="CKR86" s="43" t="n"/>
      <c r="CKS86" s="43" t="n"/>
      <c r="CKT86" s="43" t="n"/>
      <c r="CKU86" s="43" t="n"/>
      <c r="CKV86" s="43" t="n"/>
      <c r="CKW86" s="43" t="n"/>
      <c r="CKX86" s="43" t="n"/>
      <c r="CKY86" s="43" t="n"/>
      <c r="CKZ86" s="43" t="n"/>
      <c r="CLA86" s="43" t="n"/>
      <c r="CLB86" s="43" t="n"/>
      <c r="CLC86" s="43" t="n"/>
      <c r="CLD86" s="43" t="n"/>
      <c r="CLE86" s="43" t="n"/>
      <c r="CLF86" s="43" t="n"/>
      <c r="CLG86" s="43" t="n"/>
      <c r="CLH86" s="43" t="n"/>
      <c r="CLI86" s="43" t="n"/>
      <c r="CLJ86" s="43" t="n"/>
      <c r="CLK86" s="43" t="n"/>
      <c r="CLL86" s="43" t="n"/>
      <c r="CLM86" s="43" t="n"/>
      <c r="CLN86" s="43" t="n"/>
      <c r="CLO86" s="43" t="n"/>
      <c r="CLP86" s="43" t="n"/>
      <c r="CLQ86" s="43" t="n"/>
      <c r="CLR86" s="43" t="n"/>
      <c r="CLS86" s="43" t="n"/>
      <c r="CLT86" s="43" t="n"/>
      <c r="CLU86" s="43" t="n"/>
      <c r="CLV86" s="43" t="n"/>
      <c r="CLW86" s="43" t="n"/>
      <c r="CLX86" s="43" t="n"/>
      <c r="CLY86" s="43" t="n"/>
      <c r="CLZ86" s="43" t="n"/>
      <c r="CMA86" s="43" t="n"/>
      <c r="CMB86" s="43" t="n"/>
      <c r="CMC86" s="43" t="n"/>
      <c r="CMD86" s="43" t="n"/>
      <c r="CME86" s="43" t="n"/>
      <c r="CMF86" s="43" t="n"/>
      <c r="CMG86" s="43" t="n"/>
      <c r="CMH86" s="43" t="n"/>
      <c r="CMI86" s="43" t="n"/>
      <c r="CMJ86" s="43" t="n"/>
      <c r="CMK86" s="43" t="n"/>
      <c r="CML86" s="43" t="n"/>
      <c r="CMM86" s="43" t="n"/>
      <c r="CMN86" s="43" t="n"/>
      <c r="CMO86" s="43" t="n"/>
      <c r="CMP86" s="43" t="n"/>
      <c r="CMQ86" s="43" t="n"/>
      <c r="CMR86" s="43" t="n"/>
      <c r="CMS86" s="43" t="n"/>
      <c r="CMT86" s="43" t="n"/>
      <c r="CMU86" s="43" t="n"/>
      <c r="CMV86" s="43" t="n"/>
      <c r="CMW86" s="43" t="n"/>
      <c r="CMX86" s="43" t="n"/>
      <c r="CMY86" s="43" t="n"/>
      <c r="CMZ86" s="43" t="n"/>
      <c r="CNA86" s="43" t="n"/>
      <c r="CNB86" s="43" t="n"/>
      <c r="CNC86" s="43" t="n"/>
      <c r="CND86" s="43" t="n"/>
      <c r="CNE86" s="43" t="n"/>
      <c r="CNF86" s="43" t="n"/>
      <c r="CNG86" s="43" t="n"/>
      <c r="CNH86" s="43" t="n"/>
      <c r="CNI86" s="43" t="n"/>
      <c r="CNJ86" s="43" t="n"/>
      <c r="CNK86" s="43" t="n"/>
      <c r="CNL86" s="43" t="n"/>
      <c r="CNM86" s="43" t="n"/>
      <c r="CNN86" s="43" t="n"/>
      <c r="CNO86" s="43" t="n"/>
      <c r="CNP86" s="43" t="n"/>
      <c r="CNQ86" s="43" t="n"/>
      <c r="CNR86" s="43" t="n"/>
      <c r="CNS86" s="43" t="n"/>
      <c r="CNT86" s="43" t="n"/>
      <c r="CNU86" s="43" t="n"/>
      <c r="CNV86" s="43" t="n"/>
      <c r="CNW86" s="43" t="n"/>
      <c r="CNX86" s="43" t="n"/>
      <c r="CNY86" s="43" t="n"/>
      <c r="CNZ86" s="43" t="n"/>
      <c r="COA86" s="43" t="n"/>
      <c r="COB86" s="43" t="n"/>
      <c r="COC86" s="43" t="n"/>
      <c r="COD86" s="43" t="n"/>
      <c r="COE86" s="43" t="n"/>
      <c r="COF86" s="43" t="n"/>
      <c r="COG86" s="43" t="n"/>
      <c r="COH86" s="43" t="n"/>
      <c r="COI86" s="43" t="n"/>
      <c r="COJ86" s="43" t="n"/>
      <c r="COK86" s="43" t="n"/>
      <c r="COL86" s="43" t="n"/>
      <c r="COM86" s="43" t="n"/>
      <c r="CON86" s="43" t="n"/>
      <c r="COO86" s="43" t="n"/>
      <c r="COP86" s="43" t="n"/>
      <c r="COQ86" s="43" t="n"/>
      <c r="COR86" s="43" t="n"/>
      <c r="COS86" s="43" t="n"/>
      <c r="COT86" s="43" t="n"/>
      <c r="COU86" s="43" t="n"/>
      <c r="COV86" s="43" t="n"/>
      <c r="COW86" s="43" t="n"/>
      <c r="COX86" s="43" t="n"/>
      <c r="COY86" s="43" t="n"/>
      <c r="COZ86" s="43" t="n"/>
      <c r="CPA86" s="43" t="n"/>
      <c r="CPB86" s="43" t="n"/>
      <c r="CPC86" s="43" t="n"/>
      <c r="CPD86" s="43" t="n"/>
      <c r="CPE86" s="43" t="n"/>
      <c r="CPF86" s="43" t="n"/>
      <c r="CPG86" s="43" t="n"/>
      <c r="CPH86" s="43" t="n"/>
      <c r="CPI86" s="43" t="n"/>
      <c r="CPJ86" s="43" t="n"/>
      <c r="CPK86" s="43" t="n"/>
      <c r="CPL86" s="43" t="n"/>
      <c r="CPM86" s="43" t="n"/>
      <c r="CPN86" s="43" t="n"/>
      <c r="CPO86" s="43" t="n"/>
      <c r="CPP86" s="43" t="n"/>
      <c r="CPQ86" s="43" t="n"/>
      <c r="CPR86" s="43" t="n"/>
      <c r="CPS86" s="43" t="n"/>
      <c r="CPT86" s="43" t="n"/>
      <c r="CPU86" s="43" t="n"/>
      <c r="CPV86" s="43" t="n"/>
      <c r="CPW86" s="43" t="n"/>
      <c r="CPX86" s="43" t="n"/>
      <c r="CPY86" s="43" t="n"/>
      <c r="CPZ86" s="43" t="n"/>
      <c r="CQA86" s="43" t="n"/>
      <c r="CQB86" s="43" t="n"/>
      <c r="CQC86" s="43" t="n"/>
      <c r="CQD86" s="43" t="n"/>
      <c r="CQE86" s="43" t="n"/>
      <c r="CQF86" s="43" t="n"/>
      <c r="CQG86" s="43" t="n"/>
      <c r="CQH86" s="43" t="n"/>
      <c r="CQI86" s="43" t="n"/>
      <c r="CQJ86" s="43" t="n"/>
      <c r="CQK86" s="43" t="n"/>
      <c r="CQL86" s="43" t="n"/>
      <c r="CQM86" s="43" t="n"/>
      <c r="CQN86" s="43" t="n"/>
      <c r="CQO86" s="43" t="n"/>
      <c r="CQP86" s="43" t="n"/>
      <c r="CQQ86" s="43" t="n"/>
      <c r="CQR86" s="43" t="n"/>
      <c r="CQS86" s="43" t="n"/>
      <c r="CQT86" s="43" t="n"/>
      <c r="CQU86" s="43" t="n"/>
      <c r="CQV86" s="43" t="n"/>
      <c r="CQW86" s="43" t="n"/>
      <c r="CQX86" s="43" t="n"/>
      <c r="CQY86" s="43" t="n"/>
      <c r="CQZ86" s="43" t="n"/>
      <c r="CRA86" s="43" t="n"/>
      <c r="CRB86" s="43" t="n"/>
      <c r="CRC86" s="43" t="n"/>
      <c r="CRD86" s="43" t="n"/>
      <c r="CRE86" s="43" t="n"/>
      <c r="CRF86" s="43" t="n"/>
      <c r="CRG86" s="43" t="n"/>
      <c r="CRH86" s="43" t="n"/>
      <c r="CRI86" s="43" t="n"/>
      <c r="CRJ86" s="43" t="n"/>
      <c r="CRK86" s="43" t="n"/>
      <c r="CRL86" s="43" t="n"/>
      <c r="CRM86" s="43" t="n"/>
      <c r="CRN86" s="43" t="n"/>
      <c r="CRO86" s="43" t="n"/>
      <c r="CRP86" s="43" t="n"/>
      <c r="CRQ86" s="43" t="n"/>
      <c r="CRR86" s="43" t="n"/>
      <c r="CRS86" s="43" t="n"/>
      <c r="CRT86" s="43" t="n"/>
      <c r="CRU86" s="43" t="n"/>
      <c r="CRV86" s="43" t="n"/>
      <c r="CRW86" s="43" t="n"/>
      <c r="CRX86" s="43" t="n"/>
      <c r="CRY86" s="43" t="n"/>
      <c r="CRZ86" s="43" t="n"/>
      <c r="CSA86" s="43" t="n"/>
      <c r="CSB86" s="43" t="n"/>
      <c r="CSC86" s="43" t="n"/>
      <c r="CSD86" s="43" t="n"/>
      <c r="CSE86" s="43" t="n"/>
      <c r="CSF86" s="43" t="n"/>
      <c r="CSG86" s="43" t="n"/>
      <c r="CSH86" s="43" t="n"/>
      <c r="CSI86" s="43" t="n"/>
      <c r="CSJ86" s="43" t="n"/>
      <c r="CSK86" s="43" t="n"/>
      <c r="CSL86" s="43" t="n"/>
      <c r="CSM86" s="43" t="n"/>
      <c r="CSN86" s="43" t="n"/>
      <c r="CSO86" s="43" t="n"/>
      <c r="CSP86" s="43" t="n"/>
      <c r="CSQ86" s="43" t="n"/>
      <c r="CSR86" s="43" t="n"/>
      <c r="CSS86" s="43" t="n"/>
      <c r="CST86" s="43" t="n"/>
      <c r="CSU86" s="43" t="n"/>
      <c r="CSV86" s="43" t="n"/>
      <c r="CSW86" s="43" t="n"/>
      <c r="CSX86" s="43" t="n"/>
      <c r="CSY86" s="43" t="n"/>
      <c r="CSZ86" s="43" t="n"/>
      <c r="CTA86" s="43" t="n"/>
      <c r="CTB86" s="43" t="n"/>
      <c r="CTC86" s="43" t="n"/>
      <c r="CTD86" s="43" t="n"/>
      <c r="CTE86" s="43" t="n"/>
      <c r="CTF86" s="43" t="n"/>
      <c r="CTG86" s="43" t="n"/>
      <c r="CTH86" s="43" t="n"/>
      <c r="CTI86" s="43" t="n"/>
      <c r="CTJ86" s="43" t="n"/>
      <c r="CTK86" s="43" t="n"/>
      <c r="CTL86" s="43" t="n"/>
      <c r="CTM86" s="43" t="n"/>
      <c r="CTN86" s="43" t="n"/>
      <c r="CTO86" s="43" t="n"/>
      <c r="CTP86" s="43" t="n"/>
      <c r="CTQ86" s="43" t="n"/>
      <c r="CTR86" s="43" t="n"/>
      <c r="CTS86" s="43" t="n"/>
      <c r="CTT86" s="43" t="n"/>
      <c r="CTU86" s="43" t="n"/>
      <c r="CTV86" s="43" t="n"/>
      <c r="CTW86" s="43" t="n"/>
      <c r="CTX86" s="43" t="n"/>
      <c r="CTY86" s="43" t="n"/>
      <c r="CTZ86" s="43" t="n"/>
      <c r="CUA86" s="43" t="n"/>
      <c r="CUB86" s="43" t="n"/>
      <c r="CUC86" s="43" t="n"/>
      <c r="CUD86" s="43" t="n"/>
      <c r="CUE86" s="43" t="n"/>
      <c r="CUF86" s="43" t="n"/>
      <c r="CUG86" s="43" t="n"/>
      <c r="CUH86" s="43" t="n"/>
      <c r="CUI86" s="43" t="n"/>
      <c r="CUJ86" s="43" t="n"/>
      <c r="CUK86" s="43" t="n"/>
      <c r="CUL86" s="43" t="n"/>
      <c r="CUM86" s="43" t="n"/>
      <c r="CUN86" s="43" t="n"/>
      <c r="CUO86" s="43" t="n"/>
      <c r="CUP86" s="43" t="n"/>
      <c r="CUQ86" s="43" t="n"/>
      <c r="CUR86" s="43" t="n"/>
      <c r="CUS86" s="43" t="n"/>
      <c r="CUT86" s="43" t="n"/>
      <c r="CUU86" s="43" t="n"/>
      <c r="CUV86" s="43" t="n"/>
      <c r="CUW86" s="43" t="n"/>
      <c r="CUX86" s="43" t="n"/>
      <c r="CUY86" s="43" t="n"/>
      <c r="CUZ86" s="43" t="n"/>
      <c r="CVA86" s="43" t="n"/>
      <c r="CVB86" s="43" t="n"/>
      <c r="CVC86" s="43" t="n"/>
      <c r="CVD86" s="43" t="n"/>
      <c r="CVE86" s="43" t="n"/>
      <c r="CVF86" s="43" t="n"/>
      <c r="CVG86" s="43" t="n"/>
      <c r="CVH86" s="43" t="n"/>
      <c r="CVI86" s="43" t="n"/>
      <c r="CVJ86" s="43" t="n"/>
      <c r="CVK86" s="43" t="n"/>
      <c r="CVL86" s="43" t="n"/>
      <c r="CVM86" s="43" t="n"/>
      <c r="CVN86" s="43" t="n"/>
      <c r="CVO86" s="43" t="n"/>
      <c r="CVP86" s="43" t="n"/>
      <c r="CVQ86" s="43" t="n"/>
      <c r="CVR86" s="43" t="n"/>
      <c r="CVS86" s="43" t="n"/>
      <c r="CVT86" s="43" t="n"/>
      <c r="CVU86" s="43" t="n"/>
      <c r="CVV86" s="43" t="n"/>
      <c r="CVW86" s="43" t="n"/>
      <c r="CVX86" s="43" t="n"/>
      <c r="CVY86" s="43" t="n"/>
      <c r="CVZ86" s="43" t="n"/>
      <c r="CWA86" s="43" t="n"/>
      <c r="CWB86" s="43" t="n"/>
      <c r="CWC86" s="43" t="n"/>
      <c r="CWD86" s="43" t="n"/>
      <c r="CWE86" s="43" t="n"/>
      <c r="CWF86" s="43" t="n"/>
      <c r="CWG86" s="43" t="n"/>
      <c r="CWH86" s="43" t="n"/>
      <c r="CWI86" s="43" t="n"/>
      <c r="CWJ86" s="43" t="n"/>
      <c r="CWK86" s="43" t="n"/>
      <c r="CWL86" s="43" t="n"/>
      <c r="CWM86" s="43" t="n"/>
      <c r="CWN86" s="43" t="n"/>
      <c r="CWO86" s="43" t="n"/>
      <c r="CWP86" s="43" t="n"/>
      <c r="CWQ86" s="43" t="n"/>
      <c r="CWR86" s="43" t="n"/>
      <c r="CWS86" s="43" t="n"/>
      <c r="CWT86" s="43" t="n"/>
      <c r="CWU86" s="43" t="n"/>
      <c r="CWV86" s="43" t="n"/>
      <c r="CWW86" s="43" t="n"/>
      <c r="CWX86" s="43" t="n"/>
      <c r="CWY86" s="43" t="n"/>
      <c r="CWZ86" s="43" t="n"/>
      <c r="CXA86" s="43" t="n"/>
      <c r="CXB86" s="43" t="n"/>
      <c r="CXC86" s="43" t="n"/>
      <c r="CXD86" s="43" t="n"/>
      <c r="CXE86" s="43" t="n"/>
      <c r="CXF86" s="43" t="n"/>
      <c r="CXG86" s="43" t="n"/>
      <c r="CXH86" s="43" t="n"/>
      <c r="CXI86" s="43" t="n"/>
      <c r="CXJ86" s="43" t="n"/>
      <c r="CXK86" s="43" t="n"/>
      <c r="CXL86" s="43" t="n"/>
      <c r="CXM86" s="43" t="n"/>
      <c r="CXN86" s="43" t="n"/>
      <c r="CXO86" s="43" t="n"/>
      <c r="CXP86" s="43" t="n"/>
      <c r="CXQ86" s="43" t="n"/>
      <c r="CXR86" s="43" t="n"/>
      <c r="CXS86" s="43" t="n"/>
      <c r="CXT86" s="43" t="n"/>
      <c r="CXU86" s="43" t="n"/>
      <c r="CXV86" s="43" t="n"/>
      <c r="CXW86" s="43" t="n"/>
      <c r="CXX86" s="43" t="n"/>
      <c r="CXY86" s="43" t="n"/>
      <c r="CXZ86" s="43" t="n"/>
      <c r="CYA86" s="43" t="n"/>
      <c r="CYB86" s="43" t="n"/>
      <c r="CYC86" s="43" t="n"/>
      <c r="CYD86" s="43" t="n"/>
      <c r="CYE86" s="43" t="n"/>
      <c r="CYF86" s="43" t="n"/>
      <c r="CYG86" s="43" t="n"/>
      <c r="CYH86" s="43" t="n"/>
      <c r="CYI86" s="43" t="n"/>
      <c r="CYJ86" s="43" t="n"/>
      <c r="CYK86" s="43" t="n"/>
      <c r="CYL86" s="43" t="n"/>
      <c r="CYM86" s="43" t="n"/>
      <c r="CYN86" s="43" t="n"/>
      <c r="CYO86" s="43" t="n"/>
      <c r="CYP86" s="43" t="n"/>
      <c r="CYQ86" s="43" t="n"/>
      <c r="CYR86" s="43" t="n"/>
      <c r="CYS86" s="43" t="n"/>
      <c r="CYT86" s="43" t="n"/>
      <c r="CYU86" s="43" t="n"/>
      <c r="CYV86" s="43" t="n"/>
      <c r="CYW86" s="43" t="n"/>
      <c r="CYX86" s="43" t="n"/>
      <c r="CYY86" s="43" t="n"/>
      <c r="CYZ86" s="43" t="n"/>
      <c r="CZA86" s="43" t="n"/>
      <c r="CZB86" s="43" t="n"/>
      <c r="CZC86" s="43" t="n"/>
      <c r="CZD86" s="43" t="n"/>
      <c r="CZE86" s="43" t="n"/>
      <c r="CZF86" s="43" t="n"/>
      <c r="CZG86" s="43" t="n"/>
      <c r="CZH86" s="43" t="n"/>
      <c r="CZI86" s="43" t="n"/>
      <c r="CZJ86" s="43" t="n"/>
      <c r="CZK86" s="43" t="n"/>
      <c r="CZL86" s="43" t="n"/>
      <c r="CZM86" s="43" t="n"/>
      <c r="CZN86" s="43" t="n"/>
      <c r="CZO86" s="43" t="n"/>
      <c r="CZP86" s="43" t="n"/>
      <c r="CZQ86" s="43" t="n"/>
      <c r="CZR86" s="43" t="n"/>
      <c r="CZS86" s="43" t="n"/>
      <c r="CZT86" s="43" t="n"/>
      <c r="CZU86" s="43" t="n"/>
      <c r="CZV86" s="43" t="n"/>
      <c r="CZW86" s="43" t="n"/>
      <c r="CZX86" s="43" t="n"/>
      <c r="CZY86" s="43" t="n"/>
      <c r="CZZ86" s="43" t="n"/>
      <c r="DAA86" s="43" t="n"/>
      <c r="DAB86" s="43" t="n"/>
      <c r="DAC86" s="43" t="n"/>
      <c r="DAD86" s="43" t="n"/>
      <c r="DAE86" s="43" t="n"/>
      <c r="DAF86" s="43" t="n"/>
      <c r="DAG86" s="43" t="n"/>
      <c r="DAH86" s="43" t="n"/>
      <c r="DAI86" s="43" t="n"/>
      <c r="DAJ86" s="43" t="n"/>
      <c r="DAK86" s="43" t="n"/>
      <c r="DAL86" s="43" t="n"/>
      <c r="DAM86" s="43" t="n"/>
      <c r="DAN86" s="43" t="n"/>
      <c r="DAO86" s="43" t="n"/>
      <c r="DAP86" s="43" t="n"/>
      <c r="DAQ86" s="43" t="n"/>
      <c r="DAR86" s="43" t="n"/>
      <c r="DAS86" s="43" t="n"/>
      <c r="DAT86" s="43" t="n"/>
      <c r="DAU86" s="43" t="n"/>
      <c r="DAV86" s="43" t="n"/>
      <c r="DAW86" s="43" t="n"/>
      <c r="DAX86" s="43" t="n"/>
      <c r="DAY86" s="43" t="n"/>
      <c r="DAZ86" s="43" t="n"/>
      <c r="DBA86" s="43" t="n"/>
      <c r="DBB86" s="43" t="n"/>
      <c r="DBC86" s="43" t="n"/>
      <c r="DBD86" s="43" t="n"/>
      <c r="DBE86" s="43" t="n"/>
      <c r="DBF86" s="43" t="n"/>
      <c r="DBG86" s="43" t="n"/>
      <c r="DBH86" s="43" t="n"/>
      <c r="DBI86" s="43" t="n"/>
      <c r="DBJ86" s="43" t="n"/>
      <c r="DBK86" s="43" t="n"/>
      <c r="DBL86" s="43" t="n"/>
      <c r="DBM86" s="43" t="n"/>
      <c r="DBN86" s="43" t="n"/>
      <c r="DBO86" s="43" t="n"/>
      <c r="DBP86" s="43" t="n"/>
      <c r="DBQ86" s="43" t="n"/>
      <c r="DBR86" s="43" t="n"/>
      <c r="DBS86" s="43" t="n"/>
      <c r="DBT86" s="43" t="n"/>
      <c r="DBU86" s="43" t="n"/>
      <c r="DBV86" s="43" t="n"/>
      <c r="DBW86" s="43" t="n"/>
      <c r="DBX86" s="43" t="n"/>
      <c r="DBY86" s="43" t="n"/>
      <c r="DBZ86" s="43" t="n"/>
      <c r="DCA86" s="43" t="n"/>
      <c r="DCB86" s="43" t="n"/>
      <c r="DCC86" s="43" t="n"/>
      <c r="DCD86" s="43" t="n"/>
      <c r="DCE86" s="43" t="n"/>
      <c r="DCF86" s="43" t="n"/>
      <c r="DCG86" s="43" t="n"/>
      <c r="DCH86" s="43" t="n"/>
      <c r="DCI86" s="43" t="n"/>
      <c r="DCJ86" s="43" t="n"/>
      <c r="DCK86" s="43" t="n"/>
      <c r="DCL86" s="43" t="n"/>
      <c r="DCM86" s="43" t="n"/>
      <c r="DCN86" s="43" t="n"/>
      <c r="DCO86" s="43" t="n"/>
      <c r="DCP86" s="43" t="n"/>
      <c r="DCQ86" s="43" t="n"/>
      <c r="DCR86" s="43" t="n"/>
      <c r="DCS86" s="43" t="n"/>
      <c r="DCT86" s="43" t="n"/>
      <c r="DCU86" s="43" t="n"/>
      <c r="DCV86" s="43" t="n"/>
      <c r="DCW86" s="43" t="n"/>
      <c r="DCX86" s="43" t="n"/>
      <c r="DCY86" s="43" t="n"/>
      <c r="DCZ86" s="43" t="n"/>
      <c r="DDA86" s="43" t="n"/>
      <c r="DDB86" s="43" t="n"/>
      <c r="DDC86" s="43" t="n"/>
      <c r="DDD86" s="43" t="n"/>
      <c r="DDE86" s="43" t="n"/>
      <c r="DDF86" s="43" t="n"/>
      <c r="DDG86" s="43" t="n"/>
      <c r="DDH86" s="43" t="n"/>
      <c r="DDI86" s="43" t="n"/>
      <c r="DDJ86" s="43" t="n"/>
      <c r="DDK86" s="43" t="n"/>
      <c r="DDL86" s="43" t="n"/>
      <c r="DDM86" s="43" t="n"/>
      <c r="DDN86" s="43" t="n"/>
      <c r="DDO86" s="43" t="n"/>
      <c r="DDP86" s="43" t="n"/>
      <c r="DDQ86" s="43" t="n"/>
      <c r="DDR86" s="43" t="n"/>
      <c r="DDS86" s="43" t="n"/>
      <c r="DDT86" s="43" t="n"/>
      <c r="DDU86" s="43" t="n"/>
      <c r="DDV86" s="43" t="n"/>
      <c r="DDW86" s="43" t="n"/>
      <c r="DDX86" s="43" t="n"/>
      <c r="DDY86" s="43" t="n"/>
      <c r="DDZ86" s="43" t="n"/>
      <c r="DEA86" s="43" t="n"/>
      <c r="DEB86" s="43" t="n"/>
      <c r="DEC86" s="43" t="n"/>
      <c r="DED86" s="43" t="n"/>
      <c r="DEE86" s="43" t="n"/>
      <c r="DEF86" s="43" t="n"/>
      <c r="DEG86" s="43" t="n"/>
      <c r="DEH86" s="43" t="n"/>
      <c r="DEI86" s="43" t="n"/>
      <c r="DEJ86" s="43" t="n"/>
      <c r="DEK86" s="43" t="n"/>
      <c r="DEL86" s="43" t="n"/>
      <c r="DEM86" s="43" t="n"/>
      <c r="DEN86" s="43" t="n"/>
      <c r="DEO86" s="43" t="n"/>
      <c r="DEP86" s="43" t="n"/>
      <c r="DEQ86" s="43" t="n"/>
      <c r="DER86" s="43" t="n"/>
      <c r="DES86" s="43" t="n"/>
      <c r="DET86" s="43" t="n"/>
      <c r="DEU86" s="43" t="n"/>
      <c r="DEV86" s="43" t="n"/>
      <c r="DEW86" s="43" t="n"/>
      <c r="DEX86" s="43" t="n"/>
      <c r="DEY86" s="43" t="n"/>
      <c r="DEZ86" s="43" t="n"/>
      <c r="DFA86" s="43" t="n"/>
      <c r="DFB86" s="43" t="n"/>
      <c r="DFC86" s="43" t="n"/>
      <c r="DFD86" s="43" t="n"/>
      <c r="DFE86" s="43" t="n"/>
      <c r="DFF86" s="43" t="n"/>
      <c r="DFG86" s="43" t="n"/>
      <c r="DFH86" s="43" t="n"/>
      <c r="DFI86" s="43" t="n"/>
      <c r="DFJ86" s="43" t="n"/>
      <c r="DFK86" s="43" t="n"/>
      <c r="DFL86" s="43" t="n"/>
      <c r="DFM86" s="43" t="n"/>
      <c r="DFN86" s="43" t="n"/>
      <c r="DFO86" s="43" t="n"/>
      <c r="DFP86" s="43" t="n"/>
      <c r="DFQ86" s="43" t="n"/>
      <c r="DFR86" s="43" t="n"/>
      <c r="DFS86" s="43" t="n"/>
      <c r="DFT86" s="43" t="n"/>
      <c r="DFU86" s="43" t="n"/>
      <c r="DFV86" s="43" t="n"/>
      <c r="DFW86" s="43" t="n"/>
      <c r="DFX86" s="43" t="n"/>
      <c r="DFY86" s="43" t="n"/>
      <c r="DFZ86" s="43" t="n"/>
      <c r="DGA86" s="43" t="n"/>
      <c r="DGB86" s="43" t="n"/>
      <c r="DGC86" s="43" t="n"/>
      <c r="DGD86" s="43" t="n"/>
      <c r="DGE86" s="43" t="n"/>
      <c r="DGF86" s="43" t="n"/>
      <c r="DGG86" s="43" t="n"/>
      <c r="DGH86" s="43" t="n"/>
      <c r="DGI86" s="43" t="n"/>
      <c r="DGJ86" s="43" t="n"/>
      <c r="DGK86" s="43" t="n"/>
      <c r="DGL86" s="43" t="n"/>
      <c r="DGM86" s="43" t="n"/>
      <c r="DGN86" s="43" t="n"/>
      <c r="DGO86" s="43" t="n"/>
      <c r="DGP86" s="43" t="n"/>
      <c r="DGQ86" s="43" t="n"/>
      <c r="DGR86" s="43" t="n"/>
      <c r="DGS86" s="43" t="n"/>
      <c r="DGT86" s="43" t="n"/>
      <c r="DGU86" s="43" t="n"/>
      <c r="DGV86" s="43" t="n"/>
      <c r="DGW86" s="43" t="n"/>
      <c r="DGX86" s="43" t="n"/>
      <c r="DGY86" s="43" t="n"/>
      <c r="DGZ86" s="43" t="n"/>
      <c r="DHA86" s="43" t="n"/>
      <c r="DHB86" s="43" t="n"/>
      <c r="DHC86" s="43" t="n"/>
      <c r="DHD86" s="43" t="n"/>
      <c r="DHE86" s="43" t="n"/>
      <c r="DHF86" s="43" t="n"/>
      <c r="DHG86" s="43" t="n"/>
      <c r="DHH86" s="43" t="n"/>
      <c r="DHI86" s="43" t="n"/>
      <c r="DHJ86" s="43" t="n"/>
      <c r="DHK86" s="43" t="n"/>
      <c r="DHL86" s="43" t="n"/>
      <c r="DHM86" s="43" t="n"/>
      <c r="DHN86" s="43" t="n"/>
      <c r="DHO86" s="43" t="n"/>
      <c r="DHP86" s="43" t="n"/>
      <c r="DHQ86" s="43" t="n"/>
      <c r="DHR86" s="43" t="n"/>
      <c r="DHS86" s="43" t="n"/>
      <c r="DHT86" s="43" t="n"/>
      <c r="DHU86" s="43" t="n"/>
      <c r="DHV86" s="43" t="n"/>
      <c r="DHW86" s="43" t="n"/>
      <c r="DHX86" s="43" t="n"/>
      <c r="DHY86" s="43" t="n"/>
      <c r="DHZ86" s="43" t="n"/>
      <c r="DIA86" s="43" t="n"/>
      <c r="DIB86" s="43" t="n"/>
      <c r="DIC86" s="43" t="n"/>
      <c r="DID86" s="43" t="n"/>
      <c r="DIE86" s="43" t="n"/>
      <c r="DIF86" s="43" t="n"/>
      <c r="DIG86" s="43" t="n"/>
      <c r="DIH86" s="43" t="n"/>
      <c r="DII86" s="43" t="n"/>
      <c r="DIJ86" s="43" t="n"/>
      <c r="DIK86" s="43" t="n"/>
      <c r="DIL86" s="43" t="n"/>
      <c r="DIM86" s="43" t="n"/>
      <c r="DIN86" s="43" t="n"/>
      <c r="DIO86" s="43" t="n"/>
      <c r="DIP86" s="43" t="n"/>
      <c r="DIQ86" s="43" t="n"/>
      <c r="DIR86" s="43" t="n"/>
      <c r="DIS86" s="43" t="n"/>
      <c r="DIT86" s="43" t="n"/>
      <c r="DIU86" s="43" t="n"/>
      <c r="DIV86" s="43" t="n"/>
      <c r="DIW86" s="43" t="n"/>
      <c r="DIX86" s="43" t="n"/>
      <c r="DIY86" s="43" t="n"/>
      <c r="DIZ86" s="43" t="n"/>
      <c r="DJA86" s="43" t="n"/>
      <c r="DJB86" s="43" t="n"/>
      <c r="DJC86" s="43" t="n"/>
      <c r="DJD86" s="43" t="n"/>
      <c r="DJE86" s="43" t="n"/>
      <c r="DJF86" s="43" t="n"/>
      <c r="DJG86" s="43" t="n"/>
      <c r="DJH86" s="43" t="n"/>
      <c r="DJI86" s="43" t="n"/>
      <c r="DJJ86" s="43" t="n"/>
      <c r="DJK86" s="43" t="n"/>
      <c r="DJL86" s="43" t="n"/>
      <c r="DJM86" s="43" t="n"/>
      <c r="DJN86" s="43" t="n"/>
      <c r="DJO86" s="43" t="n"/>
      <c r="DJP86" s="43" t="n"/>
      <c r="DJQ86" s="43" t="n"/>
      <c r="DJR86" s="43" t="n"/>
      <c r="DJS86" s="43" t="n"/>
      <c r="DJT86" s="43" t="n"/>
      <c r="DJU86" s="43" t="n"/>
      <c r="DJV86" s="43" t="n"/>
      <c r="DJW86" s="43" t="n"/>
      <c r="DJX86" s="43" t="n"/>
      <c r="DJY86" s="43" t="n"/>
      <c r="DJZ86" s="43" t="n"/>
      <c r="DKA86" s="43" t="n"/>
      <c r="DKB86" s="43" t="n"/>
      <c r="DKC86" s="43" t="n"/>
      <c r="DKD86" s="43" t="n"/>
      <c r="DKE86" s="43" t="n"/>
      <c r="DKF86" s="43" t="n"/>
      <c r="DKG86" s="43" t="n"/>
      <c r="DKH86" s="43" t="n"/>
      <c r="DKI86" s="43" t="n"/>
      <c r="DKJ86" s="43" t="n"/>
      <c r="DKK86" s="43" t="n"/>
      <c r="DKL86" s="43" t="n"/>
      <c r="DKM86" s="43" t="n"/>
      <c r="DKN86" s="43" t="n"/>
      <c r="DKO86" s="43" t="n"/>
      <c r="DKP86" s="43" t="n"/>
      <c r="DKQ86" s="43" t="n"/>
      <c r="DKR86" s="43" t="n"/>
      <c r="DKS86" s="43" t="n"/>
      <c r="DKT86" s="43" t="n"/>
      <c r="DKU86" s="43" t="n"/>
      <c r="DKV86" s="43" t="n"/>
      <c r="DKW86" s="43" t="n"/>
      <c r="DKX86" s="43" t="n"/>
      <c r="DKY86" s="43" t="n"/>
      <c r="DKZ86" s="43" t="n"/>
      <c r="DLA86" s="43" t="n"/>
      <c r="DLB86" s="43" t="n"/>
      <c r="DLC86" s="43" t="n"/>
      <c r="DLD86" s="43" t="n"/>
      <c r="DLE86" s="43" t="n"/>
      <c r="DLF86" s="43" t="n"/>
      <c r="DLG86" s="43" t="n"/>
      <c r="DLH86" s="43" t="n"/>
      <c r="DLI86" s="43" t="n"/>
      <c r="DLJ86" s="43" t="n"/>
      <c r="DLK86" s="43" t="n"/>
      <c r="DLL86" s="43" t="n"/>
      <c r="DLM86" s="43" t="n"/>
      <c r="DLN86" s="43" t="n"/>
      <c r="DLO86" s="43" t="n"/>
      <c r="DLP86" s="43" t="n"/>
      <c r="DLQ86" s="43" t="n"/>
      <c r="DLR86" s="43" t="n"/>
      <c r="DLS86" s="43" t="n"/>
      <c r="DLT86" s="43" t="n"/>
      <c r="DLU86" s="43" t="n"/>
      <c r="DLV86" s="43" t="n"/>
      <c r="DLW86" s="43" t="n"/>
      <c r="DLX86" s="43" t="n"/>
      <c r="DLY86" s="43" t="n"/>
      <c r="DLZ86" s="43" t="n"/>
      <c r="DMA86" s="43" t="n"/>
      <c r="DMB86" s="43" t="n"/>
      <c r="DMC86" s="43" t="n"/>
      <c r="DMD86" s="43" t="n"/>
      <c r="DME86" s="43" t="n"/>
      <c r="DMF86" s="43" t="n"/>
      <c r="DMG86" s="43" t="n"/>
      <c r="DMH86" s="43" t="n"/>
      <c r="DMI86" s="43" t="n"/>
      <c r="DMJ86" s="43" t="n"/>
      <c r="DMK86" s="43" t="n"/>
      <c r="DML86" s="43" t="n"/>
      <c r="DMM86" s="43" t="n"/>
      <c r="DMN86" s="43" t="n"/>
      <c r="DMO86" s="43" t="n"/>
      <c r="DMP86" s="43" t="n"/>
      <c r="DMQ86" s="43" t="n"/>
      <c r="DMR86" s="43" t="n"/>
      <c r="DMS86" s="43" t="n"/>
      <c r="DMT86" s="43" t="n"/>
      <c r="DMU86" s="43" t="n"/>
      <c r="DMV86" s="43" t="n"/>
      <c r="DMW86" s="43" t="n"/>
      <c r="DMX86" s="43" t="n"/>
      <c r="DMY86" s="43" t="n"/>
      <c r="DMZ86" s="43" t="n"/>
      <c r="DNA86" s="43" t="n"/>
      <c r="DNB86" s="43" t="n"/>
      <c r="DNC86" s="43" t="n"/>
      <c r="DND86" s="43" t="n"/>
      <c r="DNE86" s="43" t="n"/>
      <c r="DNF86" s="43" t="n"/>
      <c r="DNG86" s="43" t="n"/>
      <c r="DNH86" s="43" t="n"/>
      <c r="DNI86" s="43" t="n"/>
      <c r="DNJ86" s="43" t="n"/>
      <c r="DNK86" s="43" t="n"/>
      <c r="DNL86" s="43" t="n"/>
      <c r="DNM86" s="43" t="n"/>
      <c r="DNN86" s="43" t="n"/>
      <c r="DNO86" s="43" t="n"/>
      <c r="DNP86" s="43" t="n"/>
      <c r="DNQ86" s="43" t="n"/>
      <c r="DNR86" s="43" t="n"/>
      <c r="DNS86" s="43" t="n"/>
      <c r="DNT86" s="43" t="n"/>
      <c r="DNU86" s="43" t="n"/>
      <c r="DNV86" s="43" t="n"/>
      <c r="DNW86" s="43" t="n"/>
      <c r="DNX86" s="43" t="n"/>
      <c r="DNY86" s="43" t="n"/>
      <c r="DNZ86" s="43" t="n"/>
      <c r="DOA86" s="43" t="n"/>
      <c r="DOB86" s="43" t="n"/>
      <c r="DOC86" s="43" t="n"/>
      <c r="DOD86" s="43" t="n"/>
      <c r="DOE86" s="43" t="n"/>
      <c r="DOF86" s="43" t="n"/>
      <c r="DOG86" s="43" t="n"/>
      <c r="DOH86" s="43" t="n"/>
      <c r="DOI86" s="43" t="n"/>
      <c r="DOJ86" s="43" t="n"/>
      <c r="DOK86" s="43" t="n"/>
      <c r="DOL86" s="43" t="n"/>
      <c r="DOM86" s="43" t="n"/>
      <c r="DON86" s="43" t="n"/>
      <c r="DOO86" s="43" t="n"/>
      <c r="DOP86" s="43" t="n"/>
      <c r="DOQ86" s="43" t="n"/>
      <c r="DOR86" s="43" t="n"/>
      <c r="DOS86" s="43" t="n"/>
      <c r="DOT86" s="43" t="n"/>
      <c r="DOU86" s="43" t="n"/>
      <c r="DOV86" s="43" t="n"/>
      <c r="DOW86" s="43" t="n"/>
      <c r="DOX86" s="43" t="n"/>
      <c r="DOY86" s="43" t="n"/>
      <c r="DOZ86" s="43" t="n"/>
      <c r="DPA86" s="43" t="n"/>
      <c r="DPB86" s="43" t="n"/>
      <c r="DPC86" s="43" t="n"/>
      <c r="DPD86" s="43" t="n"/>
      <c r="DPE86" s="43" t="n"/>
      <c r="DPF86" s="43" t="n"/>
      <c r="DPG86" s="43" t="n"/>
      <c r="DPH86" s="43" t="n"/>
      <c r="DPI86" s="43" t="n"/>
      <c r="DPJ86" s="43" t="n"/>
      <c r="DPK86" s="43" t="n"/>
      <c r="DPL86" s="43" t="n"/>
      <c r="DPM86" s="43" t="n"/>
      <c r="DPN86" s="43" t="n"/>
      <c r="DPO86" s="43" t="n"/>
      <c r="DPP86" s="43" t="n"/>
      <c r="DPQ86" s="43" t="n"/>
      <c r="DPR86" s="43" t="n"/>
      <c r="DPS86" s="43" t="n"/>
      <c r="DPT86" s="43" t="n"/>
      <c r="DPU86" s="43" t="n"/>
      <c r="DPV86" s="43" t="n"/>
      <c r="DPW86" s="43" t="n"/>
      <c r="DPX86" s="43" t="n"/>
      <c r="DPY86" s="43" t="n"/>
      <c r="DPZ86" s="43" t="n"/>
      <c r="DQA86" s="43" t="n"/>
      <c r="DQB86" s="43" t="n"/>
      <c r="DQC86" s="43" t="n"/>
      <c r="DQD86" s="43" t="n"/>
      <c r="DQE86" s="43" t="n"/>
      <c r="DQF86" s="43" t="n"/>
      <c r="DQG86" s="43" t="n"/>
      <c r="DQH86" s="43" t="n"/>
      <c r="DQI86" s="43" t="n"/>
      <c r="DQJ86" s="43" t="n"/>
      <c r="DQK86" s="43" t="n"/>
      <c r="DQL86" s="43" t="n"/>
      <c r="DQM86" s="43" t="n"/>
      <c r="DQN86" s="43" t="n"/>
      <c r="DQO86" s="43" t="n"/>
      <c r="DQP86" s="43" t="n"/>
      <c r="DQQ86" s="43" t="n"/>
      <c r="DQR86" s="43" t="n"/>
      <c r="DQS86" s="43" t="n"/>
      <c r="DQT86" s="43" t="n"/>
      <c r="DQU86" s="43" t="n"/>
      <c r="DQV86" s="43" t="n"/>
      <c r="DQW86" s="43" t="n"/>
      <c r="DQX86" s="43" t="n"/>
      <c r="DQY86" s="43" t="n"/>
      <c r="DQZ86" s="43" t="n"/>
      <c r="DRA86" s="43" t="n"/>
      <c r="DRB86" s="43" t="n"/>
      <c r="DRC86" s="43" t="n"/>
      <c r="DRD86" s="43" t="n"/>
      <c r="DRE86" s="43" t="n"/>
      <c r="DRF86" s="43" t="n"/>
      <c r="DRG86" s="43" t="n"/>
      <c r="DRH86" s="43" t="n"/>
      <c r="DRI86" s="43" t="n"/>
      <c r="DRJ86" s="43" t="n"/>
      <c r="DRK86" s="43" t="n"/>
      <c r="DRL86" s="43" t="n"/>
      <c r="DRM86" s="43" t="n"/>
      <c r="DRN86" s="43" t="n"/>
      <c r="DRO86" s="43" t="n"/>
      <c r="DRP86" s="43" t="n"/>
      <c r="DRQ86" s="43" t="n"/>
      <c r="DRR86" s="43" t="n"/>
      <c r="DRS86" s="43" t="n"/>
      <c r="DRT86" s="43" t="n"/>
      <c r="DRU86" s="43" t="n"/>
      <c r="DRV86" s="43" t="n"/>
      <c r="DRW86" s="43" t="n"/>
      <c r="DRX86" s="43" t="n"/>
      <c r="DRY86" s="43" t="n"/>
      <c r="DRZ86" s="43" t="n"/>
      <c r="DSA86" s="43" t="n"/>
      <c r="DSB86" s="43" t="n"/>
      <c r="DSC86" s="43" t="n"/>
      <c r="DSD86" s="43" t="n"/>
      <c r="DSE86" s="43" t="n"/>
      <c r="DSF86" s="43" t="n"/>
      <c r="DSG86" s="43" t="n"/>
      <c r="DSH86" s="43" t="n"/>
      <c r="DSI86" s="43" t="n"/>
      <c r="DSJ86" s="43" t="n"/>
      <c r="DSK86" s="43" t="n"/>
      <c r="DSL86" s="43" t="n"/>
      <c r="DSM86" s="43" t="n"/>
      <c r="DSN86" s="43" t="n"/>
      <c r="DSO86" s="43" t="n"/>
      <c r="DSP86" s="43" t="n"/>
      <c r="DSQ86" s="43" t="n"/>
      <c r="DSR86" s="43" t="n"/>
      <c r="DSS86" s="43" t="n"/>
      <c r="DST86" s="43" t="n"/>
      <c r="DSU86" s="43" t="n"/>
      <c r="DSV86" s="43" t="n"/>
      <c r="DSW86" s="43" t="n"/>
      <c r="DSX86" s="43" t="n"/>
      <c r="DSY86" s="43" t="n"/>
      <c r="DSZ86" s="43" t="n"/>
      <c r="DTA86" s="43" t="n"/>
      <c r="DTB86" s="43" t="n"/>
      <c r="DTC86" s="43" t="n"/>
      <c r="DTD86" s="43" t="n"/>
      <c r="DTE86" s="43" t="n"/>
      <c r="DTF86" s="43" t="n"/>
      <c r="DTG86" s="43" t="n"/>
      <c r="DTH86" s="43" t="n"/>
      <c r="DTI86" s="43" t="n"/>
      <c r="DTJ86" s="43" t="n"/>
      <c r="DTK86" s="43" t="n"/>
      <c r="DTL86" s="43" t="n"/>
      <c r="DTM86" s="43" t="n"/>
      <c r="DTN86" s="43" t="n"/>
      <c r="DTO86" s="43" t="n"/>
      <c r="DTP86" s="43" t="n"/>
      <c r="DTQ86" s="43" t="n"/>
      <c r="DTR86" s="43" t="n"/>
      <c r="DTS86" s="43" t="n"/>
      <c r="DTT86" s="43" t="n"/>
      <c r="DTU86" s="43" t="n"/>
      <c r="DTV86" s="43" t="n"/>
      <c r="DTW86" s="43" t="n"/>
      <c r="DTX86" s="43" t="n"/>
      <c r="DTY86" s="43" t="n"/>
      <c r="DTZ86" s="43" t="n"/>
      <c r="DUA86" s="43" t="n"/>
      <c r="DUB86" s="43" t="n"/>
      <c r="DUC86" s="43" t="n"/>
      <c r="DUD86" s="43" t="n"/>
      <c r="DUE86" s="43" t="n"/>
      <c r="DUF86" s="43" t="n"/>
      <c r="DUG86" s="43" t="n"/>
      <c r="DUH86" s="43" t="n"/>
      <c r="DUI86" s="43" t="n"/>
      <c r="DUJ86" s="43" t="n"/>
      <c r="DUK86" s="43" t="n"/>
      <c r="DUL86" s="43" t="n"/>
      <c r="DUM86" s="43" t="n"/>
      <c r="DUN86" s="43" t="n"/>
      <c r="DUO86" s="43" t="n"/>
      <c r="DUP86" s="43" t="n"/>
      <c r="DUQ86" s="43" t="n"/>
      <c r="DUR86" s="43" t="n"/>
      <c r="DUS86" s="43" t="n"/>
      <c r="DUT86" s="43" t="n"/>
      <c r="DUU86" s="43" t="n"/>
      <c r="DUV86" s="43" t="n"/>
      <c r="DUW86" s="43" t="n"/>
      <c r="DUX86" s="43" t="n"/>
      <c r="DUY86" s="43" t="n"/>
      <c r="DUZ86" s="43" t="n"/>
      <c r="DVA86" s="43" t="n"/>
      <c r="DVB86" s="43" t="n"/>
      <c r="DVC86" s="43" t="n"/>
      <c r="DVD86" s="43" t="n"/>
      <c r="DVE86" s="43" t="n"/>
      <c r="DVF86" s="43" t="n"/>
      <c r="DVG86" s="43" t="n"/>
      <c r="DVH86" s="43" t="n"/>
      <c r="DVI86" s="43" t="n"/>
      <c r="DVJ86" s="43" t="n"/>
      <c r="DVK86" s="43" t="n"/>
      <c r="DVL86" s="43" t="n"/>
      <c r="DVM86" s="43" t="n"/>
      <c r="DVN86" s="43" t="n"/>
      <c r="DVO86" s="43" t="n"/>
      <c r="DVP86" s="43" t="n"/>
      <c r="DVQ86" s="43" t="n"/>
      <c r="DVR86" s="43" t="n"/>
      <c r="DVS86" s="43" t="n"/>
      <c r="DVT86" s="43" t="n"/>
      <c r="DVU86" s="43" t="n"/>
      <c r="DVV86" s="43" t="n"/>
      <c r="DVW86" s="43" t="n"/>
      <c r="DVX86" s="43" t="n"/>
      <c r="DVY86" s="43" t="n"/>
      <c r="DVZ86" s="43" t="n"/>
      <c r="DWA86" s="43" t="n"/>
      <c r="DWB86" s="43" t="n"/>
      <c r="DWC86" s="43" t="n"/>
      <c r="DWD86" s="43" t="n"/>
      <c r="DWE86" s="43" t="n"/>
      <c r="DWF86" s="43" t="n"/>
      <c r="DWG86" s="43" t="n"/>
      <c r="DWH86" s="43" t="n"/>
      <c r="DWI86" s="43" t="n"/>
      <c r="DWJ86" s="43" t="n"/>
      <c r="DWK86" s="43" t="n"/>
      <c r="DWL86" s="43" t="n"/>
      <c r="DWM86" s="43" t="n"/>
      <c r="DWN86" s="43" t="n"/>
      <c r="DWO86" s="43" t="n"/>
      <c r="DWP86" s="43" t="n"/>
      <c r="DWQ86" s="43" t="n"/>
      <c r="DWR86" s="43" t="n"/>
      <c r="DWS86" s="43" t="n"/>
      <c r="DWT86" s="43" t="n"/>
      <c r="DWU86" s="43" t="n"/>
      <c r="DWV86" s="43" t="n"/>
      <c r="DWW86" s="43" t="n"/>
      <c r="DWX86" s="43" t="n"/>
      <c r="DWY86" s="43" t="n"/>
      <c r="DWZ86" s="43" t="n"/>
      <c r="DXA86" s="43" t="n"/>
      <c r="DXB86" s="43" t="n"/>
      <c r="DXC86" s="43" t="n"/>
      <c r="DXD86" s="43" t="n"/>
      <c r="DXE86" s="43" t="n"/>
      <c r="DXF86" s="43" t="n"/>
      <c r="DXG86" s="43" t="n"/>
      <c r="DXH86" s="43" t="n"/>
      <c r="DXI86" s="43" t="n"/>
      <c r="DXJ86" s="43" t="n"/>
      <c r="DXK86" s="43" t="n"/>
      <c r="DXL86" s="43" t="n"/>
      <c r="DXM86" s="43" t="n"/>
      <c r="DXN86" s="43" t="n"/>
      <c r="DXO86" s="43" t="n"/>
      <c r="DXP86" s="43" t="n"/>
      <c r="DXQ86" s="43" t="n"/>
      <c r="DXR86" s="43" t="n"/>
      <c r="DXS86" s="43" t="n"/>
      <c r="DXT86" s="43" t="n"/>
      <c r="DXU86" s="43" t="n"/>
      <c r="DXV86" s="43" t="n"/>
      <c r="DXW86" s="43" t="n"/>
      <c r="DXX86" s="43" t="n"/>
      <c r="DXY86" s="43" t="n"/>
      <c r="DXZ86" s="43" t="n"/>
      <c r="DYA86" s="43" t="n"/>
      <c r="DYB86" s="43" t="n"/>
      <c r="DYC86" s="43" t="n"/>
      <c r="DYD86" s="43" t="n"/>
      <c r="DYE86" s="43" t="n"/>
      <c r="DYF86" s="43" t="n"/>
      <c r="DYG86" s="43" t="n"/>
      <c r="DYH86" s="43" t="n"/>
      <c r="DYI86" s="43" t="n"/>
      <c r="DYJ86" s="43" t="n"/>
      <c r="DYK86" s="43" t="n"/>
      <c r="DYL86" s="43" t="n"/>
      <c r="DYM86" s="43" t="n"/>
      <c r="DYN86" s="43" t="n"/>
      <c r="DYO86" s="43" t="n"/>
      <c r="DYP86" s="43" t="n"/>
      <c r="DYQ86" s="43" t="n"/>
      <c r="DYR86" s="43" t="n"/>
      <c r="DYS86" s="43" t="n"/>
      <c r="DYT86" s="43" t="n"/>
      <c r="DYU86" s="43" t="n"/>
      <c r="DYV86" s="43" t="n"/>
      <c r="DYW86" s="43" t="n"/>
      <c r="DYX86" s="43" t="n"/>
      <c r="DYY86" s="43" t="n"/>
      <c r="DYZ86" s="43" t="n"/>
      <c r="DZA86" s="43" t="n"/>
      <c r="DZB86" s="43" t="n"/>
      <c r="DZC86" s="43" t="n"/>
      <c r="DZD86" s="43" t="n"/>
      <c r="DZE86" s="43" t="n"/>
      <c r="DZF86" s="43" t="n"/>
      <c r="DZG86" s="43" t="n"/>
      <c r="DZH86" s="43" t="n"/>
      <c r="DZI86" s="43" t="n"/>
      <c r="DZJ86" s="43" t="n"/>
      <c r="DZK86" s="43" t="n"/>
      <c r="DZL86" s="43" t="n"/>
      <c r="DZM86" s="43" t="n"/>
      <c r="DZN86" s="43" t="n"/>
      <c r="DZO86" s="43" t="n"/>
      <c r="DZP86" s="43" t="n"/>
      <c r="DZQ86" s="43" t="n"/>
      <c r="DZR86" s="43" t="n"/>
      <c r="DZS86" s="43" t="n"/>
      <c r="DZT86" s="43" t="n"/>
      <c r="DZU86" s="43" t="n"/>
      <c r="DZV86" s="43" t="n"/>
      <c r="DZW86" s="43" t="n"/>
      <c r="DZX86" s="43" t="n"/>
      <c r="DZY86" s="43" t="n"/>
      <c r="DZZ86" s="43" t="n"/>
      <c r="EAA86" s="43" t="n"/>
      <c r="EAB86" s="43" t="n"/>
      <c r="EAC86" s="43" t="n"/>
      <c r="EAD86" s="43" t="n"/>
      <c r="EAE86" s="43" t="n"/>
      <c r="EAF86" s="43" t="n"/>
      <c r="EAG86" s="43" t="n"/>
      <c r="EAH86" s="43" t="n"/>
      <c r="EAI86" s="43" t="n"/>
      <c r="EAJ86" s="43" t="n"/>
      <c r="EAK86" s="43" t="n"/>
      <c r="EAL86" s="43" t="n"/>
      <c r="EAM86" s="43" t="n"/>
      <c r="EAN86" s="43" t="n"/>
      <c r="EAO86" s="43" t="n"/>
      <c r="EAP86" s="43" t="n"/>
      <c r="EAQ86" s="43" t="n"/>
      <c r="EAR86" s="43" t="n"/>
      <c r="EAS86" s="43" t="n"/>
      <c r="EAT86" s="43" t="n"/>
      <c r="EAU86" s="43" t="n"/>
      <c r="EAV86" s="43" t="n"/>
      <c r="EAW86" s="43" t="n"/>
      <c r="EAX86" s="43" t="n"/>
      <c r="EAY86" s="43" t="n"/>
      <c r="EAZ86" s="43" t="n"/>
      <c r="EBA86" s="43" t="n"/>
      <c r="EBB86" s="43" t="n"/>
      <c r="EBC86" s="43" t="n"/>
      <c r="EBD86" s="43" t="n"/>
      <c r="EBE86" s="43" t="n"/>
      <c r="EBF86" s="43" t="n"/>
      <c r="EBG86" s="43" t="n"/>
      <c r="EBH86" s="43" t="n"/>
      <c r="EBI86" s="43" t="n"/>
      <c r="EBJ86" s="43" t="n"/>
      <c r="EBK86" s="43" t="n"/>
      <c r="EBL86" s="43" t="n"/>
      <c r="EBM86" s="43" t="n"/>
      <c r="EBN86" s="43" t="n"/>
      <c r="EBO86" s="43" t="n"/>
      <c r="EBP86" s="43" t="n"/>
      <c r="EBQ86" s="43" t="n"/>
      <c r="EBR86" s="43" t="n"/>
      <c r="EBS86" s="43" t="n"/>
      <c r="EBT86" s="43" t="n"/>
      <c r="EBU86" s="43" t="n"/>
      <c r="EBV86" s="43" t="n"/>
      <c r="EBW86" s="43" t="n"/>
      <c r="EBX86" s="43" t="n"/>
      <c r="EBY86" s="43" t="n"/>
      <c r="EBZ86" s="43" t="n"/>
      <c r="ECA86" s="43" t="n"/>
      <c r="ECB86" s="43" t="n"/>
      <c r="ECC86" s="43" t="n"/>
      <c r="ECD86" s="43" t="n"/>
      <c r="ECE86" s="43" t="n"/>
      <c r="ECF86" s="43" t="n"/>
      <c r="ECG86" s="43" t="n"/>
      <c r="ECH86" s="43" t="n"/>
      <c r="ECI86" s="43" t="n"/>
      <c r="ECJ86" s="43" t="n"/>
      <c r="ECK86" s="43" t="n"/>
      <c r="ECL86" s="43" t="n"/>
      <c r="ECM86" s="43" t="n"/>
      <c r="ECN86" s="43" t="n"/>
      <c r="ECO86" s="43" t="n"/>
      <c r="ECP86" s="43" t="n"/>
      <c r="ECQ86" s="43" t="n"/>
      <c r="ECR86" s="43" t="n"/>
      <c r="ECS86" s="43" t="n"/>
      <c r="ECT86" s="43" t="n"/>
      <c r="ECU86" s="43" t="n"/>
      <c r="ECV86" s="43" t="n"/>
      <c r="ECW86" s="43" t="n"/>
      <c r="ECX86" s="43" t="n"/>
      <c r="ECY86" s="43" t="n"/>
      <c r="ECZ86" s="43" t="n"/>
      <c r="EDA86" s="43" t="n"/>
      <c r="EDB86" s="43" t="n"/>
      <c r="EDC86" s="43" t="n"/>
      <c r="EDD86" s="43" t="n"/>
      <c r="EDE86" s="43" t="n"/>
      <c r="EDF86" s="43" t="n"/>
      <c r="EDG86" s="43" t="n"/>
      <c r="EDH86" s="43" t="n"/>
      <c r="EDI86" s="43" t="n"/>
      <c r="EDJ86" s="43" t="n"/>
      <c r="EDK86" s="43" t="n"/>
      <c r="EDL86" s="43" t="n"/>
      <c r="EDM86" s="43" t="n"/>
      <c r="EDN86" s="43" t="n"/>
      <c r="EDO86" s="43" t="n"/>
      <c r="EDP86" s="43" t="n"/>
      <c r="EDQ86" s="43" t="n"/>
      <c r="EDR86" s="43" t="n"/>
      <c r="EDS86" s="43" t="n"/>
      <c r="EDT86" s="43" t="n"/>
      <c r="EDU86" s="43" t="n"/>
      <c r="EDV86" s="43" t="n"/>
      <c r="EDW86" s="43" t="n"/>
      <c r="EDX86" s="43" t="n"/>
      <c r="EDY86" s="43" t="n"/>
      <c r="EDZ86" s="43" t="n"/>
      <c r="EEA86" s="43" t="n"/>
      <c r="EEB86" s="43" t="n"/>
      <c r="EEC86" s="43" t="n"/>
      <c r="EED86" s="43" t="n"/>
      <c r="EEE86" s="43" t="n"/>
      <c r="EEF86" s="43" t="n"/>
      <c r="EEG86" s="43" t="n"/>
      <c r="EEH86" s="43" t="n"/>
      <c r="EEI86" s="43" t="n"/>
      <c r="EEJ86" s="43" t="n"/>
      <c r="EEK86" s="43" t="n"/>
      <c r="EEL86" s="43" t="n"/>
      <c r="EEM86" s="43" t="n"/>
      <c r="EEN86" s="43" t="n"/>
      <c r="EEO86" s="43" t="n"/>
      <c r="EEP86" s="43" t="n"/>
      <c r="EEQ86" s="43" t="n"/>
      <c r="EER86" s="43" t="n"/>
      <c r="EES86" s="43" t="n"/>
      <c r="EET86" s="43" t="n"/>
      <c r="EEU86" s="43" t="n"/>
      <c r="EEV86" s="43" t="n"/>
      <c r="EEW86" s="43" t="n"/>
      <c r="EEX86" s="43" t="n"/>
      <c r="EEY86" s="43" t="n"/>
      <c r="EEZ86" s="43" t="n"/>
      <c r="EFA86" s="43" t="n"/>
      <c r="EFB86" s="43" t="n"/>
      <c r="EFC86" s="43" t="n"/>
      <c r="EFD86" s="43" t="n"/>
      <c r="EFE86" s="43" t="n"/>
      <c r="EFF86" s="43" t="n"/>
      <c r="EFG86" s="43" t="n"/>
      <c r="EFH86" s="43" t="n"/>
      <c r="EFI86" s="43" t="n"/>
      <c r="EFJ86" s="43" t="n"/>
      <c r="EFK86" s="43" t="n"/>
      <c r="EFL86" s="43" t="n"/>
      <c r="EFM86" s="43" t="n"/>
      <c r="EFN86" s="43" t="n"/>
      <c r="EFO86" s="43" t="n"/>
      <c r="EFP86" s="43" t="n"/>
      <c r="EFQ86" s="43" t="n"/>
      <c r="EFR86" s="43" t="n"/>
      <c r="EFS86" s="43" t="n"/>
      <c r="EFT86" s="43" t="n"/>
      <c r="EFU86" s="43" t="n"/>
      <c r="EFV86" s="43" t="n"/>
      <c r="EFW86" s="43" t="n"/>
      <c r="EFX86" s="43" t="n"/>
      <c r="EFY86" s="43" t="n"/>
      <c r="EFZ86" s="43" t="n"/>
      <c r="EGA86" s="43" t="n"/>
      <c r="EGB86" s="43" t="n"/>
      <c r="EGC86" s="43" t="n"/>
      <c r="EGD86" s="43" t="n"/>
      <c r="EGE86" s="43" t="n"/>
      <c r="EGF86" s="43" t="n"/>
      <c r="EGG86" s="43" t="n"/>
      <c r="EGH86" s="43" t="n"/>
      <c r="EGI86" s="43" t="n"/>
      <c r="EGJ86" s="43" t="n"/>
      <c r="EGK86" s="43" t="n"/>
      <c r="EGL86" s="43" t="n"/>
      <c r="EGM86" s="43" t="n"/>
      <c r="EGN86" s="43" t="n"/>
      <c r="EGO86" s="43" t="n"/>
      <c r="EGP86" s="43" t="n"/>
      <c r="EGQ86" s="43" t="n"/>
      <c r="EGR86" s="43" t="n"/>
      <c r="EGS86" s="43" t="n"/>
      <c r="EGT86" s="43" t="n"/>
      <c r="EGU86" s="43" t="n"/>
      <c r="EGV86" s="43" t="n"/>
      <c r="EGW86" s="43" t="n"/>
      <c r="EGX86" s="43" t="n"/>
      <c r="EGY86" s="43" t="n"/>
      <c r="EGZ86" s="43" t="n"/>
      <c r="EHA86" s="43" t="n"/>
      <c r="EHB86" s="43" t="n"/>
      <c r="EHC86" s="43" t="n"/>
      <c r="EHD86" s="43" t="n"/>
      <c r="EHE86" s="43" t="n"/>
      <c r="EHF86" s="43" t="n"/>
      <c r="EHG86" s="43" t="n"/>
      <c r="EHH86" s="43" t="n"/>
      <c r="EHI86" s="43" t="n"/>
      <c r="EHJ86" s="43" t="n"/>
      <c r="EHK86" s="43" t="n"/>
      <c r="EHL86" s="43" t="n"/>
      <c r="EHM86" s="43" t="n"/>
      <c r="EHN86" s="43" t="n"/>
      <c r="EHO86" s="43" t="n"/>
      <c r="EHP86" s="43" t="n"/>
      <c r="EHQ86" s="43" t="n"/>
      <c r="EHR86" s="43" t="n"/>
      <c r="EHS86" s="43" t="n"/>
      <c r="EHT86" s="43" t="n"/>
      <c r="EHU86" s="43" t="n"/>
      <c r="EHV86" s="43" t="n"/>
      <c r="EHW86" s="43" t="n"/>
      <c r="EHX86" s="43" t="n"/>
      <c r="EHY86" s="43" t="n"/>
      <c r="EHZ86" s="43" t="n"/>
      <c r="EIA86" s="43" t="n"/>
      <c r="EIB86" s="43" t="n"/>
      <c r="EIC86" s="43" t="n"/>
      <c r="EID86" s="43" t="n"/>
      <c r="EIE86" s="43" t="n"/>
      <c r="EIF86" s="43" t="n"/>
      <c r="EIG86" s="43" t="n"/>
      <c r="EIH86" s="43" t="n"/>
      <c r="EII86" s="43" t="n"/>
      <c r="EIJ86" s="43" t="n"/>
      <c r="EIK86" s="43" t="n"/>
      <c r="EIL86" s="43" t="n"/>
      <c r="EIM86" s="43" t="n"/>
      <c r="EIN86" s="43" t="n"/>
      <c r="EIO86" s="43" t="n"/>
      <c r="EIP86" s="43" t="n"/>
      <c r="EIQ86" s="43" t="n"/>
      <c r="EIR86" s="43" t="n"/>
      <c r="EIS86" s="43" t="n"/>
      <c r="EIT86" s="43" t="n"/>
      <c r="EIU86" s="43" t="n"/>
      <c r="EIV86" s="43" t="n"/>
      <c r="EIW86" s="43" t="n"/>
      <c r="EIX86" s="43" t="n"/>
      <c r="EIY86" s="43" t="n"/>
      <c r="EIZ86" s="43" t="n"/>
      <c r="EJA86" s="43" t="n"/>
      <c r="EJB86" s="43" t="n"/>
      <c r="EJC86" s="43" t="n"/>
      <c r="EJD86" s="43" t="n"/>
      <c r="EJE86" s="43" t="n"/>
      <c r="EJF86" s="43" t="n"/>
      <c r="EJG86" s="43" t="n"/>
      <c r="EJH86" s="43" t="n"/>
      <c r="EJI86" s="43" t="n"/>
      <c r="EJJ86" s="43" t="n"/>
      <c r="EJK86" s="43" t="n"/>
      <c r="EJL86" s="43" t="n"/>
      <c r="EJM86" s="43" t="n"/>
      <c r="EJN86" s="43" t="n"/>
      <c r="EJO86" s="43" t="n"/>
      <c r="EJP86" s="43" t="n"/>
      <c r="EJQ86" s="43" t="n"/>
      <c r="EJR86" s="43" t="n"/>
      <c r="EJS86" s="43" t="n"/>
      <c r="EJT86" s="43" t="n"/>
      <c r="EJU86" s="43" t="n"/>
      <c r="EJV86" s="43" t="n"/>
      <c r="EJW86" s="43" t="n"/>
      <c r="EJX86" s="43" t="n"/>
      <c r="EJY86" s="43" t="n"/>
      <c r="EJZ86" s="43" t="n"/>
      <c r="EKA86" s="43" t="n"/>
      <c r="EKB86" s="43" t="n"/>
      <c r="EKC86" s="43" t="n"/>
      <c r="EKD86" s="43" t="n"/>
      <c r="EKE86" s="43" t="n"/>
      <c r="EKF86" s="43" t="n"/>
      <c r="EKG86" s="43" t="n"/>
      <c r="EKH86" s="43" t="n"/>
      <c r="EKI86" s="43" t="n"/>
      <c r="EKJ86" s="43" t="n"/>
      <c r="EKK86" s="43" t="n"/>
      <c r="EKL86" s="43" t="n"/>
      <c r="EKM86" s="43" t="n"/>
      <c r="EKN86" s="43" t="n"/>
      <c r="EKO86" s="43" t="n"/>
      <c r="EKP86" s="43" t="n"/>
      <c r="EKQ86" s="43" t="n"/>
      <c r="EKR86" s="43" t="n"/>
      <c r="EKS86" s="43" t="n"/>
      <c r="EKT86" s="43" t="n"/>
      <c r="EKU86" s="43" t="n"/>
      <c r="EKV86" s="43" t="n"/>
      <c r="EKW86" s="43" t="n"/>
      <c r="EKX86" s="43" t="n"/>
      <c r="EKY86" s="43" t="n"/>
      <c r="EKZ86" s="43" t="n"/>
      <c r="ELA86" s="43" t="n"/>
      <c r="ELB86" s="43" t="n"/>
      <c r="ELC86" s="43" t="n"/>
      <c r="ELD86" s="43" t="n"/>
      <c r="ELE86" s="43" t="n"/>
      <c r="ELF86" s="43" t="n"/>
      <c r="ELG86" s="43" t="n"/>
      <c r="ELH86" s="43" t="n"/>
      <c r="ELI86" s="43" t="n"/>
      <c r="ELJ86" s="43" t="n"/>
      <c r="ELK86" s="43" t="n"/>
      <c r="ELL86" s="43" t="n"/>
      <c r="ELM86" s="43" t="n"/>
      <c r="ELN86" s="43" t="n"/>
      <c r="ELO86" s="43" t="n"/>
      <c r="ELP86" s="43" t="n"/>
      <c r="ELQ86" s="43" t="n"/>
      <c r="ELR86" s="43" t="n"/>
      <c r="ELS86" s="43" t="n"/>
      <c r="ELT86" s="43" t="n"/>
      <c r="ELU86" s="43" t="n"/>
      <c r="ELV86" s="43" t="n"/>
      <c r="ELW86" s="43" t="n"/>
      <c r="ELX86" s="43" t="n"/>
      <c r="ELY86" s="43" t="n"/>
      <c r="ELZ86" s="43" t="n"/>
      <c r="EMA86" s="43" t="n"/>
      <c r="EMB86" s="43" t="n"/>
      <c r="EMC86" s="43" t="n"/>
      <c r="EMD86" s="43" t="n"/>
      <c r="EME86" s="43" t="n"/>
      <c r="EMF86" s="43" t="n"/>
      <c r="EMG86" s="43" t="n"/>
      <c r="EMH86" s="43" t="n"/>
      <c r="EMI86" s="43" t="n"/>
      <c r="EMJ86" s="43" t="n"/>
      <c r="EMK86" s="43" t="n"/>
      <c r="EML86" s="43" t="n"/>
      <c r="EMM86" s="43" t="n"/>
      <c r="EMN86" s="43" t="n"/>
      <c r="EMO86" s="43" t="n"/>
      <c r="EMP86" s="43" t="n"/>
      <c r="EMQ86" s="43" t="n"/>
      <c r="EMR86" s="43" t="n"/>
      <c r="EMS86" s="43" t="n"/>
      <c r="EMT86" s="43" t="n"/>
      <c r="EMU86" s="43" t="n"/>
      <c r="EMV86" s="43" t="n"/>
      <c r="EMW86" s="43" t="n"/>
      <c r="EMX86" s="43" t="n"/>
      <c r="EMY86" s="43" t="n"/>
      <c r="EMZ86" s="43" t="n"/>
      <c r="ENA86" s="43" t="n"/>
      <c r="ENB86" s="43" t="n"/>
      <c r="ENC86" s="43" t="n"/>
      <c r="END86" s="43" t="n"/>
      <c r="ENE86" s="43" t="n"/>
      <c r="ENF86" s="43" t="n"/>
      <c r="ENG86" s="43" t="n"/>
      <c r="ENH86" s="43" t="n"/>
      <c r="ENI86" s="43" t="n"/>
      <c r="ENJ86" s="43" t="n"/>
      <c r="ENK86" s="43" t="n"/>
      <c r="ENL86" s="43" t="n"/>
      <c r="ENM86" s="43" t="n"/>
      <c r="ENN86" s="43" t="n"/>
      <c r="ENO86" s="43" t="n"/>
      <c r="ENP86" s="43" t="n"/>
      <c r="ENQ86" s="43" t="n"/>
      <c r="ENR86" s="43" t="n"/>
      <c r="ENS86" s="43" t="n"/>
      <c r="ENT86" s="43" t="n"/>
      <c r="ENU86" s="43" t="n"/>
      <c r="ENV86" s="43" t="n"/>
      <c r="ENW86" s="43" t="n"/>
      <c r="ENX86" s="43" t="n"/>
      <c r="ENY86" s="43" t="n"/>
      <c r="ENZ86" s="43" t="n"/>
      <c r="EOA86" s="43" t="n"/>
      <c r="EOB86" s="43" t="n"/>
      <c r="EOC86" s="43" t="n"/>
      <c r="EOD86" s="43" t="n"/>
      <c r="EOE86" s="43" t="n"/>
      <c r="EOF86" s="43" t="n"/>
      <c r="EOG86" s="43" t="n"/>
      <c r="EOH86" s="43" t="n"/>
      <c r="EOI86" s="43" t="n"/>
      <c r="EOJ86" s="43" t="n"/>
      <c r="EOK86" s="43" t="n"/>
      <c r="EOL86" s="43" t="n"/>
      <c r="EOM86" s="43" t="n"/>
      <c r="EON86" s="43" t="n"/>
      <c r="EOO86" s="43" t="n"/>
      <c r="EOP86" s="43" t="n"/>
      <c r="EOQ86" s="43" t="n"/>
      <c r="EOR86" s="43" t="n"/>
      <c r="EOS86" s="43" t="n"/>
      <c r="EOT86" s="43" t="n"/>
      <c r="EOU86" s="43" t="n"/>
      <c r="EOV86" s="43" t="n"/>
      <c r="EOW86" s="43" t="n"/>
      <c r="EOX86" s="43" t="n"/>
      <c r="EOY86" s="43" t="n"/>
      <c r="EOZ86" s="43" t="n"/>
      <c r="EPA86" s="43" t="n"/>
      <c r="EPB86" s="43" t="n"/>
      <c r="EPC86" s="43" t="n"/>
      <c r="EPD86" s="43" t="n"/>
      <c r="EPE86" s="43" t="n"/>
      <c r="EPF86" s="43" t="n"/>
      <c r="EPG86" s="43" t="n"/>
      <c r="EPH86" s="43" t="n"/>
      <c r="EPI86" s="43" t="n"/>
      <c r="EPJ86" s="43" t="n"/>
      <c r="EPK86" s="43" t="n"/>
      <c r="EPL86" s="43" t="n"/>
      <c r="EPM86" s="43" t="n"/>
      <c r="EPN86" s="43" t="n"/>
      <c r="EPO86" s="43" t="n"/>
      <c r="EPP86" s="43" t="n"/>
      <c r="EPQ86" s="43" t="n"/>
      <c r="EPR86" s="43" t="n"/>
      <c r="EPS86" s="43" t="n"/>
      <c r="EPT86" s="43" t="n"/>
      <c r="EPU86" s="43" t="n"/>
      <c r="EPV86" s="43" t="n"/>
      <c r="EPW86" s="43" t="n"/>
      <c r="EPX86" s="43" t="n"/>
      <c r="EPY86" s="43" t="n"/>
      <c r="EPZ86" s="43" t="n"/>
      <c r="EQA86" s="43" t="n"/>
      <c r="EQB86" s="43" t="n"/>
      <c r="EQC86" s="43" t="n"/>
      <c r="EQD86" s="43" t="n"/>
      <c r="EQE86" s="43" t="n"/>
      <c r="EQF86" s="43" t="n"/>
      <c r="EQG86" s="43" t="n"/>
      <c r="EQH86" s="43" t="n"/>
      <c r="EQI86" s="43" t="n"/>
      <c r="EQJ86" s="43" t="n"/>
      <c r="EQK86" s="43" t="n"/>
      <c r="EQL86" s="43" t="n"/>
      <c r="EQM86" s="43" t="n"/>
      <c r="EQN86" s="43" t="n"/>
      <c r="EQO86" s="43" t="n"/>
      <c r="EQP86" s="43" t="n"/>
      <c r="EQQ86" s="43" t="n"/>
      <c r="EQR86" s="43" t="n"/>
      <c r="EQS86" s="43" t="n"/>
      <c r="EQT86" s="43" t="n"/>
      <c r="EQU86" s="43" t="n"/>
      <c r="EQV86" s="43" t="n"/>
      <c r="EQW86" s="43" t="n"/>
      <c r="EQX86" s="43" t="n"/>
      <c r="EQY86" s="43" t="n"/>
      <c r="EQZ86" s="43" t="n"/>
      <c r="ERA86" s="43" t="n"/>
      <c r="ERB86" s="43" t="n"/>
      <c r="ERC86" s="43" t="n"/>
      <c r="ERD86" s="43" t="n"/>
      <c r="ERE86" s="43" t="n"/>
      <c r="ERF86" s="43" t="n"/>
      <c r="ERG86" s="43" t="n"/>
      <c r="ERH86" s="43" t="n"/>
      <c r="ERI86" s="43" t="n"/>
      <c r="ERJ86" s="43" t="n"/>
      <c r="ERK86" s="43" t="n"/>
      <c r="ERL86" s="43" t="n"/>
      <c r="ERM86" s="43" t="n"/>
      <c r="ERN86" s="43" t="n"/>
      <c r="ERO86" s="43" t="n"/>
      <c r="ERP86" s="43" t="n"/>
      <c r="ERQ86" s="43" t="n"/>
      <c r="ERR86" s="43" t="n"/>
      <c r="ERS86" s="43" t="n"/>
      <c r="ERT86" s="43" t="n"/>
      <c r="ERU86" s="43" t="n"/>
      <c r="ERV86" s="43" t="n"/>
      <c r="ERW86" s="43" t="n"/>
      <c r="ERX86" s="43" t="n"/>
      <c r="ERY86" s="43" t="n"/>
      <c r="ERZ86" s="43" t="n"/>
      <c r="ESA86" s="43" t="n"/>
      <c r="ESB86" s="43" t="n"/>
      <c r="ESC86" s="43" t="n"/>
      <c r="ESD86" s="43" t="n"/>
      <c r="ESE86" s="43" t="n"/>
      <c r="ESF86" s="43" t="n"/>
      <c r="ESG86" s="43" t="n"/>
      <c r="ESH86" s="43" t="n"/>
      <c r="ESI86" s="43" t="n"/>
      <c r="ESJ86" s="43" t="n"/>
      <c r="ESK86" s="43" t="n"/>
      <c r="ESL86" s="43" t="n"/>
      <c r="ESM86" s="43" t="n"/>
      <c r="ESN86" s="43" t="n"/>
      <c r="ESO86" s="43" t="n"/>
      <c r="ESP86" s="43" t="n"/>
      <c r="ESQ86" s="43" t="n"/>
      <c r="ESR86" s="43" t="n"/>
      <c r="ESS86" s="43" t="n"/>
      <c r="EST86" s="43" t="n"/>
      <c r="ESU86" s="43" t="n"/>
      <c r="ESV86" s="43" t="n"/>
      <c r="ESW86" s="43" t="n"/>
      <c r="ESX86" s="43" t="n"/>
      <c r="ESY86" s="43" t="n"/>
      <c r="ESZ86" s="43" t="n"/>
      <c r="ETA86" s="43" t="n"/>
      <c r="ETB86" s="43" t="n"/>
      <c r="ETC86" s="43" t="n"/>
      <c r="ETD86" s="43" t="n"/>
      <c r="ETE86" s="43" t="n"/>
      <c r="ETF86" s="43" t="n"/>
      <c r="ETG86" s="43" t="n"/>
      <c r="ETH86" s="43" t="n"/>
      <c r="ETI86" s="43" t="n"/>
      <c r="ETJ86" s="43" t="n"/>
      <c r="ETK86" s="43" t="n"/>
      <c r="ETL86" s="43" t="n"/>
      <c r="ETM86" s="43" t="n"/>
      <c r="ETN86" s="43" t="n"/>
      <c r="ETO86" s="43" t="n"/>
      <c r="ETP86" s="43" t="n"/>
      <c r="ETQ86" s="43" t="n"/>
      <c r="ETR86" s="43" t="n"/>
      <c r="ETS86" s="43" t="n"/>
      <c r="ETT86" s="43" t="n"/>
      <c r="ETU86" s="43" t="n"/>
      <c r="ETV86" s="43" t="n"/>
      <c r="ETW86" s="43" t="n"/>
      <c r="ETX86" s="43" t="n"/>
      <c r="ETY86" s="43" t="n"/>
      <c r="ETZ86" s="43" t="n"/>
      <c r="EUA86" s="43" t="n"/>
      <c r="EUB86" s="43" t="n"/>
      <c r="EUC86" s="43" t="n"/>
      <c r="EUD86" s="43" t="n"/>
      <c r="EUE86" s="43" t="n"/>
      <c r="EUF86" s="43" t="n"/>
      <c r="EUG86" s="43" t="n"/>
      <c r="EUH86" s="43" t="n"/>
      <c r="EUI86" s="43" t="n"/>
      <c r="EUJ86" s="43" t="n"/>
      <c r="EUK86" s="43" t="n"/>
      <c r="EUL86" s="43" t="n"/>
      <c r="EUM86" s="43" t="n"/>
      <c r="EUN86" s="43" t="n"/>
      <c r="EUO86" s="43" t="n"/>
      <c r="EUP86" s="43" t="n"/>
      <c r="EUQ86" s="43" t="n"/>
      <c r="EUR86" s="43" t="n"/>
      <c r="EUS86" s="43" t="n"/>
      <c r="EUT86" s="43" t="n"/>
      <c r="EUU86" s="43" t="n"/>
      <c r="EUV86" s="43" t="n"/>
      <c r="EUW86" s="43" t="n"/>
      <c r="EUX86" s="43" t="n"/>
      <c r="EUY86" s="43" t="n"/>
      <c r="EUZ86" s="43" t="n"/>
      <c r="EVA86" s="43" t="n"/>
      <c r="EVB86" s="43" t="n"/>
      <c r="EVC86" s="43" t="n"/>
      <c r="EVD86" s="43" t="n"/>
      <c r="EVE86" s="43" t="n"/>
      <c r="EVF86" s="43" t="n"/>
      <c r="EVG86" s="43" t="n"/>
      <c r="EVH86" s="43" t="n"/>
      <c r="EVI86" s="43" t="n"/>
      <c r="EVJ86" s="43" t="n"/>
      <c r="EVK86" s="43" t="n"/>
      <c r="EVL86" s="43" t="n"/>
      <c r="EVM86" s="43" t="n"/>
      <c r="EVN86" s="43" t="n"/>
      <c r="EVO86" s="43" t="n"/>
      <c r="EVP86" s="43" t="n"/>
      <c r="EVQ86" s="43" t="n"/>
      <c r="EVR86" s="43" t="n"/>
      <c r="EVS86" s="43" t="n"/>
      <c r="EVT86" s="43" t="n"/>
      <c r="EVU86" s="43" t="n"/>
      <c r="EVV86" s="43" t="n"/>
      <c r="EVW86" s="43" t="n"/>
      <c r="EVX86" s="43" t="n"/>
      <c r="EVY86" s="43" t="n"/>
      <c r="EVZ86" s="43" t="n"/>
      <c r="EWA86" s="43" t="n"/>
      <c r="EWB86" s="43" t="n"/>
      <c r="EWC86" s="43" t="n"/>
      <c r="EWD86" s="43" t="n"/>
      <c r="EWE86" s="43" t="n"/>
      <c r="EWF86" s="43" t="n"/>
      <c r="EWG86" s="43" t="n"/>
      <c r="EWH86" s="43" t="n"/>
      <c r="EWI86" s="43" t="n"/>
      <c r="EWJ86" s="43" t="n"/>
      <c r="EWK86" s="43" t="n"/>
      <c r="EWL86" s="43" t="n"/>
      <c r="EWM86" s="43" t="n"/>
      <c r="EWN86" s="43" t="n"/>
      <c r="EWO86" s="43" t="n"/>
      <c r="EWP86" s="43" t="n"/>
      <c r="EWQ86" s="43" t="n"/>
      <c r="EWR86" s="43" t="n"/>
      <c r="EWS86" s="43" t="n"/>
      <c r="EWT86" s="43" t="n"/>
      <c r="EWU86" s="43" t="n"/>
      <c r="EWV86" s="43" t="n"/>
      <c r="EWW86" s="43" t="n"/>
      <c r="EWX86" s="43" t="n"/>
      <c r="EWY86" s="43" t="n"/>
      <c r="EWZ86" s="43" t="n"/>
      <c r="EXA86" s="43" t="n"/>
      <c r="EXB86" s="43" t="n"/>
      <c r="EXC86" s="43" t="n"/>
      <c r="EXD86" s="43" t="n"/>
      <c r="EXE86" s="43" t="n"/>
      <c r="EXF86" s="43" t="n"/>
      <c r="EXG86" s="43" t="n"/>
      <c r="EXH86" s="43" t="n"/>
      <c r="EXI86" s="43" t="n"/>
      <c r="EXJ86" s="43" t="n"/>
      <c r="EXK86" s="43" t="n"/>
      <c r="EXL86" s="43" t="n"/>
      <c r="EXM86" s="43" t="n"/>
      <c r="EXN86" s="43" t="n"/>
      <c r="EXO86" s="43" t="n"/>
      <c r="EXP86" s="43" t="n"/>
      <c r="EXQ86" s="43" t="n"/>
      <c r="EXR86" s="43" t="n"/>
      <c r="EXS86" s="43" t="n"/>
      <c r="EXT86" s="43" t="n"/>
      <c r="EXU86" s="43" t="n"/>
      <c r="EXV86" s="43" t="n"/>
      <c r="EXW86" s="43" t="n"/>
      <c r="EXX86" s="43" t="n"/>
      <c r="EXY86" s="43" t="n"/>
      <c r="EXZ86" s="43" t="n"/>
      <c r="EYA86" s="43" t="n"/>
      <c r="EYB86" s="43" t="n"/>
      <c r="EYC86" s="43" t="n"/>
      <c r="EYD86" s="43" t="n"/>
      <c r="EYE86" s="43" t="n"/>
      <c r="EYF86" s="43" t="n"/>
      <c r="EYG86" s="43" t="n"/>
      <c r="EYH86" s="43" t="n"/>
      <c r="EYI86" s="43" t="n"/>
      <c r="EYJ86" s="43" t="n"/>
      <c r="EYK86" s="43" t="n"/>
      <c r="EYL86" s="43" t="n"/>
      <c r="EYM86" s="43" t="n"/>
      <c r="EYN86" s="43" t="n"/>
      <c r="EYO86" s="43" t="n"/>
      <c r="EYP86" s="43" t="n"/>
      <c r="EYQ86" s="43" t="n"/>
      <c r="EYR86" s="43" t="n"/>
      <c r="EYS86" s="43" t="n"/>
      <c r="EYT86" s="43" t="n"/>
      <c r="EYU86" s="43" t="n"/>
      <c r="EYV86" s="43" t="n"/>
      <c r="EYW86" s="43" t="n"/>
      <c r="EYX86" s="43" t="n"/>
      <c r="EYY86" s="43" t="n"/>
      <c r="EYZ86" s="43" t="n"/>
      <c r="EZA86" s="43" t="n"/>
      <c r="EZB86" s="43" t="n"/>
      <c r="EZC86" s="43" t="n"/>
      <c r="EZD86" s="43" t="n"/>
      <c r="EZE86" s="43" t="n"/>
      <c r="EZF86" s="43" t="n"/>
      <c r="EZG86" s="43" t="n"/>
      <c r="EZH86" s="43" t="n"/>
      <c r="EZI86" s="43" t="n"/>
      <c r="EZJ86" s="43" t="n"/>
      <c r="EZK86" s="43" t="n"/>
      <c r="EZL86" s="43" t="n"/>
      <c r="EZM86" s="43" t="n"/>
      <c r="EZN86" s="43" t="n"/>
      <c r="EZO86" s="43" t="n"/>
      <c r="EZP86" s="43" t="n"/>
      <c r="EZQ86" s="43" t="n"/>
      <c r="EZR86" s="43" t="n"/>
      <c r="EZS86" s="43" t="n"/>
      <c r="EZT86" s="43" t="n"/>
      <c r="EZU86" s="43" t="n"/>
      <c r="EZV86" s="43" t="n"/>
      <c r="EZW86" s="43" t="n"/>
      <c r="EZX86" s="43" t="n"/>
      <c r="EZY86" s="43" t="n"/>
      <c r="EZZ86" s="43" t="n"/>
      <c r="FAA86" s="43" t="n"/>
      <c r="FAB86" s="43" t="n"/>
      <c r="FAC86" s="43" t="n"/>
      <c r="FAD86" s="43" t="n"/>
      <c r="FAE86" s="43" t="n"/>
      <c r="FAF86" s="43" t="n"/>
      <c r="FAG86" s="43" t="n"/>
      <c r="FAH86" s="43" t="n"/>
      <c r="FAI86" s="43" t="n"/>
      <c r="FAJ86" s="43" t="n"/>
      <c r="FAK86" s="43" t="n"/>
      <c r="FAL86" s="43" t="n"/>
      <c r="FAM86" s="43" t="n"/>
      <c r="FAN86" s="43" t="n"/>
      <c r="FAO86" s="43" t="n"/>
      <c r="FAP86" s="43" t="n"/>
      <c r="FAQ86" s="43" t="n"/>
      <c r="FAR86" s="43" t="n"/>
      <c r="FAS86" s="43" t="n"/>
      <c r="FAT86" s="43" t="n"/>
      <c r="FAU86" s="43" t="n"/>
      <c r="FAV86" s="43" t="n"/>
      <c r="FAW86" s="43" t="n"/>
      <c r="FAX86" s="43" t="n"/>
      <c r="FAY86" s="43" t="n"/>
      <c r="FAZ86" s="43" t="n"/>
      <c r="FBA86" s="43" t="n"/>
      <c r="FBB86" s="43" t="n"/>
      <c r="FBC86" s="43" t="n"/>
      <c r="FBD86" s="43" t="n"/>
      <c r="FBE86" s="43" t="n"/>
      <c r="FBF86" s="43" t="n"/>
      <c r="FBG86" s="43" t="n"/>
      <c r="FBH86" s="43" t="n"/>
      <c r="FBI86" s="43" t="n"/>
      <c r="FBJ86" s="43" t="n"/>
      <c r="FBK86" s="43" t="n"/>
      <c r="FBL86" s="43" t="n"/>
      <c r="FBM86" s="43" t="n"/>
      <c r="FBN86" s="43" t="n"/>
      <c r="FBO86" s="43" t="n"/>
      <c r="FBP86" s="43" t="n"/>
      <c r="FBQ86" s="43" t="n"/>
      <c r="FBR86" s="43" t="n"/>
      <c r="FBS86" s="43" t="n"/>
      <c r="FBT86" s="43" t="n"/>
      <c r="FBU86" s="43" t="n"/>
      <c r="FBV86" s="43" t="n"/>
      <c r="FBW86" s="43" t="n"/>
      <c r="FBX86" s="43" t="n"/>
      <c r="FBY86" s="43" t="n"/>
      <c r="FBZ86" s="43" t="n"/>
      <c r="FCA86" s="43" t="n"/>
      <c r="FCB86" s="43" t="n"/>
      <c r="FCC86" s="43" t="n"/>
      <c r="FCD86" s="43" t="n"/>
      <c r="FCE86" s="43" t="n"/>
      <c r="FCF86" s="43" t="n"/>
      <c r="FCG86" s="43" t="n"/>
      <c r="FCH86" s="43" t="n"/>
      <c r="FCI86" s="43" t="n"/>
      <c r="FCJ86" s="43" t="n"/>
      <c r="FCK86" s="43" t="n"/>
      <c r="FCL86" s="43" t="n"/>
      <c r="FCM86" s="43" t="n"/>
      <c r="FCN86" s="43" t="n"/>
      <c r="FCO86" s="43" t="n"/>
      <c r="FCP86" s="43" t="n"/>
      <c r="FCQ86" s="43" t="n"/>
      <c r="FCR86" s="43" t="n"/>
      <c r="FCS86" s="43" t="n"/>
      <c r="FCT86" s="43" t="n"/>
      <c r="FCU86" s="43" t="n"/>
      <c r="FCV86" s="43" t="n"/>
      <c r="FCW86" s="43" t="n"/>
      <c r="FCX86" s="43" t="n"/>
      <c r="FCY86" s="43" t="n"/>
      <c r="FCZ86" s="43" t="n"/>
      <c r="FDA86" s="43" t="n"/>
      <c r="FDB86" s="43" t="n"/>
      <c r="FDC86" s="43" t="n"/>
      <c r="FDD86" s="43" t="n"/>
      <c r="FDE86" s="43" t="n"/>
      <c r="FDF86" s="43" t="n"/>
      <c r="FDG86" s="43" t="n"/>
      <c r="FDH86" s="43" t="n"/>
      <c r="FDI86" s="43" t="n"/>
      <c r="FDJ86" s="43" t="n"/>
      <c r="FDK86" s="43" t="n"/>
      <c r="FDL86" s="43" t="n"/>
      <c r="FDM86" s="43" t="n"/>
      <c r="FDN86" s="43" t="n"/>
      <c r="FDO86" s="43" t="n"/>
      <c r="FDP86" s="43" t="n"/>
      <c r="FDQ86" s="43" t="n"/>
      <c r="FDR86" s="43" t="n"/>
      <c r="FDS86" s="43" t="n"/>
      <c r="FDT86" s="43" t="n"/>
      <c r="FDU86" s="43" t="n"/>
      <c r="FDV86" s="43" t="n"/>
      <c r="FDW86" s="43" t="n"/>
      <c r="FDX86" s="43" t="n"/>
      <c r="FDY86" s="43" t="n"/>
      <c r="FDZ86" s="43" t="n"/>
      <c r="FEA86" s="43" t="n"/>
      <c r="FEB86" s="43" t="n"/>
      <c r="FEC86" s="43" t="n"/>
      <c r="FED86" s="43" t="n"/>
      <c r="FEE86" s="43" t="n"/>
      <c r="FEF86" s="43" t="n"/>
      <c r="FEG86" s="43" t="n"/>
      <c r="FEH86" s="43" t="n"/>
      <c r="FEI86" s="43" t="n"/>
      <c r="FEJ86" s="43" t="n"/>
      <c r="FEK86" s="43" t="n"/>
      <c r="FEL86" s="43" t="n"/>
      <c r="FEM86" s="43" t="n"/>
      <c r="FEN86" s="43" t="n"/>
      <c r="FEO86" s="43" t="n"/>
      <c r="FEP86" s="43" t="n"/>
      <c r="FEQ86" s="43" t="n"/>
      <c r="FER86" s="43" t="n"/>
      <c r="FES86" s="43" t="n"/>
      <c r="FET86" s="43" t="n"/>
      <c r="FEU86" s="43" t="n"/>
      <c r="FEV86" s="43" t="n"/>
      <c r="FEW86" s="43" t="n"/>
      <c r="FEX86" s="43" t="n"/>
      <c r="FEY86" s="43" t="n"/>
      <c r="FEZ86" s="43" t="n"/>
      <c r="FFA86" s="43" t="n"/>
      <c r="FFB86" s="43" t="n"/>
      <c r="FFC86" s="43" t="n"/>
      <c r="FFD86" s="43" t="n"/>
      <c r="FFE86" s="43" t="n"/>
      <c r="FFF86" s="43" t="n"/>
      <c r="FFG86" s="43" t="n"/>
      <c r="FFH86" s="43" t="n"/>
      <c r="FFI86" s="43" t="n"/>
      <c r="FFJ86" s="43" t="n"/>
      <c r="FFK86" s="43" t="n"/>
      <c r="FFL86" s="43" t="n"/>
      <c r="FFM86" s="43" t="n"/>
      <c r="FFN86" s="43" t="n"/>
      <c r="FFO86" s="43" t="n"/>
      <c r="FFP86" s="43" t="n"/>
      <c r="FFQ86" s="43" t="n"/>
      <c r="FFR86" s="43" t="n"/>
      <c r="FFS86" s="43" t="n"/>
      <c r="FFT86" s="43" t="n"/>
      <c r="FFU86" s="43" t="n"/>
      <c r="FFV86" s="43" t="n"/>
      <c r="FFW86" s="43" t="n"/>
      <c r="FFX86" s="43" t="n"/>
      <c r="FFY86" s="43" t="n"/>
      <c r="FFZ86" s="43" t="n"/>
      <c r="FGA86" s="43" t="n"/>
      <c r="FGB86" s="43" t="n"/>
      <c r="FGC86" s="43" t="n"/>
      <c r="FGD86" s="43" t="n"/>
      <c r="FGE86" s="43" t="n"/>
      <c r="FGF86" s="43" t="n"/>
      <c r="FGG86" s="43" t="n"/>
      <c r="FGH86" s="43" t="n"/>
      <c r="FGI86" s="43" t="n"/>
      <c r="FGJ86" s="43" t="n"/>
      <c r="FGK86" s="43" t="n"/>
      <c r="FGL86" s="43" t="n"/>
      <c r="FGM86" s="43" t="n"/>
      <c r="FGN86" s="43" t="n"/>
      <c r="FGO86" s="43" t="n"/>
      <c r="FGP86" s="43" t="n"/>
      <c r="FGQ86" s="43" t="n"/>
      <c r="FGR86" s="43" t="n"/>
      <c r="FGS86" s="43" t="n"/>
      <c r="FGT86" s="43" t="n"/>
      <c r="FGU86" s="43" t="n"/>
      <c r="FGV86" s="43" t="n"/>
      <c r="FGW86" s="43" t="n"/>
      <c r="FGX86" s="43" t="n"/>
      <c r="FGY86" s="43" t="n"/>
      <c r="FGZ86" s="43" t="n"/>
      <c r="FHA86" s="43" t="n"/>
      <c r="FHB86" s="43" t="n"/>
      <c r="FHC86" s="43" t="n"/>
      <c r="FHD86" s="43" t="n"/>
      <c r="FHE86" s="43" t="n"/>
      <c r="FHF86" s="43" t="n"/>
      <c r="FHG86" s="43" t="n"/>
      <c r="FHH86" s="43" t="n"/>
      <c r="FHI86" s="43" t="n"/>
      <c r="FHJ86" s="43" t="n"/>
      <c r="FHK86" s="43" t="n"/>
      <c r="FHL86" s="43" t="n"/>
      <c r="FHM86" s="43" t="n"/>
      <c r="FHN86" s="43" t="n"/>
      <c r="FHO86" s="43" t="n"/>
      <c r="FHP86" s="43" t="n"/>
      <c r="FHQ86" s="43" t="n"/>
      <c r="FHR86" s="43" t="n"/>
      <c r="FHS86" s="43" t="n"/>
      <c r="FHT86" s="43" t="n"/>
      <c r="FHU86" s="43" t="n"/>
      <c r="FHV86" s="43" t="n"/>
      <c r="FHW86" s="43" t="n"/>
      <c r="FHX86" s="43" t="n"/>
      <c r="FHY86" s="43" t="n"/>
      <c r="FHZ86" s="43" t="n"/>
      <c r="FIA86" s="43" t="n"/>
      <c r="FIB86" s="43" t="n"/>
      <c r="FIC86" s="43" t="n"/>
      <c r="FID86" s="43" t="n"/>
      <c r="FIE86" s="43" t="n"/>
      <c r="FIF86" s="43" t="n"/>
      <c r="FIG86" s="43" t="n"/>
      <c r="FIH86" s="43" t="n"/>
      <c r="FII86" s="43" t="n"/>
      <c r="FIJ86" s="43" t="n"/>
      <c r="FIK86" s="43" t="n"/>
      <c r="FIL86" s="43" t="n"/>
      <c r="FIM86" s="43" t="n"/>
      <c r="FIN86" s="43" t="n"/>
      <c r="FIO86" s="43" t="n"/>
      <c r="FIP86" s="43" t="n"/>
      <c r="FIQ86" s="43" t="n"/>
      <c r="FIR86" s="43" t="n"/>
      <c r="FIS86" s="43" t="n"/>
      <c r="FIT86" s="43" t="n"/>
      <c r="FIU86" s="43" t="n"/>
      <c r="FIV86" s="43" t="n"/>
      <c r="FIW86" s="43" t="n"/>
      <c r="FIX86" s="43" t="n"/>
      <c r="FIY86" s="43" t="n"/>
      <c r="FIZ86" s="43" t="n"/>
      <c r="FJA86" s="43" t="n"/>
      <c r="FJB86" s="43" t="n"/>
      <c r="FJC86" s="43" t="n"/>
      <c r="FJD86" s="43" t="n"/>
      <c r="FJE86" s="43" t="n"/>
      <c r="FJF86" s="43" t="n"/>
      <c r="FJG86" s="43" t="n"/>
      <c r="FJH86" s="43" t="n"/>
      <c r="FJI86" s="43" t="n"/>
      <c r="FJJ86" s="43" t="n"/>
      <c r="FJK86" s="43" t="n"/>
      <c r="FJL86" s="43" t="n"/>
      <c r="FJM86" s="43" t="n"/>
      <c r="FJN86" s="43" t="n"/>
      <c r="FJO86" s="43" t="n"/>
      <c r="FJP86" s="43" t="n"/>
      <c r="FJQ86" s="43" t="n"/>
      <c r="FJR86" s="43" t="n"/>
      <c r="FJS86" s="43" t="n"/>
      <c r="FJT86" s="43" t="n"/>
      <c r="FJU86" s="43" t="n"/>
      <c r="FJV86" s="43" t="n"/>
      <c r="FJW86" s="43" t="n"/>
      <c r="FJX86" s="43" t="n"/>
      <c r="FJY86" s="43" t="n"/>
      <c r="FJZ86" s="43" t="n"/>
      <c r="FKA86" s="43" t="n"/>
      <c r="FKB86" s="43" t="n"/>
      <c r="FKC86" s="43" t="n"/>
      <c r="FKD86" s="43" t="n"/>
      <c r="FKE86" s="43" t="n"/>
      <c r="FKF86" s="43" t="n"/>
      <c r="FKG86" s="43" t="n"/>
      <c r="FKH86" s="43" t="n"/>
      <c r="FKI86" s="43" t="n"/>
      <c r="FKJ86" s="43" t="n"/>
      <c r="FKK86" s="43" t="n"/>
      <c r="FKL86" s="43" t="n"/>
      <c r="FKM86" s="43" t="n"/>
      <c r="FKN86" s="43" t="n"/>
      <c r="FKO86" s="43" t="n"/>
      <c r="FKP86" s="43" t="n"/>
      <c r="FKQ86" s="43" t="n"/>
      <c r="FKR86" s="43" t="n"/>
      <c r="FKS86" s="43" t="n"/>
      <c r="FKT86" s="43" t="n"/>
      <c r="FKU86" s="43" t="n"/>
      <c r="FKV86" s="43" t="n"/>
      <c r="FKW86" s="43" t="n"/>
      <c r="FKX86" s="43" t="n"/>
      <c r="FKY86" s="43" t="n"/>
      <c r="FKZ86" s="43" t="n"/>
      <c r="FLA86" s="43" t="n"/>
      <c r="FLB86" s="43" t="n"/>
      <c r="FLC86" s="43" t="n"/>
      <c r="FLD86" s="43" t="n"/>
      <c r="FLE86" s="43" t="n"/>
      <c r="FLF86" s="43" t="n"/>
      <c r="FLG86" s="43" t="n"/>
      <c r="FLH86" s="43" t="n"/>
      <c r="FLI86" s="43" t="n"/>
      <c r="FLJ86" s="43" t="n"/>
      <c r="FLK86" s="43" t="n"/>
      <c r="FLL86" s="43" t="n"/>
      <c r="FLM86" s="43" t="n"/>
      <c r="FLN86" s="43" t="n"/>
      <c r="FLO86" s="43" t="n"/>
      <c r="FLP86" s="43" t="n"/>
      <c r="FLQ86" s="43" t="n"/>
      <c r="FLR86" s="43" t="n"/>
      <c r="FLS86" s="43" t="n"/>
      <c r="FLT86" s="43" t="n"/>
      <c r="FLU86" s="43" t="n"/>
      <c r="FLV86" s="43" t="n"/>
      <c r="FLW86" s="43" t="n"/>
      <c r="FLX86" s="43" t="n"/>
      <c r="FLY86" s="43" t="n"/>
      <c r="FLZ86" s="43" t="n"/>
      <c r="FMA86" s="43" t="n"/>
      <c r="FMB86" s="43" t="n"/>
      <c r="FMC86" s="43" t="n"/>
      <c r="FMD86" s="43" t="n"/>
      <c r="FME86" s="43" t="n"/>
      <c r="FMF86" s="43" t="n"/>
      <c r="FMG86" s="43" t="n"/>
      <c r="FMH86" s="43" t="n"/>
      <c r="FMI86" s="43" t="n"/>
      <c r="FMJ86" s="43" t="n"/>
      <c r="FMK86" s="43" t="n"/>
      <c r="FML86" s="43" t="n"/>
      <c r="FMM86" s="43" t="n"/>
      <c r="FMN86" s="43" t="n"/>
      <c r="FMO86" s="43" t="n"/>
      <c r="FMP86" s="43" t="n"/>
      <c r="FMQ86" s="43" t="n"/>
      <c r="FMR86" s="43" t="n"/>
      <c r="FMS86" s="43" t="n"/>
      <c r="FMT86" s="43" t="n"/>
      <c r="FMU86" s="43" t="n"/>
      <c r="FMV86" s="43" t="n"/>
      <c r="FMW86" s="43" t="n"/>
      <c r="FMX86" s="43" t="n"/>
      <c r="FMY86" s="43" t="n"/>
      <c r="FMZ86" s="43" t="n"/>
      <c r="FNA86" s="43" t="n"/>
      <c r="FNB86" s="43" t="n"/>
      <c r="FNC86" s="43" t="n"/>
      <c r="FND86" s="43" t="n"/>
      <c r="FNE86" s="43" t="n"/>
      <c r="FNF86" s="43" t="n"/>
      <c r="FNG86" s="43" t="n"/>
      <c r="FNH86" s="43" t="n"/>
      <c r="FNI86" s="43" t="n"/>
      <c r="FNJ86" s="43" t="n"/>
      <c r="FNK86" s="43" t="n"/>
      <c r="FNL86" s="43" t="n"/>
      <c r="FNM86" s="43" t="n"/>
      <c r="FNN86" s="43" t="n"/>
      <c r="FNO86" s="43" t="n"/>
      <c r="FNP86" s="43" t="n"/>
      <c r="FNQ86" s="43" t="n"/>
      <c r="FNR86" s="43" t="n"/>
      <c r="FNS86" s="43" t="n"/>
      <c r="FNT86" s="43" t="n"/>
      <c r="FNU86" s="43" t="n"/>
      <c r="FNV86" s="43" t="n"/>
      <c r="FNW86" s="43" t="n"/>
      <c r="FNX86" s="43" t="n"/>
      <c r="FNY86" s="43" t="n"/>
      <c r="FNZ86" s="43" t="n"/>
      <c r="FOA86" s="43" t="n"/>
      <c r="FOB86" s="43" t="n"/>
      <c r="FOC86" s="43" t="n"/>
      <c r="FOD86" s="43" t="n"/>
      <c r="FOE86" s="43" t="n"/>
      <c r="FOF86" s="43" t="n"/>
      <c r="FOG86" s="43" t="n"/>
      <c r="FOH86" s="43" t="n"/>
      <c r="FOI86" s="43" t="n"/>
      <c r="FOJ86" s="43" t="n"/>
      <c r="FOK86" s="43" t="n"/>
      <c r="FOL86" s="43" t="n"/>
      <c r="FOM86" s="43" t="n"/>
      <c r="FON86" s="43" t="n"/>
      <c r="FOO86" s="43" t="n"/>
      <c r="FOP86" s="43" t="n"/>
      <c r="FOQ86" s="43" t="n"/>
      <c r="FOR86" s="43" t="n"/>
      <c r="FOS86" s="43" t="n"/>
      <c r="FOT86" s="43" t="n"/>
      <c r="FOU86" s="43" t="n"/>
      <c r="FOV86" s="43" t="n"/>
      <c r="FOW86" s="43" t="n"/>
      <c r="FOX86" s="43" t="n"/>
      <c r="FOY86" s="43" t="n"/>
      <c r="FOZ86" s="43" t="n"/>
      <c r="FPA86" s="43" t="n"/>
      <c r="FPB86" s="43" t="n"/>
      <c r="FPC86" s="43" t="n"/>
      <c r="FPD86" s="43" t="n"/>
      <c r="FPE86" s="43" t="n"/>
      <c r="FPF86" s="43" t="n"/>
      <c r="FPG86" s="43" t="n"/>
      <c r="FPH86" s="43" t="n"/>
      <c r="FPI86" s="43" t="n"/>
      <c r="FPJ86" s="43" t="n"/>
      <c r="FPK86" s="43" t="n"/>
      <c r="FPL86" s="43" t="n"/>
      <c r="FPM86" s="43" t="n"/>
      <c r="FPN86" s="43" t="n"/>
      <c r="FPO86" s="43" t="n"/>
      <c r="FPP86" s="43" t="n"/>
      <c r="FPQ86" s="43" t="n"/>
      <c r="FPR86" s="43" t="n"/>
      <c r="FPS86" s="43" t="n"/>
      <c r="FPT86" s="43" t="n"/>
      <c r="FPU86" s="43" t="n"/>
      <c r="FPV86" s="43" t="n"/>
      <c r="FPW86" s="43" t="n"/>
      <c r="FPX86" s="43" t="n"/>
      <c r="FPY86" s="43" t="n"/>
      <c r="FPZ86" s="43" t="n"/>
      <c r="FQA86" s="43" t="n"/>
      <c r="FQB86" s="43" t="n"/>
      <c r="FQC86" s="43" t="n"/>
      <c r="FQD86" s="43" t="n"/>
      <c r="FQE86" s="43" t="n"/>
      <c r="FQF86" s="43" t="n"/>
      <c r="FQG86" s="43" t="n"/>
      <c r="FQH86" s="43" t="n"/>
      <c r="FQI86" s="43" t="n"/>
      <c r="FQJ86" s="43" t="n"/>
      <c r="FQK86" s="43" t="n"/>
      <c r="FQL86" s="43" t="n"/>
      <c r="FQM86" s="43" t="n"/>
      <c r="FQN86" s="43" t="n"/>
      <c r="FQO86" s="43" t="n"/>
      <c r="FQP86" s="43" t="n"/>
      <c r="FQQ86" s="43" t="n"/>
      <c r="FQR86" s="43" t="n"/>
      <c r="FQS86" s="43" t="n"/>
      <c r="FQT86" s="43" t="n"/>
      <c r="FQU86" s="43" t="n"/>
      <c r="FQV86" s="43" t="n"/>
      <c r="FQW86" s="43" t="n"/>
      <c r="FQX86" s="43" t="n"/>
      <c r="FQY86" s="43" t="n"/>
      <c r="FQZ86" s="43" t="n"/>
      <c r="FRA86" s="43" t="n"/>
      <c r="FRB86" s="43" t="n"/>
      <c r="FRC86" s="43" t="n"/>
      <c r="FRD86" s="43" t="n"/>
      <c r="FRE86" s="43" t="n"/>
      <c r="FRF86" s="43" t="n"/>
      <c r="FRG86" s="43" t="n"/>
      <c r="FRH86" s="43" t="n"/>
      <c r="FRI86" s="43" t="n"/>
      <c r="FRJ86" s="43" t="n"/>
      <c r="FRK86" s="43" t="n"/>
      <c r="FRL86" s="43" t="n"/>
      <c r="FRM86" s="43" t="n"/>
      <c r="FRN86" s="43" t="n"/>
      <c r="FRO86" s="43" t="n"/>
      <c r="FRP86" s="43" t="n"/>
      <c r="FRQ86" s="43" t="n"/>
      <c r="FRR86" s="43" t="n"/>
      <c r="FRS86" s="43" t="n"/>
      <c r="FRT86" s="43" t="n"/>
      <c r="FRU86" s="43" t="n"/>
      <c r="FRV86" s="43" t="n"/>
      <c r="FRW86" s="43" t="n"/>
      <c r="FRX86" s="43" t="n"/>
      <c r="FRY86" s="43" t="n"/>
      <c r="FRZ86" s="43" t="n"/>
      <c r="FSA86" s="43" t="n"/>
      <c r="FSB86" s="43" t="n"/>
      <c r="FSC86" s="43" t="n"/>
      <c r="FSD86" s="43" t="n"/>
      <c r="FSE86" s="43" t="n"/>
      <c r="FSF86" s="43" t="n"/>
      <c r="FSG86" s="43" t="n"/>
      <c r="FSH86" s="43" t="n"/>
      <c r="FSI86" s="43" t="n"/>
      <c r="FSJ86" s="43" t="n"/>
      <c r="FSK86" s="43" t="n"/>
      <c r="FSL86" s="43" t="n"/>
      <c r="FSM86" s="43" t="n"/>
      <c r="FSN86" s="43" t="n"/>
      <c r="FSO86" s="43" t="n"/>
      <c r="FSP86" s="43" t="n"/>
      <c r="FSQ86" s="43" t="n"/>
      <c r="FSR86" s="43" t="n"/>
      <c r="FSS86" s="43" t="n"/>
      <c r="FST86" s="43" t="n"/>
      <c r="FSU86" s="43" t="n"/>
      <c r="FSV86" s="43" t="n"/>
      <c r="FSW86" s="43" t="n"/>
      <c r="FSX86" s="43" t="n"/>
      <c r="FSY86" s="43" t="n"/>
      <c r="FSZ86" s="43" t="n"/>
      <c r="FTA86" s="43" t="n"/>
      <c r="FTB86" s="43" t="n"/>
      <c r="FTC86" s="43" t="n"/>
      <c r="FTD86" s="43" t="n"/>
      <c r="FTE86" s="43" t="n"/>
      <c r="FTF86" s="43" t="n"/>
      <c r="FTG86" s="43" t="n"/>
      <c r="FTH86" s="43" t="n"/>
      <c r="FTI86" s="43" t="n"/>
      <c r="FTJ86" s="43" t="n"/>
      <c r="FTK86" s="43" t="n"/>
      <c r="FTL86" s="43" t="n"/>
      <c r="FTM86" s="43" t="n"/>
      <c r="FTN86" s="43" t="n"/>
      <c r="FTO86" s="43" t="n"/>
      <c r="FTP86" s="43" t="n"/>
      <c r="FTQ86" s="43" t="n"/>
      <c r="FTR86" s="43" t="n"/>
      <c r="FTS86" s="43" t="n"/>
      <c r="FTT86" s="43" t="n"/>
      <c r="FTU86" s="43" t="n"/>
      <c r="FTV86" s="43" t="n"/>
      <c r="FTW86" s="43" t="n"/>
      <c r="FTX86" s="43" t="n"/>
      <c r="FTY86" s="43" t="n"/>
      <c r="FTZ86" s="43" t="n"/>
      <c r="FUA86" s="43" t="n"/>
      <c r="FUB86" s="43" t="n"/>
      <c r="FUC86" s="43" t="n"/>
      <c r="FUD86" s="43" t="n"/>
      <c r="FUE86" s="43" t="n"/>
      <c r="FUF86" s="43" t="n"/>
      <c r="FUG86" s="43" t="n"/>
      <c r="FUH86" s="43" t="n"/>
      <c r="FUI86" s="43" t="n"/>
      <c r="FUJ86" s="43" t="n"/>
      <c r="FUK86" s="43" t="n"/>
      <c r="FUL86" s="43" t="n"/>
      <c r="FUM86" s="43" t="n"/>
      <c r="FUN86" s="43" t="n"/>
      <c r="FUO86" s="43" t="n"/>
      <c r="FUP86" s="43" t="n"/>
      <c r="FUQ86" s="43" t="n"/>
      <c r="FUR86" s="43" t="n"/>
      <c r="FUS86" s="43" t="n"/>
      <c r="FUT86" s="43" t="n"/>
      <c r="FUU86" s="43" t="n"/>
      <c r="FUV86" s="43" t="n"/>
      <c r="FUW86" s="43" t="n"/>
      <c r="FUX86" s="43" t="n"/>
      <c r="FUY86" s="43" t="n"/>
      <c r="FUZ86" s="43" t="n"/>
      <c r="FVA86" s="43" t="n"/>
      <c r="FVB86" s="43" t="n"/>
      <c r="FVC86" s="43" t="n"/>
      <c r="FVD86" s="43" t="n"/>
      <c r="FVE86" s="43" t="n"/>
      <c r="FVF86" s="43" t="n"/>
      <c r="FVG86" s="43" t="n"/>
      <c r="FVH86" s="43" t="n"/>
      <c r="FVI86" s="43" t="n"/>
      <c r="FVJ86" s="43" t="n"/>
      <c r="FVK86" s="43" t="n"/>
      <c r="FVL86" s="43" t="n"/>
      <c r="FVM86" s="43" t="n"/>
      <c r="FVN86" s="43" t="n"/>
      <c r="FVO86" s="43" t="n"/>
      <c r="FVP86" s="43" t="n"/>
      <c r="FVQ86" s="43" t="n"/>
      <c r="FVR86" s="43" t="n"/>
      <c r="FVS86" s="43" t="n"/>
      <c r="FVT86" s="43" t="n"/>
      <c r="FVU86" s="43" t="n"/>
      <c r="FVV86" s="43" t="n"/>
      <c r="FVW86" s="43" t="n"/>
      <c r="FVX86" s="43" t="n"/>
      <c r="FVY86" s="43" t="n"/>
      <c r="FVZ86" s="43" t="n"/>
      <c r="FWA86" s="43" t="n"/>
      <c r="FWB86" s="43" t="n"/>
      <c r="FWC86" s="43" t="n"/>
      <c r="FWD86" s="43" t="n"/>
      <c r="FWE86" s="43" t="n"/>
      <c r="FWF86" s="43" t="n"/>
      <c r="FWG86" s="43" t="n"/>
      <c r="FWH86" s="43" t="n"/>
      <c r="FWI86" s="43" t="n"/>
      <c r="FWJ86" s="43" t="n"/>
      <c r="FWK86" s="43" t="n"/>
      <c r="FWL86" s="43" t="n"/>
      <c r="FWM86" s="43" t="n"/>
      <c r="FWN86" s="43" t="n"/>
      <c r="FWO86" s="43" t="n"/>
      <c r="FWP86" s="43" t="n"/>
      <c r="FWQ86" s="43" t="n"/>
      <c r="FWR86" s="43" t="n"/>
      <c r="FWS86" s="43" t="n"/>
      <c r="FWT86" s="43" t="n"/>
      <c r="FWU86" s="43" t="n"/>
      <c r="FWV86" s="43" t="n"/>
      <c r="FWW86" s="43" t="n"/>
      <c r="FWX86" s="43" t="n"/>
      <c r="FWY86" s="43" t="n"/>
      <c r="FWZ86" s="43" t="n"/>
      <c r="FXA86" s="43" t="n"/>
      <c r="FXB86" s="43" t="n"/>
      <c r="FXC86" s="43" t="n"/>
      <c r="FXD86" s="43" t="n"/>
      <c r="FXE86" s="43" t="n"/>
      <c r="FXF86" s="43" t="n"/>
      <c r="FXG86" s="43" t="n"/>
      <c r="FXH86" s="43" t="n"/>
      <c r="FXI86" s="43" t="n"/>
      <c r="FXJ86" s="43" t="n"/>
      <c r="FXK86" s="43" t="n"/>
      <c r="FXL86" s="43" t="n"/>
      <c r="FXM86" s="43" t="n"/>
      <c r="FXN86" s="43" t="n"/>
      <c r="FXO86" s="43" t="n"/>
      <c r="FXP86" s="43" t="n"/>
      <c r="FXQ86" s="43" t="n"/>
      <c r="FXR86" s="43" t="n"/>
      <c r="FXS86" s="43" t="n"/>
      <c r="FXT86" s="43" t="n"/>
      <c r="FXU86" s="43" t="n"/>
      <c r="FXV86" s="43" t="n"/>
      <c r="FXW86" s="43" t="n"/>
      <c r="FXX86" s="43" t="n"/>
      <c r="FXY86" s="43" t="n"/>
      <c r="FXZ86" s="43" t="n"/>
      <c r="FYA86" s="43" t="n"/>
      <c r="FYB86" s="43" t="n"/>
      <c r="FYC86" s="43" t="n"/>
      <c r="FYD86" s="43" t="n"/>
      <c r="FYE86" s="43" t="n"/>
      <c r="FYF86" s="43" t="n"/>
      <c r="FYG86" s="43" t="n"/>
      <c r="FYH86" s="43" t="n"/>
      <c r="FYI86" s="43" t="n"/>
      <c r="FYJ86" s="43" t="n"/>
      <c r="FYK86" s="43" t="n"/>
      <c r="FYL86" s="43" t="n"/>
      <c r="FYM86" s="43" t="n"/>
      <c r="FYN86" s="43" t="n"/>
      <c r="FYO86" s="43" t="n"/>
      <c r="FYP86" s="43" t="n"/>
      <c r="FYQ86" s="43" t="n"/>
      <c r="FYR86" s="43" t="n"/>
      <c r="FYS86" s="43" t="n"/>
      <c r="FYT86" s="43" t="n"/>
      <c r="FYU86" s="43" t="n"/>
      <c r="FYV86" s="43" t="n"/>
      <c r="FYW86" s="43" t="n"/>
      <c r="FYX86" s="43" t="n"/>
      <c r="FYY86" s="43" t="n"/>
      <c r="FYZ86" s="43" t="n"/>
      <c r="FZA86" s="43" t="n"/>
      <c r="FZB86" s="43" t="n"/>
      <c r="FZC86" s="43" t="n"/>
      <c r="FZD86" s="43" t="n"/>
      <c r="FZE86" s="43" t="n"/>
      <c r="FZF86" s="43" t="n"/>
      <c r="FZG86" s="43" t="n"/>
      <c r="FZH86" s="43" t="n"/>
      <c r="FZI86" s="43" t="n"/>
      <c r="FZJ86" s="43" t="n"/>
      <c r="FZK86" s="43" t="n"/>
      <c r="FZL86" s="43" t="n"/>
      <c r="FZM86" s="43" t="n"/>
      <c r="FZN86" s="43" t="n"/>
      <c r="FZO86" s="43" t="n"/>
      <c r="FZP86" s="43" t="n"/>
      <c r="FZQ86" s="43" t="n"/>
      <c r="FZR86" s="43" t="n"/>
      <c r="FZS86" s="43" t="n"/>
      <c r="FZT86" s="43" t="n"/>
      <c r="FZU86" s="43" t="n"/>
      <c r="FZV86" s="43" t="n"/>
      <c r="FZW86" s="43" t="n"/>
      <c r="FZX86" s="43" t="n"/>
      <c r="FZY86" s="43" t="n"/>
      <c r="FZZ86" s="43" t="n"/>
      <c r="GAA86" s="43" t="n"/>
      <c r="GAB86" s="43" t="n"/>
      <c r="GAC86" s="43" t="n"/>
      <c r="GAD86" s="43" t="n"/>
      <c r="GAE86" s="43" t="n"/>
      <c r="GAF86" s="43" t="n"/>
      <c r="GAG86" s="43" t="n"/>
      <c r="GAH86" s="43" t="n"/>
      <c r="GAI86" s="43" t="n"/>
      <c r="GAJ86" s="43" t="n"/>
      <c r="GAK86" s="43" t="n"/>
      <c r="GAL86" s="43" t="n"/>
      <c r="GAM86" s="43" t="n"/>
      <c r="GAN86" s="43" t="n"/>
      <c r="GAO86" s="43" t="n"/>
      <c r="GAP86" s="43" t="n"/>
      <c r="GAQ86" s="43" t="n"/>
      <c r="GAR86" s="43" t="n"/>
      <c r="GAS86" s="43" t="n"/>
      <c r="GAT86" s="43" t="n"/>
      <c r="GAU86" s="43" t="n"/>
      <c r="GAV86" s="43" t="n"/>
      <c r="GAW86" s="43" t="n"/>
      <c r="GAX86" s="43" t="n"/>
      <c r="GAY86" s="43" t="n"/>
      <c r="GAZ86" s="43" t="n"/>
      <c r="GBA86" s="43" t="n"/>
      <c r="GBB86" s="43" t="n"/>
      <c r="GBC86" s="43" t="n"/>
      <c r="GBD86" s="43" t="n"/>
      <c r="GBE86" s="43" t="n"/>
      <c r="GBF86" s="43" t="n"/>
      <c r="GBG86" s="43" t="n"/>
      <c r="GBH86" s="43" t="n"/>
      <c r="GBI86" s="43" t="n"/>
      <c r="GBJ86" s="43" t="n"/>
      <c r="GBK86" s="43" t="n"/>
      <c r="GBL86" s="43" t="n"/>
      <c r="GBM86" s="43" t="n"/>
      <c r="GBN86" s="43" t="n"/>
      <c r="GBO86" s="43" t="n"/>
      <c r="GBP86" s="43" t="n"/>
      <c r="GBQ86" s="43" t="n"/>
      <c r="GBR86" s="43" t="n"/>
      <c r="GBS86" s="43" t="n"/>
      <c r="GBT86" s="43" t="n"/>
      <c r="GBU86" s="43" t="n"/>
      <c r="GBV86" s="43" t="n"/>
      <c r="GBW86" s="43" t="n"/>
      <c r="GBX86" s="43" t="n"/>
      <c r="GBY86" s="43" t="n"/>
      <c r="GBZ86" s="43" t="n"/>
      <c r="GCA86" s="43" t="n"/>
      <c r="GCB86" s="43" t="n"/>
      <c r="GCC86" s="43" t="n"/>
      <c r="GCD86" s="43" t="n"/>
      <c r="GCE86" s="43" t="n"/>
      <c r="GCF86" s="43" t="n"/>
      <c r="GCG86" s="43" t="n"/>
      <c r="GCH86" s="43" t="n"/>
      <c r="GCI86" s="43" t="n"/>
      <c r="GCJ86" s="43" t="n"/>
      <c r="GCK86" s="43" t="n"/>
      <c r="GCL86" s="43" t="n"/>
      <c r="GCM86" s="43" t="n"/>
      <c r="GCN86" s="43" t="n"/>
      <c r="GCO86" s="43" t="n"/>
      <c r="GCP86" s="43" t="n"/>
      <c r="GCQ86" s="43" t="n"/>
      <c r="GCR86" s="43" t="n"/>
      <c r="GCS86" s="43" t="n"/>
      <c r="GCT86" s="43" t="n"/>
      <c r="GCU86" s="43" t="n"/>
      <c r="GCV86" s="43" t="n"/>
      <c r="GCW86" s="43" t="n"/>
      <c r="GCX86" s="43" t="n"/>
      <c r="GCY86" s="43" t="n"/>
      <c r="GCZ86" s="43" t="n"/>
      <c r="GDA86" s="43" t="n"/>
      <c r="GDB86" s="43" t="n"/>
      <c r="GDC86" s="43" t="n"/>
      <c r="GDD86" s="43" t="n"/>
      <c r="GDE86" s="43" t="n"/>
      <c r="GDF86" s="43" t="n"/>
      <c r="GDG86" s="43" t="n"/>
      <c r="GDH86" s="43" t="n"/>
      <c r="GDI86" s="43" t="n"/>
      <c r="GDJ86" s="43" t="n"/>
      <c r="GDK86" s="43" t="n"/>
      <c r="GDL86" s="43" t="n"/>
      <c r="GDM86" s="43" t="n"/>
      <c r="GDN86" s="43" t="n"/>
      <c r="GDO86" s="43" t="n"/>
      <c r="GDP86" s="43" t="n"/>
      <c r="GDQ86" s="43" t="n"/>
      <c r="GDR86" s="43" t="n"/>
      <c r="GDS86" s="43" t="n"/>
      <c r="GDT86" s="43" t="n"/>
      <c r="GDU86" s="43" t="n"/>
      <c r="GDV86" s="43" t="n"/>
      <c r="GDW86" s="43" t="n"/>
      <c r="GDX86" s="43" t="n"/>
      <c r="GDY86" s="43" t="n"/>
      <c r="GDZ86" s="43" t="n"/>
      <c r="GEA86" s="43" t="n"/>
      <c r="GEB86" s="43" t="n"/>
      <c r="GEC86" s="43" t="n"/>
      <c r="GED86" s="43" t="n"/>
      <c r="GEE86" s="43" t="n"/>
      <c r="GEF86" s="43" t="n"/>
      <c r="GEG86" s="43" t="n"/>
      <c r="GEH86" s="43" t="n"/>
      <c r="GEI86" s="43" t="n"/>
      <c r="GEJ86" s="43" t="n"/>
      <c r="GEK86" s="43" t="n"/>
      <c r="GEL86" s="43" t="n"/>
      <c r="GEM86" s="43" t="n"/>
      <c r="GEN86" s="43" t="n"/>
      <c r="GEO86" s="43" t="n"/>
      <c r="GEP86" s="43" t="n"/>
      <c r="GEQ86" s="43" t="n"/>
      <c r="GER86" s="43" t="n"/>
      <c r="GES86" s="43" t="n"/>
      <c r="GET86" s="43" t="n"/>
      <c r="GEU86" s="43" t="n"/>
      <c r="GEV86" s="43" t="n"/>
      <c r="GEW86" s="43" t="n"/>
      <c r="GEX86" s="43" t="n"/>
      <c r="GEY86" s="43" t="n"/>
      <c r="GEZ86" s="43" t="n"/>
      <c r="GFA86" s="43" t="n"/>
      <c r="GFB86" s="43" t="n"/>
      <c r="GFC86" s="43" t="n"/>
      <c r="GFD86" s="43" t="n"/>
      <c r="GFE86" s="43" t="n"/>
      <c r="GFF86" s="43" t="n"/>
      <c r="GFG86" s="43" t="n"/>
      <c r="GFH86" s="43" t="n"/>
      <c r="GFI86" s="43" t="n"/>
      <c r="GFJ86" s="43" t="n"/>
      <c r="GFK86" s="43" t="n"/>
      <c r="GFL86" s="43" t="n"/>
      <c r="GFM86" s="43" t="n"/>
      <c r="GFN86" s="43" t="n"/>
      <c r="GFO86" s="43" t="n"/>
      <c r="GFP86" s="43" t="n"/>
      <c r="GFQ86" s="43" t="n"/>
      <c r="GFR86" s="43" t="n"/>
      <c r="GFS86" s="43" t="n"/>
      <c r="GFT86" s="43" t="n"/>
      <c r="GFU86" s="43" t="n"/>
      <c r="GFV86" s="43" t="n"/>
      <c r="GFW86" s="43" t="n"/>
      <c r="GFX86" s="43" t="n"/>
      <c r="GFY86" s="43" t="n"/>
      <c r="GFZ86" s="43" t="n"/>
      <c r="GGA86" s="43" t="n"/>
      <c r="GGB86" s="43" t="n"/>
      <c r="GGC86" s="43" t="n"/>
      <c r="GGD86" s="43" t="n"/>
      <c r="GGE86" s="43" t="n"/>
      <c r="GGF86" s="43" t="n"/>
      <c r="GGG86" s="43" t="n"/>
      <c r="GGH86" s="43" t="n"/>
      <c r="GGI86" s="43" t="n"/>
      <c r="GGJ86" s="43" t="n"/>
      <c r="GGK86" s="43" t="n"/>
      <c r="GGL86" s="43" t="n"/>
      <c r="GGM86" s="43" t="n"/>
      <c r="GGN86" s="43" t="n"/>
      <c r="GGO86" s="43" t="n"/>
      <c r="GGP86" s="43" t="n"/>
      <c r="GGQ86" s="43" t="n"/>
      <c r="GGR86" s="43" t="n"/>
      <c r="GGS86" s="43" t="n"/>
      <c r="GGT86" s="43" t="n"/>
      <c r="GGU86" s="43" t="n"/>
      <c r="GGV86" s="43" t="n"/>
      <c r="GGW86" s="43" t="n"/>
      <c r="GGX86" s="43" t="n"/>
      <c r="GGY86" s="43" t="n"/>
      <c r="GGZ86" s="43" t="n"/>
      <c r="GHA86" s="43" t="n"/>
      <c r="GHB86" s="43" t="n"/>
      <c r="GHC86" s="43" t="n"/>
      <c r="GHD86" s="43" t="n"/>
      <c r="GHE86" s="43" t="n"/>
      <c r="GHF86" s="43" t="n"/>
      <c r="GHG86" s="43" t="n"/>
      <c r="GHH86" s="43" t="n"/>
      <c r="GHI86" s="43" t="n"/>
      <c r="GHJ86" s="43" t="n"/>
      <c r="GHK86" s="43" t="n"/>
      <c r="GHL86" s="43" t="n"/>
      <c r="GHM86" s="43" t="n"/>
      <c r="GHN86" s="43" t="n"/>
      <c r="GHO86" s="43" t="n"/>
      <c r="GHP86" s="43" t="n"/>
      <c r="GHQ86" s="43" t="n"/>
      <c r="GHR86" s="43" t="n"/>
      <c r="GHS86" s="43" t="n"/>
      <c r="GHT86" s="43" t="n"/>
      <c r="GHU86" s="43" t="n"/>
      <c r="GHV86" s="43" t="n"/>
      <c r="GHW86" s="43" t="n"/>
      <c r="GHX86" s="43" t="n"/>
      <c r="GHY86" s="43" t="n"/>
      <c r="GHZ86" s="43" t="n"/>
      <c r="GIA86" s="43" t="n"/>
      <c r="GIB86" s="43" t="n"/>
      <c r="GIC86" s="43" t="n"/>
      <c r="GID86" s="43" t="n"/>
      <c r="GIE86" s="43" t="n"/>
      <c r="GIF86" s="43" t="n"/>
      <c r="GIG86" s="43" t="n"/>
      <c r="GIH86" s="43" t="n"/>
      <c r="GII86" s="43" t="n"/>
      <c r="GIJ86" s="43" t="n"/>
      <c r="GIK86" s="43" t="n"/>
      <c r="GIL86" s="43" t="n"/>
      <c r="GIM86" s="43" t="n"/>
      <c r="GIN86" s="43" t="n"/>
      <c r="GIO86" s="43" t="n"/>
      <c r="GIP86" s="43" t="n"/>
      <c r="GIQ86" s="43" t="n"/>
      <c r="GIR86" s="43" t="n"/>
      <c r="GIS86" s="43" t="n"/>
      <c r="GIT86" s="43" t="n"/>
      <c r="GIU86" s="43" t="n"/>
      <c r="GIV86" s="43" t="n"/>
      <c r="GIW86" s="43" t="n"/>
      <c r="GIX86" s="43" t="n"/>
      <c r="GIY86" s="43" t="n"/>
      <c r="GIZ86" s="43" t="n"/>
      <c r="GJA86" s="43" t="n"/>
      <c r="GJB86" s="43" t="n"/>
      <c r="GJC86" s="43" t="n"/>
      <c r="GJD86" s="43" t="n"/>
      <c r="GJE86" s="43" t="n"/>
      <c r="GJF86" s="43" t="n"/>
      <c r="GJG86" s="43" t="n"/>
      <c r="GJH86" s="43" t="n"/>
      <c r="GJI86" s="43" t="n"/>
      <c r="GJJ86" s="43" t="n"/>
      <c r="GJK86" s="43" t="n"/>
      <c r="GJL86" s="43" t="n"/>
      <c r="GJM86" s="43" t="n"/>
      <c r="GJN86" s="43" t="n"/>
      <c r="GJO86" s="43" t="n"/>
      <c r="GJP86" s="43" t="n"/>
      <c r="GJQ86" s="43" t="n"/>
      <c r="GJR86" s="43" t="n"/>
      <c r="GJS86" s="43" t="n"/>
      <c r="GJT86" s="43" t="n"/>
      <c r="GJU86" s="43" t="n"/>
      <c r="GJV86" s="43" t="n"/>
      <c r="GJW86" s="43" t="n"/>
      <c r="GJX86" s="43" t="n"/>
      <c r="GJY86" s="43" t="n"/>
      <c r="GJZ86" s="43" t="n"/>
      <c r="GKA86" s="43" t="n"/>
      <c r="GKB86" s="43" t="n"/>
      <c r="GKC86" s="43" t="n"/>
      <c r="GKD86" s="43" t="n"/>
      <c r="GKE86" s="43" t="n"/>
      <c r="GKF86" s="43" t="n"/>
      <c r="GKG86" s="43" t="n"/>
      <c r="GKH86" s="43" t="n"/>
      <c r="GKI86" s="43" t="n"/>
      <c r="GKJ86" s="43" t="n"/>
      <c r="GKK86" s="43" t="n"/>
      <c r="GKL86" s="43" t="n"/>
      <c r="GKM86" s="43" t="n"/>
      <c r="GKN86" s="43" t="n"/>
      <c r="GKO86" s="43" t="n"/>
      <c r="GKP86" s="43" t="n"/>
      <c r="GKQ86" s="43" t="n"/>
      <c r="GKR86" s="43" t="n"/>
      <c r="GKS86" s="43" t="n"/>
      <c r="GKT86" s="43" t="n"/>
      <c r="GKU86" s="43" t="n"/>
      <c r="GKV86" s="43" t="n"/>
      <c r="GKW86" s="43" t="n"/>
      <c r="GKX86" s="43" t="n"/>
      <c r="GKY86" s="43" t="n"/>
      <c r="GKZ86" s="43" t="n"/>
      <c r="GLA86" s="43" t="n"/>
      <c r="GLB86" s="43" t="n"/>
      <c r="GLC86" s="43" t="n"/>
      <c r="GLD86" s="43" t="n"/>
      <c r="GLE86" s="43" t="n"/>
      <c r="GLF86" s="43" t="n"/>
      <c r="GLG86" s="43" t="n"/>
      <c r="GLH86" s="43" t="n"/>
      <c r="GLI86" s="43" t="n"/>
      <c r="GLJ86" s="43" t="n"/>
      <c r="GLK86" s="43" t="n"/>
      <c r="GLL86" s="43" t="n"/>
      <c r="GLM86" s="43" t="n"/>
      <c r="GLN86" s="43" t="n"/>
      <c r="GLO86" s="43" t="n"/>
      <c r="GLP86" s="43" t="n"/>
      <c r="GLQ86" s="43" t="n"/>
      <c r="GLR86" s="43" t="n"/>
      <c r="GLS86" s="43" t="n"/>
      <c r="GLT86" s="43" t="n"/>
      <c r="GLU86" s="43" t="n"/>
      <c r="GLV86" s="43" t="n"/>
      <c r="GLW86" s="43" t="n"/>
      <c r="GLX86" s="43" t="n"/>
      <c r="GLY86" s="43" t="n"/>
      <c r="GLZ86" s="43" t="n"/>
      <c r="GMA86" s="43" t="n"/>
      <c r="GMB86" s="43" t="n"/>
      <c r="GMC86" s="43" t="n"/>
      <c r="GMD86" s="43" t="n"/>
      <c r="GME86" s="43" t="n"/>
      <c r="GMF86" s="43" t="n"/>
      <c r="GMG86" s="43" t="n"/>
      <c r="GMH86" s="43" t="n"/>
      <c r="GMI86" s="43" t="n"/>
      <c r="GMJ86" s="43" t="n"/>
      <c r="GMK86" s="43" t="n"/>
      <c r="GML86" s="43" t="n"/>
      <c r="GMM86" s="43" t="n"/>
      <c r="GMN86" s="43" t="n"/>
      <c r="GMO86" s="43" t="n"/>
      <c r="GMP86" s="43" t="n"/>
      <c r="GMQ86" s="43" t="n"/>
      <c r="GMR86" s="43" t="n"/>
      <c r="GMS86" s="43" t="n"/>
      <c r="GMT86" s="43" t="n"/>
      <c r="GMU86" s="43" t="n"/>
      <c r="GMV86" s="43" t="n"/>
      <c r="GMW86" s="43" t="n"/>
      <c r="GMX86" s="43" t="n"/>
      <c r="GMY86" s="43" t="n"/>
      <c r="GMZ86" s="43" t="n"/>
      <c r="GNA86" s="43" t="n"/>
      <c r="GNB86" s="43" t="n"/>
      <c r="GNC86" s="43" t="n"/>
      <c r="GND86" s="43" t="n"/>
      <c r="GNE86" s="43" t="n"/>
      <c r="GNF86" s="43" t="n"/>
      <c r="GNG86" s="43" t="n"/>
      <c r="GNH86" s="43" t="n"/>
      <c r="GNI86" s="43" t="n"/>
      <c r="GNJ86" s="43" t="n"/>
      <c r="GNK86" s="43" t="n"/>
      <c r="GNL86" s="43" t="n"/>
      <c r="GNM86" s="43" t="n"/>
      <c r="GNN86" s="43" t="n"/>
      <c r="GNO86" s="43" t="n"/>
      <c r="GNP86" s="43" t="n"/>
      <c r="GNQ86" s="43" t="n"/>
      <c r="GNR86" s="43" t="n"/>
      <c r="GNS86" s="43" t="n"/>
      <c r="GNT86" s="43" t="n"/>
      <c r="GNU86" s="43" t="n"/>
      <c r="GNV86" s="43" t="n"/>
      <c r="GNW86" s="43" t="n"/>
      <c r="GNX86" s="43" t="n"/>
      <c r="GNY86" s="43" t="n"/>
      <c r="GNZ86" s="43" t="n"/>
      <c r="GOA86" s="43" t="n"/>
      <c r="GOB86" s="43" t="n"/>
      <c r="GOC86" s="43" t="n"/>
      <c r="GOD86" s="43" t="n"/>
      <c r="GOE86" s="43" t="n"/>
      <c r="GOF86" s="43" t="n"/>
      <c r="GOG86" s="43" t="n"/>
      <c r="GOH86" s="43" t="n"/>
      <c r="GOI86" s="43" t="n"/>
      <c r="GOJ86" s="43" t="n"/>
      <c r="GOK86" s="43" t="n"/>
      <c r="GOL86" s="43" t="n"/>
      <c r="GOM86" s="43" t="n"/>
      <c r="GON86" s="43" t="n"/>
      <c r="GOO86" s="43" t="n"/>
      <c r="GOP86" s="43" t="n"/>
      <c r="GOQ86" s="43" t="n"/>
      <c r="GOR86" s="43" t="n"/>
      <c r="GOS86" s="43" t="n"/>
      <c r="GOT86" s="43" t="n"/>
      <c r="GOU86" s="43" t="n"/>
      <c r="GOV86" s="43" t="n"/>
      <c r="GOW86" s="43" t="n"/>
      <c r="GOX86" s="43" t="n"/>
      <c r="GOY86" s="43" t="n"/>
      <c r="GOZ86" s="43" t="n"/>
      <c r="GPA86" s="43" t="n"/>
      <c r="GPB86" s="43" t="n"/>
      <c r="GPC86" s="43" t="n"/>
      <c r="GPD86" s="43" t="n"/>
      <c r="GPE86" s="43" t="n"/>
      <c r="GPF86" s="43" t="n"/>
      <c r="GPG86" s="43" t="n"/>
      <c r="GPH86" s="43" t="n"/>
      <c r="GPI86" s="43" t="n"/>
      <c r="GPJ86" s="43" t="n"/>
      <c r="GPK86" s="43" t="n"/>
      <c r="GPL86" s="43" t="n"/>
      <c r="GPM86" s="43" t="n"/>
      <c r="GPN86" s="43" t="n"/>
      <c r="GPO86" s="43" t="n"/>
      <c r="GPP86" s="43" t="n"/>
      <c r="GPQ86" s="43" t="n"/>
      <c r="GPR86" s="43" t="n"/>
      <c r="GPS86" s="43" t="n"/>
      <c r="GPT86" s="43" t="n"/>
      <c r="GPU86" s="43" t="n"/>
      <c r="GPV86" s="43" t="n"/>
      <c r="GPW86" s="43" t="n"/>
      <c r="GPX86" s="43" t="n"/>
      <c r="GPY86" s="43" t="n"/>
      <c r="GPZ86" s="43" t="n"/>
      <c r="GQA86" s="43" t="n"/>
      <c r="GQB86" s="43" t="n"/>
      <c r="GQC86" s="43" t="n"/>
      <c r="GQD86" s="43" t="n"/>
      <c r="GQE86" s="43" t="n"/>
      <c r="GQF86" s="43" t="n"/>
      <c r="GQG86" s="43" t="n"/>
      <c r="GQH86" s="43" t="n"/>
      <c r="GQI86" s="43" t="n"/>
      <c r="GQJ86" s="43" t="n"/>
      <c r="GQK86" s="43" t="n"/>
      <c r="GQL86" s="43" t="n"/>
      <c r="GQM86" s="43" t="n"/>
      <c r="GQN86" s="43" t="n"/>
      <c r="GQO86" s="43" t="n"/>
      <c r="GQP86" s="43" t="n"/>
      <c r="GQQ86" s="43" t="n"/>
      <c r="GQR86" s="43" t="n"/>
      <c r="GQS86" s="43" t="n"/>
      <c r="GQT86" s="43" t="n"/>
      <c r="GQU86" s="43" t="n"/>
      <c r="GQV86" s="43" t="n"/>
      <c r="GQW86" s="43" t="n"/>
      <c r="GQX86" s="43" t="n"/>
      <c r="GQY86" s="43" t="n"/>
      <c r="GQZ86" s="43" t="n"/>
      <c r="GRA86" s="43" t="n"/>
      <c r="GRB86" s="43" t="n"/>
      <c r="GRC86" s="43" t="n"/>
      <c r="GRD86" s="43" t="n"/>
      <c r="GRE86" s="43" t="n"/>
      <c r="GRF86" s="43" t="n"/>
      <c r="GRG86" s="43" t="n"/>
      <c r="GRH86" s="43" t="n"/>
      <c r="GRI86" s="43" t="n"/>
      <c r="GRJ86" s="43" t="n"/>
      <c r="GRK86" s="43" t="n"/>
      <c r="GRL86" s="43" t="n"/>
      <c r="GRM86" s="43" t="n"/>
      <c r="GRN86" s="43" t="n"/>
      <c r="GRO86" s="43" t="n"/>
      <c r="GRP86" s="43" t="n"/>
      <c r="GRQ86" s="43" t="n"/>
      <c r="GRR86" s="43" t="n"/>
      <c r="GRS86" s="43" t="n"/>
      <c r="GRT86" s="43" t="n"/>
      <c r="GRU86" s="43" t="n"/>
      <c r="GRV86" s="43" t="n"/>
      <c r="GRW86" s="43" t="n"/>
      <c r="GRX86" s="43" t="n"/>
      <c r="GRY86" s="43" t="n"/>
      <c r="GRZ86" s="43" t="n"/>
      <c r="GSA86" s="43" t="n"/>
      <c r="GSB86" s="43" t="n"/>
      <c r="GSC86" s="43" t="n"/>
      <c r="GSD86" s="43" t="n"/>
      <c r="GSE86" s="43" t="n"/>
      <c r="GSF86" s="43" t="n"/>
      <c r="GSG86" s="43" t="n"/>
      <c r="GSH86" s="43" t="n"/>
      <c r="GSI86" s="43" t="n"/>
      <c r="GSJ86" s="43" t="n"/>
      <c r="GSK86" s="43" t="n"/>
      <c r="GSL86" s="43" t="n"/>
      <c r="GSM86" s="43" t="n"/>
      <c r="GSN86" s="43" t="n"/>
      <c r="GSO86" s="43" t="n"/>
      <c r="GSP86" s="43" t="n"/>
      <c r="GSQ86" s="43" t="n"/>
      <c r="GSR86" s="43" t="n"/>
      <c r="GSS86" s="43" t="n"/>
      <c r="GST86" s="43" t="n"/>
      <c r="GSU86" s="43" t="n"/>
      <c r="GSV86" s="43" t="n"/>
      <c r="GSW86" s="43" t="n"/>
      <c r="GSX86" s="43" t="n"/>
      <c r="GSY86" s="43" t="n"/>
      <c r="GSZ86" s="43" t="n"/>
      <c r="GTA86" s="43" t="n"/>
      <c r="GTB86" s="43" t="n"/>
      <c r="GTC86" s="43" t="n"/>
      <c r="GTD86" s="43" t="n"/>
      <c r="GTE86" s="43" t="n"/>
      <c r="GTF86" s="43" t="n"/>
      <c r="GTG86" s="43" t="n"/>
      <c r="GTH86" s="43" t="n"/>
      <c r="GTI86" s="43" t="n"/>
      <c r="GTJ86" s="43" t="n"/>
      <c r="GTK86" s="43" t="n"/>
      <c r="GTL86" s="43" t="n"/>
      <c r="GTM86" s="43" t="n"/>
      <c r="GTN86" s="43" t="n"/>
      <c r="GTO86" s="43" t="n"/>
      <c r="GTP86" s="43" t="n"/>
      <c r="GTQ86" s="43" t="n"/>
      <c r="GTR86" s="43" t="n"/>
      <c r="GTS86" s="43" t="n"/>
      <c r="GTT86" s="43" t="n"/>
      <c r="GTU86" s="43" t="n"/>
      <c r="GTV86" s="43" t="n"/>
      <c r="GTW86" s="43" t="n"/>
      <c r="GTX86" s="43" t="n"/>
      <c r="GTY86" s="43" t="n"/>
      <c r="GTZ86" s="43" t="n"/>
      <c r="GUA86" s="43" t="n"/>
      <c r="GUB86" s="43" t="n"/>
      <c r="GUC86" s="43" t="n"/>
      <c r="GUD86" s="43" t="n"/>
      <c r="GUE86" s="43" t="n"/>
      <c r="GUF86" s="43" t="n"/>
      <c r="GUG86" s="43" t="n"/>
      <c r="GUH86" s="43" t="n"/>
      <c r="GUI86" s="43" t="n"/>
      <c r="GUJ86" s="43" t="n"/>
      <c r="GUK86" s="43" t="n"/>
      <c r="GUL86" s="43" t="n"/>
      <c r="GUM86" s="43" t="n"/>
      <c r="GUN86" s="43" t="n"/>
      <c r="GUO86" s="43" t="n"/>
      <c r="GUP86" s="43" t="n"/>
      <c r="GUQ86" s="43" t="n"/>
      <c r="GUR86" s="43" t="n"/>
      <c r="GUS86" s="43" t="n"/>
      <c r="GUT86" s="43" t="n"/>
      <c r="GUU86" s="43" t="n"/>
      <c r="GUV86" s="43" t="n"/>
      <c r="GUW86" s="43" t="n"/>
      <c r="GUX86" s="43" t="n"/>
      <c r="GUY86" s="43" t="n"/>
      <c r="GUZ86" s="43" t="n"/>
      <c r="GVA86" s="43" t="n"/>
      <c r="GVB86" s="43" t="n"/>
      <c r="GVC86" s="43" t="n"/>
      <c r="GVD86" s="43" t="n"/>
      <c r="GVE86" s="43" t="n"/>
      <c r="GVF86" s="43" t="n"/>
      <c r="GVG86" s="43" t="n"/>
      <c r="GVH86" s="43" t="n"/>
      <c r="GVI86" s="43" t="n"/>
      <c r="GVJ86" s="43" t="n"/>
      <c r="GVK86" s="43" t="n"/>
      <c r="GVL86" s="43" t="n"/>
      <c r="GVM86" s="43" t="n"/>
      <c r="GVN86" s="43" t="n"/>
      <c r="GVO86" s="43" t="n"/>
      <c r="GVP86" s="43" t="n"/>
      <c r="GVQ86" s="43" t="n"/>
      <c r="GVR86" s="43" t="n"/>
      <c r="GVS86" s="43" t="n"/>
      <c r="GVT86" s="43" t="n"/>
      <c r="GVU86" s="43" t="n"/>
      <c r="GVV86" s="43" t="n"/>
      <c r="GVW86" s="43" t="n"/>
      <c r="GVX86" s="43" t="n"/>
      <c r="GVY86" s="43" t="n"/>
      <c r="GVZ86" s="43" t="n"/>
      <c r="GWA86" s="43" t="n"/>
      <c r="GWB86" s="43" t="n"/>
      <c r="GWC86" s="43" t="n"/>
      <c r="GWD86" s="43" t="n"/>
      <c r="GWE86" s="43" t="n"/>
      <c r="GWF86" s="43" t="n"/>
      <c r="GWG86" s="43" t="n"/>
      <c r="GWH86" s="43" t="n"/>
      <c r="GWI86" s="43" t="n"/>
      <c r="GWJ86" s="43" t="n"/>
      <c r="GWK86" s="43" t="n"/>
      <c r="GWL86" s="43" t="n"/>
      <c r="GWM86" s="43" t="n"/>
      <c r="GWN86" s="43" t="n"/>
      <c r="GWO86" s="43" t="n"/>
      <c r="GWP86" s="43" t="n"/>
      <c r="GWQ86" s="43" t="n"/>
      <c r="GWR86" s="43" t="n"/>
      <c r="GWS86" s="43" t="n"/>
      <c r="GWT86" s="43" t="n"/>
      <c r="GWU86" s="43" t="n"/>
      <c r="GWV86" s="43" t="n"/>
      <c r="GWW86" s="43" t="n"/>
      <c r="GWX86" s="43" t="n"/>
      <c r="GWY86" s="43" t="n"/>
      <c r="GWZ86" s="43" t="n"/>
      <c r="GXA86" s="43" t="n"/>
      <c r="GXB86" s="43" t="n"/>
      <c r="GXC86" s="43" t="n"/>
      <c r="GXD86" s="43" t="n"/>
      <c r="GXE86" s="43" t="n"/>
      <c r="GXF86" s="43" t="n"/>
      <c r="GXG86" s="43" t="n"/>
      <c r="GXH86" s="43" t="n"/>
      <c r="GXI86" s="43" t="n"/>
      <c r="GXJ86" s="43" t="n"/>
      <c r="GXK86" s="43" t="n"/>
      <c r="GXL86" s="43" t="n"/>
      <c r="GXM86" s="43" t="n"/>
      <c r="GXN86" s="43" t="n"/>
      <c r="GXO86" s="43" t="n"/>
      <c r="GXP86" s="43" t="n"/>
      <c r="GXQ86" s="43" t="n"/>
      <c r="GXR86" s="43" t="n"/>
      <c r="GXS86" s="43" t="n"/>
      <c r="GXT86" s="43" t="n"/>
      <c r="GXU86" s="43" t="n"/>
      <c r="GXV86" s="43" t="n"/>
      <c r="GXW86" s="43" t="n"/>
      <c r="GXX86" s="43" t="n"/>
      <c r="GXY86" s="43" t="n"/>
      <c r="GXZ86" s="43" t="n"/>
      <c r="GYA86" s="43" t="n"/>
      <c r="GYB86" s="43" t="n"/>
      <c r="GYC86" s="43" t="n"/>
      <c r="GYD86" s="43" t="n"/>
      <c r="GYE86" s="43" t="n"/>
      <c r="GYF86" s="43" t="n"/>
      <c r="GYG86" s="43" t="n"/>
      <c r="GYH86" s="43" t="n"/>
      <c r="GYI86" s="43" t="n"/>
      <c r="GYJ86" s="43" t="n"/>
      <c r="GYK86" s="43" t="n"/>
      <c r="GYL86" s="43" t="n"/>
      <c r="GYM86" s="43" t="n"/>
      <c r="GYN86" s="43" t="n"/>
      <c r="GYO86" s="43" t="n"/>
      <c r="GYP86" s="43" t="n"/>
      <c r="GYQ86" s="43" t="n"/>
      <c r="GYR86" s="43" t="n"/>
      <c r="GYS86" s="43" t="n"/>
      <c r="GYT86" s="43" t="n"/>
      <c r="GYU86" s="43" t="n"/>
      <c r="GYV86" s="43" t="n"/>
      <c r="GYW86" s="43" t="n"/>
      <c r="GYX86" s="43" t="n"/>
      <c r="GYY86" s="43" t="n"/>
      <c r="GYZ86" s="43" t="n"/>
      <c r="GZA86" s="43" t="n"/>
      <c r="GZB86" s="43" t="n"/>
      <c r="GZC86" s="43" t="n"/>
      <c r="GZD86" s="43" t="n"/>
      <c r="GZE86" s="43" t="n"/>
      <c r="GZF86" s="43" t="n"/>
      <c r="GZG86" s="43" t="n"/>
      <c r="GZH86" s="43" t="n"/>
      <c r="GZI86" s="43" t="n"/>
      <c r="GZJ86" s="43" t="n"/>
      <c r="GZK86" s="43" t="n"/>
      <c r="GZL86" s="43" t="n"/>
      <c r="GZM86" s="43" t="n"/>
      <c r="GZN86" s="43" t="n"/>
      <c r="GZO86" s="43" t="n"/>
      <c r="GZP86" s="43" t="n"/>
      <c r="GZQ86" s="43" t="n"/>
      <c r="GZR86" s="43" t="n"/>
      <c r="GZS86" s="43" t="n"/>
      <c r="GZT86" s="43" t="n"/>
      <c r="GZU86" s="43" t="n"/>
      <c r="GZV86" s="43" t="n"/>
      <c r="GZW86" s="43" t="n"/>
      <c r="GZX86" s="43" t="n"/>
      <c r="GZY86" s="43" t="n"/>
      <c r="GZZ86" s="43" t="n"/>
      <c r="HAA86" s="43" t="n"/>
      <c r="HAB86" s="43" t="n"/>
      <c r="HAC86" s="43" t="n"/>
      <c r="HAD86" s="43" t="n"/>
      <c r="HAE86" s="43" t="n"/>
      <c r="HAF86" s="43" t="n"/>
      <c r="HAG86" s="43" t="n"/>
      <c r="HAH86" s="43" t="n"/>
      <c r="HAI86" s="43" t="n"/>
      <c r="HAJ86" s="43" t="n"/>
      <c r="HAK86" s="43" t="n"/>
      <c r="HAL86" s="43" t="n"/>
      <c r="HAM86" s="43" t="n"/>
      <c r="HAN86" s="43" t="n"/>
      <c r="HAO86" s="43" t="n"/>
      <c r="HAP86" s="43" t="n"/>
      <c r="HAQ86" s="43" t="n"/>
      <c r="HAR86" s="43" t="n"/>
      <c r="HAS86" s="43" t="n"/>
      <c r="HAT86" s="43" t="n"/>
      <c r="HAU86" s="43" t="n"/>
      <c r="HAV86" s="43" t="n"/>
      <c r="HAW86" s="43" t="n"/>
      <c r="HAX86" s="43" t="n"/>
      <c r="HAY86" s="43" t="n"/>
      <c r="HAZ86" s="43" t="n"/>
      <c r="HBA86" s="43" t="n"/>
      <c r="HBB86" s="43" t="n"/>
      <c r="HBC86" s="43" t="n"/>
      <c r="HBD86" s="43" t="n"/>
      <c r="HBE86" s="43" t="n"/>
      <c r="HBF86" s="43" t="n"/>
      <c r="HBG86" s="43" t="n"/>
      <c r="HBH86" s="43" t="n"/>
      <c r="HBI86" s="43" t="n"/>
      <c r="HBJ86" s="43" t="n"/>
      <c r="HBK86" s="43" t="n"/>
      <c r="HBL86" s="43" t="n"/>
      <c r="HBM86" s="43" t="n"/>
      <c r="HBN86" s="43" t="n"/>
      <c r="HBO86" s="43" t="n"/>
      <c r="HBP86" s="43" t="n"/>
      <c r="HBQ86" s="43" t="n"/>
      <c r="HBR86" s="43" t="n"/>
      <c r="HBS86" s="43" t="n"/>
      <c r="HBT86" s="43" t="n"/>
      <c r="HBU86" s="43" t="n"/>
      <c r="HBV86" s="43" t="n"/>
      <c r="HBW86" s="43" t="n"/>
      <c r="HBX86" s="43" t="n"/>
      <c r="HBY86" s="43" t="n"/>
      <c r="HBZ86" s="43" t="n"/>
      <c r="HCA86" s="43" t="n"/>
      <c r="HCB86" s="43" t="n"/>
      <c r="HCC86" s="43" t="n"/>
      <c r="HCD86" s="43" t="n"/>
      <c r="HCE86" s="43" t="n"/>
      <c r="HCF86" s="43" t="n"/>
      <c r="HCG86" s="43" t="n"/>
      <c r="HCH86" s="43" t="n"/>
      <c r="HCI86" s="43" t="n"/>
      <c r="HCJ86" s="43" t="n"/>
      <c r="HCK86" s="43" t="n"/>
      <c r="HCL86" s="43" t="n"/>
      <c r="HCM86" s="43" t="n"/>
      <c r="HCN86" s="43" t="n"/>
      <c r="HCO86" s="43" t="n"/>
      <c r="HCP86" s="43" t="n"/>
      <c r="HCQ86" s="43" t="n"/>
      <c r="HCR86" s="43" t="n"/>
      <c r="HCS86" s="43" t="n"/>
      <c r="HCT86" s="43" t="n"/>
      <c r="HCU86" s="43" t="n"/>
      <c r="HCV86" s="43" t="n"/>
      <c r="HCW86" s="43" t="n"/>
      <c r="HCX86" s="43" t="n"/>
      <c r="HCY86" s="43" t="n"/>
      <c r="HCZ86" s="43" t="n"/>
      <c r="HDA86" s="43" t="n"/>
      <c r="HDB86" s="43" t="n"/>
      <c r="HDC86" s="43" t="n"/>
      <c r="HDD86" s="43" t="n"/>
      <c r="HDE86" s="43" t="n"/>
      <c r="HDF86" s="43" t="n"/>
      <c r="HDG86" s="43" t="n"/>
      <c r="HDH86" s="43" t="n"/>
      <c r="HDI86" s="43" t="n"/>
      <c r="HDJ86" s="43" t="n"/>
      <c r="HDK86" s="43" t="n"/>
      <c r="HDL86" s="43" t="n"/>
      <c r="HDM86" s="43" t="n"/>
      <c r="HDN86" s="43" t="n"/>
      <c r="HDO86" s="43" t="n"/>
      <c r="HDP86" s="43" t="n"/>
      <c r="HDQ86" s="43" t="n"/>
      <c r="HDR86" s="43" t="n"/>
      <c r="HDS86" s="43" t="n"/>
      <c r="HDT86" s="43" t="n"/>
      <c r="HDU86" s="43" t="n"/>
      <c r="HDV86" s="43" t="n"/>
      <c r="HDW86" s="43" t="n"/>
      <c r="HDX86" s="43" t="n"/>
      <c r="HDY86" s="43" t="n"/>
      <c r="HDZ86" s="43" t="n"/>
      <c r="HEA86" s="43" t="n"/>
      <c r="HEB86" s="43" t="n"/>
      <c r="HEC86" s="43" t="n"/>
      <c r="HED86" s="43" t="n"/>
      <c r="HEE86" s="43" t="n"/>
      <c r="HEF86" s="43" t="n"/>
      <c r="HEG86" s="43" t="n"/>
      <c r="HEH86" s="43" t="n"/>
      <c r="HEI86" s="43" t="n"/>
      <c r="HEJ86" s="43" t="n"/>
      <c r="HEK86" s="43" t="n"/>
      <c r="HEL86" s="43" t="n"/>
      <c r="HEM86" s="43" t="n"/>
      <c r="HEN86" s="43" t="n"/>
      <c r="HEO86" s="43" t="n"/>
      <c r="HEP86" s="43" t="n"/>
      <c r="HEQ86" s="43" t="n"/>
      <c r="HER86" s="43" t="n"/>
      <c r="HES86" s="43" t="n"/>
      <c r="HET86" s="43" t="n"/>
      <c r="HEU86" s="43" t="n"/>
      <c r="HEV86" s="43" t="n"/>
      <c r="HEW86" s="43" t="n"/>
      <c r="HEX86" s="43" t="n"/>
      <c r="HEY86" s="43" t="n"/>
      <c r="HEZ86" s="43" t="n"/>
      <c r="HFA86" s="43" t="n"/>
      <c r="HFB86" s="43" t="n"/>
      <c r="HFC86" s="43" t="n"/>
      <c r="HFD86" s="43" t="n"/>
      <c r="HFE86" s="43" t="n"/>
      <c r="HFF86" s="43" t="n"/>
      <c r="HFG86" s="43" t="n"/>
      <c r="HFH86" s="43" t="n"/>
      <c r="HFI86" s="43" t="n"/>
      <c r="HFJ86" s="43" t="n"/>
      <c r="HFK86" s="43" t="n"/>
      <c r="HFL86" s="43" t="n"/>
      <c r="HFM86" s="43" t="n"/>
      <c r="HFN86" s="43" t="n"/>
      <c r="HFO86" s="43" t="n"/>
      <c r="HFP86" s="43" t="n"/>
      <c r="HFQ86" s="43" t="n"/>
      <c r="HFR86" s="43" t="n"/>
      <c r="HFS86" s="43" t="n"/>
      <c r="HFT86" s="43" t="n"/>
      <c r="HFU86" s="43" t="n"/>
      <c r="HFV86" s="43" t="n"/>
      <c r="HFW86" s="43" t="n"/>
      <c r="HFX86" s="43" t="n"/>
      <c r="HFY86" s="43" t="n"/>
      <c r="HFZ86" s="43" t="n"/>
      <c r="HGA86" s="43" t="n"/>
      <c r="HGB86" s="43" t="n"/>
      <c r="HGC86" s="43" t="n"/>
      <c r="HGD86" s="43" t="n"/>
      <c r="HGE86" s="43" t="n"/>
      <c r="HGF86" s="43" t="n"/>
      <c r="HGG86" s="43" t="n"/>
      <c r="HGH86" s="43" t="n"/>
      <c r="HGI86" s="43" t="n"/>
      <c r="HGJ86" s="43" t="n"/>
      <c r="HGK86" s="43" t="n"/>
      <c r="HGL86" s="43" t="n"/>
      <c r="HGM86" s="43" t="n"/>
      <c r="HGN86" s="43" t="n"/>
      <c r="HGO86" s="43" t="n"/>
      <c r="HGP86" s="43" t="n"/>
      <c r="HGQ86" s="43" t="n"/>
      <c r="HGR86" s="43" t="n"/>
      <c r="HGS86" s="43" t="n"/>
      <c r="HGT86" s="43" t="n"/>
      <c r="HGU86" s="43" t="n"/>
      <c r="HGV86" s="43" t="n"/>
      <c r="HGW86" s="43" t="n"/>
      <c r="HGX86" s="43" t="n"/>
      <c r="HGY86" s="43" t="n"/>
      <c r="HGZ86" s="43" t="n"/>
      <c r="HHA86" s="43" t="n"/>
      <c r="HHB86" s="43" t="n"/>
      <c r="HHC86" s="43" t="n"/>
      <c r="HHD86" s="43" t="n"/>
      <c r="HHE86" s="43" t="n"/>
      <c r="HHF86" s="43" t="n"/>
      <c r="HHG86" s="43" t="n"/>
      <c r="HHH86" s="43" t="n"/>
      <c r="HHI86" s="43" t="n"/>
      <c r="HHJ86" s="43" t="n"/>
      <c r="HHK86" s="43" t="n"/>
      <c r="HHL86" s="43" t="n"/>
      <c r="HHM86" s="43" t="n"/>
      <c r="HHN86" s="43" t="n"/>
      <c r="HHO86" s="43" t="n"/>
      <c r="HHP86" s="43" t="n"/>
      <c r="HHQ86" s="43" t="n"/>
      <c r="HHR86" s="43" t="n"/>
      <c r="HHS86" s="43" t="n"/>
      <c r="HHT86" s="43" t="n"/>
      <c r="HHU86" s="43" t="n"/>
      <c r="HHV86" s="43" t="n"/>
      <c r="HHW86" s="43" t="n"/>
      <c r="HHX86" s="43" t="n"/>
      <c r="HHY86" s="43" t="n"/>
      <c r="HHZ86" s="43" t="n"/>
      <c r="HIA86" s="43" t="n"/>
      <c r="HIB86" s="43" t="n"/>
      <c r="HIC86" s="43" t="n"/>
      <c r="HID86" s="43" t="n"/>
      <c r="HIE86" s="43" t="n"/>
      <c r="HIF86" s="43" t="n"/>
      <c r="HIG86" s="43" t="n"/>
      <c r="HIH86" s="43" t="n"/>
      <c r="HII86" s="43" t="n"/>
      <c r="HIJ86" s="43" t="n"/>
      <c r="HIK86" s="43" t="n"/>
      <c r="HIL86" s="43" t="n"/>
      <c r="HIM86" s="43" t="n"/>
      <c r="HIN86" s="43" t="n"/>
      <c r="HIO86" s="43" t="n"/>
      <c r="HIP86" s="43" t="n"/>
      <c r="HIQ86" s="43" t="n"/>
      <c r="HIR86" s="43" t="n"/>
      <c r="HIS86" s="43" t="n"/>
      <c r="HIT86" s="43" t="n"/>
      <c r="HIU86" s="43" t="n"/>
      <c r="HIV86" s="43" t="n"/>
      <c r="HIW86" s="43" t="n"/>
      <c r="HIX86" s="43" t="n"/>
      <c r="HIY86" s="43" t="n"/>
      <c r="HIZ86" s="43" t="n"/>
      <c r="HJA86" s="43" t="n"/>
      <c r="HJB86" s="43" t="n"/>
      <c r="HJC86" s="43" t="n"/>
      <c r="HJD86" s="43" t="n"/>
      <c r="HJE86" s="43" t="n"/>
      <c r="HJF86" s="43" t="n"/>
      <c r="HJG86" s="43" t="n"/>
      <c r="HJH86" s="43" t="n"/>
      <c r="HJI86" s="43" t="n"/>
      <c r="HJJ86" s="43" t="n"/>
      <c r="HJK86" s="43" t="n"/>
      <c r="HJL86" s="43" t="n"/>
      <c r="HJM86" s="43" t="n"/>
      <c r="HJN86" s="43" t="n"/>
      <c r="HJO86" s="43" t="n"/>
      <c r="HJP86" s="43" t="n"/>
      <c r="HJQ86" s="43" t="n"/>
      <c r="HJR86" s="43" t="n"/>
      <c r="HJS86" s="43" t="n"/>
      <c r="HJT86" s="43" t="n"/>
      <c r="HJU86" s="43" t="n"/>
      <c r="HJV86" s="43" t="n"/>
      <c r="HJW86" s="43" t="n"/>
      <c r="HJX86" s="43" t="n"/>
      <c r="HJY86" s="43" t="n"/>
      <c r="HJZ86" s="43" t="n"/>
      <c r="HKA86" s="43" t="n"/>
      <c r="HKB86" s="43" t="n"/>
      <c r="HKC86" s="43" t="n"/>
      <c r="HKD86" s="43" t="n"/>
      <c r="HKE86" s="43" t="n"/>
      <c r="HKF86" s="43" t="n"/>
      <c r="HKG86" s="43" t="n"/>
      <c r="HKH86" s="43" t="n"/>
      <c r="HKI86" s="43" t="n"/>
      <c r="HKJ86" s="43" t="n"/>
      <c r="HKK86" s="43" t="n"/>
      <c r="HKL86" s="43" t="n"/>
      <c r="HKM86" s="43" t="n"/>
      <c r="HKN86" s="43" t="n"/>
      <c r="HKO86" s="43" t="n"/>
      <c r="HKP86" s="43" t="n"/>
      <c r="HKQ86" s="43" t="n"/>
      <c r="HKR86" s="43" t="n"/>
      <c r="HKS86" s="43" t="n"/>
      <c r="HKT86" s="43" t="n"/>
      <c r="HKU86" s="43" t="n"/>
      <c r="HKV86" s="43" t="n"/>
      <c r="HKW86" s="43" t="n"/>
      <c r="HKX86" s="43" t="n"/>
      <c r="HKY86" s="43" t="n"/>
      <c r="HKZ86" s="43" t="n"/>
      <c r="HLA86" s="43" t="n"/>
      <c r="HLB86" s="43" t="n"/>
      <c r="HLC86" s="43" t="n"/>
      <c r="HLD86" s="43" t="n"/>
      <c r="HLE86" s="43" t="n"/>
      <c r="HLF86" s="43" t="n"/>
      <c r="HLG86" s="43" t="n"/>
      <c r="HLH86" s="43" t="n"/>
      <c r="HLI86" s="43" t="n"/>
      <c r="HLJ86" s="43" t="n"/>
      <c r="HLK86" s="43" t="n"/>
      <c r="HLL86" s="43" t="n"/>
      <c r="HLM86" s="43" t="n"/>
      <c r="HLN86" s="43" t="n"/>
      <c r="HLO86" s="43" t="n"/>
      <c r="HLP86" s="43" t="n"/>
      <c r="HLQ86" s="43" t="n"/>
      <c r="HLR86" s="43" t="n"/>
      <c r="HLS86" s="43" t="n"/>
      <c r="HLT86" s="43" t="n"/>
      <c r="HLU86" s="43" t="n"/>
      <c r="HLV86" s="43" t="n"/>
      <c r="HLW86" s="43" t="n"/>
      <c r="HLX86" s="43" t="n"/>
      <c r="HLY86" s="43" t="n"/>
      <c r="HLZ86" s="43" t="n"/>
      <c r="HMA86" s="43" t="n"/>
      <c r="HMB86" s="43" t="n"/>
      <c r="HMC86" s="43" t="n"/>
      <c r="HMD86" s="43" t="n"/>
      <c r="HME86" s="43" t="n"/>
      <c r="HMF86" s="43" t="n"/>
      <c r="HMG86" s="43" t="n"/>
      <c r="HMH86" s="43" t="n"/>
      <c r="HMI86" s="43" t="n"/>
      <c r="HMJ86" s="43" t="n"/>
      <c r="HMK86" s="43" t="n"/>
      <c r="HML86" s="43" t="n"/>
      <c r="HMM86" s="43" t="n"/>
      <c r="HMN86" s="43" t="n"/>
      <c r="HMO86" s="43" t="n"/>
      <c r="HMP86" s="43" t="n"/>
      <c r="HMQ86" s="43" t="n"/>
      <c r="HMR86" s="43" t="n"/>
      <c r="HMS86" s="43" t="n"/>
      <c r="HMT86" s="43" t="n"/>
      <c r="HMU86" s="43" t="n"/>
      <c r="HMV86" s="43" t="n"/>
      <c r="HMW86" s="43" t="n"/>
      <c r="HMX86" s="43" t="n"/>
      <c r="HMY86" s="43" t="n"/>
      <c r="HMZ86" s="43" t="n"/>
      <c r="HNA86" s="43" t="n"/>
      <c r="HNB86" s="43" t="n"/>
      <c r="HNC86" s="43" t="n"/>
      <c r="HND86" s="43" t="n"/>
      <c r="HNE86" s="43" t="n"/>
      <c r="HNF86" s="43" t="n"/>
      <c r="HNG86" s="43" t="n"/>
      <c r="HNH86" s="43" t="n"/>
      <c r="HNI86" s="43" t="n"/>
      <c r="HNJ86" s="43" t="n"/>
      <c r="HNK86" s="43" t="n"/>
      <c r="HNL86" s="43" t="n"/>
      <c r="HNM86" s="43" t="n"/>
      <c r="HNN86" s="43" t="n"/>
      <c r="HNO86" s="43" t="n"/>
      <c r="HNP86" s="43" t="n"/>
      <c r="HNQ86" s="43" t="n"/>
      <c r="HNR86" s="43" t="n"/>
      <c r="HNS86" s="43" t="n"/>
      <c r="HNT86" s="43" t="n"/>
      <c r="HNU86" s="43" t="n"/>
      <c r="HNV86" s="43" t="n"/>
      <c r="HNW86" s="43" t="n"/>
      <c r="HNX86" s="43" t="n"/>
      <c r="HNY86" s="43" t="n"/>
      <c r="HNZ86" s="43" t="n"/>
      <c r="HOA86" s="43" t="n"/>
      <c r="HOB86" s="43" t="n"/>
      <c r="HOC86" s="43" t="n"/>
      <c r="HOD86" s="43" t="n"/>
      <c r="HOE86" s="43" t="n"/>
      <c r="HOF86" s="43" t="n"/>
      <c r="HOG86" s="43" t="n"/>
      <c r="HOH86" s="43" t="n"/>
      <c r="HOI86" s="43" t="n"/>
      <c r="HOJ86" s="43" t="n"/>
      <c r="HOK86" s="43" t="n"/>
      <c r="HOL86" s="43" t="n"/>
      <c r="HOM86" s="43" t="n"/>
      <c r="HON86" s="43" t="n"/>
      <c r="HOO86" s="43" t="n"/>
      <c r="HOP86" s="43" t="n"/>
      <c r="HOQ86" s="43" t="n"/>
      <c r="HOR86" s="43" t="n"/>
      <c r="HOS86" s="43" t="n"/>
      <c r="HOT86" s="43" t="n"/>
      <c r="HOU86" s="43" t="n"/>
      <c r="HOV86" s="43" t="n"/>
      <c r="HOW86" s="43" t="n"/>
      <c r="HOX86" s="43" t="n"/>
      <c r="HOY86" s="43" t="n"/>
      <c r="HOZ86" s="43" t="n"/>
      <c r="HPA86" s="43" t="n"/>
      <c r="HPB86" s="43" t="n"/>
      <c r="HPC86" s="43" t="n"/>
      <c r="HPD86" s="43" t="n"/>
      <c r="HPE86" s="43" t="n"/>
      <c r="HPF86" s="43" t="n"/>
      <c r="HPG86" s="43" t="n"/>
      <c r="HPH86" s="43" t="n"/>
      <c r="HPI86" s="43" t="n"/>
      <c r="HPJ86" s="43" t="n"/>
      <c r="HPK86" s="43" t="n"/>
      <c r="HPL86" s="43" t="n"/>
      <c r="HPM86" s="43" t="n"/>
      <c r="HPN86" s="43" t="n"/>
      <c r="HPO86" s="43" t="n"/>
      <c r="HPP86" s="43" t="n"/>
      <c r="HPQ86" s="43" t="n"/>
      <c r="HPR86" s="43" t="n"/>
      <c r="HPS86" s="43" t="n"/>
      <c r="HPT86" s="43" t="n"/>
      <c r="HPU86" s="43" t="n"/>
      <c r="HPV86" s="43" t="n"/>
      <c r="HPW86" s="43" t="n"/>
      <c r="HPX86" s="43" t="n"/>
      <c r="HPY86" s="43" t="n"/>
      <c r="HPZ86" s="43" t="n"/>
      <c r="HQA86" s="43" t="n"/>
      <c r="HQB86" s="43" t="n"/>
      <c r="HQC86" s="43" t="n"/>
      <c r="HQD86" s="43" t="n"/>
      <c r="HQE86" s="43" t="n"/>
      <c r="HQF86" s="43" t="n"/>
      <c r="HQG86" s="43" t="n"/>
      <c r="HQH86" s="43" t="n"/>
      <c r="HQI86" s="43" t="n"/>
      <c r="HQJ86" s="43" t="n"/>
      <c r="HQK86" s="43" t="n"/>
      <c r="HQL86" s="43" t="n"/>
      <c r="HQM86" s="43" t="n"/>
      <c r="HQN86" s="43" t="n"/>
      <c r="HQO86" s="43" t="n"/>
      <c r="HQP86" s="43" t="n"/>
      <c r="HQQ86" s="43" t="n"/>
      <c r="HQR86" s="43" t="n"/>
      <c r="HQS86" s="43" t="n"/>
      <c r="HQT86" s="43" t="n"/>
      <c r="HQU86" s="43" t="n"/>
      <c r="HQV86" s="43" t="n"/>
      <c r="HQW86" s="43" t="n"/>
      <c r="HQX86" s="43" t="n"/>
      <c r="HQY86" s="43" t="n"/>
      <c r="HQZ86" s="43" t="n"/>
      <c r="HRA86" s="43" t="n"/>
      <c r="HRB86" s="43" t="n"/>
      <c r="HRC86" s="43" t="n"/>
      <c r="HRD86" s="43" t="n"/>
      <c r="HRE86" s="43" t="n"/>
      <c r="HRF86" s="43" t="n"/>
      <c r="HRG86" s="43" t="n"/>
      <c r="HRH86" s="43" t="n"/>
      <c r="HRI86" s="43" t="n"/>
      <c r="HRJ86" s="43" t="n"/>
      <c r="HRK86" s="43" t="n"/>
      <c r="HRL86" s="43" t="n"/>
      <c r="HRM86" s="43" t="n"/>
      <c r="HRN86" s="43" t="n"/>
      <c r="HRO86" s="43" t="n"/>
      <c r="HRP86" s="43" t="n"/>
      <c r="HRQ86" s="43" t="n"/>
      <c r="HRR86" s="43" t="n"/>
      <c r="HRS86" s="43" t="n"/>
      <c r="HRT86" s="43" t="n"/>
      <c r="HRU86" s="43" t="n"/>
      <c r="HRV86" s="43" t="n"/>
      <c r="HRW86" s="43" t="n"/>
      <c r="HRX86" s="43" t="n"/>
      <c r="HRY86" s="43" t="n"/>
      <c r="HRZ86" s="43" t="n"/>
      <c r="HSA86" s="43" t="n"/>
      <c r="HSB86" s="43" t="n"/>
      <c r="HSC86" s="43" t="n"/>
      <c r="HSD86" s="43" t="n"/>
      <c r="HSE86" s="43" t="n"/>
      <c r="HSF86" s="43" t="n"/>
      <c r="HSG86" s="43" t="n"/>
      <c r="HSH86" s="43" t="n"/>
      <c r="HSI86" s="43" t="n"/>
      <c r="HSJ86" s="43" t="n"/>
      <c r="HSK86" s="43" t="n"/>
      <c r="HSL86" s="43" t="n"/>
      <c r="HSM86" s="43" t="n"/>
      <c r="HSN86" s="43" t="n"/>
      <c r="HSO86" s="43" t="n"/>
      <c r="HSP86" s="43" t="n"/>
      <c r="HSQ86" s="43" t="n"/>
      <c r="HSR86" s="43" t="n"/>
      <c r="HSS86" s="43" t="n"/>
      <c r="HST86" s="43" t="n"/>
      <c r="HSU86" s="43" t="n"/>
      <c r="HSV86" s="43" t="n"/>
      <c r="HSW86" s="43" t="n"/>
      <c r="HSX86" s="43" t="n"/>
      <c r="HSY86" s="43" t="n"/>
      <c r="HSZ86" s="43" t="n"/>
      <c r="HTA86" s="43" t="n"/>
      <c r="HTB86" s="43" t="n"/>
      <c r="HTC86" s="43" t="n"/>
      <c r="HTD86" s="43" t="n"/>
      <c r="HTE86" s="43" t="n"/>
      <c r="HTF86" s="43" t="n"/>
      <c r="HTG86" s="43" t="n"/>
      <c r="HTH86" s="43" t="n"/>
      <c r="HTI86" s="43" t="n"/>
      <c r="HTJ86" s="43" t="n"/>
      <c r="HTK86" s="43" t="n"/>
      <c r="HTL86" s="43" t="n"/>
      <c r="HTM86" s="43" t="n"/>
      <c r="HTN86" s="43" t="n"/>
      <c r="HTO86" s="43" t="n"/>
      <c r="HTP86" s="43" t="n"/>
      <c r="HTQ86" s="43" t="n"/>
      <c r="HTR86" s="43" t="n"/>
      <c r="HTS86" s="43" t="n"/>
      <c r="HTT86" s="43" t="n"/>
      <c r="HTU86" s="43" t="n"/>
      <c r="HTV86" s="43" t="n"/>
      <c r="HTW86" s="43" t="n"/>
      <c r="HTX86" s="43" t="n"/>
      <c r="HTY86" s="43" t="n"/>
      <c r="HTZ86" s="43" t="n"/>
      <c r="HUA86" s="43" t="n"/>
      <c r="HUB86" s="43" t="n"/>
      <c r="HUC86" s="43" t="n"/>
      <c r="HUD86" s="43" t="n"/>
      <c r="HUE86" s="43" t="n"/>
      <c r="HUF86" s="43" t="n"/>
      <c r="HUG86" s="43" t="n"/>
      <c r="HUH86" s="43" t="n"/>
      <c r="HUI86" s="43" t="n"/>
      <c r="HUJ86" s="43" t="n"/>
      <c r="HUK86" s="43" t="n"/>
      <c r="HUL86" s="43" t="n"/>
      <c r="HUM86" s="43" t="n"/>
      <c r="HUN86" s="43" t="n"/>
      <c r="HUO86" s="43" t="n"/>
      <c r="HUP86" s="43" t="n"/>
      <c r="HUQ86" s="43" t="n"/>
      <c r="HUR86" s="43" t="n"/>
      <c r="HUS86" s="43" t="n"/>
      <c r="HUT86" s="43" t="n"/>
      <c r="HUU86" s="43" t="n"/>
      <c r="HUV86" s="43" t="n"/>
      <c r="HUW86" s="43" t="n"/>
      <c r="HUX86" s="43" t="n"/>
      <c r="HUY86" s="43" t="n"/>
      <c r="HUZ86" s="43" t="n"/>
      <c r="HVA86" s="43" t="n"/>
      <c r="HVB86" s="43" t="n"/>
      <c r="HVC86" s="43" t="n"/>
      <c r="HVD86" s="43" t="n"/>
      <c r="HVE86" s="43" t="n"/>
      <c r="HVF86" s="43" t="n"/>
      <c r="HVG86" s="43" t="n"/>
      <c r="HVH86" s="43" t="n"/>
      <c r="HVI86" s="43" t="n"/>
      <c r="HVJ86" s="43" t="n"/>
      <c r="HVK86" s="43" t="n"/>
      <c r="HVL86" s="43" t="n"/>
      <c r="HVM86" s="43" t="n"/>
      <c r="HVN86" s="43" t="n"/>
      <c r="HVO86" s="43" t="n"/>
      <c r="HVP86" s="43" t="n"/>
      <c r="HVQ86" s="43" t="n"/>
      <c r="HVR86" s="43" t="n"/>
      <c r="HVS86" s="43" t="n"/>
      <c r="HVT86" s="43" t="n"/>
      <c r="HVU86" s="43" t="n"/>
      <c r="HVV86" s="43" t="n"/>
      <c r="HVW86" s="43" t="n"/>
      <c r="HVX86" s="43" t="n"/>
      <c r="HVY86" s="43" t="n"/>
      <c r="HVZ86" s="43" t="n"/>
      <c r="HWA86" s="43" t="n"/>
      <c r="HWB86" s="43" t="n"/>
      <c r="HWC86" s="43" t="n"/>
      <c r="HWD86" s="43" t="n"/>
      <c r="HWE86" s="43" t="n"/>
      <c r="HWF86" s="43" t="n"/>
      <c r="HWG86" s="43" t="n"/>
      <c r="HWH86" s="43" t="n"/>
      <c r="HWI86" s="43" t="n"/>
      <c r="HWJ86" s="43" t="n"/>
      <c r="HWK86" s="43" t="n"/>
      <c r="HWL86" s="43" t="n"/>
      <c r="HWM86" s="43" t="n"/>
      <c r="HWN86" s="43" t="n"/>
      <c r="HWO86" s="43" t="n"/>
      <c r="HWP86" s="43" t="n"/>
      <c r="HWQ86" s="43" t="n"/>
      <c r="HWR86" s="43" t="n"/>
      <c r="HWS86" s="43" t="n"/>
      <c r="HWT86" s="43" t="n"/>
      <c r="HWU86" s="43" t="n"/>
      <c r="HWV86" s="43" t="n"/>
      <c r="HWW86" s="43" t="n"/>
      <c r="HWX86" s="43" t="n"/>
      <c r="HWY86" s="43" t="n"/>
      <c r="HWZ86" s="43" t="n"/>
      <c r="HXA86" s="43" t="n"/>
      <c r="HXB86" s="43" t="n"/>
      <c r="HXC86" s="43" t="n"/>
      <c r="HXD86" s="43" t="n"/>
      <c r="HXE86" s="43" t="n"/>
      <c r="HXF86" s="43" t="n"/>
      <c r="HXG86" s="43" t="n"/>
      <c r="HXH86" s="43" t="n"/>
      <c r="HXI86" s="43" t="n"/>
      <c r="HXJ86" s="43" t="n"/>
      <c r="HXK86" s="43" t="n"/>
      <c r="HXL86" s="43" t="n"/>
      <c r="HXM86" s="43" t="n"/>
      <c r="HXN86" s="43" t="n"/>
      <c r="HXO86" s="43" t="n"/>
      <c r="HXP86" s="43" t="n"/>
      <c r="HXQ86" s="43" t="n"/>
      <c r="HXR86" s="43" t="n"/>
      <c r="HXS86" s="43" t="n"/>
      <c r="HXT86" s="43" t="n"/>
      <c r="HXU86" s="43" t="n"/>
      <c r="HXV86" s="43" t="n"/>
      <c r="HXW86" s="43" t="n"/>
      <c r="HXX86" s="43" t="n"/>
      <c r="HXY86" s="43" t="n"/>
      <c r="HXZ86" s="43" t="n"/>
      <c r="HYA86" s="43" t="n"/>
      <c r="HYB86" s="43" t="n"/>
      <c r="HYC86" s="43" t="n"/>
      <c r="HYD86" s="43" t="n"/>
      <c r="HYE86" s="43" t="n"/>
      <c r="HYF86" s="43" t="n"/>
      <c r="HYG86" s="43" t="n"/>
      <c r="HYH86" s="43" t="n"/>
      <c r="HYI86" s="43" t="n"/>
      <c r="HYJ86" s="43" t="n"/>
      <c r="HYK86" s="43" t="n"/>
      <c r="HYL86" s="43" t="n"/>
      <c r="HYM86" s="43" t="n"/>
      <c r="HYN86" s="43" t="n"/>
      <c r="HYO86" s="43" t="n"/>
      <c r="HYP86" s="43" t="n"/>
      <c r="HYQ86" s="43" t="n"/>
      <c r="HYR86" s="43" t="n"/>
      <c r="HYS86" s="43" t="n"/>
      <c r="HYT86" s="43" t="n"/>
      <c r="HYU86" s="43" t="n"/>
      <c r="HYV86" s="43" t="n"/>
      <c r="HYW86" s="43" t="n"/>
      <c r="HYX86" s="43" t="n"/>
      <c r="HYY86" s="43" t="n"/>
      <c r="HYZ86" s="43" t="n"/>
      <c r="HZA86" s="43" t="n"/>
      <c r="HZB86" s="43" t="n"/>
      <c r="HZC86" s="43" t="n"/>
      <c r="HZD86" s="43" t="n"/>
      <c r="HZE86" s="43" t="n"/>
      <c r="HZF86" s="43" t="n"/>
      <c r="HZG86" s="43" t="n"/>
      <c r="HZH86" s="43" t="n"/>
      <c r="HZI86" s="43" t="n"/>
      <c r="HZJ86" s="43" t="n"/>
      <c r="HZK86" s="43" t="n"/>
      <c r="HZL86" s="43" t="n"/>
      <c r="HZM86" s="43" t="n"/>
      <c r="HZN86" s="43" t="n"/>
      <c r="HZO86" s="43" t="n"/>
      <c r="HZP86" s="43" t="n"/>
      <c r="HZQ86" s="43" t="n"/>
      <c r="HZR86" s="43" t="n"/>
      <c r="HZS86" s="43" t="n"/>
      <c r="HZT86" s="43" t="n"/>
      <c r="HZU86" s="43" t="n"/>
      <c r="HZV86" s="43" t="n"/>
      <c r="HZW86" s="43" t="n"/>
      <c r="HZX86" s="43" t="n"/>
      <c r="HZY86" s="43" t="n"/>
      <c r="HZZ86" s="43" t="n"/>
      <c r="IAA86" s="43" t="n"/>
      <c r="IAB86" s="43" t="n"/>
      <c r="IAC86" s="43" t="n"/>
      <c r="IAD86" s="43" t="n"/>
      <c r="IAE86" s="43" t="n"/>
      <c r="IAF86" s="43" t="n"/>
      <c r="IAG86" s="43" t="n"/>
      <c r="IAH86" s="43" t="n"/>
      <c r="IAI86" s="43" t="n"/>
      <c r="IAJ86" s="43" t="n"/>
      <c r="IAK86" s="43" t="n"/>
      <c r="IAL86" s="43" t="n"/>
      <c r="IAM86" s="43" t="n"/>
      <c r="IAN86" s="43" t="n"/>
      <c r="IAO86" s="43" t="n"/>
      <c r="IAP86" s="43" t="n"/>
      <c r="IAQ86" s="43" t="n"/>
      <c r="IAR86" s="43" t="n"/>
      <c r="IAS86" s="43" t="n"/>
      <c r="IAT86" s="43" t="n"/>
      <c r="IAU86" s="43" t="n"/>
      <c r="IAV86" s="43" t="n"/>
      <c r="IAW86" s="43" t="n"/>
      <c r="IAX86" s="43" t="n"/>
      <c r="IAY86" s="43" t="n"/>
      <c r="IAZ86" s="43" t="n"/>
      <c r="IBA86" s="43" t="n"/>
      <c r="IBB86" s="43" t="n"/>
      <c r="IBC86" s="43" t="n"/>
      <c r="IBD86" s="43" t="n"/>
      <c r="IBE86" s="43" t="n"/>
      <c r="IBF86" s="43" t="n"/>
      <c r="IBG86" s="43" t="n"/>
      <c r="IBH86" s="43" t="n"/>
      <c r="IBI86" s="43" t="n"/>
      <c r="IBJ86" s="43" t="n"/>
      <c r="IBK86" s="43" t="n"/>
      <c r="IBL86" s="43" t="n"/>
      <c r="IBM86" s="43" t="n"/>
      <c r="IBN86" s="43" t="n"/>
      <c r="IBO86" s="43" t="n"/>
      <c r="IBP86" s="43" t="n"/>
      <c r="IBQ86" s="43" t="n"/>
      <c r="IBR86" s="43" t="n"/>
      <c r="IBS86" s="43" t="n"/>
      <c r="IBT86" s="43" t="n"/>
      <c r="IBU86" s="43" t="n"/>
      <c r="IBV86" s="43" t="n"/>
      <c r="IBW86" s="43" t="n"/>
      <c r="IBX86" s="43" t="n"/>
      <c r="IBY86" s="43" t="n"/>
      <c r="IBZ86" s="43" t="n"/>
      <c r="ICA86" s="43" t="n"/>
      <c r="ICB86" s="43" t="n"/>
      <c r="ICC86" s="43" t="n"/>
      <c r="ICD86" s="43" t="n"/>
      <c r="ICE86" s="43" t="n"/>
      <c r="ICF86" s="43" t="n"/>
      <c r="ICG86" s="43" t="n"/>
      <c r="ICH86" s="43" t="n"/>
      <c r="ICI86" s="43" t="n"/>
      <c r="ICJ86" s="43" t="n"/>
      <c r="ICK86" s="43" t="n"/>
      <c r="ICL86" s="43" t="n"/>
      <c r="ICM86" s="43" t="n"/>
      <c r="ICN86" s="43" t="n"/>
      <c r="ICO86" s="43" t="n"/>
      <c r="ICP86" s="43" t="n"/>
      <c r="ICQ86" s="43" t="n"/>
      <c r="ICR86" s="43" t="n"/>
      <c r="ICS86" s="43" t="n"/>
      <c r="ICT86" s="43" t="n"/>
      <c r="ICU86" s="43" t="n"/>
      <c r="ICV86" s="43" t="n"/>
      <c r="ICW86" s="43" t="n"/>
      <c r="ICX86" s="43" t="n"/>
      <c r="ICY86" s="43" t="n"/>
      <c r="ICZ86" s="43" t="n"/>
      <c r="IDA86" s="43" t="n"/>
      <c r="IDB86" s="43" t="n"/>
      <c r="IDC86" s="43" t="n"/>
      <c r="IDD86" s="43" t="n"/>
      <c r="IDE86" s="43" t="n"/>
      <c r="IDF86" s="43" t="n"/>
      <c r="IDG86" s="43" t="n"/>
      <c r="IDH86" s="43" t="n"/>
      <c r="IDI86" s="43" t="n"/>
      <c r="IDJ86" s="43" t="n"/>
      <c r="IDK86" s="43" t="n"/>
      <c r="IDL86" s="43" t="n"/>
      <c r="IDM86" s="43" t="n"/>
      <c r="IDN86" s="43" t="n"/>
      <c r="IDO86" s="43" t="n"/>
      <c r="IDP86" s="43" t="n"/>
      <c r="IDQ86" s="43" t="n"/>
      <c r="IDR86" s="43" t="n"/>
      <c r="IDS86" s="43" t="n"/>
      <c r="IDT86" s="43" t="n"/>
      <c r="IDU86" s="43" t="n"/>
      <c r="IDV86" s="43" t="n"/>
      <c r="IDW86" s="43" t="n"/>
      <c r="IDX86" s="43" t="n"/>
      <c r="IDY86" s="43" t="n"/>
      <c r="IDZ86" s="43" t="n"/>
      <c r="IEA86" s="43" t="n"/>
      <c r="IEB86" s="43" t="n"/>
      <c r="IEC86" s="43" t="n"/>
      <c r="IED86" s="43" t="n"/>
      <c r="IEE86" s="43" t="n"/>
      <c r="IEF86" s="43" t="n"/>
      <c r="IEG86" s="43" t="n"/>
      <c r="IEH86" s="43" t="n"/>
      <c r="IEI86" s="43" t="n"/>
      <c r="IEJ86" s="43" t="n"/>
      <c r="IEK86" s="43" t="n"/>
      <c r="IEL86" s="43" t="n"/>
      <c r="IEM86" s="43" t="n"/>
      <c r="IEN86" s="43" t="n"/>
      <c r="IEO86" s="43" t="n"/>
      <c r="IEP86" s="43" t="n"/>
      <c r="IEQ86" s="43" t="n"/>
      <c r="IER86" s="43" t="n"/>
      <c r="IES86" s="43" t="n"/>
      <c r="IET86" s="43" t="n"/>
      <c r="IEU86" s="43" t="n"/>
      <c r="IEV86" s="43" t="n"/>
      <c r="IEW86" s="43" t="n"/>
      <c r="IEX86" s="43" t="n"/>
      <c r="IEY86" s="43" t="n"/>
      <c r="IEZ86" s="43" t="n"/>
      <c r="IFA86" s="43" t="n"/>
      <c r="IFB86" s="43" t="n"/>
      <c r="IFC86" s="43" t="n"/>
      <c r="IFD86" s="43" t="n"/>
      <c r="IFE86" s="43" t="n"/>
      <c r="IFF86" s="43" t="n"/>
      <c r="IFG86" s="43" t="n"/>
      <c r="IFH86" s="43" t="n"/>
      <c r="IFI86" s="43" t="n"/>
      <c r="IFJ86" s="43" t="n"/>
      <c r="IFK86" s="43" t="n"/>
      <c r="IFL86" s="43" t="n"/>
      <c r="IFM86" s="43" t="n"/>
      <c r="IFN86" s="43" t="n"/>
      <c r="IFO86" s="43" t="n"/>
      <c r="IFP86" s="43" t="n"/>
      <c r="IFQ86" s="43" t="n"/>
      <c r="IFR86" s="43" t="n"/>
      <c r="IFS86" s="43" t="n"/>
      <c r="IFT86" s="43" t="n"/>
      <c r="IFU86" s="43" t="n"/>
      <c r="IFV86" s="43" t="n"/>
      <c r="IFW86" s="43" t="n"/>
      <c r="IFX86" s="43" t="n"/>
      <c r="IFY86" s="43" t="n"/>
      <c r="IFZ86" s="43" t="n"/>
      <c r="IGA86" s="43" t="n"/>
      <c r="IGB86" s="43" t="n"/>
      <c r="IGC86" s="43" t="n"/>
      <c r="IGD86" s="43" t="n"/>
      <c r="IGE86" s="43" t="n"/>
      <c r="IGF86" s="43" t="n"/>
      <c r="IGG86" s="43" t="n"/>
      <c r="IGH86" s="43" t="n"/>
      <c r="IGI86" s="43" t="n"/>
      <c r="IGJ86" s="43" t="n"/>
      <c r="IGK86" s="43" t="n"/>
      <c r="IGL86" s="43" t="n"/>
      <c r="IGM86" s="43" t="n"/>
      <c r="IGN86" s="43" t="n"/>
      <c r="IGO86" s="43" t="n"/>
      <c r="IGP86" s="43" t="n"/>
      <c r="IGQ86" s="43" t="n"/>
      <c r="IGR86" s="43" t="n"/>
      <c r="IGS86" s="43" t="n"/>
      <c r="IGT86" s="43" t="n"/>
      <c r="IGU86" s="43" t="n"/>
      <c r="IGV86" s="43" t="n"/>
      <c r="IGW86" s="43" t="n"/>
      <c r="IGX86" s="43" t="n"/>
      <c r="IGY86" s="43" t="n"/>
      <c r="IGZ86" s="43" t="n"/>
      <c r="IHA86" s="43" t="n"/>
      <c r="IHB86" s="43" t="n"/>
      <c r="IHC86" s="43" t="n"/>
      <c r="IHD86" s="43" t="n"/>
      <c r="IHE86" s="43" t="n"/>
      <c r="IHF86" s="43" t="n"/>
      <c r="IHG86" s="43" t="n"/>
      <c r="IHH86" s="43" t="n"/>
      <c r="IHI86" s="43" t="n"/>
      <c r="IHJ86" s="43" t="n"/>
      <c r="IHK86" s="43" t="n"/>
      <c r="IHL86" s="43" t="n"/>
      <c r="IHM86" s="43" t="n"/>
      <c r="IHN86" s="43" t="n"/>
      <c r="IHO86" s="43" t="n"/>
      <c r="IHP86" s="43" t="n"/>
      <c r="IHQ86" s="43" t="n"/>
      <c r="IHR86" s="43" t="n"/>
      <c r="IHS86" s="43" t="n"/>
      <c r="IHT86" s="43" t="n"/>
      <c r="IHU86" s="43" t="n"/>
      <c r="IHV86" s="43" t="n"/>
      <c r="IHW86" s="43" t="n"/>
      <c r="IHX86" s="43" t="n"/>
      <c r="IHY86" s="43" t="n"/>
      <c r="IHZ86" s="43" t="n"/>
      <c r="IIA86" s="43" t="n"/>
      <c r="IIB86" s="43" t="n"/>
      <c r="IIC86" s="43" t="n"/>
      <c r="IID86" s="43" t="n"/>
      <c r="IIE86" s="43" t="n"/>
      <c r="IIF86" s="43" t="n"/>
      <c r="IIG86" s="43" t="n"/>
      <c r="IIH86" s="43" t="n"/>
      <c r="III86" s="43" t="n"/>
      <c r="IIJ86" s="43" t="n"/>
      <c r="IIK86" s="43" t="n"/>
      <c r="IIL86" s="43" t="n"/>
      <c r="IIM86" s="43" t="n"/>
      <c r="IIN86" s="43" t="n"/>
      <c r="IIO86" s="43" t="n"/>
      <c r="IIP86" s="43" t="n"/>
      <c r="IIQ86" s="43" t="n"/>
      <c r="IIR86" s="43" t="n"/>
      <c r="IIS86" s="43" t="n"/>
      <c r="IIT86" s="43" t="n"/>
      <c r="IIU86" s="43" t="n"/>
      <c r="IIV86" s="43" t="n"/>
      <c r="IIW86" s="43" t="n"/>
      <c r="IIX86" s="43" t="n"/>
      <c r="IIY86" s="43" t="n"/>
      <c r="IIZ86" s="43" t="n"/>
      <c r="IJA86" s="43" t="n"/>
      <c r="IJB86" s="43" t="n"/>
      <c r="IJC86" s="43" t="n"/>
      <c r="IJD86" s="43" t="n"/>
      <c r="IJE86" s="43" t="n"/>
      <c r="IJF86" s="43" t="n"/>
      <c r="IJG86" s="43" t="n"/>
      <c r="IJH86" s="43" t="n"/>
      <c r="IJI86" s="43" t="n"/>
      <c r="IJJ86" s="43" t="n"/>
      <c r="IJK86" s="43" t="n"/>
      <c r="IJL86" s="43" t="n"/>
      <c r="IJM86" s="43" t="n"/>
      <c r="IJN86" s="43" t="n"/>
      <c r="IJO86" s="43" t="n"/>
      <c r="IJP86" s="43" t="n"/>
      <c r="IJQ86" s="43" t="n"/>
      <c r="IJR86" s="43" t="n"/>
      <c r="IJS86" s="43" t="n"/>
      <c r="IJT86" s="43" t="n"/>
      <c r="IJU86" s="43" t="n"/>
      <c r="IJV86" s="43" t="n"/>
      <c r="IJW86" s="43" t="n"/>
      <c r="IJX86" s="43" t="n"/>
      <c r="IJY86" s="43" t="n"/>
      <c r="IJZ86" s="43" t="n"/>
      <c r="IKA86" s="43" t="n"/>
      <c r="IKB86" s="43" t="n"/>
      <c r="IKC86" s="43" t="n"/>
      <c r="IKD86" s="43" t="n"/>
      <c r="IKE86" s="43" t="n"/>
      <c r="IKF86" s="43" t="n"/>
      <c r="IKG86" s="43" t="n"/>
      <c r="IKH86" s="43" t="n"/>
      <c r="IKI86" s="43" t="n"/>
      <c r="IKJ86" s="43" t="n"/>
      <c r="IKK86" s="43" t="n"/>
      <c r="IKL86" s="43" t="n"/>
      <c r="IKM86" s="43" t="n"/>
      <c r="IKN86" s="43" t="n"/>
      <c r="IKO86" s="43" t="n"/>
      <c r="IKP86" s="43" t="n"/>
      <c r="IKQ86" s="43" t="n"/>
      <c r="IKR86" s="43" t="n"/>
      <c r="IKS86" s="43" t="n"/>
      <c r="IKT86" s="43" t="n"/>
      <c r="IKU86" s="43" t="n"/>
      <c r="IKV86" s="43" t="n"/>
      <c r="IKW86" s="43" t="n"/>
      <c r="IKX86" s="43" t="n"/>
      <c r="IKY86" s="43" t="n"/>
      <c r="IKZ86" s="43" t="n"/>
      <c r="ILA86" s="43" t="n"/>
      <c r="ILB86" s="43" t="n"/>
      <c r="ILC86" s="43" t="n"/>
      <c r="ILD86" s="43" t="n"/>
      <c r="ILE86" s="43" t="n"/>
      <c r="ILF86" s="43" t="n"/>
      <c r="ILG86" s="43" t="n"/>
      <c r="ILH86" s="43" t="n"/>
      <c r="ILI86" s="43" t="n"/>
      <c r="ILJ86" s="43" t="n"/>
      <c r="ILK86" s="43" t="n"/>
      <c r="ILL86" s="43" t="n"/>
      <c r="ILM86" s="43" t="n"/>
      <c r="ILN86" s="43" t="n"/>
      <c r="ILO86" s="43" t="n"/>
      <c r="ILP86" s="43" t="n"/>
      <c r="ILQ86" s="43" t="n"/>
      <c r="ILR86" s="43" t="n"/>
      <c r="ILS86" s="43" t="n"/>
      <c r="ILT86" s="43" t="n"/>
      <c r="ILU86" s="43" t="n"/>
      <c r="ILV86" s="43" t="n"/>
      <c r="ILW86" s="43" t="n"/>
      <c r="ILX86" s="43" t="n"/>
      <c r="ILY86" s="43" t="n"/>
      <c r="ILZ86" s="43" t="n"/>
      <c r="IMA86" s="43" t="n"/>
      <c r="IMB86" s="43" t="n"/>
      <c r="IMC86" s="43" t="n"/>
      <c r="IMD86" s="43" t="n"/>
      <c r="IME86" s="43" t="n"/>
      <c r="IMF86" s="43" t="n"/>
      <c r="IMG86" s="43" t="n"/>
      <c r="IMH86" s="43" t="n"/>
      <c r="IMI86" s="43" t="n"/>
      <c r="IMJ86" s="43" t="n"/>
      <c r="IMK86" s="43" t="n"/>
      <c r="IML86" s="43" t="n"/>
      <c r="IMM86" s="43" t="n"/>
      <c r="IMN86" s="43" t="n"/>
      <c r="IMO86" s="43" t="n"/>
      <c r="IMP86" s="43" t="n"/>
      <c r="IMQ86" s="43" t="n"/>
      <c r="IMR86" s="43" t="n"/>
      <c r="IMS86" s="43" t="n"/>
      <c r="IMT86" s="43" t="n"/>
      <c r="IMU86" s="43" t="n"/>
      <c r="IMV86" s="43" t="n"/>
      <c r="IMW86" s="43" t="n"/>
      <c r="IMX86" s="43" t="n"/>
      <c r="IMY86" s="43" t="n"/>
      <c r="IMZ86" s="43" t="n"/>
      <c r="INA86" s="43" t="n"/>
      <c r="INB86" s="43" t="n"/>
      <c r="INC86" s="43" t="n"/>
      <c r="IND86" s="43" t="n"/>
      <c r="INE86" s="43" t="n"/>
      <c r="INF86" s="43" t="n"/>
      <c r="ING86" s="43" t="n"/>
      <c r="INH86" s="43" t="n"/>
      <c r="INI86" s="43" t="n"/>
      <c r="INJ86" s="43" t="n"/>
      <c r="INK86" s="43" t="n"/>
      <c r="INL86" s="43" t="n"/>
      <c r="INM86" s="43" t="n"/>
      <c r="INN86" s="43" t="n"/>
      <c r="INO86" s="43" t="n"/>
      <c r="INP86" s="43" t="n"/>
      <c r="INQ86" s="43" t="n"/>
      <c r="INR86" s="43" t="n"/>
      <c r="INS86" s="43" t="n"/>
      <c r="INT86" s="43" t="n"/>
      <c r="INU86" s="43" t="n"/>
      <c r="INV86" s="43" t="n"/>
      <c r="INW86" s="43" t="n"/>
      <c r="INX86" s="43" t="n"/>
      <c r="INY86" s="43" t="n"/>
      <c r="INZ86" s="43" t="n"/>
      <c r="IOA86" s="43" t="n"/>
      <c r="IOB86" s="43" t="n"/>
      <c r="IOC86" s="43" t="n"/>
      <c r="IOD86" s="43" t="n"/>
      <c r="IOE86" s="43" t="n"/>
      <c r="IOF86" s="43" t="n"/>
      <c r="IOG86" s="43" t="n"/>
      <c r="IOH86" s="43" t="n"/>
      <c r="IOI86" s="43" t="n"/>
      <c r="IOJ86" s="43" t="n"/>
      <c r="IOK86" s="43" t="n"/>
      <c r="IOL86" s="43" t="n"/>
      <c r="IOM86" s="43" t="n"/>
      <c r="ION86" s="43" t="n"/>
      <c r="IOO86" s="43" t="n"/>
      <c r="IOP86" s="43" t="n"/>
      <c r="IOQ86" s="43" t="n"/>
      <c r="IOR86" s="43" t="n"/>
      <c r="IOS86" s="43" t="n"/>
      <c r="IOT86" s="43" t="n"/>
      <c r="IOU86" s="43" t="n"/>
      <c r="IOV86" s="43" t="n"/>
      <c r="IOW86" s="43" t="n"/>
      <c r="IOX86" s="43" t="n"/>
      <c r="IOY86" s="43" t="n"/>
      <c r="IOZ86" s="43" t="n"/>
      <c r="IPA86" s="43" t="n"/>
      <c r="IPB86" s="43" t="n"/>
      <c r="IPC86" s="43" t="n"/>
      <c r="IPD86" s="43" t="n"/>
      <c r="IPE86" s="43" t="n"/>
      <c r="IPF86" s="43" t="n"/>
      <c r="IPG86" s="43" t="n"/>
      <c r="IPH86" s="43" t="n"/>
      <c r="IPI86" s="43" t="n"/>
      <c r="IPJ86" s="43" t="n"/>
      <c r="IPK86" s="43" t="n"/>
      <c r="IPL86" s="43" t="n"/>
      <c r="IPM86" s="43" t="n"/>
      <c r="IPN86" s="43" t="n"/>
      <c r="IPO86" s="43" t="n"/>
      <c r="IPP86" s="43" t="n"/>
      <c r="IPQ86" s="43" t="n"/>
      <c r="IPR86" s="43" t="n"/>
      <c r="IPS86" s="43" t="n"/>
      <c r="IPT86" s="43" t="n"/>
      <c r="IPU86" s="43" t="n"/>
      <c r="IPV86" s="43" t="n"/>
      <c r="IPW86" s="43" t="n"/>
      <c r="IPX86" s="43" t="n"/>
      <c r="IPY86" s="43" t="n"/>
      <c r="IPZ86" s="43" t="n"/>
      <c r="IQA86" s="43" t="n"/>
      <c r="IQB86" s="43" t="n"/>
      <c r="IQC86" s="43" t="n"/>
      <c r="IQD86" s="43" t="n"/>
      <c r="IQE86" s="43" t="n"/>
      <c r="IQF86" s="43" t="n"/>
      <c r="IQG86" s="43" t="n"/>
      <c r="IQH86" s="43" t="n"/>
      <c r="IQI86" s="43" t="n"/>
      <c r="IQJ86" s="43" t="n"/>
      <c r="IQK86" s="43" t="n"/>
      <c r="IQL86" s="43" t="n"/>
      <c r="IQM86" s="43" t="n"/>
      <c r="IQN86" s="43" t="n"/>
      <c r="IQO86" s="43" t="n"/>
      <c r="IQP86" s="43" t="n"/>
      <c r="IQQ86" s="43" t="n"/>
      <c r="IQR86" s="43" t="n"/>
      <c r="IQS86" s="43" t="n"/>
      <c r="IQT86" s="43" t="n"/>
      <c r="IQU86" s="43" t="n"/>
      <c r="IQV86" s="43" t="n"/>
      <c r="IQW86" s="43" t="n"/>
      <c r="IQX86" s="43" t="n"/>
      <c r="IQY86" s="43" t="n"/>
      <c r="IQZ86" s="43" t="n"/>
      <c r="IRA86" s="43" t="n"/>
      <c r="IRB86" s="43" t="n"/>
      <c r="IRC86" s="43" t="n"/>
      <c r="IRD86" s="43" t="n"/>
      <c r="IRE86" s="43" t="n"/>
      <c r="IRF86" s="43" t="n"/>
      <c r="IRG86" s="43" t="n"/>
      <c r="IRH86" s="43" t="n"/>
      <c r="IRI86" s="43" t="n"/>
      <c r="IRJ86" s="43" t="n"/>
      <c r="IRK86" s="43" t="n"/>
      <c r="IRL86" s="43" t="n"/>
      <c r="IRM86" s="43" t="n"/>
      <c r="IRN86" s="43" t="n"/>
      <c r="IRO86" s="43" t="n"/>
      <c r="IRP86" s="43" t="n"/>
      <c r="IRQ86" s="43" t="n"/>
      <c r="IRR86" s="43" t="n"/>
      <c r="IRS86" s="43" t="n"/>
      <c r="IRT86" s="43" t="n"/>
      <c r="IRU86" s="43" t="n"/>
      <c r="IRV86" s="43" t="n"/>
      <c r="IRW86" s="43" t="n"/>
      <c r="IRX86" s="43" t="n"/>
      <c r="IRY86" s="43" t="n"/>
      <c r="IRZ86" s="43" t="n"/>
      <c r="ISA86" s="43" t="n"/>
      <c r="ISB86" s="43" t="n"/>
      <c r="ISC86" s="43" t="n"/>
      <c r="ISD86" s="43" t="n"/>
      <c r="ISE86" s="43" t="n"/>
      <c r="ISF86" s="43" t="n"/>
      <c r="ISG86" s="43" t="n"/>
      <c r="ISH86" s="43" t="n"/>
      <c r="ISI86" s="43" t="n"/>
      <c r="ISJ86" s="43" t="n"/>
      <c r="ISK86" s="43" t="n"/>
      <c r="ISL86" s="43" t="n"/>
      <c r="ISM86" s="43" t="n"/>
      <c r="ISN86" s="43" t="n"/>
      <c r="ISO86" s="43" t="n"/>
      <c r="ISP86" s="43" t="n"/>
      <c r="ISQ86" s="43" t="n"/>
      <c r="ISR86" s="43" t="n"/>
      <c r="ISS86" s="43" t="n"/>
      <c r="IST86" s="43" t="n"/>
      <c r="ISU86" s="43" t="n"/>
      <c r="ISV86" s="43" t="n"/>
      <c r="ISW86" s="43" t="n"/>
      <c r="ISX86" s="43" t="n"/>
      <c r="ISY86" s="43" t="n"/>
      <c r="ISZ86" s="43" t="n"/>
      <c r="ITA86" s="43" t="n"/>
      <c r="ITB86" s="43" t="n"/>
      <c r="ITC86" s="43" t="n"/>
      <c r="ITD86" s="43" t="n"/>
      <c r="ITE86" s="43" t="n"/>
      <c r="ITF86" s="43" t="n"/>
      <c r="ITG86" s="43" t="n"/>
      <c r="ITH86" s="43" t="n"/>
      <c r="ITI86" s="43" t="n"/>
      <c r="ITJ86" s="43" t="n"/>
      <c r="ITK86" s="43" t="n"/>
      <c r="ITL86" s="43" t="n"/>
      <c r="ITM86" s="43" t="n"/>
      <c r="ITN86" s="43" t="n"/>
      <c r="ITO86" s="43" t="n"/>
      <c r="ITP86" s="43" t="n"/>
      <c r="ITQ86" s="43" t="n"/>
      <c r="ITR86" s="43" t="n"/>
      <c r="ITS86" s="43" t="n"/>
      <c r="ITT86" s="43" t="n"/>
      <c r="ITU86" s="43" t="n"/>
      <c r="ITV86" s="43" t="n"/>
      <c r="ITW86" s="43" t="n"/>
      <c r="ITX86" s="43" t="n"/>
      <c r="ITY86" s="43" t="n"/>
      <c r="ITZ86" s="43" t="n"/>
      <c r="IUA86" s="43" t="n"/>
      <c r="IUB86" s="43" t="n"/>
      <c r="IUC86" s="43" t="n"/>
      <c r="IUD86" s="43" t="n"/>
      <c r="IUE86" s="43" t="n"/>
      <c r="IUF86" s="43" t="n"/>
      <c r="IUG86" s="43" t="n"/>
      <c r="IUH86" s="43" t="n"/>
      <c r="IUI86" s="43" t="n"/>
      <c r="IUJ86" s="43" t="n"/>
      <c r="IUK86" s="43" t="n"/>
      <c r="IUL86" s="43" t="n"/>
      <c r="IUM86" s="43" t="n"/>
      <c r="IUN86" s="43" t="n"/>
      <c r="IUO86" s="43" t="n"/>
      <c r="IUP86" s="43" t="n"/>
      <c r="IUQ86" s="43" t="n"/>
      <c r="IUR86" s="43" t="n"/>
      <c r="IUS86" s="43" t="n"/>
      <c r="IUT86" s="43" t="n"/>
      <c r="IUU86" s="43" t="n"/>
      <c r="IUV86" s="43" t="n"/>
      <c r="IUW86" s="43" t="n"/>
      <c r="IUX86" s="43" t="n"/>
      <c r="IUY86" s="43" t="n"/>
      <c r="IUZ86" s="43" t="n"/>
      <c r="IVA86" s="43" t="n"/>
      <c r="IVB86" s="43" t="n"/>
      <c r="IVC86" s="43" t="n"/>
      <c r="IVD86" s="43" t="n"/>
      <c r="IVE86" s="43" t="n"/>
      <c r="IVF86" s="43" t="n"/>
      <c r="IVG86" s="43" t="n"/>
      <c r="IVH86" s="43" t="n"/>
      <c r="IVI86" s="43" t="n"/>
      <c r="IVJ86" s="43" t="n"/>
      <c r="IVK86" s="43" t="n"/>
      <c r="IVL86" s="43" t="n"/>
      <c r="IVM86" s="43" t="n"/>
      <c r="IVN86" s="43" t="n"/>
      <c r="IVO86" s="43" t="n"/>
      <c r="IVP86" s="43" t="n"/>
      <c r="IVQ86" s="43" t="n"/>
      <c r="IVR86" s="43" t="n"/>
      <c r="IVS86" s="43" t="n"/>
      <c r="IVT86" s="43" t="n"/>
      <c r="IVU86" s="43" t="n"/>
      <c r="IVV86" s="43" t="n"/>
      <c r="IVW86" s="43" t="n"/>
      <c r="IVX86" s="43" t="n"/>
      <c r="IVY86" s="43" t="n"/>
      <c r="IVZ86" s="43" t="n"/>
      <c r="IWA86" s="43" t="n"/>
      <c r="IWB86" s="43" t="n"/>
      <c r="IWC86" s="43" t="n"/>
      <c r="IWD86" s="43" t="n"/>
      <c r="IWE86" s="43" t="n"/>
      <c r="IWF86" s="43" t="n"/>
      <c r="IWG86" s="43" t="n"/>
      <c r="IWH86" s="43" t="n"/>
      <c r="IWI86" s="43" t="n"/>
      <c r="IWJ86" s="43" t="n"/>
      <c r="IWK86" s="43" t="n"/>
      <c r="IWL86" s="43" t="n"/>
      <c r="IWM86" s="43" t="n"/>
      <c r="IWN86" s="43" t="n"/>
      <c r="IWO86" s="43" t="n"/>
      <c r="IWP86" s="43" t="n"/>
      <c r="IWQ86" s="43" t="n"/>
      <c r="IWR86" s="43" t="n"/>
      <c r="IWS86" s="43" t="n"/>
      <c r="IWT86" s="43" t="n"/>
      <c r="IWU86" s="43" t="n"/>
      <c r="IWV86" s="43" t="n"/>
      <c r="IWW86" s="43" t="n"/>
      <c r="IWX86" s="43" t="n"/>
      <c r="IWY86" s="43" t="n"/>
      <c r="IWZ86" s="43" t="n"/>
      <c r="IXA86" s="43" t="n"/>
      <c r="IXB86" s="43" t="n"/>
      <c r="IXC86" s="43" t="n"/>
      <c r="IXD86" s="43" t="n"/>
      <c r="IXE86" s="43" t="n"/>
      <c r="IXF86" s="43" t="n"/>
      <c r="IXG86" s="43" t="n"/>
      <c r="IXH86" s="43" t="n"/>
      <c r="IXI86" s="43" t="n"/>
      <c r="IXJ86" s="43" t="n"/>
      <c r="IXK86" s="43" t="n"/>
      <c r="IXL86" s="43" t="n"/>
      <c r="IXM86" s="43" t="n"/>
      <c r="IXN86" s="43" t="n"/>
      <c r="IXO86" s="43" t="n"/>
      <c r="IXP86" s="43" t="n"/>
      <c r="IXQ86" s="43" t="n"/>
      <c r="IXR86" s="43" t="n"/>
      <c r="IXS86" s="43" t="n"/>
      <c r="IXT86" s="43" t="n"/>
      <c r="IXU86" s="43" t="n"/>
      <c r="IXV86" s="43" t="n"/>
      <c r="IXW86" s="43" t="n"/>
      <c r="IXX86" s="43" t="n"/>
      <c r="IXY86" s="43" t="n"/>
      <c r="IXZ86" s="43" t="n"/>
      <c r="IYA86" s="43" t="n"/>
      <c r="IYB86" s="43" t="n"/>
      <c r="IYC86" s="43" t="n"/>
      <c r="IYD86" s="43" t="n"/>
      <c r="IYE86" s="43" t="n"/>
      <c r="IYF86" s="43" t="n"/>
      <c r="IYG86" s="43" t="n"/>
      <c r="IYH86" s="43" t="n"/>
      <c r="IYI86" s="43" t="n"/>
      <c r="IYJ86" s="43" t="n"/>
      <c r="IYK86" s="43" t="n"/>
      <c r="IYL86" s="43" t="n"/>
      <c r="IYM86" s="43" t="n"/>
      <c r="IYN86" s="43" t="n"/>
      <c r="IYO86" s="43" t="n"/>
      <c r="IYP86" s="43" t="n"/>
      <c r="IYQ86" s="43" t="n"/>
      <c r="IYR86" s="43" t="n"/>
      <c r="IYS86" s="43" t="n"/>
      <c r="IYT86" s="43" t="n"/>
      <c r="IYU86" s="43" t="n"/>
      <c r="IYV86" s="43" t="n"/>
      <c r="IYW86" s="43" t="n"/>
      <c r="IYX86" s="43" t="n"/>
      <c r="IYY86" s="43" t="n"/>
      <c r="IYZ86" s="43" t="n"/>
      <c r="IZA86" s="43" t="n"/>
      <c r="IZB86" s="43" t="n"/>
      <c r="IZC86" s="43" t="n"/>
      <c r="IZD86" s="43" t="n"/>
      <c r="IZE86" s="43" t="n"/>
      <c r="IZF86" s="43" t="n"/>
      <c r="IZG86" s="43" t="n"/>
      <c r="IZH86" s="43" t="n"/>
      <c r="IZI86" s="43" t="n"/>
      <c r="IZJ86" s="43" t="n"/>
      <c r="IZK86" s="43" t="n"/>
      <c r="IZL86" s="43" t="n"/>
      <c r="IZM86" s="43" t="n"/>
      <c r="IZN86" s="43" t="n"/>
      <c r="IZO86" s="43" t="n"/>
      <c r="IZP86" s="43" t="n"/>
      <c r="IZQ86" s="43" t="n"/>
      <c r="IZR86" s="43" t="n"/>
      <c r="IZS86" s="43" t="n"/>
      <c r="IZT86" s="43" t="n"/>
      <c r="IZU86" s="43" t="n"/>
      <c r="IZV86" s="43" t="n"/>
      <c r="IZW86" s="43" t="n"/>
      <c r="IZX86" s="43" t="n"/>
      <c r="IZY86" s="43" t="n"/>
      <c r="IZZ86" s="43" t="n"/>
      <c r="JAA86" s="43" t="n"/>
      <c r="JAB86" s="43" t="n"/>
      <c r="JAC86" s="43" t="n"/>
      <c r="JAD86" s="43" t="n"/>
      <c r="JAE86" s="43" t="n"/>
      <c r="JAF86" s="43" t="n"/>
      <c r="JAG86" s="43" t="n"/>
      <c r="JAH86" s="43" t="n"/>
      <c r="JAI86" s="43" t="n"/>
      <c r="JAJ86" s="43" t="n"/>
      <c r="JAK86" s="43" t="n"/>
      <c r="JAL86" s="43" t="n"/>
      <c r="JAM86" s="43" t="n"/>
      <c r="JAN86" s="43" t="n"/>
      <c r="JAO86" s="43" t="n"/>
      <c r="JAP86" s="43" t="n"/>
      <c r="JAQ86" s="43" t="n"/>
      <c r="JAR86" s="43" t="n"/>
      <c r="JAS86" s="43" t="n"/>
      <c r="JAT86" s="43" t="n"/>
      <c r="JAU86" s="43" t="n"/>
      <c r="JAV86" s="43" t="n"/>
      <c r="JAW86" s="43" t="n"/>
      <c r="JAX86" s="43" t="n"/>
      <c r="JAY86" s="43" t="n"/>
      <c r="JAZ86" s="43" t="n"/>
      <c r="JBA86" s="43" t="n"/>
      <c r="JBB86" s="43" t="n"/>
      <c r="JBC86" s="43" t="n"/>
      <c r="JBD86" s="43" t="n"/>
      <c r="JBE86" s="43" t="n"/>
      <c r="JBF86" s="43" t="n"/>
      <c r="JBG86" s="43" t="n"/>
      <c r="JBH86" s="43" t="n"/>
      <c r="JBI86" s="43" t="n"/>
      <c r="JBJ86" s="43" t="n"/>
      <c r="JBK86" s="43" t="n"/>
      <c r="JBL86" s="43" t="n"/>
      <c r="JBM86" s="43" t="n"/>
      <c r="JBN86" s="43" t="n"/>
      <c r="JBO86" s="43" t="n"/>
      <c r="JBP86" s="43" t="n"/>
      <c r="JBQ86" s="43" t="n"/>
      <c r="JBR86" s="43" t="n"/>
      <c r="JBS86" s="43" t="n"/>
      <c r="JBT86" s="43" t="n"/>
      <c r="JBU86" s="43" t="n"/>
      <c r="JBV86" s="43" t="n"/>
      <c r="JBW86" s="43" t="n"/>
      <c r="JBX86" s="43" t="n"/>
      <c r="JBY86" s="43" t="n"/>
      <c r="JBZ86" s="43" t="n"/>
      <c r="JCA86" s="43" t="n"/>
      <c r="JCB86" s="43" t="n"/>
      <c r="JCC86" s="43" t="n"/>
      <c r="JCD86" s="43" t="n"/>
      <c r="JCE86" s="43" t="n"/>
      <c r="JCF86" s="43" t="n"/>
      <c r="JCG86" s="43" t="n"/>
      <c r="JCH86" s="43" t="n"/>
      <c r="JCI86" s="43" t="n"/>
      <c r="JCJ86" s="43" t="n"/>
      <c r="JCK86" s="43" t="n"/>
      <c r="JCL86" s="43" t="n"/>
      <c r="JCM86" s="43" t="n"/>
      <c r="JCN86" s="43" t="n"/>
      <c r="JCO86" s="43" t="n"/>
      <c r="JCP86" s="43" t="n"/>
      <c r="JCQ86" s="43" t="n"/>
      <c r="JCR86" s="43" t="n"/>
      <c r="JCS86" s="43" t="n"/>
      <c r="JCT86" s="43" t="n"/>
      <c r="JCU86" s="43" t="n"/>
      <c r="JCV86" s="43" t="n"/>
      <c r="JCW86" s="43" t="n"/>
      <c r="JCX86" s="43" t="n"/>
      <c r="JCY86" s="43" t="n"/>
      <c r="JCZ86" s="43" t="n"/>
      <c r="JDA86" s="43" t="n"/>
      <c r="JDB86" s="43" t="n"/>
      <c r="JDC86" s="43" t="n"/>
      <c r="JDD86" s="43" t="n"/>
      <c r="JDE86" s="43" t="n"/>
      <c r="JDF86" s="43" t="n"/>
      <c r="JDG86" s="43" t="n"/>
      <c r="JDH86" s="43" t="n"/>
      <c r="JDI86" s="43" t="n"/>
      <c r="JDJ86" s="43" t="n"/>
      <c r="JDK86" s="43" t="n"/>
      <c r="JDL86" s="43" t="n"/>
      <c r="JDM86" s="43" t="n"/>
      <c r="JDN86" s="43" t="n"/>
      <c r="JDO86" s="43" t="n"/>
      <c r="JDP86" s="43" t="n"/>
      <c r="JDQ86" s="43" t="n"/>
      <c r="JDR86" s="43" t="n"/>
      <c r="JDS86" s="43" t="n"/>
      <c r="JDT86" s="43" t="n"/>
      <c r="JDU86" s="43" t="n"/>
      <c r="JDV86" s="43" t="n"/>
      <c r="JDW86" s="43" t="n"/>
      <c r="JDX86" s="43" t="n"/>
      <c r="JDY86" s="43" t="n"/>
      <c r="JDZ86" s="43" t="n"/>
      <c r="JEA86" s="43" t="n"/>
      <c r="JEB86" s="43" t="n"/>
      <c r="JEC86" s="43" t="n"/>
      <c r="JED86" s="43" t="n"/>
      <c r="JEE86" s="43" t="n"/>
      <c r="JEF86" s="43" t="n"/>
      <c r="JEG86" s="43" t="n"/>
      <c r="JEH86" s="43" t="n"/>
      <c r="JEI86" s="43" t="n"/>
      <c r="JEJ86" s="43" t="n"/>
      <c r="JEK86" s="43" t="n"/>
      <c r="JEL86" s="43" t="n"/>
      <c r="JEM86" s="43" t="n"/>
      <c r="JEN86" s="43" t="n"/>
      <c r="JEO86" s="43" t="n"/>
      <c r="JEP86" s="43" t="n"/>
      <c r="JEQ86" s="43" t="n"/>
      <c r="JER86" s="43" t="n"/>
      <c r="JES86" s="43" t="n"/>
      <c r="JET86" s="43" t="n"/>
      <c r="JEU86" s="43" t="n"/>
      <c r="JEV86" s="43" t="n"/>
      <c r="JEW86" s="43" t="n"/>
      <c r="JEX86" s="43" t="n"/>
      <c r="JEY86" s="43" t="n"/>
      <c r="JEZ86" s="43" t="n"/>
      <c r="JFA86" s="43" t="n"/>
      <c r="JFB86" s="43" t="n"/>
      <c r="JFC86" s="43" t="n"/>
      <c r="JFD86" s="43" t="n"/>
      <c r="JFE86" s="43" t="n"/>
      <c r="JFF86" s="43" t="n"/>
      <c r="JFG86" s="43" t="n"/>
      <c r="JFH86" s="43" t="n"/>
      <c r="JFI86" s="43" t="n"/>
      <c r="JFJ86" s="43" t="n"/>
      <c r="JFK86" s="43" t="n"/>
      <c r="JFL86" s="43" t="n"/>
      <c r="JFM86" s="43" t="n"/>
      <c r="JFN86" s="43" t="n"/>
      <c r="JFO86" s="43" t="n"/>
      <c r="JFP86" s="43" t="n"/>
      <c r="JFQ86" s="43" t="n"/>
      <c r="JFR86" s="43" t="n"/>
      <c r="JFS86" s="43" t="n"/>
      <c r="JFT86" s="43" t="n"/>
      <c r="JFU86" s="43" t="n"/>
      <c r="JFV86" s="43" t="n"/>
      <c r="JFW86" s="43" t="n"/>
      <c r="JFX86" s="43" t="n"/>
      <c r="JFY86" s="43" t="n"/>
      <c r="JFZ86" s="43" t="n"/>
      <c r="JGA86" s="43" t="n"/>
      <c r="JGB86" s="43" t="n"/>
      <c r="JGC86" s="43" t="n"/>
      <c r="JGD86" s="43" t="n"/>
      <c r="JGE86" s="43" t="n"/>
      <c r="JGF86" s="43" t="n"/>
      <c r="JGG86" s="43" t="n"/>
      <c r="JGH86" s="43" t="n"/>
      <c r="JGI86" s="43" t="n"/>
      <c r="JGJ86" s="43" t="n"/>
      <c r="JGK86" s="43" t="n"/>
      <c r="JGL86" s="43" t="n"/>
      <c r="JGM86" s="43" t="n"/>
      <c r="JGN86" s="43" t="n"/>
      <c r="JGO86" s="43" t="n"/>
      <c r="JGP86" s="43" t="n"/>
      <c r="JGQ86" s="43" t="n"/>
      <c r="JGR86" s="43" t="n"/>
      <c r="JGS86" s="43" t="n"/>
      <c r="JGT86" s="43" t="n"/>
      <c r="JGU86" s="43" t="n"/>
      <c r="JGV86" s="43" t="n"/>
      <c r="JGW86" s="43" t="n"/>
      <c r="JGX86" s="43" t="n"/>
      <c r="JGY86" s="43" t="n"/>
      <c r="JGZ86" s="43" t="n"/>
      <c r="JHA86" s="43" t="n"/>
      <c r="JHB86" s="43" t="n"/>
      <c r="JHC86" s="43" t="n"/>
      <c r="JHD86" s="43" t="n"/>
      <c r="JHE86" s="43" t="n"/>
      <c r="JHF86" s="43" t="n"/>
      <c r="JHG86" s="43" t="n"/>
      <c r="JHH86" s="43" t="n"/>
      <c r="JHI86" s="43" t="n"/>
      <c r="JHJ86" s="43" t="n"/>
      <c r="JHK86" s="43" t="n"/>
      <c r="JHL86" s="43" t="n"/>
      <c r="JHM86" s="43" t="n"/>
      <c r="JHN86" s="43" t="n"/>
      <c r="JHO86" s="43" t="n"/>
      <c r="JHP86" s="43" t="n"/>
      <c r="JHQ86" s="43" t="n"/>
      <c r="JHR86" s="43" t="n"/>
      <c r="JHS86" s="43" t="n"/>
      <c r="JHT86" s="43" t="n"/>
      <c r="JHU86" s="43" t="n"/>
      <c r="JHV86" s="43" t="n"/>
      <c r="JHW86" s="43" t="n"/>
      <c r="JHX86" s="43" t="n"/>
      <c r="JHY86" s="43" t="n"/>
      <c r="JHZ86" s="43" t="n"/>
      <c r="JIA86" s="43" t="n"/>
      <c r="JIB86" s="43" t="n"/>
      <c r="JIC86" s="43" t="n"/>
      <c r="JID86" s="43" t="n"/>
      <c r="JIE86" s="43" t="n"/>
      <c r="JIF86" s="43" t="n"/>
      <c r="JIG86" s="43" t="n"/>
      <c r="JIH86" s="43" t="n"/>
      <c r="JII86" s="43" t="n"/>
      <c r="JIJ86" s="43" t="n"/>
      <c r="JIK86" s="43" t="n"/>
      <c r="JIL86" s="43" t="n"/>
      <c r="JIM86" s="43" t="n"/>
      <c r="JIN86" s="43" t="n"/>
      <c r="JIO86" s="43" t="n"/>
      <c r="JIP86" s="43" t="n"/>
      <c r="JIQ86" s="43" t="n"/>
      <c r="JIR86" s="43" t="n"/>
      <c r="JIS86" s="43" t="n"/>
      <c r="JIT86" s="43" t="n"/>
      <c r="JIU86" s="43" t="n"/>
      <c r="JIV86" s="43" t="n"/>
      <c r="JIW86" s="43" t="n"/>
      <c r="JIX86" s="43" t="n"/>
      <c r="JIY86" s="43" t="n"/>
      <c r="JIZ86" s="43" t="n"/>
      <c r="JJA86" s="43" t="n"/>
      <c r="JJB86" s="43" t="n"/>
      <c r="JJC86" s="43" t="n"/>
      <c r="JJD86" s="43" t="n"/>
      <c r="JJE86" s="43" t="n"/>
      <c r="JJF86" s="43" t="n"/>
      <c r="JJG86" s="43" t="n"/>
      <c r="JJH86" s="43" t="n"/>
      <c r="JJI86" s="43" t="n"/>
      <c r="JJJ86" s="43" t="n"/>
      <c r="JJK86" s="43" t="n"/>
      <c r="JJL86" s="43" t="n"/>
      <c r="JJM86" s="43" t="n"/>
      <c r="JJN86" s="43" t="n"/>
      <c r="JJO86" s="43" t="n"/>
      <c r="JJP86" s="43" t="n"/>
      <c r="JJQ86" s="43" t="n"/>
      <c r="JJR86" s="43" t="n"/>
      <c r="JJS86" s="43" t="n"/>
      <c r="JJT86" s="43" t="n"/>
      <c r="JJU86" s="43" t="n"/>
      <c r="JJV86" s="43" t="n"/>
      <c r="JJW86" s="43" t="n"/>
      <c r="JJX86" s="43" t="n"/>
      <c r="JJY86" s="43" t="n"/>
      <c r="JJZ86" s="43" t="n"/>
      <c r="JKA86" s="43" t="n"/>
      <c r="JKB86" s="43" t="n"/>
      <c r="JKC86" s="43" t="n"/>
      <c r="JKD86" s="43" t="n"/>
      <c r="JKE86" s="43" t="n"/>
      <c r="JKF86" s="43" t="n"/>
      <c r="JKG86" s="43" t="n"/>
      <c r="JKH86" s="43" t="n"/>
      <c r="JKI86" s="43" t="n"/>
      <c r="JKJ86" s="43" t="n"/>
      <c r="JKK86" s="43" t="n"/>
      <c r="JKL86" s="43" t="n"/>
      <c r="JKM86" s="43" t="n"/>
      <c r="JKN86" s="43" t="n"/>
      <c r="JKO86" s="43" t="n"/>
      <c r="JKP86" s="43" t="n"/>
      <c r="JKQ86" s="43" t="n"/>
      <c r="JKR86" s="43" t="n"/>
      <c r="JKS86" s="43" t="n"/>
      <c r="JKT86" s="43" t="n"/>
      <c r="JKU86" s="43" t="n"/>
      <c r="JKV86" s="43" t="n"/>
      <c r="JKW86" s="43" t="n"/>
      <c r="JKX86" s="43" t="n"/>
      <c r="JKY86" s="43" t="n"/>
      <c r="JKZ86" s="43" t="n"/>
      <c r="JLA86" s="43" t="n"/>
      <c r="JLB86" s="43" t="n"/>
      <c r="JLC86" s="43" t="n"/>
      <c r="JLD86" s="43" t="n"/>
      <c r="JLE86" s="43" t="n"/>
      <c r="JLF86" s="43" t="n"/>
      <c r="JLG86" s="43" t="n"/>
      <c r="JLH86" s="43" t="n"/>
      <c r="JLI86" s="43" t="n"/>
      <c r="JLJ86" s="43" t="n"/>
      <c r="JLK86" s="43" t="n"/>
      <c r="JLL86" s="43" t="n"/>
      <c r="JLM86" s="43" t="n"/>
      <c r="JLN86" s="43" t="n"/>
      <c r="JLO86" s="43" t="n"/>
      <c r="JLP86" s="43" t="n"/>
      <c r="JLQ86" s="43" t="n"/>
      <c r="JLR86" s="43" t="n"/>
      <c r="JLS86" s="43" t="n"/>
      <c r="JLT86" s="43" t="n"/>
      <c r="JLU86" s="43" t="n"/>
      <c r="JLV86" s="43" t="n"/>
      <c r="JLW86" s="43" t="n"/>
      <c r="JLX86" s="43" t="n"/>
      <c r="JLY86" s="43" t="n"/>
      <c r="JLZ86" s="43" t="n"/>
      <c r="JMA86" s="43" t="n"/>
      <c r="JMB86" s="43" t="n"/>
      <c r="JMC86" s="43" t="n"/>
      <c r="JMD86" s="43" t="n"/>
      <c r="JME86" s="43" t="n"/>
      <c r="JMF86" s="43" t="n"/>
      <c r="JMG86" s="43" t="n"/>
      <c r="JMH86" s="43" t="n"/>
      <c r="JMI86" s="43" t="n"/>
      <c r="JMJ86" s="43" t="n"/>
      <c r="JMK86" s="43" t="n"/>
      <c r="JML86" s="43" t="n"/>
      <c r="JMM86" s="43" t="n"/>
      <c r="JMN86" s="43" t="n"/>
      <c r="JMO86" s="43" t="n"/>
      <c r="JMP86" s="43" t="n"/>
      <c r="JMQ86" s="43" t="n"/>
      <c r="JMR86" s="43" t="n"/>
      <c r="JMS86" s="43" t="n"/>
      <c r="JMT86" s="43" t="n"/>
      <c r="JMU86" s="43" t="n"/>
      <c r="JMV86" s="43" t="n"/>
      <c r="JMW86" s="43" t="n"/>
      <c r="JMX86" s="43" t="n"/>
      <c r="JMY86" s="43" t="n"/>
      <c r="JMZ86" s="43" t="n"/>
      <c r="JNA86" s="43" t="n"/>
      <c r="JNB86" s="43" t="n"/>
      <c r="JNC86" s="43" t="n"/>
      <c r="JND86" s="43" t="n"/>
      <c r="JNE86" s="43" t="n"/>
      <c r="JNF86" s="43" t="n"/>
      <c r="JNG86" s="43" t="n"/>
      <c r="JNH86" s="43" t="n"/>
      <c r="JNI86" s="43" t="n"/>
      <c r="JNJ86" s="43" t="n"/>
      <c r="JNK86" s="43" t="n"/>
      <c r="JNL86" s="43" t="n"/>
      <c r="JNM86" s="43" t="n"/>
      <c r="JNN86" s="43" t="n"/>
      <c r="JNO86" s="43" t="n"/>
      <c r="JNP86" s="43" t="n"/>
      <c r="JNQ86" s="43" t="n"/>
      <c r="JNR86" s="43" t="n"/>
      <c r="JNS86" s="43" t="n"/>
      <c r="JNT86" s="43" t="n"/>
      <c r="JNU86" s="43" t="n"/>
      <c r="JNV86" s="43" t="n"/>
      <c r="JNW86" s="43" t="n"/>
      <c r="JNX86" s="43" t="n"/>
      <c r="JNY86" s="43" t="n"/>
      <c r="JNZ86" s="43" t="n"/>
      <c r="JOA86" s="43" t="n"/>
      <c r="JOB86" s="43" t="n"/>
      <c r="JOC86" s="43" t="n"/>
      <c r="JOD86" s="43" t="n"/>
      <c r="JOE86" s="43" t="n"/>
      <c r="JOF86" s="43" t="n"/>
      <c r="JOG86" s="43" t="n"/>
      <c r="JOH86" s="43" t="n"/>
      <c r="JOI86" s="43" t="n"/>
      <c r="JOJ86" s="43" t="n"/>
      <c r="JOK86" s="43" t="n"/>
      <c r="JOL86" s="43" t="n"/>
      <c r="JOM86" s="43" t="n"/>
      <c r="JON86" s="43" t="n"/>
      <c r="JOO86" s="43" t="n"/>
      <c r="JOP86" s="43" t="n"/>
      <c r="JOQ86" s="43" t="n"/>
      <c r="JOR86" s="43" t="n"/>
      <c r="JOS86" s="43" t="n"/>
      <c r="JOT86" s="43" t="n"/>
      <c r="JOU86" s="43" t="n"/>
      <c r="JOV86" s="43" t="n"/>
      <c r="JOW86" s="43" t="n"/>
      <c r="JOX86" s="43" t="n"/>
      <c r="JOY86" s="43" t="n"/>
      <c r="JOZ86" s="43" t="n"/>
      <c r="JPA86" s="43" t="n"/>
      <c r="JPB86" s="43" t="n"/>
      <c r="JPC86" s="43" t="n"/>
      <c r="JPD86" s="43" t="n"/>
      <c r="JPE86" s="43" t="n"/>
      <c r="JPF86" s="43" t="n"/>
      <c r="JPG86" s="43" t="n"/>
      <c r="JPH86" s="43" t="n"/>
      <c r="JPI86" s="43" t="n"/>
      <c r="JPJ86" s="43" t="n"/>
      <c r="JPK86" s="43" t="n"/>
      <c r="JPL86" s="43" t="n"/>
      <c r="JPM86" s="43" t="n"/>
      <c r="JPN86" s="43" t="n"/>
      <c r="JPO86" s="43" t="n"/>
      <c r="JPP86" s="43" t="n"/>
      <c r="JPQ86" s="43" t="n"/>
      <c r="JPR86" s="43" t="n"/>
      <c r="JPS86" s="43" t="n"/>
      <c r="JPT86" s="43" t="n"/>
      <c r="JPU86" s="43" t="n"/>
      <c r="JPV86" s="43" t="n"/>
      <c r="JPW86" s="43" t="n"/>
      <c r="JPX86" s="43" t="n"/>
      <c r="JPY86" s="43" t="n"/>
      <c r="JPZ86" s="43" t="n"/>
      <c r="JQA86" s="43" t="n"/>
      <c r="JQB86" s="43" t="n"/>
      <c r="JQC86" s="43" t="n"/>
      <c r="JQD86" s="43" t="n"/>
      <c r="JQE86" s="43" t="n"/>
      <c r="JQF86" s="43" t="n"/>
      <c r="JQG86" s="43" t="n"/>
      <c r="JQH86" s="43" t="n"/>
      <c r="JQI86" s="43" t="n"/>
      <c r="JQJ86" s="43" t="n"/>
      <c r="JQK86" s="43" t="n"/>
      <c r="JQL86" s="43" t="n"/>
      <c r="JQM86" s="43" t="n"/>
      <c r="JQN86" s="43" t="n"/>
      <c r="JQO86" s="43" t="n"/>
      <c r="JQP86" s="43" t="n"/>
      <c r="JQQ86" s="43" t="n"/>
      <c r="JQR86" s="43" t="n"/>
      <c r="JQS86" s="43" t="n"/>
      <c r="JQT86" s="43" t="n"/>
      <c r="JQU86" s="43" t="n"/>
      <c r="JQV86" s="43" t="n"/>
      <c r="JQW86" s="43" t="n"/>
      <c r="JQX86" s="43" t="n"/>
      <c r="JQY86" s="43" t="n"/>
      <c r="JQZ86" s="43" t="n"/>
      <c r="JRA86" s="43" t="n"/>
      <c r="JRB86" s="43" t="n"/>
      <c r="JRC86" s="43" t="n"/>
      <c r="JRD86" s="43" t="n"/>
      <c r="JRE86" s="43" t="n"/>
      <c r="JRF86" s="43" t="n"/>
      <c r="JRG86" s="43" t="n"/>
      <c r="JRH86" s="43" t="n"/>
      <c r="JRI86" s="43" t="n"/>
      <c r="JRJ86" s="43" t="n"/>
      <c r="JRK86" s="43" t="n"/>
      <c r="JRL86" s="43" t="n"/>
      <c r="JRM86" s="43" t="n"/>
      <c r="JRN86" s="43" t="n"/>
      <c r="JRO86" s="43" t="n"/>
      <c r="JRP86" s="43" t="n"/>
      <c r="JRQ86" s="43" t="n"/>
      <c r="JRR86" s="43" t="n"/>
      <c r="JRS86" s="43" t="n"/>
      <c r="JRT86" s="43" t="n"/>
      <c r="JRU86" s="43" t="n"/>
      <c r="JRV86" s="43" t="n"/>
      <c r="JRW86" s="43" t="n"/>
      <c r="JRX86" s="43" t="n"/>
      <c r="JRY86" s="43" t="n"/>
      <c r="JRZ86" s="43" t="n"/>
      <c r="JSA86" s="43" t="n"/>
      <c r="JSB86" s="43" t="n"/>
      <c r="JSC86" s="43" t="n"/>
      <c r="JSD86" s="43" t="n"/>
      <c r="JSE86" s="43" t="n"/>
      <c r="JSF86" s="43" t="n"/>
      <c r="JSG86" s="43" t="n"/>
      <c r="JSH86" s="43" t="n"/>
      <c r="JSI86" s="43" t="n"/>
      <c r="JSJ86" s="43" t="n"/>
      <c r="JSK86" s="43" t="n"/>
      <c r="JSL86" s="43" t="n"/>
      <c r="JSM86" s="43" t="n"/>
      <c r="JSN86" s="43" t="n"/>
      <c r="JSO86" s="43" t="n"/>
      <c r="JSP86" s="43" t="n"/>
      <c r="JSQ86" s="43" t="n"/>
      <c r="JSR86" s="43" t="n"/>
      <c r="JSS86" s="43" t="n"/>
      <c r="JST86" s="43" t="n"/>
      <c r="JSU86" s="43" t="n"/>
      <c r="JSV86" s="43" t="n"/>
      <c r="JSW86" s="43" t="n"/>
      <c r="JSX86" s="43" t="n"/>
      <c r="JSY86" s="43" t="n"/>
      <c r="JSZ86" s="43" t="n"/>
      <c r="JTA86" s="43" t="n"/>
      <c r="JTB86" s="43" t="n"/>
      <c r="JTC86" s="43" t="n"/>
      <c r="JTD86" s="43" t="n"/>
      <c r="JTE86" s="43" t="n"/>
      <c r="JTF86" s="43" t="n"/>
      <c r="JTG86" s="43" t="n"/>
      <c r="JTH86" s="43" t="n"/>
      <c r="JTI86" s="43" t="n"/>
      <c r="JTJ86" s="43" t="n"/>
      <c r="JTK86" s="43" t="n"/>
      <c r="JTL86" s="43" t="n"/>
      <c r="JTM86" s="43" t="n"/>
      <c r="JTN86" s="43" t="n"/>
      <c r="JTO86" s="43" t="n"/>
      <c r="JTP86" s="43" t="n"/>
      <c r="JTQ86" s="43" t="n"/>
      <c r="JTR86" s="43" t="n"/>
      <c r="JTS86" s="43" t="n"/>
      <c r="JTT86" s="43" t="n"/>
      <c r="JTU86" s="43" t="n"/>
      <c r="JTV86" s="43" t="n"/>
      <c r="JTW86" s="43" t="n"/>
      <c r="JTX86" s="43" t="n"/>
      <c r="JTY86" s="43" t="n"/>
      <c r="JTZ86" s="43" t="n"/>
      <c r="JUA86" s="43" t="n"/>
      <c r="JUB86" s="43" t="n"/>
      <c r="JUC86" s="43" t="n"/>
      <c r="JUD86" s="43" t="n"/>
      <c r="JUE86" s="43" t="n"/>
      <c r="JUF86" s="43" t="n"/>
      <c r="JUG86" s="43" t="n"/>
      <c r="JUH86" s="43" t="n"/>
      <c r="JUI86" s="43" t="n"/>
      <c r="JUJ86" s="43" t="n"/>
      <c r="JUK86" s="43" t="n"/>
      <c r="JUL86" s="43" t="n"/>
      <c r="JUM86" s="43" t="n"/>
      <c r="JUN86" s="43" t="n"/>
      <c r="JUO86" s="43" t="n"/>
      <c r="JUP86" s="43" t="n"/>
      <c r="JUQ86" s="43" t="n"/>
      <c r="JUR86" s="43" t="n"/>
      <c r="JUS86" s="43" t="n"/>
      <c r="JUT86" s="43" t="n"/>
      <c r="JUU86" s="43" t="n"/>
      <c r="JUV86" s="43" t="n"/>
      <c r="JUW86" s="43" t="n"/>
      <c r="JUX86" s="43" t="n"/>
      <c r="JUY86" s="43" t="n"/>
      <c r="JUZ86" s="43" t="n"/>
      <c r="JVA86" s="43" t="n"/>
      <c r="JVB86" s="43" t="n"/>
      <c r="JVC86" s="43" t="n"/>
      <c r="JVD86" s="43" t="n"/>
      <c r="JVE86" s="43" t="n"/>
      <c r="JVF86" s="43" t="n"/>
      <c r="JVG86" s="43" t="n"/>
      <c r="JVH86" s="43" t="n"/>
      <c r="JVI86" s="43" t="n"/>
      <c r="JVJ86" s="43" t="n"/>
      <c r="JVK86" s="43" t="n"/>
      <c r="JVL86" s="43" t="n"/>
      <c r="JVM86" s="43" t="n"/>
      <c r="JVN86" s="43" t="n"/>
      <c r="JVO86" s="43" t="n"/>
      <c r="JVP86" s="43" t="n"/>
      <c r="JVQ86" s="43" t="n"/>
      <c r="JVR86" s="43" t="n"/>
      <c r="JVS86" s="43" t="n"/>
      <c r="JVT86" s="43" t="n"/>
      <c r="JVU86" s="43" t="n"/>
      <c r="JVV86" s="43" t="n"/>
      <c r="JVW86" s="43" t="n"/>
      <c r="JVX86" s="43" t="n"/>
      <c r="JVY86" s="43" t="n"/>
      <c r="JVZ86" s="43" t="n"/>
      <c r="JWA86" s="43" t="n"/>
      <c r="JWB86" s="43" t="n"/>
      <c r="JWC86" s="43" t="n"/>
      <c r="JWD86" s="43" t="n"/>
      <c r="JWE86" s="43" t="n"/>
      <c r="JWF86" s="43" t="n"/>
      <c r="JWG86" s="43" t="n"/>
      <c r="JWH86" s="43" t="n"/>
      <c r="JWI86" s="43" t="n"/>
      <c r="JWJ86" s="43" t="n"/>
      <c r="JWK86" s="43" t="n"/>
      <c r="JWL86" s="43" t="n"/>
      <c r="JWM86" s="43" t="n"/>
      <c r="JWN86" s="43" t="n"/>
      <c r="JWO86" s="43" t="n"/>
      <c r="JWP86" s="43" t="n"/>
      <c r="JWQ86" s="43" t="n"/>
      <c r="JWR86" s="43" t="n"/>
      <c r="JWS86" s="43" t="n"/>
      <c r="JWT86" s="43" t="n"/>
      <c r="JWU86" s="43" t="n"/>
      <c r="JWV86" s="43" t="n"/>
      <c r="JWW86" s="43" t="n"/>
      <c r="JWX86" s="43" t="n"/>
      <c r="JWY86" s="43" t="n"/>
      <c r="JWZ86" s="43" t="n"/>
      <c r="JXA86" s="43" t="n"/>
      <c r="JXB86" s="43" t="n"/>
      <c r="JXC86" s="43" t="n"/>
      <c r="JXD86" s="43" t="n"/>
      <c r="JXE86" s="43" t="n"/>
      <c r="JXF86" s="43" t="n"/>
      <c r="JXG86" s="43" t="n"/>
      <c r="JXH86" s="43" t="n"/>
      <c r="JXI86" s="43" t="n"/>
      <c r="JXJ86" s="43" t="n"/>
      <c r="JXK86" s="43" t="n"/>
      <c r="JXL86" s="43" t="n"/>
      <c r="JXM86" s="43" t="n"/>
      <c r="JXN86" s="43" t="n"/>
      <c r="JXO86" s="43" t="n"/>
      <c r="JXP86" s="43" t="n"/>
      <c r="JXQ86" s="43" t="n"/>
      <c r="JXR86" s="43" t="n"/>
      <c r="JXS86" s="43" t="n"/>
      <c r="JXT86" s="43" t="n"/>
      <c r="JXU86" s="43" t="n"/>
      <c r="JXV86" s="43" t="n"/>
      <c r="JXW86" s="43" t="n"/>
      <c r="JXX86" s="43" t="n"/>
      <c r="JXY86" s="43" t="n"/>
      <c r="JXZ86" s="43" t="n"/>
      <c r="JYA86" s="43" t="n"/>
      <c r="JYB86" s="43" t="n"/>
      <c r="JYC86" s="43" t="n"/>
      <c r="JYD86" s="43" t="n"/>
      <c r="JYE86" s="43" t="n"/>
      <c r="JYF86" s="43" t="n"/>
      <c r="JYG86" s="43" t="n"/>
      <c r="JYH86" s="43" t="n"/>
      <c r="JYI86" s="43" t="n"/>
      <c r="JYJ86" s="43" t="n"/>
      <c r="JYK86" s="43" t="n"/>
      <c r="JYL86" s="43" t="n"/>
      <c r="JYM86" s="43" t="n"/>
      <c r="JYN86" s="43" t="n"/>
      <c r="JYO86" s="43" t="n"/>
      <c r="JYP86" s="43" t="n"/>
      <c r="JYQ86" s="43" t="n"/>
      <c r="JYR86" s="43" t="n"/>
      <c r="JYS86" s="43" t="n"/>
      <c r="JYT86" s="43" t="n"/>
      <c r="JYU86" s="43" t="n"/>
      <c r="JYV86" s="43" t="n"/>
      <c r="JYW86" s="43" t="n"/>
      <c r="JYX86" s="43" t="n"/>
      <c r="JYY86" s="43" t="n"/>
      <c r="JYZ86" s="43" t="n"/>
      <c r="JZA86" s="43" t="n"/>
      <c r="JZB86" s="43" t="n"/>
      <c r="JZC86" s="43" t="n"/>
      <c r="JZD86" s="43" t="n"/>
      <c r="JZE86" s="43" t="n"/>
      <c r="JZF86" s="43" t="n"/>
      <c r="JZG86" s="43" t="n"/>
      <c r="JZH86" s="43" t="n"/>
      <c r="JZI86" s="43" t="n"/>
      <c r="JZJ86" s="43" t="n"/>
      <c r="JZK86" s="43" t="n"/>
      <c r="JZL86" s="43" t="n"/>
      <c r="JZM86" s="43" t="n"/>
      <c r="JZN86" s="43" t="n"/>
      <c r="JZO86" s="43" t="n"/>
      <c r="JZP86" s="43" t="n"/>
      <c r="JZQ86" s="43" t="n"/>
      <c r="JZR86" s="43" t="n"/>
      <c r="JZS86" s="43" t="n"/>
      <c r="JZT86" s="43" t="n"/>
      <c r="JZU86" s="43" t="n"/>
      <c r="JZV86" s="43" t="n"/>
      <c r="JZW86" s="43" t="n"/>
      <c r="JZX86" s="43" t="n"/>
      <c r="JZY86" s="43" t="n"/>
      <c r="JZZ86" s="43" t="n"/>
      <c r="KAA86" s="43" t="n"/>
      <c r="KAB86" s="43" t="n"/>
      <c r="KAC86" s="43" t="n"/>
      <c r="KAD86" s="43" t="n"/>
      <c r="KAE86" s="43" t="n"/>
      <c r="KAF86" s="43" t="n"/>
      <c r="KAG86" s="43" t="n"/>
      <c r="KAH86" s="43" t="n"/>
      <c r="KAI86" s="43" t="n"/>
      <c r="KAJ86" s="43" t="n"/>
      <c r="KAK86" s="43" t="n"/>
      <c r="KAL86" s="43" t="n"/>
      <c r="KAM86" s="43" t="n"/>
      <c r="KAN86" s="43" t="n"/>
      <c r="KAO86" s="43" t="n"/>
      <c r="KAP86" s="43" t="n"/>
      <c r="KAQ86" s="43" t="n"/>
      <c r="KAR86" s="43" t="n"/>
      <c r="KAS86" s="43" t="n"/>
      <c r="KAT86" s="43" t="n"/>
      <c r="KAU86" s="43" t="n"/>
      <c r="KAV86" s="43" t="n"/>
      <c r="KAW86" s="43" t="n"/>
      <c r="KAX86" s="43" t="n"/>
      <c r="KAY86" s="43" t="n"/>
      <c r="KAZ86" s="43" t="n"/>
      <c r="KBA86" s="43" t="n"/>
      <c r="KBB86" s="43" t="n"/>
      <c r="KBC86" s="43" t="n"/>
      <c r="KBD86" s="43" t="n"/>
      <c r="KBE86" s="43" t="n"/>
      <c r="KBF86" s="43" t="n"/>
      <c r="KBG86" s="43" t="n"/>
      <c r="KBH86" s="43" t="n"/>
      <c r="KBI86" s="43" t="n"/>
      <c r="KBJ86" s="43" t="n"/>
      <c r="KBK86" s="43" t="n"/>
      <c r="KBL86" s="43" t="n"/>
      <c r="KBM86" s="43" t="n"/>
      <c r="KBN86" s="43" t="n"/>
      <c r="KBO86" s="43" t="n"/>
      <c r="KBP86" s="43" t="n"/>
      <c r="KBQ86" s="43" t="n"/>
      <c r="KBR86" s="43" t="n"/>
      <c r="KBS86" s="43" t="n"/>
      <c r="KBT86" s="43" t="n"/>
      <c r="KBU86" s="43" t="n"/>
      <c r="KBV86" s="43" t="n"/>
      <c r="KBW86" s="43" t="n"/>
      <c r="KBX86" s="43" t="n"/>
      <c r="KBY86" s="43" t="n"/>
      <c r="KBZ86" s="43" t="n"/>
      <c r="KCA86" s="43" t="n"/>
      <c r="KCB86" s="43" t="n"/>
      <c r="KCC86" s="43" t="n"/>
      <c r="KCD86" s="43" t="n"/>
      <c r="KCE86" s="43" t="n"/>
      <c r="KCF86" s="43" t="n"/>
      <c r="KCG86" s="43" t="n"/>
      <c r="KCH86" s="43" t="n"/>
      <c r="KCI86" s="43" t="n"/>
      <c r="KCJ86" s="43" t="n"/>
      <c r="KCK86" s="43" t="n"/>
      <c r="KCL86" s="43" t="n"/>
      <c r="KCM86" s="43" t="n"/>
      <c r="KCN86" s="43" t="n"/>
      <c r="KCO86" s="43" t="n"/>
      <c r="KCP86" s="43" t="n"/>
      <c r="KCQ86" s="43" t="n"/>
      <c r="KCR86" s="43" t="n"/>
      <c r="KCS86" s="43" t="n"/>
      <c r="KCT86" s="43" t="n"/>
      <c r="KCU86" s="43" t="n"/>
      <c r="KCV86" s="43" t="n"/>
      <c r="KCW86" s="43" t="n"/>
      <c r="KCX86" s="43" t="n"/>
      <c r="KCY86" s="43" t="n"/>
      <c r="KCZ86" s="43" t="n"/>
      <c r="KDA86" s="43" t="n"/>
      <c r="KDB86" s="43" t="n"/>
      <c r="KDC86" s="43" t="n"/>
      <c r="KDD86" s="43" t="n"/>
      <c r="KDE86" s="43" t="n"/>
      <c r="KDF86" s="43" t="n"/>
      <c r="KDG86" s="43" t="n"/>
      <c r="KDH86" s="43" t="n"/>
      <c r="KDI86" s="43" t="n"/>
      <c r="KDJ86" s="43" t="n"/>
      <c r="KDK86" s="43" t="n"/>
      <c r="KDL86" s="43" t="n"/>
      <c r="KDM86" s="43" t="n"/>
      <c r="KDN86" s="43" t="n"/>
      <c r="KDO86" s="43" t="n"/>
      <c r="KDP86" s="43" t="n"/>
      <c r="KDQ86" s="43" t="n"/>
      <c r="KDR86" s="43" t="n"/>
      <c r="KDS86" s="43" t="n"/>
      <c r="KDT86" s="43" t="n"/>
      <c r="KDU86" s="43" t="n"/>
      <c r="KDV86" s="43" t="n"/>
      <c r="KDW86" s="43" t="n"/>
      <c r="KDX86" s="43" t="n"/>
      <c r="KDY86" s="43" t="n"/>
      <c r="KDZ86" s="43" t="n"/>
      <c r="KEA86" s="43" t="n"/>
      <c r="KEB86" s="43" t="n"/>
      <c r="KEC86" s="43" t="n"/>
      <c r="KED86" s="43" t="n"/>
      <c r="KEE86" s="43" t="n"/>
      <c r="KEF86" s="43" t="n"/>
      <c r="KEG86" s="43" t="n"/>
      <c r="KEH86" s="43" t="n"/>
      <c r="KEI86" s="43" t="n"/>
      <c r="KEJ86" s="43" t="n"/>
      <c r="KEK86" s="43" t="n"/>
      <c r="KEL86" s="43" t="n"/>
      <c r="KEM86" s="43" t="n"/>
      <c r="KEN86" s="43" t="n"/>
      <c r="KEO86" s="43" t="n"/>
      <c r="KEP86" s="43" t="n"/>
      <c r="KEQ86" s="43" t="n"/>
      <c r="KER86" s="43" t="n"/>
      <c r="KES86" s="43" t="n"/>
      <c r="KET86" s="43" t="n"/>
      <c r="KEU86" s="43" t="n"/>
      <c r="KEV86" s="43" t="n"/>
      <c r="KEW86" s="43" t="n"/>
      <c r="KEX86" s="43" t="n"/>
      <c r="KEY86" s="43" t="n"/>
      <c r="KEZ86" s="43" t="n"/>
      <c r="KFA86" s="43" t="n"/>
      <c r="KFB86" s="43" t="n"/>
      <c r="KFC86" s="43" t="n"/>
      <c r="KFD86" s="43" t="n"/>
      <c r="KFE86" s="43" t="n"/>
      <c r="KFF86" s="43" t="n"/>
      <c r="KFG86" s="43" t="n"/>
      <c r="KFH86" s="43" t="n"/>
      <c r="KFI86" s="43" t="n"/>
      <c r="KFJ86" s="43" t="n"/>
      <c r="KFK86" s="43" t="n"/>
      <c r="KFL86" s="43" t="n"/>
      <c r="KFM86" s="43" t="n"/>
      <c r="KFN86" s="43" t="n"/>
      <c r="KFO86" s="43" t="n"/>
      <c r="KFP86" s="43" t="n"/>
      <c r="KFQ86" s="43" t="n"/>
      <c r="KFR86" s="43" t="n"/>
      <c r="KFS86" s="43" t="n"/>
      <c r="KFT86" s="43" t="n"/>
      <c r="KFU86" s="43" t="n"/>
      <c r="KFV86" s="43" t="n"/>
      <c r="KFW86" s="43" t="n"/>
      <c r="KFX86" s="43" t="n"/>
      <c r="KFY86" s="43" t="n"/>
      <c r="KFZ86" s="43" t="n"/>
      <c r="KGA86" s="43" t="n"/>
      <c r="KGB86" s="43" t="n"/>
      <c r="KGC86" s="43" t="n"/>
      <c r="KGD86" s="43" t="n"/>
      <c r="KGE86" s="43" t="n"/>
      <c r="KGF86" s="43" t="n"/>
      <c r="KGG86" s="43" t="n"/>
      <c r="KGH86" s="43" t="n"/>
      <c r="KGI86" s="43" t="n"/>
      <c r="KGJ86" s="43" t="n"/>
      <c r="KGK86" s="43" t="n"/>
      <c r="KGL86" s="43" t="n"/>
      <c r="KGM86" s="43" t="n"/>
      <c r="KGN86" s="43" t="n"/>
      <c r="KGO86" s="43" t="n"/>
      <c r="KGP86" s="43" t="n"/>
      <c r="KGQ86" s="43" t="n"/>
      <c r="KGR86" s="43" t="n"/>
      <c r="KGS86" s="43" t="n"/>
      <c r="KGT86" s="43" t="n"/>
      <c r="KGU86" s="43" t="n"/>
      <c r="KGV86" s="43" t="n"/>
      <c r="KGW86" s="43" t="n"/>
      <c r="KGX86" s="43" t="n"/>
      <c r="KGY86" s="43" t="n"/>
      <c r="KGZ86" s="43" t="n"/>
      <c r="KHA86" s="43" t="n"/>
      <c r="KHB86" s="43" t="n"/>
      <c r="KHC86" s="43" t="n"/>
      <c r="KHD86" s="43" t="n"/>
      <c r="KHE86" s="43" t="n"/>
      <c r="KHF86" s="43" t="n"/>
      <c r="KHG86" s="43" t="n"/>
      <c r="KHH86" s="43" t="n"/>
      <c r="KHI86" s="43" t="n"/>
      <c r="KHJ86" s="43" t="n"/>
      <c r="KHK86" s="43" t="n"/>
      <c r="KHL86" s="43" t="n"/>
      <c r="KHM86" s="43" t="n"/>
      <c r="KHN86" s="43" t="n"/>
      <c r="KHO86" s="43" t="n"/>
      <c r="KHP86" s="43" t="n"/>
      <c r="KHQ86" s="43" t="n"/>
      <c r="KHR86" s="43" t="n"/>
      <c r="KHS86" s="43" t="n"/>
      <c r="KHT86" s="43" t="n"/>
      <c r="KHU86" s="43" t="n"/>
      <c r="KHV86" s="43" t="n"/>
      <c r="KHW86" s="43" t="n"/>
      <c r="KHX86" s="43" t="n"/>
      <c r="KHY86" s="43" t="n"/>
      <c r="KHZ86" s="43" t="n"/>
      <c r="KIA86" s="43" t="n"/>
      <c r="KIB86" s="43" t="n"/>
      <c r="KIC86" s="43" t="n"/>
      <c r="KID86" s="43" t="n"/>
      <c r="KIE86" s="43" t="n"/>
      <c r="KIF86" s="43" t="n"/>
      <c r="KIG86" s="43" t="n"/>
      <c r="KIH86" s="43" t="n"/>
      <c r="KII86" s="43" t="n"/>
      <c r="KIJ86" s="43" t="n"/>
      <c r="KIK86" s="43" t="n"/>
      <c r="KIL86" s="43" t="n"/>
      <c r="KIM86" s="43" t="n"/>
      <c r="KIN86" s="43" t="n"/>
      <c r="KIO86" s="43" t="n"/>
      <c r="KIP86" s="43" t="n"/>
      <c r="KIQ86" s="43" t="n"/>
      <c r="KIR86" s="43" t="n"/>
      <c r="KIS86" s="43" t="n"/>
      <c r="KIT86" s="43" t="n"/>
      <c r="KIU86" s="43" t="n"/>
      <c r="KIV86" s="43" t="n"/>
      <c r="KIW86" s="43" t="n"/>
      <c r="KIX86" s="43" t="n"/>
      <c r="KIY86" s="43" t="n"/>
      <c r="KIZ86" s="43" t="n"/>
      <c r="KJA86" s="43" t="n"/>
      <c r="KJB86" s="43" t="n"/>
      <c r="KJC86" s="43" t="n"/>
      <c r="KJD86" s="43" t="n"/>
      <c r="KJE86" s="43" t="n"/>
      <c r="KJF86" s="43" t="n"/>
      <c r="KJG86" s="43" t="n"/>
      <c r="KJH86" s="43" t="n"/>
      <c r="KJI86" s="43" t="n"/>
      <c r="KJJ86" s="43" t="n"/>
      <c r="KJK86" s="43" t="n"/>
      <c r="KJL86" s="43" t="n"/>
      <c r="KJM86" s="43" t="n"/>
      <c r="KJN86" s="43" t="n"/>
      <c r="KJO86" s="43" t="n"/>
      <c r="KJP86" s="43" t="n"/>
      <c r="KJQ86" s="43" t="n"/>
      <c r="KJR86" s="43" t="n"/>
      <c r="KJS86" s="43" t="n"/>
      <c r="KJT86" s="43" t="n"/>
      <c r="KJU86" s="43" t="n"/>
      <c r="KJV86" s="43" t="n"/>
      <c r="KJW86" s="43" t="n"/>
      <c r="KJX86" s="43" t="n"/>
      <c r="KJY86" s="43" t="n"/>
      <c r="KJZ86" s="43" t="n"/>
      <c r="KKA86" s="43" t="n"/>
      <c r="KKB86" s="43" t="n"/>
      <c r="KKC86" s="43" t="n"/>
      <c r="KKD86" s="43" t="n"/>
      <c r="KKE86" s="43" t="n"/>
      <c r="KKF86" s="43" t="n"/>
      <c r="KKG86" s="43" t="n"/>
      <c r="KKH86" s="43" t="n"/>
      <c r="KKI86" s="43" t="n"/>
      <c r="KKJ86" s="43" t="n"/>
      <c r="KKK86" s="43" t="n"/>
      <c r="KKL86" s="43" t="n"/>
      <c r="KKM86" s="43" t="n"/>
      <c r="KKN86" s="43" t="n"/>
      <c r="KKO86" s="43" t="n"/>
      <c r="KKP86" s="43" t="n"/>
      <c r="KKQ86" s="43" t="n"/>
      <c r="KKR86" s="43" t="n"/>
      <c r="KKS86" s="43" t="n"/>
      <c r="KKT86" s="43" t="n"/>
      <c r="KKU86" s="43" t="n"/>
      <c r="KKV86" s="43" t="n"/>
      <c r="KKW86" s="43" t="n"/>
      <c r="KKX86" s="43" t="n"/>
      <c r="KKY86" s="43" t="n"/>
      <c r="KKZ86" s="43" t="n"/>
      <c r="KLA86" s="43" t="n"/>
      <c r="KLB86" s="43" t="n"/>
      <c r="KLC86" s="43" t="n"/>
      <c r="KLD86" s="43" t="n"/>
      <c r="KLE86" s="43" t="n"/>
      <c r="KLF86" s="43" t="n"/>
      <c r="KLG86" s="43" t="n"/>
      <c r="KLH86" s="43" t="n"/>
      <c r="KLI86" s="43" t="n"/>
      <c r="KLJ86" s="43" t="n"/>
      <c r="KLK86" s="43" t="n"/>
      <c r="KLL86" s="43" t="n"/>
      <c r="KLM86" s="43" t="n"/>
      <c r="KLN86" s="43" t="n"/>
      <c r="KLO86" s="43" t="n"/>
      <c r="KLP86" s="43" t="n"/>
      <c r="KLQ86" s="43" t="n"/>
      <c r="KLR86" s="43" t="n"/>
      <c r="KLS86" s="43" t="n"/>
      <c r="KLT86" s="43" t="n"/>
      <c r="KLU86" s="43" t="n"/>
      <c r="KLV86" s="43" t="n"/>
      <c r="KLW86" s="43" t="n"/>
      <c r="KLX86" s="43" t="n"/>
      <c r="KLY86" s="43" t="n"/>
      <c r="KLZ86" s="43" t="n"/>
      <c r="KMA86" s="43" t="n"/>
      <c r="KMB86" s="43" t="n"/>
      <c r="KMC86" s="43" t="n"/>
      <c r="KMD86" s="43" t="n"/>
      <c r="KME86" s="43" t="n"/>
      <c r="KMF86" s="43" t="n"/>
      <c r="KMG86" s="43" t="n"/>
      <c r="KMH86" s="43" t="n"/>
      <c r="KMI86" s="43" t="n"/>
      <c r="KMJ86" s="43" t="n"/>
      <c r="KMK86" s="43" t="n"/>
      <c r="KML86" s="43" t="n"/>
      <c r="KMM86" s="43" t="n"/>
      <c r="KMN86" s="43" t="n"/>
      <c r="KMO86" s="43" t="n"/>
      <c r="KMP86" s="43" t="n"/>
      <c r="KMQ86" s="43" t="n"/>
      <c r="KMR86" s="43" t="n"/>
      <c r="KMS86" s="43" t="n"/>
      <c r="KMT86" s="43" t="n"/>
      <c r="KMU86" s="43" t="n"/>
      <c r="KMV86" s="43" t="n"/>
      <c r="KMW86" s="43" t="n"/>
      <c r="KMX86" s="43" t="n"/>
      <c r="KMY86" s="43" t="n"/>
      <c r="KMZ86" s="43" t="n"/>
      <c r="KNA86" s="43" t="n"/>
      <c r="KNB86" s="43" t="n"/>
      <c r="KNC86" s="43" t="n"/>
      <c r="KND86" s="43" t="n"/>
      <c r="KNE86" s="43" t="n"/>
      <c r="KNF86" s="43" t="n"/>
      <c r="KNG86" s="43" t="n"/>
      <c r="KNH86" s="43" t="n"/>
      <c r="KNI86" s="43" t="n"/>
      <c r="KNJ86" s="43" t="n"/>
      <c r="KNK86" s="43" t="n"/>
      <c r="KNL86" s="43" t="n"/>
      <c r="KNM86" s="43" t="n"/>
      <c r="KNN86" s="43" t="n"/>
      <c r="KNO86" s="43" t="n"/>
      <c r="KNP86" s="43" t="n"/>
      <c r="KNQ86" s="43" t="n"/>
      <c r="KNR86" s="43" t="n"/>
      <c r="KNS86" s="43" t="n"/>
      <c r="KNT86" s="43" t="n"/>
      <c r="KNU86" s="43" t="n"/>
      <c r="KNV86" s="43" t="n"/>
      <c r="KNW86" s="43" t="n"/>
      <c r="KNX86" s="43" t="n"/>
      <c r="KNY86" s="43" t="n"/>
      <c r="KNZ86" s="43" t="n"/>
      <c r="KOA86" s="43" t="n"/>
      <c r="KOB86" s="43" t="n"/>
      <c r="KOC86" s="43" t="n"/>
      <c r="KOD86" s="43" t="n"/>
      <c r="KOE86" s="43" t="n"/>
      <c r="KOF86" s="43" t="n"/>
      <c r="KOG86" s="43" t="n"/>
      <c r="KOH86" s="43" t="n"/>
      <c r="KOI86" s="43" t="n"/>
      <c r="KOJ86" s="43" t="n"/>
      <c r="KOK86" s="43" t="n"/>
      <c r="KOL86" s="43" t="n"/>
      <c r="KOM86" s="43" t="n"/>
      <c r="KON86" s="43" t="n"/>
      <c r="KOO86" s="43" t="n"/>
      <c r="KOP86" s="43" t="n"/>
      <c r="KOQ86" s="43" t="n"/>
      <c r="KOR86" s="43" t="n"/>
      <c r="KOS86" s="43" t="n"/>
      <c r="KOT86" s="43" t="n"/>
      <c r="KOU86" s="43" t="n"/>
      <c r="KOV86" s="43" t="n"/>
      <c r="KOW86" s="43" t="n"/>
      <c r="KOX86" s="43" t="n"/>
      <c r="KOY86" s="43" t="n"/>
      <c r="KOZ86" s="43" t="n"/>
      <c r="KPA86" s="43" t="n"/>
      <c r="KPB86" s="43" t="n"/>
      <c r="KPC86" s="43" t="n"/>
      <c r="KPD86" s="43" t="n"/>
      <c r="KPE86" s="43" t="n"/>
      <c r="KPF86" s="43" t="n"/>
      <c r="KPG86" s="43" t="n"/>
      <c r="KPH86" s="43" t="n"/>
      <c r="KPI86" s="43" t="n"/>
      <c r="KPJ86" s="43" t="n"/>
      <c r="KPK86" s="43" t="n"/>
      <c r="KPL86" s="43" t="n"/>
      <c r="KPM86" s="43" t="n"/>
      <c r="KPN86" s="43" t="n"/>
      <c r="KPO86" s="43" t="n"/>
      <c r="KPP86" s="43" t="n"/>
      <c r="KPQ86" s="43" t="n"/>
      <c r="KPR86" s="43" t="n"/>
      <c r="KPS86" s="43" t="n"/>
      <c r="KPT86" s="43" t="n"/>
      <c r="KPU86" s="43" t="n"/>
      <c r="KPV86" s="43" t="n"/>
      <c r="KPW86" s="43" t="n"/>
      <c r="KPX86" s="43" t="n"/>
      <c r="KPY86" s="43" t="n"/>
      <c r="KPZ86" s="43" t="n"/>
      <c r="KQA86" s="43" t="n"/>
      <c r="KQB86" s="43" t="n"/>
      <c r="KQC86" s="43" t="n"/>
      <c r="KQD86" s="43" t="n"/>
      <c r="KQE86" s="43" t="n"/>
      <c r="KQF86" s="43" t="n"/>
      <c r="KQG86" s="43" t="n"/>
      <c r="KQH86" s="43" t="n"/>
      <c r="KQI86" s="43" t="n"/>
      <c r="KQJ86" s="43" t="n"/>
      <c r="KQK86" s="43" t="n"/>
      <c r="KQL86" s="43" t="n"/>
      <c r="KQM86" s="43" t="n"/>
      <c r="KQN86" s="43" t="n"/>
      <c r="KQO86" s="43" t="n"/>
      <c r="KQP86" s="43" t="n"/>
      <c r="KQQ86" s="43" t="n"/>
      <c r="KQR86" s="43" t="n"/>
      <c r="KQS86" s="43" t="n"/>
      <c r="KQT86" s="43" t="n"/>
      <c r="KQU86" s="43" t="n"/>
      <c r="KQV86" s="43" t="n"/>
      <c r="KQW86" s="43" t="n"/>
      <c r="KQX86" s="43" t="n"/>
      <c r="KQY86" s="43" t="n"/>
      <c r="KQZ86" s="43" t="n"/>
      <c r="KRA86" s="43" t="n"/>
      <c r="KRB86" s="43" t="n"/>
      <c r="KRC86" s="43" t="n"/>
      <c r="KRD86" s="43" t="n"/>
      <c r="KRE86" s="43" t="n"/>
      <c r="KRF86" s="43" t="n"/>
      <c r="KRG86" s="43" t="n"/>
      <c r="KRH86" s="43" t="n"/>
      <c r="KRI86" s="43" t="n"/>
      <c r="KRJ86" s="43" t="n"/>
      <c r="KRK86" s="43" t="n"/>
      <c r="KRL86" s="43" t="n"/>
      <c r="KRM86" s="43" t="n"/>
      <c r="KRN86" s="43" t="n"/>
      <c r="KRO86" s="43" t="n"/>
      <c r="KRP86" s="43" t="n"/>
      <c r="KRQ86" s="43" t="n"/>
      <c r="KRR86" s="43" t="n"/>
      <c r="KRS86" s="43" t="n"/>
      <c r="KRT86" s="43" t="n"/>
      <c r="KRU86" s="43" t="n"/>
      <c r="KRV86" s="43" t="n"/>
      <c r="KRW86" s="43" t="n"/>
      <c r="KRX86" s="43" t="n"/>
      <c r="KRY86" s="43" t="n"/>
      <c r="KRZ86" s="43" t="n"/>
      <c r="KSA86" s="43" t="n"/>
      <c r="KSB86" s="43" t="n"/>
      <c r="KSC86" s="43" t="n"/>
      <c r="KSD86" s="43" t="n"/>
      <c r="KSE86" s="43" t="n"/>
      <c r="KSF86" s="43" t="n"/>
      <c r="KSG86" s="43" t="n"/>
      <c r="KSH86" s="43" t="n"/>
      <c r="KSI86" s="43" t="n"/>
      <c r="KSJ86" s="43" t="n"/>
      <c r="KSK86" s="43" t="n"/>
      <c r="KSL86" s="43" t="n"/>
      <c r="KSM86" s="43" t="n"/>
      <c r="KSN86" s="43" t="n"/>
      <c r="KSO86" s="43" t="n"/>
      <c r="KSP86" s="43" t="n"/>
      <c r="KSQ86" s="43" t="n"/>
      <c r="KSR86" s="43" t="n"/>
      <c r="KSS86" s="43" t="n"/>
      <c r="KST86" s="43" t="n"/>
      <c r="KSU86" s="43" t="n"/>
      <c r="KSV86" s="43" t="n"/>
      <c r="KSW86" s="43" t="n"/>
      <c r="KSX86" s="43" t="n"/>
      <c r="KSY86" s="43" t="n"/>
      <c r="KSZ86" s="43" t="n"/>
      <c r="KTA86" s="43" t="n"/>
      <c r="KTB86" s="43" t="n"/>
      <c r="KTC86" s="43" t="n"/>
      <c r="KTD86" s="43" t="n"/>
      <c r="KTE86" s="43" t="n"/>
      <c r="KTF86" s="43" t="n"/>
      <c r="KTG86" s="43" t="n"/>
      <c r="KTH86" s="43" t="n"/>
      <c r="KTI86" s="43" t="n"/>
      <c r="KTJ86" s="43" t="n"/>
      <c r="KTK86" s="43" t="n"/>
      <c r="KTL86" s="43" t="n"/>
      <c r="KTM86" s="43" t="n"/>
      <c r="KTN86" s="43" t="n"/>
      <c r="KTO86" s="43" t="n"/>
      <c r="KTP86" s="43" t="n"/>
      <c r="KTQ86" s="43" t="n"/>
      <c r="KTR86" s="43" t="n"/>
      <c r="KTS86" s="43" t="n"/>
      <c r="KTT86" s="43" t="n"/>
      <c r="KTU86" s="43" t="n"/>
      <c r="KTV86" s="43" t="n"/>
      <c r="KTW86" s="43" t="n"/>
      <c r="KTX86" s="43" t="n"/>
      <c r="KTY86" s="43" t="n"/>
      <c r="KTZ86" s="43" t="n"/>
      <c r="KUA86" s="43" t="n"/>
      <c r="KUB86" s="43" t="n"/>
      <c r="KUC86" s="43" t="n"/>
      <c r="KUD86" s="43" t="n"/>
      <c r="KUE86" s="43" t="n"/>
      <c r="KUF86" s="43" t="n"/>
      <c r="KUG86" s="43" t="n"/>
      <c r="KUH86" s="43" t="n"/>
      <c r="KUI86" s="43" t="n"/>
      <c r="KUJ86" s="43" t="n"/>
      <c r="KUK86" s="43" t="n"/>
      <c r="KUL86" s="43" t="n"/>
      <c r="KUM86" s="43" t="n"/>
      <c r="KUN86" s="43" t="n"/>
      <c r="KUO86" s="43" t="n"/>
      <c r="KUP86" s="43" t="n"/>
      <c r="KUQ86" s="43" t="n"/>
      <c r="KUR86" s="43" t="n"/>
      <c r="KUS86" s="43" t="n"/>
      <c r="KUT86" s="43" t="n"/>
      <c r="KUU86" s="43" t="n"/>
      <c r="KUV86" s="43" t="n"/>
      <c r="KUW86" s="43" t="n"/>
      <c r="KUX86" s="43" t="n"/>
      <c r="KUY86" s="43" t="n"/>
      <c r="KUZ86" s="43" t="n"/>
      <c r="KVA86" s="43" t="n"/>
      <c r="KVB86" s="43" t="n"/>
      <c r="KVC86" s="43" t="n"/>
      <c r="KVD86" s="43" t="n"/>
      <c r="KVE86" s="43" t="n"/>
      <c r="KVF86" s="43" t="n"/>
      <c r="KVG86" s="43" t="n"/>
      <c r="KVH86" s="43" t="n"/>
      <c r="KVI86" s="43" t="n"/>
      <c r="KVJ86" s="43" t="n"/>
      <c r="KVK86" s="43" t="n"/>
      <c r="KVL86" s="43" t="n"/>
      <c r="KVM86" s="43" t="n"/>
      <c r="KVN86" s="43" t="n"/>
      <c r="KVO86" s="43" t="n"/>
      <c r="KVP86" s="43" t="n"/>
      <c r="KVQ86" s="43" t="n"/>
      <c r="KVR86" s="43" t="n"/>
      <c r="KVS86" s="43" t="n"/>
      <c r="KVT86" s="43" t="n"/>
      <c r="KVU86" s="43" t="n"/>
      <c r="KVV86" s="43" t="n"/>
      <c r="KVW86" s="43" t="n"/>
      <c r="KVX86" s="43" t="n"/>
      <c r="KVY86" s="43" t="n"/>
      <c r="KVZ86" s="43" t="n"/>
      <c r="KWA86" s="43" t="n"/>
      <c r="KWB86" s="43" t="n"/>
      <c r="KWC86" s="43" t="n"/>
      <c r="KWD86" s="43" t="n"/>
      <c r="KWE86" s="43" t="n"/>
      <c r="KWF86" s="43" t="n"/>
      <c r="KWG86" s="43" t="n"/>
      <c r="KWH86" s="43" t="n"/>
      <c r="KWI86" s="43" t="n"/>
      <c r="KWJ86" s="43" t="n"/>
      <c r="KWK86" s="43" t="n"/>
      <c r="KWL86" s="43" t="n"/>
      <c r="KWM86" s="43" t="n"/>
      <c r="KWN86" s="43" t="n"/>
      <c r="KWO86" s="43" t="n"/>
      <c r="KWP86" s="43" t="n"/>
      <c r="KWQ86" s="43" t="n"/>
      <c r="KWR86" s="43" t="n"/>
      <c r="KWS86" s="43" t="n"/>
      <c r="KWT86" s="43" t="n"/>
      <c r="KWU86" s="43" t="n"/>
      <c r="KWV86" s="43" t="n"/>
      <c r="KWW86" s="43" t="n"/>
      <c r="KWX86" s="43" t="n"/>
      <c r="KWY86" s="43" t="n"/>
      <c r="KWZ86" s="43" t="n"/>
      <c r="KXA86" s="43" t="n"/>
      <c r="KXB86" s="43" t="n"/>
      <c r="KXC86" s="43" t="n"/>
      <c r="KXD86" s="43" t="n"/>
      <c r="KXE86" s="43" t="n"/>
      <c r="KXF86" s="43" t="n"/>
      <c r="KXG86" s="43" t="n"/>
      <c r="KXH86" s="43" t="n"/>
      <c r="KXI86" s="43" t="n"/>
      <c r="KXJ86" s="43" t="n"/>
      <c r="KXK86" s="43" t="n"/>
      <c r="KXL86" s="43" t="n"/>
      <c r="KXM86" s="43" t="n"/>
      <c r="KXN86" s="43" t="n"/>
      <c r="KXO86" s="43" t="n"/>
      <c r="KXP86" s="43" t="n"/>
      <c r="KXQ86" s="43" t="n"/>
      <c r="KXR86" s="43" t="n"/>
      <c r="KXS86" s="43" t="n"/>
      <c r="KXT86" s="43" t="n"/>
      <c r="KXU86" s="43" t="n"/>
      <c r="KXV86" s="43" t="n"/>
      <c r="KXW86" s="43" t="n"/>
      <c r="KXX86" s="43" t="n"/>
      <c r="KXY86" s="43" t="n"/>
      <c r="KXZ86" s="43" t="n"/>
      <c r="KYA86" s="43" t="n"/>
      <c r="KYB86" s="43" t="n"/>
      <c r="KYC86" s="43" t="n"/>
      <c r="KYD86" s="43" t="n"/>
      <c r="KYE86" s="43" t="n"/>
      <c r="KYF86" s="43" t="n"/>
      <c r="KYG86" s="43" t="n"/>
      <c r="KYH86" s="43" t="n"/>
      <c r="KYI86" s="43" t="n"/>
      <c r="KYJ86" s="43" t="n"/>
      <c r="KYK86" s="43" t="n"/>
      <c r="KYL86" s="43" t="n"/>
      <c r="KYM86" s="43" t="n"/>
      <c r="KYN86" s="43" t="n"/>
      <c r="KYO86" s="43" t="n"/>
      <c r="KYP86" s="43" t="n"/>
      <c r="KYQ86" s="43" t="n"/>
      <c r="KYR86" s="43" t="n"/>
      <c r="KYS86" s="43" t="n"/>
      <c r="KYT86" s="43" t="n"/>
      <c r="KYU86" s="43" t="n"/>
      <c r="KYV86" s="43" t="n"/>
      <c r="KYW86" s="43" t="n"/>
      <c r="KYX86" s="43" t="n"/>
      <c r="KYY86" s="43" t="n"/>
      <c r="KYZ86" s="43" t="n"/>
      <c r="KZA86" s="43" t="n"/>
      <c r="KZB86" s="43" t="n"/>
      <c r="KZC86" s="43" t="n"/>
      <c r="KZD86" s="43" t="n"/>
      <c r="KZE86" s="43" t="n"/>
      <c r="KZF86" s="43" t="n"/>
      <c r="KZG86" s="43" t="n"/>
      <c r="KZH86" s="43" t="n"/>
      <c r="KZI86" s="43" t="n"/>
      <c r="KZJ86" s="43" t="n"/>
      <c r="KZK86" s="43" t="n"/>
      <c r="KZL86" s="43" t="n"/>
      <c r="KZM86" s="43" t="n"/>
      <c r="KZN86" s="43" t="n"/>
      <c r="KZO86" s="43" t="n"/>
      <c r="KZP86" s="43" t="n"/>
      <c r="KZQ86" s="43" t="n"/>
      <c r="KZR86" s="43" t="n"/>
      <c r="KZS86" s="43" t="n"/>
      <c r="KZT86" s="43" t="n"/>
      <c r="KZU86" s="43" t="n"/>
      <c r="KZV86" s="43" t="n"/>
      <c r="KZW86" s="43" t="n"/>
      <c r="KZX86" s="43" t="n"/>
      <c r="KZY86" s="43" t="n"/>
      <c r="KZZ86" s="43" t="n"/>
      <c r="LAA86" s="43" t="n"/>
      <c r="LAB86" s="43" t="n"/>
      <c r="LAC86" s="43" t="n"/>
      <c r="LAD86" s="43" t="n"/>
      <c r="LAE86" s="43" t="n"/>
      <c r="LAF86" s="43" t="n"/>
      <c r="LAG86" s="43" t="n"/>
      <c r="LAH86" s="43" t="n"/>
      <c r="LAI86" s="43" t="n"/>
      <c r="LAJ86" s="43" t="n"/>
      <c r="LAK86" s="43" t="n"/>
      <c r="LAL86" s="43" t="n"/>
      <c r="LAM86" s="43" t="n"/>
      <c r="LAN86" s="43" t="n"/>
      <c r="LAO86" s="43" t="n"/>
      <c r="LAP86" s="43" t="n"/>
      <c r="LAQ86" s="43" t="n"/>
      <c r="LAR86" s="43" t="n"/>
      <c r="LAS86" s="43" t="n"/>
      <c r="LAT86" s="43" t="n"/>
      <c r="LAU86" s="43" t="n"/>
      <c r="LAV86" s="43" t="n"/>
      <c r="LAW86" s="43" t="n"/>
      <c r="LAX86" s="43" t="n"/>
      <c r="LAY86" s="43" t="n"/>
      <c r="LAZ86" s="43" t="n"/>
      <c r="LBA86" s="43" t="n"/>
      <c r="LBB86" s="43" t="n"/>
      <c r="LBC86" s="43" t="n"/>
      <c r="LBD86" s="43" t="n"/>
      <c r="LBE86" s="43" t="n"/>
      <c r="LBF86" s="43" t="n"/>
      <c r="LBG86" s="43" t="n"/>
      <c r="LBH86" s="43" t="n"/>
      <c r="LBI86" s="43" t="n"/>
      <c r="LBJ86" s="43" t="n"/>
      <c r="LBK86" s="43" t="n"/>
      <c r="LBL86" s="43" t="n"/>
      <c r="LBM86" s="43" t="n"/>
      <c r="LBN86" s="43" t="n"/>
      <c r="LBO86" s="43" t="n"/>
      <c r="LBP86" s="43" t="n"/>
      <c r="LBQ86" s="43" t="n"/>
      <c r="LBR86" s="43" t="n"/>
      <c r="LBS86" s="43" t="n"/>
      <c r="LBT86" s="43" t="n"/>
      <c r="LBU86" s="43" t="n"/>
      <c r="LBV86" s="43" t="n"/>
      <c r="LBW86" s="43" t="n"/>
      <c r="LBX86" s="43" t="n"/>
      <c r="LBY86" s="43" t="n"/>
      <c r="LBZ86" s="43" t="n"/>
      <c r="LCA86" s="43" t="n"/>
      <c r="LCB86" s="43" t="n"/>
      <c r="LCC86" s="43" t="n"/>
      <c r="LCD86" s="43" t="n"/>
      <c r="LCE86" s="43" t="n"/>
      <c r="LCF86" s="43" t="n"/>
      <c r="LCG86" s="43" t="n"/>
      <c r="LCH86" s="43" t="n"/>
      <c r="LCI86" s="43" t="n"/>
      <c r="LCJ86" s="43" t="n"/>
      <c r="LCK86" s="43" t="n"/>
      <c r="LCL86" s="43" t="n"/>
      <c r="LCM86" s="43" t="n"/>
      <c r="LCN86" s="43" t="n"/>
      <c r="LCO86" s="43" t="n"/>
      <c r="LCP86" s="43" t="n"/>
      <c r="LCQ86" s="43" t="n"/>
      <c r="LCR86" s="43" t="n"/>
      <c r="LCS86" s="43" t="n"/>
      <c r="LCT86" s="43" t="n"/>
      <c r="LCU86" s="43" t="n"/>
      <c r="LCV86" s="43" t="n"/>
      <c r="LCW86" s="43" t="n"/>
      <c r="LCX86" s="43" t="n"/>
      <c r="LCY86" s="43" t="n"/>
      <c r="LCZ86" s="43" t="n"/>
      <c r="LDA86" s="43" t="n"/>
      <c r="LDB86" s="43" t="n"/>
      <c r="LDC86" s="43" t="n"/>
      <c r="LDD86" s="43" t="n"/>
      <c r="LDE86" s="43" t="n"/>
      <c r="LDF86" s="43" t="n"/>
      <c r="LDG86" s="43" t="n"/>
      <c r="LDH86" s="43" t="n"/>
      <c r="LDI86" s="43" t="n"/>
      <c r="LDJ86" s="43" t="n"/>
      <c r="LDK86" s="43" t="n"/>
      <c r="LDL86" s="43" t="n"/>
      <c r="LDM86" s="43" t="n"/>
      <c r="LDN86" s="43" t="n"/>
      <c r="LDO86" s="43" t="n"/>
      <c r="LDP86" s="43" t="n"/>
      <c r="LDQ86" s="43" t="n"/>
      <c r="LDR86" s="43" t="n"/>
      <c r="LDS86" s="43" t="n"/>
      <c r="LDT86" s="43" t="n"/>
      <c r="LDU86" s="43" t="n"/>
      <c r="LDV86" s="43" t="n"/>
      <c r="LDW86" s="43" t="n"/>
      <c r="LDX86" s="43" t="n"/>
      <c r="LDY86" s="43" t="n"/>
      <c r="LDZ86" s="43" t="n"/>
      <c r="LEA86" s="43" t="n"/>
      <c r="LEB86" s="43" t="n"/>
      <c r="LEC86" s="43" t="n"/>
      <c r="LED86" s="43" t="n"/>
      <c r="LEE86" s="43" t="n"/>
      <c r="LEF86" s="43" t="n"/>
      <c r="LEG86" s="43" t="n"/>
      <c r="LEH86" s="43" t="n"/>
      <c r="LEI86" s="43" t="n"/>
      <c r="LEJ86" s="43" t="n"/>
      <c r="LEK86" s="43" t="n"/>
      <c r="LEL86" s="43" t="n"/>
      <c r="LEM86" s="43" t="n"/>
      <c r="LEN86" s="43" t="n"/>
      <c r="LEO86" s="43" t="n"/>
      <c r="LEP86" s="43" t="n"/>
      <c r="LEQ86" s="43" t="n"/>
      <c r="LER86" s="43" t="n"/>
      <c r="LES86" s="43" t="n"/>
      <c r="LET86" s="43" t="n"/>
      <c r="LEU86" s="43" t="n"/>
      <c r="LEV86" s="43" t="n"/>
      <c r="LEW86" s="43" t="n"/>
      <c r="LEX86" s="43" t="n"/>
      <c r="LEY86" s="43" t="n"/>
      <c r="LEZ86" s="43" t="n"/>
      <c r="LFA86" s="43" t="n"/>
      <c r="LFB86" s="43" t="n"/>
      <c r="LFC86" s="43" t="n"/>
      <c r="LFD86" s="43" t="n"/>
      <c r="LFE86" s="43" t="n"/>
      <c r="LFF86" s="43" t="n"/>
      <c r="LFG86" s="43" t="n"/>
      <c r="LFH86" s="43" t="n"/>
      <c r="LFI86" s="43" t="n"/>
      <c r="LFJ86" s="43" t="n"/>
      <c r="LFK86" s="43" t="n"/>
      <c r="LFL86" s="43" t="n"/>
      <c r="LFM86" s="43" t="n"/>
      <c r="LFN86" s="43" t="n"/>
      <c r="LFO86" s="43" t="n"/>
      <c r="LFP86" s="43" t="n"/>
      <c r="LFQ86" s="43" t="n"/>
      <c r="LFR86" s="43" t="n"/>
      <c r="LFS86" s="43" t="n"/>
      <c r="LFT86" s="43" t="n"/>
      <c r="LFU86" s="43" t="n"/>
      <c r="LFV86" s="43" t="n"/>
      <c r="LFW86" s="43" t="n"/>
      <c r="LFX86" s="43" t="n"/>
      <c r="LFY86" s="43" t="n"/>
      <c r="LFZ86" s="43" t="n"/>
      <c r="LGA86" s="43" t="n"/>
      <c r="LGB86" s="43" t="n"/>
      <c r="LGC86" s="43" t="n"/>
      <c r="LGD86" s="43" t="n"/>
      <c r="LGE86" s="43" t="n"/>
      <c r="LGF86" s="43" t="n"/>
      <c r="LGG86" s="43" t="n"/>
      <c r="LGH86" s="43" t="n"/>
      <c r="LGI86" s="43" t="n"/>
      <c r="LGJ86" s="43" t="n"/>
      <c r="LGK86" s="43" t="n"/>
      <c r="LGL86" s="43" t="n"/>
      <c r="LGM86" s="43" t="n"/>
      <c r="LGN86" s="43" t="n"/>
      <c r="LGO86" s="43" t="n"/>
      <c r="LGP86" s="43" t="n"/>
      <c r="LGQ86" s="43" t="n"/>
      <c r="LGR86" s="43" t="n"/>
      <c r="LGS86" s="43" t="n"/>
      <c r="LGT86" s="43" t="n"/>
      <c r="LGU86" s="43" t="n"/>
      <c r="LGV86" s="43" t="n"/>
      <c r="LGW86" s="43" t="n"/>
      <c r="LGX86" s="43" t="n"/>
      <c r="LGY86" s="43" t="n"/>
      <c r="LGZ86" s="43" t="n"/>
      <c r="LHA86" s="43" t="n"/>
      <c r="LHB86" s="43" t="n"/>
      <c r="LHC86" s="43" t="n"/>
      <c r="LHD86" s="43" t="n"/>
      <c r="LHE86" s="43" t="n"/>
      <c r="LHF86" s="43" t="n"/>
      <c r="LHG86" s="43" t="n"/>
      <c r="LHH86" s="43" t="n"/>
      <c r="LHI86" s="43" t="n"/>
      <c r="LHJ86" s="43" t="n"/>
      <c r="LHK86" s="43" t="n"/>
      <c r="LHL86" s="43" t="n"/>
      <c r="LHM86" s="43" t="n"/>
      <c r="LHN86" s="43" t="n"/>
      <c r="LHO86" s="43" t="n"/>
      <c r="LHP86" s="43" t="n"/>
      <c r="LHQ86" s="43" t="n"/>
      <c r="LHR86" s="43" t="n"/>
      <c r="LHS86" s="43" t="n"/>
      <c r="LHT86" s="43" t="n"/>
      <c r="LHU86" s="43" t="n"/>
      <c r="LHV86" s="43" t="n"/>
      <c r="LHW86" s="43" t="n"/>
      <c r="LHX86" s="43" t="n"/>
      <c r="LHY86" s="43" t="n"/>
      <c r="LHZ86" s="43" t="n"/>
      <c r="LIA86" s="43" t="n"/>
      <c r="LIB86" s="43" t="n"/>
      <c r="LIC86" s="43" t="n"/>
      <c r="LID86" s="43" t="n"/>
      <c r="LIE86" s="43" t="n"/>
      <c r="LIF86" s="43" t="n"/>
      <c r="LIG86" s="43" t="n"/>
      <c r="LIH86" s="43" t="n"/>
      <c r="LII86" s="43" t="n"/>
      <c r="LIJ86" s="43" t="n"/>
      <c r="LIK86" s="43" t="n"/>
      <c r="LIL86" s="43" t="n"/>
      <c r="LIM86" s="43" t="n"/>
      <c r="LIN86" s="43" t="n"/>
      <c r="LIO86" s="43" t="n"/>
      <c r="LIP86" s="43" t="n"/>
      <c r="LIQ86" s="43" t="n"/>
      <c r="LIR86" s="43" t="n"/>
      <c r="LIS86" s="43" t="n"/>
      <c r="LIT86" s="43" t="n"/>
      <c r="LIU86" s="43" t="n"/>
      <c r="LIV86" s="43" t="n"/>
      <c r="LIW86" s="43" t="n"/>
      <c r="LIX86" s="43" t="n"/>
      <c r="LIY86" s="43" t="n"/>
      <c r="LIZ86" s="43" t="n"/>
      <c r="LJA86" s="43" t="n"/>
      <c r="LJB86" s="43" t="n"/>
      <c r="LJC86" s="43" t="n"/>
      <c r="LJD86" s="43" t="n"/>
      <c r="LJE86" s="43" t="n"/>
      <c r="LJF86" s="43" t="n"/>
      <c r="LJG86" s="43" t="n"/>
      <c r="LJH86" s="43" t="n"/>
      <c r="LJI86" s="43" t="n"/>
      <c r="LJJ86" s="43" t="n"/>
      <c r="LJK86" s="43" t="n"/>
      <c r="LJL86" s="43" t="n"/>
      <c r="LJM86" s="43" t="n"/>
      <c r="LJN86" s="43" t="n"/>
      <c r="LJO86" s="43" t="n"/>
      <c r="LJP86" s="43" t="n"/>
      <c r="LJQ86" s="43" t="n"/>
      <c r="LJR86" s="43" t="n"/>
      <c r="LJS86" s="43" t="n"/>
      <c r="LJT86" s="43" t="n"/>
      <c r="LJU86" s="43" t="n"/>
      <c r="LJV86" s="43" t="n"/>
      <c r="LJW86" s="43" t="n"/>
      <c r="LJX86" s="43" t="n"/>
      <c r="LJY86" s="43" t="n"/>
      <c r="LJZ86" s="43" t="n"/>
      <c r="LKA86" s="43" t="n"/>
      <c r="LKB86" s="43" t="n"/>
      <c r="LKC86" s="43" t="n"/>
      <c r="LKD86" s="43" t="n"/>
      <c r="LKE86" s="43" t="n"/>
      <c r="LKF86" s="43" t="n"/>
      <c r="LKG86" s="43" t="n"/>
      <c r="LKH86" s="43" t="n"/>
      <c r="LKI86" s="43" t="n"/>
      <c r="LKJ86" s="43" t="n"/>
      <c r="LKK86" s="43" t="n"/>
      <c r="LKL86" s="43" t="n"/>
      <c r="LKM86" s="43" t="n"/>
      <c r="LKN86" s="43" t="n"/>
      <c r="LKO86" s="43" t="n"/>
      <c r="LKP86" s="43" t="n"/>
      <c r="LKQ86" s="43" t="n"/>
      <c r="LKR86" s="43" t="n"/>
      <c r="LKS86" s="43" t="n"/>
      <c r="LKT86" s="43" t="n"/>
      <c r="LKU86" s="43" t="n"/>
      <c r="LKV86" s="43" t="n"/>
      <c r="LKW86" s="43" t="n"/>
      <c r="LKX86" s="43" t="n"/>
      <c r="LKY86" s="43" t="n"/>
      <c r="LKZ86" s="43" t="n"/>
      <c r="LLA86" s="43" t="n"/>
      <c r="LLB86" s="43" t="n"/>
      <c r="LLC86" s="43" t="n"/>
      <c r="LLD86" s="43" t="n"/>
      <c r="LLE86" s="43" t="n"/>
      <c r="LLF86" s="43" t="n"/>
      <c r="LLG86" s="43" t="n"/>
      <c r="LLH86" s="43" t="n"/>
      <c r="LLI86" s="43" t="n"/>
      <c r="LLJ86" s="43" t="n"/>
      <c r="LLK86" s="43" t="n"/>
      <c r="LLL86" s="43" t="n"/>
      <c r="LLM86" s="43" t="n"/>
      <c r="LLN86" s="43" t="n"/>
      <c r="LLO86" s="43" t="n"/>
      <c r="LLP86" s="43" t="n"/>
      <c r="LLQ86" s="43" t="n"/>
      <c r="LLR86" s="43" t="n"/>
      <c r="LLS86" s="43" t="n"/>
      <c r="LLT86" s="43" t="n"/>
      <c r="LLU86" s="43" t="n"/>
      <c r="LLV86" s="43" t="n"/>
      <c r="LLW86" s="43" t="n"/>
      <c r="LLX86" s="43" t="n"/>
      <c r="LLY86" s="43" t="n"/>
      <c r="LLZ86" s="43" t="n"/>
      <c r="LMA86" s="43" t="n"/>
      <c r="LMB86" s="43" t="n"/>
      <c r="LMC86" s="43" t="n"/>
      <c r="LMD86" s="43" t="n"/>
      <c r="LME86" s="43" t="n"/>
      <c r="LMF86" s="43" t="n"/>
      <c r="LMG86" s="43" t="n"/>
      <c r="LMH86" s="43" t="n"/>
      <c r="LMI86" s="43" t="n"/>
      <c r="LMJ86" s="43" t="n"/>
      <c r="LMK86" s="43" t="n"/>
      <c r="LML86" s="43" t="n"/>
      <c r="LMM86" s="43" t="n"/>
      <c r="LMN86" s="43" t="n"/>
      <c r="LMO86" s="43" t="n"/>
      <c r="LMP86" s="43" t="n"/>
      <c r="LMQ86" s="43" t="n"/>
      <c r="LMR86" s="43" t="n"/>
      <c r="LMS86" s="43" t="n"/>
      <c r="LMT86" s="43" t="n"/>
      <c r="LMU86" s="43" t="n"/>
      <c r="LMV86" s="43" t="n"/>
      <c r="LMW86" s="43" t="n"/>
      <c r="LMX86" s="43" t="n"/>
      <c r="LMY86" s="43" t="n"/>
      <c r="LMZ86" s="43" t="n"/>
      <c r="LNA86" s="43" t="n"/>
      <c r="LNB86" s="43" t="n"/>
      <c r="LNC86" s="43" t="n"/>
      <c r="LND86" s="43" t="n"/>
      <c r="LNE86" s="43" t="n"/>
      <c r="LNF86" s="43" t="n"/>
      <c r="LNG86" s="43" t="n"/>
      <c r="LNH86" s="43" t="n"/>
      <c r="LNI86" s="43" t="n"/>
      <c r="LNJ86" s="43" t="n"/>
      <c r="LNK86" s="43" t="n"/>
      <c r="LNL86" s="43" t="n"/>
      <c r="LNM86" s="43" t="n"/>
      <c r="LNN86" s="43" t="n"/>
      <c r="LNO86" s="43" t="n"/>
      <c r="LNP86" s="43" t="n"/>
      <c r="LNQ86" s="43" t="n"/>
      <c r="LNR86" s="43" t="n"/>
      <c r="LNS86" s="43" t="n"/>
      <c r="LNT86" s="43" t="n"/>
      <c r="LNU86" s="43" t="n"/>
      <c r="LNV86" s="43" t="n"/>
      <c r="LNW86" s="43" t="n"/>
      <c r="LNX86" s="43" t="n"/>
      <c r="LNY86" s="43" t="n"/>
      <c r="LNZ86" s="43" t="n"/>
      <c r="LOA86" s="43" t="n"/>
      <c r="LOB86" s="43" t="n"/>
      <c r="LOC86" s="43" t="n"/>
      <c r="LOD86" s="43" t="n"/>
      <c r="LOE86" s="43" t="n"/>
      <c r="LOF86" s="43" t="n"/>
      <c r="LOG86" s="43" t="n"/>
      <c r="LOH86" s="43" t="n"/>
      <c r="LOI86" s="43" t="n"/>
      <c r="LOJ86" s="43" t="n"/>
      <c r="LOK86" s="43" t="n"/>
      <c r="LOL86" s="43" t="n"/>
      <c r="LOM86" s="43" t="n"/>
      <c r="LON86" s="43" t="n"/>
      <c r="LOO86" s="43" t="n"/>
      <c r="LOP86" s="43" t="n"/>
      <c r="LOQ86" s="43" t="n"/>
      <c r="LOR86" s="43" t="n"/>
      <c r="LOS86" s="43" t="n"/>
      <c r="LOT86" s="43" t="n"/>
      <c r="LOU86" s="43" t="n"/>
      <c r="LOV86" s="43" t="n"/>
      <c r="LOW86" s="43" t="n"/>
      <c r="LOX86" s="43" t="n"/>
      <c r="LOY86" s="43" t="n"/>
      <c r="LOZ86" s="43" t="n"/>
      <c r="LPA86" s="43" t="n"/>
      <c r="LPB86" s="43" t="n"/>
      <c r="LPC86" s="43" t="n"/>
      <c r="LPD86" s="43" t="n"/>
      <c r="LPE86" s="43" t="n"/>
      <c r="LPF86" s="43" t="n"/>
      <c r="LPG86" s="43" t="n"/>
      <c r="LPH86" s="43" t="n"/>
      <c r="LPI86" s="43" t="n"/>
      <c r="LPJ86" s="43" t="n"/>
      <c r="LPK86" s="43" t="n"/>
      <c r="LPL86" s="43" t="n"/>
      <c r="LPM86" s="43" t="n"/>
      <c r="LPN86" s="43" t="n"/>
      <c r="LPO86" s="43" t="n"/>
      <c r="LPP86" s="43" t="n"/>
      <c r="LPQ86" s="43" t="n"/>
      <c r="LPR86" s="43" t="n"/>
      <c r="LPS86" s="43" t="n"/>
      <c r="LPT86" s="43" t="n"/>
      <c r="LPU86" s="43" t="n"/>
      <c r="LPV86" s="43" t="n"/>
      <c r="LPW86" s="43" t="n"/>
      <c r="LPX86" s="43" t="n"/>
      <c r="LPY86" s="43" t="n"/>
      <c r="LPZ86" s="43" t="n"/>
      <c r="LQA86" s="43" t="n"/>
      <c r="LQB86" s="43" t="n"/>
      <c r="LQC86" s="43" t="n"/>
      <c r="LQD86" s="43" t="n"/>
      <c r="LQE86" s="43" t="n"/>
      <c r="LQF86" s="43" t="n"/>
      <c r="LQG86" s="43" t="n"/>
      <c r="LQH86" s="43" t="n"/>
      <c r="LQI86" s="43" t="n"/>
      <c r="LQJ86" s="43" t="n"/>
      <c r="LQK86" s="43" t="n"/>
      <c r="LQL86" s="43" t="n"/>
      <c r="LQM86" s="43" t="n"/>
      <c r="LQN86" s="43" t="n"/>
      <c r="LQO86" s="43" t="n"/>
      <c r="LQP86" s="43" t="n"/>
      <c r="LQQ86" s="43" t="n"/>
      <c r="LQR86" s="43" t="n"/>
      <c r="LQS86" s="43" t="n"/>
      <c r="LQT86" s="43" t="n"/>
      <c r="LQU86" s="43" t="n"/>
      <c r="LQV86" s="43" t="n"/>
      <c r="LQW86" s="43" t="n"/>
      <c r="LQX86" s="43" t="n"/>
      <c r="LQY86" s="43" t="n"/>
      <c r="LQZ86" s="43" t="n"/>
      <c r="LRA86" s="43" t="n"/>
      <c r="LRB86" s="43" t="n"/>
      <c r="LRC86" s="43" t="n"/>
      <c r="LRD86" s="43" t="n"/>
      <c r="LRE86" s="43" t="n"/>
      <c r="LRF86" s="43" t="n"/>
      <c r="LRG86" s="43" t="n"/>
      <c r="LRH86" s="43" t="n"/>
      <c r="LRI86" s="43" t="n"/>
      <c r="LRJ86" s="43" t="n"/>
      <c r="LRK86" s="43" t="n"/>
      <c r="LRL86" s="43" t="n"/>
      <c r="LRM86" s="43" t="n"/>
      <c r="LRN86" s="43" t="n"/>
      <c r="LRO86" s="43" t="n"/>
      <c r="LRP86" s="43" t="n"/>
      <c r="LRQ86" s="43" t="n"/>
      <c r="LRR86" s="43" t="n"/>
      <c r="LRS86" s="43" t="n"/>
      <c r="LRT86" s="43" t="n"/>
      <c r="LRU86" s="43" t="n"/>
      <c r="LRV86" s="43" t="n"/>
      <c r="LRW86" s="43" t="n"/>
      <c r="LRX86" s="43" t="n"/>
      <c r="LRY86" s="43" t="n"/>
      <c r="LRZ86" s="43" t="n"/>
      <c r="LSA86" s="43" t="n"/>
      <c r="LSB86" s="43" t="n"/>
      <c r="LSC86" s="43" t="n"/>
      <c r="LSD86" s="43" t="n"/>
      <c r="LSE86" s="43" t="n"/>
      <c r="LSF86" s="43" t="n"/>
      <c r="LSG86" s="43" t="n"/>
      <c r="LSH86" s="43" t="n"/>
      <c r="LSI86" s="43" t="n"/>
      <c r="LSJ86" s="43" t="n"/>
      <c r="LSK86" s="43" t="n"/>
      <c r="LSL86" s="43" t="n"/>
      <c r="LSM86" s="43" t="n"/>
      <c r="LSN86" s="43" t="n"/>
      <c r="LSO86" s="43" t="n"/>
      <c r="LSP86" s="43" t="n"/>
      <c r="LSQ86" s="43" t="n"/>
      <c r="LSR86" s="43" t="n"/>
      <c r="LSS86" s="43" t="n"/>
      <c r="LST86" s="43" t="n"/>
      <c r="LSU86" s="43" t="n"/>
      <c r="LSV86" s="43" t="n"/>
      <c r="LSW86" s="43" t="n"/>
      <c r="LSX86" s="43" t="n"/>
      <c r="LSY86" s="43" t="n"/>
      <c r="LSZ86" s="43" t="n"/>
      <c r="LTA86" s="43" t="n"/>
      <c r="LTB86" s="43" t="n"/>
      <c r="LTC86" s="43" t="n"/>
      <c r="LTD86" s="43" t="n"/>
      <c r="LTE86" s="43" t="n"/>
      <c r="LTF86" s="43" t="n"/>
      <c r="LTG86" s="43" t="n"/>
      <c r="LTH86" s="43" t="n"/>
      <c r="LTI86" s="43" t="n"/>
      <c r="LTJ86" s="43" t="n"/>
      <c r="LTK86" s="43" t="n"/>
      <c r="LTL86" s="43" t="n"/>
      <c r="LTM86" s="43" t="n"/>
      <c r="LTN86" s="43" t="n"/>
      <c r="LTO86" s="43" t="n"/>
      <c r="LTP86" s="43" t="n"/>
      <c r="LTQ86" s="43" t="n"/>
      <c r="LTR86" s="43" t="n"/>
      <c r="LTS86" s="43" t="n"/>
      <c r="LTT86" s="43" t="n"/>
      <c r="LTU86" s="43" t="n"/>
      <c r="LTV86" s="43" t="n"/>
      <c r="LTW86" s="43" t="n"/>
      <c r="LTX86" s="43" t="n"/>
      <c r="LTY86" s="43" t="n"/>
      <c r="LTZ86" s="43" t="n"/>
      <c r="LUA86" s="43" t="n"/>
      <c r="LUB86" s="43" t="n"/>
      <c r="LUC86" s="43" t="n"/>
      <c r="LUD86" s="43" t="n"/>
      <c r="LUE86" s="43" t="n"/>
      <c r="LUF86" s="43" t="n"/>
      <c r="LUG86" s="43" t="n"/>
      <c r="LUH86" s="43" t="n"/>
      <c r="LUI86" s="43" t="n"/>
      <c r="LUJ86" s="43" t="n"/>
      <c r="LUK86" s="43" t="n"/>
      <c r="LUL86" s="43" t="n"/>
      <c r="LUM86" s="43" t="n"/>
      <c r="LUN86" s="43" t="n"/>
      <c r="LUO86" s="43" t="n"/>
      <c r="LUP86" s="43" t="n"/>
      <c r="LUQ86" s="43" t="n"/>
      <c r="LUR86" s="43" t="n"/>
      <c r="LUS86" s="43" t="n"/>
      <c r="LUT86" s="43" t="n"/>
      <c r="LUU86" s="43" t="n"/>
      <c r="LUV86" s="43" t="n"/>
      <c r="LUW86" s="43" t="n"/>
      <c r="LUX86" s="43" t="n"/>
      <c r="LUY86" s="43" t="n"/>
      <c r="LUZ86" s="43" t="n"/>
      <c r="LVA86" s="43" t="n"/>
      <c r="LVB86" s="43" t="n"/>
      <c r="LVC86" s="43" t="n"/>
      <c r="LVD86" s="43" t="n"/>
      <c r="LVE86" s="43" t="n"/>
      <c r="LVF86" s="43" t="n"/>
      <c r="LVG86" s="43" t="n"/>
      <c r="LVH86" s="43" t="n"/>
      <c r="LVI86" s="43" t="n"/>
      <c r="LVJ86" s="43" t="n"/>
      <c r="LVK86" s="43" t="n"/>
      <c r="LVL86" s="43" t="n"/>
      <c r="LVM86" s="43" t="n"/>
      <c r="LVN86" s="43" t="n"/>
      <c r="LVO86" s="43" t="n"/>
      <c r="LVP86" s="43" t="n"/>
      <c r="LVQ86" s="43" t="n"/>
      <c r="LVR86" s="43" t="n"/>
      <c r="LVS86" s="43" t="n"/>
      <c r="LVT86" s="43" t="n"/>
      <c r="LVU86" s="43" t="n"/>
      <c r="LVV86" s="43" t="n"/>
      <c r="LVW86" s="43" t="n"/>
      <c r="LVX86" s="43" t="n"/>
      <c r="LVY86" s="43" t="n"/>
      <c r="LVZ86" s="43" t="n"/>
      <c r="LWA86" s="43" t="n"/>
      <c r="LWB86" s="43" t="n"/>
      <c r="LWC86" s="43" t="n"/>
      <c r="LWD86" s="43" t="n"/>
      <c r="LWE86" s="43" t="n"/>
      <c r="LWF86" s="43" t="n"/>
      <c r="LWG86" s="43" t="n"/>
      <c r="LWH86" s="43" t="n"/>
      <c r="LWI86" s="43" t="n"/>
      <c r="LWJ86" s="43" t="n"/>
      <c r="LWK86" s="43" t="n"/>
      <c r="LWL86" s="43" t="n"/>
      <c r="LWM86" s="43" t="n"/>
      <c r="LWN86" s="43" t="n"/>
      <c r="LWO86" s="43" t="n"/>
      <c r="LWP86" s="43" t="n"/>
      <c r="LWQ86" s="43" t="n"/>
      <c r="LWR86" s="43" t="n"/>
      <c r="LWS86" s="43" t="n"/>
      <c r="LWT86" s="43" t="n"/>
      <c r="LWU86" s="43" t="n"/>
      <c r="LWV86" s="43" t="n"/>
      <c r="LWW86" s="43" t="n"/>
      <c r="LWX86" s="43" t="n"/>
      <c r="LWY86" s="43" t="n"/>
      <c r="LWZ86" s="43" t="n"/>
      <c r="LXA86" s="43" t="n"/>
      <c r="LXB86" s="43" t="n"/>
      <c r="LXC86" s="43" t="n"/>
      <c r="LXD86" s="43" t="n"/>
      <c r="LXE86" s="43" t="n"/>
      <c r="LXF86" s="43" t="n"/>
      <c r="LXG86" s="43" t="n"/>
      <c r="LXH86" s="43" t="n"/>
      <c r="LXI86" s="43" t="n"/>
      <c r="LXJ86" s="43" t="n"/>
      <c r="LXK86" s="43" t="n"/>
      <c r="LXL86" s="43" t="n"/>
      <c r="LXM86" s="43" t="n"/>
      <c r="LXN86" s="43" t="n"/>
      <c r="LXO86" s="43" t="n"/>
      <c r="LXP86" s="43" t="n"/>
      <c r="LXQ86" s="43" t="n"/>
      <c r="LXR86" s="43" t="n"/>
      <c r="LXS86" s="43" t="n"/>
      <c r="LXT86" s="43" t="n"/>
      <c r="LXU86" s="43" t="n"/>
      <c r="LXV86" s="43" t="n"/>
      <c r="LXW86" s="43" t="n"/>
      <c r="LXX86" s="43" t="n"/>
      <c r="LXY86" s="43" t="n"/>
      <c r="LXZ86" s="43" t="n"/>
      <c r="LYA86" s="43" t="n"/>
      <c r="LYB86" s="43" t="n"/>
      <c r="LYC86" s="43" t="n"/>
      <c r="LYD86" s="43" t="n"/>
      <c r="LYE86" s="43" t="n"/>
      <c r="LYF86" s="43" t="n"/>
      <c r="LYG86" s="43" t="n"/>
      <c r="LYH86" s="43" t="n"/>
      <c r="LYI86" s="43" t="n"/>
      <c r="LYJ86" s="43" t="n"/>
      <c r="LYK86" s="43" t="n"/>
      <c r="LYL86" s="43" t="n"/>
      <c r="LYM86" s="43" t="n"/>
      <c r="LYN86" s="43" t="n"/>
      <c r="LYO86" s="43" t="n"/>
      <c r="LYP86" s="43" t="n"/>
      <c r="LYQ86" s="43" t="n"/>
      <c r="LYR86" s="43" t="n"/>
      <c r="LYS86" s="43" t="n"/>
      <c r="LYT86" s="43" t="n"/>
      <c r="LYU86" s="43" t="n"/>
      <c r="LYV86" s="43" t="n"/>
      <c r="LYW86" s="43" t="n"/>
      <c r="LYX86" s="43" t="n"/>
      <c r="LYY86" s="43" t="n"/>
      <c r="LYZ86" s="43" t="n"/>
      <c r="LZA86" s="43" t="n"/>
      <c r="LZB86" s="43" t="n"/>
      <c r="LZC86" s="43" t="n"/>
      <c r="LZD86" s="43" t="n"/>
      <c r="LZE86" s="43" t="n"/>
      <c r="LZF86" s="43" t="n"/>
      <c r="LZG86" s="43" t="n"/>
      <c r="LZH86" s="43" t="n"/>
      <c r="LZI86" s="43" t="n"/>
      <c r="LZJ86" s="43" t="n"/>
      <c r="LZK86" s="43" t="n"/>
      <c r="LZL86" s="43" t="n"/>
      <c r="LZM86" s="43" t="n"/>
      <c r="LZN86" s="43" t="n"/>
      <c r="LZO86" s="43" t="n"/>
      <c r="LZP86" s="43" t="n"/>
      <c r="LZQ86" s="43" t="n"/>
      <c r="LZR86" s="43" t="n"/>
      <c r="LZS86" s="43" t="n"/>
      <c r="LZT86" s="43" t="n"/>
      <c r="LZU86" s="43" t="n"/>
      <c r="LZV86" s="43" t="n"/>
      <c r="LZW86" s="43" t="n"/>
      <c r="LZX86" s="43" t="n"/>
      <c r="LZY86" s="43" t="n"/>
      <c r="LZZ86" s="43" t="n"/>
      <c r="MAA86" s="43" t="n"/>
      <c r="MAB86" s="43" t="n"/>
      <c r="MAC86" s="43" t="n"/>
      <c r="MAD86" s="43" t="n"/>
      <c r="MAE86" s="43" t="n"/>
      <c r="MAF86" s="43" t="n"/>
      <c r="MAG86" s="43" t="n"/>
      <c r="MAH86" s="43" t="n"/>
      <c r="MAI86" s="43" t="n"/>
      <c r="MAJ86" s="43" t="n"/>
      <c r="MAK86" s="43" t="n"/>
      <c r="MAL86" s="43" t="n"/>
      <c r="MAM86" s="43" t="n"/>
      <c r="MAN86" s="43" t="n"/>
      <c r="MAO86" s="43" t="n"/>
      <c r="MAP86" s="43" t="n"/>
      <c r="MAQ86" s="43" t="n"/>
      <c r="MAR86" s="43" t="n"/>
      <c r="MAS86" s="43" t="n"/>
      <c r="MAT86" s="43" t="n"/>
      <c r="MAU86" s="43" t="n"/>
      <c r="MAV86" s="43" t="n"/>
      <c r="MAW86" s="43" t="n"/>
      <c r="MAX86" s="43" t="n"/>
      <c r="MAY86" s="43" t="n"/>
      <c r="MAZ86" s="43" t="n"/>
      <c r="MBA86" s="43" t="n"/>
      <c r="MBB86" s="43" t="n"/>
      <c r="MBC86" s="43" t="n"/>
      <c r="MBD86" s="43" t="n"/>
      <c r="MBE86" s="43" t="n"/>
      <c r="MBF86" s="43" t="n"/>
      <c r="MBG86" s="43" t="n"/>
      <c r="MBH86" s="43" t="n"/>
      <c r="MBI86" s="43" t="n"/>
      <c r="MBJ86" s="43" t="n"/>
      <c r="MBK86" s="43" t="n"/>
      <c r="MBL86" s="43" t="n"/>
      <c r="MBM86" s="43" t="n"/>
      <c r="MBN86" s="43" t="n"/>
      <c r="MBO86" s="43" t="n"/>
      <c r="MBP86" s="43" t="n"/>
      <c r="MBQ86" s="43" t="n"/>
      <c r="MBR86" s="43" t="n"/>
      <c r="MBS86" s="43" t="n"/>
      <c r="MBT86" s="43" t="n"/>
      <c r="MBU86" s="43" t="n"/>
      <c r="MBV86" s="43" t="n"/>
      <c r="MBW86" s="43" t="n"/>
      <c r="MBX86" s="43" t="n"/>
      <c r="MBY86" s="43" t="n"/>
      <c r="MBZ86" s="43" t="n"/>
      <c r="MCA86" s="43" t="n"/>
      <c r="MCB86" s="43" t="n"/>
      <c r="MCC86" s="43" t="n"/>
      <c r="MCD86" s="43" t="n"/>
      <c r="MCE86" s="43" t="n"/>
      <c r="MCF86" s="43" t="n"/>
      <c r="MCG86" s="43" t="n"/>
      <c r="MCH86" s="43" t="n"/>
      <c r="MCI86" s="43" t="n"/>
      <c r="MCJ86" s="43" t="n"/>
      <c r="MCK86" s="43" t="n"/>
      <c r="MCL86" s="43" t="n"/>
      <c r="MCM86" s="43" t="n"/>
      <c r="MCN86" s="43" t="n"/>
      <c r="MCO86" s="43" t="n"/>
      <c r="MCP86" s="43" t="n"/>
      <c r="MCQ86" s="43" t="n"/>
      <c r="MCR86" s="43" t="n"/>
      <c r="MCS86" s="43" t="n"/>
      <c r="MCT86" s="43" t="n"/>
      <c r="MCU86" s="43" t="n"/>
      <c r="MCV86" s="43" t="n"/>
      <c r="MCW86" s="43" t="n"/>
      <c r="MCX86" s="43" t="n"/>
      <c r="MCY86" s="43" t="n"/>
      <c r="MCZ86" s="43" t="n"/>
      <c r="MDA86" s="43" t="n"/>
      <c r="MDB86" s="43" t="n"/>
      <c r="MDC86" s="43" t="n"/>
      <c r="MDD86" s="43" t="n"/>
      <c r="MDE86" s="43" t="n"/>
      <c r="MDF86" s="43" t="n"/>
      <c r="MDG86" s="43" t="n"/>
      <c r="MDH86" s="43" t="n"/>
      <c r="MDI86" s="43" t="n"/>
      <c r="MDJ86" s="43" t="n"/>
      <c r="MDK86" s="43" t="n"/>
      <c r="MDL86" s="43" t="n"/>
      <c r="MDM86" s="43" t="n"/>
      <c r="MDN86" s="43" t="n"/>
      <c r="MDO86" s="43" t="n"/>
      <c r="MDP86" s="43" t="n"/>
      <c r="MDQ86" s="43" t="n"/>
      <c r="MDR86" s="43" t="n"/>
      <c r="MDS86" s="43" t="n"/>
      <c r="MDT86" s="43" t="n"/>
      <c r="MDU86" s="43" t="n"/>
      <c r="MDV86" s="43" t="n"/>
      <c r="MDW86" s="43" t="n"/>
      <c r="MDX86" s="43" t="n"/>
      <c r="MDY86" s="43" t="n"/>
      <c r="MDZ86" s="43" t="n"/>
      <c r="MEA86" s="43" t="n"/>
      <c r="MEB86" s="43" t="n"/>
      <c r="MEC86" s="43" t="n"/>
      <c r="MED86" s="43" t="n"/>
      <c r="MEE86" s="43" t="n"/>
      <c r="MEF86" s="43" t="n"/>
      <c r="MEG86" s="43" t="n"/>
      <c r="MEH86" s="43" t="n"/>
      <c r="MEI86" s="43" t="n"/>
      <c r="MEJ86" s="43" t="n"/>
      <c r="MEK86" s="43" t="n"/>
      <c r="MEL86" s="43" t="n"/>
      <c r="MEM86" s="43" t="n"/>
      <c r="MEN86" s="43" t="n"/>
      <c r="MEO86" s="43" t="n"/>
      <c r="MEP86" s="43" t="n"/>
      <c r="MEQ86" s="43" t="n"/>
      <c r="MER86" s="43" t="n"/>
      <c r="MES86" s="43" t="n"/>
      <c r="MET86" s="43" t="n"/>
      <c r="MEU86" s="43" t="n"/>
      <c r="MEV86" s="43" t="n"/>
      <c r="MEW86" s="43" t="n"/>
      <c r="MEX86" s="43" t="n"/>
      <c r="MEY86" s="43" t="n"/>
      <c r="MEZ86" s="43" t="n"/>
      <c r="MFA86" s="43" t="n"/>
      <c r="MFB86" s="43" t="n"/>
      <c r="MFC86" s="43" t="n"/>
      <c r="MFD86" s="43" t="n"/>
      <c r="MFE86" s="43" t="n"/>
      <c r="MFF86" s="43" t="n"/>
      <c r="MFG86" s="43" t="n"/>
      <c r="MFH86" s="43" t="n"/>
      <c r="MFI86" s="43" t="n"/>
      <c r="MFJ86" s="43" t="n"/>
      <c r="MFK86" s="43" t="n"/>
      <c r="MFL86" s="43" t="n"/>
      <c r="MFM86" s="43" t="n"/>
      <c r="MFN86" s="43" t="n"/>
      <c r="MFO86" s="43" t="n"/>
      <c r="MFP86" s="43" t="n"/>
      <c r="MFQ86" s="43" t="n"/>
      <c r="MFR86" s="43" t="n"/>
      <c r="MFS86" s="43" t="n"/>
      <c r="MFT86" s="43" t="n"/>
      <c r="MFU86" s="43" t="n"/>
      <c r="MFV86" s="43" t="n"/>
      <c r="MFW86" s="43" t="n"/>
      <c r="MFX86" s="43" t="n"/>
      <c r="MFY86" s="43" t="n"/>
      <c r="MFZ86" s="43" t="n"/>
      <c r="MGA86" s="43" t="n"/>
      <c r="MGB86" s="43" t="n"/>
      <c r="MGC86" s="43" t="n"/>
      <c r="MGD86" s="43" t="n"/>
      <c r="MGE86" s="43" t="n"/>
      <c r="MGF86" s="43" t="n"/>
      <c r="MGG86" s="43" t="n"/>
      <c r="MGH86" s="43" t="n"/>
      <c r="MGI86" s="43" t="n"/>
      <c r="MGJ86" s="43" t="n"/>
      <c r="MGK86" s="43" t="n"/>
      <c r="MGL86" s="43" t="n"/>
      <c r="MGM86" s="43" t="n"/>
      <c r="MGN86" s="43" t="n"/>
      <c r="MGO86" s="43" t="n"/>
      <c r="MGP86" s="43" t="n"/>
      <c r="MGQ86" s="43" t="n"/>
      <c r="MGR86" s="43" t="n"/>
      <c r="MGS86" s="43" t="n"/>
      <c r="MGT86" s="43" t="n"/>
      <c r="MGU86" s="43" t="n"/>
      <c r="MGV86" s="43" t="n"/>
      <c r="MGW86" s="43" t="n"/>
      <c r="MGX86" s="43" t="n"/>
      <c r="MGY86" s="43" t="n"/>
      <c r="MGZ86" s="43" t="n"/>
      <c r="MHA86" s="43" t="n"/>
      <c r="MHB86" s="43" t="n"/>
      <c r="MHC86" s="43" t="n"/>
      <c r="MHD86" s="43" t="n"/>
      <c r="MHE86" s="43" t="n"/>
      <c r="MHF86" s="43" t="n"/>
      <c r="MHG86" s="43" t="n"/>
      <c r="MHH86" s="43" t="n"/>
      <c r="MHI86" s="43" t="n"/>
      <c r="MHJ86" s="43" t="n"/>
      <c r="MHK86" s="43" t="n"/>
      <c r="MHL86" s="43" t="n"/>
      <c r="MHM86" s="43" t="n"/>
      <c r="MHN86" s="43" t="n"/>
      <c r="MHO86" s="43" t="n"/>
      <c r="MHP86" s="43" t="n"/>
      <c r="MHQ86" s="43" t="n"/>
      <c r="MHR86" s="43" t="n"/>
      <c r="MHS86" s="43" t="n"/>
      <c r="MHT86" s="43" t="n"/>
      <c r="MHU86" s="43" t="n"/>
      <c r="MHV86" s="43" t="n"/>
      <c r="MHW86" s="43" t="n"/>
      <c r="MHX86" s="43" t="n"/>
      <c r="MHY86" s="43" t="n"/>
      <c r="MHZ86" s="43" t="n"/>
      <c r="MIA86" s="43" t="n"/>
      <c r="MIB86" s="43" t="n"/>
      <c r="MIC86" s="43" t="n"/>
      <c r="MID86" s="43" t="n"/>
      <c r="MIE86" s="43" t="n"/>
      <c r="MIF86" s="43" t="n"/>
      <c r="MIG86" s="43" t="n"/>
      <c r="MIH86" s="43" t="n"/>
      <c r="MII86" s="43" t="n"/>
      <c r="MIJ86" s="43" t="n"/>
      <c r="MIK86" s="43" t="n"/>
      <c r="MIL86" s="43" t="n"/>
      <c r="MIM86" s="43" t="n"/>
      <c r="MIN86" s="43" t="n"/>
      <c r="MIO86" s="43" t="n"/>
      <c r="MIP86" s="43" t="n"/>
      <c r="MIQ86" s="43" t="n"/>
      <c r="MIR86" s="43" t="n"/>
      <c r="MIS86" s="43" t="n"/>
      <c r="MIT86" s="43" t="n"/>
      <c r="MIU86" s="43" t="n"/>
      <c r="MIV86" s="43" t="n"/>
      <c r="MIW86" s="43" t="n"/>
      <c r="MIX86" s="43" t="n"/>
      <c r="MIY86" s="43" t="n"/>
      <c r="MIZ86" s="43" t="n"/>
      <c r="MJA86" s="43" t="n"/>
      <c r="MJB86" s="43" t="n"/>
      <c r="MJC86" s="43" t="n"/>
      <c r="MJD86" s="43" t="n"/>
      <c r="MJE86" s="43" t="n"/>
      <c r="MJF86" s="43" t="n"/>
      <c r="MJG86" s="43" t="n"/>
      <c r="MJH86" s="43" t="n"/>
      <c r="MJI86" s="43" t="n"/>
      <c r="MJJ86" s="43" t="n"/>
      <c r="MJK86" s="43" t="n"/>
      <c r="MJL86" s="43" t="n"/>
      <c r="MJM86" s="43" t="n"/>
      <c r="MJN86" s="43" t="n"/>
      <c r="MJO86" s="43" t="n"/>
      <c r="MJP86" s="43" t="n"/>
      <c r="MJQ86" s="43" t="n"/>
      <c r="MJR86" s="43" t="n"/>
      <c r="MJS86" s="43" t="n"/>
      <c r="MJT86" s="43" t="n"/>
      <c r="MJU86" s="43" t="n"/>
      <c r="MJV86" s="43" t="n"/>
      <c r="MJW86" s="43" t="n"/>
      <c r="MJX86" s="43" t="n"/>
      <c r="MJY86" s="43" t="n"/>
      <c r="MJZ86" s="43" t="n"/>
      <c r="MKA86" s="43" t="n"/>
      <c r="MKB86" s="43" t="n"/>
      <c r="MKC86" s="43" t="n"/>
      <c r="MKD86" s="43" t="n"/>
      <c r="MKE86" s="43" t="n"/>
      <c r="MKF86" s="43" t="n"/>
      <c r="MKG86" s="43" t="n"/>
      <c r="MKH86" s="43" t="n"/>
      <c r="MKI86" s="43" t="n"/>
      <c r="MKJ86" s="43" t="n"/>
      <c r="MKK86" s="43" t="n"/>
      <c r="MKL86" s="43" t="n"/>
      <c r="MKM86" s="43" t="n"/>
      <c r="MKN86" s="43" t="n"/>
      <c r="MKO86" s="43" t="n"/>
      <c r="MKP86" s="43" t="n"/>
      <c r="MKQ86" s="43" t="n"/>
      <c r="MKR86" s="43" t="n"/>
      <c r="MKS86" s="43" t="n"/>
      <c r="MKT86" s="43" t="n"/>
      <c r="MKU86" s="43" t="n"/>
      <c r="MKV86" s="43" t="n"/>
      <c r="MKW86" s="43" t="n"/>
      <c r="MKX86" s="43" t="n"/>
      <c r="MKY86" s="43" t="n"/>
      <c r="MKZ86" s="43" t="n"/>
      <c r="MLA86" s="43" t="n"/>
      <c r="MLB86" s="43" t="n"/>
      <c r="MLC86" s="43" t="n"/>
      <c r="MLD86" s="43" t="n"/>
      <c r="MLE86" s="43" t="n"/>
      <c r="MLF86" s="43" t="n"/>
      <c r="MLG86" s="43" t="n"/>
      <c r="MLH86" s="43" t="n"/>
      <c r="MLI86" s="43" t="n"/>
      <c r="MLJ86" s="43" t="n"/>
      <c r="MLK86" s="43" t="n"/>
      <c r="MLL86" s="43" t="n"/>
      <c r="MLM86" s="43" t="n"/>
      <c r="MLN86" s="43" t="n"/>
      <c r="MLO86" s="43" t="n"/>
      <c r="MLP86" s="43" t="n"/>
      <c r="MLQ86" s="43" t="n"/>
      <c r="MLR86" s="43" t="n"/>
      <c r="MLS86" s="43" t="n"/>
      <c r="MLT86" s="43" t="n"/>
      <c r="MLU86" s="43" t="n"/>
      <c r="MLV86" s="43" t="n"/>
      <c r="MLW86" s="43" t="n"/>
      <c r="MLX86" s="43" t="n"/>
      <c r="MLY86" s="43" t="n"/>
      <c r="MLZ86" s="43" t="n"/>
      <c r="MMA86" s="43" t="n"/>
      <c r="MMB86" s="43" t="n"/>
      <c r="MMC86" s="43" t="n"/>
      <c r="MMD86" s="43" t="n"/>
      <c r="MME86" s="43" t="n"/>
      <c r="MMF86" s="43" t="n"/>
      <c r="MMG86" s="43" t="n"/>
      <c r="MMH86" s="43" t="n"/>
      <c r="MMI86" s="43" t="n"/>
      <c r="MMJ86" s="43" t="n"/>
      <c r="MMK86" s="43" t="n"/>
      <c r="MML86" s="43" t="n"/>
      <c r="MMM86" s="43" t="n"/>
      <c r="MMN86" s="43" t="n"/>
      <c r="MMO86" s="43" t="n"/>
      <c r="MMP86" s="43" t="n"/>
      <c r="MMQ86" s="43" t="n"/>
      <c r="MMR86" s="43" t="n"/>
      <c r="MMS86" s="43" t="n"/>
      <c r="MMT86" s="43" t="n"/>
      <c r="MMU86" s="43" t="n"/>
      <c r="MMV86" s="43" t="n"/>
      <c r="MMW86" s="43" t="n"/>
      <c r="MMX86" s="43" t="n"/>
      <c r="MMY86" s="43" t="n"/>
      <c r="MMZ86" s="43" t="n"/>
      <c r="MNA86" s="43" t="n"/>
      <c r="MNB86" s="43" t="n"/>
      <c r="MNC86" s="43" t="n"/>
      <c r="MND86" s="43" t="n"/>
      <c r="MNE86" s="43" t="n"/>
      <c r="MNF86" s="43" t="n"/>
      <c r="MNG86" s="43" t="n"/>
      <c r="MNH86" s="43" t="n"/>
      <c r="MNI86" s="43" t="n"/>
      <c r="MNJ86" s="43" t="n"/>
      <c r="MNK86" s="43" t="n"/>
      <c r="MNL86" s="43" t="n"/>
      <c r="MNM86" s="43" t="n"/>
      <c r="MNN86" s="43" t="n"/>
      <c r="MNO86" s="43" t="n"/>
      <c r="MNP86" s="43" t="n"/>
      <c r="MNQ86" s="43" t="n"/>
      <c r="MNR86" s="43" t="n"/>
      <c r="MNS86" s="43" t="n"/>
      <c r="MNT86" s="43" t="n"/>
      <c r="MNU86" s="43" t="n"/>
      <c r="MNV86" s="43" t="n"/>
      <c r="MNW86" s="43" t="n"/>
      <c r="MNX86" s="43" t="n"/>
      <c r="MNY86" s="43" t="n"/>
      <c r="MNZ86" s="43" t="n"/>
      <c r="MOA86" s="43" t="n"/>
      <c r="MOB86" s="43" t="n"/>
      <c r="MOC86" s="43" t="n"/>
      <c r="MOD86" s="43" t="n"/>
      <c r="MOE86" s="43" t="n"/>
      <c r="MOF86" s="43" t="n"/>
      <c r="MOG86" s="43" t="n"/>
      <c r="MOH86" s="43" t="n"/>
      <c r="MOI86" s="43" t="n"/>
      <c r="MOJ86" s="43" t="n"/>
      <c r="MOK86" s="43" t="n"/>
      <c r="MOL86" s="43" t="n"/>
      <c r="MOM86" s="43" t="n"/>
      <c r="MON86" s="43" t="n"/>
      <c r="MOO86" s="43" t="n"/>
      <c r="MOP86" s="43" t="n"/>
      <c r="MOQ86" s="43" t="n"/>
      <c r="MOR86" s="43" t="n"/>
      <c r="MOS86" s="43" t="n"/>
      <c r="MOT86" s="43" t="n"/>
      <c r="MOU86" s="43" t="n"/>
      <c r="MOV86" s="43" t="n"/>
      <c r="MOW86" s="43" t="n"/>
      <c r="MOX86" s="43" t="n"/>
      <c r="MOY86" s="43" t="n"/>
      <c r="MOZ86" s="43" t="n"/>
      <c r="MPA86" s="43" t="n"/>
      <c r="MPB86" s="43" t="n"/>
      <c r="MPC86" s="43" t="n"/>
      <c r="MPD86" s="43" t="n"/>
      <c r="MPE86" s="43" t="n"/>
      <c r="MPF86" s="43" t="n"/>
      <c r="MPG86" s="43" t="n"/>
      <c r="MPH86" s="43" t="n"/>
      <c r="MPI86" s="43" t="n"/>
      <c r="MPJ86" s="43" t="n"/>
      <c r="MPK86" s="43" t="n"/>
      <c r="MPL86" s="43" t="n"/>
      <c r="MPM86" s="43" t="n"/>
      <c r="MPN86" s="43" t="n"/>
      <c r="MPO86" s="43" t="n"/>
      <c r="MPP86" s="43" t="n"/>
      <c r="MPQ86" s="43" t="n"/>
      <c r="MPR86" s="43" t="n"/>
      <c r="MPS86" s="43" t="n"/>
      <c r="MPT86" s="43" t="n"/>
      <c r="MPU86" s="43" t="n"/>
      <c r="MPV86" s="43" t="n"/>
      <c r="MPW86" s="43" t="n"/>
      <c r="MPX86" s="43" t="n"/>
      <c r="MPY86" s="43" t="n"/>
      <c r="MPZ86" s="43" t="n"/>
      <c r="MQA86" s="43" t="n"/>
      <c r="MQB86" s="43" t="n"/>
      <c r="MQC86" s="43" t="n"/>
      <c r="MQD86" s="43" t="n"/>
      <c r="MQE86" s="43" t="n"/>
      <c r="MQF86" s="43" t="n"/>
      <c r="MQG86" s="43" t="n"/>
      <c r="MQH86" s="43" t="n"/>
      <c r="MQI86" s="43" t="n"/>
      <c r="MQJ86" s="43" t="n"/>
      <c r="MQK86" s="43" t="n"/>
      <c r="MQL86" s="43" t="n"/>
      <c r="MQM86" s="43" t="n"/>
      <c r="MQN86" s="43" t="n"/>
      <c r="MQO86" s="43" t="n"/>
      <c r="MQP86" s="43" t="n"/>
      <c r="MQQ86" s="43" t="n"/>
      <c r="MQR86" s="43" t="n"/>
      <c r="MQS86" s="43" t="n"/>
      <c r="MQT86" s="43" t="n"/>
      <c r="MQU86" s="43" t="n"/>
      <c r="MQV86" s="43" t="n"/>
      <c r="MQW86" s="43" t="n"/>
      <c r="MQX86" s="43" t="n"/>
      <c r="MQY86" s="43" t="n"/>
      <c r="MQZ86" s="43" t="n"/>
      <c r="MRA86" s="43" t="n"/>
      <c r="MRB86" s="43" t="n"/>
      <c r="MRC86" s="43" t="n"/>
      <c r="MRD86" s="43" t="n"/>
      <c r="MRE86" s="43" t="n"/>
      <c r="MRF86" s="43" t="n"/>
      <c r="MRG86" s="43" t="n"/>
      <c r="MRH86" s="43" t="n"/>
      <c r="MRI86" s="43" t="n"/>
      <c r="MRJ86" s="43" t="n"/>
      <c r="MRK86" s="43" t="n"/>
      <c r="MRL86" s="43" t="n"/>
      <c r="MRM86" s="43" t="n"/>
      <c r="MRN86" s="43" t="n"/>
      <c r="MRO86" s="43" t="n"/>
      <c r="MRP86" s="43" t="n"/>
      <c r="MRQ86" s="43" t="n"/>
      <c r="MRR86" s="43" t="n"/>
      <c r="MRS86" s="43" t="n"/>
      <c r="MRT86" s="43" t="n"/>
      <c r="MRU86" s="43" t="n"/>
      <c r="MRV86" s="43" t="n"/>
      <c r="MRW86" s="43" t="n"/>
      <c r="MRX86" s="43" t="n"/>
      <c r="MRY86" s="43" t="n"/>
      <c r="MRZ86" s="43" t="n"/>
      <c r="MSA86" s="43" t="n"/>
      <c r="MSB86" s="43" t="n"/>
      <c r="MSC86" s="43" t="n"/>
      <c r="MSD86" s="43" t="n"/>
      <c r="MSE86" s="43" t="n"/>
      <c r="MSF86" s="43" t="n"/>
      <c r="MSG86" s="43" t="n"/>
      <c r="MSH86" s="43" t="n"/>
      <c r="MSI86" s="43" t="n"/>
      <c r="MSJ86" s="43" t="n"/>
      <c r="MSK86" s="43" t="n"/>
      <c r="MSL86" s="43" t="n"/>
      <c r="MSM86" s="43" t="n"/>
      <c r="MSN86" s="43" t="n"/>
      <c r="MSO86" s="43" t="n"/>
      <c r="MSP86" s="43" t="n"/>
      <c r="MSQ86" s="43" t="n"/>
      <c r="MSR86" s="43" t="n"/>
      <c r="MSS86" s="43" t="n"/>
      <c r="MST86" s="43" t="n"/>
      <c r="MSU86" s="43" t="n"/>
      <c r="MSV86" s="43" t="n"/>
      <c r="MSW86" s="43" t="n"/>
      <c r="MSX86" s="43" t="n"/>
      <c r="MSY86" s="43" t="n"/>
      <c r="MSZ86" s="43" t="n"/>
      <c r="MTA86" s="43" t="n"/>
      <c r="MTB86" s="43" t="n"/>
      <c r="MTC86" s="43" t="n"/>
      <c r="MTD86" s="43" t="n"/>
      <c r="MTE86" s="43" t="n"/>
      <c r="MTF86" s="43" t="n"/>
      <c r="MTG86" s="43" t="n"/>
      <c r="MTH86" s="43" t="n"/>
      <c r="MTI86" s="43" t="n"/>
      <c r="MTJ86" s="43" t="n"/>
      <c r="MTK86" s="43" t="n"/>
      <c r="MTL86" s="43" t="n"/>
      <c r="MTM86" s="43" t="n"/>
      <c r="MTN86" s="43" t="n"/>
      <c r="MTO86" s="43" t="n"/>
      <c r="MTP86" s="43" t="n"/>
      <c r="MTQ86" s="43" t="n"/>
      <c r="MTR86" s="43" t="n"/>
      <c r="MTS86" s="43" t="n"/>
      <c r="MTT86" s="43" t="n"/>
      <c r="MTU86" s="43" t="n"/>
      <c r="MTV86" s="43" t="n"/>
      <c r="MTW86" s="43" t="n"/>
      <c r="MTX86" s="43" t="n"/>
      <c r="MTY86" s="43" t="n"/>
      <c r="MTZ86" s="43" t="n"/>
      <c r="MUA86" s="43" t="n"/>
      <c r="MUB86" s="43" t="n"/>
      <c r="MUC86" s="43" t="n"/>
      <c r="MUD86" s="43" t="n"/>
      <c r="MUE86" s="43" t="n"/>
      <c r="MUF86" s="43" t="n"/>
      <c r="MUG86" s="43" t="n"/>
      <c r="MUH86" s="43" t="n"/>
      <c r="MUI86" s="43" t="n"/>
      <c r="MUJ86" s="43" t="n"/>
      <c r="MUK86" s="43" t="n"/>
      <c r="MUL86" s="43" t="n"/>
      <c r="MUM86" s="43" t="n"/>
      <c r="MUN86" s="43" t="n"/>
      <c r="MUO86" s="43" t="n"/>
      <c r="MUP86" s="43" t="n"/>
      <c r="MUQ86" s="43" t="n"/>
      <c r="MUR86" s="43" t="n"/>
      <c r="MUS86" s="43" t="n"/>
      <c r="MUT86" s="43" t="n"/>
      <c r="MUU86" s="43" t="n"/>
      <c r="MUV86" s="43" t="n"/>
      <c r="MUW86" s="43" t="n"/>
      <c r="MUX86" s="43" t="n"/>
      <c r="MUY86" s="43" t="n"/>
      <c r="MUZ86" s="43" t="n"/>
      <c r="MVA86" s="43" t="n"/>
      <c r="MVB86" s="43" t="n"/>
      <c r="MVC86" s="43" t="n"/>
      <c r="MVD86" s="43" t="n"/>
      <c r="MVE86" s="43" t="n"/>
      <c r="MVF86" s="43" t="n"/>
      <c r="MVG86" s="43" t="n"/>
      <c r="MVH86" s="43" t="n"/>
      <c r="MVI86" s="43" t="n"/>
      <c r="MVJ86" s="43" t="n"/>
      <c r="MVK86" s="43" t="n"/>
      <c r="MVL86" s="43" t="n"/>
      <c r="MVM86" s="43" t="n"/>
      <c r="MVN86" s="43" t="n"/>
      <c r="MVO86" s="43" t="n"/>
      <c r="MVP86" s="43" t="n"/>
      <c r="MVQ86" s="43" t="n"/>
      <c r="MVR86" s="43" t="n"/>
      <c r="MVS86" s="43" t="n"/>
      <c r="MVT86" s="43" t="n"/>
      <c r="MVU86" s="43" t="n"/>
      <c r="MVV86" s="43" t="n"/>
      <c r="MVW86" s="43" t="n"/>
      <c r="MVX86" s="43" t="n"/>
      <c r="MVY86" s="43" t="n"/>
      <c r="MVZ86" s="43" t="n"/>
      <c r="MWA86" s="43" t="n"/>
      <c r="MWB86" s="43" t="n"/>
      <c r="MWC86" s="43" t="n"/>
      <c r="MWD86" s="43" t="n"/>
      <c r="MWE86" s="43" t="n"/>
      <c r="MWF86" s="43" t="n"/>
      <c r="MWG86" s="43" t="n"/>
      <c r="MWH86" s="43" t="n"/>
      <c r="MWI86" s="43" t="n"/>
      <c r="MWJ86" s="43" t="n"/>
      <c r="MWK86" s="43" t="n"/>
      <c r="MWL86" s="43" t="n"/>
      <c r="MWM86" s="43" t="n"/>
      <c r="MWN86" s="43" t="n"/>
      <c r="MWO86" s="43" t="n"/>
      <c r="MWP86" s="43" t="n"/>
      <c r="MWQ86" s="43" t="n"/>
      <c r="MWR86" s="43" t="n"/>
      <c r="MWS86" s="43" t="n"/>
      <c r="MWT86" s="43" t="n"/>
      <c r="MWU86" s="43" t="n"/>
      <c r="MWV86" s="43" t="n"/>
      <c r="MWW86" s="43" t="n"/>
      <c r="MWX86" s="43" t="n"/>
      <c r="MWY86" s="43" t="n"/>
      <c r="MWZ86" s="43" t="n"/>
      <c r="MXA86" s="43" t="n"/>
      <c r="MXB86" s="43" t="n"/>
      <c r="MXC86" s="43" t="n"/>
      <c r="MXD86" s="43" t="n"/>
      <c r="MXE86" s="43" t="n"/>
      <c r="MXF86" s="43" t="n"/>
      <c r="MXG86" s="43" t="n"/>
      <c r="MXH86" s="43" t="n"/>
      <c r="MXI86" s="43" t="n"/>
      <c r="MXJ86" s="43" t="n"/>
      <c r="MXK86" s="43" t="n"/>
      <c r="MXL86" s="43" t="n"/>
      <c r="MXM86" s="43" t="n"/>
      <c r="MXN86" s="43" t="n"/>
      <c r="MXO86" s="43" t="n"/>
      <c r="MXP86" s="43" t="n"/>
      <c r="MXQ86" s="43" t="n"/>
      <c r="MXR86" s="43" t="n"/>
      <c r="MXS86" s="43" t="n"/>
      <c r="MXT86" s="43" t="n"/>
      <c r="MXU86" s="43" t="n"/>
      <c r="MXV86" s="43" t="n"/>
      <c r="MXW86" s="43" t="n"/>
      <c r="MXX86" s="43" t="n"/>
      <c r="MXY86" s="43" t="n"/>
      <c r="MXZ86" s="43" t="n"/>
      <c r="MYA86" s="43" t="n"/>
      <c r="MYB86" s="43" t="n"/>
      <c r="MYC86" s="43" t="n"/>
      <c r="MYD86" s="43" t="n"/>
      <c r="MYE86" s="43" t="n"/>
      <c r="MYF86" s="43" t="n"/>
      <c r="MYG86" s="43" t="n"/>
      <c r="MYH86" s="43" t="n"/>
      <c r="MYI86" s="43" t="n"/>
      <c r="MYJ86" s="43" t="n"/>
      <c r="MYK86" s="43" t="n"/>
      <c r="MYL86" s="43" t="n"/>
      <c r="MYM86" s="43" t="n"/>
      <c r="MYN86" s="43" t="n"/>
      <c r="MYO86" s="43" t="n"/>
      <c r="MYP86" s="43" t="n"/>
      <c r="MYQ86" s="43" t="n"/>
      <c r="MYR86" s="43" t="n"/>
      <c r="MYS86" s="43" t="n"/>
      <c r="MYT86" s="43" t="n"/>
      <c r="MYU86" s="43" t="n"/>
      <c r="MYV86" s="43" t="n"/>
      <c r="MYW86" s="43" t="n"/>
      <c r="MYX86" s="43" t="n"/>
      <c r="MYY86" s="43" t="n"/>
      <c r="MYZ86" s="43" t="n"/>
      <c r="MZA86" s="43" t="n"/>
      <c r="MZB86" s="43" t="n"/>
      <c r="MZC86" s="43" t="n"/>
      <c r="MZD86" s="43" t="n"/>
      <c r="MZE86" s="43" t="n"/>
      <c r="MZF86" s="43" t="n"/>
      <c r="MZG86" s="43" t="n"/>
      <c r="MZH86" s="43" t="n"/>
      <c r="MZI86" s="43" t="n"/>
      <c r="MZJ86" s="43" t="n"/>
      <c r="MZK86" s="43" t="n"/>
      <c r="MZL86" s="43" t="n"/>
      <c r="MZM86" s="43" t="n"/>
      <c r="MZN86" s="43" t="n"/>
      <c r="MZO86" s="43" t="n"/>
      <c r="MZP86" s="43" t="n"/>
      <c r="MZQ86" s="43" t="n"/>
      <c r="MZR86" s="43" t="n"/>
      <c r="MZS86" s="43" t="n"/>
      <c r="MZT86" s="43" t="n"/>
      <c r="MZU86" s="43" t="n"/>
      <c r="MZV86" s="43" t="n"/>
      <c r="MZW86" s="43" t="n"/>
      <c r="MZX86" s="43" t="n"/>
      <c r="MZY86" s="43" t="n"/>
      <c r="MZZ86" s="43" t="n"/>
      <c r="NAA86" s="43" t="n"/>
      <c r="NAB86" s="43" t="n"/>
      <c r="NAC86" s="43" t="n"/>
      <c r="NAD86" s="43" t="n"/>
      <c r="NAE86" s="43" t="n"/>
      <c r="NAF86" s="43" t="n"/>
      <c r="NAG86" s="43" t="n"/>
      <c r="NAH86" s="43" t="n"/>
      <c r="NAI86" s="43" t="n"/>
      <c r="NAJ86" s="43" t="n"/>
      <c r="NAK86" s="43" t="n"/>
      <c r="NAL86" s="43" t="n"/>
      <c r="NAM86" s="43" t="n"/>
      <c r="NAN86" s="43" t="n"/>
      <c r="NAO86" s="43" t="n"/>
      <c r="NAP86" s="43" t="n"/>
      <c r="NAQ86" s="43" t="n"/>
      <c r="NAR86" s="43" t="n"/>
      <c r="NAS86" s="43" t="n"/>
      <c r="NAT86" s="43" t="n"/>
      <c r="NAU86" s="43" t="n"/>
      <c r="NAV86" s="43" t="n"/>
      <c r="NAW86" s="43" t="n"/>
      <c r="NAX86" s="43" t="n"/>
      <c r="NAY86" s="43" t="n"/>
      <c r="NAZ86" s="43" t="n"/>
      <c r="NBA86" s="43" t="n"/>
      <c r="NBB86" s="43" t="n"/>
      <c r="NBC86" s="43" t="n"/>
      <c r="NBD86" s="43" t="n"/>
      <c r="NBE86" s="43" t="n"/>
      <c r="NBF86" s="43" t="n"/>
      <c r="NBG86" s="43" t="n"/>
      <c r="NBH86" s="43" t="n"/>
      <c r="NBI86" s="43" t="n"/>
      <c r="NBJ86" s="43" t="n"/>
      <c r="NBK86" s="43" t="n"/>
      <c r="NBL86" s="43" t="n"/>
      <c r="NBM86" s="43" t="n"/>
      <c r="NBN86" s="43" t="n"/>
      <c r="NBO86" s="43" t="n"/>
      <c r="NBP86" s="43" t="n"/>
      <c r="NBQ86" s="43" t="n"/>
      <c r="NBR86" s="43" t="n"/>
      <c r="NBS86" s="43" t="n"/>
      <c r="NBT86" s="43" t="n"/>
      <c r="NBU86" s="43" t="n"/>
      <c r="NBV86" s="43" t="n"/>
      <c r="NBW86" s="43" t="n"/>
      <c r="NBX86" s="43" t="n"/>
      <c r="NBY86" s="43" t="n"/>
      <c r="NBZ86" s="43" t="n"/>
      <c r="NCA86" s="43" t="n"/>
      <c r="NCB86" s="43" t="n"/>
      <c r="NCC86" s="43" t="n"/>
      <c r="NCD86" s="43" t="n"/>
      <c r="NCE86" s="43" t="n"/>
      <c r="NCF86" s="43" t="n"/>
      <c r="NCG86" s="43" t="n"/>
      <c r="NCH86" s="43" t="n"/>
      <c r="NCI86" s="43" t="n"/>
      <c r="NCJ86" s="43" t="n"/>
      <c r="NCK86" s="43" t="n"/>
      <c r="NCL86" s="43" t="n"/>
      <c r="NCM86" s="43" t="n"/>
      <c r="NCN86" s="43" t="n"/>
      <c r="NCO86" s="43" t="n"/>
      <c r="NCP86" s="43" t="n"/>
      <c r="NCQ86" s="43" t="n"/>
      <c r="NCR86" s="43" t="n"/>
      <c r="NCS86" s="43" t="n"/>
      <c r="NCT86" s="43" t="n"/>
      <c r="NCU86" s="43" t="n"/>
      <c r="NCV86" s="43" t="n"/>
      <c r="NCW86" s="43" t="n"/>
      <c r="NCX86" s="43" t="n"/>
      <c r="NCY86" s="43" t="n"/>
      <c r="NCZ86" s="43" t="n"/>
      <c r="NDA86" s="43" t="n"/>
      <c r="NDB86" s="43" t="n"/>
      <c r="NDC86" s="43" t="n"/>
      <c r="NDD86" s="43" t="n"/>
      <c r="NDE86" s="43" t="n"/>
      <c r="NDF86" s="43" t="n"/>
      <c r="NDG86" s="43" t="n"/>
      <c r="NDH86" s="43" t="n"/>
      <c r="NDI86" s="43" t="n"/>
      <c r="NDJ86" s="43" t="n"/>
      <c r="NDK86" s="43" t="n"/>
      <c r="NDL86" s="43" t="n"/>
      <c r="NDM86" s="43" t="n"/>
      <c r="NDN86" s="43" t="n"/>
      <c r="NDO86" s="43" t="n"/>
      <c r="NDP86" s="43" t="n"/>
      <c r="NDQ86" s="43" t="n"/>
      <c r="NDR86" s="43" t="n"/>
      <c r="NDS86" s="43" t="n"/>
      <c r="NDT86" s="43" t="n"/>
      <c r="NDU86" s="43" t="n"/>
      <c r="NDV86" s="43" t="n"/>
      <c r="NDW86" s="43" t="n"/>
      <c r="NDX86" s="43" t="n"/>
      <c r="NDY86" s="43" t="n"/>
      <c r="NDZ86" s="43" t="n"/>
      <c r="NEA86" s="43" t="n"/>
      <c r="NEB86" s="43" t="n"/>
      <c r="NEC86" s="43" t="n"/>
      <c r="NED86" s="43" t="n"/>
      <c r="NEE86" s="43" t="n"/>
      <c r="NEF86" s="43" t="n"/>
      <c r="NEG86" s="43" t="n"/>
      <c r="NEH86" s="43" t="n"/>
      <c r="NEI86" s="43" t="n"/>
      <c r="NEJ86" s="43" t="n"/>
      <c r="NEK86" s="43" t="n"/>
      <c r="NEL86" s="43" t="n"/>
      <c r="NEM86" s="43" t="n"/>
      <c r="NEN86" s="43" t="n"/>
      <c r="NEO86" s="43" t="n"/>
      <c r="NEP86" s="43" t="n"/>
      <c r="NEQ86" s="43" t="n"/>
      <c r="NER86" s="43" t="n"/>
      <c r="NES86" s="43" t="n"/>
      <c r="NET86" s="43" t="n"/>
      <c r="NEU86" s="43" t="n"/>
      <c r="NEV86" s="43" t="n"/>
      <c r="NEW86" s="43" t="n"/>
      <c r="NEX86" s="43" t="n"/>
      <c r="NEY86" s="43" t="n"/>
      <c r="NEZ86" s="43" t="n"/>
      <c r="NFA86" s="43" t="n"/>
      <c r="NFB86" s="43" t="n"/>
      <c r="NFC86" s="43" t="n"/>
      <c r="NFD86" s="43" t="n"/>
      <c r="NFE86" s="43" t="n"/>
      <c r="NFF86" s="43" t="n"/>
      <c r="NFG86" s="43" t="n"/>
      <c r="NFH86" s="43" t="n"/>
      <c r="NFI86" s="43" t="n"/>
      <c r="NFJ86" s="43" t="n"/>
      <c r="NFK86" s="43" t="n"/>
      <c r="NFL86" s="43" t="n"/>
      <c r="NFM86" s="43" t="n"/>
      <c r="NFN86" s="43" t="n"/>
      <c r="NFO86" s="43" t="n"/>
      <c r="NFP86" s="43" t="n"/>
      <c r="NFQ86" s="43" t="n"/>
      <c r="NFR86" s="43" t="n"/>
      <c r="NFS86" s="43" t="n"/>
      <c r="NFT86" s="43" t="n"/>
      <c r="NFU86" s="43" t="n"/>
      <c r="NFV86" s="43" t="n"/>
      <c r="NFW86" s="43" t="n"/>
      <c r="NFX86" s="43" t="n"/>
      <c r="NFY86" s="43" t="n"/>
      <c r="NFZ86" s="43" t="n"/>
      <c r="NGA86" s="43" t="n"/>
      <c r="NGB86" s="43" t="n"/>
      <c r="NGC86" s="43" t="n"/>
      <c r="NGD86" s="43" t="n"/>
      <c r="NGE86" s="43" t="n"/>
      <c r="NGF86" s="43" t="n"/>
      <c r="NGG86" s="43" t="n"/>
      <c r="NGH86" s="43" t="n"/>
      <c r="NGI86" s="43" t="n"/>
      <c r="NGJ86" s="43" t="n"/>
      <c r="NGK86" s="43" t="n"/>
      <c r="NGL86" s="43" t="n"/>
      <c r="NGM86" s="43" t="n"/>
      <c r="NGN86" s="43" t="n"/>
      <c r="NGO86" s="43" t="n"/>
      <c r="NGP86" s="43" t="n"/>
      <c r="NGQ86" s="43" t="n"/>
      <c r="NGR86" s="43" t="n"/>
      <c r="NGS86" s="43" t="n"/>
      <c r="NGT86" s="43" t="n"/>
      <c r="NGU86" s="43" t="n"/>
      <c r="NGV86" s="43" t="n"/>
      <c r="NGW86" s="43" t="n"/>
      <c r="NGX86" s="43" t="n"/>
      <c r="NGY86" s="43" t="n"/>
      <c r="NGZ86" s="43" t="n"/>
      <c r="NHA86" s="43" t="n"/>
      <c r="NHB86" s="43" t="n"/>
      <c r="NHC86" s="43" t="n"/>
      <c r="NHD86" s="43" t="n"/>
      <c r="NHE86" s="43" t="n"/>
      <c r="NHF86" s="43" t="n"/>
      <c r="NHG86" s="43" t="n"/>
      <c r="NHH86" s="43" t="n"/>
      <c r="NHI86" s="43" t="n"/>
      <c r="NHJ86" s="43" t="n"/>
      <c r="NHK86" s="43" t="n"/>
      <c r="NHL86" s="43" t="n"/>
      <c r="NHM86" s="43" t="n"/>
      <c r="NHN86" s="43" t="n"/>
      <c r="NHO86" s="43" t="n"/>
      <c r="NHP86" s="43" t="n"/>
      <c r="NHQ86" s="43" t="n"/>
      <c r="NHR86" s="43" t="n"/>
      <c r="NHS86" s="43" t="n"/>
      <c r="NHT86" s="43" t="n"/>
      <c r="NHU86" s="43" t="n"/>
      <c r="NHV86" s="43" t="n"/>
      <c r="NHW86" s="43" t="n"/>
      <c r="NHX86" s="43" t="n"/>
      <c r="NHY86" s="43" t="n"/>
      <c r="NHZ86" s="43" t="n"/>
      <c r="NIA86" s="43" t="n"/>
      <c r="NIB86" s="43" t="n"/>
      <c r="NIC86" s="43" t="n"/>
      <c r="NID86" s="43" t="n"/>
      <c r="NIE86" s="43" t="n"/>
      <c r="NIF86" s="43" t="n"/>
      <c r="NIG86" s="43" t="n"/>
      <c r="NIH86" s="43" t="n"/>
      <c r="NII86" s="43" t="n"/>
      <c r="NIJ86" s="43" t="n"/>
      <c r="NIK86" s="43" t="n"/>
      <c r="NIL86" s="43" t="n"/>
      <c r="NIM86" s="43" t="n"/>
      <c r="NIN86" s="43" t="n"/>
      <c r="NIO86" s="43" t="n"/>
      <c r="NIP86" s="43" t="n"/>
      <c r="NIQ86" s="43" t="n"/>
      <c r="NIR86" s="43" t="n"/>
      <c r="NIS86" s="43" t="n"/>
      <c r="NIT86" s="43" t="n"/>
      <c r="NIU86" s="43" t="n"/>
      <c r="NIV86" s="43" t="n"/>
      <c r="NIW86" s="43" t="n"/>
      <c r="NIX86" s="43" t="n"/>
      <c r="NIY86" s="43" t="n"/>
      <c r="NIZ86" s="43" t="n"/>
      <c r="NJA86" s="43" t="n"/>
      <c r="NJB86" s="43" t="n"/>
      <c r="NJC86" s="43" t="n"/>
      <c r="NJD86" s="43" t="n"/>
      <c r="NJE86" s="43" t="n"/>
      <c r="NJF86" s="43" t="n"/>
      <c r="NJG86" s="43" t="n"/>
      <c r="NJH86" s="43" t="n"/>
      <c r="NJI86" s="43" t="n"/>
      <c r="NJJ86" s="43" t="n"/>
      <c r="NJK86" s="43" t="n"/>
      <c r="NJL86" s="43" t="n"/>
      <c r="NJM86" s="43" t="n"/>
      <c r="NJN86" s="43" t="n"/>
      <c r="NJO86" s="43" t="n"/>
      <c r="NJP86" s="43" t="n"/>
      <c r="NJQ86" s="43" t="n"/>
      <c r="NJR86" s="43" t="n"/>
      <c r="NJS86" s="43" t="n"/>
      <c r="NJT86" s="43" t="n"/>
      <c r="NJU86" s="43" t="n"/>
      <c r="NJV86" s="43" t="n"/>
      <c r="NJW86" s="43" t="n"/>
      <c r="NJX86" s="43" t="n"/>
      <c r="NJY86" s="43" t="n"/>
      <c r="NJZ86" s="43" t="n"/>
      <c r="NKA86" s="43" t="n"/>
      <c r="NKB86" s="43" t="n"/>
      <c r="NKC86" s="43" t="n"/>
      <c r="NKD86" s="43" t="n"/>
      <c r="NKE86" s="43" t="n"/>
      <c r="NKF86" s="43" t="n"/>
      <c r="NKG86" s="43" t="n"/>
      <c r="NKH86" s="43" t="n"/>
      <c r="NKI86" s="43" t="n"/>
      <c r="NKJ86" s="43" t="n"/>
      <c r="NKK86" s="43" t="n"/>
      <c r="NKL86" s="43" t="n"/>
      <c r="NKM86" s="43" t="n"/>
      <c r="NKN86" s="43" t="n"/>
      <c r="NKO86" s="43" t="n"/>
      <c r="NKP86" s="43" t="n"/>
      <c r="NKQ86" s="43" t="n"/>
      <c r="NKR86" s="43" t="n"/>
      <c r="NKS86" s="43" t="n"/>
      <c r="NKT86" s="43" t="n"/>
      <c r="NKU86" s="43" t="n"/>
      <c r="NKV86" s="43" t="n"/>
      <c r="NKW86" s="43" t="n"/>
      <c r="NKX86" s="43" t="n"/>
      <c r="NKY86" s="43" t="n"/>
      <c r="NKZ86" s="43" t="n"/>
      <c r="NLA86" s="43" t="n"/>
      <c r="NLB86" s="43" t="n"/>
      <c r="NLC86" s="43" t="n"/>
      <c r="NLD86" s="43" t="n"/>
      <c r="NLE86" s="43" t="n"/>
      <c r="NLF86" s="43" t="n"/>
      <c r="NLG86" s="43" t="n"/>
      <c r="NLH86" s="43" t="n"/>
      <c r="NLI86" s="43" t="n"/>
      <c r="NLJ86" s="43" t="n"/>
      <c r="NLK86" s="43" t="n"/>
      <c r="NLL86" s="43" t="n"/>
      <c r="NLM86" s="43" t="n"/>
      <c r="NLN86" s="43" t="n"/>
      <c r="NLO86" s="43" t="n"/>
      <c r="NLP86" s="43" t="n"/>
      <c r="NLQ86" s="43" t="n"/>
      <c r="NLR86" s="43" t="n"/>
      <c r="NLS86" s="43" t="n"/>
      <c r="NLT86" s="43" t="n"/>
      <c r="NLU86" s="43" t="n"/>
      <c r="NLV86" s="43" t="n"/>
      <c r="NLW86" s="43" t="n"/>
      <c r="NLX86" s="43" t="n"/>
      <c r="NLY86" s="43" t="n"/>
      <c r="NLZ86" s="43" t="n"/>
      <c r="NMA86" s="43" t="n"/>
      <c r="NMB86" s="43" t="n"/>
      <c r="NMC86" s="43" t="n"/>
      <c r="NMD86" s="43" t="n"/>
      <c r="NME86" s="43" t="n"/>
      <c r="NMF86" s="43" t="n"/>
      <c r="NMG86" s="43" t="n"/>
      <c r="NMH86" s="43" t="n"/>
      <c r="NMI86" s="43" t="n"/>
      <c r="NMJ86" s="43" t="n"/>
      <c r="NMK86" s="43" t="n"/>
      <c r="NML86" s="43" t="n"/>
      <c r="NMM86" s="43" t="n"/>
      <c r="NMN86" s="43" t="n"/>
      <c r="NMO86" s="43" t="n"/>
      <c r="NMP86" s="43" t="n"/>
      <c r="NMQ86" s="43" t="n"/>
      <c r="NMR86" s="43" t="n"/>
      <c r="NMS86" s="43" t="n"/>
      <c r="NMT86" s="43" t="n"/>
      <c r="NMU86" s="43" t="n"/>
      <c r="NMV86" s="43" t="n"/>
      <c r="NMW86" s="43" t="n"/>
      <c r="NMX86" s="43" t="n"/>
      <c r="NMY86" s="43" t="n"/>
      <c r="NMZ86" s="43" t="n"/>
      <c r="NNA86" s="43" t="n"/>
      <c r="NNB86" s="43" t="n"/>
      <c r="NNC86" s="43" t="n"/>
      <c r="NND86" s="43" t="n"/>
      <c r="NNE86" s="43" t="n"/>
      <c r="NNF86" s="43" t="n"/>
      <c r="NNG86" s="43" t="n"/>
      <c r="NNH86" s="43" t="n"/>
      <c r="NNI86" s="43" t="n"/>
      <c r="NNJ86" s="43" t="n"/>
      <c r="NNK86" s="43" t="n"/>
      <c r="NNL86" s="43" t="n"/>
      <c r="NNM86" s="43" t="n"/>
      <c r="NNN86" s="43" t="n"/>
      <c r="NNO86" s="43" t="n"/>
      <c r="NNP86" s="43" t="n"/>
      <c r="NNQ86" s="43" t="n"/>
      <c r="NNR86" s="43" t="n"/>
      <c r="NNS86" s="43" t="n"/>
      <c r="NNT86" s="43" t="n"/>
      <c r="NNU86" s="43" t="n"/>
      <c r="NNV86" s="43" t="n"/>
      <c r="NNW86" s="43" t="n"/>
      <c r="NNX86" s="43" t="n"/>
      <c r="NNY86" s="43" t="n"/>
      <c r="NNZ86" s="43" t="n"/>
      <c r="NOA86" s="43" t="n"/>
      <c r="NOB86" s="43" t="n"/>
      <c r="NOC86" s="43" t="n"/>
      <c r="NOD86" s="43" t="n"/>
      <c r="NOE86" s="43" t="n"/>
      <c r="NOF86" s="43" t="n"/>
      <c r="NOG86" s="43" t="n"/>
      <c r="NOH86" s="43" t="n"/>
      <c r="NOI86" s="43" t="n"/>
      <c r="NOJ86" s="43" t="n"/>
      <c r="NOK86" s="43" t="n"/>
      <c r="NOL86" s="43" t="n"/>
      <c r="NOM86" s="43" t="n"/>
      <c r="NON86" s="43" t="n"/>
      <c r="NOO86" s="43" t="n"/>
      <c r="NOP86" s="43" t="n"/>
      <c r="NOQ86" s="43" t="n"/>
      <c r="NOR86" s="43" t="n"/>
      <c r="NOS86" s="43" t="n"/>
      <c r="NOT86" s="43" t="n"/>
      <c r="NOU86" s="43" t="n"/>
      <c r="NOV86" s="43" t="n"/>
      <c r="NOW86" s="43" t="n"/>
      <c r="NOX86" s="43" t="n"/>
      <c r="NOY86" s="43" t="n"/>
      <c r="NOZ86" s="43" t="n"/>
      <c r="NPA86" s="43" t="n"/>
      <c r="NPB86" s="43" t="n"/>
      <c r="NPC86" s="43" t="n"/>
      <c r="NPD86" s="43" t="n"/>
      <c r="NPE86" s="43" t="n"/>
      <c r="NPF86" s="43" t="n"/>
      <c r="NPG86" s="43" t="n"/>
      <c r="NPH86" s="43" t="n"/>
      <c r="NPI86" s="43" t="n"/>
      <c r="NPJ86" s="43" t="n"/>
      <c r="NPK86" s="43" t="n"/>
      <c r="NPL86" s="43" t="n"/>
      <c r="NPM86" s="43" t="n"/>
      <c r="NPN86" s="43" t="n"/>
      <c r="NPO86" s="43" t="n"/>
      <c r="NPP86" s="43" t="n"/>
      <c r="NPQ86" s="43" t="n"/>
      <c r="NPR86" s="43" t="n"/>
      <c r="NPS86" s="43" t="n"/>
      <c r="NPT86" s="43" t="n"/>
      <c r="NPU86" s="43" t="n"/>
      <c r="NPV86" s="43" t="n"/>
      <c r="NPW86" s="43" t="n"/>
      <c r="NPX86" s="43" t="n"/>
      <c r="NPY86" s="43" t="n"/>
      <c r="NPZ86" s="43" t="n"/>
      <c r="NQA86" s="43" t="n"/>
      <c r="NQB86" s="43" t="n"/>
      <c r="NQC86" s="43" t="n"/>
      <c r="NQD86" s="43" t="n"/>
      <c r="NQE86" s="43" t="n"/>
      <c r="NQF86" s="43" t="n"/>
      <c r="NQG86" s="43" t="n"/>
      <c r="NQH86" s="43" t="n"/>
      <c r="NQI86" s="43" t="n"/>
      <c r="NQJ86" s="43" t="n"/>
      <c r="NQK86" s="43" t="n"/>
      <c r="NQL86" s="43" t="n"/>
      <c r="NQM86" s="43" t="n"/>
      <c r="NQN86" s="43" t="n"/>
      <c r="NQO86" s="43" t="n"/>
      <c r="NQP86" s="43" t="n"/>
      <c r="NQQ86" s="43" t="n"/>
      <c r="NQR86" s="43" t="n"/>
      <c r="NQS86" s="43" t="n"/>
      <c r="NQT86" s="43" t="n"/>
      <c r="NQU86" s="43" t="n"/>
      <c r="NQV86" s="43" t="n"/>
      <c r="NQW86" s="43" t="n"/>
      <c r="NQX86" s="43" t="n"/>
      <c r="NQY86" s="43" t="n"/>
      <c r="NQZ86" s="43" t="n"/>
      <c r="NRA86" s="43" t="n"/>
      <c r="NRB86" s="43" t="n"/>
      <c r="NRC86" s="43" t="n"/>
      <c r="NRD86" s="43" t="n"/>
      <c r="NRE86" s="43" t="n"/>
      <c r="NRF86" s="43" t="n"/>
      <c r="NRG86" s="43" t="n"/>
      <c r="NRH86" s="43" t="n"/>
      <c r="NRI86" s="43" t="n"/>
      <c r="NRJ86" s="43" t="n"/>
      <c r="NRK86" s="43" t="n"/>
      <c r="NRL86" s="43" t="n"/>
      <c r="NRM86" s="43" t="n"/>
      <c r="NRN86" s="43" t="n"/>
      <c r="NRO86" s="43" t="n"/>
      <c r="NRP86" s="43" t="n"/>
      <c r="NRQ86" s="43" t="n"/>
      <c r="NRR86" s="43" t="n"/>
      <c r="NRS86" s="43" t="n"/>
      <c r="NRT86" s="43" t="n"/>
      <c r="NRU86" s="43" t="n"/>
      <c r="NRV86" s="43" t="n"/>
      <c r="NRW86" s="43" t="n"/>
      <c r="NRX86" s="43" t="n"/>
      <c r="NRY86" s="43" t="n"/>
      <c r="NRZ86" s="43" t="n"/>
      <c r="NSA86" s="43" t="n"/>
      <c r="NSB86" s="43" t="n"/>
      <c r="NSC86" s="43" t="n"/>
      <c r="NSD86" s="43" t="n"/>
      <c r="NSE86" s="43" t="n"/>
      <c r="NSF86" s="43" t="n"/>
      <c r="NSG86" s="43" t="n"/>
      <c r="NSH86" s="43" t="n"/>
      <c r="NSI86" s="43" t="n"/>
      <c r="NSJ86" s="43" t="n"/>
      <c r="NSK86" s="43" t="n"/>
      <c r="NSL86" s="43" t="n"/>
      <c r="NSM86" s="43" t="n"/>
      <c r="NSN86" s="43" t="n"/>
      <c r="NSO86" s="43" t="n"/>
      <c r="NSP86" s="43" t="n"/>
      <c r="NSQ86" s="43" t="n"/>
      <c r="NSR86" s="43" t="n"/>
      <c r="NSS86" s="43" t="n"/>
      <c r="NST86" s="43" t="n"/>
      <c r="NSU86" s="43" t="n"/>
      <c r="NSV86" s="43" t="n"/>
      <c r="NSW86" s="43" t="n"/>
      <c r="NSX86" s="43" t="n"/>
      <c r="NSY86" s="43" t="n"/>
      <c r="NSZ86" s="43" t="n"/>
      <c r="NTA86" s="43" t="n"/>
      <c r="NTB86" s="43" t="n"/>
      <c r="NTC86" s="43" t="n"/>
      <c r="NTD86" s="43" t="n"/>
      <c r="NTE86" s="43" t="n"/>
      <c r="NTF86" s="43" t="n"/>
      <c r="NTG86" s="43" t="n"/>
      <c r="NTH86" s="43" t="n"/>
      <c r="NTI86" s="43" t="n"/>
      <c r="NTJ86" s="43" t="n"/>
      <c r="NTK86" s="43" t="n"/>
      <c r="NTL86" s="43" t="n"/>
      <c r="NTM86" s="43" t="n"/>
      <c r="NTN86" s="43" t="n"/>
      <c r="NTO86" s="43" t="n"/>
      <c r="NTP86" s="43" t="n"/>
      <c r="NTQ86" s="43" t="n"/>
      <c r="NTR86" s="43" t="n"/>
      <c r="NTS86" s="43" t="n"/>
      <c r="NTT86" s="43" t="n"/>
      <c r="NTU86" s="43" t="n"/>
      <c r="NTV86" s="43" t="n"/>
      <c r="NTW86" s="43" t="n"/>
      <c r="NTX86" s="43" t="n"/>
      <c r="NTY86" s="43" t="n"/>
      <c r="NTZ86" s="43" t="n"/>
      <c r="NUA86" s="43" t="n"/>
      <c r="NUB86" s="43" t="n"/>
      <c r="NUC86" s="43" t="n"/>
      <c r="NUD86" s="43" t="n"/>
      <c r="NUE86" s="43" t="n"/>
      <c r="NUF86" s="43" t="n"/>
      <c r="NUG86" s="43" t="n"/>
      <c r="NUH86" s="43" t="n"/>
      <c r="NUI86" s="43" t="n"/>
      <c r="NUJ86" s="43" t="n"/>
      <c r="NUK86" s="43" t="n"/>
      <c r="NUL86" s="43" t="n"/>
      <c r="NUM86" s="43" t="n"/>
      <c r="NUN86" s="43" t="n"/>
      <c r="NUO86" s="43" t="n"/>
      <c r="NUP86" s="43" t="n"/>
      <c r="NUQ86" s="43" t="n"/>
      <c r="NUR86" s="43" t="n"/>
      <c r="NUS86" s="43" t="n"/>
      <c r="NUT86" s="43" t="n"/>
      <c r="NUU86" s="43" t="n"/>
      <c r="NUV86" s="43" t="n"/>
      <c r="NUW86" s="43" t="n"/>
      <c r="NUX86" s="43" t="n"/>
      <c r="NUY86" s="43" t="n"/>
      <c r="NUZ86" s="43" t="n"/>
      <c r="NVA86" s="43" t="n"/>
      <c r="NVB86" s="43" t="n"/>
      <c r="NVC86" s="43" t="n"/>
      <c r="NVD86" s="43" t="n"/>
      <c r="NVE86" s="43" t="n"/>
      <c r="NVF86" s="43" t="n"/>
      <c r="NVG86" s="43" t="n"/>
      <c r="NVH86" s="43" t="n"/>
      <c r="NVI86" s="43" t="n"/>
      <c r="NVJ86" s="43" t="n"/>
      <c r="NVK86" s="43" t="n"/>
      <c r="NVL86" s="43" t="n"/>
      <c r="NVM86" s="43" t="n"/>
      <c r="NVN86" s="43" t="n"/>
      <c r="NVO86" s="43" t="n"/>
      <c r="NVP86" s="43" t="n"/>
      <c r="NVQ86" s="43" t="n"/>
      <c r="NVR86" s="43" t="n"/>
      <c r="NVS86" s="43" t="n"/>
      <c r="NVT86" s="43" t="n"/>
      <c r="NVU86" s="43" t="n"/>
      <c r="NVV86" s="43" t="n"/>
      <c r="NVW86" s="43" t="n"/>
      <c r="NVX86" s="43" t="n"/>
      <c r="NVY86" s="43" t="n"/>
      <c r="NVZ86" s="43" t="n"/>
      <c r="NWA86" s="43" t="n"/>
      <c r="NWB86" s="43" t="n"/>
      <c r="NWC86" s="43" t="n"/>
      <c r="NWD86" s="43" t="n"/>
      <c r="NWE86" s="43" t="n"/>
      <c r="NWF86" s="43" t="n"/>
      <c r="NWG86" s="43" t="n"/>
      <c r="NWH86" s="43" t="n"/>
      <c r="NWI86" s="43" t="n"/>
      <c r="NWJ86" s="43" t="n"/>
      <c r="NWK86" s="43" t="n"/>
      <c r="NWL86" s="43" t="n"/>
      <c r="NWM86" s="43" t="n"/>
      <c r="NWN86" s="43" t="n"/>
      <c r="NWO86" s="43" t="n"/>
      <c r="NWP86" s="43" t="n"/>
      <c r="NWQ86" s="43" t="n"/>
      <c r="NWR86" s="43" t="n"/>
      <c r="NWS86" s="43" t="n"/>
      <c r="NWT86" s="43" t="n"/>
      <c r="NWU86" s="43" t="n"/>
      <c r="NWV86" s="43" t="n"/>
      <c r="NWW86" s="43" t="n"/>
      <c r="NWX86" s="43" t="n"/>
      <c r="NWY86" s="43" t="n"/>
      <c r="NWZ86" s="43" t="n"/>
      <c r="NXA86" s="43" t="n"/>
      <c r="NXB86" s="43" t="n"/>
      <c r="NXC86" s="43" t="n"/>
      <c r="NXD86" s="43" t="n"/>
      <c r="NXE86" s="43" t="n"/>
      <c r="NXF86" s="43" t="n"/>
      <c r="NXG86" s="43" t="n"/>
      <c r="NXH86" s="43" t="n"/>
      <c r="NXI86" s="43" t="n"/>
      <c r="NXJ86" s="43" t="n"/>
      <c r="NXK86" s="43" t="n"/>
      <c r="NXL86" s="43" t="n"/>
      <c r="NXM86" s="43" t="n"/>
      <c r="NXN86" s="43" t="n"/>
      <c r="NXO86" s="43" t="n"/>
      <c r="NXP86" s="43" t="n"/>
      <c r="NXQ86" s="43" t="n"/>
      <c r="NXR86" s="43" t="n"/>
      <c r="NXS86" s="43" t="n"/>
      <c r="NXT86" s="43" t="n"/>
      <c r="NXU86" s="43" t="n"/>
      <c r="NXV86" s="43" t="n"/>
      <c r="NXW86" s="43" t="n"/>
      <c r="NXX86" s="43" t="n"/>
      <c r="NXY86" s="43" t="n"/>
      <c r="NXZ86" s="43" t="n"/>
      <c r="NYA86" s="43" t="n"/>
      <c r="NYB86" s="43" t="n"/>
      <c r="NYC86" s="43" t="n"/>
      <c r="NYD86" s="43" t="n"/>
      <c r="NYE86" s="43" t="n"/>
      <c r="NYF86" s="43" t="n"/>
      <c r="NYG86" s="43" t="n"/>
      <c r="NYH86" s="43" t="n"/>
      <c r="NYI86" s="43" t="n"/>
      <c r="NYJ86" s="43" t="n"/>
      <c r="NYK86" s="43" t="n"/>
      <c r="NYL86" s="43" t="n"/>
      <c r="NYM86" s="43" t="n"/>
      <c r="NYN86" s="43" t="n"/>
      <c r="NYO86" s="43" t="n"/>
      <c r="NYP86" s="43" t="n"/>
      <c r="NYQ86" s="43" t="n"/>
      <c r="NYR86" s="43" t="n"/>
      <c r="NYS86" s="43" t="n"/>
      <c r="NYT86" s="43" t="n"/>
      <c r="NYU86" s="43" t="n"/>
      <c r="NYV86" s="43" t="n"/>
      <c r="NYW86" s="43" t="n"/>
      <c r="NYX86" s="43" t="n"/>
      <c r="NYY86" s="43" t="n"/>
      <c r="NYZ86" s="43" t="n"/>
      <c r="NZA86" s="43" t="n"/>
      <c r="NZB86" s="43" t="n"/>
      <c r="NZC86" s="43" t="n"/>
      <c r="NZD86" s="43" t="n"/>
      <c r="NZE86" s="43" t="n"/>
      <c r="NZF86" s="43" t="n"/>
      <c r="NZG86" s="43" t="n"/>
      <c r="NZH86" s="43" t="n"/>
      <c r="NZI86" s="43" t="n"/>
      <c r="NZJ86" s="43" t="n"/>
      <c r="NZK86" s="43" t="n"/>
      <c r="NZL86" s="43" t="n"/>
      <c r="NZM86" s="43" t="n"/>
      <c r="NZN86" s="43" t="n"/>
      <c r="NZO86" s="43" t="n"/>
      <c r="NZP86" s="43" t="n"/>
      <c r="NZQ86" s="43" t="n"/>
      <c r="NZR86" s="43" t="n"/>
      <c r="NZS86" s="43" t="n"/>
      <c r="NZT86" s="43" t="n"/>
      <c r="NZU86" s="43" t="n"/>
      <c r="NZV86" s="43" t="n"/>
      <c r="NZW86" s="43" t="n"/>
      <c r="NZX86" s="43" t="n"/>
      <c r="NZY86" s="43" t="n"/>
      <c r="NZZ86" s="43" t="n"/>
      <c r="OAA86" s="43" t="n"/>
      <c r="OAB86" s="43" t="n"/>
      <c r="OAC86" s="43" t="n"/>
      <c r="OAD86" s="43" t="n"/>
      <c r="OAE86" s="43" t="n"/>
      <c r="OAF86" s="43" t="n"/>
      <c r="OAG86" s="43" t="n"/>
      <c r="OAH86" s="43" t="n"/>
      <c r="OAI86" s="43" t="n"/>
      <c r="OAJ86" s="43" t="n"/>
      <c r="OAK86" s="43" t="n"/>
      <c r="OAL86" s="43" t="n"/>
      <c r="OAM86" s="43" t="n"/>
      <c r="OAN86" s="43" t="n"/>
      <c r="OAO86" s="43" t="n"/>
      <c r="OAP86" s="43" t="n"/>
      <c r="OAQ86" s="43" t="n"/>
      <c r="OAR86" s="43" t="n"/>
      <c r="OAS86" s="43" t="n"/>
      <c r="OAT86" s="43" t="n"/>
      <c r="OAU86" s="43" t="n"/>
      <c r="OAV86" s="43" t="n"/>
      <c r="OAW86" s="43" t="n"/>
      <c r="OAX86" s="43" t="n"/>
      <c r="OAY86" s="43" t="n"/>
      <c r="OAZ86" s="43" t="n"/>
      <c r="OBA86" s="43" t="n"/>
      <c r="OBB86" s="43" t="n"/>
      <c r="OBC86" s="43" t="n"/>
      <c r="OBD86" s="43" t="n"/>
      <c r="OBE86" s="43" t="n"/>
      <c r="OBF86" s="43" t="n"/>
      <c r="OBG86" s="43" t="n"/>
      <c r="OBH86" s="43" t="n"/>
      <c r="OBI86" s="43" t="n"/>
      <c r="OBJ86" s="43" t="n"/>
      <c r="OBK86" s="43" t="n"/>
      <c r="OBL86" s="43" t="n"/>
      <c r="OBM86" s="43" t="n"/>
      <c r="OBN86" s="43" t="n"/>
      <c r="OBO86" s="43" t="n"/>
      <c r="OBP86" s="43" t="n"/>
      <c r="OBQ86" s="43" t="n"/>
      <c r="OBR86" s="43" t="n"/>
      <c r="OBS86" s="43" t="n"/>
      <c r="OBT86" s="43" t="n"/>
      <c r="OBU86" s="43" t="n"/>
      <c r="OBV86" s="43" t="n"/>
      <c r="OBW86" s="43" t="n"/>
      <c r="OBX86" s="43" t="n"/>
      <c r="OBY86" s="43" t="n"/>
      <c r="OBZ86" s="43" t="n"/>
      <c r="OCA86" s="43" t="n"/>
      <c r="OCB86" s="43" t="n"/>
      <c r="OCC86" s="43" t="n"/>
      <c r="OCD86" s="43" t="n"/>
      <c r="OCE86" s="43" t="n"/>
      <c r="OCF86" s="43" t="n"/>
      <c r="OCG86" s="43" t="n"/>
      <c r="OCH86" s="43" t="n"/>
      <c r="OCI86" s="43" t="n"/>
      <c r="OCJ86" s="43" t="n"/>
      <c r="OCK86" s="43" t="n"/>
      <c r="OCL86" s="43" t="n"/>
      <c r="OCM86" s="43" t="n"/>
      <c r="OCN86" s="43" t="n"/>
      <c r="OCO86" s="43" t="n"/>
      <c r="OCP86" s="43" t="n"/>
      <c r="OCQ86" s="43" t="n"/>
      <c r="OCR86" s="43" t="n"/>
      <c r="OCS86" s="43" t="n"/>
      <c r="OCT86" s="43" t="n"/>
      <c r="OCU86" s="43" t="n"/>
      <c r="OCV86" s="43" t="n"/>
      <c r="OCW86" s="43" t="n"/>
      <c r="OCX86" s="43" t="n"/>
      <c r="OCY86" s="43" t="n"/>
      <c r="OCZ86" s="43" t="n"/>
      <c r="ODA86" s="43" t="n"/>
      <c r="ODB86" s="43" t="n"/>
      <c r="ODC86" s="43" t="n"/>
      <c r="ODD86" s="43" t="n"/>
      <c r="ODE86" s="43" t="n"/>
      <c r="ODF86" s="43" t="n"/>
      <c r="ODG86" s="43" t="n"/>
      <c r="ODH86" s="43" t="n"/>
      <c r="ODI86" s="43" t="n"/>
      <c r="ODJ86" s="43" t="n"/>
      <c r="ODK86" s="43" t="n"/>
      <c r="ODL86" s="43" t="n"/>
      <c r="ODM86" s="43" t="n"/>
      <c r="ODN86" s="43" t="n"/>
      <c r="ODO86" s="43" t="n"/>
      <c r="ODP86" s="43" t="n"/>
      <c r="ODQ86" s="43" t="n"/>
      <c r="ODR86" s="43" t="n"/>
      <c r="ODS86" s="43" t="n"/>
      <c r="ODT86" s="43" t="n"/>
      <c r="ODU86" s="43" t="n"/>
      <c r="ODV86" s="43" t="n"/>
      <c r="ODW86" s="43" t="n"/>
      <c r="ODX86" s="43" t="n"/>
      <c r="ODY86" s="43" t="n"/>
      <c r="ODZ86" s="43" t="n"/>
      <c r="OEA86" s="43" t="n"/>
      <c r="OEB86" s="43" t="n"/>
      <c r="OEC86" s="43" t="n"/>
      <c r="OED86" s="43" t="n"/>
      <c r="OEE86" s="43" t="n"/>
      <c r="OEF86" s="43" t="n"/>
      <c r="OEG86" s="43" t="n"/>
      <c r="OEH86" s="43" t="n"/>
      <c r="OEI86" s="43" t="n"/>
      <c r="OEJ86" s="43" t="n"/>
      <c r="OEK86" s="43" t="n"/>
      <c r="OEL86" s="43" t="n"/>
      <c r="OEM86" s="43" t="n"/>
      <c r="OEN86" s="43" t="n"/>
      <c r="OEO86" s="43" t="n"/>
      <c r="OEP86" s="43" t="n"/>
      <c r="OEQ86" s="43" t="n"/>
      <c r="OER86" s="43" t="n"/>
      <c r="OES86" s="43" t="n"/>
      <c r="OET86" s="43" t="n"/>
      <c r="OEU86" s="43" t="n"/>
      <c r="OEV86" s="43" t="n"/>
      <c r="OEW86" s="43" t="n"/>
      <c r="OEX86" s="43" t="n"/>
      <c r="OEY86" s="43" t="n"/>
      <c r="OEZ86" s="43" t="n"/>
      <c r="OFA86" s="43" t="n"/>
      <c r="OFB86" s="43" t="n"/>
      <c r="OFC86" s="43" t="n"/>
      <c r="OFD86" s="43" t="n"/>
      <c r="OFE86" s="43" t="n"/>
      <c r="OFF86" s="43" t="n"/>
      <c r="OFG86" s="43" t="n"/>
      <c r="OFH86" s="43" t="n"/>
      <c r="OFI86" s="43" t="n"/>
      <c r="OFJ86" s="43" t="n"/>
      <c r="OFK86" s="43" t="n"/>
      <c r="OFL86" s="43" t="n"/>
      <c r="OFM86" s="43" t="n"/>
      <c r="OFN86" s="43" t="n"/>
      <c r="OFO86" s="43" t="n"/>
      <c r="OFP86" s="43" t="n"/>
      <c r="OFQ86" s="43" t="n"/>
      <c r="OFR86" s="43" t="n"/>
      <c r="OFS86" s="43" t="n"/>
      <c r="OFT86" s="43" t="n"/>
      <c r="OFU86" s="43" t="n"/>
      <c r="OFV86" s="43" t="n"/>
      <c r="OFW86" s="43" t="n"/>
      <c r="OFX86" s="43" t="n"/>
      <c r="OFY86" s="43" t="n"/>
      <c r="OFZ86" s="43" t="n"/>
      <c r="OGA86" s="43" t="n"/>
      <c r="OGB86" s="43" t="n"/>
      <c r="OGC86" s="43" t="n"/>
      <c r="OGD86" s="43" t="n"/>
      <c r="OGE86" s="43" t="n"/>
      <c r="OGF86" s="43" t="n"/>
      <c r="OGG86" s="43" t="n"/>
      <c r="OGH86" s="43" t="n"/>
      <c r="OGI86" s="43" t="n"/>
      <c r="OGJ86" s="43" t="n"/>
      <c r="OGK86" s="43" t="n"/>
      <c r="OGL86" s="43" t="n"/>
      <c r="OGM86" s="43" t="n"/>
      <c r="OGN86" s="43" t="n"/>
      <c r="OGO86" s="43" t="n"/>
      <c r="OGP86" s="43" t="n"/>
      <c r="OGQ86" s="43" t="n"/>
      <c r="OGR86" s="43" t="n"/>
      <c r="OGS86" s="43" t="n"/>
      <c r="OGT86" s="43" t="n"/>
      <c r="OGU86" s="43" t="n"/>
      <c r="OGV86" s="43" t="n"/>
      <c r="OGW86" s="43" t="n"/>
      <c r="OGX86" s="43" t="n"/>
      <c r="OGY86" s="43" t="n"/>
      <c r="OGZ86" s="43" t="n"/>
      <c r="OHA86" s="43" t="n"/>
      <c r="OHB86" s="43" t="n"/>
      <c r="OHC86" s="43" t="n"/>
      <c r="OHD86" s="43" t="n"/>
      <c r="OHE86" s="43" t="n"/>
      <c r="OHF86" s="43" t="n"/>
      <c r="OHG86" s="43" t="n"/>
      <c r="OHH86" s="43" t="n"/>
      <c r="OHI86" s="43" t="n"/>
      <c r="OHJ86" s="43" t="n"/>
      <c r="OHK86" s="43" t="n"/>
      <c r="OHL86" s="43" t="n"/>
      <c r="OHM86" s="43" t="n"/>
      <c r="OHN86" s="43" t="n"/>
      <c r="OHO86" s="43" t="n"/>
      <c r="OHP86" s="43" t="n"/>
      <c r="OHQ86" s="43" t="n"/>
      <c r="OHR86" s="43" t="n"/>
      <c r="OHS86" s="43" t="n"/>
      <c r="OHT86" s="43" t="n"/>
      <c r="OHU86" s="43" t="n"/>
      <c r="OHV86" s="43" t="n"/>
      <c r="OHW86" s="43" t="n"/>
      <c r="OHX86" s="43" t="n"/>
      <c r="OHY86" s="43" t="n"/>
      <c r="OHZ86" s="43" t="n"/>
      <c r="OIA86" s="43" t="n"/>
      <c r="OIB86" s="43" t="n"/>
      <c r="OIC86" s="43" t="n"/>
      <c r="OID86" s="43" t="n"/>
      <c r="OIE86" s="43" t="n"/>
      <c r="OIF86" s="43" t="n"/>
      <c r="OIG86" s="43" t="n"/>
      <c r="OIH86" s="43" t="n"/>
      <c r="OII86" s="43" t="n"/>
      <c r="OIJ86" s="43" t="n"/>
      <c r="OIK86" s="43" t="n"/>
      <c r="OIL86" s="43" t="n"/>
      <c r="OIM86" s="43" t="n"/>
      <c r="OIN86" s="43" t="n"/>
      <c r="OIO86" s="43" t="n"/>
      <c r="OIP86" s="43" t="n"/>
      <c r="OIQ86" s="43" t="n"/>
      <c r="OIR86" s="43" t="n"/>
      <c r="OIS86" s="43" t="n"/>
      <c r="OIT86" s="43" t="n"/>
      <c r="OIU86" s="43" t="n"/>
      <c r="OIV86" s="43" t="n"/>
      <c r="OIW86" s="43" t="n"/>
      <c r="OIX86" s="43" t="n"/>
      <c r="OIY86" s="43" t="n"/>
      <c r="OIZ86" s="43" t="n"/>
      <c r="OJA86" s="43" t="n"/>
      <c r="OJB86" s="43" t="n"/>
      <c r="OJC86" s="43" t="n"/>
      <c r="OJD86" s="43" t="n"/>
      <c r="OJE86" s="43" t="n"/>
      <c r="OJF86" s="43" t="n"/>
      <c r="OJG86" s="43" t="n"/>
      <c r="OJH86" s="43" t="n"/>
      <c r="OJI86" s="43" t="n"/>
      <c r="OJJ86" s="43" t="n"/>
      <c r="OJK86" s="43" t="n"/>
      <c r="OJL86" s="43" t="n"/>
      <c r="OJM86" s="43" t="n"/>
      <c r="OJN86" s="43" t="n"/>
      <c r="OJO86" s="43" t="n"/>
      <c r="OJP86" s="43" t="n"/>
      <c r="OJQ86" s="43" t="n"/>
      <c r="OJR86" s="43" t="n"/>
      <c r="OJS86" s="43" t="n"/>
      <c r="OJT86" s="43" t="n"/>
      <c r="OJU86" s="43" t="n"/>
      <c r="OJV86" s="43" t="n"/>
      <c r="OJW86" s="43" t="n"/>
      <c r="OJX86" s="43" t="n"/>
      <c r="OJY86" s="43" t="n"/>
      <c r="OJZ86" s="43" t="n"/>
      <c r="OKA86" s="43" t="n"/>
      <c r="OKB86" s="43" t="n"/>
      <c r="OKC86" s="43" t="n"/>
      <c r="OKD86" s="43" t="n"/>
      <c r="OKE86" s="43" t="n"/>
      <c r="OKF86" s="43" t="n"/>
      <c r="OKG86" s="43" t="n"/>
      <c r="OKH86" s="43" t="n"/>
      <c r="OKI86" s="43" t="n"/>
      <c r="OKJ86" s="43" t="n"/>
      <c r="OKK86" s="43" t="n"/>
      <c r="OKL86" s="43" t="n"/>
      <c r="OKM86" s="43" t="n"/>
      <c r="OKN86" s="43" t="n"/>
      <c r="OKO86" s="43" t="n"/>
      <c r="OKP86" s="43" t="n"/>
      <c r="OKQ86" s="43" t="n"/>
      <c r="OKR86" s="43" t="n"/>
      <c r="OKS86" s="43" t="n"/>
      <c r="OKT86" s="43" t="n"/>
      <c r="OKU86" s="43" t="n"/>
      <c r="OKV86" s="43" t="n"/>
      <c r="OKW86" s="43" t="n"/>
      <c r="OKX86" s="43" t="n"/>
      <c r="OKY86" s="43" t="n"/>
      <c r="OKZ86" s="43" t="n"/>
      <c r="OLA86" s="43" t="n"/>
      <c r="OLB86" s="43" t="n"/>
      <c r="OLC86" s="43" t="n"/>
      <c r="OLD86" s="43" t="n"/>
      <c r="OLE86" s="43" t="n"/>
      <c r="OLF86" s="43" t="n"/>
      <c r="OLG86" s="43" t="n"/>
      <c r="OLH86" s="43" t="n"/>
      <c r="OLI86" s="43" t="n"/>
      <c r="OLJ86" s="43" t="n"/>
      <c r="OLK86" s="43" t="n"/>
      <c r="OLL86" s="43" t="n"/>
      <c r="OLM86" s="43" t="n"/>
      <c r="OLN86" s="43" t="n"/>
      <c r="OLO86" s="43" t="n"/>
      <c r="OLP86" s="43" t="n"/>
      <c r="OLQ86" s="43" t="n"/>
      <c r="OLR86" s="43" t="n"/>
      <c r="OLS86" s="43" t="n"/>
      <c r="OLT86" s="43" t="n"/>
      <c r="OLU86" s="43" t="n"/>
      <c r="OLV86" s="43" t="n"/>
      <c r="OLW86" s="43" t="n"/>
      <c r="OLX86" s="43" t="n"/>
      <c r="OLY86" s="43" t="n"/>
      <c r="OLZ86" s="43" t="n"/>
      <c r="OMA86" s="43" t="n"/>
      <c r="OMB86" s="43" t="n"/>
      <c r="OMC86" s="43" t="n"/>
      <c r="OMD86" s="43" t="n"/>
      <c r="OME86" s="43" t="n"/>
      <c r="OMF86" s="43" t="n"/>
      <c r="OMG86" s="43" t="n"/>
      <c r="OMH86" s="43" t="n"/>
      <c r="OMI86" s="43" t="n"/>
      <c r="OMJ86" s="43" t="n"/>
      <c r="OMK86" s="43" t="n"/>
      <c r="OML86" s="43" t="n"/>
      <c r="OMM86" s="43" t="n"/>
      <c r="OMN86" s="43" t="n"/>
      <c r="OMO86" s="43" t="n"/>
      <c r="OMP86" s="43" t="n"/>
      <c r="OMQ86" s="43" t="n"/>
      <c r="OMR86" s="43" t="n"/>
      <c r="OMS86" s="43" t="n"/>
      <c r="OMT86" s="43" t="n"/>
      <c r="OMU86" s="43" t="n"/>
      <c r="OMV86" s="43" t="n"/>
      <c r="OMW86" s="43" t="n"/>
      <c r="OMX86" s="43" t="n"/>
      <c r="OMY86" s="43" t="n"/>
      <c r="OMZ86" s="43" t="n"/>
      <c r="ONA86" s="43" t="n"/>
      <c r="ONB86" s="43" t="n"/>
      <c r="ONC86" s="43" t="n"/>
      <c r="OND86" s="43" t="n"/>
      <c r="ONE86" s="43" t="n"/>
      <c r="ONF86" s="43" t="n"/>
      <c r="ONG86" s="43" t="n"/>
      <c r="ONH86" s="43" t="n"/>
      <c r="ONI86" s="43" t="n"/>
      <c r="ONJ86" s="43" t="n"/>
      <c r="ONK86" s="43" t="n"/>
      <c r="ONL86" s="43" t="n"/>
      <c r="ONM86" s="43" t="n"/>
      <c r="ONN86" s="43" t="n"/>
      <c r="ONO86" s="43" t="n"/>
      <c r="ONP86" s="43" t="n"/>
      <c r="ONQ86" s="43" t="n"/>
      <c r="ONR86" s="43" t="n"/>
      <c r="ONS86" s="43" t="n"/>
      <c r="ONT86" s="43" t="n"/>
      <c r="ONU86" s="43" t="n"/>
      <c r="ONV86" s="43" t="n"/>
      <c r="ONW86" s="43" t="n"/>
      <c r="ONX86" s="43" t="n"/>
      <c r="ONY86" s="43" t="n"/>
      <c r="ONZ86" s="43" t="n"/>
      <c r="OOA86" s="43" t="n"/>
      <c r="OOB86" s="43" t="n"/>
      <c r="OOC86" s="43" t="n"/>
      <c r="OOD86" s="43" t="n"/>
      <c r="OOE86" s="43" t="n"/>
      <c r="OOF86" s="43" t="n"/>
      <c r="OOG86" s="43" t="n"/>
      <c r="OOH86" s="43" t="n"/>
      <c r="OOI86" s="43" t="n"/>
      <c r="OOJ86" s="43" t="n"/>
      <c r="OOK86" s="43" t="n"/>
      <c r="OOL86" s="43" t="n"/>
      <c r="OOM86" s="43" t="n"/>
      <c r="OON86" s="43" t="n"/>
      <c r="OOO86" s="43" t="n"/>
      <c r="OOP86" s="43" t="n"/>
      <c r="OOQ86" s="43" t="n"/>
      <c r="OOR86" s="43" t="n"/>
      <c r="OOS86" s="43" t="n"/>
      <c r="OOT86" s="43" t="n"/>
      <c r="OOU86" s="43" t="n"/>
      <c r="OOV86" s="43" t="n"/>
      <c r="OOW86" s="43" t="n"/>
      <c r="OOX86" s="43" t="n"/>
      <c r="OOY86" s="43" t="n"/>
      <c r="OOZ86" s="43" t="n"/>
      <c r="OPA86" s="43" t="n"/>
      <c r="OPB86" s="43" t="n"/>
      <c r="OPC86" s="43" t="n"/>
      <c r="OPD86" s="43" t="n"/>
      <c r="OPE86" s="43" t="n"/>
      <c r="OPF86" s="43" t="n"/>
      <c r="OPG86" s="43" t="n"/>
      <c r="OPH86" s="43" t="n"/>
      <c r="OPI86" s="43" t="n"/>
      <c r="OPJ86" s="43" t="n"/>
      <c r="OPK86" s="43" t="n"/>
      <c r="OPL86" s="43" t="n"/>
      <c r="OPM86" s="43" t="n"/>
      <c r="OPN86" s="43" t="n"/>
      <c r="OPO86" s="43" t="n"/>
      <c r="OPP86" s="43" t="n"/>
      <c r="OPQ86" s="43" t="n"/>
      <c r="OPR86" s="43" t="n"/>
      <c r="OPS86" s="43" t="n"/>
      <c r="OPT86" s="43" t="n"/>
      <c r="OPU86" s="43" t="n"/>
      <c r="OPV86" s="43" t="n"/>
      <c r="OPW86" s="43" t="n"/>
      <c r="OPX86" s="43" t="n"/>
      <c r="OPY86" s="43" t="n"/>
      <c r="OPZ86" s="43" t="n"/>
      <c r="OQA86" s="43" t="n"/>
      <c r="OQB86" s="43" t="n"/>
      <c r="OQC86" s="43" t="n"/>
      <c r="OQD86" s="43" t="n"/>
      <c r="OQE86" s="43" t="n"/>
      <c r="OQF86" s="43" t="n"/>
      <c r="OQG86" s="43" t="n"/>
      <c r="OQH86" s="43" t="n"/>
      <c r="OQI86" s="43" t="n"/>
      <c r="OQJ86" s="43" t="n"/>
      <c r="OQK86" s="43" t="n"/>
      <c r="OQL86" s="43" t="n"/>
      <c r="OQM86" s="43" t="n"/>
      <c r="OQN86" s="43" t="n"/>
      <c r="OQO86" s="43" t="n"/>
      <c r="OQP86" s="43" t="n"/>
      <c r="OQQ86" s="43" t="n"/>
      <c r="OQR86" s="43" t="n"/>
      <c r="OQS86" s="43" t="n"/>
      <c r="OQT86" s="43" t="n"/>
      <c r="OQU86" s="43" t="n"/>
      <c r="OQV86" s="43" t="n"/>
      <c r="OQW86" s="43" t="n"/>
      <c r="OQX86" s="43" t="n"/>
      <c r="OQY86" s="43" t="n"/>
      <c r="OQZ86" s="43" t="n"/>
      <c r="ORA86" s="43" t="n"/>
      <c r="ORB86" s="43" t="n"/>
      <c r="ORC86" s="43" t="n"/>
      <c r="ORD86" s="43" t="n"/>
      <c r="ORE86" s="43" t="n"/>
      <c r="ORF86" s="43" t="n"/>
      <c r="ORG86" s="43" t="n"/>
      <c r="ORH86" s="43" t="n"/>
      <c r="ORI86" s="43" t="n"/>
      <c r="ORJ86" s="43" t="n"/>
      <c r="ORK86" s="43" t="n"/>
      <c r="ORL86" s="43" t="n"/>
      <c r="ORM86" s="43" t="n"/>
      <c r="ORN86" s="43" t="n"/>
      <c r="ORO86" s="43" t="n"/>
      <c r="ORP86" s="43" t="n"/>
      <c r="ORQ86" s="43" t="n"/>
      <c r="ORR86" s="43" t="n"/>
      <c r="ORS86" s="43" t="n"/>
      <c r="ORT86" s="43" t="n"/>
      <c r="ORU86" s="43" t="n"/>
      <c r="ORV86" s="43" t="n"/>
      <c r="ORW86" s="43" t="n"/>
      <c r="ORX86" s="43" t="n"/>
      <c r="ORY86" s="43" t="n"/>
      <c r="ORZ86" s="43" t="n"/>
      <c r="OSA86" s="43" t="n"/>
      <c r="OSB86" s="43" t="n"/>
      <c r="OSC86" s="43" t="n"/>
      <c r="OSD86" s="43" t="n"/>
      <c r="OSE86" s="43" t="n"/>
      <c r="OSF86" s="43" t="n"/>
      <c r="OSG86" s="43" t="n"/>
      <c r="OSH86" s="43" t="n"/>
      <c r="OSI86" s="43" t="n"/>
      <c r="OSJ86" s="43" t="n"/>
      <c r="OSK86" s="43" t="n"/>
      <c r="OSL86" s="43" t="n"/>
      <c r="OSM86" s="43" t="n"/>
      <c r="OSN86" s="43" t="n"/>
      <c r="OSO86" s="43" t="n"/>
      <c r="OSP86" s="43" t="n"/>
      <c r="OSQ86" s="43" t="n"/>
      <c r="OSR86" s="43" t="n"/>
      <c r="OSS86" s="43" t="n"/>
      <c r="OST86" s="43" t="n"/>
      <c r="OSU86" s="43" t="n"/>
      <c r="OSV86" s="43" t="n"/>
      <c r="OSW86" s="43" t="n"/>
      <c r="OSX86" s="43" t="n"/>
      <c r="OSY86" s="43" t="n"/>
      <c r="OSZ86" s="43" t="n"/>
      <c r="OTA86" s="43" t="n"/>
      <c r="OTB86" s="43" t="n"/>
      <c r="OTC86" s="43" t="n"/>
      <c r="OTD86" s="43" t="n"/>
      <c r="OTE86" s="43" t="n"/>
      <c r="OTF86" s="43" t="n"/>
      <c r="OTG86" s="43" t="n"/>
      <c r="OTH86" s="43" t="n"/>
      <c r="OTI86" s="43" t="n"/>
      <c r="OTJ86" s="43" t="n"/>
      <c r="OTK86" s="43" t="n"/>
      <c r="OTL86" s="43" t="n"/>
      <c r="OTM86" s="43" t="n"/>
      <c r="OTN86" s="43" t="n"/>
      <c r="OTO86" s="43" t="n"/>
      <c r="OTP86" s="43" t="n"/>
      <c r="OTQ86" s="43" t="n"/>
      <c r="OTR86" s="43" t="n"/>
      <c r="OTS86" s="43" t="n"/>
      <c r="OTT86" s="43" t="n"/>
      <c r="OTU86" s="43" t="n"/>
      <c r="OTV86" s="43" t="n"/>
      <c r="OTW86" s="43" t="n"/>
      <c r="OTX86" s="43" t="n"/>
      <c r="OTY86" s="43" t="n"/>
      <c r="OTZ86" s="43" t="n"/>
      <c r="OUA86" s="43" t="n"/>
      <c r="OUB86" s="43" t="n"/>
      <c r="OUC86" s="43" t="n"/>
      <c r="OUD86" s="43" t="n"/>
      <c r="OUE86" s="43" t="n"/>
      <c r="OUF86" s="43" t="n"/>
      <c r="OUG86" s="43" t="n"/>
      <c r="OUH86" s="43" t="n"/>
      <c r="OUI86" s="43" t="n"/>
      <c r="OUJ86" s="43" t="n"/>
      <c r="OUK86" s="43" t="n"/>
      <c r="OUL86" s="43" t="n"/>
      <c r="OUM86" s="43" t="n"/>
      <c r="OUN86" s="43" t="n"/>
      <c r="OUO86" s="43" t="n"/>
      <c r="OUP86" s="43" t="n"/>
      <c r="OUQ86" s="43" t="n"/>
      <c r="OUR86" s="43" t="n"/>
      <c r="OUS86" s="43" t="n"/>
      <c r="OUT86" s="43" t="n"/>
      <c r="OUU86" s="43" t="n"/>
      <c r="OUV86" s="43" t="n"/>
      <c r="OUW86" s="43" t="n"/>
      <c r="OUX86" s="43" t="n"/>
      <c r="OUY86" s="43" t="n"/>
      <c r="OUZ86" s="43" t="n"/>
      <c r="OVA86" s="43" t="n"/>
      <c r="OVB86" s="43" t="n"/>
      <c r="OVC86" s="43" t="n"/>
      <c r="OVD86" s="43" t="n"/>
      <c r="OVE86" s="43" t="n"/>
      <c r="OVF86" s="43" t="n"/>
      <c r="OVG86" s="43" t="n"/>
      <c r="OVH86" s="43" t="n"/>
      <c r="OVI86" s="43" t="n"/>
      <c r="OVJ86" s="43" t="n"/>
      <c r="OVK86" s="43" t="n"/>
      <c r="OVL86" s="43" t="n"/>
      <c r="OVM86" s="43" t="n"/>
      <c r="OVN86" s="43" t="n"/>
      <c r="OVO86" s="43" t="n"/>
      <c r="OVP86" s="43" t="n"/>
      <c r="OVQ86" s="43" t="n"/>
      <c r="OVR86" s="43" t="n"/>
      <c r="OVS86" s="43" t="n"/>
      <c r="OVT86" s="43" t="n"/>
      <c r="OVU86" s="43" t="n"/>
      <c r="OVV86" s="43" t="n"/>
      <c r="OVW86" s="43" t="n"/>
      <c r="OVX86" s="43" t="n"/>
      <c r="OVY86" s="43" t="n"/>
      <c r="OVZ86" s="43" t="n"/>
      <c r="OWA86" s="43" t="n"/>
      <c r="OWB86" s="43" t="n"/>
      <c r="OWC86" s="43" t="n"/>
      <c r="OWD86" s="43" t="n"/>
      <c r="OWE86" s="43" t="n"/>
      <c r="OWF86" s="43" t="n"/>
      <c r="OWG86" s="43" t="n"/>
      <c r="OWH86" s="43" t="n"/>
      <c r="OWI86" s="43" t="n"/>
      <c r="OWJ86" s="43" t="n"/>
      <c r="OWK86" s="43" t="n"/>
      <c r="OWL86" s="43" t="n"/>
      <c r="OWM86" s="43" t="n"/>
      <c r="OWN86" s="43" t="n"/>
      <c r="OWO86" s="43" t="n"/>
      <c r="OWP86" s="43" t="n"/>
      <c r="OWQ86" s="43" t="n"/>
      <c r="OWR86" s="43" t="n"/>
      <c r="OWS86" s="43" t="n"/>
      <c r="OWT86" s="43" t="n"/>
      <c r="OWU86" s="43" t="n"/>
      <c r="OWV86" s="43" t="n"/>
      <c r="OWW86" s="43" t="n"/>
      <c r="OWX86" s="43" t="n"/>
      <c r="OWY86" s="43" t="n"/>
      <c r="OWZ86" s="43" t="n"/>
      <c r="OXA86" s="43" t="n"/>
      <c r="OXB86" s="43" t="n"/>
      <c r="OXC86" s="43" t="n"/>
      <c r="OXD86" s="43" t="n"/>
      <c r="OXE86" s="43" t="n"/>
      <c r="OXF86" s="43" t="n"/>
      <c r="OXG86" s="43" t="n"/>
      <c r="OXH86" s="43" t="n"/>
      <c r="OXI86" s="43" t="n"/>
      <c r="OXJ86" s="43" t="n"/>
      <c r="OXK86" s="43" t="n"/>
      <c r="OXL86" s="43" t="n"/>
      <c r="OXM86" s="43" t="n"/>
      <c r="OXN86" s="43" t="n"/>
      <c r="OXO86" s="43" t="n"/>
      <c r="OXP86" s="43" t="n"/>
      <c r="OXQ86" s="43" t="n"/>
      <c r="OXR86" s="43" t="n"/>
      <c r="OXS86" s="43" t="n"/>
      <c r="OXT86" s="43" t="n"/>
      <c r="OXU86" s="43" t="n"/>
      <c r="OXV86" s="43" t="n"/>
      <c r="OXW86" s="43" t="n"/>
      <c r="OXX86" s="43" t="n"/>
      <c r="OXY86" s="43" t="n"/>
      <c r="OXZ86" s="43" t="n"/>
      <c r="OYA86" s="43" t="n"/>
      <c r="OYB86" s="43" t="n"/>
      <c r="OYC86" s="43" t="n"/>
      <c r="OYD86" s="43" t="n"/>
      <c r="OYE86" s="43" t="n"/>
      <c r="OYF86" s="43" t="n"/>
      <c r="OYG86" s="43" t="n"/>
      <c r="OYH86" s="43" t="n"/>
      <c r="OYI86" s="43" t="n"/>
      <c r="OYJ86" s="43" t="n"/>
      <c r="OYK86" s="43" t="n"/>
      <c r="OYL86" s="43" t="n"/>
      <c r="OYM86" s="43" t="n"/>
      <c r="OYN86" s="43" t="n"/>
      <c r="OYO86" s="43" t="n"/>
      <c r="OYP86" s="43" t="n"/>
      <c r="OYQ86" s="43" t="n"/>
      <c r="OYR86" s="43" t="n"/>
      <c r="OYS86" s="43" t="n"/>
      <c r="OYT86" s="43" t="n"/>
      <c r="OYU86" s="43" t="n"/>
      <c r="OYV86" s="43" t="n"/>
      <c r="OYW86" s="43" t="n"/>
      <c r="OYX86" s="43" t="n"/>
      <c r="OYY86" s="43" t="n"/>
      <c r="OYZ86" s="43" t="n"/>
      <c r="OZA86" s="43" t="n"/>
      <c r="OZB86" s="43" t="n"/>
      <c r="OZC86" s="43" t="n"/>
      <c r="OZD86" s="43" t="n"/>
      <c r="OZE86" s="43" t="n"/>
      <c r="OZF86" s="43" t="n"/>
      <c r="OZG86" s="43" t="n"/>
      <c r="OZH86" s="43" t="n"/>
      <c r="OZI86" s="43" t="n"/>
      <c r="OZJ86" s="43" t="n"/>
      <c r="OZK86" s="43" t="n"/>
      <c r="OZL86" s="43" t="n"/>
      <c r="OZM86" s="43" t="n"/>
      <c r="OZN86" s="43" t="n"/>
      <c r="OZO86" s="43" t="n"/>
      <c r="OZP86" s="43" t="n"/>
      <c r="OZQ86" s="43" t="n"/>
      <c r="OZR86" s="43" t="n"/>
      <c r="OZS86" s="43" t="n"/>
      <c r="OZT86" s="43" t="n"/>
      <c r="OZU86" s="43" t="n"/>
      <c r="OZV86" s="43" t="n"/>
      <c r="OZW86" s="43" t="n"/>
      <c r="OZX86" s="43" t="n"/>
      <c r="OZY86" s="43" t="n"/>
      <c r="OZZ86" s="43" t="n"/>
      <c r="PAA86" s="43" t="n"/>
      <c r="PAB86" s="43" t="n"/>
      <c r="PAC86" s="43" t="n"/>
      <c r="PAD86" s="43" t="n"/>
      <c r="PAE86" s="43" t="n"/>
      <c r="PAF86" s="43" t="n"/>
      <c r="PAG86" s="43" t="n"/>
      <c r="PAH86" s="43" t="n"/>
      <c r="PAI86" s="43" t="n"/>
      <c r="PAJ86" s="43" t="n"/>
      <c r="PAK86" s="43" t="n"/>
      <c r="PAL86" s="43" t="n"/>
      <c r="PAM86" s="43" t="n"/>
      <c r="PAN86" s="43" t="n"/>
      <c r="PAO86" s="43" t="n"/>
      <c r="PAP86" s="43" t="n"/>
      <c r="PAQ86" s="43" t="n"/>
      <c r="PAR86" s="43" t="n"/>
      <c r="PAS86" s="43" t="n"/>
      <c r="PAT86" s="43" t="n"/>
      <c r="PAU86" s="43" t="n"/>
      <c r="PAV86" s="43" t="n"/>
      <c r="PAW86" s="43" t="n"/>
      <c r="PAX86" s="43" t="n"/>
      <c r="PAY86" s="43" t="n"/>
      <c r="PAZ86" s="43" t="n"/>
      <c r="PBA86" s="43" t="n"/>
      <c r="PBB86" s="43" t="n"/>
      <c r="PBC86" s="43" t="n"/>
      <c r="PBD86" s="43" t="n"/>
      <c r="PBE86" s="43" t="n"/>
      <c r="PBF86" s="43" t="n"/>
      <c r="PBG86" s="43" t="n"/>
      <c r="PBH86" s="43" t="n"/>
      <c r="PBI86" s="43" t="n"/>
      <c r="PBJ86" s="43" t="n"/>
      <c r="PBK86" s="43" t="n"/>
      <c r="PBL86" s="43" t="n"/>
      <c r="PBM86" s="43" t="n"/>
      <c r="PBN86" s="43" t="n"/>
      <c r="PBO86" s="43" t="n"/>
      <c r="PBP86" s="43" t="n"/>
      <c r="PBQ86" s="43" t="n"/>
      <c r="PBR86" s="43" t="n"/>
      <c r="PBS86" s="43" t="n"/>
      <c r="PBT86" s="43" t="n"/>
      <c r="PBU86" s="43" t="n"/>
      <c r="PBV86" s="43" t="n"/>
      <c r="PBW86" s="43" t="n"/>
      <c r="PBX86" s="43" t="n"/>
      <c r="PBY86" s="43" t="n"/>
      <c r="PBZ86" s="43" t="n"/>
      <c r="PCA86" s="43" t="n"/>
      <c r="PCB86" s="43" t="n"/>
      <c r="PCC86" s="43" t="n"/>
      <c r="PCD86" s="43" t="n"/>
      <c r="PCE86" s="43" t="n"/>
      <c r="PCF86" s="43" t="n"/>
      <c r="PCG86" s="43" t="n"/>
      <c r="PCH86" s="43" t="n"/>
      <c r="PCI86" s="43" t="n"/>
      <c r="PCJ86" s="43" t="n"/>
      <c r="PCK86" s="43" t="n"/>
      <c r="PCL86" s="43" t="n"/>
      <c r="PCM86" s="43" t="n"/>
      <c r="PCN86" s="43" t="n"/>
      <c r="PCO86" s="43" t="n"/>
      <c r="PCP86" s="43" t="n"/>
      <c r="PCQ86" s="43" t="n"/>
      <c r="PCR86" s="43" t="n"/>
      <c r="PCS86" s="43" t="n"/>
      <c r="PCT86" s="43" t="n"/>
      <c r="PCU86" s="43" t="n"/>
      <c r="PCV86" s="43" t="n"/>
      <c r="PCW86" s="43" t="n"/>
      <c r="PCX86" s="43" t="n"/>
      <c r="PCY86" s="43" t="n"/>
      <c r="PCZ86" s="43" t="n"/>
      <c r="PDA86" s="43" t="n"/>
      <c r="PDB86" s="43" t="n"/>
      <c r="PDC86" s="43" t="n"/>
      <c r="PDD86" s="43" t="n"/>
      <c r="PDE86" s="43" t="n"/>
      <c r="PDF86" s="43" t="n"/>
      <c r="PDG86" s="43" t="n"/>
      <c r="PDH86" s="43" t="n"/>
      <c r="PDI86" s="43" t="n"/>
      <c r="PDJ86" s="43" t="n"/>
      <c r="PDK86" s="43" t="n"/>
      <c r="PDL86" s="43" t="n"/>
      <c r="PDM86" s="43" t="n"/>
      <c r="PDN86" s="43" t="n"/>
      <c r="PDO86" s="43" t="n"/>
      <c r="PDP86" s="43" t="n"/>
      <c r="PDQ86" s="43" t="n"/>
      <c r="PDR86" s="43" t="n"/>
      <c r="PDS86" s="43" t="n"/>
      <c r="PDT86" s="43" t="n"/>
      <c r="PDU86" s="43" t="n"/>
      <c r="PDV86" s="43" t="n"/>
      <c r="PDW86" s="43" t="n"/>
      <c r="PDX86" s="43" t="n"/>
      <c r="PDY86" s="43" t="n"/>
      <c r="PDZ86" s="43" t="n"/>
      <c r="PEA86" s="43" t="n"/>
      <c r="PEB86" s="43" t="n"/>
      <c r="PEC86" s="43" t="n"/>
      <c r="PED86" s="43" t="n"/>
      <c r="PEE86" s="43" t="n"/>
      <c r="PEF86" s="43" t="n"/>
      <c r="PEG86" s="43" t="n"/>
      <c r="PEH86" s="43" t="n"/>
      <c r="PEI86" s="43" t="n"/>
      <c r="PEJ86" s="43" t="n"/>
      <c r="PEK86" s="43" t="n"/>
      <c r="PEL86" s="43" t="n"/>
      <c r="PEM86" s="43" t="n"/>
      <c r="PEN86" s="43" t="n"/>
      <c r="PEO86" s="43" t="n"/>
      <c r="PEP86" s="43" t="n"/>
      <c r="PEQ86" s="43" t="n"/>
      <c r="PER86" s="43" t="n"/>
      <c r="PES86" s="43" t="n"/>
      <c r="PET86" s="43" t="n"/>
      <c r="PEU86" s="43" t="n"/>
      <c r="PEV86" s="43" t="n"/>
      <c r="PEW86" s="43" t="n"/>
      <c r="PEX86" s="43" t="n"/>
      <c r="PEY86" s="43" t="n"/>
      <c r="PEZ86" s="43" t="n"/>
      <c r="PFA86" s="43" t="n"/>
      <c r="PFB86" s="43" t="n"/>
      <c r="PFC86" s="43" t="n"/>
      <c r="PFD86" s="43" t="n"/>
      <c r="PFE86" s="43" t="n"/>
      <c r="PFF86" s="43" t="n"/>
      <c r="PFG86" s="43" t="n"/>
      <c r="PFH86" s="43" t="n"/>
      <c r="PFI86" s="43" t="n"/>
      <c r="PFJ86" s="43" t="n"/>
      <c r="PFK86" s="43" t="n"/>
      <c r="PFL86" s="43" t="n"/>
      <c r="PFM86" s="43" t="n"/>
      <c r="PFN86" s="43" t="n"/>
      <c r="PFO86" s="43" t="n"/>
      <c r="PFP86" s="43" t="n"/>
      <c r="PFQ86" s="43" t="n"/>
      <c r="PFR86" s="43" t="n"/>
      <c r="PFS86" s="43" t="n"/>
      <c r="PFT86" s="43" t="n"/>
      <c r="PFU86" s="43" t="n"/>
      <c r="PFV86" s="43" t="n"/>
      <c r="PFW86" s="43" t="n"/>
      <c r="PFX86" s="43" t="n"/>
      <c r="PFY86" s="43" t="n"/>
      <c r="PFZ86" s="43" t="n"/>
      <c r="PGA86" s="43" t="n"/>
      <c r="PGB86" s="43" t="n"/>
      <c r="PGC86" s="43" t="n"/>
      <c r="PGD86" s="43" t="n"/>
      <c r="PGE86" s="43" t="n"/>
      <c r="PGF86" s="43" t="n"/>
      <c r="PGG86" s="43" t="n"/>
      <c r="PGH86" s="43" t="n"/>
      <c r="PGI86" s="43" t="n"/>
      <c r="PGJ86" s="43" t="n"/>
      <c r="PGK86" s="43" t="n"/>
      <c r="PGL86" s="43" t="n"/>
      <c r="PGM86" s="43" t="n"/>
      <c r="PGN86" s="43" t="n"/>
      <c r="PGO86" s="43" t="n"/>
      <c r="PGP86" s="43" t="n"/>
      <c r="PGQ86" s="43" t="n"/>
      <c r="PGR86" s="43" t="n"/>
      <c r="PGS86" s="43" t="n"/>
      <c r="PGT86" s="43" t="n"/>
      <c r="PGU86" s="43" t="n"/>
      <c r="PGV86" s="43" t="n"/>
      <c r="PGW86" s="43" t="n"/>
      <c r="PGX86" s="43" t="n"/>
      <c r="PGY86" s="43" t="n"/>
      <c r="PGZ86" s="43" t="n"/>
      <c r="PHA86" s="43" t="n"/>
      <c r="PHB86" s="43" t="n"/>
      <c r="PHC86" s="43" t="n"/>
      <c r="PHD86" s="43" t="n"/>
      <c r="PHE86" s="43" t="n"/>
      <c r="PHF86" s="43" t="n"/>
      <c r="PHG86" s="43" t="n"/>
      <c r="PHH86" s="43" t="n"/>
      <c r="PHI86" s="43" t="n"/>
      <c r="PHJ86" s="43" t="n"/>
      <c r="PHK86" s="43" t="n"/>
      <c r="PHL86" s="43" t="n"/>
      <c r="PHM86" s="43" t="n"/>
      <c r="PHN86" s="43" t="n"/>
      <c r="PHO86" s="43" t="n"/>
      <c r="PHP86" s="43" t="n"/>
      <c r="PHQ86" s="43" t="n"/>
      <c r="PHR86" s="43" t="n"/>
      <c r="PHS86" s="43" t="n"/>
      <c r="PHT86" s="43" t="n"/>
      <c r="PHU86" s="43" t="n"/>
      <c r="PHV86" s="43" t="n"/>
      <c r="PHW86" s="43" t="n"/>
      <c r="PHX86" s="43" t="n"/>
      <c r="PHY86" s="43" t="n"/>
      <c r="PHZ86" s="43" t="n"/>
      <c r="PIA86" s="43" t="n"/>
      <c r="PIB86" s="43" t="n"/>
      <c r="PIC86" s="43" t="n"/>
      <c r="PID86" s="43" t="n"/>
      <c r="PIE86" s="43" t="n"/>
      <c r="PIF86" s="43" t="n"/>
      <c r="PIG86" s="43" t="n"/>
      <c r="PIH86" s="43" t="n"/>
      <c r="PII86" s="43" t="n"/>
      <c r="PIJ86" s="43" t="n"/>
      <c r="PIK86" s="43" t="n"/>
      <c r="PIL86" s="43" t="n"/>
      <c r="PIM86" s="43" t="n"/>
      <c r="PIN86" s="43" t="n"/>
      <c r="PIO86" s="43" t="n"/>
      <c r="PIP86" s="43" t="n"/>
      <c r="PIQ86" s="43" t="n"/>
      <c r="PIR86" s="43" t="n"/>
      <c r="PIS86" s="43" t="n"/>
      <c r="PIT86" s="43" t="n"/>
      <c r="PIU86" s="43" t="n"/>
      <c r="PIV86" s="43" t="n"/>
      <c r="PIW86" s="43" t="n"/>
      <c r="PIX86" s="43" t="n"/>
      <c r="PIY86" s="43" t="n"/>
      <c r="PIZ86" s="43" t="n"/>
      <c r="PJA86" s="43" t="n"/>
      <c r="PJB86" s="43" t="n"/>
      <c r="PJC86" s="43" t="n"/>
      <c r="PJD86" s="43" t="n"/>
      <c r="PJE86" s="43" t="n"/>
      <c r="PJF86" s="43" t="n"/>
      <c r="PJG86" s="43" t="n"/>
      <c r="PJH86" s="43" t="n"/>
      <c r="PJI86" s="43" t="n"/>
      <c r="PJJ86" s="43" t="n"/>
      <c r="PJK86" s="43" t="n"/>
      <c r="PJL86" s="43" t="n"/>
      <c r="PJM86" s="43" t="n"/>
      <c r="PJN86" s="43" t="n"/>
      <c r="PJO86" s="43" t="n"/>
      <c r="PJP86" s="43" t="n"/>
      <c r="PJQ86" s="43" t="n"/>
      <c r="PJR86" s="43" t="n"/>
      <c r="PJS86" s="43" t="n"/>
      <c r="PJT86" s="43" t="n"/>
      <c r="PJU86" s="43" t="n"/>
      <c r="PJV86" s="43" t="n"/>
      <c r="PJW86" s="43" t="n"/>
      <c r="PJX86" s="43" t="n"/>
      <c r="PJY86" s="43" t="n"/>
      <c r="PJZ86" s="43" t="n"/>
      <c r="PKA86" s="43" t="n"/>
      <c r="PKB86" s="43" t="n"/>
      <c r="PKC86" s="43" t="n"/>
      <c r="PKD86" s="43" t="n"/>
      <c r="PKE86" s="43" t="n"/>
      <c r="PKF86" s="43" t="n"/>
      <c r="PKG86" s="43" t="n"/>
      <c r="PKH86" s="43" t="n"/>
      <c r="PKI86" s="43" t="n"/>
      <c r="PKJ86" s="43" t="n"/>
      <c r="PKK86" s="43" t="n"/>
      <c r="PKL86" s="43" t="n"/>
      <c r="PKM86" s="43" t="n"/>
      <c r="PKN86" s="43" t="n"/>
      <c r="PKO86" s="43" t="n"/>
      <c r="PKP86" s="43" t="n"/>
      <c r="PKQ86" s="43" t="n"/>
      <c r="PKR86" s="43" t="n"/>
      <c r="PKS86" s="43" t="n"/>
      <c r="PKT86" s="43" t="n"/>
      <c r="PKU86" s="43" t="n"/>
      <c r="PKV86" s="43" t="n"/>
      <c r="PKW86" s="43" t="n"/>
      <c r="PKX86" s="43" t="n"/>
      <c r="PKY86" s="43" t="n"/>
      <c r="PKZ86" s="43" t="n"/>
      <c r="PLA86" s="43" t="n"/>
      <c r="PLB86" s="43" t="n"/>
      <c r="PLC86" s="43" t="n"/>
      <c r="PLD86" s="43" t="n"/>
      <c r="PLE86" s="43" t="n"/>
      <c r="PLF86" s="43" t="n"/>
      <c r="PLG86" s="43" t="n"/>
      <c r="PLH86" s="43" t="n"/>
      <c r="PLI86" s="43" t="n"/>
      <c r="PLJ86" s="43" t="n"/>
      <c r="PLK86" s="43" t="n"/>
      <c r="PLL86" s="43" t="n"/>
      <c r="PLM86" s="43" t="n"/>
      <c r="PLN86" s="43" t="n"/>
      <c r="PLO86" s="43" t="n"/>
      <c r="PLP86" s="43" t="n"/>
      <c r="PLQ86" s="43" t="n"/>
      <c r="PLR86" s="43" t="n"/>
      <c r="PLS86" s="43" t="n"/>
      <c r="PLT86" s="43" t="n"/>
      <c r="PLU86" s="43" t="n"/>
      <c r="PLV86" s="43" t="n"/>
      <c r="PLW86" s="43" t="n"/>
      <c r="PLX86" s="43" t="n"/>
      <c r="PLY86" s="43" t="n"/>
      <c r="PLZ86" s="43" t="n"/>
      <c r="PMA86" s="43" t="n"/>
      <c r="PMB86" s="43" t="n"/>
      <c r="PMC86" s="43" t="n"/>
      <c r="PMD86" s="43" t="n"/>
      <c r="PME86" s="43" t="n"/>
      <c r="PMF86" s="43" t="n"/>
      <c r="PMG86" s="43" t="n"/>
      <c r="PMH86" s="43" t="n"/>
      <c r="PMI86" s="43" t="n"/>
      <c r="PMJ86" s="43" t="n"/>
      <c r="PMK86" s="43" t="n"/>
      <c r="PML86" s="43" t="n"/>
      <c r="PMM86" s="43" t="n"/>
      <c r="PMN86" s="43" t="n"/>
      <c r="PMO86" s="43" t="n"/>
      <c r="PMP86" s="43" t="n"/>
      <c r="PMQ86" s="43" t="n"/>
      <c r="PMR86" s="43" t="n"/>
      <c r="PMS86" s="43" t="n"/>
      <c r="PMT86" s="43" t="n"/>
      <c r="PMU86" s="43" t="n"/>
      <c r="PMV86" s="43" t="n"/>
      <c r="PMW86" s="43" t="n"/>
      <c r="PMX86" s="43" t="n"/>
      <c r="PMY86" s="43" t="n"/>
      <c r="PMZ86" s="43" t="n"/>
      <c r="PNA86" s="43" t="n"/>
      <c r="PNB86" s="43" t="n"/>
      <c r="PNC86" s="43" t="n"/>
      <c r="PND86" s="43" t="n"/>
      <c r="PNE86" s="43" t="n"/>
      <c r="PNF86" s="43" t="n"/>
      <c r="PNG86" s="43" t="n"/>
      <c r="PNH86" s="43" t="n"/>
      <c r="PNI86" s="43" t="n"/>
      <c r="PNJ86" s="43" t="n"/>
      <c r="PNK86" s="43" t="n"/>
      <c r="PNL86" s="43" t="n"/>
      <c r="PNM86" s="43" t="n"/>
      <c r="PNN86" s="43" t="n"/>
      <c r="PNO86" s="43" t="n"/>
      <c r="PNP86" s="43" t="n"/>
      <c r="PNQ86" s="43" t="n"/>
      <c r="PNR86" s="43" t="n"/>
      <c r="PNS86" s="43" t="n"/>
      <c r="PNT86" s="43" t="n"/>
      <c r="PNU86" s="43" t="n"/>
      <c r="PNV86" s="43" t="n"/>
      <c r="PNW86" s="43" t="n"/>
      <c r="PNX86" s="43" t="n"/>
      <c r="PNY86" s="43" t="n"/>
      <c r="PNZ86" s="43" t="n"/>
      <c r="POA86" s="43" t="n"/>
      <c r="POB86" s="43" t="n"/>
      <c r="POC86" s="43" t="n"/>
      <c r="POD86" s="43" t="n"/>
      <c r="POE86" s="43" t="n"/>
      <c r="POF86" s="43" t="n"/>
      <c r="POG86" s="43" t="n"/>
      <c r="POH86" s="43" t="n"/>
      <c r="POI86" s="43" t="n"/>
      <c r="POJ86" s="43" t="n"/>
      <c r="POK86" s="43" t="n"/>
      <c r="POL86" s="43" t="n"/>
      <c r="POM86" s="43" t="n"/>
      <c r="PON86" s="43" t="n"/>
      <c r="POO86" s="43" t="n"/>
      <c r="POP86" s="43" t="n"/>
      <c r="POQ86" s="43" t="n"/>
      <c r="POR86" s="43" t="n"/>
      <c r="POS86" s="43" t="n"/>
      <c r="POT86" s="43" t="n"/>
      <c r="POU86" s="43" t="n"/>
      <c r="POV86" s="43" t="n"/>
      <c r="POW86" s="43" t="n"/>
      <c r="POX86" s="43" t="n"/>
      <c r="POY86" s="43" t="n"/>
      <c r="POZ86" s="43" t="n"/>
      <c r="PPA86" s="43" t="n"/>
      <c r="PPB86" s="43" t="n"/>
      <c r="PPC86" s="43" t="n"/>
      <c r="PPD86" s="43" t="n"/>
      <c r="PPE86" s="43" t="n"/>
      <c r="PPF86" s="43" t="n"/>
      <c r="PPG86" s="43" t="n"/>
      <c r="PPH86" s="43" t="n"/>
      <c r="PPI86" s="43" t="n"/>
      <c r="PPJ86" s="43" t="n"/>
      <c r="PPK86" s="43" t="n"/>
      <c r="PPL86" s="43" t="n"/>
      <c r="PPM86" s="43" t="n"/>
      <c r="PPN86" s="43" t="n"/>
      <c r="PPO86" s="43" t="n"/>
      <c r="PPP86" s="43" t="n"/>
      <c r="PPQ86" s="43" t="n"/>
      <c r="PPR86" s="43" t="n"/>
      <c r="PPS86" s="43" t="n"/>
      <c r="PPT86" s="43" t="n"/>
      <c r="PPU86" s="43" t="n"/>
      <c r="PPV86" s="43" t="n"/>
      <c r="PPW86" s="43" t="n"/>
      <c r="PPX86" s="43" t="n"/>
      <c r="PPY86" s="43" t="n"/>
      <c r="PPZ86" s="43" t="n"/>
      <c r="PQA86" s="43" t="n"/>
      <c r="PQB86" s="43" t="n"/>
      <c r="PQC86" s="43" t="n"/>
      <c r="PQD86" s="43" t="n"/>
      <c r="PQE86" s="43" t="n"/>
      <c r="PQF86" s="43" t="n"/>
      <c r="PQG86" s="43" t="n"/>
      <c r="PQH86" s="43" t="n"/>
      <c r="PQI86" s="43" t="n"/>
      <c r="PQJ86" s="43" t="n"/>
      <c r="PQK86" s="43" t="n"/>
      <c r="PQL86" s="43" t="n"/>
      <c r="PQM86" s="43" t="n"/>
      <c r="PQN86" s="43" t="n"/>
      <c r="PQO86" s="43" t="n"/>
      <c r="PQP86" s="43" t="n"/>
      <c r="PQQ86" s="43" t="n"/>
      <c r="PQR86" s="43" t="n"/>
      <c r="PQS86" s="43" t="n"/>
      <c r="PQT86" s="43" t="n"/>
      <c r="PQU86" s="43" t="n"/>
      <c r="PQV86" s="43" t="n"/>
      <c r="PQW86" s="43" t="n"/>
      <c r="PQX86" s="43" t="n"/>
      <c r="PQY86" s="43" t="n"/>
      <c r="PQZ86" s="43" t="n"/>
      <c r="PRA86" s="43" t="n"/>
      <c r="PRB86" s="43" t="n"/>
      <c r="PRC86" s="43" t="n"/>
      <c r="PRD86" s="43" t="n"/>
      <c r="PRE86" s="43" t="n"/>
      <c r="PRF86" s="43" t="n"/>
      <c r="PRG86" s="43" t="n"/>
      <c r="PRH86" s="43" t="n"/>
      <c r="PRI86" s="43" t="n"/>
      <c r="PRJ86" s="43" t="n"/>
      <c r="PRK86" s="43" t="n"/>
      <c r="PRL86" s="43" t="n"/>
      <c r="PRM86" s="43" t="n"/>
      <c r="PRN86" s="43" t="n"/>
      <c r="PRO86" s="43" t="n"/>
      <c r="PRP86" s="43" t="n"/>
      <c r="PRQ86" s="43" t="n"/>
      <c r="PRR86" s="43" t="n"/>
      <c r="PRS86" s="43" t="n"/>
      <c r="PRT86" s="43" t="n"/>
      <c r="PRU86" s="43" t="n"/>
      <c r="PRV86" s="43" t="n"/>
      <c r="PRW86" s="43" t="n"/>
      <c r="PRX86" s="43" t="n"/>
      <c r="PRY86" s="43" t="n"/>
      <c r="PRZ86" s="43" t="n"/>
      <c r="PSA86" s="43" t="n"/>
      <c r="PSB86" s="43" t="n"/>
      <c r="PSC86" s="43" t="n"/>
      <c r="PSD86" s="43" t="n"/>
      <c r="PSE86" s="43" t="n"/>
      <c r="PSF86" s="43" t="n"/>
      <c r="PSG86" s="43" t="n"/>
      <c r="PSH86" s="43" t="n"/>
      <c r="PSI86" s="43" t="n"/>
      <c r="PSJ86" s="43" t="n"/>
      <c r="PSK86" s="43" t="n"/>
      <c r="PSL86" s="43" t="n"/>
      <c r="PSM86" s="43" t="n"/>
      <c r="PSN86" s="43" t="n"/>
      <c r="PSO86" s="43" t="n"/>
      <c r="PSP86" s="43" t="n"/>
      <c r="PSQ86" s="43" t="n"/>
      <c r="PSR86" s="43" t="n"/>
      <c r="PSS86" s="43" t="n"/>
      <c r="PST86" s="43" t="n"/>
      <c r="PSU86" s="43" t="n"/>
      <c r="PSV86" s="43" t="n"/>
      <c r="PSW86" s="43" t="n"/>
      <c r="PSX86" s="43" t="n"/>
      <c r="PSY86" s="43" t="n"/>
      <c r="PSZ86" s="43" t="n"/>
      <c r="PTA86" s="43" t="n"/>
      <c r="PTB86" s="43" t="n"/>
      <c r="PTC86" s="43" t="n"/>
      <c r="PTD86" s="43" t="n"/>
      <c r="PTE86" s="43" t="n"/>
      <c r="PTF86" s="43" t="n"/>
      <c r="PTG86" s="43" t="n"/>
      <c r="PTH86" s="43" t="n"/>
      <c r="PTI86" s="43" t="n"/>
      <c r="PTJ86" s="43" t="n"/>
      <c r="PTK86" s="43" t="n"/>
      <c r="PTL86" s="43" t="n"/>
      <c r="PTM86" s="43" t="n"/>
      <c r="PTN86" s="43" t="n"/>
      <c r="PTO86" s="43" t="n"/>
      <c r="PTP86" s="43" t="n"/>
      <c r="PTQ86" s="43" t="n"/>
      <c r="PTR86" s="43" t="n"/>
      <c r="PTS86" s="43" t="n"/>
      <c r="PTT86" s="43" t="n"/>
      <c r="PTU86" s="43" t="n"/>
      <c r="PTV86" s="43" t="n"/>
      <c r="PTW86" s="43" t="n"/>
      <c r="PTX86" s="43" t="n"/>
      <c r="PTY86" s="43" t="n"/>
      <c r="PTZ86" s="43" t="n"/>
      <c r="PUA86" s="43" t="n"/>
      <c r="PUB86" s="43" t="n"/>
      <c r="PUC86" s="43" t="n"/>
      <c r="PUD86" s="43" t="n"/>
      <c r="PUE86" s="43" t="n"/>
      <c r="PUF86" s="43" t="n"/>
      <c r="PUG86" s="43" t="n"/>
      <c r="PUH86" s="43" t="n"/>
      <c r="PUI86" s="43" t="n"/>
      <c r="PUJ86" s="43" t="n"/>
      <c r="PUK86" s="43" t="n"/>
      <c r="PUL86" s="43" t="n"/>
      <c r="PUM86" s="43" t="n"/>
      <c r="PUN86" s="43" t="n"/>
      <c r="PUO86" s="43" t="n"/>
      <c r="PUP86" s="43" t="n"/>
      <c r="PUQ86" s="43" t="n"/>
      <c r="PUR86" s="43" t="n"/>
      <c r="PUS86" s="43" t="n"/>
      <c r="PUT86" s="43" t="n"/>
      <c r="PUU86" s="43" t="n"/>
      <c r="PUV86" s="43" t="n"/>
      <c r="PUW86" s="43" t="n"/>
      <c r="PUX86" s="43" t="n"/>
      <c r="PUY86" s="43" t="n"/>
      <c r="PUZ86" s="43" t="n"/>
      <c r="PVA86" s="43" t="n"/>
      <c r="PVB86" s="43" t="n"/>
      <c r="PVC86" s="43" t="n"/>
      <c r="PVD86" s="43" t="n"/>
      <c r="PVE86" s="43" t="n"/>
      <c r="PVF86" s="43" t="n"/>
      <c r="PVG86" s="43" t="n"/>
      <c r="PVH86" s="43" t="n"/>
      <c r="PVI86" s="43" t="n"/>
      <c r="PVJ86" s="43" t="n"/>
      <c r="PVK86" s="43" t="n"/>
      <c r="PVL86" s="43" t="n"/>
      <c r="PVM86" s="43" t="n"/>
      <c r="PVN86" s="43" t="n"/>
      <c r="PVO86" s="43" t="n"/>
      <c r="PVP86" s="43" t="n"/>
      <c r="PVQ86" s="43" t="n"/>
      <c r="PVR86" s="43" t="n"/>
      <c r="PVS86" s="43" t="n"/>
      <c r="PVT86" s="43" t="n"/>
      <c r="PVU86" s="43" t="n"/>
      <c r="PVV86" s="43" t="n"/>
      <c r="PVW86" s="43" t="n"/>
      <c r="PVX86" s="43" t="n"/>
      <c r="PVY86" s="43" t="n"/>
      <c r="PVZ86" s="43" t="n"/>
      <c r="PWA86" s="43" t="n"/>
      <c r="PWB86" s="43" t="n"/>
      <c r="PWC86" s="43" t="n"/>
      <c r="PWD86" s="43" t="n"/>
      <c r="PWE86" s="43" t="n"/>
      <c r="PWF86" s="43" t="n"/>
      <c r="PWG86" s="43" t="n"/>
      <c r="PWH86" s="43" t="n"/>
      <c r="PWI86" s="43" t="n"/>
      <c r="PWJ86" s="43" t="n"/>
      <c r="PWK86" s="43" t="n"/>
      <c r="PWL86" s="43" t="n"/>
      <c r="PWM86" s="43" t="n"/>
      <c r="PWN86" s="43" t="n"/>
      <c r="PWO86" s="43" t="n"/>
      <c r="PWP86" s="43" t="n"/>
      <c r="PWQ86" s="43" t="n"/>
      <c r="PWR86" s="43" t="n"/>
      <c r="PWS86" s="43" t="n"/>
      <c r="PWT86" s="43" t="n"/>
      <c r="PWU86" s="43" t="n"/>
      <c r="PWV86" s="43" t="n"/>
      <c r="PWW86" s="43" t="n"/>
      <c r="PWX86" s="43" t="n"/>
      <c r="PWY86" s="43" t="n"/>
      <c r="PWZ86" s="43" t="n"/>
      <c r="PXA86" s="43" t="n"/>
      <c r="PXB86" s="43" t="n"/>
      <c r="PXC86" s="43" t="n"/>
      <c r="PXD86" s="43" t="n"/>
      <c r="PXE86" s="43" t="n"/>
      <c r="PXF86" s="43" t="n"/>
      <c r="PXG86" s="43" t="n"/>
      <c r="PXH86" s="43" t="n"/>
      <c r="PXI86" s="43" t="n"/>
      <c r="PXJ86" s="43" t="n"/>
      <c r="PXK86" s="43" t="n"/>
      <c r="PXL86" s="43" t="n"/>
      <c r="PXM86" s="43" t="n"/>
      <c r="PXN86" s="43" t="n"/>
      <c r="PXO86" s="43" t="n"/>
      <c r="PXP86" s="43" t="n"/>
      <c r="PXQ86" s="43" t="n"/>
      <c r="PXR86" s="43" t="n"/>
      <c r="PXS86" s="43" t="n"/>
      <c r="PXT86" s="43" t="n"/>
      <c r="PXU86" s="43" t="n"/>
      <c r="PXV86" s="43" t="n"/>
      <c r="PXW86" s="43" t="n"/>
      <c r="PXX86" s="43" t="n"/>
      <c r="PXY86" s="43" t="n"/>
      <c r="PXZ86" s="43" t="n"/>
      <c r="PYA86" s="43" t="n"/>
      <c r="PYB86" s="43" t="n"/>
      <c r="PYC86" s="43" t="n"/>
      <c r="PYD86" s="43" t="n"/>
      <c r="PYE86" s="43" t="n"/>
      <c r="PYF86" s="43" t="n"/>
      <c r="PYG86" s="43" t="n"/>
      <c r="PYH86" s="43" t="n"/>
      <c r="PYI86" s="43" t="n"/>
      <c r="PYJ86" s="43" t="n"/>
      <c r="PYK86" s="43" t="n"/>
      <c r="PYL86" s="43" t="n"/>
      <c r="PYM86" s="43" t="n"/>
      <c r="PYN86" s="43" t="n"/>
      <c r="PYO86" s="43" t="n"/>
      <c r="PYP86" s="43" t="n"/>
      <c r="PYQ86" s="43" t="n"/>
      <c r="PYR86" s="43" t="n"/>
      <c r="PYS86" s="43" t="n"/>
      <c r="PYT86" s="43" t="n"/>
      <c r="PYU86" s="43" t="n"/>
      <c r="PYV86" s="43" t="n"/>
      <c r="PYW86" s="43" t="n"/>
      <c r="PYX86" s="43" t="n"/>
      <c r="PYY86" s="43" t="n"/>
      <c r="PYZ86" s="43" t="n"/>
      <c r="PZA86" s="43" t="n"/>
      <c r="PZB86" s="43" t="n"/>
      <c r="PZC86" s="43" t="n"/>
      <c r="PZD86" s="43" t="n"/>
      <c r="PZE86" s="43" t="n"/>
      <c r="PZF86" s="43" t="n"/>
      <c r="PZG86" s="43" t="n"/>
      <c r="PZH86" s="43" t="n"/>
      <c r="PZI86" s="43" t="n"/>
      <c r="PZJ86" s="43" t="n"/>
      <c r="PZK86" s="43" t="n"/>
      <c r="PZL86" s="43" t="n"/>
      <c r="PZM86" s="43" t="n"/>
      <c r="PZN86" s="43" t="n"/>
      <c r="PZO86" s="43" t="n"/>
      <c r="PZP86" s="43" t="n"/>
      <c r="PZQ86" s="43" t="n"/>
      <c r="PZR86" s="43" t="n"/>
      <c r="PZS86" s="43" t="n"/>
      <c r="PZT86" s="43" t="n"/>
      <c r="PZU86" s="43" t="n"/>
      <c r="PZV86" s="43" t="n"/>
      <c r="PZW86" s="43" t="n"/>
      <c r="PZX86" s="43" t="n"/>
      <c r="PZY86" s="43" t="n"/>
      <c r="PZZ86" s="43" t="n"/>
      <c r="QAA86" s="43" t="n"/>
      <c r="QAB86" s="43" t="n"/>
      <c r="QAC86" s="43" t="n"/>
      <c r="QAD86" s="43" t="n"/>
      <c r="QAE86" s="43" t="n"/>
      <c r="QAF86" s="43" t="n"/>
      <c r="QAG86" s="43" t="n"/>
      <c r="QAH86" s="43" t="n"/>
      <c r="QAI86" s="43" t="n"/>
      <c r="QAJ86" s="43" t="n"/>
      <c r="QAK86" s="43" t="n"/>
      <c r="QAL86" s="43" t="n"/>
      <c r="QAM86" s="43" t="n"/>
      <c r="QAN86" s="43" t="n"/>
      <c r="QAO86" s="43" t="n"/>
      <c r="QAP86" s="43" t="n"/>
      <c r="QAQ86" s="43" t="n"/>
      <c r="QAR86" s="43" t="n"/>
      <c r="QAS86" s="43" t="n"/>
      <c r="QAT86" s="43" t="n"/>
      <c r="QAU86" s="43" t="n"/>
      <c r="QAV86" s="43" t="n"/>
      <c r="QAW86" s="43" t="n"/>
      <c r="QAX86" s="43" t="n"/>
      <c r="QAY86" s="43" t="n"/>
      <c r="QAZ86" s="43" t="n"/>
      <c r="QBA86" s="43" t="n"/>
      <c r="QBB86" s="43" t="n"/>
      <c r="QBC86" s="43" t="n"/>
      <c r="QBD86" s="43" t="n"/>
      <c r="QBE86" s="43" t="n"/>
      <c r="QBF86" s="43" t="n"/>
      <c r="QBG86" s="43" t="n"/>
      <c r="QBH86" s="43" t="n"/>
      <c r="QBI86" s="43" t="n"/>
      <c r="QBJ86" s="43" t="n"/>
      <c r="QBK86" s="43" t="n"/>
      <c r="QBL86" s="43" t="n"/>
      <c r="QBM86" s="43" t="n"/>
      <c r="QBN86" s="43" t="n"/>
      <c r="QBO86" s="43" t="n"/>
      <c r="QBP86" s="43" t="n"/>
      <c r="QBQ86" s="43" t="n"/>
      <c r="QBR86" s="43" t="n"/>
      <c r="QBS86" s="43" t="n"/>
      <c r="QBT86" s="43" t="n"/>
      <c r="QBU86" s="43" t="n"/>
      <c r="QBV86" s="43" t="n"/>
      <c r="QBW86" s="43" t="n"/>
      <c r="QBX86" s="43" t="n"/>
      <c r="QBY86" s="43" t="n"/>
      <c r="QBZ86" s="43" t="n"/>
      <c r="QCA86" s="43" t="n"/>
      <c r="QCB86" s="43" t="n"/>
      <c r="QCC86" s="43" t="n"/>
      <c r="QCD86" s="43" t="n"/>
      <c r="QCE86" s="43" t="n"/>
      <c r="QCF86" s="43" t="n"/>
      <c r="QCG86" s="43" t="n"/>
      <c r="QCH86" s="43" t="n"/>
      <c r="QCI86" s="43" t="n"/>
      <c r="QCJ86" s="43" t="n"/>
      <c r="QCK86" s="43" t="n"/>
      <c r="QCL86" s="43" t="n"/>
      <c r="QCM86" s="43" t="n"/>
      <c r="QCN86" s="43" t="n"/>
      <c r="QCO86" s="43" t="n"/>
      <c r="QCP86" s="43" t="n"/>
      <c r="QCQ86" s="43" t="n"/>
      <c r="QCR86" s="43" t="n"/>
      <c r="QCS86" s="43" t="n"/>
      <c r="QCT86" s="43" t="n"/>
      <c r="QCU86" s="43" t="n"/>
      <c r="QCV86" s="43" t="n"/>
      <c r="QCW86" s="43" t="n"/>
      <c r="QCX86" s="43" t="n"/>
      <c r="QCY86" s="43" t="n"/>
      <c r="QCZ86" s="43" t="n"/>
      <c r="QDA86" s="43" t="n"/>
      <c r="QDB86" s="43" t="n"/>
      <c r="QDC86" s="43" t="n"/>
      <c r="QDD86" s="43" t="n"/>
      <c r="QDE86" s="43" t="n"/>
      <c r="QDF86" s="43" t="n"/>
      <c r="QDG86" s="43" t="n"/>
      <c r="QDH86" s="43" t="n"/>
      <c r="QDI86" s="43" t="n"/>
      <c r="QDJ86" s="43" t="n"/>
      <c r="QDK86" s="43" t="n"/>
      <c r="QDL86" s="43" t="n"/>
      <c r="QDM86" s="43" t="n"/>
      <c r="QDN86" s="43" t="n"/>
      <c r="QDO86" s="43" t="n"/>
      <c r="QDP86" s="43" t="n"/>
      <c r="QDQ86" s="43" t="n"/>
      <c r="QDR86" s="43" t="n"/>
      <c r="QDS86" s="43" t="n"/>
      <c r="QDT86" s="43" t="n"/>
      <c r="QDU86" s="43" t="n"/>
      <c r="QDV86" s="43" t="n"/>
      <c r="QDW86" s="43" t="n"/>
      <c r="QDX86" s="43" t="n"/>
      <c r="QDY86" s="43" t="n"/>
      <c r="QDZ86" s="43" t="n"/>
      <c r="QEA86" s="43" t="n"/>
      <c r="QEB86" s="43" t="n"/>
      <c r="QEC86" s="43" t="n"/>
      <c r="QED86" s="43" t="n"/>
      <c r="QEE86" s="43" t="n"/>
      <c r="QEF86" s="43" t="n"/>
      <c r="QEG86" s="43" t="n"/>
      <c r="QEH86" s="43" t="n"/>
      <c r="QEI86" s="43" t="n"/>
      <c r="QEJ86" s="43" t="n"/>
      <c r="QEK86" s="43" t="n"/>
      <c r="QEL86" s="43" t="n"/>
      <c r="QEM86" s="43" t="n"/>
      <c r="QEN86" s="43" t="n"/>
      <c r="QEO86" s="43" t="n"/>
      <c r="QEP86" s="43" t="n"/>
      <c r="QEQ86" s="43" t="n"/>
      <c r="QER86" s="43" t="n"/>
      <c r="QES86" s="43" t="n"/>
      <c r="QET86" s="43" t="n"/>
      <c r="QEU86" s="43" t="n"/>
      <c r="QEV86" s="43" t="n"/>
      <c r="QEW86" s="43" t="n"/>
      <c r="QEX86" s="43" t="n"/>
      <c r="QEY86" s="43" t="n"/>
      <c r="QEZ86" s="43" t="n"/>
      <c r="QFA86" s="43" t="n"/>
      <c r="QFB86" s="43" t="n"/>
      <c r="QFC86" s="43" t="n"/>
      <c r="QFD86" s="43" t="n"/>
      <c r="QFE86" s="43" t="n"/>
      <c r="QFF86" s="43" t="n"/>
      <c r="QFG86" s="43" t="n"/>
      <c r="QFH86" s="43" t="n"/>
      <c r="QFI86" s="43" t="n"/>
      <c r="QFJ86" s="43" t="n"/>
      <c r="QFK86" s="43" t="n"/>
      <c r="QFL86" s="43" t="n"/>
      <c r="QFM86" s="43" t="n"/>
      <c r="QFN86" s="43" t="n"/>
      <c r="QFO86" s="43" t="n"/>
      <c r="QFP86" s="43" t="n"/>
      <c r="QFQ86" s="43" t="n"/>
      <c r="QFR86" s="43" t="n"/>
      <c r="QFS86" s="43" t="n"/>
      <c r="QFT86" s="43" t="n"/>
      <c r="QFU86" s="43" t="n"/>
      <c r="QFV86" s="43" t="n"/>
      <c r="QFW86" s="43" t="n"/>
      <c r="QFX86" s="43" t="n"/>
      <c r="QFY86" s="43" t="n"/>
      <c r="QFZ86" s="43" t="n"/>
      <c r="QGA86" s="43" t="n"/>
      <c r="QGB86" s="43" t="n"/>
      <c r="QGC86" s="43" t="n"/>
      <c r="QGD86" s="43" t="n"/>
      <c r="QGE86" s="43" t="n"/>
      <c r="QGF86" s="43" t="n"/>
      <c r="QGG86" s="43" t="n"/>
      <c r="QGH86" s="43" t="n"/>
      <c r="QGI86" s="43" t="n"/>
      <c r="QGJ86" s="43" t="n"/>
      <c r="QGK86" s="43" t="n"/>
      <c r="QGL86" s="43" t="n"/>
      <c r="QGM86" s="43" t="n"/>
      <c r="QGN86" s="43" t="n"/>
      <c r="QGO86" s="43" t="n"/>
      <c r="QGP86" s="43" t="n"/>
      <c r="QGQ86" s="43" t="n"/>
      <c r="QGR86" s="43" t="n"/>
      <c r="QGS86" s="43" t="n"/>
      <c r="QGT86" s="43" t="n"/>
      <c r="QGU86" s="43" t="n"/>
      <c r="QGV86" s="43" t="n"/>
      <c r="QGW86" s="43" t="n"/>
      <c r="QGX86" s="43" t="n"/>
      <c r="QGY86" s="43" t="n"/>
      <c r="QGZ86" s="43" t="n"/>
      <c r="QHA86" s="43" t="n"/>
      <c r="QHB86" s="43" t="n"/>
      <c r="QHC86" s="43" t="n"/>
      <c r="QHD86" s="43" t="n"/>
      <c r="QHE86" s="43" t="n"/>
      <c r="QHF86" s="43" t="n"/>
      <c r="QHG86" s="43" t="n"/>
      <c r="QHH86" s="43" t="n"/>
      <c r="QHI86" s="43" t="n"/>
      <c r="QHJ86" s="43" t="n"/>
      <c r="QHK86" s="43" t="n"/>
      <c r="QHL86" s="43" t="n"/>
      <c r="QHM86" s="43" t="n"/>
      <c r="QHN86" s="43" t="n"/>
      <c r="QHO86" s="43" t="n"/>
      <c r="QHP86" s="43" t="n"/>
      <c r="QHQ86" s="43" t="n"/>
      <c r="QHR86" s="43" t="n"/>
      <c r="QHS86" s="43" t="n"/>
      <c r="QHT86" s="43" t="n"/>
      <c r="QHU86" s="43" t="n"/>
      <c r="QHV86" s="43" t="n"/>
      <c r="QHW86" s="43" t="n"/>
      <c r="QHX86" s="43" t="n"/>
      <c r="QHY86" s="43" t="n"/>
      <c r="QHZ86" s="43" t="n"/>
      <c r="QIA86" s="43" t="n"/>
      <c r="QIB86" s="43" t="n"/>
      <c r="QIC86" s="43" t="n"/>
      <c r="QID86" s="43" t="n"/>
      <c r="QIE86" s="43" t="n"/>
      <c r="QIF86" s="43" t="n"/>
      <c r="QIG86" s="43" t="n"/>
      <c r="QIH86" s="43" t="n"/>
      <c r="QII86" s="43" t="n"/>
      <c r="QIJ86" s="43" t="n"/>
      <c r="QIK86" s="43" t="n"/>
      <c r="QIL86" s="43" t="n"/>
      <c r="QIM86" s="43" t="n"/>
      <c r="QIN86" s="43" t="n"/>
      <c r="QIO86" s="43" t="n"/>
      <c r="QIP86" s="43" t="n"/>
      <c r="QIQ86" s="43" t="n"/>
      <c r="QIR86" s="43" t="n"/>
      <c r="QIS86" s="43" t="n"/>
      <c r="QIT86" s="43" t="n"/>
      <c r="QIU86" s="43" t="n"/>
      <c r="QIV86" s="43" t="n"/>
      <c r="QIW86" s="43" t="n"/>
      <c r="QIX86" s="43" t="n"/>
      <c r="QIY86" s="43" t="n"/>
      <c r="QIZ86" s="43" t="n"/>
      <c r="QJA86" s="43" t="n"/>
      <c r="QJB86" s="43" t="n"/>
      <c r="QJC86" s="43" t="n"/>
      <c r="QJD86" s="43" t="n"/>
      <c r="QJE86" s="43" t="n"/>
      <c r="QJF86" s="43" t="n"/>
      <c r="QJG86" s="43" t="n"/>
      <c r="QJH86" s="43" t="n"/>
      <c r="QJI86" s="43" t="n"/>
      <c r="QJJ86" s="43" t="n"/>
      <c r="QJK86" s="43" t="n"/>
      <c r="QJL86" s="43" t="n"/>
      <c r="QJM86" s="43" t="n"/>
      <c r="QJN86" s="43" t="n"/>
      <c r="QJO86" s="43" t="n"/>
      <c r="QJP86" s="43" t="n"/>
      <c r="QJQ86" s="43" t="n"/>
      <c r="QJR86" s="43" t="n"/>
      <c r="QJS86" s="43" t="n"/>
      <c r="QJT86" s="43" t="n"/>
      <c r="QJU86" s="43" t="n"/>
      <c r="QJV86" s="43" t="n"/>
      <c r="QJW86" s="43" t="n"/>
      <c r="QJX86" s="43" t="n"/>
      <c r="QJY86" s="43" t="n"/>
      <c r="QJZ86" s="43" t="n"/>
      <c r="QKA86" s="43" t="n"/>
      <c r="QKB86" s="43" t="n"/>
      <c r="QKC86" s="43" t="n"/>
      <c r="QKD86" s="43" t="n"/>
      <c r="QKE86" s="43" t="n"/>
      <c r="QKF86" s="43" t="n"/>
      <c r="QKG86" s="43" t="n"/>
      <c r="QKH86" s="43" t="n"/>
      <c r="QKI86" s="43" t="n"/>
      <c r="QKJ86" s="43" t="n"/>
      <c r="QKK86" s="43" t="n"/>
      <c r="QKL86" s="43" t="n"/>
      <c r="QKM86" s="43" t="n"/>
      <c r="QKN86" s="43" t="n"/>
      <c r="QKO86" s="43" t="n"/>
      <c r="QKP86" s="43" t="n"/>
      <c r="QKQ86" s="43" t="n"/>
      <c r="QKR86" s="43" t="n"/>
      <c r="QKS86" s="43" t="n"/>
      <c r="QKT86" s="43" t="n"/>
      <c r="QKU86" s="43" t="n"/>
      <c r="QKV86" s="43" t="n"/>
      <c r="QKW86" s="43" t="n"/>
      <c r="QKX86" s="43" t="n"/>
      <c r="QKY86" s="43" t="n"/>
      <c r="QKZ86" s="43" t="n"/>
      <c r="QLA86" s="43" t="n"/>
      <c r="QLB86" s="43" t="n"/>
      <c r="QLC86" s="43" t="n"/>
      <c r="QLD86" s="43" t="n"/>
      <c r="QLE86" s="43" t="n"/>
      <c r="QLF86" s="43" t="n"/>
      <c r="QLG86" s="43" t="n"/>
      <c r="QLH86" s="43" t="n"/>
      <c r="QLI86" s="43" t="n"/>
      <c r="QLJ86" s="43" t="n"/>
      <c r="QLK86" s="43" t="n"/>
      <c r="QLL86" s="43" t="n"/>
      <c r="QLM86" s="43" t="n"/>
      <c r="QLN86" s="43" t="n"/>
      <c r="QLO86" s="43" t="n"/>
      <c r="QLP86" s="43" t="n"/>
      <c r="QLQ86" s="43" t="n"/>
      <c r="QLR86" s="43" t="n"/>
      <c r="QLS86" s="43" t="n"/>
      <c r="QLT86" s="43" t="n"/>
      <c r="QLU86" s="43" t="n"/>
      <c r="QLV86" s="43" t="n"/>
      <c r="QLW86" s="43" t="n"/>
      <c r="QLX86" s="43" t="n"/>
      <c r="QLY86" s="43" t="n"/>
      <c r="QLZ86" s="43" t="n"/>
      <c r="QMA86" s="43" t="n"/>
      <c r="QMB86" s="43" t="n"/>
      <c r="QMC86" s="43" t="n"/>
      <c r="QMD86" s="43" t="n"/>
      <c r="QME86" s="43" t="n"/>
      <c r="QMF86" s="43" t="n"/>
      <c r="QMG86" s="43" t="n"/>
      <c r="QMH86" s="43" t="n"/>
      <c r="QMI86" s="43" t="n"/>
      <c r="QMJ86" s="43" t="n"/>
      <c r="QMK86" s="43" t="n"/>
      <c r="QML86" s="43" t="n"/>
      <c r="QMM86" s="43" t="n"/>
      <c r="QMN86" s="43" t="n"/>
      <c r="QMO86" s="43" t="n"/>
      <c r="QMP86" s="43" t="n"/>
      <c r="QMQ86" s="43" t="n"/>
      <c r="QMR86" s="43" t="n"/>
      <c r="QMS86" s="43" t="n"/>
      <c r="QMT86" s="43" t="n"/>
      <c r="QMU86" s="43" t="n"/>
      <c r="QMV86" s="43" t="n"/>
      <c r="QMW86" s="43" t="n"/>
      <c r="QMX86" s="43" t="n"/>
      <c r="QMY86" s="43" t="n"/>
      <c r="QMZ86" s="43" t="n"/>
      <c r="QNA86" s="43" t="n"/>
      <c r="QNB86" s="43" t="n"/>
      <c r="QNC86" s="43" t="n"/>
      <c r="QND86" s="43" t="n"/>
      <c r="QNE86" s="43" t="n"/>
      <c r="QNF86" s="43" t="n"/>
      <c r="QNG86" s="43" t="n"/>
      <c r="QNH86" s="43" t="n"/>
      <c r="QNI86" s="43" t="n"/>
      <c r="QNJ86" s="43" t="n"/>
      <c r="QNK86" s="43" t="n"/>
      <c r="QNL86" s="43" t="n"/>
      <c r="QNM86" s="43" t="n"/>
      <c r="QNN86" s="43" t="n"/>
      <c r="QNO86" s="43" t="n"/>
      <c r="QNP86" s="43" t="n"/>
      <c r="QNQ86" s="43" t="n"/>
      <c r="QNR86" s="43" t="n"/>
      <c r="QNS86" s="43" t="n"/>
      <c r="QNT86" s="43" t="n"/>
      <c r="QNU86" s="43" t="n"/>
      <c r="QNV86" s="43" t="n"/>
      <c r="QNW86" s="43" t="n"/>
      <c r="QNX86" s="43" t="n"/>
      <c r="QNY86" s="43" t="n"/>
      <c r="QNZ86" s="43" t="n"/>
      <c r="QOA86" s="43" t="n"/>
      <c r="QOB86" s="43" t="n"/>
      <c r="QOC86" s="43" t="n"/>
      <c r="QOD86" s="43" t="n"/>
      <c r="QOE86" s="43" t="n"/>
      <c r="QOF86" s="43" t="n"/>
      <c r="QOG86" s="43" t="n"/>
      <c r="QOH86" s="43" t="n"/>
      <c r="QOI86" s="43" t="n"/>
      <c r="QOJ86" s="43" t="n"/>
      <c r="QOK86" s="43" t="n"/>
      <c r="QOL86" s="43" t="n"/>
      <c r="QOM86" s="43" t="n"/>
      <c r="QON86" s="43" t="n"/>
      <c r="QOO86" s="43" t="n"/>
      <c r="QOP86" s="43" t="n"/>
      <c r="QOQ86" s="43" t="n"/>
      <c r="QOR86" s="43" t="n"/>
      <c r="QOS86" s="43" t="n"/>
      <c r="QOT86" s="43" t="n"/>
      <c r="QOU86" s="43" t="n"/>
      <c r="QOV86" s="43" t="n"/>
      <c r="QOW86" s="43" t="n"/>
      <c r="QOX86" s="43" t="n"/>
      <c r="QOY86" s="43" t="n"/>
      <c r="QOZ86" s="43" t="n"/>
      <c r="QPA86" s="43" t="n"/>
      <c r="QPB86" s="43" t="n"/>
      <c r="QPC86" s="43" t="n"/>
      <c r="QPD86" s="43" t="n"/>
      <c r="QPE86" s="43" t="n"/>
      <c r="QPF86" s="43" t="n"/>
      <c r="QPG86" s="43" t="n"/>
      <c r="QPH86" s="43" t="n"/>
      <c r="QPI86" s="43" t="n"/>
      <c r="QPJ86" s="43" t="n"/>
      <c r="QPK86" s="43" t="n"/>
      <c r="QPL86" s="43" t="n"/>
      <c r="QPM86" s="43" t="n"/>
      <c r="QPN86" s="43" t="n"/>
      <c r="QPO86" s="43" t="n"/>
      <c r="QPP86" s="43" t="n"/>
      <c r="QPQ86" s="43" t="n"/>
      <c r="QPR86" s="43" t="n"/>
      <c r="QPS86" s="43" t="n"/>
      <c r="QPT86" s="43" t="n"/>
      <c r="QPU86" s="43" t="n"/>
      <c r="QPV86" s="43" t="n"/>
      <c r="QPW86" s="43" t="n"/>
      <c r="QPX86" s="43" t="n"/>
      <c r="QPY86" s="43" t="n"/>
      <c r="QPZ86" s="43" t="n"/>
      <c r="QQA86" s="43" t="n"/>
      <c r="QQB86" s="43" t="n"/>
      <c r="QQC86" s="43" t="n"/>
      <c r="QQD86" s="43" t="n"/>
      <c r="QQE86" s="43" t="n"/>
      <c r="QQF86" s="43" t="n"/>
      <c r="QQG86" s="43" t="n"/>
      <c r="QQH86" s="43" t="n"/>
      <c r="QQI86" s="43" t="n"/>
      <c r="QQJ86" s="43" t="n"/>
      <c r="QQK86" s="43" t="n"/>
      <c r="QQL86" s="43" t="n"/>
      <c r="QQM86" s="43" t="n"/>
      <c r="QQN86" s="43" t="n"/>
      <c r="QQO86" s="43" t="n"/>
      <c r="QQP86" s="43" t="n"/>
      <c r="QQQ86" s="43" t="n"/>
      <c r="QQR86" s="43" t="n"/>
      <c r="QQS86" s="43" t="n"/>
      <c r="QQT86" s="43" t="n"/>
      <c r="QQU86" s="43" t="n"/>
      <c r="QQV86" s="43" t="n"/>
      <c r="QQW86" s="43" t="n"/>
      <c r="QQX86" s="43" t="n"/>
      <c r="QQY86" s="43" t="n"/>
      <c r="QQZ86" s="43" t="n"/>
      <c r="QRA86" s="43" t="n"/>
      <c r="QRB86" s="43" t="n"/>
      <c r="QRC86" s="43" t="n"/>
      <c r="QRD86" s="43" t="n"/>
      <c r="QRE86" s="43" t="n"/>
      <c r="QRF86" s="43" t="n"/>
      <c r="QRG86" s="43" t="n"/>
      <c r="QRH86" s="43" t="n"/>
      <c r="QRI86" s="43" t="n"/>
      <c r="QRJ86" s="43" t="n"/>
      <c r="QRK86" s="43" t="n"/>
      <c r="QRL86" s="43" t="n"/>
      <c r="QRM86" s="43" t="n"/>
      <c r="QRN86" s="43" t="n"/>
      <c r="QRO86" s="43" t="n"/>
      <c r="QRP86" s="43" t="n"/>
      <c r="QRQ86" s="43" t="n"/>
      <c r="QRR86" s="43" t="n"/>
      <c r="QRS86" s="43" t="n"/>
      <c r="QRT86" s="43" t="n"/>
      <c r="QRU86" s="43" t="n"/>
      <c r="QRV86" s="43" t="n"/>
      <c r="QRW86" s="43" t="n"/>
      <c r="QRX86" s="43" t="n"/>
      <c r="QRY86" s="43" t="n"/>
      <c r="QRZ86" s="43" t="n"/>
      <c r="QSA86" s="43" t="n"/>
      <c r="QSB86" s="43" t="n"/>
      <c r="QSC86" s="43" t="n"/>
      <c r="QSD86" s="43" t="n"/>
      <c r="QSE86" s="43" t="n"/>
      <c r="QSF86" s="43" t="n"/>
      <c r="QSG86" s="43" t="n"/>
      <c r="QSH86" s="43" t="n"/>
      <c r="QSI86" s="43" t="n"/>
      <c r="QSJ86" s="43" t="n"/>
      <c r="QSK86" s="43" t="n"/>
      <c r="QSL86" s="43" t="n"/>
      <c r="QSM86" s="43" t="n"/>
      <c r="QSN86" s="43" t="n"/>
      <c r="QSO86" s="43" t="n"/>
      <c r="QSP86" s="43" t="n"/>
      <c r="QSQ86" s="43" t="n"/>
      <c r="QSR86" s="43" t="n"/>
      <c r="QSS86" s="43" t="n"/>
      <c r="QST86" s="43" t="n"/>
      <c r="QSU86" s="43" t="n"/>
      <c r="QSV86" s="43" t="n"/>
      <c r="QSW86" s="43" t="n"/>
      <c r="QSX86" s="43" t="n"/>
      <c r="QSY86" s="43" t="n"/>
      <c r="QSZ86" s="43" t="n"/>
      <c r="QTA86" s="43" t="n"/>
      <c r="QTB86" s="43" t="n"/>
      <c r="QTC86" s="43" t="n"/>
      <c r="QTD86" s="43" t="n"/>
      <c r="QTE86" s="43" t="n"/>
      <c r="QTF86" s="43" t="n"/>
      <c r="QTG86" s="43" t="n"/>
      <c r="QTH86" s="43" t="n"/>
      <c r="QTI86" s="43" t="n"/>
      <c r="QTJ86" s="43" t="n"/>
      <c r="QTK86" s="43" t="n"/>
      <c r="QTL86" s="43" t="n"/>
      <c r="QTM86" s="43" t="n"/>
      <c r="QTN86" s="43" t="n"/>
      <c r="QTO86" s="43" t="n"/>
      <c r="QTP86" s="43" t="n"/>
      <c r="QTQ86" s="43" t="n"/>
      <c r="QTR86" s="43" t="n"/>
      <c r="QTS86" s="43" t="n"/>
      <c r="QTT86" s="43" t="n"/>
      <c r="QTU86" s="43" t="n"/>
      <c r="QTV86" s="43" t="n"/>
      <c r="QTW86" s="43" t="n"/>
      <c r="QTX86" s="43" t="n"/>
      <c r="QTY86" s="43" t="n"/>
      <c r="QTZ86" s="43" t="n"/>
      <c r="QUA86" s="43" t="n"/>
      <c r="QUB86" s="43" t="n"/>
      <c r="QUC86" s="43" t="n"/>
      <c r="QUD86" s="43" t="n"/>
      <c r="QUE86" s="43" t="n"/>
      <c r="QUF86" s="43" t="n"/>
      <c r="QUG86" s="43" t="n"/>
      <c r="QUH86" s="43" t="n"/>
      <c r="QUI86" s="43" t="n"/>
      <c r="QUJ86" s="43" t="n"/>
      <c r="QUK86" s="43" t="n"/>
      <c r="QUL86" s="43" t="n"/>
      <c r="QUM86" s="43" t="n"/>
      <c r="QUN86" s="43" t="n"/>
      <c r="QUO86" s="43" t="n"/>
      <c r="QUP86" s="43" t="n"/>
      <c r="QUQ86" s="43" t="n"/>
      <c r="QUR86" s="43" t="n"/>
      <c r="QUS86" s="43" t="n"/>
      <c r="QUT86" s="43" t="n"/>
      <c r="QUU86" s="43" t="n"/>
      <c r="QUV86" s="43" t="n"/>
      <c r="QUW86" s="43" t="n"/>
      <c r="QUX86" s="43" t="n"/>
      <c r="QUY86" s="43" t="n"/>
      <c r="QUZ86" s="43" t="n"/>
      <c r="QVA86" s="43" t="n"/>
      <c r="QVB86" s="43" t="n"/>
      <c r="QVC86" s="43" t="n"/>
      <c r="QVD86" s="43" t="n"/>
      <c r="QVE86" s="43" t="n"/>
      <c r="QVF86" s="43" t="n"/>
      <c r="QVG86" s="43" t="n"/>
      <c r="QVH86" s="43" t="n"/>
      <c r="QVI86" s="43" t="n"/>
      <c r="QVJ86" s="43" t="n"/>
      <c r="QVK86" s="43" t="n"/>
      <c r="QVL86" s="43" t="n"/>
      <c r="QVM86" s="43" t="n"/>
      <c r="QVN86" s="43" t="n"/>
      <c r="QVO86" s="43" t="n"/>
      <c r="QVP86" s="43" t="n"/>
      <c r="QVQ86" s="43" t="n"/>
      <c r="QVR86" s="43" t="n"/>
      <c r="QVS86" s="43" t="n"/>
      <c r="QVT86" s="43" t="n"/>
      <c r="QVU86" s="43" t="n"/>
      <c r="QVV86" s="43" t="n"/>
      <c r="QVW86" s="43" t="n"/>
      <c r="QVX86" s="43" t="n"/>
      <c r="QVY86" s="43" t="n"/>
      <c r="QVZ86" s="43" t="n"/>
      <c r="QWA86" s="43" t="n"/>
      <c r="QWB86" s="43" t="n"/>
      <c r="QWC86" s="43" t="n"/>
      <c r="QWD86" s="43" t="n"/>
      <c r="QWE86" s="43" t="n"/>
      <c r="QWF86" s="43" t="n"/>
      <c r="QWG86" s="43" t="n"/>
      <c r="QWH86" s="43" t="n"/>
      <c r="QWI86" s="43" t="n"/>
      <c r="QWJ86" s="43" t="n"/>
      <c r="QWK86" s="43" t="n"/>
      <c r="QWL86" s="43" t="n"/>
      <c r="QWM86" s="43" t="n"/>
      <c r="QWN86" s="43" t="n"/>
      <c r="QWO86" s="43" t="n"/>
      <c r="QWP86" s="43" t="n"/>
      <c r="QWQ86" s="43" t="n"/>
      <c r="QWR86" s="43" t="n"/>
      <c r="QWS86" s="43" t="n"/>
      <c r="QWT86" s="43" t="n"/>
      <c r="QWU86" s="43" t="n"/>
      <c r="QWV86" s="43" t="n"/>
      <c r="QWW86" s="43" t="n"/>
      <c r="QWX86" s="43" t="n"/>
      <c r="QWY86" s="43" t="n"/>
      <c r="QWZ86" s="43" t="n"/>
      <c r="QXA86" s="43" t="n"/>
      <c r="QXB86" s="43" t="n"/>
      <c r="QXC86" s="43" t="n"/>
      <c r="QXD86" s="43" t="n"/>
      <c r="QXE86" s="43" t="n"/>
      <c r="QXF86" s="43" t="n"/>
      <c r="QXG86" s="43" t="n"/>
      <c r="QXH86" s="43" t="n"/>
      <c r="QXI86" s="43" t="n"/>
      <c r="QXJ86" s="43" t="n"/>
      <c r="QXK86" s="43" t="n"/>
      <c r="QXL86" s="43" t="n"/>
      <c r="QXM86" s="43" t="n"/>
      <c r="QXN86" s="43" t="n"/>
      <c r="QXO86" s="43" t="n"/>
      <c r="QXP86" s="43" t="n"/>
      <c r="QXQ86" s="43" t="n"/>
      <c r="QXR86" s="43" t="n"/>
      <c r="QXS86" s="43" t="n"/>
      <c r="QXT86" s="43" t="n"/>
      <c r="QXU86" s="43" t="n"/>
      <c r="QXV86" s="43" t="n"/>
      <c r="QXW86" s="43" t="n"/>
      <c r="QXX86" s="43" t="n"/>
      <c r="QXY86" s="43" t="n"/>
      <c r="QXZ86" s="43" t="n"/>
      <c r="QYA86" s="43" t="n"/>
      <c r="QYB86" s="43" t="n"/>
      <c r="QYC86" s="43" t="n"/>
      <c r="QYD86" s="43" t="n"/>
      <c r="QYE86" s="43" t="n"/>
      <c r="QYF86" s="43" t="n"/>
      <c r="QYG86" s="43" t="n"/>
      <c r="QYH86" s="43" t="n"/>
      <c r="QYI86" s="43" t="n"/>
      <c r="QYJ86" s="43" t="n"/>
      <c r="QYK86" s="43" t="n"/>
      <c r="QYL86" s="43" t="n"/>
      <c r="QYM86" s="43" t="n"/>
      <c r="QYN86" s="43" t="n"/>
      <c r="QYO86" s="43" t="n"/>
      <c r="QYP86" s="43" t="n"/>
      <c r="QYQ86" s="43" t="n"/>
      <c r="QYR86" s="43" t="n"/>
      <c r="QYS86" s="43" t="n"/>
      <c r="QYT86" s="43" t="n"/>
      <c r="QYU86" s="43" t="n"/>
      <c r="QYV86" s="43" t="n"/>
      <c r="QYW86" s="43" t="n"/>
      <c r="QYX86" s="43" t="n"/>
      <c r="QYY86" s="43" t="n"/>
      <c r="QYZ86" s="43" t="n"/>
      <c r="QZA86" s="43" t="n"/>
      <c r="QZB86" s="43" t="n"/>
      <c r="QZC86" s="43" t="n"/>
      <c r="QZD86" s="43" t="n"/>
      <c r="QZE86" s="43" t="n"/>
      <c r="QZF86" s="43" t="n"/>
      <c r="QZG86" s="43" t="n"/>
      <c r="QZH86" s="43" t="n"/>
      <c r="QZI86" s="43" t="n"/>
      <c r="QZJ86" s="43" t="n"/>
      <c r="QZK86" s="43" t="n"/>
      <c r="QZL86" s="43" t="n"/>
      <c r="QZM86" s="43" t="n"/>
      <c r="QZN86" s="43" t="n"/>
      <c r="QZO86" s="43" t="n"/>
      <c r="QZP86" s="43" t="n"/>
      <c r="QZQ86" s="43" t="n"/>
      <c r="QZR86" s="43" t="n"/>
      <c r="QZS86" s="43" t="n"/>
      <c r="QZT86" s="43" t="n"/>
      <c r="QZU86" s="43" t="n"/>
      <c r="QZV86" s="43" t="n"/>
      <c r="QZW86" s="43" t="n"/>
      <c r="QZX86" s="43" t="n"/>
      <c r="QZY86" s="43" t="n"/>
      <c r="QZZ86" s="43" t="n"/>
      <c r="RAA86" s="43" t="n"/>
      <c r="RAB86" s="43" t="n"/>
      <c r="RAC86" s="43" t="n"/>
      <c r="RAD86" s="43" t="n"/>
      <c r="RAE86" s="43" t="n"/>
      <c r="RAF86" s="43" t="n"/>
      <c r="RAG86" s="43" t="n"/>
      <c r="RAH86" s="43" t="n"/>
      <c r="RAI86" s="43" t="n"/>
      <c r="RAJ86" s="43" t="n"/>
      <c r="RAK86" s="43" t="n"/>
      <c r="RAL86" s="43" t="n"/>
      <c r="RAM86" s="43" t="n"/>
      <c r="RAN86" s="43" t="n"/>
      <c r="RAO86" s="43" t="n"/>
      <c r="RAP86" s="43" t="n"/>
      <c r="RAQ86" s="43" t="n"/>
      <c r="RAR86" s="43" t="n"/>
      <c r="RAS86" s="43" t="n"/>
      <c r="RAT86" s="43" t="n"/>
      <c r="RAU86" s="43" t="n"/>
      <c r="RAV86" s="43" t="n"/>
      <c r="RAW86" s="43" t="n"/>
      <c r="RAX86" s="43" t="n"/>
      <c r="RAY86" s="43" t="n"/>
      <c r="RAZ86" s="43" t="n"/>
      <c r="RBA86" s="43" t="n"/>
      <c r="RBB86" s="43" t="n"/>
      <c r="RBC86" s="43" t="n"/>
      <c r="RBD86" s="43" t="n"/>
      <c r="RBE86" s="43" t="n"/>
      <c r="RBF86" s="43" t="n"/>
      <c r="RBG86" s="43" t="n"/>
      <c r="RBH86" s="43" t="n"/>
      <c r="RBI86" s="43" t="n"/>
      <c r="RBJ86" s="43" t="n"/>
      <c r="RBK86" s="43" t="n"/>
      <c r="RBL86" s="43" t="n"/>
      <c r="RBM86" s="43" t="n"/>
      <c r="RBN86" s="43" t="n"/>
      <c r="RBO86" s="43" t="n"/>
      <c r="RBP86" s="43" t="n"/>
      <c r="RBQ86" s="43" t="n"/>
      <c r="RBR86" s="43" t="n"/>
      <c r="RBS86" s="43" t="n"/>
      <c r="RBT86" s="43" t="n"/>
      <c r="RBU86" s="43" t="n"/>
      <c r="RBV86" s="43" t="n"/>
      <c r="RBW86" s="43" t="n"/>
      <c r="RBX86" s="43" t="n"/>
      <c r="RBY86" s="43" t="n"/>
      <c r="RBZ86" s="43" t="n"/>
      <c r="RCA86" s="43" t="n"/>
      <c r="RCB86" s="43" t="n"/>
      <c r="RCC86" s="43" t="n"/>
      <c r="RCD86" s="43" t="n"/>
      <c r="RCE86" s="43" t="n"/>
      <c r="RCF86" s="43" t="n"/>
      <c r="RCG86" s="43" t="n"/>
      <c r="RCH86" s="43" t="n"/>
      <c r="RCI86" s="43" t="n"/>
      <c r="RCJ86" s="43" t="n"/>
      <c r="RCK86" s="43" t="n"/>
      <c r="RCL86" s="43" t="n"/>
      <c r="RCM86" s="43" t="n"/>
      <c r="RCN86" s="43" t="n"/>
      <c r="RCO86" s="43" t="n"/>
      <c r="RCP86" s="43" t="n"/>
      <c r="RCQ86" s="43" t="n"/>
      <c r="RCR86" s="43" t="n"/>
      <c r="RCS86" s="43" t="n"/>
      <c r="RCT86" s="43" t="n"/>
      <c r="RCU86" s="43" t="n"/>
      <c r="RCV86" s="43" t="n"/>
      <c r="RCW86" s="43" t="n"/>
      <c r="RCX86" s="43" t="n"/>
      <c r="RCY86" s="43" t="n"/>
      <c r="RCZ86" s="43" t="n"/>
      <c r="RDA86" s="43" t="n"/>
      <c r="RDB86" s="43" t="n"/>
      <c r="RDC86" s="43" t="n"/>
      <c r="RDD86" s="43" t="n"/>
      <c r="RDE86" s="43" t="n"/>
      <c r="RDF86" s="43" t="n"/>
      <c r="RDG86" s="43" t="n"/>
      <c r="RDH86" s="43" t="n"/>
      <c r="RDI86" s="43" t="n"/>
      <c r="RDJ86" s="43" t="n"/>
      <c r="RDK86" s="43" t="n"/>
      <c r="RDL86" s="43" t="n"/>
      <c r="RDM86" s="43" t="n"/>
      <c r="RDN86" s="43" t="n"/>
      <c r="RDO86" s="43" t="n"/>
      <c r="RDP86" s="43" t="n"/>
      <c r="RDQ86" s="43" t="n"/>
      <c r="RDR86" s="43" t="n"/>
      <c r="RDS86" s="43" t="n"/>
      <c r="RDT86" s="43" t="n"/>
      <c r="RDU86" s="43" t="n"/>
      <c r="RDV86" s="43" t="n"/>
      <c r="RDW86" s="43" t="n"/>
      <c r="RDX86" s="43" t="n"/>
      <c r="RDY86" s="43" t="n"/>
      <c r="RDZ86" s="43" t="n"/>
      <c r="REA86" s="43" t="n"/>
      <c r="REB86" s="43" t="n"/>
      <c r="REC86" s="43" t="n"/>
      <c r="RED86" s="43" t="n"/>
      <c r="REE86" s="43" t="n"/>
      <c r="REF86" s="43" t="n"/>
      <c r="REG86" s="43" t="n"/>
      <c r="REH86" s="43" t="n"/>
      <c r="REI86" s="43" t="n"/>
      <c r="REJ86" s="43" t="n"/>
      <c r="REK86" s="43" t="n"/>
      <c r="REL86" s="43" t="n"/>
      <c r="REM86" s="43" t="n"/>
      <c r="REN86" s="43" t="n"/>
      <c r="REO86" s="43" t="n"/>
      <c r="REP86" s="43" t="n"/>
      <c r="REQ86" s="43" t="n"/>
      <c r="RER86" s="43" t="n"/>
      <c r="RES86" s="43" t="n"/>
      <c r="RET86" s="43" t="n"/>
      <c r="REU86" s="43" t="n"/>
      <c r="REV86" s="43" t="n"/>
      <c r="REW86" s="43" t="n"/>
      <c r="REX86" s="43" t="n"/>
      <c r="REY86" s="43" t="n"/>
      <c r="REZ86" s="43" t="n"/>
      <c r="RFA86" s="43" t="n"/>
      <c r="RFB86" s="43" t="n"/>
      <c r="RFC86" s="43" t="n"/>
      <c r="RFD86" s="43" t="n"/>
      <c r="RFE86" s="43" t="n"/>
      <c r="RFF86" s="43" t="n"/>
      <c r="RFG86" s="43" t="n"/>
      <c r="RFH86" s="43" t="n"/>
      <c r="RFI86" s="43" t="n"/>
      <c r="RFJ86" s="43" t="n"/>
      <c r="RFK86" s="43" t="n"/>
      <c r="RFL86" s="43" t="n"/>
      <c r="RFM86" s="43" t="n"/>
      <c r="RFN86" s="43" t="n"/>
      <c r="RFO86" s="43" t="n"/>
      <c r="RFP86" s="43" t="n"/>
      <c r="RFQ86" s="43" t="n"/>
      <c r="RFR86" s="43" t="n"/>
      <c r="RFS86" s="43" t="n"/>
      <c r="RFT86" s="43" t="n"/>
      <c r="RFU86" s="43" t="n"/>
      <c r="RFV86" s="43" t="n"/>
      <c r="RFW86" s="43" t="n"/>
      <c r="RFX86" s="43" t="n"/>
      <c r="RFY86" s="43" t="n"/>
      <c r="RFZ86" s="43" t="n"/>
      <c r="RGA86" s="43" t="n"/>
      <c r="RGB86" s="43" t="n"/>
      <c r="RGC86" s="43" t="n"/>
      <c r="RGD86" s="43" t="n"/>
      <c r="RGE86" s="43" t="n"/>
      <c r="RGF86" s="43" t="n"/>
      <c r="RGG86" s="43" t="n"/>
      <c r="RGH86" s="43" t="n"/>
      <c r="RGI86" s="43" t="n"/>
      <c r="RGJ86" s="43" t="n"/>
      <c r="RGK86" s="43" t="n"/>
      <c r="RGL86" s="43" t="n"/>
      <c r="RGM86" s="43" t="n"/>
      <c r="RGN86" s="43" t="n"/>
      <c r="RGO86" s="43" t="n"/>
      <c r="RGP86" s="43" t="n"/>
      <c r="RGQ86" s="43" t="n"/>
      <c r="RGR86" s="43" t="n"/>
      <c r="RGS86" s="43" t="n"/>
      <c r="RGT86" s="43" t="n"/>
      <c r="RGU86" s="43" t="n"/>
      <c r="RGV86" s="43" t="n"/>
      <c r="RGW86" s="43" t="n"/>
      <c r="RGX86" s="43" t="n"/>
      <c r="RGY86" s="43" t="n"/>
      <c r="RGZ86" s="43" t="n"/>
      <c r="RHA86" s="43" t="n"/>
      <c r="RHB86" s="43" t="n"/>
      <c r="RHC86" s="43" t="n"/>
      <c r="RHD86" s="43" t="n"/>
      <c r="RHE86" s="43" t="n"/>
      <c r="RHF86" s="43" t="n"/>
      <c r="RHG86" s="43" t="n"/>
      <c r="RHH86" s="43" t="n"/>
      <c r="RHI86" s="43" t="n"/>
      <c r="RHJ86" s="43" t="n"/>
      <c r="RHK86" s="43" t="n"/>
      <c r="RHL86" s="43" t="n"/>
      <c r="RHM86" s="43" t="n"/>
      <c r="RHN86" s="43" t="n"/>
      <c r="RHO86" s="43" t="n"/>
      <c r="RHP86" s="43" t="n"/>
      <c r="RHQ86" s="43" t="n"/>
      <c r="RHR86" s="43" t="n"/>
      <c r="RHS86" s="43" t="n"/>
      <c r="RHT86" s="43" t="n"/>
      <c r="RHU86" s="43" t="n"/>
      <c r="RHV86" s="43" t="n"/>
      <c r="RHW86" s="43" t="n"/>
      <c r="RHX86" s="43" t="n"/>
      <c r="RHY86" s="43" t="n"/>
      <c r="RHZ86" s="43" t="n"/>
      <c r="RIA86" s="43" t="n"/>
      <c r="RIB86" s="43" t="n"/>
      <c r="RIC86" s="43" t="n"/>
      <c r="RID86" s="43" t="n"/>
      <c r="RIE86" s="43" t="n"/>
      <c r="RIF86" s="43" t="n"/>
      <c r="RIG86" s="43" t="n"/>
      <c r="RIH86" s="43" t="n"/>
      <c r="RII86" s="43" t="n"/>
      <c r="RIJ86" s="43" t="n"/>
      <c r="RIK86" s="43" t="n"/>
      <c r="RIL86" s="43" t="n"/>
      <c r="RIM86" s="43" t="n"/>
      <c r="RIN86" s="43" t="n"/>
      <c r="RIO86" s="43" t="n"/>
      <c r="RIP86" s="43" t="n"/>
      <c r="RIQ86" s="43" t="n"/>
      <c r="RIR86" s="43" t="n"/>
      <c r="RIS86" s="43" t="n"/>
      <c r="RIT86" s="43" t="n"/>
      <c r="RIU86" s="43" t="n"/>
      <c r="RIV86" s="43" t="n"/>
      <c r="RIW86" s="43" t="n"/>
      <c r="RIX86" s="43" t="n"/>
      <c r="RIY86" s="43" t="n"/>
      <c r="RIZ86" s="43" t="n"/>
      <c r="RJA86" s="43" t="n"/>
      <c r="RJB86" s="43" t="n"/>
      <c r="RJC86" s="43" t="n"/>
      <c r="RJD86" s="43" t="n"/>
      <c r="RJE86" s="43" t="n"/>
      <c r="RJF86" s="43" t="n"/>
      <c r="RJG86" s="43" t="n"/>
      <c r="RJH86" s="43" t="n"/>
      <c r="RJI86" s="43" t="n"/>
      <c r="RJJ86" s="43" t="n"/>
      <c r="RJK86" s="43" t="n"/>
      <c r="RJL86" s="43" t="n"/>
      <c r="RJM86" s="43" t="n"/>
      <c r="RJN86" s="43" t="n"/>
      <c r="RJO86" s="43" t="n"/>
      <c r="RJP86" s="43" t="n"/>
      <c r="RJQ86" s="43" t="n"/>
      <c r="RJR86" s="43" t="n"/>
      <c r="RJS86" s="43" t="n"/>
      <c r="RJT86" s="43" t="n"/>
      <c r="RJU86" s="43" t="n"/>
      <c r="RJV86" s="43" t="n"/>
      <c r="RJW86" s="43" t="n"/>
      <c r="RJX86" s="43" t="n"/>
      <c r="RJY86" s="43" t="n"/>
      <c r="RJZ86" s="43" t="n"/>
      <c r="RKA86" s="43" t="n"/>
      <c r="RKB86" s="43" t="n"/>
      <c r="RKC86" s="43" t="n"/>
      <c r="RKD86" s="43" t="n"/>
      <c r="RKE86" s="43" t="n"/>
      <c r="RKF86" s="43" t="n"/>
      <c r="RKG86" s="43" t="n"/>
      <c r="RKH86" s="43" t="n"/>
      <c r="RKI86" s="43" t="n"/>
      <c r="RKJ86" s="43" t="n"/>
      <c r="RKK86" s="43" t="n"/>
      <c r="RKL86" s="43" t="n"/>
      <c r="RKM86" s="43" t="n"/>
      <c r="RKN86" s="43" t="n"/>
      <c r="RKO86" s="43" t="n"/>
      <c r="RKP86" s="43" t="n"/>
      <c r="RKQ86" s="43" t="n"/>
      <c r="RKR86" s="43" t="n"/>
      <c r="RKS86" s="43" t="n"/>
      <c r="RKT86" s="43" t="n"/>
      <c r="RKU86" s="43" t="n"/>
      <c r="RKV86" s="43" t="n"/>
      <c r="RKW86" s="43" t="n"/>
      <c r="RKX86" s="43" t="n"/>
      <c r="RKY86" s="43" t="n"/>
      <c r="RKZ86" s="43" t="n"/>
      <c r="RLA86" s="43" t="n"/>
      <c r="RLB86" s="43" t="n"/>
      <c r="RLC86" s="43" t="n"/>
      <c r="RLD86" s="43" t="n"/>
      <c r="RLE86" s="43" t="n"/>
      <c r="RLF86" s="43" t="n"/>
      <c r="RLG86" s="43" t="n"/>
      <c r="RLH86" s="43" t="n"/>
      <c r="RLI86" s="43" t="n"/>
      <c r="RLJ86" s="43" t="n"/>
      <c r="RLK86" s="43" t="n"/>
      <c r="RLL86" s="43" t="n"/>
      <c r="RLM86" s="43" t="n"/>
      <c r="RLN86" s="43" t="n"/>
      <c r="RLO86" s="43" t="n"/>
      <c r="RLP86" s="43" t="n"/>
      <c r="RLQ86" s="43" t="n"/>
      <c r="RLR86" s="43" t="n"/>
      <c r="RLS86" s="43" t="n"/>
      <c r="RLT86" s="43" t="n"/>
      <c r="RLU86" s="43" t="n"/>
      <c r="RLV86" s="43" t="n"/>
      <c r="RLW86" s="43" t="n"/>
      <c r="RLX86" s="43" t="n"/>
      <c r="RLY86" s="43" t="n"/>
      <c r="RLZ86" s="43" t="n"/>
      <c r="RMA86" s="43" t="n"/>
      <c r="RMB86" s="43" t="n"/>
      <c r="RMC86" s="43" t="n"/>
      <c r="RMD86" s="43" t="n"/>
      <c r="RME86" s="43" t="n"/>
      <c r="RMF86" s="43" t="n"/>
      <c r="RMG86" s="43" t="n"/>
      <c r="RMH86" s="43" t="n"/>
      <c r="RMI86" s="43" t="n"/>
      <c r="RMJ86" s="43" t="n"/>
      <c r="RMK86" s="43" t="n"/>
      <c r="RML86" s="43" t="n"/>
      <c r="RMM86" s="43" t="n"/>
      <c r="RMN86" s="43" t="n"/>
      <c r="RMO86" s="43" t="n"/>
      <c r="RMP86" s="43" t="n"/>
      <c r="RMQ86" s="43" t="n"/>
      <c r="RMR86" s="43" t="n"/>
      <c r="RMS86" s="43" t="n"/>
      <c r="RMT86" s="43" t="n"/>
      <c r="RMU86" s="43" t="n"/>
      <c r="RMV86" s="43" t="n"/>
      <c r="RMW86" s="43" t="n"/>
      <c r="RMX86" s="43" t="n"/>
      <c r="RMY86" s="43" t="n"/>
      <c r="RMZ86" s="43" t="n"/>
      <c r="RNA86" s="43" t="n"/>
      <c r="RNB86" s="43" t="n"/>
      <c r="RNC86" s="43" t="n"/>
      <c r="RND86" s="43" t="n"/>
      <c r="RNE86" s="43" t="n"/>
      <c r="RNF86" s="43" t="n"/>
      <c r="RNG86" s="43" t="n"/>
      <c r="RNH86" s="43" t="n"/>
      <c r="RNI86" s="43" t="n"/>
      <c r="RNJ86" s="43" t="n"/>
      <c r="RNK86" s="43" t="n"/>
      <c r="RNL86" s="43" t="n"/>
      <c r="RNM86" s="43" t="n"/>
      <c r="RNN86" s="43" t="n"/>
      <c r="RNO86" s="43" t="n"/>
      <c r="RNP86" s="43" t="n"/>
      <c r="RNQ86" s="43" t="n"/>
      <c r="RNR86" s="43" t="n"/>
      <c r="RNS86" s="43" t="n"/>
      <c r="RNT86" s="43" t="n"/>
      <c r="RNU86" s="43" t="n"/>
      <c r="RNV86" s="43" t="n"/>
      <c r="RNW86" s="43" t="n"/>
      <c r="RNX86" s="43" t="n"/>
      <c r="RNY86" s="43" t="n"/>
      <c r="RNZ86" s="43" t="n"/>
      <c r="ROA86" s="43" t="n"/>
      <c r="ROB86" s="43" t="n"/>
      <c r="ROC86" s="43" t="n"/>
      <c r="ROD86" s="43" t="n"/>
      <c r="ROE86" s="43" t="n"/>
      <c r="ROF86" s="43" t="n"/>
      <c r="ROG86" s="43" t="n"/>
      <c r="ROH86" s="43" t="n"/>
      <c r="ROI86" s="43" t="n"/>
      <c r="ROJ86" s="43" t="n"/>
      <c r="ROK86" s="43" t="n"/>
      <c r="ROL86" s="43" t="n"/>
      <c r="ROM86" s="43" t="n"/>
      <c r="RON86" s="43" t="n"/>
      <c r="ROO86" s="43" t="n"/>
      <c r="ROP86" s="43" t="n"/>
      <c r="ROQ86" s="43" t="n"/>
      <c r="ROR86" s="43" t="n"/>
      <c r="ROS86" s="43" t="n"/>
      <c r="ROT86" s="43" t="n"/>
      <c r="ROU86" s="43" t="n"/>
      <c r="ROV86" s="43" t="n"/>
      <c r="ROW86" s="43" t="n"/>
      <c r="ROX86" s="43" t="n"/>
      <c r="ROY86" s="43" t="n"/>
      <c r="ROZ86" s="43" t="n"/>
      <c r="RPA86" s="43" t="n"/>
      <c r="RPB86" s="43" t="n"/>
      <c r="RPC86" s="43" t="n"/>
      <c r="RPD86" s="43" t="n"/>
      <c r="RPE86" s="43" t="n"/>
      <c r="RPF86" s="43" t="n"/>
      <c r="RPG86" s="43" t="n"/>
      <c r="RPH86" s="43" t="n"/>
      <c r="RPI86" s="43" t="n"/>
      <c r="RPJ86" s="43" t="n"/>
      <c r="RPK86" s="43" t="n"/>
      <c r="RPL86" s="43" t="n"/>
      <c r="RPM86" s="43" t="n"/>
      <c r="RPN86" s="43" t="n"/>
      <c r="RPO86" s="43" t="n"/>
      <c r="RPP86" s="43" t="n"/>
      <c r="RPQ86" s="43" t="n"/>
      <c r="RPR86" s="43" t="n"/>
      <c r="RPS86" s="43" t="n"/>
      <c r="RPT86" s="43" t="n"/>
      <c r="RPU86" s="43" t="n"/>
      <c r="RPV86" s="43" t="n"/>
      <c r="RPW86" s="43" t="n"/>
      <c r="RPX86" s="43" t="n"/>
      <c r="RPY86" s="43" t="n"/>
      <c r="RPZ86" s="43" t="n"/>
      <c r="RQA86" s="43" t="n"/>
      <c r="RQB86" s="43" t="n"/>
      <c r="RQC86" s="43" t="n"/>
      <c r="RQD86" s="43" t="n"/>
      <c r="RQE86" s="43" t="n"/>
      <c r="RQF86" s="43" t="n"/>
      <c r="RQG86" s="43" t="n"/>
      <c r="RQH86" s="43" t="n"/>
      <c r="RQI86" s="43" t="n"/>
      <c r="RQJ86" s="43" t="n"/>
      <c r="RQK86" s="43" t="n"/>
      <c r="RQL86" s="43" t="n"/>
      <c r="RQM86" s="43" t="n"/>
      <c r="RQN86" s="43" t="n"/>
      <c r="RQO86" s="43" t="n"/>
      <c r="RQP86" s="43" t="n"/>
      <c r="RQQ86" s="43" t="n"/>
      <c r="RQR86" s="43" t="n"/>
      <c r="RQS86" s="43" t="n"/>
      <c r="RQT86" s="43" t="n"/>
      <c r="RQU86" s="43" t="n"/>
      <c r="RQV86" s="43" t="n"/>
      <c r="RQW86" s="43" t="n"/>
      <c r="RQX86" s="43" t="n"/>
      <c r="RQY86" s="43" t="n"/>
      <c r="RQZ86" s="43" t="n"/>
      <c r="RRA86" s="43" t="n"/>
      <c r="RRB86" s="43" t="n"/>
      <c r="RRC86" s="43" t="n"/>
      <c r="RRD86" s="43" t="n"/>
      <c r="RRE86" s="43" t="n"/>
      <c r="RRF86" s="43" t="n"/>
      <c r="RRG86" s="43" t="n"/>
      <c r="RRH86" s="43" t="n"/>
      <c r="RRI86" s="43" t="n"/>
      <c r="RRJ86" s="43" t="n"/>
      <c r="RRK86" s="43" t="n"/>
      <c r="RRL86" s="43" t="n"/>
      <c r="RRM86" s="43" t="n"/>
      <c r="RRN86" s="43" t="n"/>
      <c r="RRO86" s="43" t="n"/>
      <c r="RRP86" s="43" t="n"/>
      <c r="RRQ86" s="43" t="n"/>
      <c r="RRR86" s="43" t="n"/>
      <c r="RRS86" s="43" t="n"/>
      <c r="RRT86" s="43" t="n"/>
      <c r="RRU86" s="43" t="n"/>
      <c r="RRV86" s="43" t="n"/>
      <c r="RRW86" s="43" t="n"/>
      <c r="RRX86" s="43" t="n"/>
      <c r="RRY86" s="43" t="n"/>
      <c r="RRZ86" s="43" t="n"/>
      <c r="RSA86" s="43" t="n"/>
      <c r="RSB86" s="43" t="n"/>
      <c r="RSC86" s="43" t="n"/>
      <c r="RSD86" s="43" t="n"/>
      <c r="RSE86" s="43" t="n"/>
      <c r="RSF86" s="43" t="n"/>
      <c r="RSG86" s="43" t="n"/>
      <c r="RSH86" s="43" t="n"/>
      <c r="RSI86" s="43" t="n"/>
      <c r="RSJ86" s="43" t="n"/>
      <c r="RSK86" s="43" t="n"/>
      <c r="RSL86" s="43" t="n"/>
      <c r="RSM86" s="43" t="n"/>
      <c r="RSN86" s="43" t="n"/>
      <c r="RSO86" s="43" t="n"/>
      <c r="RSP86" s="43" t="n"/>
      <c r="RSQ86" s="43" t="n"/>
      <c r="RSR86" s="43" t="n"/>
      <c r="RSS86" s="43" t="n"/>
      <c r="RST86" s="43" t="n"/>
      <c r="RSU86" s="43" t="n"/>
      <c r="RSV86" s="43" t="n"/>
      <c r="RSW86" s="43" t="n"/>
      <c r="RSX86" s="43" t="n"/>
      <c r="RSY86" s="43" t="n"/>
      <c r="RSZ86" s="43" t="n"/>
      <c r="RTA86" s="43" t="n"/>
      <c r="RTB86" s="43" t="n"/>
      <c r="RTC86" s="43" t="n"/>
      <c r="RTD86" s="43" t="n"/>
      <c r="RTE86" s="43" t="n"/>
      <c r="RTF86" s="43" t="n"/>
      <c r="RTG86" s="43" t="n"/>
      <c r="RTH86" s="43" t="n"/>
      <c r="RTI86" s="43" t="n"/>
      <c r="RTJ86" s="43" t="n"/>
      <c r="RTK86" s="43" t="n"/>
      <c r="RTL86" s="43" t="n"/>
      <c r="RTM86" s="43" t="n"/>
      <c r="RTN86" s="43" t="n"/>
      <c r="RTO86" s="43" t="n"/>
      <c r="RTP86" s="43" t="n"/>
      <c r="RTQ86" s="43" t="n"/>
      <c r="RTR86" s="43" t="n"/>
      <c r="RTS86" s="43" t="n"/>
      <c r="RTT86" s="43" t="n"/>
      <c r="RTU86" s="43" t="n"/>
      <c r="RTV86" s="43" t="n"/>
      <c r="RTW86" s="43" t="n"/>
      <c r="RTX86" s="43" t="n"/>
      <c r="RTY86" s="43" t="n"/>
      <c r="RTZ86" s="43" t="n"/>
      <c r="RUA86" s="43" t="n"/>
      <c r="RUB86" s="43" t="n"/>
      <c r="RUC86" s="43" t="n"/>
      <c r="RUD86" s="43" t="n"/>
      <c r="RUE86" s="43" t="n"/>
      <c r="RUF86" s="43" t="n"/>
      <c r="RUG86" s="43" t="n"/>
      <c r="RUH86" s="43" t="n"/>
      <c r="RUI86" s="43" t="n"/>
      <c r="RUJ86" s="43" t="n"/>
      <c r="RUK86" s="43" t="n"/>
      <c r="RUL86" s="43" t="n"/>
      <c r="RUM86" s="43" t="n"/>
      <c r="RUN86" s="43" t="n"/>
      <c r="RUO86" s="43" t="n"/>
      <c r="RUP86" s="43" t="n"/>
      <c r="RUQ86" s="43" t="n"/>
      <c r="RUR86" s="43" t="n"/>
      <c r="RUS86" s="43" t="n"/>
      <c r="RUT86" s="43" t="n"/>
      <c r="RUU86" s="43" t="n"/>
      <c r="RUV86" s="43" t="n"/>
      <c r="RUW86" s="43" t="n"/>
      <c r="RUX86" s="43" t="n"/>
      <c r="RUY86" s="43" t="n"/>
      <c r="RUZ86" s="43" t="n"/>
      <c r="RVA86" s="43" t="n"/>
      <c r="RVB86" s="43" t="n"/>
      <c r="RVC86" s="43" t="n"/>
      <c r="RVD86" s="43" t="n"/>
      <c r="RVE86" s="43" t="n"/>
      <c r="RVF86" s="43" t="n"/>
      <c r="RVG86" s="43" t="n"/>
      <c r="RVH86" s="43" t="n"/>
      <c r="RVI86" s="43" t="n"/>
      <c r="RVJ86" s="43" t="n"/>
      <c r="RVK86" s="43" t="n"/>
      <c r="RVL86" s="43" t="n"/>
      <c r="RVM86" s="43" t="n"/>
      <c r="RVN86" s="43" t="n"/>
      <c r="RVO86" s="43" t="n"/>
      <c r="RVP86" s="43" t="n"/>
      <c r="RVQ86" s="43" t="n"/>
      <c r="RVR86" s="43" t="n"/>
      <c r="RVS86" s="43" t="n"/>
      <c r="RVT86" s="43" t="n"/>
      <c r="RVU86" s="43" t="n"/>
      <c r="RVV86" s="43" t="n"/>
      <c r="RVW86" s="43" t="n"/>
      <c r="RVX86" s="43" t="n"/>
      <c r="RVY86" s="43" t="n"/>
      <c r="RVZ86" s="43" t="n"/>
      <c r="RWA86" s="43" t="n"/>
      <c r="RWB86" s="43" t="n"/>
      <c r="RWC86" s="43" t="n"/>
      <c r="RWD86" s="43" t="n"/>
      <c r="RWE86" s="43" t="n"/>
      <c r="RWF86" s="43" t="n"/>
      <c r="RWG86" s="43" t="n"/>
      <c r="RWH86" s="43" t="n"/>
      <c r="RWI86" s="43" t="n"/>
      <c r="RWJ86" s="43" t="n"/>
      <c r="RWK86" s="43" t="n"/>
      <c r="RWL86" s="43" t="n"/>
      <c r="RWM86" s="43" t="n"/>
      <c r="RWN86" s="43" t="n"/>
      <c r="RWO86" s="43" t="n"/>
      <c r="RWP86" s="43" t="n"/>
      <c r="RWQ86" s="43" t="n"/>
      <c r="RWR86" s="43" t="n"/>
      <c r="RWS86" s="43" t="n"/>
      <c r="RWT86" s="43" t="n"/>
      <c r="RWU86" s="43" t="n"/>
      <c r="RWV86" s="43" t="n"/>
      <c r="RWW86" s="43" t="n"/>
      <c r="RWX86" s="43" t="n"/>
      <c r="RWY86" s="43" t="n"/>
      <c r="RWZ86" s="43" t="n"/>
      <c r="RXA86" s="43" t="n"/>
      <c r="RXB86" s="43" t="n"/>
      <c r="RXC86" s="43" t="n"/>
      <c r="RXD86" s="43" t="n"/>
      <c r="RXE86" s="43" t="n"/>
      <c r="RXF86" s="43" t="n"/>
      <c r="RXG86" s="43" t="n"/>
      <c r="RXH86" s="43" t="n"/>
      <c r="RXI86" s="43" t="n"/>
      <c r="RXJ86" s="43" t="n"/>
      <c r="RXK86" s="43" t="n"/>
      <c r="RXL86" s="43" t="n"/>
      <c r="RXM86" s="43" t="n"/>
      <c r="RXN86" s="43" t="n"/>
      <c r="RXO86" s="43" t="n"/>
      <c r="RXP86" s="43" t="n"/>
      <c r="RXQ86" s="43" t="n"/>
      <c r="RXR86" s="43" t="n"/>
      <c r="RXS86" s="43" t="n"/>
      <c r="RXT86" s="43" t="n"/>
      <c r="RXU86" s="43" t="n"/>
      <c r="RXV86" s="43" t="n"/>
      <c r="RXW86" s="43" t="n"/>
      <c r="RXX86" s="43" t="n"/>
      <c r="RXY86" s="43" t="n"/>
      <c r="RXZ86" s="43" t="n"/>
      <c r="RYA86" s="43" t="n"/>
      <c r="RYB86" s="43" t="n"/>
      <c r="RYC86" s="43" t="n"/>
      <c r="RYD86" s="43" t="n"/>
      <c r="RYE86" s="43" t="n"/>
      <c r="RYF86" s="43" t="n"/>
      <c r="RYG86" s="43" t="n"/>
      <c r="RYH86" s="43" t="n"/>
      <c r="RYI86" s="43" t="n"/>
      <c r="RYJ86" s="43" t="n"/>
      <c r="RYK86" s="43" t="n"/>
      <c r="RYL86" s="43" t="n"/>
      <c r="RYM86" s="43" t="n"/>
      <c r="RYN86" s="43" t="n"/>
      <c r="RYO86" s="43" t="n"/>
      <c r="RYP86" s="43" t="n"/>
      <c r="RYQ86" s="43" t="n"/>
      <c r="RYR86" s="43" t="n"/>
      <c r="RYS86" s="43" t="n"/>
      <c r="RYT86" s="43" t="n"/>
      <c r="RYU86" s="43" t="n"/>
      <c r="RYV86" s="43" t="n"/>
      <c r="RYW86" s="43" t="n"/>
      <c r="RYX86" s="43" t="n"/>
      <c r="RYY86" s="43" t="n"/>
      <c r="RYZ86" s="43" t="n"/>
      <c r="RZA86" s="43" t="n"/>
      <c r="RZB86" s="43" t="n"/>
      <c r="RZC86" s="43" t="n"/>
      <c r="RZD86" s="43" t="n"/>
      <c r="RZE86" s="43" t="n"/>
      <c r="RZF86" s="43" t="n"/>
      <c r="RZG86" s="43" t="n"/>
      <c r="RZH86" s="43" t="n"/>
      <c r="RZI86" s="43" t="n"/>
      <c r="RZJ86" s="43" t="n"/>
      <c r="RZK86" s="43" t="n"/>
      <c r="RZL86" s="43" t="n"/>
      <c r="RZM86" s="43" t="n"/>
      <c r="RZN86" s="43" t="n"/>
      <c r="RZO86" s="43" t="n"/>
      <c r="RZP86" s="43" t="n"/>
      <c r="RZQ86" s="43" t="n"/>
      <c r="RZR86" s="43" t="n"/>
      <c r="RZS86" s="43" t="n"/>
      <c r="RZT86" s="43" t="n"/>
      <c r="RZU86" s="43" t="n"/>
      <c r="RZV86" s="43" t="n"/>
      <c r="RZW86" s="43" t="n"/>
      <c r="RZX86" s="43" t="n"/>
      <c r="RZY86" s="43" t="n"/>
      <c r="RZZ86" s="43" t="n"/>
      <c r="SAA86" s="43" t="n"/>
      <c r="SAB86" s="43" t="n"/>
      <c r="SAC86" s="43" t="n"/>
      <c r="SAD86" s="43" t="n"/>
      <c r="SAE86" s="43" t="n"/>
      <c r="SAF86" s="43" t="n"/>
      <c r="SAG86" s="43" t="n"/>
      <c r="SAH86" s="43" t="n"/>
      <c r="SAI86" s="43" t="n"/>
      <c r="SAJ86" s="43" t="n"/>
      <c r="SAK86" s="43" t="n"/>
      <c r="SAL86" s="43" t="n"/>
      <c r="SAM86" s="43" t="n"/>
      <c r="SAN86" s="43" t="n"/>
      <c r="SAO86" s="43" t="n"/>
      <c r="SAP86" s="43" t="n"/>
      <c r="SAQ86" s="43" t="n"/>
      <c r="SAR86" s="43" t="n"/>
      <c r="SAS86" s="43" t="n"/>
      <c r="SAT86" s="43" t="n"/>
      <c r="SAU86" s="43" t="n"/>
      <c r="SAV86" s="43" t="n"/>
      <c r="SAW86" s="43" t="n"/>
      <c r="SAX86" s="43" t="n"/>
      <c r="SAY86" s="43" t="n"/>
      <c r="SAZ86" s="43" t="n"/>
      <c r="SBA86" s="43" t="n"/>
      <c r="SBB86" s="43" t="n"/>
      <c r="SBC86" s="43" t="n"/>
      <c r="SBD86" s="43" t="n"/>
      <c r="SBE86" s="43" t="n"/>
      <c r="SBF86" s="43" t="n"/>
      <c r="SBG86" s="43" t="n"/>
      <c r="SBH86" s="43" t="n"/>
      <c r="SBI86" s="43" t="n"/>
      <c r="SBJ86" s="43" t="n"/>
      <c r="SBK86" s="43" t="n"/>
      <c r="SBL86" s="43" t="n"/>
      <c r="SBM86" s="43" t="n"/>
      <c r="SBN86" s="43" t="n"/>
      <c r="SBO86" s="43" t="n"/>
      <c r="SBP86" s="43" t="n"/>
      <c r="SBQ86" s="43" t="n"/>
      <c r="SBR86" s="43" t="n"/>
      <c r="SBS86" s="43" t="n"/>
      <c r="SBT86" s="43" t="n"/>
      <c r="SBU86" s="43" t="n"/>
      <c r="SBV86" s="43" t="n"/>
      <c r="SBW86" s="43" t="n"/>
      <c r="SBX86" s="43" t="n"/>
      <c r="SBY86" s="43" t="n"/>
      <c r="SBZ86" s="43" t="n"/>
      <c r="SCA86" s="43" t="n"/>
      <c r="SCB86" s="43" t="n"/>
      <c r="SCC86" s="43" t="n"/>
      <c r="SCD86" s="43" t="n"/>
      <c r="SCE86" s="43" t="n"/>
      <c r="SCF86" s="43" t="n"/>
      <c r="SCG86" s="43" t="n"/>
      <c r="SCH86" s="43" t="n"/>
      <c r="SCI86" s="43" t="n"/>
      <c r="SCJ86" s="43" t="n"/>
      <c r="SCK86" s="43" t="n"/>
      <c r="SCL86" s="43" t="n"/>
      <c r="SCM86" s="43" t="n"/>
      <c r="SCN86" s="43" t="n"/>
      <c r="SCO86" s="43" t="n"/>
      <c r="SCP86" s="43" t="n"/>
      <c r="SCQ86" s="43" t="n"/>
      <c r="SCR86" s="43" t="n"/>
      <c r="SCS86" s="43" t="n"/>
      <c r="SCT86" s="43" t="n"/>
      <c r="SCU86" s="43" t="n"/>
      <c r="SCV86" s="43" t="n"/>
      <c r="SCW86" s="43" t="n"/>
      <c r="SCX86" s="43" t="n"/>
      <c r="SCY86" s="43" t="n"/>
      <c r="SCZ86" s="43" t="n"/>
      <c r="SDA86" s="43" t="n"/>
      <c r="SDB86" s="43" t="n"/>
      <c r="SDC86" s="43" t="n"/>
      <c r="SDD86" s="43" t="n"/>
      <c r="SDE86" s="43" t="n"/>
      <c r="SDF86" s="43" t="n"/>
      <c r="SDG86" s="43" t="n"/>
      <c r="SDH86" s="43" t="n"/>
      <c r="SDI86" s="43" t="n"/>
      <c r="SDJ86" s="43" t="n"/>
      <c r="SDK86" s="43" t="n"/>
      <c r="SDL86" s="43" t="n"/>
      <c r="SDM86" s="43" t="n"/>
      <c r="SDN86" s="43" t="n"/>
      <c r="SDO86" s="43" t="n"/>
      <c r="SDP86" s="43" t="n"/>
      <c r="SDQ86" s="43" t="n"/>
      <c r="SDR86" s="43" t="n"/>
      <c r="SDS86" s="43" t="n"/>
      <c r="SDT86" s="43" t="n"/>
      <c r="SDU86" s="43" t="n"/>
      <c r="SDV86" s="43" t="n"/>
      <c r="SDW86" s="43" t="n"/>
      <c r="SDX86" s="43" t="n"/>
      <c r="SDY86" s="43" t="n"/>
      <c r="SDZ86" s="43" t="n"/>
      <c r="SEA86" s="43" t="n"/>
      <c r="SEB86" s="43" t="n"/>
      <c r="SEC86" s="43" t="n"/>
      <c r="SED86" s="43" t="n"/>
      <c r="SEE86" s="43" t="n"/>
      <c r="SEF86" s="43" t="n"/>
      <c r="SEG86" s="43" t="n"/>
      <c r="SEH86" s="43" t="n"/>
      <c r="SEI86" s="43" t="n"/>
      <c r="SEJ86" s="43" t="n"/>
      <c r="SEK86" s="43" t="n"/>
      <c r="SEL86" s="43" t="n"/>
      <c r="SEM86" s="43" t="n"/>
      <c r="SEN86" s="43" t="n"/>
      <c r="SEO86" s="43" t="n"/>
      <c r="SEP86" s="43" t="n"/>
      <c r="SEQ86" s="43" t="n"/>
      <c r="SER86" s="43" t="n"/>
      <c r="SES86" s="43" t="n"/>
      <c r="SET86" s="43" t="n"/>
      <c r="SEU86" s="43" t="n"/>
      <c r="SEV86" s="43" t="n"/>
      <c r="SEW86" s="43" t="n"/>
      <c r="SEX86" s="43" t="n"/>
      <c r="SEY86" s="43" t="n"/>
      <c r="SEZ86" s="43" t="n"/>
      <c r="SFA86" s="43" t="n"/>
      <c r="SFB86" s="43" t="n"/>
      <c r="SFC86" s="43" t="n"/>
      <c r="SFD86" s="43" t="n"/>
      <c r="SFE86" s="43" t="n"/>
      <c r="SFF86" s="43" t="n"/>
      <c r="SFG86" s="43" t="n"/>
      <c r="SFH86" s="43" t="n"/>
      <c r="SFI86" s="43" t="n"/>
      <c r="SFJ86" s="43" t="n"/>
      <c r="SFK86" s="43" t="n"/>
      <c r="SFL86" s="43" t="n"/>
      <c r="SFM86" s="43" t="n"/>
      <c r="SFN86" s="43" t="n"/>
      <c r="SFO86" s="43" t="n"/>
      <c r="SFP86" s="43" t="n"/>
      <c r="SFQ86" s="43" t="n"/>
      <c r="SFR86" s="43" t="n"/>
      <c r="SFS86" s="43" t="n"/>
      <c r="SFT86" s="43" t="n"/>
      <c r="SFU86" s="43" t="n"/>
      <c r="SFV86" s="43" t="n"/>
      <c r="SFW86" s="43" t="n"/>
      <c r="SFX86" s="43" t="n"/>
      <c r="SFY86" s="43" t="n"/>
      <c r="SFZ86" s="43" t="n"/>
      <c r="SGA86" s="43" t="n"/>
      <c r="SGB86" s="43" t="n"/>
      <c r="SGC86" s="43" t="n"/>
      <c r="SGD86" s="43" t="n"/>
      <c r="SGE86" s="43" t="n"/>
      <c r="SGF86" s="43" t="n"/>
      <c r="SGG86" s="43" t="n"/>
      <c r="SGH86" s="43" t="n"/>
      <c r="SGI86" s="43" t="n"/>
      <c r="SGJ86" s="43" t="n"/>
      <c r="SGK86" s="43" t="n"/>
      <c r="SGL86" s="43" t="n"/>
      <c r="SGM86" s="43" t="n"/>
      <c r="SGN86" s="43" t="n"/>
      <c r="SGO86" s="43" t="n"/>
      <c r="SGP86" s="43" t="n"/>
      <c r="SGQ86" s="43" t="n"/>
      <c r="SGR86" s="43" t="n"/>
      <c r="SGS86" s="43" t="n"/>
      <c r="SGT86" s="43" t="n"/>
      <c r="SGU86" s="43" t="n"/>
      <c r="SGV86" s="43" t="n"/>
      <c r="SGW86" s="43" t="n"/>
      <c r="SGX86" s="43" t="n"/>
      <c r="SGY86" s="43" t="n"/>
      <c r="SGZ86" s="43" t="n"/>
      <c r="SHA86" s="43" t="n"/>
      <c r="SHB86" s="43" t="n"/>
      <c r="SHC86" s="43" t="n"/>
      <c r="SHD86" s="43" t="n"/>
      <c r="SHE86" s="43" t="n"/>
      <c r="SHF86" s="43" t="n"/>
      <c r="SHG86" s="43" t="n"/>
      <c r="SHH86" s="43" t="n"/>
      <c r="SHI86" s="43" t="n"/>
      <c r="SHJ86" s="43" t="n"/>
      <c r="SHK86" s="43" t="n"/>
      <c r="SHL86" s="43" t="n"/>
      <c r="SHM86" s="43" t="n"/>
      <c r="SHN86" s="43" t="n"/>
      <c r="SHO86" s="43" t="n"/>
      <c r="SHP86" s="43" t="n"/>
      <c r="SHQ86" s="43" t="n"/>
      <c r="SHR86" s="43" t="n"/>
      <c r="SHS86" s="43" t="n"/>
      <c r="SHT86" s="43" t="n"/>
      <c r="SHU86" s="43" t="n"/>
      <c r="SHV86" s="43" t="n"/>
      <c r="SHW86" s="43" t="n"/>
      <c r="SHX86" s="43" t="n"/>
      <c r="SHY86" s="43" t="n"/>
      <c r="SHZ86" s="43" t="n"/>
      <c r="SIA86" s="43" t="n"/>
      <c r="SIB86" s="43" t="n"/>
      <c r="SIC86" s="43" t="n"/>
      <c r="SID86" s="43" t="n"/>
      <c r="SIE86" s="43" t="n"/>
      <c r="SIF86" s="43" t="n"/>
      <c r="SIG86" s="43" t="n"/>
      <c r="SIH86" s="43" t="n"/>
      <c r="SII86" s="43" t="n"/>
      <c r="SIJ86" s="43" t="n"/>
      <c r="SIK86" s="43" t="n"/>
      <c r="SIL86" s="43" t="n"/>
      <c r="SIM86" s="43" t="n"/>
      <c r="SIN86" s="43" t="n"/>
      <c r="SIO86" s="43" t="n"/>
      <c r="SIP86" s="43" t="n"/>
      <c r="SIQ86" s="43" t="n"/>
      <c r="SIR86" s="43" t="n"/>
      <c r="SIS86" s="43" t="n"/>
      <c r="SIT86" s="43" t="n"/>
      <c r="SIU86" s="43" t="n"/>
      <c r="SIV86" s="43" t="n"/>
      <c r="SIW86" s="43" t="n"/>
      <c r="SIX86" s="43" t="n"/>
      <c r="SIY86" s="43" t="n"/>
      <c r="SIZ86" s="43" t="n"/>
      <c r="SJA86" s="43" t="n"/>
      <c r="SJB86" s="43" t="n"/>
      <c r="SJC86" s="43" t="n"/>
      <c r="SJD86" s="43" t="n"/>
      <c r="SJE86" s="43" t="n"/>
      <c r="SJF86" s="43" t="n"/>
      <c r="SJG86" s="43" t="n"/>
      <c r="SJH86" s="43" t="n"/>
      <c r="SJI86" s="43" t="n"/>
      <c r="SJJ86" s="43" t="n"/>
      <c r="SJK86" s="43" t="n"/>
      <c r="SJL86" s="43" t="n"/>
      <c r="SJM86" s="43" t="n"/>
      <c r="SJN86" s="43" t="n"/>
      <c r="SJO86" s="43" t="n"/>
      <c r="SJP86" s="43" t="n"/>
      <c r="SJQ86" s="43" t="n"/>
      <c r="SJR86" s="43" t="n"/>
      <c r="SJS86" s="43" t="n"/>
      <c r="SJT86" s="43" t="n"/>
      <c r="SJU86" s="43" t="n"/>
      <c r="SJV86" s="43" t="n"/>
      <c r="SJW86" s="43" t="n"/>
      <c r="SJX86" s="43" t="n"/>
      <c r="SJY86" s="43" t="n"/>
      <c r="SJZ86" s="43" t="n"/>
      <c r="SKA86" s="43" t="n"/>
      <c r="SKB86" s="43" t="n"/>
      <c r="SKC86" s="43" t="n"/>
      <c r="SKD86" s="43" t="n"/>
      <c r="SKE86" s="43" t="n"/>
      <c r="SKF86" s="43" t="n"/>
      <c r="SKG86" s="43" t="n"/>
      <c r="SKH86" s="43" t="n"/>
      <c r="SKI86" s="43" t="n"/>
      <c r="SKJ86" s="43" t="n"/>
      <c r="SKK86" s="43" t="n"/>
      <c r="SKL86" s="43" t="n"/>
      <c r="SKM86" s="43" t="n"/>
      <c r="SKN86" s="43" t="n"/>
      <c r="SKO86" s="43" t="n"/>
      <c r="SKP86" s="43" t="n"/>
      <c r="SKQ86" s="43" t="n"/>
      <c r="SKR86" s="43" t="n"/>
      <c r="SKS86" s="43" t="n"/>
      <c r="SKT86" s="43" t="n"/>
      <c r="SKU86" s="43" t="n"/>
      <c r="SKV86" s="43" t="n"/>
      <c r="SKW86" s="43" t="n"/>
      <c r="SKX86" s="43" t="n"/>
      <c r="SKY86" s="43" t="n"/>
      <c r="SKZ86" s="43" t="n"/>
      <c r="SLA86" s="43" t="n"/>
      <c r="SLB86" s="43" t="n"/>
      <c r="SLC86" s="43" t="n"/>
      <c r="SLD86" s="43" t="n"/>
      <c r="SLE86" s="43" t="n"/>
      <c r="SLF86" s="43" t="n"/>
      <c r="SLG86" s="43" t="n"/>
      <c r="SLH86" s="43" t="n"/>
      <c r="SLI86" s="43" t="n"/>
      <c r="SLJ86" s="43" t="n"/>
      <c r="SLK86" s="43" t="n"/>
      <c r="SLL86" s="43" t="n"/>
      <c r="SLM86" s="43" t="n"/>
      <c r="SLN86" s="43" t="n"/>
      <c r="SLO86" s="43" t="n"/>
      <c r="SLP86" s="43" t="n"/>
      <c r="SLQ86" s="43" t="n"/>
      <c r="SLR86" s="43" t="n"/>
      <c r="SLS86" s="43" t="n"/>
      <c r="SLT86" s="43" t="n"/>
      <c r="SLU86" s="43" t="n"/>
      <c r="SLV86" s="43" t="n"/>
      <c r="SLW86" s="43" t="n"/>
      <c r="SLX86" s="43" t="n"/>
      <c r="SLY86" s="43" t="n"/>
      <c r="SLZ86" s="43" t="n"/>
      <c r="SMA86" s="43" t="n"/>
      <c r="SMB86" s="43" t="n"/>
      <c r="SMC86" s="43" t="n"/>
      <c r="SMD86" s="43" t="n"/>
      <c r="SME86" s="43" t="n"/>
      <c r="SMF86" s="43" t="n"/>
      <c r="SMG86" s="43" t="n"/>
      <c r="SMH86" s="43" t="n"/>
      <c r="SMI86" s="43" t="n"/>
      <c r="SMJ86" s="43" t="n"/>
      <c r="SMK86" s="43" t="n"/>
      <c r="SML86" s="43" t="n"/>
      <c r="SMM86" s="43" t="n"/>
      <c r="SMN86" s="43" t="n"/>
      <c r="SMO86" s="43" t="n"/>
      <c r="SMP86" s="43" t="n"/>
      <c r="SMQ86" s="43" t="n"/>
      <c r="SMR86" s="43" t="n"/>
      <c r="SMS86" s="43" t="n"/>
      <c r="SMT86" s="43" t="n"/>
      <c r="SMU86" s="43" t="n"/>
      <c r="SMV86" s="43" t="n"/>
      <c r="SMW86" s="43" t="n"/>
      <c r="SMX86" s="43" t="n"/>
      <c r="SMY86" s="43" t="n"/>
      <c r="SMZ86" s="43" t="n"/>
      <c r="SNA86" s="43" t="n"/>
      <c r="SNB86" s="43" t="n"/>
      <c r="SNC86" s="43" t="n"/>
      <c r="SND86" s="43" t="n"/>
      <c r="SNE86" s="43" t="n"/>
      <c r="SNF86" s="43" t="n"/>
      <c r="SNG86" s="43" t="n"/>
      <c r="SNH86" s="43" t="n"/>
      <c r="SNI86" s="43" t="n"/>
      <c r="SNJ86" s="43" t="n"/>
      <c r="SNK86" s="43" t="n"/>
      <c r="SNL86" s="43" t="n"/>
      <c r="SNM86" s="43" t="n"/>
      <c r="SNN86" s="43" t="n"/>
      <c r="SNO86" s="43" t="n"/>
      <c r="SNP86" s="43" t="n"/>
      <c r="SNQ86" s="43" t="n"/>
      <c r="SNR86" s="43" t="n"/>
      <c r="SNS86" s="43" t="n"/>
      <c r="SNT86" s="43" t="n"/>
      <c r="SNU86" s="43" t="n"/>
      <c r="SNV86" s="43" t="n"/>
      <c r="SNW86" s="43" t="n"/>
      <c r="SNX86" s="43" t="n"/>
      <c r="SNY86" s="43" t="n"/>
      <c r="SNZ86" s="43" t="n"/>
      <c r="SOA86" s="43" t="n"/>
      <c r="SOB86" s="43" t="n"/>
      <c r="SOC86" s="43" t="n"/>
      <c r="SOD86" s="43" t="n"/>
      <c r="SOE86" s="43" t="n"/>
      <c r="SOF86" s="43" t="n"/>
      <c r="SOG86" s="43" t="n"/>
      <c r="SOH86" s="43" t="n"/>
      <c r="SOI86" s="43" t="n"/>
      <c r="SOJ86" s="43" t="n"/>
      <c r="SOK86" s="43" t="n"/>
      <c r="SOL86" s="43" t="n"/>
      <c r="SOM86" s="43" t="n"/>
      <c r="SON86" s="43" t="n"/>
      <c r="SOO86" s="43" t="n"/>
      <c r="SOP86" s="43" t="n"/>
      <c r="SOQ86" s="43" t="n"/>
      <c r="SOR86" s="43" t="n"/>
      <c r="SOS86" s="43" t="n"/>
      <c r="SOT86" s="43" t="n"/>
      <c r="SOU86" s="43" t="n"/>
      <c r="SOV86" s="43" t="n"/>
      <c r="SOW86" s="43" t="n"/>
      <c r="SOX86" s="43" t="n"/>
      <c r="SOY86" s="43" t="n"/>
      <c r="SOZ86" s="43" t="n"/>
      <c r="SPA86" s="43" t="n"/>
      <c r="SPB86" s="43" t="n"/>
      <c r="SPC86" s="43" t="n"/>
      <c r="SPD86" s="43" t="n"/>
      <c r="SPE86" s="43" t="n"/>
      <c r="SPF86" s="43" t="n"/>
      <c r="SPG86" s="43" t="n"/>
      <c r="SPH86" s="43" t="n"/>
      <c r="SPI86" s="43" t="n"/>
      <c r="SPJ86" s="43" t="n"/>
      <c r="SPK86" s="43" t="n"/>
      <c r="SPL86" s="43" t="n"/>
      <c r="SPM86" s="43" t="n"/>
      <c r="SPN86" s="43" t="n"/>
      <c r="SPO86" s="43" t="n"/>
      <c r="SPP86" s="43" t="n"/>
      <c r="SPQ86" s="43" t="n"/>
      <c r="SPR86" s="43" t="n"/>
      <c r="SPS86" s="43" t="n"/>
      <c r="SPT86" s="43" t="n"/>
      <c r="SPU86" s="43" t="n"/>
      <c r="SPV86" s="43" t="n"/>
      <c r="SPW86" s="43" t="n"/>
      <c r="SPX86" s="43" t="n"/>
      <c r="SPY86" s="43" t="n"/>
      <c r="SPZ86" s="43" t="n"/>
      <c r="SQA86" s="43" t="n"/>
      <c r="SQB86" s="43" t="n"/>
      <c r="SQC86" s="43" t="n"/>
      <c r="SQD86" s="43" t="n"/>
      <c r="SQE86" s="43" t="n"/>
      <c r="SQF86" s="43" t="n"/>
      <c r="SQG86" s="43" t="n"/>
      <c r="SQH86" s="43" t="n"/>
      <c r="SQI86" s="43" t="n"/>
      <c r="SQJ86" s="43" t="n"/>
      <c r="SQK86" s="43" t="n"/>
      <c r="SQL86" s="43" t="n"/>
      <c r="SQM86" s="43" t="n"/>
      <c r="SQN86" s="43" t="n"/>
      <c r="SQO86" s="43" t="n"/>
      <c r="SQP86" s="43" t="n"/>
      <c r="SQQ86" s="43" t="n"/>
      <c r="SQR86" s="43" t="n"/>
      <c r="SQS86" s="43" t="n"/>
      <c r="SQT86" s="43" t="n"/>
      <c r="SQU86" s="43" t="n"/>
      <c r="SQV86" s="43" t="n"/>
      <c r="SQW86" s="43" t="n"/>
      <c r="SQX86" s="43" t="n"/>
      <c r="SQY86" s="43" t="n"/>
      <c r="SQZ86" s="43" t="n"/>
      <c r="SRA86" s="43" t="n"/>
      <c r="SRB86" s="43" t="n"/>
      <c r="SRC86" s="43" t="n"/>
      <c r="SRD86" s="43" t="n"/>
      <c r="SRE86" s="43" t="n"/>
      <c r="SRF86" s="43" t="n"/>
      <c r="SRG86" s="43" t="n"/>
      <c r="SRH86" s="43" t="n"/>
      <c r="SRI86" s="43" t="n"/>
      <c r="SRJ86" s="43" t="n"/>
      <c r="SRK86" s="43" t="n"/>
      <c r="SRL86" s="43" t="n"/>
      <c r="SRM86" s="43" t="n"/>
      <c r="SRN86" s="43" t="n"/>
      <c r="SRO86" s="43" t="n"/>
      <c r="SRP86" s="43" t="n"/>
      <c r="SRQ86" s="43" t="n"/>
      <c r="SRR86" s="43" t="n"/>
      <c r="SRS86" s="43" t="n"/>
      <c r="SRT86" s="43" t="n"/>
      <c r="SRU86" s="43" t="n"/>
      <c r="SRV86" s="43" t="n"/>
      <c r="SRW86" s="43" t="n"/>
      <c r="SRX86" s="43" t="n"/>
      <c r="SRY86" s="43" t="n"/>
      <c r="SRZ86" s="43" t="n"/>
      <c r="SSA86" s="43" t="n"/>
      <c r="SSB86" s="43" t="n"/>
      <c r="SSC86" s="43" t="n"/>
      <c r="SSD86" s="43" t="n"/>
      <c r="SSE86" s="43" t="n"/>
      <c r="SSF86" s="43" t="n"/>
      <c r="SSG86" s="43" t="n"/>
      <c r="SSH86" s="43" t="n"/>
      <c r="SSI86" s="43" t="n"/>
      <c r="SSJ86" s="43" t="n"/>
      <c r="SSK86" s="43" t="n"/>
      <c r="SSL86" s="43" t="n"/>
      <c r="SSM86" s="43" t="n"/>
      <c r="SSN86" s="43" t="n"/>
      <c r="SSO86" s="43" t="n"/>
      <c r="SSP86" s="43" t="n"/>
      <c r="SSQ86" s="43" t="n"/>
      <c r="SSR86" s="43" t="n"/>
      <c r="SSS86" s="43" t="n"/>
      <c r="SST86" s="43" t="n"/>
      <c r="SSU86" s="43" t="n"/>
      <c r="SSV86" s="43" t="n"/>
      <c r="SSW86" s="43" t="n"/>
      <c r="SSX86" s="43" t="n"/>
      <c r="SSY86" s="43" t="n"/>
      <c r="SSZ86" s="43" t="n"/>
      <c r="STA86" s="43" t="n"/>
      <c r="STB86" s="43" t="n"/>
      <c r="STC86" s="43" t="n"/>
      <c r="STD86" s="43" t="n"/>
      <c r="STE86" s="43" t="n"/>
      <c r="STF86" s="43" t="n"/>
      <c r="STG86" s="43" t="n"/>
      <c r="STH86" s="43" t="n"/>
      <c r="STI86" s="43" t="n"/>
      <c r="STJ86" s="43" t="n"/>
      <c r="STK86" s="43" t="n"/>
      <c r="STL86" s="43" t="n"/>
      <c r="STM86" s="43" t="n"/>
      <c r="STN86" s="43" t="n"/>
      <c r="STO86" s="43" t="n"/>
      <c r="STP86" s="43" t="n"/>
      <c r="STQ86" s="43" t="n"/>
      <c r="STR86" s="43" t="n"/>
      <c r="STS86" s="43" t="n"/>
      <c r="STT86" s="43" t="n"/>
      <c r="STU86" s="43" t="n"/>
      <c r="STV86" s="43" t="n"/>
      <c r="STW86" s="43" t="n"/>
      <c r="STX86" s="43" t="n"/>
      <c r="STY86" s="43" t="n"/>
      <c r="STZ86" s="43" t="n"/>
      <c r="SUA86" s="43" t="n"/>
      <c r="SUB86" s="43" t="n"/>
      <c r="SUC86" s="43" t="n"/>
      <c r="SUD86" s="43" t="n"/>
      <c r="SUE86" s="43" t="n"/>
      <c r="SUF86" s="43" t="n"/>
      <c r="SUG86" s="43" t="n"/>
      <c r="SUH86" s="43" t="n"/>
      <c r="SUI86" s="43" t="n"/>
      <c r="SUJ86" s="43" t="n"/>
      <c r="SUK86" s="43" t="n"/>
      <c r="SUL86" s="43" t="n"/>
      <c r="SUM86" s="43" t="n"/>
      <c r="SUN86" s="43" t="n"/>
      <c r="SUO86" s="43" t="n"/>
      <c r="SUP86" s="43" t="n"/>
      <c r="SUQ86" s="43" t="n"/>
      <c r="SUR86" s="43" t="n"/>
      <c r="SUS86" s="43" t="n"/>
      <c r="SUT86" s="43" t="n"/>
      <c r="SUU86" s="43" t="n"/>
      <c r="SUV86" s="43" t="n"/>
      <c r="SUW86" s="43" t="n"/>
      <c r="SUX86" s="43" t="n"/>
      <c r="SUY86" s="43" t="n"/>
      <c r="SUZ86" s="43" t="n"/>
      <c r="SVA86" s="43" t="n"/>
      <c r="SVB86" s="43" t="n"/>
      <c r="SVC86" s="43" t="n"/>
      <c r="SVD86" s="43" t="n"/>
      <c r="SVE86" s="43" t="n"/>
      <c r="SVF86" s="43" t="n"/>
      <c r="SVG86" s="43" t="n"/>
      <c r="SVH86" s="43" t="n"/>
      <c r="SVI86" s="43" t="n"/>
      <c r="SVJ86" s="43" t="n"/>
      <c r="SVK86" s="43" t="n"/>
      <c r="SVL86" s="43" t="n"/>
      <c r="SVM86" s="43" t="n"/>
      <c r="SVN86" s="43" t="n"/>
      <c r="SVO86" s="43" t="n"/>
      <c r="SVP86" s="43" t="n"/>
      <c r="SVQ86" s="43" t="n"/>
      <c r="SVR86" s="43" t="n"/>
      <c r="SVS86" s="43" t="n"/>
      <c r="SVT86" s="43" t="n"/>
      <c r="SVU86" s="43" t="n"/>
      <c r="SVV86" s="43" t="n"/>
      <c r="SVW86" s="43" t="n"/>
      <c r="SVX86" s="43" t="n"/>
      <c r="SVY86" s="43" t="n"/>
      <c r="SVZ86" s="43" t="n"/>
      <c r="SWA86" s="43" t="n"/>
      <c r="SWB86" s="43" t="n"/>
      <c r="SWC86" s="43" t="n"/>
      <c r="SWD86" s="43" t="n"/>
      <c r="SWE86" s="43" t="n"/>
      <c r="SWF86" s="43" t="n"/>
      <c r="SWG86" s="43" t="n"/>
      <c r="SWH86" s="43" t="n"/>
      <c r="SWI86" s="43" t="n"/>
      <c r="SWJ86" s="43" t="n"/>
      <c r="SWK86" s="43" t="n"/>
      <c r="SWL86" s="43" t="n"/>
      <c r="SWM86" s="43" t="n"/>
      <c r="SWN86" s="43" t="n"/>
      <c r="SWO86" s="43" t="n"/>
      <c r="SWP86" s="43" t="n"/>
      <c r="SWQ86" s="43" t="n"/>
      <c r="SWR86" s="43" t="n"/>
      <c r="SWS86" s="43" t="n"/>
      <c r="SWT86" s="43" t="n"/>
      <c r="SWU86" s="43" t="n"/>
      <c r="SWV86" s="43" t="n"/>
      <c r="SWW86" s="43" t="n"/>
      <c r="SWX86" s="43" t="n"/>
      <c r="SWY86" s="43" t="n"/>
      <c r="SWZ86" s="43" t="n"/>
      <c r="SXA86" s="43" t="n"/>
      <c r="SXB86" s="43" t="n"/>
      <c r="SXC86" s="43" t="n"/>
      <c r="SXD86" s="43" t="n"/>
      <c r="SXE86" s="43" t="n"/>
      <c r="SXF86" s="43" t="n"/>
      <c r="SXG86" s="43" t="n"/>
      <c r="SXH86" s="43" t="n"/>
      <c r="SXI86" s="43" t="n"/>
      <c r="SXJ86" s="43" t="n"/>
      <c r="SXK86" s="43" t="n"/>
      <c r="SXL86" s="43" t="n"/>
      <c r="SXM86" s="43" t="n"/>
      <c r="SXN86" s="43" t="n"/>
      <c r="SXO86" s="43" t="n"/>
      <c r="SXP86" s="43" t="n"/>
      <c r="SXQ86" s="43" t="n"/>
      <c r="SXR86" s="43" t="n"/>
      <c r="SXS86" s="43" t="n"/>
      <c r="SXT86" s="43" t="n"/>
      <c r="SXU86" s="43" t="n"/>
      <c r="SXV86" s="43" t="n"/>
      <c r="SXW86" s="43" t="n"/>
      <c r="SXX86" s="43" t="n"/>
      <c r="SXY86" s="43" t="n"/>
      <c r="SXZ86" s="43" t="n"/>
      <c r="SYA86" s="43" t="n"/>
      <c r="SYB86" s="43" t="n"/>
      <c r="SYC86" s="43" t="n"/>
      <c r="SYD86" s="43" t="n"/>
      <c r="SYE86" s="43" t="n"/>
      <c r="SYF86" s="43" t="n"/>
      <c r="SYG86" s="43" t="n"/>
      <c r="SYH86" s="43" t="n"/>
      <c r="SYI86" s="43" t="n"/>
      <c r="SYJ86" s="43" t="n"/>
      <c r="SYK86" s="43" t="n"/>
      <c r="SYL86" s="43" t="n"/>
      <c r="SYM86" s="43" t="n"/>
      <c r="SYN86" s="43" t="n"/>
      <c r="SYO86" s="43" t="n"/>
      <c r="SYP86" s="43" t="n"/>
      <c r="SYQ86" s="43" t="n"/>
      <c r="SYR86" s="43" t="n"/>
      <c r="SYS86" s="43" t="n"/>
      <c r="SYT86" s="43" t="n"/>
      <c r="SYU86" s="43" t="n"/>
      <c r="SYV86" s="43" t="n"/>
      <c r="SYW86" s="43" t="n"/>
      <c r="SYX86" s="43" t="n"/>
      <c r="SYY86" s="43" t="n"/>
      <c r="SYZ86" s="43" t="n"/>
      <c r="SZA86" s="43" t="n"/>
      <c r="SZB86" s="43" t="n"/>
      <c r="SZC86" s="43" t="n"/>
      <c r="SZD86" s="43" t="n"/>
      <c r="SZE86" s="43" t="n"/>
      <c r="SZF86" s="43" t="n"/>
      <c r="SZG86" s="43" t="n"/>
      <c r="SZH86" s="43" t="n"/>
      <c r="SZI86" s="43" t="n"/>
      <c r="SZJ86" s="43" t="n"/>
      <c r="SZK86" s="43" t="n"/>
      <c r="SZL86" s="43" t="n"/>
      <c r="SZM86" s="43" t="n"/>
      <c r="SZN86" s="43" t="n"/>
      <c r="SZO86" s="43" t="n"/>
      <c r="SZP86" s="43" t="n"/>
      <c r="SZQ86" s="43" t="n"/>
      <c r="SZR86" s="43" t="n"/>
      <c r="SZS86" s="43" t="n"/>
      <c r="SZT86" s="43" t="n"/>
      <c r="SZU86" s="43" t="n"/>
      <c r="SZV86" s="43" t="n"/>
      <c r="SZW86" s="43" t="n"/>
      <c r="SZX86" s="43" t="n"/>
      <c r="SZY86" s="43" t="n"/>
      <c r="SZZ86" s="43" t="n"/>
      <c r="TAA86" s="43" t="n"/>
      <c r="TAB86" s="43" t="n"/>
      <c r="TAC86" s="43" t="n"/>
      <c r="TAD86" s="43" t="n"/>
      <c r="TAE86" s="43" t="n"/>
      <c r="TAF86" s="43" t="n"/>
      <c r="TAG86" s="43" t="n"/>
      <c r="TAH86" s="43" t="n"/>
      <c r="TAI86" s="43" t="n"/>
      <c r="TAJ86" s="43" t="n"/>
      <c r="TAK86" s="43" t="n"/>
      <c r="TAL86" s="43" t="n"/>
      <c r="TAM86" s="43" t="n"/>
      <c r="TAN86" s="43" t="n"/>
      <c r="TAO86" s="43" t="n"/>
      <c r="TAP86" s="43" t="n"/>
      <c r="TAQ86" s="43" t="n"/>
      <c r="TAR86" s="43" t="n"/>
      <c r="TAS86" s="43" t="n"/>
      <c r="TAT86" s="43" t="n"/>
      <c r="TAU86" s="43" t="n"/>
      <c r="TAV86" s="43" t="n"/>
      <c r="TAW86" s="43" t="n"/>
      <c r="TAX86" s="43" t="n"/>
      <c r="TAY86" s="43" t="n"/>
      <c r="TAZ86" s="43" t="n"/>
      <c r="TBA86" s="43" t="n"/>
      <c r="TBB86" s="43" t="n"/>
      <c r="TBC86" s="43" t="n"/>
      <c r="TBD86" s="43" t="n"/>
      <c r="TBE86" s="43" t="n"/>
      <c r="TBF86" s="43" t="n"/>
      <c r="TBG86" s="43" t="n"/>
      <c r="TBH86" s="43" t="n"/>
      <c r="TBI86" s="43" t="n"/>
      <c r="TBJ86" s="43" t="n"/>
      <c r="TBK86" s="43" t="n"/>
      <c r="TBL86" s="43" t="n"/>
      <c r="TBM86" s="43" t="n"/>
      <c r="TBN86" s="43" t="n"/>
      <c r="TBO86" s="43" t="n"/>
      <c r="TBP86" s="43" t="n"/>
      <c r="TBQ86" s="43" t="n"/>
      <c r="TBR86" s="43" t="n"/>
      <c r="TBS86" s="43" t="n"/>
      <c r="TBT86" s="43" t="n"/>
      <c r="TBU86" s="43" t="n"/>
      <c r="TBV86" s="43" t="n"/>
      <c r="TBW86" s="43" t="n"/>
      <c r="TBX86" s="43" t="n"/>
      <c r="TBY86" s="43" t="n"/>
      <c r="TBZ86" s="43" t="n"/>
      <c r="TCA86" s="43" t="n"/>
      <c r="TCB86" s="43" t="n"/>
      <c r="TCC86" s="43" t="n"/>
      <c r="TCD86" s="43" t="n"/>
      <c r="TCE86" s="43" t="n"/>
      <c r="TCF86" s="43" t="n"/>
      <c r="TCG86" s="43" t="n"/>
      <c r="TCH86" s="43" t="n"/>
      <c r="TCI86" s="43" t="n"/>
      <c r="TCJ86" s="43" t="n"/>
      <c r="TCK86" s="43" t="n"/>
      <c r="TCL86" s="43" t="n"/>
      <c r="TCM86" s="43" t="n"/>
      <c r="TCN86" s="43" t="n"/>
      <c r="TCO86" s="43" t="n"/>
      <c r="TCP86" s="43" t="n"/>
      <c r="TCQ86" s="43" t="n"/>
      <c r="TCR86" s="43" t="n"/>
      <c r="TCS86" s="43" t="n"/>
      <c r="TCT86" s="43" t="n"/>
      <c r="TCU86" s="43" t="n"/>
      <c r="TCV86" s="43" t="n"/>
      <c r="TCW86" s="43" t="n"/>
      <c r="TCX86" s="43" t="n"/>
      <c r="TCY86" s="43" t="n"/>
      <c r="TCZ86" s="43" t="n"/>
      <c r="TDA86" s="43" t="n"/>
      <c r="TDB86" s="43" t="n"/>
      <c r="TDC86" s="43" t="n"/>
      <c r="TDD86" s="43" t="n"/>
      <c r="TDE86" s="43" t="n"/>
      <c r="TDF86" s="43" t="n"/>
      <c r="TDG86" s="43" t="n"/>
      <c r="TDH86" s="43" t="n"/>
      <c r="TDI86" s="43" t="n"/>
      <c r="TDJ86" s="43" t="n"/>
      <c r="TDK86" s="43" t="n"/>
      <c r="TDL86" s="43" t="n"/>
      <c r="TDM86" s="43" t="n"/>
      <c r="TDN86" s="43" t="n"/>
      <c r="TDO86" s="43" t="n"/>
      <c r="TDP86" s="43" t="n"/>
      <c r="TDQ86" s="43" t="n"/>
      <c r="TDR86" s="43" t="n"/>
      <c r="TDS86" s="43" t="n"/>
      <c r="TDT86" s="43" t="n"/>
      <c r="TDU86" s="43" t="n"/>
      <c r="TDV86" s="43" t="n"/>
      <c r="TDW86" s="43" t="n"/>
      <c r="TDX86" s="43" t="n"/>
      <c r="TDY86" s="43" t="n"/>
      <c r="TDZ86" s="43" t="n"/>
      <c r="TEA86" s="43" t="n"/>
      <c r="TEB86" s="43" t="n"/>
      <c r="TEC86" s="43" t="n"/>
      <c r="TED86" s="43" t="n"/>
      <c r="TEE86" s="43" t="n"/>
      <c r="TEF86" s="43" t="n"/>
      <c r="TEG86" s="43" t="n"/>
      <c r="TEH86" s="43" t="n"/>
      <c r="TEI86" s="43" t="n"/>
      <c r="TEJ86" s="43" t="n"/>
      <c r="TEK86" s="43" t="n"/>
      <c r="TEL86" s="43" t="n"/>
      <c r="TEM86" s="43" t="n"/>
      <c r="TEN86" s="43" t="n"/>
      <c r="TEO86" s="43" t="n"/>
      <c r="TEP86" s="43" t="n"/>
      <c r="TEQ86" s="43" t="n"/>
      <c r="TER86" s="43" t="n"/>
      <c r="TES86" s="43" t="n"/>
      <c r="TET86" s="43" t="n"/>
      <c r="TEU86" s="43" t="n"/>
      <c r="TEV86" s="43" t="n"/>
      <c r="TEW86" s="43" t="n"/>
      <c r="TEX86" s="43" t="n"/>
      <c r="TEY86" s="43" t="n"/>
      <c r="TEZ86" s="43" t="n"/>
      <c r="TFA86" s="43" t="n"/>
      <c r="TFB86" s="43" t="n"/>
      <c r="TFC86" s="43" t="n"/>
      <c r="TFD86" s="43" t="n"/>
      <c r="TFE86" s="43" t="n"/>
      <c r="TFF86" s="43" t="n"/>
      <c r="TFG86" s="43" t="n"/>
      <c r="TFH86" s="43" t="n"/>
      <c r="TFI86" s="43" t="n"/>
      <c r="TFJ86" s="43" t="n"/>
      <c r="TFK86" s="43" t="n"/>
      <c r="TFL86" s="43" t="n"/>
      <c r="TFM86" s="43" t="n"/>
      <c r="TFN86" s="43" t="n"/>
      <c r="TFO86" s="43" t="n"/>
      <c r="TFP86" s="43" t="n"/>
      <c r="TFQ86" s="43" t="n"/>
      <c r="TFR86" s="43" t="n"/>
      <c r="TFS86" s="43" t="n"/>
      <c r="TFT86" s="43" t="n"/>
      <c r="TFU86" s="43" t="n"/>
      <c r="TFV86" s="43" t="n"/>
      <c r="TFW86" s="43" t="n"/>
      <c r="TFX86" s="43" t="n"/>
      <c r="TFY86" s="43" t="n"/>
      <c r="TFZ86" s="43" t="n"/>
      <c r="TGA86" s="43" t="n"/>
      <c r="TGB86" s="43" t="n"/>
      <c r="TGC86" s="43" t="n"/>
      <c r="TGD86" s="43" t="n"/>
      <c r="TGE86" s="43" t="n"/>
      <c r="TGF86" s="43" t="n"/>
      <c r="TGG86" s="43" t="n"/>
      <c r="TGH86" s="43" t="n"/>
      <c r="TGI86" s="43" t="n"/>
      <c r="TGJ86" s="43" t="n"/>
      <c r="TGK86" s="43" t="n"/>
      <c r="TGL86" s="43" t="n"/>
      <c r="TGM86" s="43" t="n"/>
      <c r="TGN86" s="43" t="n"/>
      <c r="TGO86" s="43" t="n"/>
      <c r="TGP86" s="43" t="n"/>
      <c r="TGQ86" s="43" t="n"/>
      <c r="TGR86" s="43" t="n"/>
      <c r="TGS86" s="43" t="n"/>
      <c r="TGT86" s="43" t="n"/>
      <c r="TGU86" s="43" t="n"/>
      <c r="TGV86" s="43" t="n"/>
      <c r="TGW86" s="43" t="n"/>
      <c r="TGX86" s="43" t="n"/>
      <c r="TGY86" s="43" t="n"/>
      <c r="TGZ86" s="43" t="n"/>
      <c r="THA86" s="43" t="n"/>
      <c r="THB86" s="43" t="n"/>
      <c r="THC86" s="43" t="n"/>
      <c r="THD86" s="43" t="n"/>
      <c r="THE86" s="43" t="n"/>
      <c r="THF86" s="43" t="n"/>
      <c r="THG86" s="43" t="n"/>
      <c r="THH86" s="43" t="n"/>
      <c r="THI86" s="43" t="n"/>
      <c r="THJ86" s="43" t="n"/>
      <c r="THK86" s="43" t="n"/>
      <c r="THL86" s="43" t="n"/>
      <c r="THM86" s="43" t="n"/>
      <c r="THN86" s="43" t="n"/>
      <c r="THO86" s="43" t="n"/>
      <c r="THP86" s="43" t="n"/>
      <c r="THQ86" s="43" t="n"/>
      <c r="THR86" s="43" t="n"/>
      <c r="THS86" s="43" t="n"/>
      <c r="THT86" s="43" t="n"/>
      <c r="THU86" s="43" t="n"/>
      <c r="THV86" s="43" t="n"/>
      <c r="THW86" s="43" t="n"/>
      <c r="THX86" s="43" t="n"/>
      <c r="THY86" s="43" t="n"/>
      <c r="THZ86" s="43" t="n"/>
      <c r="TIA86" s="43" t="n"/>
      <c r="TIB86" s="43" t="n"/>
      <c r="TIC86" s="43" t="n"/>
      <c r="TID86" s="43" t="n"/>
      <c r="TIE86" s="43" t="n"/>
      <c r="TIF86" s="43" t="n"/>
      <c r="TIG86" s="43" t="n"/>
      <c r="TIH86" s="43" t="n"/>
      <c r="TII86" s="43" t="n"/>
      <c r="TIJ86" s="43" t="n"/>
      <c r="TIK86" s="43" t="n"/>
      <c r="TIL86" s="43" t="n"/>
      <c r="TIM86" s="43" t="n"/>
      <c r="TIN86" s="43" t="n"/>
      <c r="TIO86" s="43" t="n"/>
      <c r="TIP86" s="43" t="n"/>
      <c r="TIQ86" s="43" t="n"/>
      <c r="TIR86" s="43" t="n"/>
      <c r="TIS86" s="43" t="n"/>
      <c r="TIT86" s="43" t="n"/>
      <c r="TIU86" s="43" t="n"/>
      <c r="TIV86" s="43" t="n"/>
      <c r="TIW86" s="43" t="n"/>
      <c r="TIX86" s="43" t="n"/>
      <c r="TIY86" s="43" t="n"/>
      <c r="TIZ86" s="43" t="n"/>
      <c r="TJA86" s="43" t="n"/>
      <c r="TJB86" s="43" t="n"/>
      <c r="TJC86" s="43" t="n"/>
      <c r="TJD86" s="43" t="n"/>
      <c r="TJE86" s="43" t="n"/>
      <c r="TJF86" s="43" t="n"/>
      <c r="TJG86" s="43" t="n"/>
      <c r="TJH86" s="43" t="n"/>
      <c r="TJI86" s="43" t="n"/>
      <c r="TJJ86" s="43" t="n"/>
      <c r="TJK86" s="43" t="n"/>
      <c r="TJL86" s="43" t="n"/>
      <c r="TJM86" s="43" t="n"/>
      <c r="TJN86" s="43" t="n"/>
      <c r="TJO86" s="43" t="n"/>
      <c r="TJP86" s="43" t="n"/>
      <c r="TJQ86" s="43" t="n"/>
      <c r="TJR86" s="43" t="n"/>
      <c r="TJS86" s="43" t="n"/>
      <c r="TJT86" s="43" t="n"/>
      <c r="TJU86" s="43" t="n"/>
      <c r="TJV86" s="43" t="n"/>
      <c r="TJW86" s="43" t="n"/>
      <c r="TJX86" s="43" t="n"/>
      <c r="TJY86" s="43" t="n"/>
      <c r="TJZ86" s="43" t="n"/>
      <c r="TKA86" s="43" t="n"/>
      <c r="TKB86" s="43" t="n"/>
      <c r="TKC86" s="43" t="n"/>
      <c r="TKD86" s="43" t="n"/>
      <c r="TKE86" s="43" t="n"/>
      <c r="TKF86" s="43" t="n"/>
      <c r="TKG86" s="43" t="n"/>
      <c r="TKH86" s="43" t="n"/>
      <c r="TKI86" s="43" t="n"/>
      <c r="TKJ86" s="43" t="n"/>
      <c r="TKK86" s="43" t="n"/>
      <c r="TKL86" s="43" t="n"/>
      <c r="TKM86" s="43" t="n"/>
      <c r="TKN86" s="43" t="n"/>
      <c r="TKO86" s="43" t="n"/>
      <c r="TKP86" s="43" t="n"/>
      <c r="TKQ86" s="43" t="n"/>
      <c r="TKR86" s="43" t="n"/>
      <c r="TKS86" s="43" t="n"/>
      <c r="TKT86" s="43" t="n"/>
      <c r="TKU86" s="43" t="n"/>
      <c r="TKV86" s="43" t="n"/>
      <c r="TKW86" s="43" t="n"/>
      <c r="TKX86" s="43" t="n"/>
      <c r="TKY86" s="43" t="n"/>
      <c r="TKZ86" s="43" t="n"/>
      <c r="TLA86" s="43" t="n"/>
      <c r="TLB86" s="43" t="n"/>
      <c r="TLC86" s="43" t="n"/>
      <c r="TLD86" s="43" t="n"/>
      <c r="TLE86" s="43" t="n"/>
      <c r="TLF86" s="43" t="n"/>
      <c r="TLG86" s="43" t="n"/>
      <c r="TLH86" s="43" t="n"/>
      <c r="TLI86" s="43" t="n"/>
      <c r="TLJ86" s="43" t="n"/>
      <c r="TLK86" s="43" t="n"/>
      <c r="TLL86" s="43" t="n"/>
      <c r="TLM86" s="43" t="n"/>
      <c r="TLN86" s="43" t="n"/>
      <c r="TLO86" s="43" t="n"/>
      <c r="TLP86" s="43" t="n"/>
      <c r="TLQ86" s="43" t="n"/>
      <c r="TLR86" s="43" t="n"/>
      <c r="TLS86" s="43" t="n"/>
      <c r="TLT86" s="43" t="n"/>
      <c r="TLU86" s="43" t="n"/>
      <c r="TLV86" s="43" t="n"/>
      <c r="TLW86" s="43" t="n"/>
      <c r="TLX86" s="43" t="n"/>
      <c r="TLY86" s="43" t="n"/>
      <c r="TLZ86" s="43" t="n"/>
      <c r="TMA86" s="43" t="n"/>
      <c r="TMB86" s="43" t="n"/>
      <c r="TMC86" s="43" t="n"/>
      <c r="TMD86" s="43" t="n"/>
      <c r="TME86" s="43" t="n"/>
      <c r="TMF86" s="43" t="n"/>
      <c r="TMG86" s="43" t="n"/>
      <c r="TMH86" s="43" t="n"/>
      <c r="TMI86" s="43" t="n"/>
      <c r="TMJ86" s="43" t="n"/>
      <c r="TMK86" s="43" t="n"/>
      <c r="TML86" s="43" t="n"/>
      <c r="TMM86" s="43" t="n"/>
      <c r="TMN86" s="43" t="n"/>
      <c r="TMO86" s="43" t="n"/>
      <c r="TMP86" s="43" t="n"/>
      <c r="TMQ86" s="43" t="n"/>
      <c r="TMR86" s="43" t="n"/>
      <c r="TMS86" s="43" t="n"/>
      <c r="TMT86" s="43" t="n"/>
      <c r="TMU86" s="43" t="n"/>
      <c r="TMV86" s="43" t="n"/>
      <c r="TMW86" s="43" t="n"/>
      <c r="TMX86" s="43" t="n"/>
      <c r="TMY86" s="43" t="n"/>
      <c r="TMZ86" s="43" t="n"/>
      <c r="TNA86" s="43" t="n"/>
      <c r="TNB86" s="43" t="n"/>
      <c r="TNC86" s="43" t="n"/>
      <c r="TND86" s="43" t="n"/>
      <c r="TNE86" s="43" t="n"/>
      <c r="TNF86" s="43" t="n"/>
      <c r="TNG86" s="43" t="n"/>
      <c r="TNH86" s="43" t="n"/>
      <c r="TNI86" s="43" t="n"/>
      <c r="TNJ86" s="43" t="n"/>
      <c r="TNK86" s="43" t="n"/>
      <c r="TNL86" s="43" t="n"/>
      <c r="TNM86" s="43" t="n"/>
      <c r="TNN86" s="43" t="n"/>
      <c r="TNO86" s="43" t="n"/>
      <c r="TNP86" s="43" t="n"/>
      <c r="TNQ86" s="43" t="n"/>
      <c r="TNR86" s="43" t="n"/>
      <c r="TNS86" s="43" t="n"/>
      <c r="TNT86" s="43" t="n"/>
      <c r="TNU86" s="43" t="n"/>
      <c r="TNV86" s="43" t="n"/>
      <c r="TNW86" s="43" t="n"/>
      <c r="TNX86" s="43" t="n"/>
      <c r="TNY86" s="43" t="n"/>
      <c r="TNZ86" s="43" t="n"/>
      <c r="TOA86" s="43" t="n"/>
      <c r="TOB86" s="43" t="n"/>
      <c r="TOC86" s="43" t="n"/>
      <c r="TOD86" s="43" t="n"/>
      <c r="TOE86" s="43" t="n"/>
      <c r="TOF86" s="43" t="n"/>
      <c r="TOG86" s="43" t="n"/>
      <c r="TOH86" s="43" t="n"/>
      <c r="TOI86" s="43" t="n"/>
      <c r="TOJ86" s="43" t="n"/>
      <c r="TOK86" s="43" t="n"/>
      <c r="TOL86" s="43" t="n"/>
      <c r="TOM86" s="43" t="n"/>
      <c r="TON86" s="43" t="n"/>
      <c r="TOO86" s="43" t="n"/>
      <c r="TOP86" s="43" t="n"/>
      <c r="TOQ86" s="43" t="n"/>
      <c r="TOR86" s="43" t="n"/>
      <c r="TOS86" s="43" t="n"/>
      <c r="TOT86" s="43" t="n"/>
      <c r="TOU86" s="43" t="n"/>
      <c r="TOV86" s="43" t="n"/>
      <c r="TOW86" s="43" t="n"/>
      <c r="TOX86" s="43" t="n"/>
      <c r="TOY86" s="43" t="n"/>
      <c r="TOZ86" s="43" t="n"/>
      <c r="TPA86" s="43" t="n"/>
      <c r="TPB86" s="43" t="n"/>
      <c r="TPC86" s="43" t="n"/>
      <c r="TPD86" s="43" t="n"/>
      <c r="TPE86" s="43" t="n"/>
      <c r="TPF86" s="43" t="n"/>
      <c r="TPG86" s="43" t="n"/>
      <c r="TPH86" s="43" t="n"/>
      <c r="TPI86" s="43" t="n"/>
      <c r="TPJ86" s="43" t="n"/>
      <c r="TPK86" s="43" t="n"/>
      <c r="TPL86" s="43" t="n"/>
      <c r="TPM86" s="43" t="n"/>
      <c r="TPN86" s="43" t="n"/>
      <c r="TPO86" s="43" t="n"/>
      <c r="TPP86" s="43" t="n"/>
      <c r="TPQ86" s="43" t="n"/>
      <c r="TPR86" s="43" t="n"/>
      <c r="TPS86" s="43" t="n"/>
      <c r="TPT86" s="43" t="n"/>
      <c r="TPU86" s="43" t="n"/>
      <c r="TPV86" s="43" t="n"/>
      <c r="TPW86" s="43" t="n"/>
      <c r="TPX86" s="43" t="n"/>
      <c r="TPY86" s="43" t="n"/>
      <c r="TPZ86" s="43" t="n"/>
      <c r="TQA86" s="43" t="n"/>
      <c r="TQB86" s="43" t="n"/>
      <c r="TQC86" s="43" t="n"/>
      <c r="TQD86" s="43" t="n"/>
      <c r="TQE86" s="43" t="n"/>
      <c r="TQF86" s="43" t="n"/>
      <c r="TQG86" s="43" t="n"/>
      <c r="TQH86" s="43" t="n"/>
      <c r="TQI86" s="43" t="n"/>
      <c r="TQJ86" s="43" t="n"/>
      <c r="TQK86" s="43" t="n"/>
      <c r="TQL86" s="43" t="n"/>
      <c r="TQM86" s="43" t="n"/>
      <c r="TQN86" s="43" t="n"/>
      <c r="TQO86" s="43" t="n"/>
      <c r="TQP86" s="43" t="n"/>
      <c r="TQQ86" s="43" t="n"/>
      <c r="TQR86" s="43" t="n"/>
      <c r="TQS86" s="43" t="n"/>
      <c r="TQT86" s="43" t="n"/>
      <c r="TQU86" s="43" t="n"/>
      <c r="TQV86" s="43" t="n"/>
      <c r="TQW86" s="43" t="n"/>
      <c r="TQX86" s="43" t="n"/>
      <c r="TQY86" s="43" t="n"/>
      <c r="TQZ86" s="43" t="n"/>
      <c r="TRA86" s="43" t="n"/>
      <c r="TRB86" s="43" t="n"/>
      <c r="TRC86" s="43" t="n"/>
      <c r="TRD86" s="43" t="n"/>
      <c r="TRE86" s="43" t="n"/>
      <c r="TRF86" s="43" t="n"/>
      <c r="TRG86" s="43" t="n"/>
      <c r="TRH86" s="43" t="n"/>
      <c r="TRI86" s="43" t="n"/>
      <c r="TRJ86" s="43" t="n"/>
      <c r="TRK86" s="43" t="n"/>
      <c r="TRL86" s="43" t="n"/>
      <c r="TRM86" s="43" t="n"/>
      <c r="TRN86" s="43" t="n"/>
      <c r="TRO86" s="43" t="n"/>
      <c r="TRP86" s="43" t="n"/>
      <c r="TRQ86" s="43" t="n"/>
      <c r="TRR86" s="43" t="n"/>
      <c r="TRS86" s="43" t="n"/>
      <c r="TRT86" s="43" t="n"/>
      <c r="TRU86" s="43" t="n"/>
      <c r="TRV86" s="43" t="n"/>
      <c r="TRW86" s="43" t="n"/>
      <c r="TRX86" s="43" t="n"/>
      <c r="TRY86" s="43" t="n"/>
      <c r="TRZ86" s="43" t="n"/>
      <c r="TSA86" s="43" t="n"/>
      <c r="TSB86" s="43" t="n"/>
      <c r="TSC86" s="43" t="n"/>
      <c r="TSD86" s="43" t="n"/>
      <c r="TSE86" s="43" t="n"/>
      <c r="TSF86" s="43" t="n"/>
      <c r="TSG86" s="43" t="n"/>
      <c r="TSH86" s="43" t="n"/>
      <c r="TSI86" s="43" t="n"/>
      <c r="TSJ86" s="43" t="n"/>
      <c r="TSK86" s="43" t="n"/>
      <c r="TSL86" s="43" t="n"/>
      <c r="TSM86" s="43" t="n"/>
      <c r="TSN86" s="43" t="n"/>
      <c r="TSO86" s="43" t="n"/>
      <c r="TSP86" s="43" t="n"/>
      <c r="TSQ86" s="43" t="n"/>
      <c r="TSR86" s="43" t="n"/>
      <c r="TSS86" s="43" t="n"/>
      <c r="TST86" s="43" t="n"/>
      <c r="TSU86" s="43" t="n"/>
      <c r="TSV86" s="43" t="n"/>
      <c r="TSW86" s="43" t="n"/>
      <c r="TSX86" s="43" t="n"/>
      <c r="TSY86" s="43" t="n"/>
      <c r="TSZ86" s="43" t="n"/>
      <c r="TTA86" s="43" t="n"/>
      <c r="TTB86" s="43" t="n"/>
      <c r="TTC86" s="43" t="n"/>
      <c r="TTD86" s="43" t="n"/>
      <c r="TTE86" s="43" t="n"/>
      <c r="TTF86" s="43" t="n"/>
      <c r="TTG86" s="43" t="n"/>
      <c r="TTH86" s="43" t="n"/>
      <c r="TTI86" s="43" t="n"/>
      <c r="TTJ86" s="43" t="n"/>
      <c r="TTK86" s="43" t="n"/>
      <c r="TTL86" s="43" t="n"/>
      <c r="TTM86" s="43" t="n"/>
      <c r="TTN86" s="43" t="n"/>
      <c r="TTO86" s="43" t="n"/>
      <c r="TTP86" s="43" t="n"/>
      <c r="TTQ86" s="43" t="n"/>
      <c r="TTR86" s="43" t="n"/>
      <c r="TTS86" s="43" t="n"/>
      <c r="TTT86" s="43" t="n"/>
      <c r="TTU86" s="43" t="n"/>
      <c r="TTV86" s="43" t="n"/>
      <c r="TTW86" s="43" t="n"/>
      <c r="TTX86" s="43" t="n"/>
      <c r="TTY86" s="43" t="n"/>
      <c r="TTZ86" s="43" t="n"/>
      <c r="TUA86" s="43" t="n"/>
      <c r="TUB86" s="43" t="n"/>
      <c r="TUC86" s="43" t="n"/>
      <c r="TUD86" s="43" t="n"/>
      <c r="TUE86" s="43" t="n"/>
      <c r="TUF86" s="43" t="n"/>
      <c r="TUG86" s="43" t="n"/>
      <c r="TUH86" s="43" t="n"/>
      <c r="TUI86" s="43" t="n"/>
      <c r="TUJ86" s="43" t="n"/>
      <c r="TUK86" s="43" t="n"/>
      <c r="TUL86" s="43" t="n"/>
      <c r="TUM86" s="43" t="n"/>
      <c r="TUN86" s="43" t="n"/>
      <c r="TUO86" s="43" t="n"/>
      <c r="TUP86" s="43" t="n"/>
      <c r="TUQ86" s="43" t="n"/>
      <c r="TUR86" s="43" t="n"/>
      <c r="TUS86" s="43" t="n"/>
      <c r="TUT86" s="43" t="n"/>
      <c r="TUU86" s="43" t="n"/>
      <c r="TUV86" s="43" t="n"/>
      <c r="TUW86" s="43" t="n"/>
      <c r="TUX86" s="43" t="n"/>
      <c r="TUY86" s="43" t="n"/>
      <c r="TUZ86" s="43" t="n"/>
      <c r="TVA86" s="43" t="n"/>
      <c r="TVB86" s="43" t="n"/>
      <c r="TVC86" s="43" t="n"/>
      <c r="TVD86" s="43" t="n"/>
      <c r="TVE86" s="43" t="n"/>
      <c r="TVF86" s="43" t="n"/>
      <c r="TVG86" s="43" t="n"/>
      <c r="TVH86" s="43" t="n"/>
      <c r="TVI86" s="43" t="n"/>
      <c r="TVJ86" s="43" t="n"/>
      <c r="TVK86" s="43" t="n"/>
      <c r="TVL86" s="43" t="n"/>
      <c r="TVM86" s="43" t="n"/>
      <c r="TVN86" s="43" t="n"/>
      <c r="TVO86" s="43" t="n"/>
      <c r="TVP86" s="43" t="n"/>
      <c r="TVQ86" s="43" t="n"/>
      <c r="TVR86" s="43" t="n"/>
      <c r="TVS86" s="43" t="n"/>
      <c r="TVT86" s="43" t="n"/>
      <c r="TVU86" s="43" t="n"/>
      <c r="TVV86" s="43" t="n"/>
      <c r="TVW86" s="43" t="n"/>
      <c r="TVX86" s="43" t="n"/>
      <c r="TVY86" s="43" t="n"/>
      <c r="TVZ86" s="43" t="n"/>
      <c r="TWA86" s="43" t="n"/>
      <c r="TWB86" s="43" t="n"/>
      <c r="TWC86" s="43" t="n"/>
      <c r="TWD86" s="43" t="n"/>
      <c r="TWE86" s="43" t="n"/>
      <c r="TWF86" s="43" t="n"/>
      <c r="TWG86" s="43" t="n"/>
      <c r="TWH86" s="43" t="n"/>
      <c r="TWI86" s="43" t="n"/>
      <c r="TWJ86" s="43" t="n"/>
      <c r="TWK86" s="43" t="n"/>
      <c r="TWL86" s="43" t="n"/>
      <c r="TWM86" s="43" t="n"/>
      <c r="TWN86" s="43" t="n"/>
      <c r="TWO86" s="43" t="n"/>
      <c r="TWP86" s="43" t="n"/>
      <c r="TWQ86" s="43" t="n"/>
      <c r="TWR86" s="43" t="n"/>
      <c r="TWS86" s="43" t="n"/>
      <c r="TWT86" s="43" t="n"/>
      <c r="TWU86" s="43" t="n"/>
      <c r="TWV86" s="43" t="n"/>
      <c r="TWW86" s="43" t="n"/>
      <c r="TWX86" s="43" t="n"/>
      <c r="TWY86" s="43" t="n"/>
      <c r="TWZ86" s="43" t="n"/>
      <c r="TXA86" s="43" t="n"/>
      <c r="TXB86" s="43" t="n"/>
      <c r="TXC86" s="43" t="n"/>
      <c r="TXD86" s="43" t="n"/>
      <c r="TXE86" s="43" t="n"/>
      <c r="TXF86" s="43" t="n"/>
      <c r="TXG86" s="43" t="n"/>
      <c r="TXH86" s="43" t="n"/>
      <c r="TXI86" s="43" t="n"/>
      <c r="TXJ86" s="43" t="n"/>
      <c r="TXK86" s="43" t="n"/>
      <c r="TXL86" s="43" t="n"/>
      <c r="TXM86" s="43" t="n"/>
      <c r="TXN86" s="43" t="n"/>
      <c r="TXO86" s="43" t="n"/>
      <c r="TXP86" s="43" t="n"/>
      <c r="TXQ86" s="43" t="n"/>
      <c r="TXR86" s="43" t="n"/>
      <c r="TXS86" s="43" t="n"/>
      <c r="TXT86" s="43" t="n"/>
      <c r="TXU86" s="43" t="n"/>
      <c r="TXV86" s="43" t="n"/>
      <c r="TXW86" s="43" t="n"/>
      <c r="TXX86" s="43" t="n"/>
      <c r="TXY86" s="43" t="n"/>
      <c r="TXZ86" s="43" t="n"/>
      <c r="TYA86" s="43" t="n"/>
      <c r="TYB86" s="43" t="n"/>
      <c r="TYC86" s="43" t="n"/>
      <c r="TYD86" s="43" t="n"/>
      <c r="TYE86" s="43" t="n"/>
      <c r="TYF86" s="43" t="n"/>
      <c r="TYG86" s="43" t="n"/>
      <c r="TYH86" s="43" t="n"/>
      <c r="TYI86" s="43" t="n"/>
      <c r="TYJ86" s="43" t="n"/>
      <c r="TYK86" s="43" t="n"/>
      <c r="TYL86" s="43" t="n"/>
      <c r="TYM86" s="43" t="n"/>
      <c r="TYN86" s="43" t="n"/>
      <c r="TYO86" s="43" t="n"/>
      <c r="TYP86" s="43" t="n"/>
      <c r="TYQ86" s="43" t="n"/>
      <c r="TYR86" s="43" t="n"/>
      <c r="TYS86" s="43" t="n"/>
      <c r="TYT86" s="43" t="n"/>
      <c r="TYU86" s="43" t="n"/>
      <c r="TYV86" s="43" t="n"/>
      <c r="TYW86" s="43" t="n"/>
      <c r="TYX86" s="43" t="n"/>
      <c r="TYY86" s="43" t="n"/>
      <c r="TYZ86" s="43" t="n"/>
      <c r="TZA86" s="43" t="n"/>
      <c r="TZB86" s="43" t="n"/>
      <c r="TZC86" s="43" t="n"/>
      <c r="TZD86" s="43" t="n"/>
      <c r="TZE86" s="43" t="n"/>
      <c r="TZF86" s="43" t="n"/>
      <c r="TZG86" s="43" t="n"/>
      <c r="TZH86" s="43" t="n"/>
      <c r="TZI86" s="43" t="n"/>
      <c r="TZJ86" s="43" t="n"/>
      <c r="TZK86" s="43" t="n"/>
      <c r="TZL86" s="43" t="n"/>
      <c r="TZM86" s="43" t="n"/>
      <c r="TZN86" s="43" t="n"/>
      <c r="TZO86" s="43" t="n"/>
      <c r="TZP86" s="43" t="n"/>
      <c r="TZQ86" s="43" t="n"/>
      <c r="TZR86" s="43" t="n"/>
      <c r="TZS86" s="43" t="n"/>
      <c r="TZT86" s="43" t="n"/>
      <c r="TZU86" s="43" t="n"/>
      <c r="TZV86" s="43" t="n"/>
      <c r="TZW86" s="43" t="n"/>
      <c r="TZX86" s="43" t="n"/>
      <c r="TZY86" s="43" t="n"/>
      <c r="TZZ86" s="43" t="n"/>
      <c r="UAA86" s="43" t="n"/>
      <c r="UAB86" s="43" t="n"/>
      <c r="UAC86" s="43" t="n"/>
      <c r="UAD86" s="43" t="n"/>
      <c r="UAE86" s="43" t="n"/>
      <c r="UAF86" s="43" t="n"/>
      <c r="UAG86" s="43" t="n"/>
      <c r="UAH86" s="43" t="n"/>
      <c r="UAI86" s="43" t="n"/>
      <c r="UAJ86" s="43" t="n"/>
      <c r="UAK86" s="43" t="n"/>
      <c r="UAL86" s="43" t="n"/>
      <c r="UAM86" s="43" t="n"/>
      <c r="UAN86" s="43" t="n"/>
      <c r="UAO86" s="43" t="n"/>
      <c r="UAP86" s="43" t="n"/>
      <c r="UAQ86" s="43" t="n"/>
      <c r="UAR86" s="43" t="n"/>
      <c r="UAS86" s="43" t="n"/>
      <c r="UAT86" s="43" t="n"/>
      <c r="UAU86" s="43" t="n"/>
      <c r="UAV86" s="43" t="n"/>
      <c r="UAW86" s="43" t="n"/>
      <c r="UAX86" s="43" t="n"/>
      <c r="UAY86" s="43" t="n"/>
      <c r="UAZ86" s="43" t="n"/>
      <c r="UBA86" s="43" t="n"/>
      <c r="UBB86" s="43" t="n"/>
      <c r="UBC86" s="43" t="n"/>
      <c r="UBD86" s="43" t="n"/>
      <c r="UBE86" s="43" t="n"/>
      <c r="UBF86" s="43" t="n"/>
      <c r="UBG86" s="43" t="n"/>
      <c r="UBH86" s="43" t="n"/>
      <c r="UBI86" s="43" t="n"/>
      <c r="UBJ86" s="43" t="n"/>
      <c r="UBK86" s="43" t="n"/>
      <c r="UBL86" s="43" t="n"/>
      <c r="UBM86" s="43" t="n"/>
      <c r="UBN86" s="43" t="n"/>
      <c r="UBO86" s="43" t="n"/>
      <c r="UBP86" s="43" t="n"/>
      <c r="UBQ86" s="43" t="n"/>
      <c r="UBR86" s="43" t="n"/>
      <c r="UBS86" s="43" t="n"/>
      <c r="UBT86" s="43" t="n"/>
      <c r="UBU86" s="43" t="n"/>
      <c r="UBV86" s="43" t="n"/>
      <c r="UBW86" s="43" t="n"/>
      <c r="UBX86" s="43" t="n"/>
      <c r="UBY86" s="43" t="n"/>
      <c r="UBZ86" s="43" t="n"/>
      <c r="UCA86" s="43" t="n"/>
      <c r="UCB86" s="43" t="n"/>
      <c r="UCC86" s="43" t="n"/>
      <c r="UCD86" s="43" t="n"/>
      <c r="UCE86" s="43" t="n"/>
      <c r="UCF86" s="43" t="n"/>
      <c r="UCG86" s="43" t="n"/>
      <c r="UCH86" s="43" t="n"/>
      <c r="UCI86" s="43" t="n"/>
      <c r="UCJ86" s="43" t="n"/>
      <c r="UCK86" s="43" t="n"/>
      <c r="UCL86" s="43" t="n"/>
      <c r="UCM86" s="43" t="n"/>
      <c r="UCN86" s="43" t="n"/>
      <c r="UCO86" s="43" t="n"/>
      <c r="UCP86" s="43" t="n"/>
      <c r="UCQ86" s="43" t="n"/>
      <c r="UCR86" s="43" t="n"/>
      <c r="UCS86" s="43" t="n"/>
      <c r="UCT86" s="43" t="n"/>
      <c r="UCU86" s="43" t="n"/>
      <c r="UCV86" s="43" t="n"/>
      <c r="UCW86" s="43" t="n"/>
      <c r="UCX86" s="43" t="n"/>
      <c r="UCY86" s="43" t="n"/>
      <c r="UCZ86" s="43" t="n"/>
      <c r="UDA86" s="43" t="n"/>
      <c r="UDB86" s="43" t="n"/>
      <c r="UDC86" s="43" t="n"/>
      <c r="UDD86" s="43" t="n"/>
      <c r="UDE86" s="43" t="n"/>
      <c r="UDF86" s="43" t="n"/>
      <c r="UDG86" s="43" t="n"/>
      <c r="UDH86" s="43" t="n"/>
      <c r="UDI86" s="43" t="n"/>
      <c r="UDJ86" s="43" t="n"/>
      <c r="UDK86" s="43" t="n"/>
      <c r="UDL86" s="43" t="n"/>
      <c r="UDM86" s="43" t="n"/>
      <c r="UDN86" s="43" t="n"/>
      <c r="UDO86" s="43" t="n"/>
      <c r="UDP86" s="43" t="n"/>
      <c r="UDQ86" s="43" t="n"/>
      <c r="UDR86" s="43" t="n"/>
      <c r="UDS86" s="43" t="n"/>
      <c r="UDT86" s="43" t="n"/>
      <c r="UDU86" s="43" t="n"/>
      <c r="UDV86" s="43" t="n"/>
      <c r="UDW86" s="43" t="n"/>
      <c r="UDX86" s="43" t="n"/>
      <c r="UDY86" s="43" t="n"/>
      <c r="UDZ86" s="43" t="n"/>
      <c r="UEA86" s="43" t="n"/>
      <c r="UEB86" s="43" t="n"/>
      <c r="UEC86" s="43" t="n"/>
      <c r="UED86" s="43" t="n"/>
      <c r="UEE86" s="43" t="n"/>
      <c r="UEF86" s="43" t="n"/>
      <c r="UEG86" s="43" t="n"/>
      <c r="UEH86" s="43" t="n"/>
      <c r="UEI86" s="43" t="n"/>
      <c r="UEJ86" s="43" t="n"/>
      <c r="UEK86" s="43" t="n"/>
      <c r="UEL86" s="43" t="n"/>
      <c r="UEM86" s="43" t="n"/>
      <c r="UEN86" s="43" t="n"/>
      <c r="UEO86" s="43" t="n"/>
      <c r="UEP86" s="43" t="n"/>
      <c r="UEQ86" s="43" t="n"/>
      <c r="UER86" s="43" t="n"/>
      <c r="UES86" s="43" t="n"/>
      <c r="UET86" s="43" t="n"/>
      <c r="UEU86" s="43" t="n"/>
      <c r="UEV86" s="43" t="n"/>
      <c r="UEW86" s="43" t="n"/>
      <c r="UEX86" s="43" t="n"/>
      <c r="UEY86" s="43" t="n"/>
      <c r="UEZ86" s="43" t="n"/>
      <c r="UFA86" s="43" t="n"/>
      <c r="UFB86" s="43" t="n"/>
      <c r="UFC86" s="43" t="n"/>
      <c r="UFD86" s="43" t="n"/>
      <c r="UFE86" s="43" t="n"/>
      <c r="UFF86" s="43" t="n"/>
      <c r="UFG86" s="43" t="n"/>
      <c r="UFH86" s="43" t="n"/>
      <c r="UFI86" s="43" t="n"/>
      <c r="UFJ86" s="43" t="n"/>
      <c r="UFK86" s="43" t="n"/>
      <c r="UFL86" s="43" t="n"/>
      <c r="UFM86" s="43" t="n"/>
      <c r="UFN86" s="43" t="n"/>
      <c r="UFO86" s="43" t="n"/>
      <c r="UFP86" s="43" t="n"/>
      <c r="UFQ86" s="43" t="n"/>
      <c r="UFR86" s="43" t="n"/>
      <c r="UFS86" s="43" t="n"/>
      <c r="UFT86" s="43" t="n"/>
      <c r="UFU86" s="43" t="n"/>
      <c r="UFV86" s="43" t="n"/>
      <c r="UFW86" s="43" t="n"/>
      <c r="UFX86" s="43" t="n"/>
      <c r="UFY86" s="43" t="n"/>
      <c r="UFZ86" s="43" t="n"/>
      <c r="UGA86" s="43" t="n"/>
      <c r="UGB86" s="43" t="n"/>
      <c r="UGC86" s="43" t="n"/>
      <c r="UGD86" s="43" t="n"/>
      <c r="UGE86" s="43" t="n"/>
      <c r="UGF86" s="43" t="n"/>
      <c r="UGG86" s="43" t="n"/>
      <c r="UGH86" s="43" t="n"/>
      <c r="UGI86" s="43" t="n"/>
      <c r="UGJ86" s="43" t="n"/>
      <c r="UGK86" s="43" t="n"/>
      <c r="UGL86" s="43" t="n"/>
      <c r="UGM86" s="43" t="n"/>
      <c r="UGN86" s="43" t="n"/>
      <c r="UGO86" s="43" t="n"/>
      <c r="UGP86" s="43" t="n"/>
      <c r="UGQ86" s="43" t="n"/>
      <c r="UGR86" s="43" t="n"/>
      <c r="UGS86" s="43" t="n"/>
      <c r="UGT86" s="43" t="n"/>
      <c r="UGU86" s="43" t="n"/>
      <c r="UGV86" s="43" t="n"/>
      <c r="UGW86" s="43" t="n"/>
      <c r="UGX86" s="43" t="n"/>
      <c r="UGY86" s="43" t="n"/>
      <c r="UGZ86" s="43" t="n"/>
      <c r="UHA86" s="43" t="n"/>
      <c r="UHB86" s="43" t="n"/>
      <c r="UHC86" s="43" t="n"/>
      <c r="UHD86" s="43" t="n"/>
      <c r="UHE86" s="43" t="n"/>
      <c r="UHF86" s="43" t="n"/>
      <c r="UHG86" s="43" t="n"/>
      <c r="UHH86" s="43" t="n"/>
      <c r="UHI86" s="43" t="n"/>
      <c r="UHJ86" s="43" t="n"/>
      <c r="UHK86" s="43" t="n"/>
      <c r="UHL86" s="43" t="n"/>
      <c r="UHM86" s="43" t="n"/>
      <c r="UHN86" s="43" t="n"/>
      <c r="UHO86" s="43" t="n"/>
      <c r="UHP86" s="43" t="n"/>
      <c r="UHQ86" s="43" t="n"/>
      <c r="UHR86" s="43" t="n"/>
      <c r="UHS86" s="43" t="n"/>
      <c r="UHT86" s="43" t="n"/>
      <c r="UHU86" s="43" t="n"/>
      <c r="UHV86" s="43" t="n"/>
      <c r="UHW86" s="43" t="n"/>
      <c r="UHX86" s="43" t="n"/>
      <c r="UHY86" s="43" t="n"/>
      <c r="UHZ86" s="43" t="n"/>
      <c r="UIA86" s="43" t="n"/>
      <c r="UIB86" s="43" t="n"/>
      <c r="UIC86" s="43" t="n"/>
      <c r="UID86" s="43" t="n"/>
      <c r="UIE86" s="43" t="n"/>
      <c r="UIF86" s="43" t="n"/>
      <c r="UIG86" s="43" t="n"/>
      <c r="UIH86" s="43" t="n"/>
      <c r="UII86" s="43" t="n"/>
      <c r="UIJ86" s="43" t="n"/>
      <c r="UIK86" s="43" t="n"/>
      <c r="UIL86" s="43" t="n"/>
      <c r="UIM86" s="43" t="n"/>
      <c r="UIN86" s="43" t="n"/>
      <c r="UIO86" s="43" t="n"/>
      <c r="UIP86" s="43" t="n"/>
      <c r="UIQ86" s="43" t="n"/>
      <c r="UIR86" s="43" t="n"/>
      <c r="UIS86" s="43" t="n"/>
      <c r="UIT86" s="43" t="n"/>
      <c r="UIU86" s="43" t="n"/>
      <c r="UIV86" s="43" t="n"/>
      <c r="UIW86" s="43" t="n"/>
      <c r="UIX86" s="43" t="n"/>
      <c r="UIY86" s="43" t="n"/>
      <c r="UIZ86" s="43" t="n"/>
      <c r="UJA86" s="43" t="n"/>
      <c r="UJB86" s="43" t="n"/>
      <c r="UJC86" s="43" t="n"/>
      <c r="UJD86" s="43" t="n"/>
      <c r="UJE86" s="43" t="n"/>
      <c r="UJF86" s="43" t="n"/>
      <c r="UJG86" s="43" t="n"/>
      <c r="UJH86" s="43" t="n"/>
      <c r="UJI86" s="43" t="n"/>
      <c r="UJJ86" s="43" t="n"/>
      <c r="UJK86" s="43" t="n"/>
      <c r="UJL86" s="43" t="n"/>
      <c r="UJM86" s="43" t="n"/>
      <c r="UJN86" s="43" t="n"/>
      <c r="UJO86" s="43" t="n"/>
      <c r="UJP86" s="43" t="n"/>
      <c r="UJQ86" s="43" t="n"/>
      <c r="UJR86" s="43" t="n"/>
      <c r="UJS86" s="43" t="n"/>
      <c r="UJT86" s="43" t="n"/>
      <c r="UJU86" s="43" t="n"/>
      <c r="UJV86" s="43" t="n"/>
      <c r="UJW86" s="43" t="n"/>
      <c r="UJX86" s="43" t="n"/>
      <c r="UJY86" s="43" t="n"/>
      <c r="UJZ86" s="43" t="n"/>
      <c r="UKA86" s="43" t="n"/>
      <c r="UKB86" s="43" t="n"/>
      <c r="UKC86" s="43" t="n"/>
      <c r="UKD86" s="43" t="n"/>
      <c r="UKE86" s="43" t="n"/>
      <c r="UKF86" s="43" t="n"/>
      <c r="UKG86" s="43" t="n"/>
      <c r="UKH86" s="43" t="n"/>
      <c r="UKI86" s="43" t="n"/>
      <c r="UKJ86" s="43" t="n"/>
      <c r="UKK86" s="43" t="n"/>
      <c r="UKL86" s="43" t="n"/>
      <c r="UKM86" s="43" t="n"/>
      <c r="UKN86" s="43" t="n"/>
      <c r="UKO86" s="43" t="n"/>
      <c r="UKP86" s="43" t="n"/>
      <c r="UKQ86" s="43" t="n"/>
      <c r="UKR86" s="43" t="n"/>
      <c r="UKS86" s="43" t="n"/>
      <c r="UKT86" s="43" t="n"/>
      <c r="UKU86" s="43" t="n"/>
      <c r="UKV86" s="43" t="n"/>
      <c r="UKW86" s="43" t="n"/>
      <c r="UKX86" s="43" t="n"/>
      <c r="UKY86" s="43" t="n"/>
      <c r="UKZ86" s="43" t="n"/>
      <c r="ULA86" s="43" t="n"/>
      <c r="ULB86" s="43" t="n"/>
      <c r="ULC86" s="43" t="n"/>
      <c r="ULD86" s="43" t="n"/>
      <c r="ULE86" s="43" t="n"/>
      <c r="ULF86" s="43" t="n"/>
      <c r="ULG86" s="43" t="n"/>
      <c r="ULH86" s="43" t="n"/>
      <c r="ULI86" s="43" t="n"/>
      <c r="ULJ86" s="43" t="n"/>
      <c r="ULK86" s="43" t="n"/>
      <c r="ULL86" s="43" t="n"/>
      <c r="ULM86" s="43" t="n"/>
      <c r="ULN86" s="43" t="n"/>
      <c r="ULO86" s="43" t="n"/>
      <c r="ULP86" s="43" t="n"/>
      <c r="ULQ86" s="43" t="n"/>
      <c r="ULR86" s="43" t="n"/>
      <c r="ULS86" s="43" t="n"/>
      <c r="ULT86" s="43" t="n"/>
      <c r="ULU86" s="43" t="n"/>
      <c r="ULV86" s="43" t="n"/>
      <c r="ULW86" s="43" t="n"/>
      <c r="ULX86" s="43" t="n"/>
      <c r="ULY86" s="43" t="n"/>
      <c r="ULZ86" s="43" t="n"/>
      <c r="UMA86" s="43" t="n"/>
      <c r="UMB86" s="43" t="n"/>
      <c r="UMC86" s="43" t="n"/>
      <c r="UMD86" s="43" t="n"/>
      <c r="UME86" s="43" t="n"/>
      <c r="UMF86" s="43" t="n"/>
      <c r="UMG86" s="43" t="n"/>
      <c r="UMH86" s="43" t="n"/>
      <c r="UMI86" s="43" t="n"/>
      <c r="UMJ86" s="43" t="n"/>
      <c r="UMK86" s="43" t="n"/>
      <c r="UML86" s="43" t="n"/>
      <c r="UMM86" s="43" t="n"/>
      <c r="UMN86" s="43" t="n"/>
      <c r="UMO86" s="43" t="n"/>
      <c r="UMP86" s="43" t="n"/>
      <c r="UMQ86" s="43" t="n"/>
      <c r="UMR86" s="43" t="n"/>
      <c r="UMS86" s="43" t="n"/>
      <c r="UMT86" s="43" t="n"/>
      <c r="UMU86" s="43" t="n"/>
      <c r="UMV86" s="43" t="n"/>
      <c r="UMW86" s="43" t="n"/>
      <c r="UMX86" s="43" t="n"/>
      <c r="UMY86" s="43" t="n"/>
      <c r="UMZ86" s="43" t="n"/>
      <c r="UNA86" s="43" t="n"/>
      <c r="UNB86" s="43" t="n"/>
      <c r="UNC86" s="43" t="n"/>
      <c r="UND86" s="43" t="n"/>
      <c r="UNE86" s="43" t="n"/>
      <c r="UNF86" s="43" t="n"/>
      <c r="UNG86" s="43" t="n"/>
      <c r="UNH86" s="43" t="n"/>
      <c r="UNI86" s="43" t="n"/>
      <c r="UNJ86" s="43" t="n"/>
      <c r="UNK86" s="43" t="n"/>
      <c r="UNL86" s="43" t="n"/>
      <c r="UNM86" s="43" t="n"/>
      <c r="UNN86" s="43" t="n"/>
      <c r="UNO86" s="43" t="n"/>
      <c r="UNP86" s="43" t="n"/>
      <c r="UNQ86" s="43" t="n"/>
      <c r="UNR86" s="43" t="n"/>
      <c r="UNS86" s="43" t="n"/>
      <c r="UNT86" s="43" t="n"/>
      <c r="UNU86" s="43" t="n"/>
      <c r="UNV86" s="43" t="n"/>
      <c r="UNW86" s="43" t="n"/>
      <c r="UNX86" s="43" t="n"/>
      <c r="UNY86" s="43" t="n"/>
      <c r="UNZ86" s="43" t="n"/>
      <c r="UOA86" s="43" t="n"/>
      <c r="UOB86" s="43" t="n"/>
      <c r="UOC86" s="43" t="n"/>
      <c r="UOD86" s="43" t="n"/>
      <c r="UOE86" s="43" t="n"/>
      <c r="UOF86" s="43" t="n"/>
      <c r="UOG86" s="43" t="n"/>
      <c r="UOH86" s="43" t="n"/>
      <c r="UOI86" s="43" t="n"/>
      <c r="UOJ86" s="43" t="n"/>
      <c r="UOK86" s="43" t="n"/>
      <c r="UOL86" s="43" t="n"/>
      <c r="UOM86" s="43" t="n"/>
      <c r="UON86" s="43" t="n"/>
      <c r="UOO86" s="43" t="n"/>
      <c r="UOP86" s="43" t="n"/>
      <c r="UOQ86" s="43" t="n"/>
      <c r="UOR86" s="43" t="n"/>
      <c r="UOS86" s="43" t="n"/>
      <c r="UOT86" s="43" t="n"/>
      <c r="UOU86" s="43" t="n"/>
      <c r="UOV86" s="43" t="n"/>
      <c r="UOW86" s="43" t="n"/>
      <c r="UOX86" s="43" t="n"/>
      <c r="UOY86" s="43" t="n"/>
      <c r="UOZ86" s="43" t="n"/>
      <c r="UPA86" s="43" t="n"/>
      <c r="UPB86" s="43" t="n"/>
      <c r="UPC86" s="43" t="n"/>
      <c r="UPD86" s="43" t="n"/>
      <c r="UPE86" s="43" t="n"/>
      <c r="UPF86" s="43" t="n"/>
      <c r="UPG86" s="43" t="n"/>
      <c r="UPH86" s="43" t="n"/>
      <c r="UPI86" s="43" t="n"/>
      <c r="UPJ86" s="43" t="n"/>
      <c r="UPK86" s="43" t="n"/>
      <c r="UPL86" s="43" t="n"/>
      <c r="UPM86" s="43" t="n"/>
      <c r="UPN86" s="43" t="n"/>
      <c r="UPO86" s="43" t="n"/>
      <c r="UPP86" s="43" t="n"/>
      <c r="UPQ86" s="43" t="n"/>
      <c r="UPR86" s="43" t="n"/>
      <c r="UPS86" s="43" t="n"/>
      <c r="UPT86" s="43" t="n"/>
      <c r="UPU86" s="43" t="n"/>
      <c r="UPV86" s="43" t="n"/>
      <c r="UPW86" s="43" t="n"/>
      <c r="UPX86" s="43" t="n"/>
      <c r="UPY86" s="43" t="n"/>
      <c r="UPZ86" s="43" t="n"/>
      <c r="UQA86" s="43" t="n"/>
      <c r="UQB86" s="43" t="n"/>
      <c r="UQC86" s="43" t="n"/>
      <c r="UQD86" s="43" t="n"/>
      <c r="UQE86" s="43" t="n"/>
      <c r="UQF86" s="43" t="n"/>
      <c r="UQG86" s="43" t="n"/>
      <c r="UQH86" s="43" t="n"/>
      <c r="UQI86" s="43" t="n"/>
      <c r="UQJ86" s="43" t="n"/>
      <c r="UQK86" s="43" t="n"/>
      <c r="UQL86" s="43" t="n"/>
      <c r="UQM86" s="43" t="n"/>
      <c r="UQN86" s="43" t="n"/>
      <c r="UQO86" s="43" t="n"/>
      <c r="UQP86" s="43" t="n"/>
      <c r="UQQ86" s="43" t="n"/>
      <c r="UQR86" s="43" t="n"/>
      <c r="UQS86" s="43" t="n"/>
      <c r="UQT86" s="43" t="n"/>
      <c r="UQU86" s="43" t="n"/>
      <c r="UQV86" s="43" t="n"/>
      <c r="UQW86" s="43" t="n"/>
      <c r="UQX86" s="43" t="n"/>
      <c r="UQY86" s="43" t="n"/>
      <c r="UQZ86" s="43" t="n"/>
      <c r="URA86" s="43" t="n"/>
      <c r="URB86" s="43" t="n"/>
      <c r="URC86" s="43" t="n"/>
      <c r="URD86" s="43" t="n"/>
      <c r="URE86" s="43" t="n"/>
      <c r="URF86" s="43" t="n"/>
      <c r="URG86" s="43" t="n"/>
      <c r="URH86" s="43" t="n"/>
      <c r="URI86" s="43" t="n"/>
      <c r="URJ86" s="43" t="n"/>
      <c r="URK86" s="43" t="n"/>
      <c r="URL86" s="43" t="n"/>
      <c r="URM86" s="43" t="n"/>
      <c r="URN86" s="43" t="n"/>
      <c r="URO86" s="43" t="n"/>
      <c r="URP86" s="43" t="n"/>
      <c r="URQ86" s="43" t="n"/>
      <c r="URR86" s="43" t="n"/>
      <c r="URS86" s="43" t="n"/>
      <c r="URT86" s="43" t="n"/>
      <c r="URU86" s="43" t="n"/>
      <c r="URV86" s="43" t="n"/>
      <c r="URW86" s="43" t="n"/>
      <c r="URX86" s="43" t="n"/>
      <c r="URY86" s="43" t="n"/>
      <c r="URZ86" s="43" t="n"/>
      <c r="USA86" s="43" t="n"/>
      <c r="USB86" s="43" t="n"/>
      <c r="USC86" s="43" t="n"/>
      <c r="USD86" s="43" t="n"/>
      <c r="USE86" s="43" t="n"/>
      <c r="USF86" s="43" t="n"/>
      <c r="USG86" s="43" t="n"/>
      <c r="USH86" s="43" t="n"/>
      <c r="USI86" s="43" t="n"/>
      <c r="USJ86" s="43" t="n"/>
      <c r="USK86" s="43" t="n"/>
      <c r="USL86" s="43" t="n"/>
      <c r="USM86" s="43" t="n"/>
      <c r="USN86" s="43" t="n"/>
      <c r="USO86" s="43" t="n"/>
      <c r="USP86" s="43" t="n"/>
      <c r="USQ86" s="43" t="n"/>
      <c r="USR86" s="43" t="n"/>
      <c r="USS86" s="43" t="n"/>
      <c r="UST86" s="43" t="n"/>
      <c r="USU86" s="43" t="n"/>
      <c r="USV86" s="43" t="n"/>
      <c r="USW86" s="43" t="n"/>
      <c r="USX86" s="43" t="n"/>
      <c r="USY86" s="43" t="n"/>
      <c r="USZ86" s="43" t="n"/>
      <c r="UTA86" s="43" t="n"/>
      <c r="UTB86" s="43" t="n"/>
      <c r="UTC86" s="43" t="n"/>
      <c r="UTD86" s="43" t="n"/>
      <c r="UTE86" s="43" t="n"/>
      <c r="UTF86" s="43" t="n"/>
      <c r="UTG86" s="43" t="n"/>
      <c r="UTH86" s="43" t="n"/>
      <c r="UTI86" s="43" t="n"/>
      <c r="UTJ86" s="43" t="n"/>
      <c r="UTK86" s="43" t="n"/>
      <c r="UTL86" s="43" t="n"/>
      <c r="UTM86" s="43" t="n"/>
      <c r="UTN86" s="43" t="n"/>
      <c r="UTO86" s="43" t="n"/>
      <c r="UTP86" s="43" t="n"/>
      <c r="UTQ86" s="43" t="n"/>
      <c r="UTR86" s="43" t="n"/>
      <c r="UTS86" s="43" t="n"/>
      <c r="UTT86" s="43" t="n"/>
      <c r="UTU86" s="43" t="n"/>
      <c r="UTV86" s="43" t="n"/>
      <c r="UTW86" s="43" t="n"/>
      <c r="UTX86" s="43" t="n"/>
      <c r="UTY86" s="43" t="n"/>
      <c r="UTZ86" s="43" t="n"/>
      <c r="UUA86" s="43" t="n"/>
      <c r="UUB86" s="43" t="n"/>
      <c r="UUC86" s="43" t="n"/>
      <c r="UUD86" s="43" t="n"/>
      <c r="UUE86" s="43" t="n"/>
      <c r="UUF86" s="43" t="n"/>
      <c r="UUG86" s="43" t="n"/>
      <c r="UUH86" s="43" t="n"/>
      <c r="UUI86" s="43" t="n"/>
      <c r="UUJ86" s="43" t="n"/>
      <c r="UUK86" s="43" t="n"/>
      <c r="UUL86" s="43" t="n"/>
      <c r="UUM86" s="43" t="n"/>
      <c r="UUN86" s="43" t="n"/>
      <c r="UUO86" s="43" t="n"/>
      <c r="UUP86" s="43" t="n"/>
      <c r="UUQ86" s="43" t="n"/>
      <c r="UUR86" s="43" t="n"/>
      <c r="UUS86" s="43" t="n"/>
      <c r="UUT86" s="43" t="n"/>
      <c r="UUU86" s="43" t="n"/>
      <c r="UUV86" s="43" t="n"/>
      <c r="UUW86" s="43" t="n"/>
      <c r="UUX86" s="43" t="n"/>
      <c r="UUY86" s="43" t="n"/>
      <c r="UUZ86" s="43" t="n"/>
      <c r="UVA86" s="43" t="n"/>
      <c r="UVB86" s="43" t="n"/>
      <c r="UVC86" s="43" t="n"/>
      <c r="UVD86" s="43" t="n"/>
      <c r="UVE86" s="43" t="n"/>
      <c r="UVF86" s="43" t="n"/>
      <c r="UVG86" s="43" t="n"/>
      <c r="UVH86" s="43" t="n"/>
      <c r="UVI86" s="43" t="n"/>
      <c r="UVJ86" s="43" t="n"/>
      <c r="UVK86" s="43" t="n"/>
      <c r="UVL86" s="43" t="n"/>
      <c r="UVM86" s="43" t="n"/>
      <c r="UVN86" s="43" t="n"/>
      <c r="UVO86" s="43" t="n"/>
      <c r="UVP86" s="43" t="n"/>
      <c r="UVQ86" s="43" t="n"/>
      <c r="UVR86" s="43" t="n"/>
      <c r="UVS86" s="43" t="n"/>
      <c r="UVT86" s="43" t="n"/>
      <c r="UVU86" s="43" t="n"/>
      <c r="UVV86" s="43" t="n"/>
      <c r="UVW86" s="43" t="n"/>
      <c r="UVX86" s="43" t="n"/>
      <c r="UVY86" s="43" t="n"/>
      <c r="UVZ86" s="43" t="n"/>
      <c r="UWA86" s="43" t="n"/>
      <c r="UWB86" s="43" t="n"/>
      <c r="UWC86" s="43" t="n"/>
      <c r="UWD86" s="43" t="n"/>
      <c r="UWE86" s="43" t="n"/>
      <c r="UWF86" s="43" t="n"/>
      <c r="UWG86" s="43" t="n"/>
      <c r="UWH86" s="43" t="n"/>
      <c r="UWI86" s="43" t="n"/>
      <c r="UWJ86" s="43" t="n"/>
      <c r="UWK86" s="43" t="n"/>
      <c r="UWL86" s="43" t="n"/>
      <c r="UWM86" s="43" t="n"/>
      <c r="UWN86" s="43" t="n"/>
      <c r="UWO86" s="43" t="n"/>
      <c r="UWP86" s="43" t="n"/>
      <c r="UWQ86" s="43" t="n"/>
      <c r="UWR86" s="43" t="n"/>
      <c r="UWS86" s="43" t="n"/>
      <c r="UWT86" s="43" t="n"/>
      <c r="UWU86" s="43" t="n"/>
      <c r="UWV86" s="43" t="n"/>
      <c r="UWW86" s="43" t="n"/>
      <c r="UWX86" s="43" t="n"/>
      <c r="UWY86" s="43" t="n"/>
      <c r="UWZ86" s="43" t="n"/>
      <c r="UXA86" s="43" t="n"/>
      <c r="UXB86" s="43" t="n"/>
      <c r="UXC86" s="43" t="n"/>
      <c r="UXD86" s="43" t="n"/>
      <c r="UXE86" s="43" t="n"/>
      <c r="UXF86" s="43" t="n"/>
      <c r="UXG86" s="43" t="n"/>
      <c r="UXH86" s="43" t="n"/>
      <c r="UXI86" s="43" t="n"/>
      <c r="UXJ86" s="43" t="n"/>
      <c r="UXK86" s="43" t="n"/>
      <c r="UXL86" s="43" t="n"/>
      <c r="UXM86" s="43" t="n"/>
      <c r="UXN86" s="43" t="n"/>
      <c r="UXO86" s="43" t="n"/>
      <c r="UXP86" s="43" t="n"/>
      <c r="UXQ86" s="43" t="n"/>
      <c r="UXR86" s="43" t="n"/>
      <c r="UXS86" s="43" t="n"/>
      <c r="UXT86" s="43" t="n"/>
      <c r="UXU86" s="43" t="n"/>
      <c r="UXV86" s="43" t="n"/>
      <c r="UXW86" s="43" t="n"/>
      <c r="UXX86" s="43" t="n"/>
      <c r="UXY86" s="43" t="n"/>
      <c r="UXZ86" s="43" t="n"/>
      <c r="UYA86" s="43" t="n"/>
      <c r="UYB86" s="43" t="n"/>
      <c r="UYC86" s="43" t="n"/>
      <c r="UYD86" s="43" t="n"/>
      <c r="UYE86" s="43" t="n"/>
      <c r="UYF86" s="43" t="n"/>
      <c r="UYG86" s="43" t="n"/>
      <c r="UYH86" s="43" t="n"/>
      <c r="UYI86" s="43" t="n"/>
      <c r="UYJ86" s="43" t="n"/>
      <c r="UYK86" s="43" t="n"/>
      <c r="UYL86" s="43" t="n"/>
      <c r="UYM86" s="43" t="n"/>
      <c r="UYN86" s="43" t="n"/>
      <c r="UYO86" s="43" t="n"/>
      <c r="UYP86" s="43" t="n"/>
      <c r="UYQ86" s="43" t="n"/>
      <c r="UYR86" s="43" t="n"/>
      <c r="UYS86" s="43" t="n"/>
      <c r="UYT86" s="43" t="n"/>
      <c r="UYU86" s="43" t="n"/>
      <c r="UYV86" s="43" t="n"/>
      <c r="UYW86" s="43" t="n"/>
      <c r="UYX86" s="43" t="n"/>
      <c r="UYY86" s="43" t="n"/>
      <c r="UYZ86" s="43" t="n"/>
      <c r="UZA86" s="43" t="n"/>
      <c r="UZB86" s="43" t="n"/>
      <c r="UZC86" s="43" t="n"/>
      <c r="UZD86" s="43" t="n"/>
      <c r="UZE86" s="43" t="n"/>
      <c r="UZF86" s="43" t="n"/>
      <c r="UZG86" s="43" t="n"/>
      <c r="UZH86" s="43" t="n"/>
      <c r="UZI86" s="43" t="n"/>
      <c r="UZJ86" s="43" t="n"/>
      <c r="UZK86" s="43" t="n"/>
      <c r="UZL86" s="43" t="n"/>
      <c r="UZM86" s="43" t="n"/>
      <c r="UZN86" s="43" t="n"/>
      <c r="UZO86" s="43" t="n"/>
      <c r="UZP86" s="43" t="n"/>
      <c r="UZQ86" s="43" t="n"/>
      <c r="UZR86" s="43" t="n"/>
      <c r="UZS86" s="43" t="n"/>
      <c r="UZT86" s="43" t="n"/>
      <c r="UZU86" s="43" t="n"/>
      <c r="UZV86" s="43" t="n"/>
      <c r="UZW86" s="43" t="n"/>
      <c r="UZX86" s="43" t="n"/>
      <c r="UZY86" s="43" t="n"/>
      <c r="UZZ86" s="43" t="n"/>
      <c r="VAA86" s="43" t="n"/>
      <c r="VAB86" s="43" t="n"/>
      <c r="VAC86" s="43" t="n"/>
      <c r="VAD86" s="43" t="n"/>
      <c r="VAE86" s="43" t="n"/>
      <c r="VAF86" s="43" t="n"/>
      <c r="VAG86" s="43" t="n"/>
      <c r="VAH86" s="43" t="n"/>
      <c r="VAI86" s="43" t="n"/>
      <c r="VAJ86" s="43" t="n"/>
      <c r="VAK86" s="43" t="n"/>
      <c r="VAL86" s="43" t="n"/>
      <c r="VAM86" s="43" t="n"/>
      <c r="VAN86" s="43" t="n"/>
      <c r="VAO86" s="43" t="n"/>
      <c r="VAP86" s="43" t="n"/>
      <c r="VAQ86" s="43" t="n"/>
      <c r="VAR86" s="43" t="n"/>
      <c r="VAS86" s="43" t="n"/>
      <c r="VAT86" s="43" t="n"/>
      <c r="VAU86" s="43" t="n"/>
      <c r="VAV86" s="43" t="n"/>
      <c r="VAW86" s="43" t="n"/>
      <c r="VAX86" s="43" t="n"/>
      <c r="VAY86" s="43" t="n"/>
      <c r="VAZ86" s="43" t="n"/>
      <c r="VBA86" s="43" t="n"/>
      <c r="VBB86" s="43" t="n"/>
      <c r="VBC86" s="43" t="n"/>
      <c r="VBD86" s="43" t="n"/>
      <c r="VBE86" s="43" t="n"/>
      <c r="VBF86" s="43" t="n"/>
      <c r="VBG86" s="43" t="n"/>
      <c r="VBH86" s="43" t="n"/>
      <c r="VBI86" s="43" t="n"/>
      <c r="VBJ86" s="43" t="n"/>
      <c r="VBK86" s="43" t="n"/>
      <c r="VBL86" s="43" t="n"/>
      <c r="VBM86" s="43" t="n"/>
      <c r="VBN86" s="43" t="n"/>
      <c r="VBO86" s="43" t="n"/>
      <c r="VBP86" s="43" t="n"/>
      <c r="VBQ86" s="43" t="n"/>
      <c r="VBR86" s="43" t="n"/>
      <c r="VBS86" s="43" t="n"/>
      <c r="VBT86" s="43" t="n"/>
      <c r="VBU86" s="43" t="n"/>
      <c r="VBV86" s="43" t="n"/>
      <c r="VBW86" s="43" t="n"/>
      <c r="VBX86" s="43" t="n"/>
      <c r="VBY86" s="43" t="n"/>
      <c r="VBZ86" s="43" t="n"/>
      <c r="VCA86" s="43" t="n"/>
      <c r="VCB86" s="43" t="n"/>
      <c r="VCC86" s="43" t="n"/>
      <c r="VCD86" s="43" t="n"/>
      <c r="VCE86" s="43" t="n"/>
      <c r="VCF86" s="43" t="n"/>
      <c r="VCG86" s="43" t="n"/>
      <c r="VCH86" s="43" t="n"/>
      <c r="VCI86" s="43" t="n"/>
      <c r="VCJ86" s="43" t="n"/>
      <c r="VCK86" s="43" t="n"/>
      <c r="VCL86" s="43" t="n"/>
      <c r="VCM86" s="43" t="n"/>
      <c r="VCN86" s="43" t="n"/>
      <c r="VCO86" s="43" t="n"/>
      <c r="VCP86" s="43" t="n"/>
      <c r="VCQ86" s="43" t="n"/>
      <c r="VCR86" s="43" t="n"/>
      <c r="VCS86" s="43" t="n"/>
      <c r="VCT86" s="43" t="n"/>
      <c r="VCU86" s="43" t="n"/>
      <c r="VCV86" s="43" t="n"/>
      <c r="VCW86" s="43" t="n"/>
      <c r="VCX86" s="43" t="n"/>
      <c r="VCY86" s="43" t="n"/>
      <c r="VCZ86" s="43" t="n"/>
      <c r="VDA86" s="43" t="n"/>
      <c r="VDB86" s="43" t="n"/>
      <c r="VDC86" s="43" t="n"/>
      <c r="VDD86" s="43" t="n"/>
      <c r="VDE86" s="43" t="n"/>
      <c r="VDF86" s="43" t="n"/>
      <c r="VDG86" s="43" t="n"/>
      <c r="VDH86" s="43" t="n"/>
      <c r="VDI86" s="43" t="n"/>
      <c r="VDJ86" s="43" t="n"/>
      <c r="VDK86" s="43" t="n"/>
      <c r="VDL86" s="43" t="n"/>
      <c r="VDM86" s="43" t="n"/>
      <c r="VDN86" s="43" t="n"/>
      <c r="VDO86" s="43" t="n"/>
      <c r="VDP86" s="43" t="n"/>
      <c r="VDQ86" s="43" t="n"/>
      <c r="VDR86" s="43" t="n"/>
      <c r="VDS86" s="43" t="n"/>
      <c r="VDT86" s="43" t="n"/>
      <c r="VDU86" s="43" t="n"/>
      <c r="VDV86" s="43" t="n"/>
      <c r="VDW86" s="43" t="n"/>
      <c r="VDX86" s="43" t="n"/>
      <c r="VDY86" s="43" t="n"/>
      <c r="VDZ86" s="43" t="n"/>
      <c r="VEA86" s="43" t="n"/>
      <c r="VEB86" s="43" t="n"/>
      <c r="VEC86" s="43" t="n"/>
      <c r="VED86" s="43" t="n"/>
      <c r="VEE86" s="43" t="n"/>
      <c r="VEF86" s="43" t="n"/>
      <c r="VEG86" s="43" t="n"/>
      <c r="VEH86" s="43" t="n"/>
      <c r="VEI86" s="43" t="n"/>
      <c r="VEJ86" s="43" t="n"/>
      <c r="VEK86" s="43" t="n"/>
      <c r="VEL86" s="43" t="n"/>
      <c r="VEM86" s="43" t="n"/>
      <c r="VEN86" s="43" t="n"/>
      <c r="VEO86" s="43" t="n"/>
      <c r="VEP86" s="43" t="n"/>
      <c r="VEQ86" s="43" t="n"/>
      <c r="VER86" s="43" t="n"/>
      <c r="VES86" s="43" t="n"/>
      <c r="VET86" s="43" t="n"/>
      <c r="VEU86" s="43" t="n"/>
      <c r="VEV86" s="43" t="n"/>
      <c r="VEW86" s="43" t="n"/>
      <c r="VEX86" s="43" t="n"/>
      <c r="VEY86" s="43" t="n"/>
      <c r="VEZ86" s="43" t="n"/>
      <c r="VFA86" s="43" t="n"/>
      <c r="VFB86" s="43" t="n"/>
      <c r="VFC86" s="43" t="n"/>
      <c r="VFD86" s="43" t="n"/>
      <c r="VFE86" s="43" t="n"/>
      <c r="VFF86" s="43" t="n"/>
      <c r="VFG86" s="43" t="n"/>
      <c r="VFH86" s="43" t="n"/>
      <c r="VFI86" s="43" t="n"/>
      <c r="VFJ86" s="43" t="n"/>
      <c r="VFK86" s="43" t="n"/>
      <c r="VFL86" s="43" t="n"/>
      <c r="VFM86" s="43" t="n"/>
      <c r="VFN86" s="43" t="n"/>
      <c r="VFO86" s="43" t="n"/>
      <c r="VFP86" s="43" t="n"/>
      <c r="VFQ86" s="43" t="n"/>
      <c r="VFR86" s="43" t="n"/>
      <c r="VFS86" s="43" t="n"/>
      <c r="VFT86" s="43" t="n"/>
      <c r="VFU86" s="43" t="n"/>
      <c r="VFV86" s="43" t="n"/>
      <c r="VFW86" s="43" t="n"/>
      <c r="VFX86" s="43" t="n"/>
      <c r="VFY86" s="43" t="n"/>
      <c r="VFZ86" s="43" t="n"/>
      <c r="VGA86" s="43" t="n"/>
      <c r="VGB86" s="43" t="n"/>
      <c r="VGC86" s="43" t="n"/>
      <c r="VGD86" s="43" t="n"/>
      <c r="VGE86" s="43" t="n"/>
      <c r="VGF86" s="43" t="n"/>
      <c r="VGG86" s="43" t="n"/>
      <c r="VGH86" s="43" t="n"/>
      <c r="VGI86" s="43" t="n"/>
      <c r="VGJ86" s="43" t="n"/>
      <c r="VGK86" s="43" t="n"/>
      <c r="VGL86" s="43" t="n"/>
      <c r="VGM86" s="43" t="n"/>
      <c r="VGN86" s="43" t="n"/>
      <c r="VGO86" s="43" t="n"/>
      <c r="VGP86" s="43" t="n"/>
      <c r="VGQ86" s="43" t="n"/>
      <c r="VGR86" s="43" t="n"/>
      <c r="VGS86" s="43" t="n"/>
      <c r="VGT86" s="43" t="n"/>
      <c r="VGU86" s="43" t="n"/>
      <c r="VGV86" s="43" t="n"/>
      <c r="VGW86" s="43" t="n"/>
      <c r="VGX86" s="43" t="n"/>
      <c r="VGY86" s="43" t="n"/>
      <c r="VGZ86" s="43" t="n"/>
      <c r="VHA86" s="43" t="n"/>
      <c r="VHB86" s="43" t="n"/>
      <c r="VHC86" s="43" t="n"/>
      <c r="VHD86" s="43" t="n"/>
      <c r="VHE86" s="43" t="n"/>
      <c r="VHF86" s="43" t="n"/>
      <c r="VHG86" s="43" t="n"/>
      <c r="VHH86" s="43" t="n"/>
      <c r="VHI86" s="43" t="n"/>
      <c r="VHJ86" s="43" t="n"/>
      <c r="VHK86" s="43" t="n"/>
      <c r="VHL86" s="43" t="n"/>
      <c r="VHM86" s="43" t="n"/>
      <c r="VHN86" s="43" t="n"/>
      <c r="VHO86" s="43" t="n"/>
      <c r="VHP86" s="43" t="n"/>
      <c r="VHQ86" s="43" t="n"/>
      <c r="VHR86" s="43" t="n"/>
      <c r="VHS86" s="43" t="n"/>
      <c r="VHT86" s="43" t="n"/>
      <c r="VHU86" s="43" t="n"/>
      <c r="VHV86" s="43" t="n"/>
      <c r="VHW86" s="43" t="n"/>
      <c r="VHX86" s="43" t="n"/>
      <c r="VHY86" s="43" t="n"/>
      <c r="VHZ86" s="43" t="n"/>
      <c r="VIA86" s="43" t="n"/>
      <c r="VIB86" s="43" t="n"/>
      <c r="VIC86" s="43" t="n"/>
      <c r="VID86" s="43" t="n"/>
      <c r="VIE86" s="43" t="n"/>
      <c r="VIF86" s="43" t="n"/>
      <c r="VIG86" s="43" t="n"/>
      <c r="VIH86" s="43" t="n"/>
      <c r="VII86" s="43" t="n"/>
      <c r="VIJ86" s="43" t="n"/>
      <c r="VIK86" s="43" t="n"/>
      <c r="VIL86" s="43" t="n"/>
      <c r="VIM86" s="43" t="n"/>
      <c r="VIN86" s="43" t="n"/>
      <c r="VIO86" s="43" t="n"/>
      <c r="VIP86" s="43" t="n"/>
      <c r="VIQ86" s="43" t="n"/>
      <c r="VIR86" s="43" t="n"/>
      <c r="VIS86" s="43" t="n"/>
      <c r="VIT86" s="43" t="n"/>
      <c r="VIU86" s="43" t="n"/>
      <c r="VIV86" s="43" t="n"/>
      <c r="VIW86" s="43" t="n"/>
      <c r="VIX86" s="43" t="n"/>
      <c r="VIY86" s="43" t="n"/>
      <c r="VIZ86" s="43" t="n"/>
      <c r="VJA86" s="43" t="n"/>
      <c r="VJB86" s="43" t="n"/>
      <c r="VJC86" s="43" t="n"/>
      <c r="VJD86" s="43" t="n"/>
      <c r="VJE86" s="43" t="n"/>
      <c r="VJF86" s="43" t="n"/>
      <c r="VJG86" s="43" t="n"/>
      <c r="VJH86" s="43" t="n"/>
      <c r="VJI86" s="43" t="n"/>
      <c r="VJJ86" s="43" t="n"/>
      <c r="VJK86" s="43" t="n"/>
      <c r="VJL86" s="43" t="n"/>
      <c r="VJM86" s="43" t="n"/>
      <c r="VJN86" s="43" t="n"/>
      <c r="VJO86" s="43" t="n"/>
      <c r="VJP86" s="43" t="n"/>
      <c r="VJQ86" s="43" t="n"/>
      <c r="VJR86" s="43" t="n"/>
      <c r="VJS86" s="43" t="n"/>
      <c r="VJT86" s="43" t="n"/>
      <c r="VJU86" s="43" t="n"/>
      <c r="VJV86" s="43" t="n"/>
      <c r="VJW86" s="43" t="n"/>
      <c r="VJX86" s="43" t="n"/>
      <c r="VJY86" s="43" t="n"/>
      <c r="VJZ86" s="43" t="n"/>
      <c r="VKA86" s="43" t="n"/>
      <c r="VKB86" s="43" t="n"/>
      <c r="VKC86" s="43" t="n"/>
      <c r="VKD86" s="43" t="n"/>
      <c r="VKE86" s="43" t="n"/>
      <c r="VKF86" s="43" t="n"/>
      <c r="VKG86" s="43" t="n"/>
      <c r="VKH86" s="43" t="n"/>
      <c r="VKI86" s="43" t="n"/>
      <c r="VKJ86" s="43" t="n"/>
      <c r="VKK86" s="43" t="n"/>
      <c r="VKL86" s="43" t="n"/>
      <c r="VKM86" s="43" t="n"/>
      <c r="VKN86" s="43" t="n"/>
      <c r="VKO86" s="43" t="n"/>
      <c r="VKP86" s="43" t="n"/>
      <c r="VKQ86" s="43" t="n"/>
      <c r="VKR86" s="43" t="n"/>
      <c r="VKS86" s="43" t="n"/>
      <c r="VKT86" s="43" t="n"/>
      <c r="VKU86" s="43" t="n"/>
      <c r="VKV86" s="43" t="n"/>
      <c r="VKW86" s="43" t="n"/>
      <c r="VKX86" s="43" t="n"/>
      <c r="VKY86" s="43" t="n"/>
      <c r="VKZ86" s="43" t="n"/>
      <c r="VLA86" s="43" t="n"/>
      <c r="VLB86" s="43" t="n"/>
      <c r="VLC86" s="43" t="n"/>
      <c r="VLD86" s="43" t="n"/>
      <c r="VLE86" s="43" t="n"/>
      <c r="VLF86" s="43" t="n"/>
      <c r="VLG86" s="43" t="n"/>
      <c r="VLH86" s="43" t="n"/>
      <c r="VLI86" s="43" t="n"/>
      <c r="VLJ86" s="43" t="n"/>
      <c r="VLK86" s="43" t="n"/>
      <c r="VLL86" s="43" t="n"/>
      <c r="VLM86" s="43" t="n"/>
      <c r="VLN86" s="43" t="n"/>
      <c r="VLO86" s="43" t="n"/>
      <c r="VLP86" s="43" t="n"/>
      <c r="VLQ86" s="43" t="n"/>
      <c r="VLR86" s="43" t="n"/>
      <c r="VLS86" s="43" t="n"/>
      <c r="VLT86" s="43" t="n"/>
      <c r="VLU86" s="43" t="n"/>
      <c r="VLV86" s="43" t="n"/>
      <c r="VLW86" s="43" t="n"/>
      <c r="VLX86" s="43" t="n"/>
      <c r="VLY86" s="43" t="n"/>
      <c r="VLZ86" s="43" t="n"/>
      <c r="VMA86" s="43" t="n"/>
      <c r="VMB86" s="43" t="n"/>
      <c r="VMC86" s="43" t="n"/>
      <c r="VMD86" s="43" t="n"/>
      <c r="VME86" s="43" t="n"/>
      <c r="VMF86" s="43" t="n"/>
      <c r="VMG86" s="43" t="n"/>
      <c r="VMH86" s="43" t="n"/>
      <c r="VMI86" s="43" t="n"/>
      <c r="VMJ86" s="43" t="n"/>
      <c r="VMK86" s="43" t="n"/>
      <c r="VML86" s="43" t="n"/>
      <c r="VMM86" s="43" t="n"/>
      <c r="VMN86" s="43" t="n"/>
      <c r="VMO86" s="43" t="n"/>
      <c r="VMP86" s="43" t="n"/>
      <c r="VMQ86" s="43" t="n"/>
      <c r="VMR86" s="43" t="n"/>
      <c r="VMS86" s="43" t="n"/>
      <c r="VMT86" s="43" t="n"/>
      <c r="VMU86" s="43" t="n"/>
      <c r="VMV86" s="43" t="n"/>
      <c r="VMW86" s="43" t="n"/>
      <c r="VMX86" s="43" t="n"/>
      <c r="VMY86" s="43" t="n"/>
      <c r="VMZ86" s="43" t="n"/>
      <c r="VNA86" s="43" t="n"/>
      <c r="VNB86" s="43" t="n"/>
      <c r="VNC86" s="43" t="n"/>
      <c r="VND86" s="43" t="n"/>
      <c r="VNE86" s="43" t="n"/>
      <c r="VNF86" s="43" t="n"/>
      <c r="VNG86" s="43" t="n"/>
      <c r="VNH86" s="43" t="n"/>
      <c r="VNI86" s="43" t="n"/>
      <c r="VNJ86" s="43" t="n"/>
      <c r="VNK86" s="43" t="n"/>
      <c r="VNL86" s="43" t="n"/>
      <c r="VNM86" s="43" t="n"/>
      <c r="VNN86" s="43" t="n"/>
      <c r="VNO86" s="43" t="n"/>
      <c r="VNP86" s="43" t="n"/>
      <c r="VNQ86" s="43" t="n"/>
      <c r="VNR86" s="43" t="n"/>
      <c r="VNS86" s="43" t="n"/>
      <c r="VNT86" s="43" t="n"/>
      <c r="VNU86" s="43" t="n"/>
      <c r="VNV86" s="43" t="n"/>
      <c r="VNW86" s="43" t="n"/>
      <c r="VNX86" s="43" t="n"/>
      <c r="VNY86" s="43" t="n"/>
      <c r="VNZ86" s="43" t="n"/>
      <c r="VOA86" s="43" t="n"/>
      <c r="VOB86" s="43" t="n"/>
      <c r="VOC86" s="43" t="n"/>
      <c r="VOD86" s="43" t="n"/>
      <c r="VOE86" s="43" t="n"/>
      <c r="VOF86" s="43" t="n"/>
      <c r="VOG86" s="43" t="n"/>
      <c r="VOH86" s="43" t="n"/>
      <c r="VOI86" s="43" t="n"/>
      <c r="VOJ86" s="43" t="n"/>
      <c r="VOK86" s="43" t="n"/>
      <c r="VOL86" s="43" t="n"/>
      <c r="VOM86" s="43" t="n"/>
      <c r="VON86" s="43" t="n"/>
      <c r="VOO86" s="43" t="n"/>
      <c r="VOP86" s="43" t="n"/>
      <c r="VOQ86" s="43" t="n"/>
      <c r="VOR86" s="43" t="n"/>
      <c r="VOS86" s="43" t="n"/>
      <c r="VOT86" s="43" t="n"/>
      <c r="VOU86" s="43" t="n"/>
      <c r="VOV86" s="43" t="n"/>
      <c r="VOW86" s="43" t="n"/>
      <c r="VOX86" s="43" t="n"/>
      <c r="VOY86" s="43" t="n"/>
      <c r="VOZ86" s="43" t="n"/>
      <c r="VPA86" s="43" t="n"/>
      <c r="VPB86" s="43" t="n"/>
      <c r="VPC86" s="43" t="n"/>
      <c r="VPD86" s="43" t="n"/>
      <c r="VPE86" s="43" t="n"/>
      <c r="VPF86" s="43" t="n"/>
      <c r="VPG86" s="43" t="n"/>
      <c r="VPH86" s="43" t="n"/>
      <c r="VPI86" s="43" t="n"/>
      <c r="VPJ86" s="43" t="n"/>
      <c r="VPK86" s="43" t="n"/>
      <c r="VPL86" s="43" t="n"/>
      <c r="VPM86" s="43" t="n"/>
      <c r="VPN86" s="43" t="n"/>
      <c r="VPO86" s="43" t="n"/>
      <c r="VPP86" s="43" t="n"/>
      <c r="VPQ86" s="43" t="n"/>
      <c r="VPR86" s="43" t="n"/>
      <c r="VPS86" s="43" t="n"/>
      <c r="VPT86" s="43" t="n"/>
      <c r="VPU86" s="43" t="n"/>
      <c r="VPV86" s="43" t="n"/>
      <c r="VPW86" s="43" t="n"/>
      <c r="VPX86" s="43" t="n"/>
      <c r="VPY86" s="43" t="n"/>
      <c r="VPZ86" s="43" t="n"/>
      <c r="VQA86" s="43" t="n"/>
      <c r="VQB86" s="43" t="n"/>
      <c r="VQC86" s="43" t="n"/>
      <c r="VQD86" s="43" t="n"/>
      <c r="VQE86" s="43" t="n"/>
      <c r="VQF86" s="43" t="n"/>
      <c r="VQG86" s="43" t="n"/>
      <c r="VQH86" s="43" t="n"/>
      <c r="VQI86" s="43" t="n"/>
      <c r="VQJ86" s="43" t="n"/>
      <c r="VQK86" s="43" t="n"/>
      <c r="VQL86" s="43" t="n"/>
      <c r="VQM86" s="43" t="n"/>
      <c r="VQN86" s="43" t="n"/>
      <c r="VQO86" s="43" t="n"/>
      <c r="VQP86" s="43" t="n"/>
      <c r="VQQ86" s="43" t="n"/>
      <c r="VQR86" s="43" t="n"/>
      <c r="VQS86" s="43" t="n"/>
      <c r="VQT86" s="43" t="n"/>
      <c r="VQU86" s="43" t="n"/>
      <c r="VQV86" s="43" t="n"/>
      <c r="VQW86" s="43" t="n"/>
      <c r="VQX86" s="43" t="n"/>
      <c r="VQY86" s="43" t="n"/>
      <c r="VQZ86" s="43" t="n"/>
      <c r="VRA86" s="43" t="n"/>
      <c r="VRB86" s="43" t="n"/>
      <c r="VRC86" s="43" t="n"/>
      <c r="VRD86" s="43" t="n"/>
      <c r="VRE86" s="43" t="n"/>
      <c r="VRF86" s="43" t="n"/>
      <c r="VRG86" s="43" t="n"/>
      <c r="VRH86" s="43" t="n"/>
      <c r="VRI86" s="43" t="n"/>
      <c r="VRJ86" s="43" t="n"/>
      <c r="VRK86" s="43" t="n"/>
      <c r="VRL86" s="43" t="n"/>
      <c r="VRM86" s="43" t="n"/>
      <c r="VRN86" s="43" t="n"/>
      <c r="VRO86" s="43" t="n"/>
      <c r="VRP86" s="43" t="n"/>
      <c r="VRQ86" s="43" t="n"/>
      <c r="VRR86" s="43" t="n"/>
      <c r="VRS86" s="43" t="n"/>
      <c r="VRT86" s="43" t="n"/>
      <c r="VRU86" s="43" t="n"/>
      <c r="VRV86" s="43" t="n"/>
      <c r="VRW86" s="43" t="n"/>
      <c r="VRX86" s="43" t="n"/>
      <c r="VRY86" s="43" t="n"/>
      <c r="VRZ86" s="43" t="n"/>
      <c r="VSA86" s="43" t="n"/>
      <c r="VSB86" s="43" t="n"/>
      <c r="VSC86" s="43" t="n"/>
      <c r="VSD86" s="43" t="n"/>
      <c r="VSE86" s="43" t="n"/>
      <c r="VSF86" s="43" t="n"/>
      <c r="VSG86" s="43" t="n"/>
      <c r="VSH86" s="43" t="n"/>
      <c r="VSI86" s="43" t="n"/>
      <c r="VSJ86" s="43" t="n"/>
      <c r="VSK86" s="43" t="n"/>
      <c r="VSL86" s="43" t="n"/>
      <c r="VSM86" s="43" t="n"/>
      <c r="VSN86" s="43" t="n"/>
      <c r="VSO86" s="43" t="n"/>
      <c r="VSP86" s="43" t="n"/>
      <c r="VSQ86" s="43" t="n"/>
      <c r="VSR86" s="43" t="n"/>
      <c r="VSS86" s="43" t="n"/>
      <c r="VST86" s="43" t="n"/>
      <c r="VSU86" s="43" t="n"/>
      <c r="VSV86" s="43" t="n"/>
      <c r="VSW86" s="43" t="n"/>
      <c r="VSX86" s="43" t="n"/>
      <c r="VSY86" s="43" t="n"/>
      <c r="VSZ86" s="43" t="n"/>
      <c r="VTA86" s="43" t="n"/>
      <c r="VTB86" s="43" t="n"/>
      <c r="VTC86" s="43" t="n"/>
      <c r="VTD86" s="43" t="n"/>
      <c r="VTE86" s="43" t="n"/>
      <c r="VTF86" s="43" t="n"/>
      <c r="VTG86" s="43" t="n"/>
      <c r="VTH86" s="43" t="n"/>
      <c r="VTI86" s="43" t="n"/>
      <c r="VTJ86" s="43" t="n"/>
      <c r="VTK86" s="43" t="n"/>
      <c r="VTL86" s="43" t="n"/>
      <c r="VTM86" s="43" t="n"/>
      <c r="VTN86" s="43" t="n"/>
      <c r="VTO86" s="43" t="n"/>
      <c r="VTP86" s="43" t="n"/>
      <c r="VTQ86" s="43" t="n"/>
      <c r="VTR86" s="43" t="n"/>
      <c r="VTS86" s="43" t="n"/>
      <c r="VTT86" s="43" t="n"/>
      <c r="VTU86" s="43" t="n"/>
      <c r="VTV86" s="43" t="n"/>
      <c r="VTW86" s="43" t="n"/>
      <c r="VTX86" s="43" t="n"/>
      <c r="VTY86" s="43" t="n"/>
      <c r="VTZ86" s="43" t="n"/>
      <c r="VUA86" s="43" t="n"/>
      <c r="VUB86" s="43" t="n"/>
      <c r="VUC86" s="43" t="n"/>
      <c r="VUD86" s="43" t="n"/>
      <c r="VUE86" s="43" t="n"/>
      <c r="VUF86" s="43" t="n"/>
      <c r="VUG86" s="43" t="n"/>
      <c r="VUH86" s="43" t="n"/>
      <c r="VUI86" s="43" t="n"/>
      <c r="VUJ86" s="43" t="n"/>
      <c r="VUK86" s="43" t="n"/>
      <c r="VUL86" s="43" t="n"/>
      <c r="VUM86" s="43" t="n"/>
      <c r="VUN86" s="43" t="n"/>
      <c r="VUO86" s="43" t="n"/>
      <c r="VUP86" s="43" t="n"/>
      <c r="VUQ86" s="43" t="n"/>
      <c r="VUR86" s="43" t="n"/>
      <c r="VUS86" s="43" t="n"/>
      <c r="VUT86" s="43" t="n"/>
      <c r="VUU86" s="43" t="n"/>
      <c r="VUV86" s="43" t="n"/>
      <c r="VUW86" s="43" t="n"/>
      <c r="VUX86" s="43" t="n"/>
      <c r="VUY86" s="43" t="n"/>
      <c r="VUZ86" s="43" t="n"/>
      <c r="VVA86" s="43" t="n"/>
      <c r="VVB86" s="43" t="n"/>
      <c r="VVC86" s="43" t="n"/>
      <c r="VVD86" s="43" t="n"/>
      <c r="VVE86" s="43" t="n"/>
      <c r="VVF86" s="43" t="n"/>
      <c r="VVG86" s="43" t="n"/>
      <c r="VVH86" s="43" t="n"/>
      <c r="VVI86" s="43" t="n"/>
      <c r="VVJ86" s="43" t="n"/>
      <c r="VVK86" s="43" t="n"/>
      <c r="VVL86" s="43" t="n"/>
      <c r="VVM86" s="43" t="n"/>
      <c r="VVN86" s="43" t="n"/>
      <c r="VVO86" s="43" t="n"/>
      <c r="VVP86" s="43" t="n"/>
      <c r="VVQ86" s="43" t="n"/>
      <c r="VVR86" s="43" t="n"/>
      <c r="VVS86" s="43" t="n"/>
      <c r="VVT86" s="43" t="n"/>
      <c r="VVU86" s="43" t="n"/>
      <c r="VVV86" s="43" t="n"/>
      <c r="VVW86" s="43" t="n"/>
      <c r="VVX86" s="43" t="n"/>
      <c r="VVY86" s="43" t="n"/>
      <c r="VVZ86" s="43" t="n"/>
      <c r="VWA86" s="43" t="n"/>
      <c r="VWB86" s="43" t="n"/>
      <c r="VWC86" s="43" t="n"/>
      <c r="VWD86" s="43" t="n"/>
      <c r="VWE86" s="43" t="n"/>
      <c r="VWF86" s="43" t="n"/>
      <c r="VWG86" s="43" t="n"/>
      <c r="VWH86" s="43" t="n"/>
      <c r="VWI86" s="43" t="n"/>
      <c r="VWJ86" s="43" t="n"/>
      <c r="VWK86" s="43" t="n"/>
      <c r="VWL86" s="43" t="n"/>
      <c r="VWM86" s="43" t="n"/>
      <c r="VWN86" s="43" t="n"/>
      <c r="VWO86" s="43" t="n"/>
      <c r="VWP86" s="43" t="n"/>
      <c r="VWQ86" s="43" t="n"/>
      <c r="VWR86" s="43" t="n"/>
      <c r="VWS86" s="43" t="n"/>
      <c r="VWT86" s="43" t="n"/>
      <c r="VWU86" s="43" t="n"/>
      <c r="VWV86" s="43" t="n"/>
      <c r="VWW86" s="43" t="n"/>
      <c r="VWX86" s="43" t="n"/>
      <c r="VWY86" s="43" t="n"/>
      <c r="VWZ86" s="43" t="n"/>
      <c r="VXA86" s="43" t="n"/>
      <c r="VXB86" s="43" t="n"/>
      <c r="VXC86" s="43" t="n"/>
      <c r="VXD86" s="43" t="n"/>
      <c r="VXE86" s="43" t="n"/>
      <c r="VXF86" s="43" t="n"/>
      <c r="VXG86" s="43" t="n"/>
      <c r="VXH86" s="43" t="n"/>
      <c r="VXI86" s="43" t="n"/>
      <c r="VXJ86" s="43" t="n"/>
      <c r="VXK86" s="43" t="n"/>
      <c r="VXL86" s="43" t="n"/>
      <c r="VXM86" s="43" t="n"/>
      <c r="VXN86" s="43" t="n"/>
      <c r="VXO86" s="43" t="n"/>
      <c r="VXP86" s="43" t="n"/>
      <c r="VXQ86" s="43" t="n"/>
      <c r="VXR86" s="43" t="n"/>
      <c r="VXS86" s="43" t="n"/>
      <c r="VXT86" s="43" t="n"/>
      <c r="VXU86" s="43" t="n"/>
      <c r="VXV86" s="43" t="n"/>
      <c r="VXW86" s="43" t="n"/>
      <c r="VXX86" s="43" t="n"/>
      <c r="VXY86" s="43" t="n"/>
      <c r="VXZ86" s="43" t="n"/>
      <c r="VYA86" s="43" t="n"/>
      <c r="VYB86" s="43" t="n"/>
      <c r="VYC86" s="43" t="n"/>
      <c r="VYD86" s="43" t="n"/>
      <c r="VYE86" s="43" t="n"/>
      <c r="VYF86" s="43" t="n"/>
      <c r="VYG86" s="43" t="n"/>
      <c r="VYH86" s="43" t="n"/>
      <c r="VYI86" s="43" t="n"/>
      <c r="VYJ86" s="43" t="n"/>
      <c r="VYK86" s="43" t="n"/>
      <c r="VYL86" s="43" t="n"/>
      <c r="VYM86" s="43" t="n"/>
      <c r="VYN86" s="43" t="n"/>
      <c r="VYO86" s="43" t="n"/>
      <c r="VYP86" s="43" t="n"/>
      <c r="VYQ86" s="43" t="n"/>
      <c r="VYR86" s="43" t="n"/>
      <c r="VYS86" s="43" t="n"/>
      <c r="VYT86" s="43" t="n"/>
      <c r="VYU86" s="43" t="n"/>
      <c r="VYV86" s="43" t="n"/>
      <c r="VYW86" s="43" t="n"/>
      <c r="VYX86" s="43" t="n"/>
      <c r="VYY86" s="43" t="n"/>
      <c r="VYZ86" s="43" t="n"/>
      <c r="VZA86" s="43" t="n"/>
      <c r="VZB86" s="43" t="n"/>
      <c r="VZC86" s="43" t="n"/>
      <c r="VZD86" s="43" t="n"/>
      <c r="VZE86" s="43" t="n"/>
      <c r="VZF86" s="43" t="n"/>
      <c r="VZG86" s="43" t="n"/>
      <c r="VZH86" s="43" t="n"/>
      <c r="VZI86" s="43" t="n"/>
      <c r="VZJ86" s="43" t="n"/>
      <c r="VZK86" s="43" t="n"/>
      <c r="VZL86" s="43" t="n"/>
      <c r="VZM86" s="43" t="n"/>
      <c r="VZN86" s="43" t="n"/>
      <c r="VZO86" s="43" t="n"/>
      <c r="VZP86" s="43" t="n"/>
      <c r="VZQ86" s="43" t="n"/>
      <c r="VZR86" s="43" t="n"/>
      <c r="VZS86" s="43" t="n"/>
      <c r="VZT86" s="43" t="n"/>
      <c r="VZU86" s="43" t="n"/>
      <c r="VZV86" s="43" t="n"/>
      <c r="VZW86" s="43" t="n"/>
      <c r="VZX86" s="43" t="n"/>
      <c r="VZY86" s="43" t="n"/>
      <c r="VZZ86" s="43" t="n"/>
      <c r="WAA86" s="43" t="n"/>
      <c r="WAB86" s="43" t="n"/>
      <c r="WAC86" s="43" t="n"/>
      <c r="WAD86" s="43" t="n"/>
      <c r="WAE86" s="43" t="n"/>
      <c r="WAF86" s="43" t="n"/>
      <c r="WAG86" s="43" t="n"/>
      <c r="WAH86" s="43" t="n"/>
      <c r="WAI86" s="43" t="n"/>
      <c r="WAJ86" s="43" t="n"/>
      <c r="WAK86" s="43" t="n"/>
      <c r="WAL86" s="43" t="n"/>
      <c r="WAM86" s="43" t="n"/>
      <c r="WAN86" s="43" t="n"/>
      <c r="WAO86" s="43" t="n"/>
      <c r="WAP86" s="43" t="n"/>
      <c r="WAQ86" s="43" t="n"/>
      <c r="WAR86" s="43" t="n"/>
      <c r="WAS86" s="43" t="n"/>
      <c r="WAT86" s="43" t="n"/>
      <c r="WAU86" s="43" t="n"/>
      <c r="WAV86" s="43" t="n"/>
      <c r="WAW86" s="43" t="n"/>
      <c r="WAX86" s="43" t="n"/>
      <c r="WAY86" s="43" t="n"/>
      <c r="WAZ86" s="43" t="n"/>
      <c r="WBA86" s="43" t="n"/>
      <c r="WBB86" s="43" t="n"/>
      <c r="WBC86" s="43" t="n"/>
      <c r="WBD86" s="43" t="n"/>
      <c r="WBE86" s="43" t="n"/>
      <c r="WBF86" s="43" t="n"/>
      <c r="WBG86" s="43" t="n"/>
      <c r="WBH86" s="43" t="n"/>
      <c r="WBI86" s="43" t="n"/>
      <c r="WBJ86" s="43" t="n"/>
      <c r="WBK86" s="43" t="n"/>
      <c r="WBL86" s="43" t="n"/>
      <c r="WBM86" s="43" t="n"/>
      <c r="WBN86" s="43" t="n"/>
      <c r="WBO86" s="43" t="n"/>
      <c r="WBP86" s="43" t="n"/>
      <c r="WBQ86" s="43" t="n"/>
      <c r="WBR86" s="43" t="n"/>
      <c r="WBS86" s="43" t="n"/>
      <c r="WBT86" s="43" t="n"/>
      <c r="WBU86" s="43" t="n"/>
      <c r="WBV86" s="43" t="n"/>
      <c r="WBW86" s="43" t="n"/>
      <c r="WBX86" s="43" t="n"/>
      <c r="WBY86" s="43" t="n"/>
      <c r="WBZ86" s="43" t="n"/>
      <c r="WCA86" s="43" t="n"/>
      <c r="WCB86" s="43" t="n"/>
      <c r="WCC86" s="43" t="n"/>
      <c r="WCD86" s="43" t="n"/>
      <c r="WCE86" s="43" t="n"/>
      <c r="WCF86" s="43" t="n"/>
      <c r="WCG86" s="43" t="n"/>
      <c r="WCH86" s="43" t="n"/>
      <c r="WCI86" s="43" t="n"/>
      <c r="WCJ86" s="43" t="n"/>
      <c r="WCK86" s="43" t="n"/>
      <c r="WCL86" s="43" t="n"/>
      <c r="WCM86" s="43" t="n"/>
      <c r="WCN86" s="43" t="n"/>
      <c r="WCO86" s="43" t="n"/>
      <c r="WCP86" s="43" t="n"/>
      <c r="WCQ86" s="43" t="n"/>
      <c r="WCR86" s="43" t="n"/>
      <c r="WCS86" s="43" t="n"/>
      <c r="WCT86" s="43" t="n"/>
      <c r="WCU86" s="43" t="n"/>
      <c r="WCV86" s="43" t="n"/>
      <c r="WCW86" s="43" t="n"/>
      <c r="WCX86" s="43" t="n"/>
      <c r="WCY86" s="43" t="n"/>
      <c r="WCZ86" s="43" t="n"/>
      <c r="WDA86" s="43" t="n"/>
      <c r="WDB86" s="43" t="n"/>
      <c r="WDC86" s="43" t="n"/>
      <c r="WDD86" s="43" t="n"/>
      <c r="WDE86" s="43" t="n"/>
      <c r="WDF86" s="43" t="n"/>
      <c r="WDG86" s="43" t="n"/>
      <c r="WDH86" s="43" t="n"/>
      <c r="WDI86" s="43" t="n"/>
      <c r="WDJ86" s="43" t="n"/>
      <c r="WDK86" s="43" t="n"/>
      <c r="WDL86" s="43" t="n"/>
      <c r="WDM86" s="43" t="n"/>
      <c r="WDN86" s="43" t="n"/>
      <c r="WDO86" s="43" t="n"/>
      <c r="WDP86" s="43" t="n"/>
      <c r="WDQ86" s="43" t="n"/>
      <c r="WDR86" s="43" t="n"/>
      <c r="WDS86" s="43" t="n"/>
      <c r="WDT86" s="43" t="n"/>
      <c r="WDU86" s="43" t="n"/>
      <c r="WDV86" s="43" t="n"/>
      <c r="WDW86" s="43" t="n"/>
      <c r="WDX86" s="43" t="n"/>
      <c r="WDY86" s="43" t="n"/>
      <c r="WDZ86" s="43" t="n"/>
      <c r="WEA86" s="43" t="n"/>
      <c r="WEB86" s="43" t="n"/>
      <c r="WEC86" s="43" t="n"/>
      <c r="WED86" s="43" t="n"/>
      <c r="WEE86" s="43" t="n"/>
      <c r="WEF86" s="43" t="n"/>
      <c r="WEG86" s="43" t="n"/>
      <c r="WEH86" s="43" t="n"/>
      <c r="WEI86" s="43" t="n"/>
      <c r="WEJ86" s="43" t="n"/>
      <c r="WEK86" s="43" t="n"/>
      <c r="WEL86" s="43" t="n"/>
      <c r="WEM86" s="43" t="n"/>
      <c r="WEN86" s="43" t="n"/>
      <c r="WEO86" s="43" t="n"/>
      <c r="WEP86" s="43" t="n"/>
      <c r="WEQ86" s="43" t="n"/>
      <c r="WER86" s="43" t="n"/>
      <c r="WES86" s="43" t="n"/>
      <c r="WET86" s="43" t="n"/>
      <c r="WEU86" s="43" t="n"/>
      <c r="WEV86" s="43" t="n"/>
      <c r="WEW86" s="43" t="n"/>
      <c r="WEX86" s="43" t="n"/>
      <c r="WEY86" s="43" t="n"/>
      <c r="WEZ86" s="43" t="n"/>
      <c r="WFA86" s="43" t="n"/>
      <c r="WFB86" s="43" t="n"/>
      <c r="WFC86" s="43" t="n"/>
      <c r="WFD86" s="43" t="n"/>
      <c r="WFE86" s="43" t="n"/>
      <c r="WFF86" s="43" t="n"/>
      <c r="WFG86" s="43" t="n"/>
      <c r="WFH86" s="43" t="n"/>
      <c r="WFI86" s="43" t="n"/>
      <c r="WFJ86" s="43" t="n"/>
      <c r="WFK86" s="43" t="n"/>
      <c r="WFL86" s="43" t="n"/>
      <c r="WFM86" s="43" t="n"/>
      <c r="WFN86" s="43" t="n"/>
      <c r="WFO86" s="43" t="n"/>
      <c r="WFP86" s="43" t="n"/>
      <c r="WFQ86" s="43" t="n"/>
      <c r="WFR86" s="43" t="n"/>
      <c r="WFS86" s="43" t="n"/>
      <c r="WFT86" s="43" t="n"/>
      <c r="WFU86" s="43" t="n"/>
      <c r="WFV86" s="43" t="n"/>
      <c r="WFW86" s="43" t="n"/>
      <c r="WFX86" s="43" t="n"/>
      <c r="WFY86" s="43" t="n"/>
      <c r="WFZ86" s="43" t="n"/>
      <c r="WGA86" s="43" t="n"/>
      <c r="WGB86" s="43" t="n"/>
      <c r="WGC86" s="43" t="n"/>
      <c r="WGD86" s="43" t="n"/>
      <c r="WGE86" s="43" t="n"/>
      <c r="WGF86" s="43" t="n"/>
      <c r="WGG86" s="43" t="n"/>
      <c r="WGH86" s="43" t="n"/>
      <c r="WGI86" s="43" t="n"/>
      <c r="WGJ86" s="43" t="n"/>
      <c r="WGK86" s="43" t="n"/>
      <c r="WGL86" s="43" t="n"/>
      <c r="WGM86" s="43" t="n"/>
      <c r="WGN86" s="43" t="n"/>
      <c r="WGO86" s="43" t="n"/>
      <c r="WGP86" s="43" t="n"/>
      <c r="WGQ86" s="43" t="n"/>
      <c r="WGR86" s="43" t="n"/>
      <c r="WGS86" s="43" t="n"/>
      <c r="WGT86" s="43" t="n"/>
      <c r="WGU86" s="43" t="n"/>
      <c r="WGV86" s="43" t="n"/>
      <c r="WGW86" s="43" t="n"/>
      <c r="WGX86" s="43" t="n"/>
      <c r="WGY86" s="43" t="n"/>
      <c r="WGZ86" s="43" t="n"/>
      <c r="WHA86" s="43" t="n"/>
      <c r="WHB86" s="43" t="n"/>
      <c r="WHC86" s="43" t="n"/>
      <c r="WHD86" s="43" t="n"/>
      <c r="WHE86" s="43" t="n"/>
      <c r="WHF86" s="43" t="n"/>
      <c r="WHG86" s="43" t="n"/>
      <c r="WHH86" s="43" t="n"/>
      <c r="WHI86" s="43" t="n"/>
      <c r="WHJ86" s="43" t="n"/>
      <c r="WHK86" s="43" t="n"/>
      <c r="WHL86" s="43" t="n"/>
      <c r="WHM86" s="43" t="n"/>
      <c r="WHN86" s="43" t="n"/>
      <c r="WHO86" s="43" t="n"/>
      <c r="WHP86" s="43" t="n"/>
      <c r="WHQ86" s="43" t="n"/>
      <c r="WHR86" s="43" t="n"/>
      <c r="WHS86" s="43" t="n"/>
      <c r="WHT86" s="43" t="n"/>
      <c r="WHU86" s="43" t="n"/>
      <c r="WHV86" s="43" t="n"/>
      <c r="WHW86" s="43" t="n"/>
      <c r="WHX86" s="43" t="n"/>
      <c r="WHY86" s="43" t="n"/>
      <c r="WHZ86" s="43" t="n"/>
      <c r="WIA86" s="43" t="n"/>
      <c r="WIB86" s="43" t="n"/>
      <c r="WIC86" s="43" t="n"/>
      <c r="WID86" s="43" t="n"/>
      <c r="WIE86" s="43" t="n"/>
      <c r="WIF86" s="43" t="n"/>
      <c r="WIG86" s="43" t="n"/>
      <c r="WIH86" s="43" t="n"/>
      <c r="WII86" s="43" t="n"/>
      <c r="WIJ86" s="43" t="n"/>
      <c r="WIK86" s="43" t="n"/>
      <c r="WIL86" s="43" t="n"/>
      <c r="WIM86" s="43" t="n"/>
      <c r="WIN86" s="43" t="n"/>
      <c r="WIO86" s="43" t="n"/>
      <c r="WIP86" s="43" t="n"/>
      <c r="WIQ86" s="43" t="n"/>
      <c r="WIR86" s="43" t="n"/>
      <c r="WIS86" s="43" t="n"/>
      <c r="WIT86" s="43" t="n"/>
      <c r="WIU86" s="43" t="n"/>
      <c r="WIV86" s="43" t="n"/>
      <c r="WIW86" s="43" t="n"/>
      <c r="WIX86" s="43" t="n"/>
      <c r="WIY86" s="43" t="n"/>
      <c r="WIZ86" s="43" t="n"/>
      <c r="WJA86" s="43" t="n"/>
      <c r="WJB86" s="43" t="n"/>
      <c r="WJC86" s="43" t="n"/>
      <c r="WJD86" s="43" t="n"/>
      <c r="WJE86" s="43" t="n"/>
      <c r="WJF86" s="43" t="n"/>
      <c r="WJG86" s="43" t="n"/>
      <c r="WJH86" s="43" t="n"/>
      <c r="WJI86" s="43" t="n"/>
      <c r="WJJ86" s="43" t="n"/>
      <c r="WJK86" s="43" t="n"/>
      <c r="WJL86" s="43" t="n"/>
      <c r="WJM86" s="43" t="n"/>
      <c r="WJN86" s="43" t="n"/>
      <c r="WJO86" s="43" t="n"/>
      <c r="WJP86" s="43" t="n"/>
      <c r="WJQ86" s="43" t="n"/>
      <c r="WJR86" s="43" t="n"/>
      <c r="WJS86" s="43" t="n"/>
      <c r="WJT86" s="43" t="n"/>
      <c r="WJU86" s="43" t="n"/>
      <c r="WJV86" s="43" t="n"/>
      <c r="WJW86" s="43" t="n"/>
      <c r="WJX86" s="43" t="n"/>
      <c r="WJY86" s="43" t="n"/>
      <c r="WJZ86" s="43" t="n"/>
      <c r="WKA86" s="43" t="n"/>
      <c r="WKB86" s="43" t="n"/>
      <c r="WKC86" s="43" t="n"/>
      <c r="WKD86" s="43" t="n"/>
      <c r="WKE86" s="43" t="n"/>
      <c r="WKF86" s="43" t="n"/>
      <c r="WKG86" s="43" t="n"/>
      <c r="WKH86" s="43" t="n"/>
      <c r="WKI86" s="43" t="n"/>
      <c r="WKJ86" s="43" t="n"/>
      <c r="WKK86" s="43" t="n"/>
      <c r="WKL86" s="43" t="n"/>
      <c r="WKM86" s="43" t="n"/>
      <c r="WKN86" s="43" t="n"/>
      <c r="WKO86" s="43" t="n"/>
      <c r="WKP86" s="43" t="n"/>
      <c r="WKQ86" s="43" t="n"/>
      <c r="WKR86" s="43" t="n"/>
      <c r="WKS86" s="43" t="n"/>
      <c r="WKT86" s="43" t="n"/>
      <c r="WKU86" s="43" t="n"/>
      <c r="WKV86" s="43" t="n"/>
      <c r="WKW86" s="43" t="n"/>
      <c r="WKX86" s="43" t="n"/>
      <c r="WKY86" s="43" t="n"/>
      <c r="WKZ86" s="43" t="n"/>
      <c r="WLA86" s="43" t="n"/>
      <c r="WLB86" s="43" t="n"/>
      <c r="WLC86" s="43" t="n"/>
      <c r="WLD86" s="43" t="n"/>
      <c r="WLE86" s="43" t="n"/>
      <c r="WLF86" s="43" t="n"/>
      <c r="WLG86" s="43" t="n"/>
      <c r="WLH86" s="43" t="n"/>
      <c r="WLI86" s="43" t="n"/>
      <c r="WLJ86" s="43" t="n"/>
      <c r="WLK86" s="43" t="n"/>
      <c r="WLL86" s="43" t="n"/>
      <c r="WLM86" s="43" t="n"/>
      <c r="WLN86" s="43" t="n"/>
      <c r="WLO86" s="43" t="n"/>
      <c r="WLP86" s="43" t="n"/>
      <c r="WLQ86" s="43" t="n"/>
      <c r="WLR86" s="43" t="n"/>
      <c r="WLS86" s="43" t="n"/>
      <c r="WLT86" s="43" t="n"/>
      <c r="WLU86" s="43" t="n"/>
      <c r="WLV86" s="43" t="n"/>
      <c r="WLW86" s="43" t="n"/>
      <c r="WLX86" s="43" t="n"/>
      <c r="WLY86" s="43" t="n"/>
      <c r="WLZ86" s="43" t="n"/>
      <c r="WMA86" s="43" t="n"/>
      <c r="WMB86" s="43" t="n"/>
      <c r="WMC86" s="43" t="n"/>
      <c r="WMD86" s="43" t="n"/>
      <c r="WME86" s="43" t="n"/>
      <c r="WMF86" s="43" t="n"/>
      <c r="WMG86" s="43" t="n"/>
      <c r="WMH86" s="43" t="n"/>
      <c r="WMI86" s="43" t="n"/>
      <c r="WMJ86" s="43" t="n"/>
      <c r="WMK86" s="43" t="n"/>
      <c r="WML86" s="43" t="n"/>
      <c r="WMM86" s="43" t="n"/>
      <c r="WMN86" s="43" t="n"/>
      <c r="WMO86" s="43" t="n"/>
      <c r="WMP86" s="43" t="n"/>
      <c r="WMQ86" s="43" t="n"/>
      <c r="WMR86" s="43" t="n"/>
      <c r="WMS86" s="43" t="n"/>
      <c r="WMT86" s="43" t="n"/>
      <c r="WMU86" s="43" t="n"/>
      <c r="WMV86" s="43" t="n"/>
      <c r="WMW86" s="43" t="n"/>
      <c r="WMX86" s="43" t="n"/>
      <c r="WMY86" s="43" t="n"/>
      <c r="WMZ86" s="43" t="n"/>
      <c r="WNA86" s="43" t="n"/>
      <c r="WNB86" s="43" t="n"/>
      <c r="WNC86" s="43" t="n"/>
      <c r="WND86" s="43" t="n"/>
      <c r="WNE86" s="43" t="n"/>
      <c r="WNF86" s="43" t="n"/>
      <c r="WNG86" s="43" t="n"/>
      <c r="WNH86" s="43" t="n"/>
      <c r="WNI86" s="43" t="n"/>
      <c r="WNJ86" s="43" t="n"/>
      <c r="WNK86" s="43" t="n"/>
      <c r="WNL86" s="43" t="n"/>
      <c r="WNM86" s="43" t="n"/>
      <c r="WNN86" s="43" t="n"/>
      <c r="WNO86" s="43" t="n"/>
      <c r="WNP86" s="43" t="n"/>
      <c r="WNQ86" s="43" t="n"/>
      <c r="WNR86" s="43" t="n"/>
      <c r="WNS86" s="43" t="n"/>
      <c r="WNT86" s="43" t="n"/>
      <c r="WNU86" s="43" t="n"/>
      <c r="WNV86" s="43" t="n"/>
      <c r="WNW86" s="43" t="n"/>
      <c r="WNX86" s="43" t="n"/>
      <c r="WNY86" s="43" t="n"/>
      <c r="WNZ86" s="43" t="n"/>
      <c r="WOA86" s="43" t="n"/>
      <c r="WOB86" s="43" t="n"/>
      <c r="WOC86" s="43" t="n"/>
      <c r="WOD86" s="43" t="n"/>
      <c r="WOE86" s="43" t="n"/>
      <c r="WOF86" s="43" t="n"/>
      <c r="WOG86" s="43" t="n"/>
      <c r="WOH86" s="43" t="n"/>
      <c r="WOI86" s="43" t="n"/>
      <c r="WOJ86" s="43" t="n"/>
      <c r="WOK86" s="43" t="n"/>
      <c r="WOL86" s="43" t="n"/>
      <c r="WOM86" s="43" t="n"/>
      <c r="WON86" s="43" t="n"/>
      <c r="WOO86" s="43" t="n"/>
      <c r="WOP86" s="43" t="n"/>
      <c r="WOQ86" s="43" t="n"/>
      <c r="WOR86" s="43" t="n"/>
      <c r="WOS86" s="43" t="n"/>
      <c r="WOT86" s="43" t="n"/>
      <c r="WOU86" s="43" t="n"/>
      <c r="WOV86" s="43" t="n"/>
      <c r="WOW86" s="43" t="n"/>
      <c r="WOX86" s="43" t="n"/>
      <c r="WOY86" s="43" t="n"/>
      <c r="WOZ86" s="43" t="n"/>
      <c r="WPA86" s="43" t="n"/>
      <c r="WPB86" s="43" t="n"/>
      <c r="WPC86" s="43" t="n"/>
      <c r="WPD86" s="43" t="n"/>
      <c r="WPE86" s="43" t="n"/>
      <c r="WPF86" s="43" t="n"/>
      <c r="WPG86" s="43" t="n"/>
      <c r="WPH86" s="43" t="n"/>
      <c r="WPI86" s="43" t="n"/>
      <c r="WPJ86" s="43" t="n"/>
      <c r="WPK86" s="43" t="n"/>
      <c r="WPL86" s="43" t="n"/>
      <c r="WPM86" s="43" t="n"/>
      <c r="WPN86" s="43" t="n"/>
      <c r="WPO86" s="43" t="n"/>
      <c r="WPP86" s="43" t="n"/>
      <c r="WPQ86" s="43" t="n"/>
      <c r="WPR86" s="43" t="n"/>
      <c r="WPS86" s="43" t="n"/>
      <c r="WPT86" s="43" t="n"/>
      <c r="WPU86" s="43" t="n"/>
      <c r="WPV86" s="43" t="n"/>
      <c r="WPW86" s="43" t="n"/>
      <c r="WPX86" s="43" t="n"/>
      <c r="WPY86" s="43" t="n"/>
      <c r="WPZ86" s="43" t="n"/>
      <c r="WQA86" s="43" t="n"/>
      <c r="WQB86" s="43" t="n"/>
      <c r="WQC86" s="43" t="n"/>
      <c r="WQD86" s="43" t="n"/>
      <c r="WQE86" s="43" t="n"/>
      <c r="WQF86" s="43" t="n"/>
      <c r="WQG86" s="43" t="n"/>
      <c r="WQH86" s="43" t="n"/>
      <c r="WQI86" s="43" t="n"/>
      <c r="WQJ86" s="43" t="n"/>
      <c r="WQK86" s="43" t="n"/>
      <c r="WQL86" s="43" t="n"/>
      <c r="WQM86" s="43" t="n"/>
      <c r="WQN86" s="43" t="n"/>
      <c r="WQO86" s="43" t="n"/>
      <c r="WQP86" s="43" t="n"/>
      <c r="WQQ86" s="43" t="n"/>
      <c r="WQR86" s="43" t="n"/>
      <c r="WQS86" s="43" t="n"/>
      <c r="WQT86" s="43" t="n"/>
      <c r="WQU86" s="43" t="n"/>
      <c r="WQV86" s="43" t="n"/>
      <c r="WQW86" s="43" t="n"/>
      <c r="WQX86" s="43" t="n"/>
      <c r="WQY86" s="43" t="n"/>
      <c r="WQZ86" s="43" t="n"/>
      <c r="WRA86" s="43" t="n"/>
      <c r="WRB86" s="43" t="n"/>
      <c r="WRC86" s="43" t="n"/>
      <c r="WRD86" s="43" t="n"/>
      <c r="WRE86" s="43" t="n"/>
      <c r="WRF86" s="43" t="n"/>
      <c r="WRG86" s="43" t="n"/>
      <c r="WRH86" s="43" t="n"/>
      <c r="WRI86" s="43" t="n"/>
      <c r="WRJ86" s="43" t="n"/>
      <c r="WRK86" s="43" t="n"/>
      <c r="WRL86" s="43" t="n"/>
      <c r="WRM86" s="43" t="n"/>
      <c r="WRN86" s="43" t="n"/>
      <c r="WRO86" s="43" t="n"/>
      <c r="WRP86" s="43" t="n"/>
      <c r="WRQ86" s="43" t="n"/>
      <c r="WRR86" s="43" t="n"/>
      <c r="WRS86" s="43" t="n"/>
      <c r="WRT86" s="43" t="n"/>
      <c r="WRU86" s="43" t="n"/>
      <c r="WRV86" s="43" t="n"/>
      <c r="WRW86" s="43" t="n"/>
      <c r="WRX86" s="43" t="n"/>
      <c r="WRY86" s="43" t="n"/>
      <c r="WRZ86" s="43" t="n"/>
      <c r="WSA86" s="43" t="n"/>
      <c r="WSB86" s="43" t="n"/>
      <c r="WSC86" s="43" t="n"/>
      <c r="WSD86" s="43" t="n"/>
      <c r="WSE86" s="43" t="n"/>
      <c r="WSF86" s="43" t="n"/>
      <c r="WSG86" s="43" t="n"/>
      <c r="WSH86" s="43" t="n"/>
      <c r="WSI86" s="43" t="n"/>
      <c r="WSJ86" s="43" t="n"/>
      <c r="WSK86" s="43" t="n"/>
      <c r="WSL86" s="43" t="n"/>
      <c r="WSM86" s="43" t="n"/>
      <c r="WSN86" s="43" t="n"/>
      <c r="WSO86" s="43" t="n"/>
      <c r="WSP86" s="43" t="n"/>
      <c r="WSQ86" s="43" t="n"/>
      <c r="WSR86" s="43" t="n"/>
      <c r="WSS86" s="43" t="n"/>
      <c r="WST86" s="43" t="n"/>
      <c r="WSU86" s="43" t="n"/>
      <c r="WSV86" s="43" t="n"/>
      <c r="WSW86" s="43" t="n"/>
      <c r="WSX86" s="43" t="n"/>
      <c r="WSY86" s="43" t="n"/>
      <c r="WSZ86" s="43" t="n"/>
      <c r="WTA86" s="43" t="n"/>
      <c r="WTB86" s="43" t="n"/>
      <c r="WTC86" s="43" t="n"/>
      <c r="WTD86" s="43" t="n"/>
      <c r="WTE86" s="43" t="n"/>
      <c r="WTF86" s="43" t="n"/>
      <c r="WTG86" s="43" t="n"/>
      <c r="WTH86" s="43" t="n"/>
      <c r="WTI86" s="43" t="n"/>
      <c r="WTJ86" s="43" t="n"/>
      <c r="WTK86" s="43" t="n"/>
      <c r="WTL86" s="43" t="n"/>
      <c r="WTM86" s="43" t="n"/>
      <c r="WTN86" s="43" t="n"/>
      <c r="WTO86" s="43" t="n"/>
      <c r="WTP86" s="43" t="n"/>
      <c r="WTQ86" s="43" t="n"/>
      <c r="WTR86" s="43" t="n"/>
      <c r="WTS86" s="43" t="n"/>
      <c r="WTT86" s="43" t="n"/>
      <c r="WTU86" s="43" t="n"/>
      <c r="WTV86" s="43" t="n"/>
      <c r="WTW86" s="43" t="n"/>
      <c r="WTX86" s="43" t="n"/>
      <c r="WTY86" s="43" t="n"/>
      <c r="WTZ86" s="43" t="n"/>
      <c r="WUA86" s="43" t="n"/>
      <c r="WUB86" s="43" t="n"/>
      <c r="WUC86" s="43" t="n"/>
      <c r="WUD86" s="43" t="n"/>
      <c r="WUE86" s="43" t="n"/>
      <c r="WUF86" s="43" t="n"/>
      <c r="WUG86" s="43" t="n"/>
      <c r="WUH86" s="43" t="n"/>
      <c r="WUI86" s="43" t="n"/>
      <c r="WUJ86" s="43" t="n"/>
      <c r="WUK86" s="43" t="n"/>
      <c r="WUL86" s="43" t="n"/>
      <c r="WUM86" s="43" t="n"/>
      <c r="WUN86" s="43" t="n"/>
      <c r="WUO86" s="43" t="n"/>
      <c r="WUP86" s="43" t="n"/>
      <c r="WUQ86" s="43" t="n"/>
      <c r="WUR86" s="43" t="n"/>
      <c r="WUS86" s="43" t="n"/>
      <c r="WUT86" s="43" t="n"/>
      <c r="WUU86" s="43" t="n"/>
      <c r="WUV86" s="43" t="n"/>
      <c r="WUW86" s="43" t="n"/>
      <c r="WUX86" s="43" t="n"/>
      <c r="WUY86" s="43" t="n"/>
      <c r="WUZ86" s="43" t="n"/>
      <c r="WVA86" s="43" t="n"/>
      <c r="WVB86" s="43" t="n"/>
      <c r="WVC86" s="43" t="n"/>
      <c r="WVD86" s="43" t="n"/>
      <c r="WVE86" s="43" t="n"/>
      <c r="WVF86" s="43" t="n"/>
      <c r="WVG86" s="43" t="n"/>
      <c r="WVH86" s="43" t="n"/>
      <c r="WVI86" s="43" t="n"/>
      <c r="WVJ86" s="43" t="n"/>
      <c r="WVK86" s="43" t="n"/>
      <c r="WVL86" s="43" t="n"/>
      <c r="WVM86" s="43" t="n"/>
      <c r="WVN86" s="43" t="n"/>
      <c r="WVO86" s="43" t="n"/>
      <c r="WVP86" s="43" t="n"/>
      <c r="WVQ86" s="43" t="n"/>
      <c r="WVR86" s="43" t="n"/>
      <c r="WVS86" s="43" t="n"/>
      <c r="WVT86" s="43" t="n"/>
      <c r="WVU86" s="43" t="n"/>
      <c r="WVV86" s="43" t="n"/>
      <c r="WVW86" s="43" t="n"/>
      <c r="WVX86" s="43" t="n"/>
      <c r="WVY86" s="43" t="n"/>
      <c r="WVZ86" s="43" t="n"/>
      <c r="WWA86" s="43" t="n"/>
      <c r="WWB86" s="43" t="n"/>
      <c r="WWC86" s="43" t="n"/>
      <c r="WWD86" s="43" t="n"/>
      <c r="WWE86" s="43" t="n"/>
      <c r="WWF86" s="43" t="n"/>
      <c r="WWG86" s="43" t="n"/>
      <c r="WWH86" s="43" t="n"/>
      <c r="WWI86" s="43" t="n"/>
      <c r="WWJ86" s="43" t="n"/>
      <c r="WWK86" s="43" t="n"/>
      <c r="WWL86" s="43" t="n"/>
      <c r="WWM86" s="43" t="n"/>
      <c r="WWN86" s="43" t="n"/>
      <c r="WWO86" s="43" t="n"/>
      <c r="WWP86" s="43" t="n"/>
      <c r="WWQ86" s="43" t="n"/>
      <c r="WWR86" s="43" t="n"/>
      <c r="WWS86" s="43" t="n"/>
      <c r="WWT86" s="43" t="n"/>
      <c r="WWU86" s="43" t="n"/>
      <c r="WWV86" s="43" t="n"/>
      <c r="WWW86" s="43" t="n"/>
      <c r="WWX86" s="43" t="n"/>
      <c r="WWY86" s="43" t="n"/>
      <c r="WWZ86" s="43" t="n"/>
      <c r="WXA86" s="43" t="n"/>
      <c r="WXB86" s="43" t="n"/>
      <c r="WXC86" s="43" t="n"/>
      <c r="WXD86" s="43" t="n"/>
      <c r="WXE86" s="43" t="n"/>
      <c r="WXF86" s="43" t="n"/>
      <c r="WXG86" s="43" t="n"/>
      <c r="WXH86" s="43" t="n"/>
      <c r="WXI86" s="43" t="n"/>
      <c r="WXJ86" s="43" t="n"/>
      <c r="WXK86" s="43" t="n"/>
      <c r="WXL86" s="43" t="n"/>
      <c r="WXM86" s="43" t="n"/>
      <c r="WXN86" s="43" t="n"/>
      <c r="WXO86" s="43" t="n"/>
      <c r="WXP86" s="43" t="n"/>
      <c r="WXQ86" s="43" t="n"/>
      <c r="WXR86" s="43" t="n"/>
      <c r="WXS86" s="43" t="n"/>
      <c r="WXT86" s="43" t="n"/>
      <c r="WXU86" s="43" t="n"/>
      <c r="WXV86" s="43" t="n"/>
      <c r="WXW86" s="43" t="n"/>
      <c r="WXX86" s="43" t="n"/>
      <c r="WXY86" s="43" t="n"/>
      <c r="WXZ86" s="43" t="n"/>
      <c r="WYA86" s="43" t="n"/>
      <c r="WYB86" s="43" t="n"/>
      <c r="WYC86" s="43" t="n"/>
      <c r="WYD86" s="43" t="n"/>
      <c r="WYE86" s="43" t="n"/>
      <c r="WYF86" s="43" t="n"/>
      <c r="WYG86" s="43" t="n"/>
      <c r="WYH86" s="43" t="n"/>
      <c r="WYI86" s="43" t="n"/>
      <c r="WYJ86" s="43" t="n"/>
      <c r="WYK86" s="43" t="n"/>
      <c r="WYL86" s="43" t="n"/>
      <c r="WYM86" s="43" t="n"/>
      <c r="WYN86" s="43" t="n"/>
      <c r="WYO86" s="43" t="n"/>
      <c r="WYP86" s="43" t="n"/>
      <c r="WYQ86" s="43" t="n"/>
      <c r="WYR86" s="43" t="n"/>
      <c r="WYS86" s="43" t="n"/>
      <c r="WYT86" s="43" t="n"/>
      <c r="WYU86" s="43" t="n"/>
      <c r="WYV86" s="43" t="n"/>
      <c r="WYW86" s="43" t="n"/>
      <c r="WYX86" s="43" t="n"/>
      <c r="WYY86" s="43" t="n"/>
      <c r="WYZ86" s="43" t="n"/>
      <c r="WZA86" s="43" t="n"/>
      <c r="WZB86" s="43" t="n"/>
      <c r="WZC86" s="43" t="n"/>
      <c r="WZD86" s="43" t="n"/>
      <c r="WZE86" s="43" t="n"/>
      <c r="WZF86" s="43" t="n"/>
      <c r="WZG86" s="43" t="n"/>
      <c r="WZH86" s="43" t="n"/>
      <c r="WZI86" s="43" t="n"/>
      <c r="WZJ86" s="43" t="n"/>
      <c r="WZK86" s="43" t="n"/>
      <c r="WZL86" s="43" t="n"/>
      <c r="WZM86" s="43" t="n"/>
      <c r="WZN86" s="43" t="n"/>
      <c r="WZO86" s="43" t="n"/>
      <c r="WZP86" s="43" t="n"/>
      <c r="WZQ86" s="43" t="n"/>
      <c r="WZR86" s="43" t="n"/>
      <c r="WZS86" s="43" t="n"/>
      <c r="WZT86" s="43" t="n"/>
      <c r="WZU86" s="43" t="n"/>
      <c r="WZV86" s="43" t="n"/>
      <c r="WZW86" s="43" t="n"/>
      <c r="WZX86" s="43" t="n"/>
      <c r="WZY86" s="43" t="n"/>
      <c r="WZZ86" s="43" t="n"/>
      <c r="XAA86" s="43" t="n"/>
      <c r="XAB86" s="43" t="n"/>
      <c r="XAC86" s="43" t="n"/>
      <c r="XAD86" s="43" t="n"/>
      <c r="XAE86" s="43" t="n"/>
      <c r="XAF86" s="43" t="n"/>
      <c r="XAG86" s="43" t="n"/>
      <c r="XAH86" s="43" t="n"/>
      <c r="XAI86" s="43" t="n"/>
      <c r="XAJ86" s="43" t="n"/>
      <c r="XAK86" s="43" t="n"/>
      <c r="XAL86" s="43" t="n"/>
      <c r="XAM86" s="43" t="n"/>
      <c r="XAN86" s="43" t="n"/>
      <c r="XAO86" s="43" t="n"/>
      <c r="XAP86" s="43" t="n"/>
      <c r="XAQ86" s="43" t="n"/>
      <c r="XAR86" s="43" t="n"/>
      <c r="XAS86" s="43" t="n"/>
      <c r="XAT86" s="43" t="n"/>
      <c r="XAU86" s="43" t="n"/>
      <c r="XAV86" s="43" t="n"/>
      <c r="XAW86" s="43" t="n"/>
      <c r="XAX86" s="43" t="n"/>
      <c r="XAY86" s="43" t="n"/>
      <c r="XAZ86" s="43" t="n"/>
      <c r="XBA86" s="43" t="n"/>
      <c r="XBB86" s="43" t="n"/>
      <c r="XBC86" s="43" t="n"/>
      <c r="XBD86" s="43" t="n"/>
      <c r="XBE86" s="43" t="n"/>
      <c r="XBF86" s="43" t="n"/>
      <c r="XBG86" s="43" t="n"/>
      <c r="XBH86" s="43" t="n"/>
      <c r="XBI86" s="43" t="n"/>
      <c r="XBJ86" s="43" t="n"/>
      <c r="XBK86" s="43" t="n"/>
      <c r="XBL86" s="43" t="n"/>
      <c r="XBM86" s="43" t="n"/>
      <c r="XBN86" s="43" t="n"/>
      <c r="XBO86" s="43" t="n"/>
      <c r="XBP86" s="43" t="n"/>
      <c r="XBQ86" s="43" t="n"/>
      <c r="XBR86" s="43" t="n"/>
      <c r="XBS86" s="43" t="n"/>
      <c r="XBT86" s="43" t="n"/>
      <c r="XBU86" s="43" t="n"/>
      <c r="XBV86" s="43" t="n"/>
      <c r="XBW86" s="43" t="n"/>
      <c r="XBX86" s="43" t="n"/>
      <c r="XBY86" s="43" t="n"/>
      <c r="XBZ86" s="43" t="n"/>
      <c r="XCA86" s="43" t="n"/>
      <c r="XCB86" s="43" t="n"/>
      <c r="XCC86" s="43" t="n"/>
      <c r="XCD86" s="43" t="n"/>
      <c r="XCE86" s="43" t="n"/>
      <c r="XCF86" s="43" t="n"/>
      <c r="XCG86" s="43" t="n"/>
      <c r="XCH86" s="43" t="n"/>
      <c r="XCI86" s="43" t="n"/>
      <c r="XCJ86" s="43" t="n"/>
      <c r="XCK86" s="43" t="n"/>
      <c r="XCL86" s="43" t="n"/>
      <c r="XCM86" s="43" t="n"/>
      <c r="XCN86" s="43" t="n"/>
      <c r="XCO86" s="43" t="n"/>
      <c r="XCP86" s="43" t="n"/>
      <c r="XCQ86" s="43" t="n"/>
      <c r="XCR86" s="43" t="n"/>
      <c r="XCS86" s="43" t="n"/>
      <c r="XCT86" s="43" t="n"/>
      <c r="XCU86" s="43" t="n"/>
      <c r="XCV86" s="43" t="n"/>
      <c r="XCW86" s="43" t="n"/>
      <c r="XCX86" s="43" t="n"/>
      <c r="XCY86" s="43" t="n"/>
      <c r="XCZ86" s="43" t="n"/>
      <c r="XDA86" s="43" t="n"/>
      <c r="XDB86" s="43" t="n"/>
      <c r="XDC86" s="43" t="n"/>
      <c r="XDD86" s="43" t="n"/>
      <c r="XDE86" s="43" t="n"/>
      <c r="XDF86" s="43" t="n"/>
      <c r="XDG86" s="43" t="n"/>
      <c r="XDH86" s="43" t="n"/>
      <c r="XDI86" s="43" t="n"/>
      <c r="XDJ86" s="43" t="n"/>
      <c r="XDK86" s="43" t="n"/>
      <c r="XDL86" s="43" t="n"/>
      <c r="XDM86" s="43" t="n"/>
      <c r="XDN86" s="43" t="n"/>
      <c r="XDO86" s="43" t="n"/>
      <c r="XDP86" s="43" t="n"/>
      <c r="XDQ86" s="43" t="n"/>
      <c r="XDR86" s="43" t="n"/>
      <c r="XDS86" s="43" t="n"/>
      <c r="XDT86" s="43" t="n"/>
      <c r="XDU86" s="43" t="n"/>
      <c r="XDV86" s="43" t="n"/>
      <c r="XDW86" s="43" t="n"/>
      <c r="XDX86" s="43" t="n"/>
      <c r="XDY86" s="43" t="n"/>
      <c r="XDZ86" s="43" t="n"/>
      <c r="XEA86" s="43" t="n"/>
      <c r="XEB86" s="43" t="n"/>
      <c r="XEC86" s="43" t="n"/>
      <c r="XED86" s="43" t="n"/>
      <c r="XEE86" s="43" t="n"/>
      <c r="XEF86" s="43" t="n"/>
      <c r="XEG86" s="43" t="n"/>
      <c r="XEH86" s="43" t="n"/>
      <c r="XEI86" s="43" t="n"/>
      <c r="XEJ86" s="43" t="n"/>
      <c r="XEK86" s="43" t="n"/>
      <c r="XEL86" s="43" t="n"/>
      <c r="XEM86" s="43" t="n"/>
      <c r="XEN86" s="43" t="n"/>
      <c r="XEO86" s="43" t="n"/>
      <c r="XEP86" s="43" t="n"/>
      <c r="XEQ86" s="43" t="n"/>
      <c r="XER86" s="43" t="n"/>
      <c r="XES86" s="43" t="n"/>
      <c r="XET86" s="43" t="n"/>
      <c r="XEU86" s="43" t="n"/>
      <c r="XEV86" s="43" t="n"/>
      <c r="XEW86" s="43" t="n"/>
      <c r="XEX86" s="43" t="n"/>
      <c r="XEY86" s="43" t="n"/>
      <c r="XEZ86" s="43" t="n"/>
      <c r="XFA86" s="43" t="n"/>
      <c r="XFB86" s="43" t="n"/>
    </row>
    <row r="87" ht="409.6" customFormat="1" customHeight="1" s="5" thickBot="1">
      <c r="A87" s="247">
        <f>A86+1</f>
        <v/>
      </c>
      <c r="B87" s="59" t="inlineStr">
        <is>
          <t>shock</t>
        </is>
      </c>
      <c r="C87" s="67"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87" s="522"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MAN-MADE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87" s="564">
        <f>LEN(D87)</f>
        <v/>
      </c>
      <c r="F87" s="522" t="inlineStr">
        <is>
          <t>Mhuri yenyu kana dunhu rakambosangana here nechero njodzi kana dambudziko iro rakavhiringidza nzira yenyu yekuwana nayo mari kana kurima zvirimwa zvekudya kana zvekutengesa mukati memwedzi 3 yapfuura, uye kana zvakadaro, yaive njodzi kana dambudziko rakaita sei?
[ARI KUITISA ONGORORO: SARUDZA ZVINETSO CHAIZVO ZVAKAWIRA MHURI. PANOGONA KUVE NEMHINDURO DZAKAWANDA. TAURA NEZVEZVINETSO ZVEUPFUMI, ZVEKURIMA NEKUCHENGETA ZVIPFUYO, ZVEMUMHURI, NJODZI DZINONGOITIKA DZOGA UYE DZINOKONZERWA NEVANHU.]
1)Hapana dambudziko ratakasangana naro
2)Hurwere kana tsaona kana rufu rwenhengo yemhuri [hurwere hweanotarisira mhuri / kukwira kwemitengo yezveutano kupfuura kare / mari yekushandisa parufu / rufu rweanotarisira mhuri]
3)Kurasikirwa nebasa kana mikana yekushanda [kwete nekuda kwehurwere/tsaona]
4)Mamwewo matambudziko emumhuri
5)Kukwira kwemitengo yezvokudya kupfuura kare
6)Kukwira kwemitengo yemafuta edzimota kana yemichovha kupfuura kare
7)Mitemo inodzivisa kufamba kwevanhu [zvichida nekuda kwedenda kana kuparara kwezvivakwa]
8)Mamwewo matambudziko ezveupfumi 
9)Kuwanda kwezvipembenene
10)Zvirwere zvezvirimwa
11)Zvirwere zvezvipfuyo [kwakabata zvipfuyo zvakawanda] kana kuuraya
12)Kutadza kusvika kumafuro 
13)Mamwewo matambudziko ezvirimwa nezvipfuyo
14)Kutonhora kwakananya kana chivhuramabwe
15)Mafashamo / kukukurwa kwemicheto yenzizi
16)Dutu rakasangana nemvura / dutu rine simba / tonadho
17)Kusanaya kwemvura / kupisa zvakanyanya
18)Kudengenyeka kwenyika
19)Chikukura
20)Moto kubva kunjodzi inongoitika yoga
21)Imwewo njodzi inongoitika yoga
22)Mhirizhonga uye kusagadzikana / kurwisana
23)Kubiwa kwemidziyo yebasza [munda / zvipfuyo / maturusi / nezvimwewo]
24)Moto kubva kunjodzi yakakonzerwa nevanhu
25)Imwewo njodzi yakakonzerwa nevanhu
26)HANDIZIVI
27)ARAMBA</t>
        </is>
      </c>
      <c r="G87" s="564">
        <f>LEN(F87)</f>
        <v/>
      </c>
      <c r="H87" s="522" t="inlineStr">
        <is>
          <t>Kungabe abomuzi wakho kumbe umphakathi bahlangana lokubhidlizeka kumbe uhlupho olwaphambanisa ukwenelisa komuzi wakho ukuthola imali kanye/kumbe ukuthola ezokudla kunyanga ezintathu ezidlulileyo, njalo nxa kunjalo, yikuphi?
[OQHUBAYO: KHETHA UKWETHUKA OKUFANELEYO ABAKUZWAYO ABEMULINI. IMPENDULO EZINENGI ZINGAKHETHWA. KHULUMA NGOKWETHUKA NGEZOMNOTHO, EZEZILIMO LEZIFUYO, EZENDLINI, INGOZI ZEMVELO KANYE LEZIBANGELWA NGABANTU]
1)Akula kwethuswa
2)Ukugula kumbe ingozi kumbe ukufa kwe[ama]lunga omuzi [ukugula kwalowo onguye osebenzayo/indleko zokwelatshwa ezinengi kakhulu/ indleko zokungcwaba/ukufa kwalowo onguye osebenzayo]
3)Ukulahlekelwa ngamathuba okuqhatshwa kumbe okusebenza [hatshi ngenxa yokugula/ingozi]
4)Okunye ukwethuswa phakathi komuzi
5)Intengo zokudla ephezulu okungavamanga
6)Intengo zamafutha emota kumbe ezokuhambisa ezingavamanga
7)Ukuvalelwa kwezokuhamba kwabantu [isibonelo; ngenxa yomkhuhlane omkhulu kumbe ukubhidlizwa kwezakhiwo]
8)Okunye ukwethuswa kwezonotho 
9)Ukuhlaselwa yizibungwana
10)Izifo zezilimo
11)Imikhuhlane yezifuyo [eyaphambanisa izifuyo ezinengi] kumbe ukuthi zife
12)Ukuswelakala kokufinyelela amadlelo yizifuyo
13)Okunye ukwethuswa kwezilimo kumbe izifuyo
14)Umkhathi oqandayo kumbe izulu lenkobe
15)Isikhukhula/ukuhuguleka kwenhlabathi ezifuleni
16)I-Hurricane / i-cyclone / i-tornado
17)Ukuwoma kakhulu komhlabathi/uhlupho lokutshisa
18)Ukuzamazama komhlaba
19)Ukutshelela komhlabathi
20)Ukuqhamuka komlilo
21)Ezinye ingozi ezizenzakelayo
22)Udlakame lokungaphephi/ingxabano
23)Ukutshontshwa kwempahla zokulungisisa [umhlabathi/izifuyo/amathuluzi/lokunye]
24)Umlilo oqhamuka kungozi ebangelwa ngabantu
25)Ezinye ingozi ezibangelwa ngabantu
26)KAZI
27)WALILE</t>
        </is>
      </c>
      <c r="I87" s="315">
        <f>LEN(H87)</f>
        <v/>
      </c>
      <c r="J87" s="374" t="inlineStr">
        <is>
          <t>Select All That Apply</t>
        </is>
      </c>
      <c r="K87" s="315" t="inlineStr">
        <is>
          <t>NA</t>
        </is>
      </c>
      <c r="L87" s="315" t="inlineStr">
        <is>
          <t>NA</t>
        </is>
      </c>
      <c r="M87" s="315" t="inlineStr">
        <is>
          <t>Form Type - Checklist
1, 26, 27 = IsNone
No shock) shock_noshock
Sickness or accident or death of household member[s] [sickness of breadwinner / unusually high medical expenditure / funeral expenses / death of breadwinner]) shock_sicknessordeathofhh
Lost employment or working opportunities [not due to illness/accident]) shock_lostemplorwork
Other intra-household shock) shock_otherintrahhshock
Unusually high food prices) shock_higherfoodprices
Unusually high fuel prices or transport prices ) shock_higherfuelprices
Population movement restrictions [e.g. due to epidemic or infrastructure damage]) shock_mvtrestrict
Other economic shock ) shock_othereconomicshock
Pest outbreak) shock_pestoutbreak
Plant disease) shock_plantdisease
Animal disease [affecting many animals] or death) shock_animaldisease
Lack of physical access to pasture ) shock_napasture
Other crop and livestock shock) shock_othercropandlivests
Cold temperatures or hail)shock_coldtemporhail
Flood / riverbank erosion) shock_flood
Hurricane / cyclone / tornado) shock_hurricane
Drought / heat stress) shock_drought
Earthquake) shock_earthquake
Landslides) shock_landslides
Fire from natural disaster) shock_firenatural
Other natural hazard) shock_othernathazard
Violence and insecurity / conflict) shock_violenceinsecconf
Theft of production assets [land / livestock / tools / etc]) shock_theftofprodassets
Fire from human-induced disaster) shock_firemanmade
Other human-induced hazard) shock_othermanmadehazard
DON'T KNOW) shock_dk
REFUSED) shock_ref</t>
        </is>
      </c>
      <c r="N87" s="459" t="inlineStr">
        <is>
          <t>1-27 = crp_intro</t>
        </is>
      </c>
      <c r="O87" s="153" t="inlineStr">
        <is>
          <t>GeoPoll: Confirm routings.
GeoPoll [3/8]: Routings updated.</t>
        </is>
      </c>
      <c r="P87" s="153" t="inlineStr">
        <is>
          <t xml:space="preserve">Check updated routing to next question, hh explanation deleted for questionnaire shortening. </t>
        </is>
      </c>
      <c r="Q87" s="383" t="inlineStr">
        <is>
          <t>if shock = 1-27, go to [covid ]</t>
        </is>
      </c>
      <c r="R87" s="455" t="n"/>
      <c r="S87" s="64" t="inlineStr">
        <is>
          <t>resp_age = 18-100
hh_agricactivity = 1 | 2 | 3 | 4
quotareached = 2</t>
        </is>
      </c>
      <c r="T87" s="68" t="n"/>
      <c r="U87" s="92" t="n">
        <v>46.24752807617188</v>
      </c>
      <c r="V87" s="93">
        <f>1</f>
        <v/>
      </c>
      <c r="W87" s="92">
        <f>U87*V87</f>
        <v/>
      </c>
      <c r="X87" s="3" t="n"/>
      <c r="Z87" s="7" t="inlineStr">
        <is>
          <t>yes</t>
        </is>
      </c>
      <c r="AA87" s="54" t="n"/>
      <c r="AD87" s="8" t="inlineStr">
        <is>
          <t>Changes in options #2, 6, 11, 15, 16, 17
Change in skip pattern</t>
        </is>
      </c>
    </row>
    <row r="88" ht="19.5" customFormat="1" customHeight="1" s="5" thickBot="1">
      <c r="A88" s="534" t="inlineStr">
        <is>
          <t>D. CROP PRODUCTION</t>
        </is>
      </c>
      <c r="B88" s="577" t="n"/>
      <c r="C88" s="577" t="n"/>
      <c r="D88" s="577" t="n"/>
      <c r="E88" s="577" t="n"/>
      <c r="F88" s="577" t="n"/>
      <c r="G88" s="577" t="n"/>
      <c r="H88" s="577" t="n"/>
      <c r="I88" s="577" t="n"/>
      <c r="J88" s="577" t="n"/>
      <c r="K88" s="577" t="n"/>
      <c r="L88" s="577" t="n"/>
      <c r="M88" s="577" t="n"/>
      <c r="N88" s="577" t="n"/>
      <c r="O88" s="577" t="n"/>
      <c r="P88" s="577" t="n"/>
      <c r="Q88" s="577" t="n"/>
      <c r="R88" s="577" t="n"/>
      <c r="S88" s="577" t="n"/>
      <c r="T88" s="578" t="n"/>
      <c r="U88" s="58" t="n"/>
      <c r="V88" s="57" t="n"/>
      <c r="W88" s="58" t="n"/>
      <c r="X88" s="3" t="n"/>
      <c r="Z88" s="7" t="n"/>
      <c r="AA88" s="54" t="n"/>
      <c r="AD88" s="6" t="n"/>
    </row>
    <row r="89" ht="168.75" customFormat="1" customHeight="1" s="5">
      <c r="A89" s="247">
        <f>A87+1</f>
        <v/>
      </c>
      <c r="B89" s="66" t="inlineStr">
        <is>
          <t>crp_intro</t>
        </is>
      </c>
      <c r="C89" s="67" t="inlineStr">
        <is>
          <t>crp_intro</t>
        </is>
      </c>
      <c r="D89" s="117" t="inlineStr">
        <is>
          <t>We will now ask you some questions about crop production which apply to you and anyone in your household that is involved in crop production or sales. All questions refer to the crops grown during the ongoing season.
1)CONTINUE</t>
        </is>
      </c>
      <c r="E89" s="564">
        <f>LEN(D89)</f>
        <v/>
      </c>
      <c r="F89" s="117" t="inlineStr">
        <is>
          <t>Parizvino tichakubvunza mibvunzo iri maringe nekurimwa kwezvirimwa kwaunoita kana kunoitwa nemumwe ari mumhuri yenyu anoita zvekurima kana Kutengesa zvirimwa. Mibvunzo yose yakanangana nezvirimwa zvakarimwa mukati memwaka uno.
1)ENDERERA MBERI</t>
        </is>
      </c>
      <c r="G89" s="564">
        <f>LEN(F89)</f>
        <v/>
      </c>
      <c r="H89" s="117" t="inlineStr">
        <is>
          <t>Kathesi sizakubuza imbuzo mayelana lokulinywa kwezilimo khona okuqhutshwa nguwe kanye laloba ngubani emuzini wakho oqhuba ezokulima kumbe ukuthengisa. Yonke imibuzo ngeyezilimo ezalinywa ngesikhathi esikiso.
1)QHUBEKA</t>
        </is>
      </c>
      <c r="I89" s="315">
        <f>LEN(H89)</f>
        <v/>
      </c>
      <c r="J89" s="374" t="inlineStr">
        <is>
          <t>Single Choice</t>
        </is>
      </c>
      <c r="K89" s="315" t="inlineStr">
        <is>
          <t>NA</t>
        </is>
      </c>
      <c r="L89" s="315" t="inlineStr">
        <is>
          <t>Send if "hh_agricactivity" "Equals" "Yes - crop production" Or "hh_agricactivity" "Equals" "Yes - both crop and livestock production" Or "income_main_cropcheck" "Equals" "YES" Or "income_sec_cropcheck" "Equals" "YES" Or "income_third_cropcheck" "Equals" "YES" if not satisfied go to "crp_salesmain"</t>
        </is>
      </c>
      <c r="M89" s="316" t="inlineStr">
        <is>
          <t>Form Type - Buttons</t>
        </is>
      </c>
      <c r="N89" s="459" t="inlineStr">
        <is>
          <t>1 = crp_landsize_num</t>
        </is>
      </c>
      <c r="O89" s="153" t="n"/>
      <c r="P89" s="153" t="n"/>
      <c r="Q89" s="390"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R89" s="427" t="n"/>
      <c r="S89" s="72" t="inlineStr">
        <is>
          <t>resp_age = 18-100
(hh_agricactivity = 1 | 3) | (income_main_cropcheck = 1) | (income_sec_cropcheck = 1) | (income_third_cropcheck = 1) 
quotareached = 2</t>
        </is>
      </c>
      <c r="T89" s="118" t="n"/>
      <c r="U89" s="92" t="n">
        <v>7.5</v>
      </c>
      <c r="V89" s="57">
        <f>#REF!</f>
        <v/>
      </c>
      <c r="W89" s="92">
        <f>U89*V89</f>
        <v/>
      </c>
      <c r="X89" s="3" t="n"/>
      <c r="Z89" s="7" t="inlineStr">
        <is>
          <t>yes</t>
        </is>
      </c>
      <c r="AA89" s="54" t="n"/>
      <c r="AD89" s="8" t="inlineStr">
        <is>
          <t xml:space="preserve">New question + change in conditional for this section </t>
        </is>
      </c>
    </row>
    <row r="90" ht="93.75" customFormat="1" customHeight="1" s="260">
      <c r="A90" s="247">
        <f>A89+1</f>
        <v/>
      </c>
      <c r="B90" s="164" t="inlineStr">
        <is>
          <t>crp_landsize_num</t>
        </is>
      </c>
      <c r="C90" s="566" t="inlineStr">
        <is>
          <t>crp_landsize_num</t>
        </is>
      </c>
      <c r="D90" s="161" t="inlineStr">
        <is>
          <t>What is the total size of the land you can cultivate?
[OPERATOR: RECORD THE TOTAL LAND SIZE PROVIDED BY THE RESPONDENT. WRITE 8888888 FOR DON'T KNOW AND 9999999 FOR REFUSED. MEASUREMENT UNIT WILL BE SPECIFIED IN THE FOLLOWING QUESTION.]</t>
        </is>
      </c>
      <c r="E90" s="564">
        <f>LEN(D90)</f>
        <v/>
      </c>
      <c r="F90" s="573" t="inlineStr">
        <is>
          <t>Munda wamunorima wakakura sei?
[ARI KUITISA ONGORORO: NYORA PASI KUKURA KWENZVIMBO KWATAURWA NEARIKUPINDURA. NYORA 8888888 KANA ASINGAZIVE UYE 9999999 KANA ARAMBA. NZIRA YEKUYERA NAYO KUKURA ICHATSANANGURWA PAMUBVUNZO UNOTEVERA.]</t>
        </is>
      </c>
      <c r="G90" s="564">
        <f>LEN(F90)</f>
        <v/>
      </c>
      <c r="H90" s="573" t="inlineStr">
        <is>
          <t>Umhlabathi ongalimela kiwo uyisilinganiso esinganani?
[OQHUBAYO: BHALA PHANSI INANI LOBUKHULU BOMHLABATHI ELIKHULUNYWE NGUMAPHENDULA. BHALA 8888888 NXA ENGAZI LO 9999999 NXA EYALILE. INDLELA YOKUKALA IZACACISWA KUMBUZO OLANDELAYO.]</t>
        </is>
      </c>
      <c r="I90" s="315">
        <f>LEN(H90)</f>
        <v/>
      </c>
      <c r="J90" s="346" t="inlineStr">
        <is>
          <t>Range</t>
        </is>
      </c>
      <c r="K90" s="316" t="inlineStr">
        <is>
          <t>NA</t>
        </is>
      </c>
      <c r="L90" s="316" t="inlineStr">
        <is>
          <t>NA</t>
        </is>
      </c>
      <c r="M90" s="316" t="inlineStr">
        <is>
          <t>Form Type - TextBox</t>
        </is>
      </c>
      <c r="N90" s="461" t="inlineStr">
        <is>
          <t>0-1000000 = crp_landsize_unit
8888888-8888888 = crp_main
9999999-9999999 = crp_main</t>
        </is>
      </c>
      <c r="O90" s="153" t="n"/>
      <c r="P90" s="153" t="n"/>
      <c r="Q90" s="390" t="n"/>
      <c r="R90" s="427" t="n"/>
      <c r="S90" s="72" t="n"/>
      <c r="T90" s="245" t="n"/>
      <c r="U90" s="257" t="n"/>
      <c r="V90" s="258" t="n"/>
      <c r="W90" s="257" t="n"/>
      <c r="X90" s="259" t="n"/>
      <c r="Z90" s="261" t="n"/>
      <c r="AA90" s="256" t="n"/>
      <c r="AD90" s="262" t="n"/>
    </row>
    <row r="91" ht="168.75" customFormat="1" customHeight="1" s="18">
      <c r="A91" s="247">
        <f>A90+1</f>
        <v/>
      </c>
      <c r="B91" s="164" t="inlineStr">
        <is>
          <t>crp_landsize_unit</t>
        </is>
      </c>
      <c r="C91" s="566" t="inlineStr">
        <is>
          <t>crp_landsize_unit</t>
        </is>
      </c>
      <c r="D91" s="161" t="inlineStr">
        <is>
          <t>Unit of measurement for land size: 
[OPERATOR: DO NOT READ. SINGLE RESPONSE.]
1)Acres
2)Hectares
3)Square meters
4)Square feet</t>
        </is>
      </c>
      <c r="E91" s="566">
        <f>LEN(D91)</f>
        <v/>
      </c>
      <c r="F91" s="161" t="inlineStr">
        <is>
          <t>Mwero wekuyera kukura kwemunda: 
[ARI KUITISA ONGORORO: USAVERENGA. MHINDURO IMWE CHETE.]
1)Mayeka
2)Mahekitara
3)Masikweya mita
4)Masikweya fiti</t>
        </is>
      </c>
      <c r="G91" s="566">
        <f>LEN(F91)</f>
        <v/>
      </c>
      <c r="H91" s="161" t="inlineStr">
        <is>
          <t>Indlela yokubala ubukhulu bomhlabathi: 
[OQHUBAYO: UNGABALI. IMPENDULO EYODWA.]
1)Ama-acres
2)Ama0Hectares
3)Ama-Square meters
4)Ama-Square feet</t>
        </is>
      </c>
      <c r="I91" s="316">
        <f>LEN(H91)</f>
        <v/>
      </c>
      <c r="J91" s="346" t="inlineStr">
        <is>
          <t>Single Choice</t>
        </is>
      </c>
      <c r="K91" s="316" t="inlineStr">
        <is>
          <t>NA</t>
        </is>
      </c>
      <c r="L91" s="316" t="inlineStr">
        <is>
          <t>NA</t>
        </is>
      </c>
      <c r="M91" s="316" t="inlineStr">
        <is>
          <t>Form Type - Buttons</t>
        </is>
      </c>
      <c r="N91" s="461" t="inlineStr">
        <is>
          <t>1-4 = crp_main</t>
        </is>
      </c>
      <c r="O91" s="153" t="inlineStr">
        <is>
          <t>GeoPoll: Confirm the measurement unit to be used here in place of "nan"
Dowsen and Suresha to guide following training
GeoPoll [3/8]: Option 5 deleted.</t>
        </is>
      </c>
      <c r="P91" s="207" t="inlineStr">
        <is>
          <t>There is no other unit of measurement relevant. Can be updated by CA after training if a unit of measurement is identified which is used locally. 
If no other unit of measurement is needed, then I believe option 5 can be deleted, as done in the previous round- after confirming during training.</t>
        </is>
      </c>
      <c r="Q91" s="390" t="inlineStr">
        <is>
          <t>if crp_landsize_unit = 1-5, go to crp_main</t>
        </is>
      </c>
      <c r="R91" s="427" t="n"/>
      <c r="S91" s="72" t="inlineStr">
        <is>
          <t>resp_age = 18-100
(hh_agricactivity = 1 | 3) | (income_main_cropcheck = 1) | (income_sec_cropcheck = 1) | (income_third_cropcheck = 1) 
quotareached = 2</t>
        </is>
      </c>
      <c r="T91" s="119" t="n"/>
      <c r="U91" s="92" t="n">
        <v>0</v>
      </c>
      <c r="V91" s="57">
        <f>#REF!</f>
        <v/>
      </c>
      <c r="W91" s="92">
        <f>U91*V91</f>
        <v/>
      </c>
      <c r="X91" s="3" t="n"/>
      <c r="Z91" s="7" t="inlineStr">
        <is>
          <t>yes</t>
        </is>
      </c>
      <c r="AA91" s="54" t="n"/>
      <c r="AD91" s="8" t="inlineStr">
        <is>
          <t>New question</t>
        </is>
      </c>
    </row>
    <row r="92" ht="409.5" customFormat="1" customHeight="1" s="5">
      <c r="A92" s="247">
        <f>A91+1</f>
        <v/>
      </c>
      <c r="B92" s="59" t="inlineStr">
        <is>
          <t>crp_main</t>
        </is>
      </c>
      <c r="C92" s="67" t="inlineStr">
        <is>
          <t>crp_main</t>
        </is>
      </c>
      <c r="D92" s="117" t="inlineStr">
        <is>
          <t>What has been the main crop that your household has grown for food and income generation in Last Season, if any?
[OPERATOR: SINGLE RESPONSE. "NO CROP PRODUCTION" IS IN LAST OPTIONS AT THE END.] 
1)Millet
2)Sorghum
3)Maize
4)Sweet Potatoes
5)Beans
6)Cabbage
7)Tomatoes
8)Pumpkin
9)Onions
10)Groundnut/peanut
11)Bambara nut
12)Sunflower
13)Rice
14)Wheat
15)Barley
16)Other Cereal
17)Cassava
18)Potatoe
19)Yams
20)Carrots
21)Cocoyam
22)Other tubers
23)Lentils
24)Peas
25)Soybeans
26)Chickpeas
27)Fava beans
28)Broad beans
29)Other pulses
30)Cauliflower
31)Lettuce
32)Spinach-Amaranth
33)Cassava leaves
34)Potatoe leaves
35)Moringa
36)Sorrel Hibiscus / Rosselle
37)Green salad herbs [thyme/parsley/mint/rocca/other]
38)Other leafy vegetables
39)Green peas
40)Fava beans green
41)Cucumber
42)Eggplant/aubergine
43)Zucchini
44)Okra
45)Bell pepper
46)Haricot
47)Other non leafy vegs
48)Orange
49)Lemon
50)Grapefruit
51)Mandarins/clementines
52)Other citrus fruit
53)Sweet Banana
54)Figs
55)Grapes
56)Olives
57)Apple
58)Apricot
59)Cherries
60)Peach/nectarine
61)Strawberries
62)Melon [Cantaloupe]
63)Plantains
64)Papaya
65)Mango
66)Guava
67)Pineapple
68)Avocado
69)Water Melon
70)Dates
71)Other fruit
72)Coconuts
73)Cashew Nut
74)Kola Nut
75)Sesame
76)Almond
77)Walnut
78)Other nuts
79)Cocoa
80)Coffee
81)Tea
82)Sugarcane
83)Other food cash crop
84)Cotton
85)Rubber
86)Jute
87)Fodder
88)Tobacco
89)Qat
90)Other non-food cash crop
91)No crop production
92)DON'T KNOW
93)REFUSED</t>
        </is>
      </c>
      <c r="E92" s="564">
        <f>LEN(D92)</f>
        <v/>
      </c>
      <c r="F92" s="117" t="inlineStr">
        <is>
          <t>Ndechipi chirimwa chakanyanya kurimwa nemhuri yenyu kuti iwane zvekudya uye kutengesa muMwaka Wapfuura, kana chiripo?
[ARI KUITISA ONGORORO: MHINDURO IMWE CHETE. MHINDURO YAKANZI "HAPANA CHIRIMWA CHAKARIMWA" IRI KOKUPEDZISIRA.] 
1)Mhunga
2)Mapfunde
3)Chibage
4)Mbambaira
5)Bhinzi
6)Kabheji
7)Matomasi
8)Manhanga
9)Hanyanisi
10)Nzungu
11)Nyimo
12)Masanifurawa
13)Mupunga
14)Gorosi
15)Bhari
16)Zvimwewo zvakaita sechibage
17)Mufarinya
18)Mbatatisi
19)Gogoya
20)Karotsi
21)Kokoyamu
22)Zvimwewo zvakaita sehanyanisi
23)Lentils
24)Pizi
25)Soyabhinzi
26)Chickpeas
27)Bhinzi dzefavha
28)Bhinzi dzakapamhamha
29)Dzimwewo mhando dzebhinzi
30)Korifurawa
31)Lettuce
32)Spinach-Amaranth
33)Mashizha ekasavha
34)Mashizha embatatisi
35)Moringa
36)Sorrel Hibiscus / Rosselle
37)Green salad herbs [thyme/parsley/mint/rocca/zvimwewo]
38)Mimwewo miriwo ine mashizha
39)Pizi nyoro
40)Bhinzi dzefavha nyoro
41)Magaka
42)Eggplant/aubergine
43)Zucchini
44)Derere
45)Bell pepper
46)Harikoti
47)Mimwewo miriwo isina mashizha
48)Orenji
49)Mandimi
50)Grapefruit
51)Mandarins/clementines
52)Mimwewo michero yakaita semaorenji
53)Mabhanana anotapira
54)Muonde
55)Magirepisi
56)Miorivhi
57)Epuro
58)Apurikoti
59)Macheri
60)Pichisi/nectarine
61)Ma-strawberry
62)Mwiwa [Cantaloupe]
63)Ma-plantains
64)Mapopo
65)Mango
66)Gwavha
67)Zvihenge
68)Avhokadho
69)Manwiwa
70)Ma-dates
71)Mimwewo michero
72)Kokonati
73)Cashew Nut
74)Kola Nut
75)Runinga
76)Arumondi
77)Walnut
78)Dzimwewo mhando dzenzungu
79)Kokoa
80)Kofi
81)Tiyi
82)Nzimbe
83)Zvimwewo zvirimwa zvekudya uye kutengesa
84)Donje
85)Rabha
86)Jute
87)Chikafu chezvipfuyo
88)Fodya
89)Qat
90)Zvimwewo zvirimwa zvisiri zvekudya asi zviri zvekutengesa
91)Hapana zvirimwa zvakarimwa
92)HANDIZIVI
93)ARAMBA</t>
        </is>
      </c>
      <c r="G92" s="564">
        <f>LEN(F92)</f>
        <v/>
      </c>
      <c r="H92" s="117" t="inlineStr">
        <is>
          <t>Yisiphi isilimo esilinywa kakhulu ngabomuzi wakho kwezokudla kanye lokuthola imali kusikhathi sokulima esidlulileyo, nxa sikhona?
[OQHUBAYO: IMPENDULO EYODWA. " AKULAKULUNGISWA KWEZILIMO" YIMPENDULO YOKUCINA ESEKUCINENI.] 
1)Inyawuthi
2)Amabele
3)Umumbu
4)Imbambayila
5)Indumba
6)Ikhabitshi
7)Amatamatisi
8)Ithanga
9)Amahanyanisi
10)Indlubu/amazambane
11)Izambane leBambara 
12)iSunflower
13)Ilayisi
14)Ingqoloyo
15)Ibhali
16)Okunye okungama Cereal
17)iCassava
18)Amagwili
19)Amadumbe
20)Ikherothi
21)iCocoyam
22)Okunye okudliwa impande zakho
23)amaLentils
24)iPeas
25)iSoybeans
26)iChickpeas
27)iFava beans
28)iBroad beans
29)Okunye okuzindumba
30)iCauliflower
31)iLettuce
32)iSpinach-Amaranth
33)amahlamvu eCassava 
34)Amahlamvu amagwili
35)iMoringa
36)iSorrel Hibiscus / Rosselle
37)Okokufaka kusaladi eluhlaza [thyme/parsley/mint/rocca/okunye]
38)Ezinye izilimo ezilinywayo ezilamahlamvu
39)iGreen peas
40)iFava beans green
41)iCucumber
42)iEggplant/aubergine
43)iZucchini
44)idelele lentanga
45)iBell pepper
46)iHaricot
47)Okunye okulinywayo okungelamahlamvu
48)Iwonlintshi
49)iLemon
50)iGrapefruit
51)iMandarins/clementines
52)Ezinye izithelo ezilinywayo
53)iSweet Banana
54)iFigs
55)iGrapes
56)iOlives
57)i-aphula
58)iApricot
59)iCherries
60)impintshisi
61)amaStrawberries
62)Okungamakhabe [Cantaloupe]
63)amaPlantain
64)amaPapaya
65)iMengo
66)iGuava
67)iPineapple
68)iAvocado
69)ikhabe
70)amaDate
71)Ezinye izithelo
72)amaCoconut
73)amazambane eCashew 
74)amazambane eKola 
75)iSesame
76)iAlmond
77)iWalnut
78)Okunye okungamazambane avela ezihlahleni
79)iCocoa
80)ikhofi
81)itiye
82)Imfe
83)Okunye okuyizilimo ezithengiswayo
84)Utshinda
85)iRubber
86)iJute
87)Ukudla kwezifuyo
88)Ugwayi
89)iQat
90)Okunye okulinywayo okungasokudla
91)Akula zilimo ezilinywayo
92)KAZI
93)WALILE</t>
        </is>
      </c>
      <c r="I92" s="315">
        <f>LEN(H92)</f>
        <v/>
      </c>
      <c r="J92" s="374" t="inlineStr">
        <is>
          <t>Single Choice</t>
        </is>
      </c>
      <c r="K92" s="315" t="inlineStr">
        <is>
          <t>NA</t>
        </is>
      </c>
      <c r="L92" s="315" t="inlineStr">
        <is>
          <t>NA</t>
        </is>
      </c>
      <c r="M92" s="346" t="inlineStr">
        <is>
          <t>Form Type - Dropdown
IsDemographic
Millet)1.3
Sorghum)1.4
Maize)1.5
Sweet Potatoes)2.3
Beans)3.1
Cabbage)4.1
Tomatoes)5.1
Pumpkin)5.3
Onions)5.8
Groundnut/peanut)8.2
Bambara nut)8.6
Sunflower)9.5
Rice)1.1
Wheat)1.2
Barley)1.6
Other Cereal)1.99
Cassava)2.1
Potatoe)2.2
Yams)2.4
Carrots)2.5
Cocoyam)2.6
Other tubers)2.99
Lentils)3.2
Peas)3.3
Soybeans)3.4
Chickpeas)3.5
Fava beans)3.6
Broad beans)3.7
Other pulses)3.99
Cauliflower)4.101
Lettuce)4.2
Spinach-Amaranth)4.3
Cassava leaves)4.4
Potatoe leaves)4.5
Moringa)4.6
Sorrel Hibiscus / Rosselle)4.7
Green salad herbs [thyme/parsley/mint/rocca/other])4.9
Other leafy vegetables)4.99
Green peas)5.101
Fava beans green)5.11
Cucumber)5.2
Eggplant/aubergine)5.4
Zucchini)5.5
Okra)5.6
Bell pepper)5.7
Haricot)5.9
Other non leafy vegs)5.99
Orange)6.1
Lemon)6.2
Grapefruit)6.3
Mandarins/clementines)6.4
Other citrus fruit)6.99
Sweet Banana)7.1
Figs)7.101
Grapes)7.11
Olives)7.12
Apple)7.13
Apricot)7.14
Cherries)7.15
Peach/nectarine)7.16
Strawberries)7.17
Melon [Cantaloupe])7.18
Plantains)7.2
Papaya)7.3
Mango)7.4
Guava)7.5
Pineapple)7.6
Avocado)7.7
Water Melon)7.8
Dates)7.9
Other fruit)7.99
Coconuts)8.1
Cashew Nut)8.3
Kola Nut)8.4
Sesame)8.5
Almond)8.7
Walnut)8.8
Other nuts)8.99
Cocoa)9.1
Coffee)9.2
Tea)9.3
Sugarcane)9.4
Other food cash crop)9.99
Cotton)10.1
Rubber)10.2
Jute)10.3
Fodder)10.4
Tobacco)10.5
Qat)10.6
Other non-food cash crop)10.99
DON'T KNOW)888
REFUSED)999</t>
        </is>
      </c>
      <c r="N92" s="462" t="inlineStr">
        <is>
          <t>1-90 = crp_irrig_source
91 = crp_main_check
92-93 = crp_salesmain</t>
        </is>
      </c>
      <c r="O92" s="243" t="inlineStr">
        <is>
          <t xml:space="preserve">Suresha to FAO, this question is asked to those that selected yes to crop production at hh_agricactivity, if, "No crop production" routed  to crp_main_check </t>
        </is>
      </c>
      <c r="P92" s="244" t="inlineStr">
        <is>
          <t>This question is asked to those with hh_agricactivity = "Yes - crop production" or "Yes - both crop and livestock production" or if they reported production and sales of crops in one of the three main income sources and confirmed that they are involved in production. Otherwise, skip to crp_salesmain.
Those answering "no crop production" in crp_main will be routed to crp_main_check
Those answering "Don't know" or "refused" in crp_main will be routed to crp_salesmain</t>
        </is>
      </c>
      <c r="Q92" s="397" t="inlineStr">
        <is>
          <t>if crp_main = any type of crop, go to crp_fert_supply;
if crp_main = "No crop production", go to crp_main_check
if crp_main = "Don't know" or "Refused", go to crp_salesmain</t>
        </is>
      </c>
      <c r="R92" s="430" t="n"/>
      <c r="S92" s="72" t="inlineStr">
        <is>
          <t>resp_age = 18-100
(hh_agricactivity = 1 | 3) | (income_main_cropcheck = 1) | (income_sec_cropcheck = 1) | (income_third_cropcheck = 1) 
quotareached = 2</t>
        </is>
      </c>
      <c r="T92" s="68" t="n"/>
      <c r="U92" s="92" t="n">
        <v>27.05755233764648</v>
      </c>
      <c r="V92" s="57">
        <f>#REF!</f>
        <v/>
      </c>
      <c r="W92" s="92">
        <f>U92*V92</f>
        <v/>
      </c>
      <c r="X92" s="3" t="n"/>
      <c r="Z92" s="7" t="inlineStr">
        <is>
          <t>yes</t>
        </is>
      </c>
      <c r="AA92" s="54" t="n"/>
      <c r="AD92" s="6" t="inlineStr">
        <is>
          <t>Change in column H, J &amp; D</t>
        </is>
      </c>
    </row>
    <row r="93" ht="131.25" customFormat="1" customHeight="1" s="5">
      <c r="A93" s="247">
        <f>A92+1</f>
        <v/>
      </c>
      <c r="B93" s="59" t="inlineStr">
        <is>
          <t>crp_main_check</t>
        </is>
      </c>
      <c r="C93" s="67" t="n"/>
      <c r="D93" s="117" t="inlineStr">
        <is>
          <t>Why did you not produce any crops in Last Season?
[OPERATOR: SINGLE RESPONSE.] 
1)Don’t usually produce during this season 
2)Wasn't able to produce [e.g. due to difficulties]</t>
        </is>
      </c>
      <c r="E93" s="564">
        <f>LEN(D93)</f>
        <v/>
      </c>
      <c r="F93" s="117" t="inlineStr">
        <is>
          <t>Nei musina kurima chero zvirimwa muMwaka Wapfuura?
[ARI KUITISA ONGORORO: USAVERENGA. MHINDURO IMWE CHETE.]
1)Hatiwanzowani zvirimwa mumwaka uyu 
2)Takakundikana kurima [somuenzaniso nekuda kwezvinetso]</t>
        </is>
      </c>
      <c r="G93" s="564">
        <f>LEN(F93)</f>
        <v/>
      </c>
      <c r="H93" s="117" t="inlineStr">
        <is>
          <t>Yindaba lingazange lilime izilimo ngesikhathi sokulima esidlulileyo?
[OQHUBAYO: IMPENDULO EYODWA.]
1)Kasandisanga ukulima ngesikhathi lesi
2)Ukungenelisi ukulima [ngesibonelo ngenxa yobunzima]</t>
        </is>
      </c>
      <c r="I93" s="564">
        <f>LEN(H93)</f>
        <v/>
      </c>
      <c r="J93" s="106" t="inlineStr">
        <is>
          <t>Single Choice</t>
        </is>
      </c>
      <c r="K93" s="564" t="inlineStr">
        <is>
          <t>NA</t>
        </is>
      </c>
      <c r="L93" s="564" t="inlineStr">
        <is>
          <t>NA</t>
        </is>
      </c>
      <c r="M93" s="155" t="inlineStr">
        <is>
          <t>Form Type - Buttons</t>
        </is>
      </c>
      <c r="N93" s="156" t="inlineStr">
        <is>
          <t>1 = crp_salesmain
2 = crp_proddif_1</t>
        </is>
      </c>
      <c r="O93" s="157" t="inlineStr">
        <is>
          <t>GeoPoll: This question is identical to crp_main. The routings are also incorrect. Please advise.
Suresha to FAO, please can we keep this question, as  this question is asked to those that selected No crop production at crp_main therefore a check, having selected yes to crop production at hh_agricactivity</t>
        </is>
      </c>
      <c r="P93" s="208" t="inlineStr">
        <is>
          <t>Column D was wrong. Correction implemented; question is no longer identical; skip patterns and conditionals were checked</t>
        </is>
      </c>
      <c r="Q93" s="397" t="inlineStr">
        <is>
          <t>if crp_main_check = 1, go to crp_salesmain
if crp_main_check = 2, go to crp_proddif_1</t>
        </is>
      </c>
      <c r="R93" s="430" t="n"/>
      <c r="S93" s="72" t="inlineStr">
        <is>
          <t>resp_age = 18-100
(hh_agricactivity = 1 | 3) | (income_main_cropcheck = 1) | (income_sec_cropcheck = 1) | (income_third_cropcheck = 1) 
quotareached = 2
crp_main = 91</t>
        </is>
      </c>
      <c r="T93" s="68" t="n"/>
      <c r="U93" s="92" t="n">
        <v>0</v>
      </c>
      <c r="V93" s="57">
        <f>#REF!</f>
        <v/>
      </c>
      <c r="W93" s="92">
        <f>U93*V93</f>
        <v/>
      </c>
      <c r="X93" s="3" t="n"/>
      <c r="Z93" s="7" t="inlineStr">
        <is>
          <t>yes</t>
        </is>
      </c>
      <c r="AA93" s="54" t="n"/>
      <c r="AD93" s="6" t="n"/>
    </row>
    <row r="94" ht="243.75" customFormat="1" customHeight="1" s="248">
      <c r="A94" s="247">
        <f>A93+1</f>
        <v/>
      </c>
      <c r="B94" s="164" t="inlineStr">
        <is>
          <t>crp_irrig_source</t>
        </is>
      </c>
      <c r="C94" s="566" t="inlineStr">
        <is>
          <t>crp_irrig_source</t>
        </is>
      </c>
      <c r="D94" s="161" t="inlineStr">
        <is>
          <t>How do you normally access water for {crp_main}? 
[OPERATOR: SINGLE RESPONSE.]
1)Rainfed
2)Groundwater
3)Natural surface water [river / lake / stream / pond / etc.]
4)Constructed water point [canal / dam / etc.]
5)Public water supply system [e.g. tap water]
6)Other [specify]
7)DON'T KNOW
8)REFUSED</t>
        </is>
      </c>
      <c r="E94" s="566">
        <f>LEN(D94)</f>
        <v/>
      </c>
      <c r="F94" s="161" t="inlineStr">
        <is>
          <t>Munowanzowana sei mvura yamunoshandisa pazvirimwa {crp_main}?
[ARI KUITISA ONGORORO:MHINDURO IMWE CHETE]
1)Mvura inonaya
2)Mvura yepasi
3)Mvura inowanikwa pamusoro pevhu [nzizi / gungwa / karukova / pondi / nezvakada kudaro]
4)Nzvimbo dzakavakirwa kubata mvura [migero / dhamu / nedzakana kudaro]
5)Mvura yeveruzhinji [somuenzaniso mvura yemupombi]
6)Imwewo [ratidza]
7)HANDIZIVI
8)ARAMBA</t>
        </is>
      </c>
      <c r="G94" s="566">
        <f>LEN(F94)</f>
        <v/>
      </c>
      <c r="H94" s="161" t="inlineStr">
        <is>
          <t>Uvamise ukuwathola kanjani amanzi e-{crp_main}?
[OQHUBAYO: UNGABALI. IMPENDULO EYODWA]
1)Amanzi avela nxa izulu lisina
2)Amanzi adonswa phansi
3)Amanzi atholakala kuzakhiwo zemvelo ngokunjalo [ichibi/umfula/lokunye]
4)Indawo yamanzi eyakhiweyo [impompi/idamu/okunye]
5)Indawo etholisa umphakathi amanzi [isibonelo; amanzi aphuma empompini]
6)Okunye [caca]
7)KAZI
8)WALILE</t>
        </is>
      </c>
      <c r="I94" s="316">
        <f>LEN(H94)</f>
        <v/>
      </c>
      <c r="J94" s="346" t="inlineStr">
        <is>
          <t>Open Ended-Single Choice</t>
        </is>
      </c>
      <c r="K94" s="316" t="inlineStr">
        <is>
          <t>NA</t>
        </is>
      </c>
      <c r="L94" s="316" t="inlineStr">
        <is>
          <t>NA</t>
        </is>
      </c>
      <c r="M94" s="316" t="inlineStr">
        <is>
          <t>Form Type - RadioList</t>
        </is>
      </c>
      <c r="N94" s="575" t="inlineStr">
        <is>
          <t>1 = crp_seed_supply
2-5= o_crp_irrig_system
6-8 = crp_seed_supply</t>
        </is>
      </c>
      <c r="P94" s="574" t="inlineStr">
        <is>
          <t>2-5= o_crp_irrig_system</t>
        </is>
      </c>
      <c r="Q94" s="463" t="inlineStr">
        <is>
          <t>if crp_irrig_source = 1-8, go to [crp_area_change or optional question]</t>
        </is>
      </c>
      <c r="R94" s="431" t="inlineStr">
        <is>
          <t>for any response, go to o_crp_irrig_system</t>
        </is>
      </c>
      <c r="S94" s="309" t="inlineStr">
        <is>
          <t>for any response, go to o_crp_irrig_system</t>
        </is>
      </c>
      <c r="T94" s="249" t="n"/>
      <c r="U94" s="250" t="n">
        <v>15.95429515838623</v>
      </c>
      <c r="V94" s="251">
        <f>'[1]Additional information'!$D$17</f>
        <v/>
      </c>
      <c r="W94" s="250">
        <f>U94*V94</f>
        <v/>
      </c>
      <c r="X94" s="252" t="n"/>
      <c r="Z94" s="253" t="n"/>
      <c r="AA94" s="254" t="n"/>
      <c r="AD94" s="255" t="n"/>
    </row>
    <row r="95" ht="243" customFormat="1" customHeight="1" s="248">
      <c r="A95" s="247">
        <f>A94+1</f>
        <v/>
      </c>
      <c r="B95" s="523" t="inlineStr">
        <is>
          <t>o_crp_irrig_system</t>
        </is>
      </c>
      <c r="C95" s="163" t="inlineStr">
        <is>
          <t>o_crp_irrig_system</t>
        </is>
      </c>
      <c r="D95" s="520" t="inlineStr">
        <is>
          <t>Do you  or your community use a pump for your own [the communal] irrigation system?
[OPERATOR: SINGLE RESPONSE.]
1)No - everything works on gravity
2)Yes - there is a communal diesel/gas/solar/electricity pump
3)Yes - there is a communal manual pump
4)Yes - there is a manual pump in my field
5)Yes - there is a diesel/solar/electricity/gas pump in my field
6)DON'T KNOW
7)REFUSED</t>
        </is>
      </c>
      <c r="E95" s="564">
        <f>LEN(D95)</f>
        <v/>
      </c>
      <c r="F95" s="117" t="inlineStr">
        <is>
          <t>Imi kana vamwe vemudunhu renyu munoshandisa muchina wekupomba mvura wenyu pachenyu [wemudunhu] here pakuita zvemadiridziro?
[ARI KUITISA ONGORORO: MHINDURO IMWE CHETE.]
1)Kwete - mvura inoyerera ichibva pakakwirira ichidzika yega.
2)Hongu - pane muchina wekupomba mvura wedhiziri/gasi/zuva/magetsi
3)Hongu - pane muchina wemudunhu unopombwa nemunhu
4)Hongu - pane muchina unopombwa nemunhu uri mumunda mangu
5)Hongu - pane muchina unopomba mvura wedhiziri/zuva/magetsi/gasi uri mumunda mangu
6)HANDIZIVI
7)ARAMBA</t>
        </is>
      </c>
      <c r="G95" s="564">
        <f>LEN(F95)</f>
        <v/>
      </c>
      <c r="H95" s="117" t="inlineStr">
        <is>
          <t>Kungabe wena kumbe umphakathi wakho lisebenzisa impompi yenu [yomphakathi] yendlela yokudonsa amanzi okuthelela??
[OQHUBAYAO: IMPENDULO EYODWA.]
1)Hatshi- konke kusebenza ngendlela yemvelo
2)Yebo- kulempompi yomphakathi yedizili/gasi/sola/amagetsi.
3)Yebo- kulempompi yomphakathi esebenza ngezandla.
4)Yebo - kulempompi esebenza ngezandla emasimini ami.
5)Yebo - kulempompi esebenza ngedizili/sola/amagetsi/gasi emasimini ami.
6)KAZI
7)WALILE</t>
        </is>
      </c>
      <c r="I95" s="315">
        <f>LEN(H95)</f>
        <v/>
      </c>
      <c r="J95" s="374" t="inlineStr">
        <is>
          <t>Single Choice</t>
        </is>
      </c>
      <c r="K95" s="315" t="inlineStr">
        <is>
          <t>NA</t>
        </is>
      </c>
      <c r="L95" s="316" t="inlineStr">
        <is>
          <t>NA</t>
        </is>
      </c>
      <c r="M95" s="346" t="inlineStr">
        <is>
          <t>Form Type - Buttons</t>
        </is>
      </c>
      <c r="N95" s="575" t="inlineStr">
        <is>
          <t>1 = crp_seed_supply
2-5= crp_irrig_pay
6,7 = crp_seed_supply</t>
        </is>
      </c>
      <c r="P95" s="574" t="inlineStr">
        <is>
          <t>2-5= crp_irrig_pay</t>
        </is>
      </c>
      <c r="Q95" s="467" t="inlineStr">
        <is>
          <t>if crp_irrig_system = 1-7, go to [crp_area_change or optional question]</t>
        </is>
      </c>
      <c r="R95" s="432" t="inlineStr">
        <is>
          <t>if crp_irrig_system = 1-7, go to [crp_area_change or optional question]</t>
        </is>
      </c>
      <c r="S95" s="271" t="n"/>
      <c r="T95" s="289" t="n"/>
      <c r="U95" s="250" t="n"/>
      <c r="V95" s="251" t="n"/>
      <c r="W95" s="250" t="n"/>
      <c r="X95" s="252" t="n"/>
      <c r="Z95" s="253" t="n"/>
      <c r="AA95" s="254" t="n"/>
      <c r="AD95" s="255" t="n"/>
    </row>
    <row r="96" ht="187.5" customFormat="1" customHeight="1" s="248">
      <c r="A96" s="247">
        <f>A95+1</f>
        <v/>
      </c>
      <c r="B96" s="523" t="inlineStr">
        <is>
          <t>crp_irrig_pay</t>
        </is>
      </c>
      <c r="C96" s="163" t="inlineStr">
        <is>
          <t>crp_irrig_pay</t>
        </is>
      </c>
      <c r="D96" s="520" t="inlineStr">
        <is>
          <t>Do you have to pay for water rights [e.g. water rights, communal infrastructure maintenance, gas for communal pump, etc.]? 
[OPERATOR: SINGLE RESPONSE.]
1)YES
2)NO
3)DON'T KNOW
4)REFUSED</t>
        </is>
      </c>
      <c r="E96" s="564">
        <f>LEN(D96)</f>
        <v/>
      </c>
      <c r="F96" s="117" t="inlineStr">
        <is>
          <t>Munofanira here kutobhadhara kuti muwane kodzero yekushandisa mvura [somuenzaniso kodzero yemvura, kugadziriswa kwezvivakwa zvedunhu, kutengwa Peturu  remuchina wekupombesa mvura yedunhu, nezvakada kudaro]? 
[ARI KUITISA ONGORORO: MHINDURO IMWE CHETE.]
1)HONGU
2)KWETE
3)HANDIZIVI
4)ARAMBA</t>
        </is>
      </c>
      <c r="G96" s="564">
        <f>LEN(F96)</f>
        <v/>
      </c>
      <c r="H96" s="117" t="inlineStr">
        <is>
          <t>Kuyabe kumele ubhadalele amalungelo kwezamanzi [ isibonelo; amalungelo kwezamanzi, ukulungiswa kwezakhiwo zomphakathi, igasi yempompi yomphakathi, lokunye]? 
[OQHUBAYO: IMPENDULO EYODWA.]
1)YEBO
2)HATSHI
3)KAZI
4)WALILE</t>
        </is>
      </c>
      <c r="I96" s="315">
        <f>LEN(H96)</f>
        <v/>
      </c>
      <c r="J96" s="374" t="inlineStr">
        <is>
          <t>Single Choice</t>
        </is>
      </c>
      <c r="K96" s="316" t="n"/>
      <c r="L96" s="316" t="inlineStr">
        <is>
          <t>NA</t>
        </is>
      </c>
      <c r="M96" s="346" t="inlineStr">
        <is>
          <t>Form Type - Buttons</t>
        </is>
      </c>
      <c r="N96" s="462" t="inlineStr">
        <is>
          <t>1-4 = crp_seed_supply</t>
        </is>
      </c>
      <c r="Q96" s="467" t="inlineStr">
        <is>
          <t>if crp_irrig_pay = 1-4, go to [crp_area_change or optional question]</t>
        </is>
      </c>
      <c r="R96" s="432" t="inlineStr">
        <is>
          <t>if crp_irrig_pay = 1-4, go to [crp_area_change or optional question]</t>
        </is>
      </c>
      <c r="S96" s="271" t="n"/>
      <c r="T96" s="289" t="n"/>
      <c r="U96" s="250" t="n"/>
      <c r="V96" s="251" t="n"/>
      <c r="W96" s="250" t="n"/>
      <c r="X96" s="252" t="n"/>
      <c r="Z96" s="253" t="n"/>
      <c r="AA96" s="254" t="n"/>
      <c r="AD96" s="255" t="n"/>
    </row>
    <row r="97" ht="281.25" customFormat="1" customHeight="1" s="248">
      <c r="A97" s="247">
        <f>A96+1</f>
        <v/>
      </c>
      <c r="B97" s="523" t="inlineStr">
        <is>
          <t>crp_seed_supply</t>
        </is>
      </c>
      <c r="C97" s="163" t="inlineStr">
        <is>
          <t>crp_seed_supply
1) crp_seed_ownprod
2) crp_seed_market
3) crp_seed_company
4) crp_seed_ngo
5) crp_seed_organized_community
6) crp_seed_gov
7) crp_seed_relatives_friends
8) crp_seed_other
9) crp_seed_dk
10) crp_seed_ref</t>
        </is>
      </c>
      <c r="D97" s="520" t="inlineStr">
        <is>
          <t>Where do you normally procure your seeds? 
[OPERATOR: MULTIPLE RESPONSES POSSIBLE.]
1)Own production
2)Local market or agro-input shop/dealer
3)Private seed company
4)NGOs
5)Community seed banks / farmer networks / farmers' association / etc.
6)Government [e.g. MoA]
7)Relatives or friends
8)Other
9)DON'T KNOW
10)REFUSED</t>
        </is>
      </c>
      <c r="E97" s="566">
        <f>LEN(D97)</f>
        <v/>
      </c>
      <c r="F97" s="520" t="inlineStr">
        <is>
          <t>Unowanzotenga mbeu yaunoshandisa kupi? 
[ARI KUITISA ONGORORO: PANOGONA KUPIWA MHINDURO DZAKAWANDA.]
1)Kuzvigadzirira pachangu
2)Musika uri pedyo kana chitoro chinotengesa zvekurimisa/anoita zvekutengesa
3)Kambani inotengesa mbeu yakazvimirira
4)Masangano anopa rubatsiro [NGO]
5)Matura embeu emudunhu / kudyidzana kwevarimi / masangano evarimi / nezvakada kudaro
6)Hurumende [somuenzaniso MoA]
7)Hama neshamwari
8)Kumwewo
9)HANDIZIVI
10)ARAMBA</t>
        </is>
      </c>
      <c r="G97" s="163">
        <f>LEN(F97)</f>
        <v/>
      </c>
      <c r="H97" s="520" t="inlineStr">
        <is>
          <t>Wandise ukuthola ngaphi inhlanyelo? 
[OQHUBAYO: IMPENDULO EZINENGI ZINGAPHIWA.]
1)Ukuzilungiselela
2)Indawo okuthengiswa khona kumbe isitolo sezokulima/umthengisi
3)Inkampani ezimeleyo ethengisa inhlanyelo
4)Inhlanganiso ezizimeleyo [NGO]
5)Amabhanga omphakathi agcina inhlanyelo/ukuhlanganyelana kwabalimi/inhlanganiso zabalimi/lokunye.
6)Uhulumende [isibonelo. MoA]
7)Izihlobo kumbe abangane
8)Okunye
9)KAZI
10)WALILE</t>
        </is>
      </c>
      <c r="I97" s="323">
        <f>LEN(H97)</f>
        <v/>
      </c>
      <c r="J97" s="349" t="inlineStr">
        <is>
          <t xml:space="preserve">Select All That Apply </t>
        </is>
      </c>
      <c r="K97" s="323" t="inlineStr">
        <is>
          <t>NA</t>
        </is>
      </c>
      <c r="L97" s="323" t="inlineStr">
        <is>
          <t>NA</t>
        </is>
      </c>
      <c r="M97" s="323" t="inlineStr">
        <is>
          <t>Form Type - Checklist
9,10 = IsNone
Own production) crp_seed_ownprod
Local market or agro-input shop/dealer) crp_seed_market
Private seed company) crp_seed_company
NGOs) crp_seed_ngo
Community seed banks / farmer networks / farmers' association / etc.) crp_seed_organized_community
Government [e.g. MoA]) crp_seed_gov
Relatives or friends) crp_seed_relatives_friends
Other) crp_seed_other
DON'T KNOW) crp_seed_dk
REFUSED) crp_seed_ref</t>
        </is>
      </c>
      <c r="N97" s="469" t="inlineStr">
        <is>
          <t>1-10 = o_crp_seed_price_change</t>
        </is>
      </c>
      <c r="Q97" s="310" t="inlineStr">
        <is>
          <t>if crp_seed_supply = 1-10, go to o_crp_seed_price_change</t>
        </is>
      </c>
      <c r="R97" s="310" t="inlineStr">
        <is>
          <t>if crp_seed_supply = 1-10, go to o_crp_seed_price_change</t>
        </is>
      </c>
      <c r="S97" s="271" t="n"/>
      <c r="T97" s="289" t="n"/>
      <c r="U97" s="250" t="n"/>
      <c r="V97" s="251" t="n"/>
      <c r="W97" s="250" t="n"/>
      <c r="X97" s="252" t="n"/>
      <c r="Z97" s="253" t="n"/>
      <c r="AA97" s="254" t="n"/>
      <c r="AD97" s="255" t="n"/>
    </row>
    <row r="98" ht="225" customFormat="1" customHeight="1" s="248">
      <c r="A98" s="247">
        <f>A97+1</f>
        <v/>
      </c>
      <c r="B98" s="523" t="inlineStr">
        <is>
          <t>o_crp_seed_price_change</t>
        </is>
      </c>
      <c r="C98" s="163" t="inlineStr">
        <is>
          <t>o_crp_seed_price_change</t>
        </is>
      </c>
      <c r="D98" s="524" t="inlineStr">
        <is>
          <t>Has the price of seed changed in the last 3 months compared to the same period of a normal year?
[OPERATOR: SINGLE RESPONSE.]
1)A lot more [increased by more than 50%]
2)Slightly more
3)Same
4)Slightly less
5)A lot less [less than half as much]
6)DON'T KNOW
7)REFUSED</t>
        </is>
      </c>
      <c r="E98" s="564">
        <f>LEN(D98)</f>
        <v/>
      </c>
      <c r="F98" s="117" t="inlineStr">
        <is>
          <t>Mutengo wembeu wakachinja here mukati memwedzi 3 yapfuura tichienzanisa nezvavaiva panguva yakafanana yegore apo zvinhu zvainge zvakanaka?
[ARI KUITISA ONGORORO: MHINDURO IMWE CHETE.]
1)Wakakwira zvikuru [wakakwira nechikamu chinopfuura 50%]
2)Wakakwira zvishoma
3)Hauna kuchinja
4)Wakadzika zvishoma
5)Wakadzika zvikuru [nechikamu chinodarika hafu kudzika]
6)HANDIZIVI
7)ARAMBA</t>
        </is>
      </c>
      <c r="G98" s="564">
        <f>LEN(F98)</f>
        <v/>
      </c>
      <c r="H98" s="117" t="inlineStr">
        <is>
          <t>Kungabe intengo yenhlanyelo yatshintsha kunyanga ezintathu ezidlulileyo nxa uqathanisa lesikhathi esifanayo nxa kungumnyaka ojwayelekileyo?
[OQHUBAYO: IMPENDULO EYODWA.]
1)Ngokunengi kakhulu [ikhwele okwedlula i-50%]
2)Ngokunengi mbijana
3)Ngokufanana
4)Ngokulutshwana kancane
5)Ngokulutshwana kakhulu [okulutshwane okwedlula ingxenye]
6)KAZI
7)WALILE</t>
        </is>
      </c>
      <c r="I98" s="315">
        <f>LEN(H98)</f>
        <v/>
      </c>
      <c r="J98" s="374" t="inlineStr">
        <is>
          <t>Single Choice</t>
        </is>
      </c>
      <c r="K98" s="315" t="inlineStr">
        <is>
          <t>NA</t>
        </is>
      </c>
      <c r="L98" s="316" t="inlineStr">
        <is>
          <t>NA</t>
        </is>
      </c>
      <c r="M98" s="346" t="inlineStr">
        <is>
          <t>Form Type - Buttons</t>
        </is>
      </c>
      <c r="N98" s="462" t="inlineStr">
        <is>
          <t>1-7 = o_crp_germination</t>
        </is>
      </c>
      <c r="Q98" s="437" t="inlineStr">
        <is>
          <t>if crp_seed_price_change = 1-7, go to o_crp_germination</t>
        </is>
      </c>
      <c r="R98" s="433" t="inlineStr">
        <is>
          <t>if crp_seed_price_change = 1-7, go to o_crp_germination</t>
        </is>
      </c>
      <c r="S98" s="271" t="n"/>
      <c r="T98" s="289" t="n"/>
      <c r="U98" s="250" t="n"/>
      <c r="V98" s="251" t="n"/>
      <c r="W98" s="250" t="n"/>
      <c r="X98" s="252" t="n"/>
      <c r="Z98" s="253" t="n"/>
      <c r="AA98" s="254" t="n"/>
      <c r="AD98" s="255" t="n"/>
    </row>
    <row r="99" ht="206.25" customFormat="1" customHeight="1" s="248">
      <c r="A99" s="247">
        <f>A98+1</f>
        <v/>
      </c>
      <c r="B99" s="525" t="inlineStr">
        <is>
          <t>o_crp_germination</t>
        </is>
      </c>
      <c r="C99" s="526" t="n"/>
      <c r="D99" s="168" t="inlineStr">
        <is>
          <t>How is the seed gemination rate for the main crop you have planted the on-going season?
[OPERATOR: SINGLE RESPONSE.]
1)Good
2)Poor
3)Not yet germinating
4)Not yet planted
5)DON'T KNOW
6)REFUSED</t>
        </is>
      </c>
      <c r="E99" s="564">
        <f>LEN(D99)</f>
        <v/>
      </c>
      <c r="F99" s="117" t="inlineStr">
        <is>
          <t>Mwero wekubuda kwembeu yechirimwa chikuru chamakadyara wange uri sei mwaka uno?
[ARI KUITISA ONGORORO: MHINDURO IMWE CHETE.]
1)Wakanaka
2)Wakadzikira
3)Hazvisati zvabuda
4)Hazvisati zvadyarwa
5)HANDIZIVI
6)ARAMBA</t>
        </is>
      </c>
      <c r="G99" s="564">
        <f>LEN(F99)</f>
        <v/>
      </c>
      <c r="H99" s="117" t="inlineStr">
        <is>
          <t>Ukuhluma kwenhlanyelo yesilimo esiyiso esilinywayo kukuzinga liphi kusikhathi sokulima esikiso?
[OQHUBAYO: IMPENDULO EYODWA.]
1)Kuhle kakhulu
2)Kuphansi
3)Ayikahlumi
4)Akukahlanyelwa
5)KAZI
6)WALILE</t>
        </is>
      </c>
      <c r="I99" s="315">
        <f>LEN(H99)</f>
        <v/>
      </c>
      <c r="J99" s="374" t="inlineStr">
        <is>
          <t>Single Choice</t>
        </is>
      </c>
      <c r="K99" s="315" t="inlineStr">
        <is>
          <t>NA</t>
        </is>
      </c>
      <c r="L99" s="316" t="inlineStr">
        <is>
          <t>NA</t>
        </is>
      </c>
      <c r="M99" s="346" t="inlineStr">
        <is>
          <t>Form Type - Buttons</t>
        </is>
      </c>
      <c r="N99" s="462" t="inlineStr">
        <is>
          <t>1-6 = o_crp_fert_supply</t>
        </is>
      </c>
      <c r="Q99" s="468" t="inlineStr">
        <is>
          <t>if crp_germination = 1-6, go to [o_crp_fert_supply]</t>
        </is>
      </c>
      <c r="R99" s="434" t="inlineStr">
        <is>
          <t>if crp_germination = 1-6, go to [o_crp_fert_supply]</t>
        </is>
      </c>
      <c r="S99" s="271" t="n"/>
      <c r="T99" s="289" t="n"/>
      <c r="U99" s="250" t="n"/>
      <c r="V99" s="251" t="n"/>
      <c r="W99" s="250" t="n"/>
      <c r="X99" s="252" t="n"/>
      <c r="Z99" s="253" t="n"/>
      <c r="AA99" s="254" t="n"/>
      <c r="AD99" s="255" t="n"/>
    </row>
    <row r="100" ht="243.75" customFormat="1" customHeight="1" s="248">
      <c r="A100" s="247">
        <f>A99+1</f>
        <v/>
      </c>
      <c r="B100" s="525" t="inlineStr">
        <is>
          <t>o_crp_fert_supply</t>
        </is>
      </c>
      <c r="C100" s="526" t="n"/>
      <c r="D100" s="520" t="inlineStr">
        <is>
          <t>Where do you normally procure fertilizer? 
[OPERATOR: MULTIPLE RESPONSES POSSIBLE.]
1)I do not normally apply fertilizer
2)Purchased at market or agro-input shop
3)Free distribution
4)Community/ farmer networks / etc.
5)Government suppliers/subsidy
6)Self-produced / Manure
7)Other
8)DON'T KNOW
9)REFUSED</t>
        </is>
      </c>
      <c r="E100" s="564">
        <f>LEN(D100)</f>
        <v/>
      </c>
      <c r="F100" s="520" t="inlineStr">
        <is>
          <t>Munowanzotenga kupi fetereza? 
[ARI KUITISA ONGORORO: PANOGONA KUPIWA MHINDURO DZAKAWANDA.]
1)Handiwanzoisa fetereza
2)Kutenga kumusika kana chitoro chinotengesa zvekurimisa
3)Kupiwa mahara
4)Munharaunda/ kudyidzana kwevarimi / kumwewo
5)Kupiwa nehurumende/inenge yakaderedzwa mutengo
6)Kuzvigadzirira / Manyowa
7)Kumwewo
8)HANDIZIVI
9)ARAMBA</t>
        </is>
      </c>
      <c r="G100" s="570">
        <f>LEN(F100)</f>
        <v/>
      </c>
      <c r="H100" s="520" t="inlineStr">
        <is>
          <t>Landise ukuthenga ngaphi ifethalayiza? 
[OQHUBAYO: IMPENDULO EZINENGI ZINGAKHETHWA]
1)Kangandisanga ukufaka ifethalayiza
2)Yathengwa emakethe kumbe esitolo esithengisa ezokulima
3)Ukuphiwa mahala.
4)Kumphakathi/inhlanganiso zabalimi/lokunye
5)Ukutholiswa nguhulumende
6)Ukuzilungisela/Umquba
7)Okunye
8)KAZI
9)WALILE</t>
        </is>
      </c>
      <c r="I100" s="334">
        <f>LEN(H100)</f>
        <v/>
      </c>
      <c r="J100" s="452" t="inlineStr">
        <is>
          <t>Select All That Apply</t>
        </is>
      </c>
      <c r="K100" s="323" t="inlineStr">
        <is>
          <t>NA</t>
        </is>
      </c>
      <c r="L100" s="323" t="inlineStr">
        <is>
          <t>NA</t>
        </is>
      </c>
      <c r="M100" s="323" t="inlineStr">
        <is>
          <t>Form Type - Checklist
1,8,9 = IsNone</t>
        </is>
      </c>
      <c r="N100" s="469" t="inlineStr">
        <is>
          <t>1 = o_crp_main_area
2-9 = o_crp_fert_now</t>
        </is>
      </c>
      <c r="Q100" s="468" t="inlineStr">
        <is>
          <t>if o_crp_fert_supply = 1-4, go to [o_crp_fert_now]</t>
        </is>
      </c>
      <c r="R100" s="434" t="inlineStr">
        <is>
          <t>if o_crp_fert_supply = 1-4, go to [o_crp_fert_now]</t>
        </is>
      </c>
      <c r="S100" s="271" t="n"/>
      <c r="T100" s="289" t="n"/>
      <c r="U100" s="250" t="n"/>
      <c r="V100" s="251" t="n"/>
      <c r="W100" s="250" t="n"/>
      <c r="X100" s="252" t="n"/>
      <c r="Z100" s="253" t="n"/>
      <c r="AA100" s="254" t="n"/>
      <c r="AD100" s="255" t="n"/>
    </row>
    <row r="101" ht="150" customFormat="1" customHeight="1" s="248">
      <c r="A101" s="247">
        <f>A100+1</f>
        <v/>
      </c>
      <c r="B101" s="525" t="inlineStr">
        <is>
          <t>o_crp_fert_now</t>
        </is>
      </c>
      <c r="C101" s="526" t="n"/>
      <c r="D101" s="520" t="inlineStr">
        <is>
          <t>Were you able to continue doing so, this season?
[OPERATOR: SINGLE RESPONSE.]
1)YES
2)NO
3)DON'T KNOW
4)REFUSED</t>
        </is>
      </c>
      <c r="E101" s="566">
        <f>LEN(D101)</f>
        <v/>
      </c>
      <c r="F101" s="520" t="inlineStr">
        <is>
          <t>Makakwanisa here kuramba muchiita izvi, mwaka uno?
[ARI KUITISA ONGORORO: MHINDURO IMWE CHETE.]
1)HONGU
2)KWETE
3)HANDIZIVI
4)ARAMBA</t>
        </is>
      </c>
      <c r="G101" s="570">
        <f>LEN(F101)</f>
        <v/>
      </c>
      <c r="H101" s="520" t="inlineStr">
        <is>
          <t>Wenelisa ukuqhubeka usenza lokhu, ngalesi sikhathi?
[OQHUBAYO: IMPENDULO EYODWA.]
1)YEBO
2)HATSHI
3)KAZI
4)WALILE</t>
        </is>
      </c>
      <c r="I101" s="334">
        <f>LEN(H101)</f>
        <v/>
      </c>
      <c r="J101" s="452" t="inlineStr">
        <is>
          <t>Single Choice</t>
        </is>
      </c>
      <c r="K101" s="323" t="inlineStr">
        <is>
          <t>NA</t>
        </is>
      </c>
      <c r="L101" s="323" t="inlineStr">
        <is>
          <t>NA</t>
        </is>
      </c>
      <c r="M101" s="323" t="inlineStr">
        <is>
          <t>Form Type - Buttons</t>
        </is>
      </c>
      <c r="N101" s="469" t="inlineStr">
        <is>
          <t>1-4 = o_crp_fert_price</t>
        </is>
      </c>
      <c r="Q101" s="468" t="inlineStr">
        <is>
          <t>if o_crp_fert_now = 1-9, go to [o_crp_fert_price]</t>
        </is>
      </c>
      <c r="R101" s="434" t="inlineStr">
        <is>
          <t>if o_crp_fert_now = 1-9, go to [o_crp_fert_price]</t>
        </is>
      </c>
      <c r="S101" s="271" t="n"/>
      <c r="T101" s="289" t="n"/>
      <c r="U101" s="250" t="n"/>
      <c r="V101" s="251" t="n"/>
      <c r="W101" s="250" t="n"/>
      <c r="X101" s="252" t="n"/>
      <c r="Z101" s="253" t="n"/>
      <c r="AA101" s="254" t="n"/>
      <c r="AD101" s="255" t="n"/>
    </row>
    <row r="102" ht="206.25" customFormat="1" customHeight="1" s="248">
      <c r="A102" s="247">
        <f>A101+1</f>
        <v/>
      </c>
      <c r="B102" s="525" t="inlineStr">
        <is>
          <t>o_crp_fert_price</t>
        </is>
      </c>
      <c r="C102" s="526" t="n"/>
      <c r="D102" s="520" t="inlineStr">
        <is>
          <t>How has the price of fertlizer changed, since the last year?
[OPERATOR: SINGLE RESPONSE.]
1)A lot more [increased by more than 50%]
2)Slightly more
3)Same
4)Slightly less
5)A lot less [less than half as much]
6)DON'T KNOW
7)REFUSED</t>
        </is>
      </c>
      <c r="E102" s="566">
        <f>LEN(D102)</f>
        <v/>
      </c>
      <c r="F102" s="520" t="inlineStr">
        <is>
          <t>Mutengo wefetereza wakachinja sei, kubvira gore rakapera?
[ARI KUITISA ONGORORO: MHINDURO IMWE CHETE.]
1)Wakakwira zvikuru [wakakwira nechikamu chinopfuura 50%]
2)Wakakwira zvishoma
3)Hauna kuchinja
4)Wakadzika zvishoma
5)Wakadzika zvikuru [nechikamu chinodarika hafu kudzika]
6)HANDIZIVI
7)ARAMBA</t>
        </is>
      </c>
      <c r="G102" s="570">
        <f>LEN(F102)</f>
        <v/>
      </c>
      <c r="H102" s="520" t="inlineStr">
        <is>
          <t>Intengo yefethalayiza yatshintsha njani kusukela ngomnyaka odluleyo?
[OQHUBAYO: IMPENDULO EYODWA.]
1)Okunengi kakhulu [yengezeleka ngokwedlula i-50%]
2)Okunengi mbijana
3)Kuyafana
4)Okulutshwana mbijana
5)Okuluthswana kakhulu [okuncane okwedlula ingxenye ubunengi]
6)KAZI
7)WALILE</t>
        </is>
      </c>
      <c r="I102" s="334">
        <f>LEN(H102)</f>
        <v/>
      </c>
      <c r="J102" s="452" t="inlineStr">
        <is>
          <t>Single Choice</t>
        </is>
      </c>
      <c r="K102" s="323" t="inlineStr">
        <is>
          <t>NA</t>
        </is>
      </c>
      <c r="L102" s="323" t="inlineStr">
        <is>
          <t>NA</t>
        </is>
      </c>
      <c r="M102" s="323" t="inlineStr">
        <is>
          <t>Form Type - Buttons</t>
        </is>
      </c>
      <c r="N102" s="469" t="inlineStr">
        <is>
          <t>1-7 = o_fert_subst</t>
        </is>
      </c>
      <c r="Q102" s="468" t="inlineStr">
        <is>
          <t>if o_crp_fert_price = 1-7, go to [o_fert_subst]</t>
        </is>
      </c>
      <c r="R102" s="434" t="inlineStr">
        <is>
          <t>if o_crp_fert_price = 1-7, go to [o_fert_subst]</t>
        </is>
      </c>
      <c r="S102" s="271" t="n"/>
      <c r="T102" s="289" t="n"/>
      <c r="U102" s="250" t="n"/>
      <c r="V102" s="251" t="n"/>
      <c r="W102" s="250" t="n"/>
      <c r="X102" s="252" t="n"/>
      <c r="Z102" s="253" t="n"/>
      <c r="AA102" s="254" t="n"/>
      <c r="AD102" s="255" t="n"/>
    </row>
    <row r="103" ht="187.5" customFormat="1" customHeight="1" s="248">
      <c r="A103" s="247">
        <f>A102+1</f>
        <v/>
      </c>
      <c r="B103" s="525" t="inlineStr">
        <is>
          <t>o_fert_subst</t>
        </is>
      </c>
      <c r="C103" s="526" t="n"/>
      <c r="D103" s="520" t="inlineStr">
        <is>
          <t>Did you use a substitutive fertilizer, this season?
[OPERATOR: SINGLE RESPONSE.]
1)No - I used the same
2)No - I only diminished its application or used nothing at all
3)Yes - with other chemical fertilizer
4)Yes - with manure
5)DON’T KNOW
6)REFUSED</t>
        </is>
      </c>
      <c r="E103" s="566">
        <f>LEN(D103)</f>
        <v/>
      </c>
      <c r="F103" s="520" t="inlineStr">
        <is>
          <t>Makashandisa here imwe mhando yefetereza, mwaka uno?
[ARI KUITISA ONGORORO: MHINDURO IMWE CHETE.]
1)Kwete - ndakashandisa imwe cheteyo
2)Kwete - ndakangoderedza huwandu hweyandaiisa kana kusatomboishandisa
3)Hongu - neimwewo mhando yefetereza
4)Hongu - nemanyowa
5)HANDIZIVI
6)ARAMBA</t>
        </is>
      </c>
      <c r="G103" s="566">
        <f>LEN(F103)</f>
        <v/>
      </c>
      <c r="H103" s="520" t="inlineStr">
        <is>
          <t>Wasebenzisa yini omunye umhlobo wefethalayiza, ngesikhathi lesi sokulima?
[OQHUBAYO: IMPENDULO EYODWA.]
1)Hatsi - ngasebenzisa okufanayo
2)Hatshi - ngehlisa inani engalifakayo kumbe kangisebenzisanga lutho vele
3)Yebo - leminye imihlobo yomuthi wefethalayiza
4)Yebo - lomquba
5)KAZI
6)WALILE</t>
        </is>
      </c>
      <c r="I103" s="316">
        <f>LEN(H103)</f>
        <v/>
      </c>
      <c r="J103" s="452" t="inlineStr">
        <is>
          <t>Single Choice</t>
        </is>
      </c>
      <c r="K103" s="323" t="inlineStr">
        <is>
          <t>NA</t>
        </is>
      </c>
      <c r="L103" s="323" t="inlineStr">
        <is>
          <t>NA</t>
        </is>
      </c>
      <c r="M103" s="323" t="inlineStr">
        <is>
          <t>Form Type - Buttons</t>
        </is>
      </c>
      <c r="N103" s="469" t="inlineStr">
        <is>
          <t>1-6 = o_crp_main_area</t>
        </is>
      </c>
      <c r="Q103" s="468" t="inlineStr">
        <is>
          <t>if o_fert_subst = 1-6, go to [o_crp_main_area]</t>
        </is>
      </c>
      <c r="R103" s="434" t="inlineStr">
        <is>
          <t>if o_fert_subst = 1-6, go to [o_crp_main_area]</t>
        </is>
      </c>
      <c r="S103" s="271" t="n"/>
      <c r="T103" s="289" t="n"/>
      <c r="U103" s="250" t="n"/>
      <c r="V103" s="251" t="n"/>
      <c r="W103" s="250" t="n"/>
      <c r="X103" s="252" t="n"/>
      <c r="Z103" s="253" t="n"/>
      <c r="AA103" s="254" t="n"/>
      <c r="AD103" s="255" t="n"/>
    </row>
    <row r="104" ht="93.75" customFormat="1" customHeight="1" s="248">
      <c r="A104" s="247">
        <f>A103+1</f>
        <v/>
      </c>
      <c r="B104" s="160" t="inlineStr">
        <is>
          <t>o_crp_main_area</t>
        </is>
      </c>
      <c r="C104" s="165" t="n"/>
      <c r="D104" s="520" t="inlineStr">
        <is>
          <t>What is the total size of area you planted to {crp_main}?
[OPERATOR: RECORD THE TOTAL LAND SIZE PROVIDED BY THE RESPONDENT. WRITE 8888888 FOR DON'T KNOW AND 9999999 FOR REFUSED. MEASUREMENT UNIT WILL BE SPECIFIED IN THE FOLLOWING QUESTION.]</t>
        </is>
      </c>
      <c r="E104" s="566">
        <f>LEN(D104)</f>
        <v/>
      </c>
      <c r="F104" s="161" t="inlineStr">
        <is>
          <t>Nzvimbo yamakadyara {crp_main} yakakura sei?
[ARI KUITISA ONGORORO: NYORA PASI KUKURA KWEMUNDA KWATAURWA NEARI KUPINDURA. NYORA 8888888 KANA ASINGAZIVI UYE 9999999 KANA ARAMBA. NZIRA YEKUYERA NAYO ICHATSANANGURWA MUMUBVUNZO UNOTEVERA.]</t>
        </is>
      </c>
      <c r="G104" s="566">
        <f>LEN(F104)</f>
        <v/>
      </c>
      <c r="H104" s="161" t="inlineStr">
        <is>
          <t>Ubukhulu bendawo owayilima uku {crp_main} bunganani?
[OQHUBAYO: BHALA INANI LOBUKHULU BONKE BOMHLABATHI ELIKHULUNYWE NGUMAPHENDULA. BHALA 8888888 NXA ENGAZI KANYE LO 9999999 NXA EYALILE. INDLELA YOKUKALA IZACACISWA KUMBUZO OLANDELAYO.]</t>
        </is>
      </c>
      <c r="I104" s="316">
        <f>LEN(H104)</f>
        <v/>
      </c>
      <c r="J104" s="346" t="inlineStr">
        <is>
          <t>Range</t>
        </is>
      </c>
      <c r="K104" s="316" t="inlineStr">
        <is>
          <t>NA</t>
        </is>
      </c>
      <c r="L104" s="316" t="inlineStr">
        <is>
          <t>NA</t>
        </is>
      </c>
      <c r="M104" s="316" t="inlineStr">
        <is>
          <t>Form Type - TextBox</t>
        </is>
      </c>
      <c r="N104" s="462" t="inlineStr">
        <is>
          <t>0-1000000 = o_crp_Main_landsize_unit
8888888-8888888 =crp_area_change
9999999-9999999 = crp_area_change</t>
        </is>
      </c>
      <c r="Q104" s="327" t="inlineStr">
        <is>
          <t>For any response, go to o_crp_Main_landsize_unit. Range is between 0 and 1000000. For "Don't know" and "Refused", go to o_crp_Main_landsize_unit.</t>
        </is>
      </c>
      <c r="R104" s="435" t="inlineStr">
        <is>
          <t>For any response, go to o_crp_Main_landsize_unit. Range is between 0 and 1000000. For "Don't know" and "Refused", go to o_crp_Main_landsize_unit.</t>
        </is>
      </c>
      <c r="S104" s="271" t="n"/>
      <c r="T104" s="289" t="n"/>
      <c r="U104" s="250" t="n"/>
      <c r="V104" s="251" t="n"/>
      <c r="W104" s="250" t="n"/>
      <c r="X104" s="252" t="n"/>
      <c r="Z104" s="253" t="n"/>
      <c r="AA104" s="254" t="n"/>
      <c r="AD104" s="255" t="n"/>
    </row>
    <row r="105" ht="168.75" customFormat="1" customHeight="1" s="248">
      <c r="A105" s="247">
        <f>A104+1</f>
        <v/>
      </c>
      <c r="B105" s="523" t="inlineStr">
        <is>
          <t>o_crp_Main_landsize_unit</t>
        </is>
      </c>
      <c r="C105" s="163" t="n"/>
      <c r="D105" s="520" t="inlineStr">
        <is>
          <t xml:space="preserve">Unit of measurement for land size: 
[OPERATOR: DO NOT READ. SINGLE RESPONSE.]
1)Acres
2)Hectares
3)Square meters
4)Square feet
</t>
        </is>
      </c>
      <c r="E105" s="566">
        <f>LEN(D105)</f>
        <v/>
      </c>
      <c r="F105" s="161" t="inlineStr">
        <is>
          <t>Nzira yekuyera nayo hukuru hwemunda: 
[ARI KUITISA ONGORORO: USAVERENGA. MHINDURO IMWE CHETE.]
1)Mayeka
2)Mahekitara
3)Masikweya mita
4)Masikweya fiti</t>
        </is>
      </c>
      <c r="G105" s="566">
        <f>LEN(F105)</f>
        <v/>
      </c>
      <c r="H105" s="161" t="inlineStr">
        <is>
          <t>Indlela yokukala ubukhulu bomhlabathi: 
[OQHUBAYO: UNGABALI. IMPENDULO EYODWA.]
1)Ama-Acres
2)Ama-Hectares
3)Ama-Square meters
4)Ama-Square feet</t>
        </is>
      </c>
      <c r="I105" s="316">
        <f>LEN(H105)</f>
        <v/>
      </c>
      <c r="J105" s="452" t="inlineStr">
        <is>
          <t>Single Choice</t>
        </is>
      </c>
      <c r="K105" s="323" t="inlineStr">
        <is>
          <t>NA</t>
        </is>
      </c>
      <c r="L105" s="323" t="inlineStr">
        <is>
          <t>NA</t>
        </is>
      </c>
      <c r="M105" s="323" t="inlineStr">
        <is>
          <t>Form Type - Buttons</t>
        </is>
      </c>
      <c r="N105" s="462" t="inlineStr">
        <is>
          <t>1-4 = crp_area_change</t>
        </is>
      </c>
      <c r="Q105" s="427" t="inlineStr">
        <is>
          <t>if crp_Main_landsize_unit = 1-5, go to crp_area_change</t>
        </is>
      </c>
      <c r="R105" s="436" t="inlineStr">
        <is>
          <t>if crp_Main_landsize_unit = 1-5, go to crp_area_change</t>
        </is>
      </c>
      <c r="S105" s="271" t="n"/>
      <c r="T105" s="289" t="n"/>
      <c r="U105" s="250" t="n"/>
      <c r="V105" s="251" t="n"/>
      <c r="W105" s="250" t="n"/>
      <c r="X105" s="252" t="n"/>
      <c r="Z105" s="253" t="n"/>
      <c r="AA105" s="254" t="n"/>
      <c r="AD105" s="255" t="n"/>
    </row>
    <row r="106" ht="225" customFormat="1" customHeight="1" s="5">
      <c r="A106" s="247">
        <f>A105+1</f>
        <v/>
      </c>
      <c r="B106" s="120" t="inlineStr">
        <is>
          <t>crp_area_change</t>
        </is>
      </c>
      <c r="C106" s="121" t="inlineStr">
        <is>
          <t>crp_area_change</t>
        </is>
      </c>
      <c r="D106" s="161" t="inlineStr">
        <is>
          <t>How did the area planted for {crp_main} from the on-going season compare to a normal year?
[OPERATOR: SINGLE RESPONSE.]
1)A lot more [increased by more than 50%]
2)Slightly more
3)Same
4)Slightly less
5)A lot less [less than half as much]
6)DON'T KNOW
7)REFUSED</t>
        </is>
      </c>
      <c r="E106" s="566">
        <f>LEN(D106)</f>
        <v/>
      </c>
      <c r="F106" s="161" t="inlineStr">
        <is>
          <t>Nzvimbo yamakadyara {crp_main} mwaka uno iri sei kana muchiienzanisa neyamunodyara mugore rinenge rakanaka?
[ARI KUITISA ONGORORO: MHINDURO IMWE CHETE.]
1)Wakawedzera zvikuru [wakakwira nezvikamu 50 kubva muzana]
2)Wakawedzera zvishoma
3)Hauna kuchinja
4)Wakadzika zvishoma
5)Wakadzika zvikuru [zviri pasi zvikuru nechidimbu]
6)HANDIZIVI
7)ARAMBA</t>
        </is>
      </c>
      <c r="G106" s="566">
        <f>LEN(F106)</f>
        <v/>
      </c>
      <c r="H106" s="161" t="inlineStr">
        <is>
          <t>Indawo eyalinyelwa {crp_main} ngesikhathi sokulima esikiso yaqathaniseka njani lesikhathi somnyaka ojwayelekileyo?
[OQHUBAYO: IMPENDULO EYODWA.]
1)Kakhulu [ikhuphuke ngenani eledluala amaphesenti angu50%]
2)Kakhulu mbijana
3)Ngokufanana
4)Kancane mbijana
5)Kancane mbijana [Ngokulutshwana okwedlula ingxenye]
6)KAZI
7)WALILE</t>
        </is>
      </c>
      <c r="I106" s="316">
        <f>LEN(H106)</f>
        <v/>
      </c>
      <c r="J106" s="329" t="inlineStr">
        <is>
          <t>Single Choice</t>
        </is>
      </c>
      <c r="K106" s="316" t="inlineStr">
        <is>
          <t>NA</t>
        </is>
      </c>
      <c r="L106" s="316" t="inlineStr">
        <is>
          <t>NA</t>
        </is>
      </c>
      <c r="M106" s="316" t="inlineStr">
        <is>
          <t>Form Type - Buttons</t>
        </is>
      </c>
      <c r="N106" s="462" t="inlineStr">
        <is>
          <t>1-7 = crp_harv_change</t>
        </is>
      </c>
      <c r="O106" s="157" t="n"/>
      <c r="P106" s="157" t="n"/>
      <c r="Q106" s="398" t="inlineStr">
        <is>
          <t>if crp_area_change = 1-7, go to crp_harv_change</t>
        </is>
      </c>
      <c r="R106" s="437" t="n"/>
      <c r="S106" s="159" t="inlineStr">
        <is>
          <t>resp_age = 18-100
(hh_agricactivity = 1 | 3) | (income_main_cropcheck = 1) | (income_sec_cropcheck = 1) | (income_third_cropcheck = 1) 
quotareached = 2
crp_main = 1-90</t>
        </is>
      </c>
      <c r="T106" s="72" t="n"/>
      <c r="U106" s="45" t="n">
        <v>25.43687438964844</v>
      </c>
      <c r="V106" s="42">
        <f>#REF!</f>
        <v/>
      </c>
      <c r="W106" s="45">
        <f>U106*V106</f>
        <v/>
      </c>
      <c r="X106" s="3" t="n"/>
      <c r="Z106" s="7" t="inlineStr">
        <is>
          <t>yes</t>
        </is>
      </c>
      <c r="AA106" s="54" t="n"/>
      <c r="AD106" s="8" t="inlineStr">
        <is>
          <t xml:space="preserve">Change question formulation +&amp; in options #2, 4 (col D) </t>
        </is>
      </c>
    </row>
    <row r="107" ht="225" customFormat="1" customHeight="1" s="5">
      <c r="A107" s="503">
        <f>A106+1</f>
        <v/>
      </c>
      <c r="B107" s="164" t="inlineStr">
        <is>
          <t>crp_harv_change</t>
        </is>
      </c>
      <c r="C107" s="566" t="inlineStr">
        <is>
          <t>crp_harv_change</t>
        </is>
      </c>
      <c r="D107" s="161" t="inlineStr">
        <is>
          <t>How does the  harvest of {crp_main} in the the on-going season compare to a normal year? 
[OPERATOR: SINGLE RESPONSE.]
1)A lot more [increased by more than 50%]
2)Slightly more
3)Same
4)Slightly less
5)A lot less [less than half as much]
6)DON'T KNOW
7)REFUSED</t>
        </is>
      </c>
      <c r="E107" s="566">
        <f>LEN(D107)</f>
        <v/>
      </c>
      <c r="F107" s="161" t="inlineStr">
        <is>
          <t>Goho ramakawana re {crp_main} mwaka uno riri  sei kana muchirienzanisa neramunowana mugore rinenge rakanaka?
[ARI KUITISA ONGORORO: MHINDURO IMWE CHETE.]
1)Wakawedzera zvikuru [wakakwira nezvikamu 50 kubva muzana]
2)Wakawedzera zvishoma
3)Hauna kuchinja
4)Wakadzika zvishoma
5)Wakadzika zvikuru [zviri pasi zvikuru nechidimbu]
6)HANDIZIVI
7)ARAMBA</t>
        </is>
      </c>
      <c r="G107" s="566">
        <f>LEN(F107)</f>
        <v/>
      </c>
      <c r="H107" s="161" t="inlineStr">
        <is>
          <t>Ukuvunwa {crp_main} kwesikhathi sokulima esikiso kuqathaniseka njani lokomnyaka ojwayelekileyo? 
[OQHUBAYO: IMPENDULO EYODWA.]
1)Kakhulu [ikhuphuke ngenani eledluala amaphesenti angu50%]
2)Kakhulu mbijana
3)Ngokufanana
4)Kancane mbijana
5)Kancane mbijana [Ngokulutshwana okwedlula ingxenye]
6)KAZI
7)WALILE</t>
        </is>
      </c>
      <c r="I107" s="316">
        <f>LEN(H107)</f>
        <v/>
      </c>
      <c r="J107" s="329" t="inlineStr">
        <is>
          <t>Single Choice</t>
        </is>
      </c>
      <c r="K107" s="316" t="inlineStr">
        <is>
          <t>NA</t>
        </is>
      </c>
      <c r="L107" s="316" t="inlineStr">
        <is>
          <t>NA</t>
        </is>
      </c>
      <c r="M107" s="316" t="inlineStr">
        <is>
          <t>Form Type - Buttons</t>
        </is>
      </c>
      <c r="N107" s="335" t="inlineStr">
        <is>
          <t>1-7 = crp_proddif_1</t>
        </is>
      </c>
      <c r="O107" s="149" t="n"/>
      <c r="P107" s="149" t="n"/>
      <c r="Q107" s="399" t="inlineStr">
        <is>
          <t>if crp_harv_change = 1-7, go to [crp_proddif_1 or crp_harv_vol]</t>
        </is>
      </c>
      <c r="R107" s="438" t="inlineStr">
        <is>
          <t>if crp_harv_change = 1-7, go to  crp_harv_vol</t>
        </is>
      </c>
      <c r="S107" s="159" t="inlineStr">
        <is>
          <t>resp_age = 18-100
(hh_agricactivity = 1 | 3) | (income_main_cropcheck = 1) | (income_sec_cropcheck = 1) | (income_third_cropcheck = 1) 
quotareached = 2
crp_main = 1-90</t>
        </is>
      </c>
      <c r="T107" s="195" t="n"/>
      <c r="U107" s="45" t="n">
        <v>19.36494636535645</v>
      </c>
      <c r="V107" s="42">
        <f>#REF!</f>
        <v/>
      </c>
      <c r="W107" s="45">
        <f>U107*V107</f>
        <v/>
      </c>
      <c r="X107" s="3" t="n"/>
      <c r="Z107" s="7" t="inlineStr">
        <is>
          <t>yes</t>
        </is>
      </c>
      <c r="AA107" s="54" t="n"/>
      <c r="AD107" s="8" t="inlineStr">
        <is>
          <t xml:space="preserve">Change in question formulation &amp; options #2, 4 (col D) + col J </t>
        </is>
      </c>
    </row>
    <row r="108" ht="168.75" customFormat="1" customHeight="1" s="5">
      <c r="A108" s="503">
        <f>A107+1</f>
        <v/>
      </c>
      <c r="B108" s="164" t="inlineStr">
        <is>
          <t>crp_proddif_1</t>
        </is>
      </c>
      <c r="C108" s="155" t="inlineStr">
        <is>
          <t>crp_proddif</t>
        </is>
      </c>
      <c r="D108" s="568" t="inlineStr">
        <is>
          <t>Has your household faced any significant difficulty in terms of crop production in the on-going season?
[OPERATOR: SINGLE RESPONSE.]
1)YES
2)NO
3)DON'T KNOW
4)REFUSED</t>
        </is>
      </c>
      <c r="E108" s="566">
        <f>LEN(D108)</f>
        <v/>
      </c>
      <c r="F108" s="568" t="inlineStr">
        <is>
          <t>Mhuri yenyu yakasangana nechero dambudziko guru here panyaya yekurima zvirimwa mwaka uno?
[ARI KUITISA ONGORORO: MHINDURO IMWE CHETE.]
1)HONGU 
2)KWETE
3)HANDIZIVI
4)ARAMBA</t>
        </is>
      </c>
      <c r="G108" s="566">
        <f>LEN(F108)</f>
        <v/>
      </c>
      <c r="H108" s="568" t="inlineStr">
        <is>
          <t>Kungabe abomuzi wakho behlangane lobunzima obukhulu nxa kukhangelwa ukulinywa kwezilimo kusikhathi esikiso?
[OQHUBAYO: IMPENDULO EYODWA.]
1)YEBO
2)HATSHI
3)KAZI
4)WALILE</t>
        </is>
      </c>
      <c r="I108" s="316">
        <f>LEN(H108)</f>
        <v/>
      </c>
      <c r="J108" s="329" t="inlineStr">
        <is>
          <t>Single Choice</t>
        </is>
      </c>
      <c r="K108" s="316" t="inlineStr">
        <is>
          <t>NA</t>
        </is>
      </c>
      <c r="L108" s="316" t="inlineStr">
        <is>
          <t>NA</t>
        </is>
      </c>
      <c r="M108" s="316" t="inlineStr">
        <is>
          <t>Form Type - Buttons</t>
        </is>
      </c>
      <c r="N108" s="335" t="inlineStr">
        <is>
          <t>1 = crp_proddif_2
2-4 = crp_all</t>
        </is>
      </c>
      <c r="O108" s="149" t="n"/>
      <c r="P108" s="149" t="n"/>
      <c r="Q108" s="129" t="inlineStr">
        <is>
          <t>if crp_proddif_1 = 1, go to crp_proddif_2 ; 
if crp_proddif_1 = 2-4, go to [crp_salesmain or crp_storage OR crp_all]</t>
        </is>
      </c>
      <c r="R108" s="351" t="n"/>
      <c r="S108" s="159" t="inlineStr">
        <is>
          <t>resp_age = 18-100
(hh_agricactivity = 1 | 3) | (income_main_cropcheck = 1) | (income_sec_cropcheck = 1) | (income_third_cropcheck = 1) 
quotareached = 2</t>
        </is>
      </c>
      <c r="T108" s="72" t="n"/>
      <c r="U108" s="45" t="n">
        <v>13.45886421203613</v>
      </c>
      <c r="V108" s="42">
        <f>#REF!</f>
        <v/>
      </c>
      <c r="W108" s="45">
        <f>U108*V108</f>
        <v/>
      </c>
      <c r="X108" s="3" t="n"/>
      <c r="Z108" s="7" t="inlineStr">
        <is>
          <t>yes</t>
        </is>
      </c>
      <c r="AA108" s="54" t="n"/>
      <c r="AD108" s="6" t="n"/>
    </row>
    <row r="109" ht="409.5" customFormat="1" customHeight="1" s="5">
      <c r="A109" s="503">
        <f>A108+1</f>
        <v/>
      </c>
      <c r="B109" s="120" t="inlineStr">
        <is>
          <t>crp_proddif_2</t>
        </is>
      </c>
      <c r="C109" s="155"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09" s="568" t="inlineStr">
        <is>
          <t>Which difficulty has your household faced with crop production in the on-going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machinery/tools or animals for ploughing
11)Access to fuel or electricity to power agricultural equipment
12)Soil erosion
13)Not enough irrigation / rainfall water
14)Too much irrigation / water 
15)Access to credit
16)Other
17)DON'T KNOW
18)REFUSED</t>
        </is>
      </c>
      <c r="E109" s="566">
        <f>LEN(D109)</f>
        <v/>
      </c>
      <c r="F109" s="568" t="inlineStr">
        <is>
          <t>Idambudziko ripi iro mhuri yenyu yakasangana naro pakurima zvirimwa mwaka uno?
[ARI KUITISA ONGORORO: MHINDURO DZAKAWANDA DZINOGONA KUPIWA. SARUDZA MHIDZURO DZINONYATSOENDERANA NEMASHOKO ATAURWA NEVARI KUPINDURA.]
1)Zvirwere zvezvirimwa 
2)Kuwanda kwezvipembenene [kusanganisira shiri]
3)Kudyiwa nezvipfuyo zvinongosaidzirwa
4)Kushaiwa a nzvimbo yekurima
5)Kushaiwa  mafetereza [kusawanika mumisika kana kuti kukwira kwemitengo]
6)Kushaiwa mbeu yakanaka
7)Kushaiwa mbeu yakakwana [kusawanika mumisika kana kuti kukwira kwemitengo]
8)Kushaiwa a mishonga yezvipembenene
9)Kushaiwa vashandi
10)Kushaiwa michina/maturusi kana mombe dzekurimisa
11)Kushaiwa a mafuta edzimota kana magetsi zvekushandisa pamichina yekurimisa
12)Kukukurwa kwevhu
13)Kusadiridzira zvakakwana / mvura yekunaya
14)Kudiridzira zvakapfurikidza mwero / mvura yakawandisa
15)Kushaiwa zvikwereti
16)Zvimwewo
17)HANDIZIVI
18)ARAMBA</t>
        </is>
      </c>
      <c r="G109" s="566">
        <f>LEN(F109)</f>
        <v/>
      </c>
      <c r="H109" s="568" t="inlineStr">
        <is>
          <t>Yibuphi ubunzima abomuzi wakho abahlangana labo kwezokulima kusikhathi esikiso?                                                                                                                 
                                                                                                                                                                                                                                                                                              [OQHUBAYO: IMPENDULO EZINENGI ZINGAPHIWA. KHETHA IMPENDULO EZIFANELE ULWAZI OLUTHOLISWE NGOMAPHENDULA]
1)Imikhuhlane yezilimo 
2)Ukuhlaselwa yizibungwana [kugoqela inyoni]
3)Ukudliwa kwezilimo lezinyamazana okungalawulwanga
4)Ukufinyelela umhlabathi
5)Ukufinyelela ifethalayiza [ingatholakali emakethe kumbe intengo iphezulu kakhulu]
6)Ukufinyelela inhlanyelo elohlonzi
7)Ukufinyelela inhlanyelo eyaneleyo [ingatholakali emakethe kumbe intengo iphezulu kakhulu]
8)Ukufinyelela imithi yokubulala izibungwana
9)Ukufinyelela abantu abasebenzayo
10)Ukufinyelela imitshina/amathuluzi kumbe izifuyo zokulimisa
11)Ukufinyelela amafutha kumbe amagetsi okuthela emitshineni yokulimisa
12)Ukukhukhuleka kwenhlabathi
13)Ukungabi lendlela zokudonsa amanzi okuthelela ezaneleyo/izulu elinayo
14)Ukuthelela izilimo okudlulisa amalawulo/amanzi amanengi
15)Ukufinyelela imali yokukweleda
16)Okunye
17)KAZI
18)WALILE</t>
        </is>
      </c>
      <c r="I109" s="316">
        <f>LEN(H109)</f>
        <v/>
      </c>
      <c r="J109" s="346" t="inlineStr">
        <is>
          <t xml:space="preserve">Select All That Apply </t>
        </is>
      </c>
      <c r="K109" s="316" t="inlineStr">
        <is>
          <t>NA</t>
        </is>
      </c>
      <c r="L109" s="316" t="inlineStr">
        <is>
          <t>NA</t>
        </is>
      </c>
      <c r="M109" s="316" t="inlineStr">
        <is>
          <t>Form Type - Checklist
17,18 = IsNone
Plant disease) crp_proddif_plant_disease
Pest outbreak [including birds]) crp_proddif_pest_outbreak
Uncontrolled animal grazing) crp_proddif_animal_grazing
Access to plot) crp_proddif_access_plot
Access to fertilizer [not available on markets or prices too high]) crp_proddif_access_fertilize
Access to quality seeds) crp_proddif_seed_quality
Access to enough seeds [not available on markets or prices too high]) crp_proddif_seed_quantity
Access to pesticides) crp_proddif_access_pesticide
Access to manpower labour) crp_proddif_access_labour
Access to machinery/tools or animals for ploughing) crp_proddif_access_machinery
Access to fuel or electricity to power agricultural equipment) crp_proddif_access_fuel
Soil erosion) crp_proddif_soil_erosion
Not enough irrigation / rainfall water) crp_proddif_lack_irrigation
Too much irrigation / water ) crp_proddif_excess_water
Access to credit) crp_proddif_access_credit
Other) crp_proddif_other
DON'T KNOW) crp_proddif_dk
REFUSED) crp_proddif_ref</t>
        </is>
      </c>
      <c r="N109" s="335" t="inlineStr">
        <is>
          <t>1-18 = crp_all</t>
        </is>
      </c>
      <c r="O109" s="149" t="n"/>
      <c r="P109" s="149" t="n"/>
      <c r="Q109" s="129" t="inlineStr">
        <is>
          <t>if crp_proddif_2 = 1-15, go to [crp_salesmain OR crp_storage OR crp_all]</t>
        </is>
      </c>
      <c r="R109" s="439" t="inlineStr">
        <is>
          <t>if crp_proddif_2 = 1-15, go to crp_storage</t>
        </is>
      </c>
      <c r="S109" s="159" t="inlineStr">
        <is>
          <t>resp_age = 18-100
(hh_agricactivity = 1 | 3) | (income_main_cropcheck = 1) | (income_sec_cropcheck = 1) | (income_third_cropcheck = 1) 
quotareached = 2
crp_proddif_1 =  1</t>
        </is>
      </c>
      <c r="T109" s="72" t="n"/>
      <c r="U109" s="45" t="n">
        <v>37.52328872680664</v>
      </c>
      <c r="V109" s="42">
        <f>#REF!</f>
        <v/>
      </c>
      <c r="W109" s="45">
        <f>U109*V109</f>
        <v/>
      </c>
      <c r="X109" s="3" t="n"/>
      <c r="Z109" s="7" t="inlineStr">
        <is>
          <t>yes</t>
        </is>
      </c>
      <c r="AA109" s="54" t="n"/>
      <c r="AD109" s="8" t="inlineStr">
        <is>
          <t>Change in options #3, 9
Change skip pattern according to new question</t>
        </is>
      </c>
    </row>
    <row r="110" ht="169.5" customFormat="1" customHeight="1" s="478" thickBot="1">
      <c r="A110" s="470">
        <f>A109+1</f>
        <v/>
      </c>
      <c r="B110" s="190" t="inlineStr">
        <is>
          <t>crp_all</t>
        </is>
      </c>
      <c r="C110" s="190" t="inlineStr">
        <is>
          <t>crp_all_[name of crop as per crop list]</t>
        </is>
      </c>
      <c r="D110" s="177" t="inlineStr">
        <is>
          <t>Do you cultivate any other crops aside from {crp_main}, and if so which ones?
[OPERATOR: "No other crop" APPEARS AT THE END OF THE LIST OF OPTIONS. SELECT ALL CROPS LISTED BY THE RESPONDENT.]
1)No other crops
2)DON'T KNOW
3)REFUSED</t>
        </is>
      </c>
      <c r="E110" s="132">
        <f>LEN(D110)</f>
        <v/>
      </c>
      <c r="F110" s="177" t="inlineStr">
        <is>
          <t>Unorima here zvimwe zvirimwa kusiya kwe {crp_main}, uye kana zvakadaro zvirimwa zvipi?
[ARI KUITISA ONGORORO: Mhinduro yekuti "Hapana chimwe chirimwa" IRI NECHEKOKUPEDZISIRA PAMHINDURO DZIRIPO. SARUDZA ZVIRIMWA ZVOSE ZVADOMWA NEARI KUPINDURA.]
1)Hapana zvimwe zvirimwa
2)HANDIZIVI
3)ARAMBA</t>
        </is>
      </c>
      <c r="G110" s="132">
        <f>LEN(F110)</f>
        <v/>
      </c>
      <c r="H110" s="159" t="inlineStr">
        <is>
          <t>Uyalima ezinye izilimo ngaphandle kwe {crp_main}, njalo nxa kunjalo yiziphi?
[OQHUBAYO: "Akula esinye isilimo" KUVELA EKUCINENI KWEMPENDULO ZONKE EZIBHALIWEYO. KHETHA ZONKE IZILIMO EZIQANJWE NGUMAPHENDULA.]
1)Akula ezinye izilimo
2)KAZI
3)WALILE</t>
        </is>
      </c>
      <c r="I110" s="472">
        <f>LEN(H110)</f>
        <v/>
      </c>
      <c r="J110" s="482" t="inlineStr">
        <is>
          <t>Select All That Apply</t>
        </is>
      </c>
      <c r="K110" s="472" t="inlineStr">
        <is>
          <t>NA</t>
        </is>
      </c>
      <c r="L110" s="316" t="inlineStr">
        <is>
          <t>NA</t>
        </is>
      </c>
      <c r="M110" s="369" t="inlineStr">
        <is>
          <t>Form Type - Checklist
Included unselected "crp_main"
1,2,3= IsNone</t>
        </is>
      </c>
      <c r="N110" s="473" t="inlineStr">
        <is>
          <t>Dynamic = crp_salesmain
1-3 = crp_salesmain</t>
        </is>
      </c>
      <c r="O110" s="471" t="n"/>
      <c r="P110" s="471" t="n"/>
      <c r="Q110" s="473" t="inlineStr">
        <is>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crp_all</t>
        </is>
      </c>
      <c r="R110" s="473" t="n"/>
      <c r="S110" s="473" t="inlineStr">
        <is>
          <t>resp_age = 18-100
(hh_agricactivity = 1 | 3) | (income_main_cropcheck = 1) | (income_sec_cropcheck = 1) | (income_third_cropcheck = 1) 
quotareached = 2</t>
        </is>
      </c>
      <c r="T110" s="474" t="n"/>
      <c r="U110" s="475" t="n">
        <v>17</v>
      </c>
      <c r="V110" s="476">
        <f>#REF!</f>
        <v/>
      </c>
      <c r="W110" s="475">
        <f>U110*V110</f>
        <v/>
      </c>
      <c r="X110" s="477" t="n"/>
      <c r="Z110" s="479" t="inlineStr">
        <is>
          <t>no</t>
        </is>
      </c>
      <c r="AA110" s="480" t="n"/>
      <c r="AD110" s="481" t="inlineStr">
        <is>
          <t>new question</t>
        </is>
      </c>
    </row>
    <row r="111" ht="19.5" customFormat="1" customHeight="1" s="5" thickBot="1">
      <c r="A111" s="530" t="inlineStr">
        <is>
          <t>D. CROP MARKETING</t>
        </is>
      </c>
      <c r="B111" s="577" t="n"/>
      <c r="C111" s="577" t="n"/>
      <c r="D111" s="577" t="n"/>
      <c r="E111" s="577" t="n"/>
      <c r="F111" s="577" t="n"/>
      <c r="G111" s="577" t="n"/>
      <c r="H111" s="577" t="n"/>
      <c r="I111" s="577" t="n"/>
      <c r="J111" s="577" t="n"/>
      <c r="K111" s="577" t="n"/>
      <c r="L111" s="577" t="n"/>
      <c r="M111" s="577" t="n"/>
      <c r="N111" s="577" t="n"/>
      <c r="O111" s="577" t="n"/>
      <c r="P111" s="577" t="n"/>
      <c r="Q111" s="577" t="n"/>
      <c r="R111" s="577" t="n"/>
      <c r="S111" s="577" t="n"/>
      <c r="T111" s="587" t="n"/>
      <c r="U111" s="44" t="n"/>
      <c r="V111" s="42" t="n"/>
      <c r="W111" s="44" t="n"/>
      <c r="X111" s="3" t="n"/>
      <c r="Z111" s="7" t="n"/>
      <c r="AA111" s="54" t="n"/>
      <c r="AD111" s="6" t="n"/>
    </row>
    <row r="112" ht="409.5" customFormat="1" customHeight="1" s="5">
      <c r="A112" s="247">
        <f>A110+1</f>
        <v/>
      </c>
      <c r="B112" s="59" t="inlineStr">
        <is>
          <t>crp_salesmain</t>
        </is>
      </c>
      <c r="C112" s="60" t="inlineStr">
        <is>
          <t>crp_salesmain</t>
        </is>
      </c>
      <c r="D112" s="483" t="inlineStr">
        <is>
          <t>What has been the main crop that you have sold over the last 3 months?
[OPERATOR: "No crop sold in the last 3 months" APPEARS AT THE END OF THE LIST OF OPTIONS. SELECT ALL CROPS LISTED BY THE RESPONDENT.]
1)Millet
2)Sorghum
3)Maize
4)Sweet Potatoes
5)Beans
6)Cabbage
7)Tomatoes
8)Pumpkin
9)Onions
10)Groundnut/peanut
11)Bambara nut
12)Sunflower
13)Rice
14)Wheat
15)Barley
16)Other Cereal
17)Cassava
18)Potatoe
19)Yams
20)Carrots
21)Cocoyam
22)Other tubers
23)Lentils
24)Peas
25)Soybeans
26)Chickpeas
27)Fava beans
28)Broad beans
29)Other pulses
30)Cauliflower
31)Lettuce
32)Spinach-Amaranth
33)Cassava leaves
34)Potatoe leaves
35)Moringa
36)Sorrel Hibiscus / Rosselle
37)Green salad herbs [thyme/parsley/mint/rocca/other]
38)Other leafy vegetables
39)Green peas
40)Fava beans green
41)Cucumber
42)Eggplant/aubergine
43)Zucchini
44)Okra
45)Bell pepper
46)Haricot
47)Other non leafy vegs
48)Orange
49)Lemon
50)Grapefruit
51)Mandarins/clementines
52)Other citrus fruit
53)Sweet Banana
54)Figs
55)Grapes
56)Olives
57)Apple
58)Apricot
59)Cherries
60)Peach/nectarine
61)Strawberries
62)Melon [Cantaloupe]
63)Plantains
64)Papaya
65)Mango
66)Guava
67)Pineapple
68)Avocado
69)Water Melon
70)Dates
71)Other fruit
72)Coconuts
73)Cashew Nut
74)Kola Nut
75)Sesame
76)Almond
77)Walnut
78)Other nuts
79)Cocoa
80)Coffee
81)Tea
82)Sugarcane
83)Other food cash crop
84)Cotton
85)Rubber
86)Jute
87)Fodder
88)Tobacco
89)Qat
90)Other non-food cash crop
91)No crop production
92)DON'T KNOW
93)REFUSED</t>
        </is>
      </c>
      <c r="E112" s="315">
        <f>LEN(D112)</f>
        <v/>
      </c>
      <c r="F112" s="571" t="inlineStr">
        <is>
          <t>Ndechipi chirimwa chamakanyanya kutengesa mukati memwedzi 3 yapfuura?
[ARI KUITISA ONGORORO: MHINDURO YEKUTI "hapana chirimwa chakatengeswa mumwedzi 3 yapfuura" IRI PEKUPEDZISIRA. SARUDZA ZVIRIMWA ZVOSE ZVATAURWA NEARI KUPINDURA.]
1)Mhunga
2)Mapfunde
3)Chibage
4)Mbambaira
5)Bhinzi
6)Kabheji
7)Matomasi
8)Manhanga
9)Hanyanisi
10)Nzungu
11)Nyimo
12)Masanifurawa
13)Mupunga
14)Gorosi
15)Bhari
16)Zvimwewo zvakaita sechibage
17)Mufarinya
18)Mbatatisi
19)Gogoya
20)Karotsi
21)Kokoyamu
22)Zvimwewo zvakaita sehanyanisi
23)Lentils
24)Pizi
25)Soyabhinzi
26)Chickpeas
27)Bhinzi dzefavha
28)Bhinzi dzakapamhamha
29)Dzimwewo mhando dzebhinzi
30)Korifurawa
31)Lettuce
32)Spinach-Amaranth
33)Mashizha ekasavha
34)Mashizha embatatisi
35)Moringa
36)Sorrel Hibiscus / Rosselle
37)Green salad herbs [thyme/parsley/mint/rocca/zvimwewo]
38)Mimwewo miriwo ine mashizha
39)Pizi nyoro
40)Bhinzi dzefavha nyoro
41)Magaka
42)Eggplant/aubergine
43)Zucchini
44)Derere
45)Bell pepper
46)Harikoti
47)Mimwewo miriwo isina mashizha
48)Orenji
49)Mandimi
50)Grapefruit
51)Mandarins/clementines
52)Mimwewo michero yakaita semaorenji
53)Mabhanana anotapira
54)Muonde
55)Magirepisi
56)Miorivhi
57)Epuro
58)Apurikoti
59)Macheri
60)Pichisi/nectarine
61)Ma-strawberry
62)Mwiwa [Cantaloupe]
63)Ma-plantains
64)Mapopo
65)Mango
66)Gwavha
67)Zvihenge
68)Avhokadho
69)Manwiwa
70)Ma-dates
71)Mimwewo michero
72)Kokonati
73)Cashew Nut
74)Kola Nut
75)Runinga
76)Arumondi
77)Walnut
78)Dzimwewo mhando dzenzungu
79)Kokoa
80)Kofi
81)Tiyi
82)Nzimbe
83)Zvimwewo zvirimwa zvekudya uye kutengesa
84)Donje
85)Rabha
86)Jute
87)Chikafu chezvipfuyo
88)Fodya
89)Qat
90)Zvimwewo zvirimwa zvisiri zvekudya asi zviri zvekutengesa
91)Hapana zvirimwa zvakarimwa
92)HANDIZIVI
93)ARAMBA</t>
        </is>
      </c>
      <c r="G112" s="315">
        <f>LEN(F112)</f>
        <v/>
      </c>
      <c r="H112" s="484" t="inlineStr">
        <is>
          <t>Yisiphi isilimo esiyiso osithengisileyo kunyanga ezintathu ezidluleyo?
[OQHUBAYO: "akula silimo esathengiswa kunyanga ezintathu ezidluleyo" KUVELA EKUCINENI KWEZIMPENDULO. KHETHA ZONKE IZILIMO EZIFAKWE NGUMAPHENDULA.]
1)Inyawuthi
2)Amabele
3)Umumbu
4)Imbambayila
5)Indumba
6)Ikhabitshi
7)Amatamatisi
8)Ithanga
9)Amahanyanisi
10)Indlubu/amazambane
11)Izambane leBambara 
12)iSunflower
13)Ilayisi
14)Ingqoloyo
15)Ibhali
16)Okunye okungama Cereal
17)iCassava
18)Amagwili
19)Amadumbe
20)Ikherothi
21)iCocoyam
22)Okunye okudliwa impande zakho
23)amaLentils
24)iPeas
25)iSoybeans
26)iChickpeas
27)iFava beans
28)iBroad beans
29)Okunye okuzindumba
30)iCauliflower
31)iLettuce
32)iSpinach-Amaranth
33)amahlamvu eCassava 
34)Amahlamvu amagwili
35)iMoringa
36)iSorrel Hibiscus / Rosselle
37)Okokufaka kusaladi eluhlaza [thyme/parsley/mint/rocca/okunye]
38)Ezinye izilimo ezilinywayo ezilamahlamvu
39)iGreen peas
40)iFava beans green
41)iCucumber
42)iEggplant/aubergine
43)iZucchini
44)idelele lentanga
45)iBell pepper
46)iHaricot
47)Okunye okulinywayo okungelamahlamvu
48)Iwonlintshi
49)iLemon
50)iGrapefruit
51)iMandarins/clementines
52)Ezinye izithelo ezilinywayo
53)iSweet Banana
54)iFigs
55)iGrapes
56)iOlives
57)i-aphula
58)iApricot
59)iCherries
60)impintshisi
61)amaStrawberries
62)Okungamakhabe [Cantaloupe]
63)amaPlantain
64)amaPapaya
65)iMengo
66)iGuava
67)iPineapple
68)iAvocado
69)ikhabe
70)amaDate
71)Ezinye izithelo
72)amaCoconut
73)amazambane eCashew 
74)amazambane eKola 
75)iSesame
76)iAlmond
77)iWalnut
78)Okunye okungamazambane avela ezihlahleni
79)iCocoa
80)ikhofi
81)itiye
82)Imfe
83)Okunye okuyizilimo ezithengiswayo
84)Utshinda
85)iRubber
86)iJute
87)Ukudla kwezifuyo
88)Ugwayi
89)iQat
90)Okunye okulinywayo okungasokudla
91)Akula zilimo ezilinywayo
92)KAZI
93)WALILE</t>
        </is>
      </c>
      <c r="I112" s="315">
        <f>LEN(H112)</f>
        <v/>
      </c>
      <c r="J112" s="374" t="inlineStr">
        <is>
          <t>Single Choice</t>
        </is>
      </c>
      <c r="K112" s="315" t="inlineStr">
        <is>
          <t>NA</t>
        </is>
      </c>
      <c r="L112" s="343" t="inlineStr">
        <is>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is>
      </c>
      <c r="M112" s="315" t="inlineStr">
        <is>
          <t>Form Type - Buttons
IsDemographic
Millet)1.3
Sorghum)1.4
Maize)1.5
Sweet Potatoes)2.3
Beans)3.1
Cabbage)4.1
Tomatoes)5.1
Pumpkin)5.3
Onions)5.8
Groundnut/peanut)8.2
Bambara nut)8.6
Sunflower)9.5
Rice)1.1
Wheat)1.2
Barley)1.6
Other Cereal)1.99
Cassava)2.1
Potatoe)2.2
Yams)2.4
Carrots)2.5
Cocoyam)2.6
Other tubers)2.99
Lentils)3.2
Peas)3.3
Soybeans)3.4
Chickpeas)3.5
Fava beans)3.6
Broad beans)3.7
Other pulses)3.99
Cauliflower)4.101
Lettuce)4.2
Spinach-Amaranth)4.3
Cassava leaves)4.4
Potatoe leaves)4.5
Moringa)4.6
Sorrel Hibiscus / Rosselle)4.7
Green salad herbs [thyme/parsley/mint/rocca/other])4.9
Other leafy vegetables)4.99
Green peas)5.101
Fava beans green)5.11
Cucumber)5.2
Eggplant/aubergine)5.4
Zucchini)5.5
Okra)5.6
Bell pepper)5.7
Haricot)5.9
Other non leafy vegs)5.99
Orange)6.1
Lemon)6.2
Grapefruit)6.3
Mandarins/clementines)6.4
Other citrus fruit)6.99
Sweet Banana)7.1
Figs)7.101
Grapes)7.11
Olives)7.12
Apple)7.13
Apricot)7.14
Cherries)7.15
Peach/nectarine)7.16
Strawberries)7.17
Melon [Cantaloupe])7.18
Plantains)7.2
Papaya)7.3
Mango)7.4
Guava)7.5
Pineapple)7.6
Avocado)7.7
Water Melon)7.8
Dates)7.9
Other fruit)7.99
Coconuts)8.1
Cashew Nut)8.3
Kola Nut)8.4
Sesame)8.5
Almond)8.7
Walnut)8.8
Other nuts)8.99
Cocoa)9.1
Coffee)9.2
Tea)9.3
Sugarcane)9.4
Other food cash crop)9.99
Cotton)10.1
Rubber)10.2
Jute)10.3
Fodder)10.4
Tobacco)10.5
Qat)10.6
Other non-food cash crop)10.99
DON'T KNOW)888
REFUSED)999</t>
        </is>
      </c>
      <c r="N112" s="353" t="inlineStr">
        <is>
          <t>1-90 = crp_salesdif_1
91-93 = ls_intro</t>
        </is>
      </c>
      <c r="O112" s="211" t="n"/>
      <c r="P112" s="211" t="n"/>
      <c r="Q112" s="373"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crp_salesdif_1
If "Don't know" or "Refused", go to ls_intro</t>
        </is>
      </c>
      <c r="R112" s="440" t="n"/>
      <c r="S112" s="131" t="inlineStr">
        <is>
          <t>resp_age = 18-100
hh_agricactivity = 1 | 2 | 3 | 4
(income_main = 1 | 2 | 3) | (income_sec = 1 | 2 | 3) | (income_third =  1 | 2 | 3) 
quotareached = 2</t>
        </is>
      </c>
      <c r="T112" s="64" t="n"/>
      <c r="U112" s="45" t="n">
        <v>27.1</v>
      </c>
      <c r="V112" s="42">
        <f>#REF!</f>
        <v/>
      </c>
      <c r="W112" s="45">
        <f>U112*V112</f>
        <v/>
      </c>
      <c r="X112" s="3" t="n"/>
      <c r="Z112" s="7" t="inlineStr">
        <is>
          <t>yes</t>
        </is>
      </c>
      <c r="AA112" s="54" t="n"/>
      <c r="AD112" s="8" t="inlineStr">
        <is>
          <t>new question</t>
        </is>
      </c>
      <c r="AE112" s="13" t="n"/>
    </row>
    <row r="113" ht="168.75" customFormat="1" customHeight="1" s="5">
      <c r="A113" s="503">
        <f>A112+1</f>
        <v/>
      </c>
      <c r="B113" s="164" t="inlineStr">
        <is>
          <t>crp_salesdif_1</t>
        </is>
      </c>
      <c r="C113" s="155" t="inlineStr">
        <is>
          <t>crp_salesdif</t>
        </is>
      </c>
      <c r="D113" s="568" t="inlineStr">
        <is>
          <t>Has your household faced any difficulty in the last 3 months in selling your {crp_salesmain}?
[OPERATOR: SINGLE RESPONSE.]
1)YES
2)NO
3)DON'T KNOW
4)REFUSED</t>
        </is>
      </c>
      <c r="E113" s="127">
        <f>LEN(D113)</f>
        <v/>
      </c>
      <c r="F113" s="568" t="inlineStr">
        <is>
          <t>Mhuri yenyu yakatarisana here nechero dambudziko mumwedzi 3 yapfuura pakutengesa chirimwa chenyu che {crp_salesmain}?
[ARI KUITISA ONGORORO: MHINDURO IMWE CHETE.]
1)HONGU 
2)KWETE
3)HANDIZIVI
4)ARAMBA</t>
        </is>
      </c>
      <c r="G113" s="127">
        <f>LEN(F113)</f>
        <v/>
      </c>
      <c r="H113" s="568" t="inlineStr">
        <is>
          <t>Kungabe abomuzi wakho bahlangana lobunzima kunyanga ezintathu ezidlulileyo ekuthengiseni {crp_salesmain}?
[OQHUBAYO: IMPENDULO EYODWA.]
1)YEBO
2)HATSHI
3)KAZI
4)WALILE</t>
        </is>
      </c>
      <c r="I113" s="566">
        <f>LEN(H113)</f>
        <v/>
      </c>
      <c r="J113" s="123" t="inlineStr">
        <is>
          <t>Single Choice</t>
        </is>
      </c>
      <c r="K113" s="566" t="inlineStr">
        <is>
          <t>NA</t>
        </is>
      </c>
      <c r="L113" s="155" t="inlineStr">
        <is>
          <t>NA</t>
        </is>
      </c>
      <c r="M113" s="566" t="inlineStr">
        <is>
          <t>Form Type - Buttons</t>
        </is>
      </c>
      <c r="N113" s="568" t="inlineStr">
        <is>
          <t>1 = crp_salesdif_2
2-4 = crp_salesprice</t>
        </is>
      </c>
      <c r="O113" s="149" t="n"/>
      <c r="P113" s="149" t="n"/>
      <c r="Q113" s="129" t="inlineStr">
        <is>
          <t>if crp_salesdif_1 = 1, go to crp_salesdif_2 ; 
if crp_salesdif_1 = 2-4, go to crp_salesprice</t>
        </is>
      </c>
      <c r="R113" s="351" t="n"/>
      <c r="S113" s="159" t="inlineStr">
        <is>
          <t>resp_age = 18-100
hh_agricactivity = 1 | 2 | 3 | 4
(income_main = 1 | 2 | 3) | (income_sec = 1 | 2 | 3) | (income_third =  1 | 2 | 3) 
quotareached = 2
crp_salesmain = 1-90</t>
        </is>
      </c>
      <c r="T113" s="72" t="n"/>
      <c r="U113" s="45" t="n">
        <v>12.68148708343506</v>
      </c>
      <c r="V113" s="42">
        <f>#REF!</f>
        <v/>
      </c>
      <c r="W113" s="45">
        <f>U113*V113</f>
        <v/>
      </c>
      <c r="X113" s="3" t="n"/>
      <c r="Z113" s="7" t="inlineStr">
        <is>
          <t>yes</t>
        </is>
      </c>
      <c r="AA113" s="54" t="n"/>
      <c r="AD113" s="6" t="inlineStr">
        <is>
          <t>col H conditional</t>
        </is>
      </c>
    </row>
    <row r="114" ht="375" customFormat="1" customHeight="1" s="5">
      <c r="A114" s="503">
        <f>A113+1</f>
        <v/>
      </c>
      <c r="B114" s="120" t="inlineStr">
        <is>
          <t>crp_salesdif_2</t>
        </is>
      </c>
      <c r="C114" s="67" t="inlineStr">
        <is>
          <t>crp_saledif_
1) crp_saledif_marketing_cost
2) crp_saledif_damage_losses
3) crp_saledif_low_demand
4) crp_saledif_pay_delay
5) crp_saledif_low_price
6) crp_saledif_processing
7) crp_saledif_competition
8) crp_saledif_other
9) crp_saledif_dk
10) crp_saledif_ref</t>
        </is>
      </c>
      <c r="D114" s="335" t="inlineStr">
        <is>
          <t>Which difficulties has your household faced in the last 3 months when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14" s="316">
        <f>LEN(D114)</f>
        <v/>
      </c>
      <c r="F114" s="335" t="inlineStr">
        <is>
          <t>Idambudziko ripi iro mhuri yenyu yakasangana naro mumwedzi 3 yapfuura pakutengesa chirimwa chenyu che {crp_salesmain}?
[ARI KUITISA ONGORORO: PANOGONA KUPIWA MHINDURO DZAKAWANDA. SARUDZA MHINDURO DZINONYATSOENDERANA NEMASHOKO ATAURWA NEARI KUPINDURA.]
1)Mitengo yakakwira yekutakurisa zvinhu uye yekushambadzira
2)Kurasikirwa nekuda kwekushaya pekuchengetera uye/kana kuti kutadza kusvika kumusika [somuenzaniso nekuda kwekusachengeteka/zvivakwa zvisina kunaka/ nezvakada kudaro]
3)Vagara vaisimbotitengera havachatengi
4)Kunonoka kubhadharwa nevatengi
5)Kuderera kwemitengo yekutengesa nayo [somuenzaniso kana zvichienzaniswa newekutenga nawo / kupera simba kwemari]
6)Kutadza kugadzira zvinhu [kushomeka kwezvokushandisa / michina / nezvakada kudaro]
7)Kuzarisa kwezvinhu mumusika
8)Zvimwewo
9)HANDIZIVI
10)ARAMBA</t>
        </is>
      </c>
      <c r="G114" s="316">
        <f>LEN(F114)</f>
        <v/>
      </c>
      <c r="H114" s="335" t="inlineStr">
        <is>
          <t>Yibuphi ubunzima abomzini wakho abahlangana labo kunyanga ezintathu ezidluleyo ekuthengiseni{crp_salesmain} sakho}?
[OQHUBAYO: IMPENDULO EZINENGI ZINGAPHIWA. KHETHA IMPENDULO EZIFANELE ULWAZI OLUTHOLISWE NGUMAPHENDULA.]                                                                                    
1)Indleko zokuhambisa eziphezulu kumbe ezinye zezokuthengisa
2)Ukubhidlizeka kanye lokulahlekelwa ngenxa yobunzima bokugcinela kanye/ kumbe ubunzima bokufinyelela indawo zokuthengiselana [ isibonelo. ukungaphephi/izakhiwo ezingalunganga/lokunye.]
3)Ukuswelakala kokudingakala kwabathengisayo kumbe abathengayo abajwayelekileyo
4)Ukuphuza ukubhadala kwabathengisayo/abathengayo.
5)Intengo zokuthengisa eziphansi [isibonelo. kuqathaniswa lentengo zokusetshenziswa ukulungisa/isisindo semali siyehla]
6)Ubunzima ekulungiseni impahala [ukuswelakala kwezinto ezisetshenziswayo/imitshina/lokunye]
7)Indawo zokuthengisela zigcwele impahla
8)Okunye
9)KAZI
10)WALILE</t>
        </is>
      </c>
      <c r="I114" s="316">
        <f>LEN(H114)</f>
        <v/>
      </c>
      <c r="J114" s="346" t="inlineStr">
        <is>
          <t xml:space="preserve">Select All That Apply </t>
        </is>
      </c>
      <c r="K114" s="316" t="inlineStr">
        <is>
          <t>NA</t>
        </is>
      </c>
      <c r="L114" s="485" t="inlineStr">
        <is>
          <t>NA</t>
        </is>
      </c>
      <c r="M114" s="316" t="inlineStr">
        <is>
          <t>Form Type - Checklist
9,10 = IsNone
High transportation or other marketing costs) crp_saledif_marketing_cost
Damages and losses due to storage difficulties and/or difficulty accessing the market [e.g. insecurity/poor infrastructure/ etc.]) crp_saledif_damage_losses
Lack of demand from usual traders or buyers) crp_saledif_low_demand
Payment delays from traders / buyers) crp_saledif_pay_delay
Low selling prices [e.g. compared to input prices / inflation]) crp_saledif_low_price
Difficulty processing product [lack of processing inputs / equipment / etc]) crp_saledif_processing
Market flooded with products) crp_saledif_competition
Other) crp_saledif_other
DON'T KNOW) crp_saledif_dk
REFUSED) crp_saledif_ref</t>
        </is>
      </c>
      <c r="N114" s="335" t="inlineStr">
        <is>
          <t>1-10 = crp_salesprice</t>
        </is>
      </c>
      <c r="O114" s="149" t="n"/>
      <c r="P114" s="149" t="n"/>
      <c r="Q114" s="129" t="inlineStr">
        <is>
          <t>if crp_salesdif_2 = 1-8, go to crp_salesprice</t>
        </is>
      </c>
      <c r="R114" s="351" t="n"/>
      <c r="S114" s="159" t="inlineStr">
        <is>
          <t>resp_age = 18-100
hh_agricactivity = 1 | 2 | 3 | 4
(income_main = 1 | 2 | 3) | (income_sec = 1 | 2 | 3) | (income_third =  1 | 2 | 3) 
quotareached = 2
crp_salesmain = 1-90
crp_salesdif = 1</t>
        </is>
      </c>
      <c r="T114" s="72" t="n"/>
      <c r="U114" s="45" t="n">
        <v>22.61360931396484</v>
      </c>
      <c r="V114" s="42">
        <f>#REF!</f>
        <v/>
      </c>
      <c r="W114" s="45">
        <f>U114*V114</f>
        <v/>
      </c>
      <c r="X114" s="3" t="n"/>
      <c r="Z114" s="7" t="inlineStr">
        <is>
          <t>yes</t>
        </is>
      </c>
      <c r="AA114" s="54" t="n"/>
      <c r="AD114" s="8" t="inlineStr">
        <is>
          <t>Change in options #1, 2, 3, 4 (col D)</t>
        </is>
      </c>
    </row>
    <row r="115" ht="282" customFormat="1" customHeight="1" s="5" thickBot="1">
      <c r="A115" s="506">
        <f>A114+1</f>
        <v/>
      </c>
      <c r="B115" s="107" t="inlineStr">
        <is>
          <t>crp_salesprice</t>
        </is>
      </c>
      <c r="C115" s="158" t="inlineStr">
        <is>
          <t>crp_salesprice</t>
        </is>
      </c>
      <c r="D115" s="569"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15" s="296">
        <f>LEN(D115)</f>
        <v/>
      </c>
      <c r="F115" s="569" t="inlineStr">
        <is>
          <t>Mutengo uripo izvozvi wechirimwa che {crp_salesmain} uri sei kana uchienzaniswa nevaivepo nguva yakafanana gore rakapfuura? 
[ARI KUITISA ONGORORO: MHINDURO IMWE CHETE. SIMBISIRA PACHIRIMWA CHIKURU CHATAURWA.]
[ARI KUITISA ONGORORO: MHINDURO IMWE CHETE.]
1)Wakawedzera zvikuru [wakakwira nezvikamu 50 kubva muzana]
2)Wakawedzera zvishoma
3)Hauna kuchinja
4)Wakadzika zvishoma
5)Wakadzika zvikuru [zviri pasi zvikuru nechidimbu]
6)HANDIZIVI
7)ARAMBA</t>
        </is>
      </c>
      <c r="G115" s="296">
        <f>LEN(F115)</f>
        <v/>
      </c>
      <c r="H115" s="569" t="inlineStr">
        <is>
          <t>Intengo {crp_salesmain} ngabomuzi wakho kathesi iqathaniseka njani lentengo elingeneyo ngesikhathi esifanayo ngomnyaka ophelileyo? 
[OQHUBAYO: IMPENDULO EYODWA. GXILA KUMPAHLA EYIYO EKHULUNYIWEYO.]
1)Kakhulu [ikhuphuke ngenani eledluala amaphesenti angu50%]
2)Kakhulu mbijana
3)Ngokufanana
4)Kancane mbijana
5)Kancane mbijana [Ngokulutshwana okwedlula ingxenye]
6)KAZI
7)WALILE</t>
        </is>
      </c>
      <c r="I115" s="570">
        <f>LEN(H115)</f>
        <v/>
      </c>
      <c r="J115" s="110" t="inlineStr">
        <is>
          <t>Single Choice</t>
        </is>
      </c>
      <c r="K115" s="570" t="inlineStr">
        <is>
          <t>NA</t>
        </is>
      </c>
      <c r="L115" s="570" t="inlineStr">
        <is>
          <t>NA</t>
        </is>
      </c>
      <c r="M115" s="570" t="inlineStr">
        <is>
          <t>Form Type - Buttons</t>
        </is>
      </c>
      <c r="N115" s="212" t="inlineStr">
        <is>
          <t xml:space="preserve">1-7 = ls_intro </t>
        </is>
      </c>
      <c r="O115" s="213" t="n"/>
      <c r="P115" s="213" t="n"/>
      <c r="Q115" s="400" t="inlineStr">
        <is>
          <t>if crp_salesprice = 1-7, go to ls_intro</t>
        </is>
      </c>
      <c r="R115" s="294" t="n"/>
      <c r="S115" s="135" t="inlineStr">
        <is>
          <t>resp_age = 18-100
hh_agricactivity = 1 | 2 | 3 | 4
(income_main = 1 | 2 | 3) | (income_sec = 1 | 2 | 3) | (income_third =  1 | 2 | 3) 
quotareached = 2
crp_salesmain = 1-90</t>
        </is>
      </c>
      <c r="T115" s="111" t="n"/>
      <c r="U115" s="45" t="n">
        <v>21.70190811157227</v>
      </c>
      <c r="V115" s="42">
        <f>#REF!</f>
        <v/>
      </c>
      <c r="W115" s="45">
        <f>U115*V115</f>
        <v/>
      </c>
      <c r="X115" s="3" t="n"/>
      <c r="Z115" s="7" t="inlineStr">
        <is>
          <t>yes</t>
        </is>
      </c>
      <c r="AA115" s="54" t="n"/>
      <c r="AD115" s="10" t="inlineStr">
        <is>
          <t xml:space="preserve">Change in options #2, 4 (col D) </t>
        </is>
      </c>
    </row>
    <row r="116" ht="19.5" customFormat="1" customHeight="1" s="5" thickBot="1">
      <c r="A116" s="530" t="inlineStr">
        <is>
          <t>E. LIVESTOCK PRODUCTION</t>
        </is>
      </c>
      <c r="B116" s="577" t="n"/>
      <c r="C116" s="577" t="n"/>
      <c r="D116" s="577" t="n"/>
      <c r="E116" s="577" t="n"/>
      <c r="F116" s="577" t="n"/>
      <c r="G116" s="577" t="n"/>
      <c r="H116" s="577" t="n"/>
      <c r="I116" s="577" t="n"/>
      <c r="J116" s="577" t="n"/>
      <c r="K116" s="577" t="n"/>
      <c r="L116" s="577" t="n"/>
      <c r="M116" s="577" t="n"/>
      <c r="N116" s="577" t="n"/>
      <c r="O116" s="577" t="n"/>
      <c r="P116" s="577" t="n"/>
      <c r="Q116" s="577" t="n"/>
      <c r="R116" s="577" t="n"/>
      <c r="S116" s="577" t="n"/>
      <c r="T116" s="587" t="n"/>
      <c r="U116" s="44" t="n"/>
      <c r="V116" s="42" t="n"/>
      <c r="W116" s="44" t="n"/>
      <c r="X116" s="3" t="n"/>
      <c r="Z116" s="7" t="n"/>
      <c r="AA116" s="54" t="n"/>
      <c r="AD116" s="6" t="n"/>
    </row>
    <row r="117" ht="150" customFormat="1" customHeight="1" s="5">
      <c r="A117" s="247">
        <f>A115+1</f>
        <v/>
      </c>
      <c r="B117" s="214" t="inlineStr">
        <is>
          <t>ls_intro</t>
        </is>
      </c>
      <c r="C117" s="215" t="inlineStr">
        <is>
          <t>ls_intro</t>
        </is>
      </c>
      <c r="D117" s="216" t="inlineStr">
        <is>
          <t>We will now ask you some questions about livestock production which apply to you and anyone in your household that is involved in livestock production or sales. 
1)CONTINUE</t>
        </is>
      </c>
      <c r="E117" s="308">
        <f>LEN(D117)</f>
        <v/>
      </c>
      <c r="F117" s="117" t="inlineStr">
        <is>
          <t>Tave kuda kukubvunza mibvunzo iri pamusoro pezvipfuyo izvo iwe uye munhu wese ari mumhuri yenyu akachengeta uye kutengesa.
1)ENDERERA MBERI</t>
        </is>
      </c>
      <c r="G117" s="308">
        <f>LEN(F117)</f>
        <v/>
      </c>
      <c r="H117" s="241" t="inlineStr">
        <is>
          <t>Kathesi sizabuza imbuzo mayela lokufuywa kwezifuyo khona okungena komunye emuzini wakho oqhuba ezokufuya izifuyo kumbe othengisayo.
1)QHUBEKA</t>
        </is>
      </c>
      <c r="I117" s="564">
        <f>LEN(H117)</f>
        <v/>
      </c>
      <c r="J117" s="564" t="inlineStr">
        <is>
          <t>Single Choice</t>
        </is>
      </c>
      <c r="K117" s="564" t="inlineStr">
        <is>
          <t>NA</t>
        </is>
      </c>
      <c r="L117" s="564" t="inlineStr">
        <is>
          <t>Send if "hh_agricactivity" "Equals" "Yes - livestock production" Or "hh_agricactivity" "Equals" "Yes - both crop and livestock production" Or "income_main_lscheck" "Equals" "YES" Or "income_sec_lscheck" "Equals" "YES" Or "income_third_lscheck" "Equals" "YES" if not satisfied go to "ls_salesmain"</t>
        </is>
      </c>
      <c r="M117" s="564" t="inlineStr">
        <is>
          <t>Form Type - Buttons</t>
        </is>
      </c>
      <c r="N117" s="563" t="inlineStr">
        <is>
          <t>1 = ls_main</t>
        </is>
      </c>
      <c r="O117" s="211" t="n"/>
      <c r="P117" s="211" t="n"/>
      <c r="Q117" s="401"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R117" s="441" t="n"/>
      <c r="S117" s="131" t="inlineStr">
        <is>
          <t>resp_age = 18-100
(hh_agricactivity = 1 | 3) | (income_main_lscheck = 1) | (income_sec_lscheck = 1) | (income_third_lscheck = 1) 
quotareached = 2</t>
        </is>
      </c>
      <c r="T117" s="64" t="n"/>
      <c r="U117" s="45" t="n">
        <v>7.5</v>
      </c>
      <c r="V117" s="20">
        <f>#REF!</f>
        <v/>
      </c>
      <c r="W117" s="45">
        <f>U117*V117</f>
        <v/>
      </c>
      <c r="X117" s="3" t="n"/>
      <c r="Z117" s="7" t="inlineStr">
        <is>
          <t>yes</t>
        </is>
      </c>
      <c r="AA117" s="54" t="n"/>
      <c r="AD117" s="6" t="inlineStr">
        <is>
          <t>new question</t>
        </is>
      </c>
    </row>
    <row r="118" ht="356.25" customFormat="1" customHeight="1" s="5">
      <c r="A118" s="503">
        <f>A117+1</f>
        <v/>
      </c>
      <c r="B118" s="120" t="inlineStr">
        <is>
          <t>ls_main</t>
        </is>
      </c>
      <c r="C118" s="155" t="inlineStr">
        <is>
          <t>ls_main</t>
        </is>
      </c>
      <c r="D118" s="568" t="inlineStr">
        <is>
          <t>What has been the main animal your household raised for food and income generation in the last 12 months?
[OPERATOR: SINGLE RESPONSE. ASK ABOUT THE MOST IMPORTANT ANIMAL ONLY.] [HINT: DON'T FORGET TO PROBE ABOUT TRANSHUMANCE - MOVING LIVESTOCK FROM ONE GRAZING GROUND TO ANOTHER.]
1)Cattle [cow / beef / veal / yak / buffalo]
2)Goats
3)Sheep
4)Swine [pig / boar / hog / etc]
5)Equine [donkey / horse / etc]
6)Small domesticated mammals [rabbits / minks / guinea pigs / etc]
7)Poultry [chicken / guineafowl / duck / quail / turkey / etc]
8)Camelids
9)Other
10)DON'T KNOW
11)REFUSED</t>
        </is>
      </c>
      <c r="E118" s="127">
        <f>LEN(D118)</f>
        <v/>
      </c>
      <c r="F118" s="568" t="inlineStr">
        <is>
          <t>Ndechipi chipfuyo icho mhuri yenyu yakanyanya kuchengeta kuti iwane zvekudya uye kutengesa mumwedzi 12 yapfuura?
[ARI KUITISA ONGORORO: MHINDURO IMWE CHETE. BVUNZA NEZVECHIPFUYO CHAKANYANYOKOSHA CHETE.] [ZVEKUYEUKA: USAKANGANWE KUBVUNZA NEZVEKUENDA KURE NEZVIPFUYO VACHINOTSVAKA MAFURO - KUFAMBA NEZVIPFUYO KUBVA KUNE MAMWE MAFURO UCHIENDA KUNE MAMWE.]
1)Mombe [mhou / nyama yemombe / nyama yemhuru / mombe ine mvere / nyati]
2)Mbudzi
3)Hwai
4)Nguruve [nguruve hadzi / mukono wenguruve / nguruve yemusango / nezvakada kudaro]
5)Zvakaita semabhiza [dhongi / bhiza / nezvakada kudaro]
6)Tumhuka twuduku twekupfuya [tsuro / tsindi / mbira / nezvakada kudaro]
7)Zvakaita sehuku [huku / hanga / dhakisi/ zvihuta / toki / zvakada kudaro]
8)Ngamera
9)Zvimwewo
10)HANDIZIVI
11)ARAMBA</t>
        </is>
      </c>
      <c r="G118" s="127">
        <f>LEN(F118)</f>
        <v/>
      </c>
      <c r="H118" s="568" t="inlineStr">
        <is>
          <t>Yisiphi isifuyo abamuli yakho abagxile kiso ukusifuyela ukudla kanye lokuthola imali kunyanga ezilitshumi lambili ezindlulileyo?
[OQHUBAYO: IMPENDULO EYODWA. BUZA MAYELANA LESIFUYO ESIYISO ESIMQOKA KUPHELA]. [UNGAKHOHLWA UKUBUZA MAYELANA LOKUHAMBISA IZIFUYO EMADLELWAENI AKHATSHANA.]
1)Inkomo/inyama/inyama yenkonyane/yak/ inyathi]
2)Imbuzi
3)Imvu
4)Ingulube
5)Ubabhemi/ibhiza/okunye]
6)Izinyamazana ezincane ezifuywayo[ undlegu/umvundla/ihotshi/okunye
7)Ezilempiko[inkukhu/isikhwehle/idada/okunye]
8)Ikamela
9)Okunye
10)KAZI
11)WALILE</t>
        </is>
      </c>
      <c r="I118" s="566">
        <f>LEN(H118)</f>
        <v/>
      </c>
      <c r="J118" s="566" t="inlineStr">
        <is>
          <t>Single Choice</t>
        </is>
      </c>
      <c r="K118" s="566" t="inlineStr">
        <is>
          <t>NA</t>
        </is>
      </c>
      <c r="L118" s="566" t="inlineStr">
        <is>
          <t>NA</t>
        </is>
      </c>
      <c r="M118" s="155" t="inlineStr">
        <is>
          <t>Form Type - Buttons
IsDemographic</t>
        </is>
      </c>
      <c r="N118" s="568" t="inlineStr">
        <is>
          <t>1-9 = ls_num_lastyr
10-11 = ls_proddif_1</t>
        </is>
      </c>
      <c r="O118" s="149" t="n"/>
      <c r="P118" s="149" t="n"/>
      <c r="Q118" s="344" t="inlineStr">
        <is>
          <t>if ls_main = 1-9, go to ls_num_lastyr ; 
If ls_main = 10-11, go to ls_proddif_1</t>
        </is>
      </c>
      <c r="R118" s="327" t="n"/>
      <c r="S118" s="159" t="inlineStr">
        <is>
          <t>resp_age = 18-100
(hh_agricactivity = 1 | 3) | (income_main_lscheck = 1) | (income_sec_lscheck = 1) | (income_third_lscheck = 1) 
quotareached = 2</t>
        </is>
      </c>
      <c r="T118" s="72" t="n"/>
      <c r="U118" s="45" t="n">
        <v>20.2944221496582</v>
      </c>
      <c r="V118" s="20">
        <f>#REF!</f>
        <v/>
      </c>
      <c r="W118" s="45">
        <f>U118*V118</f>
        <v/>
      </c>
      <c r="X118" s="3" t="n"/>
      <c r="Z118" s="7" t="inlineStr">
        <is>
          <t>yes</t>
        </is>
      </c>
      <c r="AA118" s="54" t="n"/>
      <c r="AD118" s="6" t="inlineStr">
        <is>
          <t>Change in option #7 (col D)</t>
        </is>
      </c>
    </row>
    <row r="119" ht="131.25" customFormat="1" customHeight="1" s="5">
      <c r="A119" s="503">
        <f>A118+1</f>
        <v/>
      </c>
      <c r="B119" s="120" t="inlineStr">
        <is>
          <t>ls_num_lastyr</t>
        </is>
      </c>
      <c r="C119" s="155" t="inlineStr">
        <is>
          <t>ls_num_lastyr</t>
        </is>
      </c>
      <c r="D119" s="568" t="inlineStr">
        <is>
          <t>How many {ls_main} did you have at the same time last year?
[OPERATOR: RECORD THE NUMBER OF ANIMALS. ENTER 88888 FOR DON'T KNOW AND 99999 FOR REFUSED.]</t>
        </is>
      </c>
      <c r="E119" s="127">
        <f>LEN(D119)</f>
        <v/>
      </c>
      <c r="F119" s="568" t="inlineStr">
        <is>
          <t>Maive ne {ls_main} dzakawanda sei panguva yakafanana neino gore rapfuura?
[ARI KUITISA ONGORORO: NYORA PASI NHAMBA YEZVIPFUYO. ISA 88888 KANA ASINGAZIVI UYE 99999 KANA ARAMBA.]</t>
        </is>
      </c>
      <c r="G119" s="127">
        <f>LEN(F119)</f>
        <v/>
      </c>
      <c r="H119" s="568" t="inlineStr">
        <is>
          <t>Kungaki {ls_main} owaba lakho ngesikhathi lesi kumnyaka ophelileyo?
[OQHUBAYO: REKHODA INANI LENYAMAZANA. FAKA U 88888 NXA ENGAZI KANYE LO 99999 NXA EYALILE.]</t>
        </is>
      </c>
      <c r="I119" s="566">
        <f>LEN(H119)</f>
        <v/>
      </c>
      <c r="J119" s="123" t="inlineStr">
        <is>
          <t>Range</t>
        </is>
      </c>
      <c r="K119" s="566" t="inlineStr">
        <is>
          <t>NA</t>
        </is>
      </c>
      <c r="L119" s="566" t="inlineStr">
        <is>
          <t>NA</t>
        </is>
      </c>
      <c r="M119" s="566" t="inlineStr">
        <is>
          <t>Form Type - TextBox</t>
        </is>
      </c>
      <c r="N119" s="568" t="inlineStr">
        <is>
          <t>0-10000 = ls_num_now
88888-88888 = ls_num_now
99999-99999 = ls_num_now</t>
        </is>
      </c>
      <c r="O119" s="149" t="n"/>
      <c r="P119" s="149" t="n"/>
      <c r="Q119" s="129" t="inlineStr">
        <is>
          <t>answers can range from 0-10000; any response goes to ls_num_now</t>
        </is>
      </c>
      <c r="R119" s="351" t="n"/>
      <c r="S119" s="159" t="inlineStr">
        <is>
          <t>resp_age = 18-100
(hh_agricactivity = 1 | 3) | (income_main_lscheck = 1) | (income_sec_lscheck = 1) | (income_third_lscheck = 1) 
quotareached = 2
ls_main = 1-9</t>
        </is>
      </c>
      <c r="T119" s="72" t="n"/>
      <c r="U119" s="45" t="n">
        <v>18.53907775878906</v>
      </c>
      <c r="V119" s="20">
        <f>#REF!</f>
        <v/>
      </c>
      <c r="W119" s="45">
        <f>U119*V119</f>
        <v/>
      </c>
      <c r="X119" s="3" t="n"/>
      <c r="Z119" s="7" t="inlineStr">
        <is>
          <t>yes</t>
        </is>
      </c>
      <c r="AA119" s="54" t="n"/>
      <c r="AD119" s="6" t="n"/>
    </row>
    <row r="120" ht="131.25" customFormat="1" customHeight="1" s="5">
      <c r="A120" s="503">
        <f>A119+1</f>
        <v/>
      </c>
      <c r="B120" s="120" t="inlineStr">
        <is>
          <t>ls_num_now</t>
        </is>
      </c>
      <c r="C120" s="155" t="inlineStr">
        <is>
          <t>ls_num_now</t>
        </is>
      </c>
      <c r="D120" s="161" t="inlineStr">
        <is>
          <t>How many {ls_main} do you have now?
[OPERATOR: RECORD THE NUMBER OF ANIMALS. ENTER 88888 FOR DON'T KNOW AND 99999 FOR REFUSED.]</t>
        </is>
      </c>
      <c r="E120" s="127">
        <f>LEN(D120)</f>
        <v/>
      </c>
      <c r="F120" s="161" t="inlineStr">
        <is>
          <t>Parizvino mune {ls_main} zvakawanda sei?
[ARI KUITISA ONGORORO: NYORA PASI NHAMBA YEZVIPFUYO. ISA 88888 KANA ASINGAZIVI UYE 99999 KANA ARAMBA.</t>
        </is>
      </c>
      <c r="G120" s="127">
        <f>LEN(F120)</f>
        <v/>
      </c>
      <c r="H120" s="568" t="inlineStr">
        <is>
          <t>Kungaki {ls_main} olakho kathesi?
[OQHUBAYO: REKHODA INANI LENYAMAZANA. FAKA U 88888 NXA ENGAZI KANYE LO 99999 NXA EYALILE.]</t>
        </is>
      </c>
      <c r="I120" s="566">
        <f>LEN(H120)</f>
        <v/>
      </c>
      <c r="J120" s="123" t="inlineStr">
        <is>
          <t>Range</t>
        </is>
      </c>
      <c r="K120" s="566" t="inlineStr">
        <is>
          <t>NA</t>
        </is>
      </c>
      <c r="L120" s="566" t="inlineStr">
        <is>
          <t>NA</t>
        </is>
      </c>
      <c r="M120" s="566" t="inlineStr">
        <is>
          <t>Form Type - TextBox</t>
        </is>
      </c>
      <c r="N120" s="568" t="inlineStr">
        <is>
          <t>0-10000 = ls_num_change
88888-88888 = ls_num_change
99999-99999 = ls_num_change</t>
        </is>
      </c>
      <c r="O120" s="149" t="n"/>
      <c r="P120" s="149" t="n"/>
      <c r="Q120" s="129" t="inlineStr">
        <is>
          <t>answers can range from 0-10000; any response goes to ls_num_change</t>
        </is>
      </c>
      <c r="R120" s="351" t="n"/>
      <c r="S120" s="159" t="inlineStr">
        <is>
          <t>resp_age = 18-100
(hh_agricactivity = 1 | 3) | (income_main_lscheck = 1) | (income_sec_lscheck = 1) | (income_third_lscheck = 1) 
quotareached = 2
ls_main = 1-9</t>
        </is>
      </c>
      <c r="T120" s="72" t="n"/>
      <c r="U120" s="45" t="n">
        <v>8.915891647338867</v>
      </c>
      <c r="V120" s="20">
        <f>#REF!</f>
        <v/>
      </c>
      <c r="W120" s="45">
        <f>U120*V120</f>
        <v/>
      </c>
      <c r="X120" s="3" t="n"/>
      <c r="Z120" s="7" t="inlineStr">
        <is>
          <t>yes</t>
        </is>
      </c>
      <c r="AA120" s="54" t="n"/>
      <c r="AD120" s="6" t="n"/>
    </row>
    <row r="121" ht="409.5" customFormat="1" customHeight="1" s="5">
      <c r="A121" s="503">
        <f>A120+1</f>
        <v/>
      </c>
      <c r="B121" s="120" t="inlineStr">
        <is>
          <t>ls_num_change</t>
        </is>
      </c>
      <c r="C121" s="67" t="inlineStr">
        <is>
          <t>ls_num_
1)ls_num_no_change
2) ls_num_inc_less_sales
3) ls_num_inc_more_birth
4) ls_num_inc_more_acquired
5) ls_num_inc_received_free
6)ls_num_dec_poor_health
7)ls_num_dec_death
8)ls_num_dec_sales_good_price
9)ls_num_dec_sales_distress
10)ls_num_dec_escape_stolen
11)ls_num_dec_consumed
12)ls_num_inc_dec_other
13)ls_num_inc_dec_dk
14)ls_num_inc_dec_ref</t>
        </is>
      </c>
      <c r="D121" s="335"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malnutrition/drought/lack of feed
7)Animal death due to other factors [e.g. diseases/parasites/injury]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is>
      </c>
      <c r="E121" s="316">
        <f>LEN(D121)</f>
        <v/>
      </c>
      <c r="F121" s="568" t="inlineStr">
        <is>
          <t>Nemhaka yei huwandu hwezvipfuyo hwakachinja?
[ARI KUITISA ONGORORO: PANOGONA KUPIWA MHINDURO DZAKAWANDA.]
1)Hapana kuchinja kukuru pahuwandu hwezvipfuyo
2)Hatina kutengesa zvakawanda
3)Zvizhinji zvakaberekwa
4)Takatenga kana kuti kuchinjanisa zvipfuyo zvakawanda gore rino
5)Takapiwa zvipfuyo zvemahara [kukudza danga / chipo]
6)Kufa kwezvipfuyo nekuda kwekushaya chikafu/kusanaya kwemvura/kushomeka kwechikafu
7)Kufa kwezvipfuyo nekuda kwezvimwewo zvikonzero [somuenzaniso zvirwere /zvipembenene/kukuvara]
8)Takatengesa zvakawanda kupfuura kare nekuti mutengo waive wakanaka
9)Takatengesa zvakawanda kupfuura kare nekuda kwekuomerwa [kushaya chikafu chezvipfuyo / kudikanwa kwemari nekukasira kunyange zvazvo mutengo waive pasi zvikuru]
10)Zvipfuyo zvakatiza kana kuti kubiwa
11)Takauraya kana kupa zvipfuyo zvakawanda kupfuura kare kuti tiwane zvekudya zvemhuri kana kuti nekuda kwemhemberero [michato / ndufu / nezvakada kudaro]
12)Zvimwe
13)HANDIZIVI
14)ARAMBA</t>
        </is>
      </c>
      <c r="G121" s="316">
        <f>LEN(F121)</f>
        <v/>
      </c>
      <c r="H121" s="335" t="inlineStr">
        <is>
          <t>Yindaba inani lezifuyo latshintsha?
[OQHUBAYO: IMPENDULO EZINENGI ZINGAPHIWA.]
1)Akulatshintsho olukhulu kunani lezifuyo
2)Akuthengiswanga ezinengi
3)Ezinengi zazalwa
4)Ngathenga kumbe ngatshintsha izifuyo ezinengi ngomnyaka lo
5)Wamukela izifuyo mahala [ukwengezela/isipho]
6)Ukufa kwezifuyo ngenxa yokungatholi ukudla okwaneleyo/ukoma/ukuswelakala kokudla
7)Ukufa kwezifuyo ngenxa yezinye izizatho [isibonelo. imikhuhlane/imikhaza lokunye okumunyayo/ukulimala]
8)Wathengisa ezinengi kulenani elijwayelekileyo ngenxa yentengo enhle
9)Wathengisa ezinengi kulenani elijwayelekileyo ngenxa yokuthengisa ngodubo [ukungenelisi ukupha isifuyo ukudla/kudingakala imali ngokuphuthuma yezidingo zendlini ezimqoka loba intengo yakho yayingancedi]
10)Izifuyo zabaleka kumbe zatshontshwa
11)Kwabulawa kumbe kwaphiwa izifuyo ezinengi okwedlula ezijwayelekileyo ukuthi zidliwe ngabendlini kumbe ukuqhuba imicimbi [umtshado/imngcwabo/lokunye]
12)Okunye
13)KAZI
14)WALILE</t>
        </is>
      </c>
      <c r="I121" s="316">
        <f>LEN(H121)</f>
        <v/>
      </c>
      <c r="J121" s="346" t="inlineStr">
        <is>
          <t xml:space="preserve">Select All That Apply </t>
        </is>
      </c>
      <c r="K121" s="316" t="inlineStr">
        <is>
          <t>NA</t>
        </is>
      </c>
      <c r="L121" s="316" t="inlineStr">
        <is>
          <t>NA</t>
        </is>
      </c>
      <c r="M121" s="316" t="inlineStr">
        <is>
          <t>Form Type - Checklist
1,13,14 = IsNone
No significant change in livestock number)ls_num_no_change
Did not sell as many) ls_num_inc_less_sales
Many more were born) ls_num_inc_more_birth
Purchased or bartered more animals this year) ls_num_inc_more_acquired
Received animals for free [restocking / gift]) ls_num_inc_received_free
Animal death due to malnutrition/drought/lack of feed)ls_num_dec_poor_health
Animal death due to o)ls_num_dec_sales_good_price
Sold more than usual because of distress sales [unable to feed animal / need money urgently for household basic needs even if sales were unsustainable])ls_num_dec_sales_distress
Animal escaped or was lost or stolen)ls_num_dec_escape_stolen
)Killed or gave away more animals than usual for household consumption or celebrations [marriage / funerals / etc])ls_num_dec_consumed
Other)ls_num_inc_dec_other
DON’T KNOW)ls_num_inc_dec_dk
REFUSED)ls_num_inc_dec_ref</t>
        </is>
      </c>
      <c r="N121" s="335" t="inlineStr">
        <is>
          <t>1-14 = ls_feed</t>
        </is>
      </c>
      <c r="O121" s="149" t="n"/>
      <c r="P121" s="149" t="n"/>
      <c r="Q121" s="344" t="inlineStr">
        <is>
          <t>If ls_num_change 1-13 = [ls_proddif_1 OR ls_food_supply]</t>
        </is>
      </c>
      <c r="R121" s="442" t="inlineStr">
        <is>
          <t>If ls_num_change 1-13 =  ls_food_supply</t>
        </is>
      </c>
      <c r="S121" s="159" t="inlineStr">
        <is>
          <t>resp_age = 18-100
(hh_agricactivity = 1 | 3) | (income_main_lscheck = 1) | (income_sec_lscheck = 1) | (income_third_lscheck = 1) 
quotareached = 2
ls_main = 1-9</t>
        </is>
      </c>
      <c r="T121" s="72" t="n"/>
      <c r="U121" s="45" t="n">
        <v>25.81001091003418</v>
      </c>
      <c r="V121" s="20">
        <f>#REF!</f>
        <v/>
      </c>
      <c r="W121" s="45">
        <f>U121*V121</f>
        <v/>
      </c>
      <c r="X121" s="3" t="n"/>
      <c r="Z121" s="7" t="inlineStr">
        <is>
          <t>yes</t>
        </is>
      </c>
      <c r="AA121" s="54" t="n"/>
      <c r="AD121" s="8" t="inlineStr">
        <is>
          <t>Check if programming change with GP 
Change in option #1</t>
        </is>
      </c>
    </row>
    <row r="122" ht="243.75" customFormat="1" customHeight="1" s="5">
      <c r="A122" s="503">
        <f>A121+1</f>
        <v/>
      </c>
      <c r="B122" s="160" t="inlineStr">
        <is>
          <t>ls_feed</t>
        </is>
      </c>
      <c r="C122" s="275" t="inlineStr">
        <is>
          <t>ls_feed
1) ls_feed_open_pasture
2) ls_feed_common_pasture
3) ls_feed_self_produced
4) ls_feed_purchased
5) ls_feed_free_dist
6) ls_feed_other
7) ls_feed_dk
8) ls_feed_ref</t>
        </is>
      </c>
      <c r="D122" s="352" t="inlineStr">
        <is>
          <t>Where do you usually access food for your {ls_main}?  
[OPERATOR: MULTIPLE RESPONSES POSSIBLE.] 
1)Open pasture
2)Community-managed pasture land
3)Owned or rented field or self-produced fodder
4)Purchase feed or fodder at the market
5)Free distribution
6)Other
7)DON'T KNOW
8)REFUSED</t>
        </is>
      </c>
      <c r="E122" s="323">
        <f>LEN(D122)</f>
        <v/>
      </c>
      <c r="F122" s="159" t="inlineStr">
        <is>
          <t>Munowanzowana kupi chikafu che {ls_main} dzenyu?  
[ARI KUITISA ONGORORO: PANOGONA KUPIWA MHINDURO DZAKAWANDA.]
1)Mafuro everuzhinji
2)Nzvimbo yemafuro emunharaunda inotarisirwa
3)Nzvimbo ine muridzi kana kuti yekurenda kana chikafu chezvipfuyo chekuzvigadzirira wega
4)Kutenga chikafu chezvipfuyo kumusika
5)Kupiwa mahara
6)Zvimwewo
7)HANDIZIVI
8)ARAMBA</t>
        </is>
      </c>
      <c r="G122" s="323">
        <f>LEN(F122)</f>
        <v/>
      </c>
      <c r="H122" s="352" t="inlineStr">
        <is>
          <t>Wandise ukuthola ngaphi ukudla kwe {ls_main}?  
[OQHUBAYO: IMPENDULO EZINENGI ZINGAPHIWA.]
1)Amadlelo kazulu wonke
2)Umhlabathi wamadlelo ophathwa ngumphakathi 
3)Amasimu alomnikazi kumbe abhadalelwayo kumbe ukudla kwezifuyo abazilungisela khona
4)Ukuthenga ukudla kumbe ukudla kwezifuyo emakethe
5)Ukuphiwa mahala
6)Okunye
7)KAZI
8)WALILE</t>
        </is>
      </c>
      <c r="I122" s="323">
        <f>LEN(H122)</f>
        <v/>
      </c>
      <c r="J122" s="349" t="inlineStr">
        <is>
          <t xml:space="preserve">Select All That Apply </t>
        </is>
      </c>
      <c r="K122" s="323" t="inlineStr">
        <is>
          <t>NA</t>
        </is>
      </c>
      <c r="L122" s="323" t="inlineStr">
        <is>
          <t>NA</t>
        </is>
      </c>
      <c r="M122" s="323" t="inlineStr">
        <is>
          <t>Form Type - Checklist
7,8 = IsNone
Open pasture) ls_feed_open_pasture
Community-managed pasture land) ls_feed_common_pasture
Owned or rented field or self-produced fodder) ls_feed_self_produced
Purchase feed or fodder at the market) ls_feed_purchased
Free distribution) ls_feed_free_dist
Other) ls_feed_other
DON'T KNOW) ls_feed_dk
REFUSED) ls_feed_ref</t>
        </is>
      </c>
      <c r="N122" s="352" t="inlineStr">
        <is>
          <t>1-8 = ls_proddif_1</t>
        </is>
      </c>
      <c r="O122" s="140" t="n"/>
      <c r="P122" s="140" t="n"/>
      <c r="Q122" s="402" t="inlineStr">
        <is>
          <t>For any response, go to ls_proddif_1</t>
        </is>
      </c>
      <c r="R122" s="443" t="n"/>
      <c r="S122" s="159" t="inlineStr">
        <is>
          <t>resp_age = 18-100
(hh_agricactivity = 1 | 3) | (income_main_lscheck = 1) | (income_sec_lscheck = 1) | (income_third_lscheck = 1) 
quotareached = 2
ls_main = 1-9</t>
        </is>
      </c>
      <c r="T122" s="72" t="n"/>
      <c r="U122" s="44" t="n">
        <v>19.55319786071777</v>
      </c>
      <c r="V122" s="20">
        <f>#REF!</f>
        <v/>
      </c>
      <c r="W122" s="44">
        <f>U122*V122</f>
        <v/>
      </c>
      <c r="X122" s="3" t="n"/>
      <c r="Z122" s="7" t="inlineStr">
        <is>
          <t>no</t>
        </is>
      </c>
      <c r="AA122" s="54" t="n"/>
      <c r="AD122" s="6" t="n"/>
    </row>
    <row r="123" ht="168.75" customFormat="1" customHeight="1" s="5">
      <c r="A123" s="503">
        <f>A122+1</f>
        <v/>
      </c>
      <c r="B123" s="120" t="inlineStr">
        <is>
          <t>ls_proddif_1</t>
        </is>
      </c>
      <c r="C123" s="155" t="inlineStr">
        <is>
          <t>ls_proddif</t>
        </is>
      </c>
      <c r="D123" s="335" t="inlineStr">
        <is>
          <t>Has your household faced any significant difficulty with livestock production over the last 3 months?
[OPERATOR: SINGLE RESPONSE.]
1)YES 
2)NO
3)DON'T KNOW
4)REFUSED</t>
        </is>
      </c>
      <c r="E123" s="316">
        <f>LEN(D123)</f>
        <v/>
      </c>
      <c r="F123" s="568" t="inlineStr">
        <is>
          <t>Mhuri yenyu yakasangana nechero dambudziko guru here panyaya yekupfuya zvipfuyo mumwedzi 3 yapfuura?
[ARI KUITISA ONGORORO: MHINDURO IMWE CHETE.]
1)HONGU 
2)KWETE
3)HANDIZIVI
4)ARAMBA</t>
        </is>
      </c>
      <c r="G123" s="316">
        <f>LEN(F123)</f>
        <v/>
      </c>
      <c r="H123" s="335" t="inlineStr">
        <is>
          <t>Kungabe abomuzi wakho bahlangana lobunzima obukhulu ekufuyeni izifuyo kunyanga ezintathu ezidluleyo?
[OQHUBAYO: IMPENDULO EYODWA.]
1)YEBO
2)HATSHI
3)KAZI
4)WALILE</t>
        </is>
      </c>
      <c r="I123" s="316">
        <f>LEN(H123)</f>
        <v/>
      </c>
      <c r="J123" s="329" t="inlineStr">
        <is>
          <t>Single Choice</t>
        </is>
      </c>
      <c r="K123" s="316" t="inlineStr">
        <is>
          <t>NA</t>
        </is>
      </c>
      <c r="L123" s="316" t="inlineStr">
        <is>
          <t>NA</t>
        </is>
      </c>
      <c r="M123" s="316" t="inlineStr">
        <is>
          <t>Form Type - Buttons</t>
        </is>
      </c>
      <c r="N123" s="335" t="inlineStr">
        <is>
          <t>1=ls_proddif_2
2-4= ls_salesmain</t>
        </is>
      </c>
      <c r="O123" s="149" t="n"/>
      <c r="P123" s="149" t="n"/>
      <c r="Q123" s="129" t="inlineStr">
        <is>
          <t>if ls_proddif_1 = 1, go to ls_proddif_2 ; 
if ls_proddif_1 = 2-4, go to [ls_salesmain]</t>
        </is>
      </c>
      <c r="R123" s="351" t="n"/>
      <c r="S123" s="159" t="inlineStr">
        <is>
          <t>resp_age = 18-100
(hh_agricactivity = 1 | 3) | (income_main_lscheck = 1) | (income_sec_lscheck = 1) | (income_third_lscheck = 1) 
quotareached = 2</t>
        </is>
      </c>
      <c r="T123" s="72" t="n"/>
      <c r="U123" s="45" t="n">
        <v>13.61331653594971</v>
      </c>
      <c r="V123" s="20">
        <f>#REF!</f>
        <v/>
      </c>
      <c r="W123" s="45">
        <f>U123*V123</f>
        <v/>
      </c>
      <c r="X123" s="3" t="n"/>
      <c r="Z123" s="7" t="inlineStr">
        <is>
          <t>yes</t>
        </is>
      </c>
      <c r="AA123" s="54" t="n"/>
      <c r="AD123" s="6" t="n"/>
    </row>
    <row r="124" ht="393.75" customFormat="1" customHeight="1" s="5">
      <c r="A124" s="506">
        <f>A123+1</f>
        <v/>
      </c>
      <c r="B124" s="107" t="inlineStr">
        <is>
          <t>ls_proddif_2</t>
        </is>
      </c>
      <c r="C124" s="311"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24" s="295" t="inlineStr">
        <is>
          <t>Which difficulties has your household faced with livestock production in the last 3 months?
[OPERATOR: MULTIPLE RESPONSES POSSIBLE. SELECT OPTION(S) THAT BEST FIT THE INFORMATION PROVIDED BY THE RESPONDENTS.]
1)Difficulty to purchase feed [prices or access to market]
2)Access to pasture
3)Access to water
4)Access to veterinary services [vaccinations/treatments/spraying/advisory. etc]
5)Access to veterinary inputs [medicine for animals / tools for animal health / etc]
6)Livestock diseases or injury
7)Livestock theft
8)Access to livestock market to buy young animals
9)Access to credit
10)Access to manpower labour
11)Other
12)DON'T KNOW
13)REFUSED</t>
        </is>
      </c>
      <c r="E124" s="334">
        <f>LEN(D124)</f>
        <v/>
      </c>
      <c r="F124" s="569" t="inlineStr">
        <is>
          <t>Ndeapi matambudziko ayo mhuri yenyu yakasangana nawo pakuchengeta zvipfuyo mumwedzi 3 yapfuura?
[ARI KUITISA ONGORORO: PANOGONA KUVE NEMHINDURO DZAKAWANDA. SARUDZA MHIDZURO DZINONYATSOENDERANA NEMASHOKO ATAURWA NEVARI KUPINDURA.]
1)Dambudziko rekutenga chikafu [mitengo kana kuti masvikiro ekumisika]
2)Kuwana mafuro
3)Kuwana mvura
4)Kuwana rubatsiro rwemishonga yezvipfuyo [kubayiwa jekiseni/kurapwa/kufiritwa/mazano nezvakada kudaro]
5)Kuwana zvekushandisa pakuchengeta zvipfuyo [mishonga yezvipfuyo / maturusi ekuti mhuka dzive nehutano / nezvakada kudaro]
6)Zvirwere zvezvipfuyo kana kuti kukuvara
7)Kubiwa kwezvipfuyo
8)Kutadza kusvika kumisika yezvipfuyo kuti patengwe vana vezvipfuyo
9)Kuwana zvikwereti
10)Kuwana vashandi
11)Zvimwewo
12)HANDIZIVI
13)ARAMBA</t>
        </is>
      </c>
      <c r="G124" s="334">
        <f>LEN(F124)</f>
        <v/>
      </c>
      <c r="H124" s="295" t="inlineStr">
        <is>
          <t>Yibuphi ubunzima abemuli yakho abahlangana labo ekufuyeni izifuyo kunyanga ezintathu ezidlulileyo?
[OQHUBAYO: IMPENDULO EZINENGI ZINGAKHETHWA. KHETHA IMPENDULO EFANELE ULWAZI OLUTHOLISWA NGOMAPHENDULA.]
1)Ubunzima bokuthenga ukudla [intengo kumbe ukufinyelela emakethe]
2)Ukungafinyeleli kuhle amadlelo
3)Ukungafinyeleli kuhle amanzi
4)Ukufinyelela ezoncedo zokwelapha inyamazana [ukuhlatshiswa/ukwelatshwa/ukufakwa imithi/ukucetshiswa lokunye.]
5)Ubunzima bokufinyelela imithi yenyamazana/amathulusi ezempilakahle zenyamazana/okunye]
6)Imikhuhlane yezifuyo kumbe ukulimala
7)Ukutshontshelwa izifuyo kumbe ukungavikeleki
8)Ukungafinyeleli kuhle indawo zokuthenga izifuyo ezincane
9)Ukungafinyeleli imali yokukweleda
10)Ukufinyelela izisebenzi
11)Okunye 
12)KAZI
13)WALILE</t>
        </is>
      </c>
      <c r="I124" s="334">
        <f>LEN(H124)</f>
        <v/>
      </c>
      <c r="J124" s="486" t="inlineStr">
        <is>
          <t xml:space="preserve">Select All That Apply </t>
        </is>
      </c>
      <c r="K124" s="334" t="inlineStr">
        <is>
          <t>NA</t>
        </is>
      </c>
      <c r="L124" s="334" t="inlineStr">
        <is>
          <t>NA</t>
        </is>
      </c>
      <c r="M124" s="334" t="inlineStr">
        <is>
          <t>Form Type - Checklist
12,13 = IsNone
Difficulty to purchase feed [prices or access to market]) ls_proddif_feed_purchase
Access to pasture) ls_proddif_access_pasture
Access to water) ls_proddif_access_water
Access to veterinary services [vaccinations/treatments/spraying/advisory. etc]) ls_proddif_vet_serv
Access to veterinary inputs [medicine for animals / tools for animal health / etc]) ls_proddif_vet_input
Livestock diseases or injury) ls_proddif_diseases
Livestock theft) ls_proddif_theft
Access to livestock market to buy young animals) ls_proddif_access_market
Access to credit) ls_proddif_access_credit
Access to manpower labour) ls_proddif_access_labour
Other) ls_proddif_other
DON'T KNOW) ls_proddif_dk
REFUSED) ls_proddif_ref</t>
        </is>
      </c>
      <c r="N124" s="295" t="inlineStr">
        <is>
          <t>1-13 = ls_all</t>
        </is>
      </c>
      <c r="O124" s="176" t="n"/>
      <c r="P124" s="176" t="n"/>
      <c r="Q124" s="129" t="inlineStr">
        <is>
          <t xml:space="preserve">if ls_proddif_2 = 1-13, go to ls_salesmain </t>
        </is>
      </c>
      <c r="R124" s="299" t="n"/>
      <c r="S124" s="177" t="inlineStr">
        <is>
          <t>resp_age = 18-100
(hh_agricactivity = 1 | 3) | (income_main_lscheck = 1) | (income_sec_lscheck = 1) | (income_third_lscheck = 1) 
quotareached = 2
ls_proddif = 1</t>
        </is>
      </c>
      <c r="T124" s="111" t="n"/>
      <c r="U124" s="45" t="n">
        <v>27.75464820861816</v>
      </c>
      <c r="V124" s="20">
        <f>#REF!</f>
        <v/>
      </c>
      <c r="W124" s="45">
        <f>U124*V124</f>
        <v/>
      </c>
      <c r="X124" s="3" t="n"/>
      <c r="Z124" s="7" t="inlineStr">
        <is>
          <t>yes</t>
        </is>
      </c>
      <c r="AA124" s="54" t="n"/>
      <c r="AD124" s="6" t="inlineStr">
        <is>
          <t>Change in option #6 (col D)</t>
        </is>
      </c>
    </row>
    <row r="125" ht="263.25" customFormat="1" customHeight="1" s="260" thickBot="1">
      <c r="A125" s="506">
        <f>A124+1</f>
        <v/>
      </c>
      <c r="B125" s="292" t="inlineStr">
        <is>
          <t>ls_all</t>
        </is>
      </c>
      <c r="C125" s="293" t="inlineStr">
        <is>
          <t>ls_all_
1)ls_all_cattle
2)ls_all_goats
3)ls_all_sheep
4)ls_all_swine
5)ls_all_equine
6)ls_all_smallmammals
7)ls_all_poultry
8)ls_all_camelids
9)ls_all_other
10)ls_all_none
11)ls_all_dk
12)ls_all_ref</t>
        </is>
      </c>
      <c r="D125" s="294" t="inlineStr">
        <is>
          <t>Do you own any other livestock aside from {ls_main}, and if so which ones?
[OPERATOR: "No other livestock" APPEARS AT THE END OF THE LIST OF OPTIONS. SELECT ALL ANIMALS LISTED BY THE RESPONDENT.]
1)No other livestock
2)DON'T KNOW
3)REFUSED</t>
        </is>
      </c>
      <c r="E125" s="296">
        <f>LEN(D125)</f>
        <v/>
      </c>
      <c r="F125" s="295" t="inlineStr">
        <is>
          <t>Mune zvimwe zvipfuyo here zvamunochengeta kunze kwe {ls_main}, uye kana muinazvo ndezvipi?
[ARI KUITISA ONGORORO: MHINDURO YEKUTI "Hatina zvimwe zvipfuyo" IRI PEKUPEDZISIRA PAMHINDURO DZIRIPO. SARUDZA ZVIPFUYO ZVOSE ZVATAURWA NEARI KUPINDURA.]
1)Hatina zvimwe zvipfuyo
2)HANDIZIVI
3)ARAMBA</t>
        </is>
      </c>
      <c r="G125" s="334">
        <f>LEN(F125)</f>
        <v/>
      </c>
      <c r="H125" s="295" t="inlineStr">
        <is>
          <t>Ungabe ulezinye izifuyo ngaphandle kwe {ls_main}, njalo nxa kunjalo yiziphi?
[OQHUBAYO: IMPENDULO ETHI "Akula ezinye izifuyo" ITHOLAKALA EKUCINENI KWEMPENDULO EZIKHETHWAYO. KHETHA ZONKE IZIFUYO EZIQANJWE NGUMAPHENDULA.]
1)Akula ezinye izifuyo
2)KAZI
3)WALILE</t>
        </is>
      </c>
      <c r="I125" s="296" t="n"/>
      <c r="J125" s="297" t="inlineStr">
        <is>
          <t>Select All That Apply</t>
        </is>
      </c>
      <c r="K125" s="298" t="inlineStr">
        <is>
          <t>NA</t>
        </is>
      </c>
      <c r="L125" s="298" t="inlineStr">
        <is>
          <t>NA</t>
        </is>
      </c>
      <c r="M125" s="298" t="inlineStr">
        <is>
          <t>Form Type - Checklist
Included unselected "ls_main"
1,2,3= IsNone</t>
        </is>
      </c>
      <c r="N125" s="299" t="inlineStr">
        <is>
          <t>Dynamic = ls_salesmain
1-3 = ls_salesmain</t>
        </is>
      </c>
      <c r="O125" s="290" t="n"/>
      <c r="P125" s="290" t="n"/>
      <c r="Q125" s="330" t="n"/>
      <c r="R125" s="405" t="n"/>
      <c r="S125" s="194" t="n"/>
      <c r="T125" s="291" t="n"/>
      <c r="U125" s="92" t="n"/>
      <c r="V125" s="93" t="n"/>
      <c r="W125" s="92" t="n"/>
      <c r="X125" s="259" t="n"/>
      <c r="Z125" s="261" t="n"/>
      <c r="AA125" s="256" t="n"/>
      <c r="AD125" s="270" t="n"/>
    </row>
    <row r="126" ht="19.5" customFormat="1" customHeight="1" s="5" thickBot="1">
      <c r="A126" s="530" t="inlineStr">
        <is>
          <t>E. LIVESTOCK MARKETING</t>
        </is>
      </c>
      <c r="B126" s="577" t="n"/>
      <c r="C126" s="577" t="n"/>
      <c r="D126" s="577" t="n"/>
      <c r="E126" s="577" t="n"/>
      <c r="F126" s="577" t="n"/>
      <c r="G126" s="577" t="n"/>
      <c r="H126" s="577" t="n"/>
      <c r="I126" s="577" t="n"/>
      <c r="J126" s="577" t="n"/>
      <c r="K126" s="577" t="n"/>
      <c r="L126" s="577" t="n"/>
      <c r="M126" s="577" t="n"/>
      <c r="N126" s="577" t="n"/>
      <c r="O126" s="577" t="n"/>
      <c r="P126" s="577" t="n"/>
      <c r="Q126" s="577" t="n"/>
      <c r="R126" s="577" t="n"/>
      <c r="S126" s="577" t="n"/>
      <c r="T126" s="587" t="n"/>
      <c r="U126" s="44" t="n"/>
      <c r="V126" s="20" t="n"/>
      <c r="W126" s="44" t="n"/>
      <c r="X126" s="3" t="n"/>
      <c r="Z126" s="7" t="n"/>
      <c r="AA126" s="54" t="n"/>
      <c r="AD126" s="6" t="n"/>
    </row>
    <row r="127" ht="356.25" customFormat="1" customHeight="1" s="5">
      <c r="A127" s="247">
        <f>A124+1</f>
        <v/>
      </c>
      <c r="B127" s="59" t="inlineStr">
        <is>
          <t>ls_salesmain</t>
        </is>
      </c>
      <c r="C127" s="67" t="inlineStr">
        <is>
          <t>ls_salesmain</t>
        </is>
      </c>
      <c r="D127" s="117" t="inlineStr">
        <is>
          <t>What has been the main livestock or livestock product sold by your household in the last 3 months?
[OPERATOR: SINGLE RESPONSE. INSIST ON THE MAIN PRODUCT.]
1)Cattle [cow / beef / veal / yak / buffalo]
2)Goats
3)Sheep
4)Swine  [pig / boar / hog / etc]
5)Equine [donkey / horse / etc]
6)Small domesticated mammals [rabbits / minks / guinea pigs / etc]
7)Poultry [chicken / guineafowl / duck / quail / turkey / etc]
8)Camelids
9)Eggs
10)Milk or dairy products
11)Skin or leather or wool
12)DON'T KNOW
13)REFUSED</t>
        </is>
      </c>
      <c r="E127" s="308">
        <f>LEN(D127)</f>
        <v/>
      </c>
      <c r="F127" s="117" t="inlineStr">
        <is>
          <t>Chipfuyo chipi kana kuti zvinowanikwa pazvipfuyo zvakanyanya kutengeswa nemhuri yenyu mumwedzi 3 yapfuura?
[ARI KUITISA ONGORORO: MHINDURO IMWE CHETE. SIMBISIRA KUTI CHAKATENGESWA ZVAKANYANYA.]
1)Mombe [mhou / nyama yemombe / nyama yemhuru / mombe ine mvere / nyati]
2)Mbudzi
3)Hwai
4)Nguruve  [nguruve hadzi / nguruve hono / nguruve yemusango/ nezvakada kudaro]
5)Zvakaita semabhiza [dhongi / bhiza / nezvakada kudaro]
6)Tumhuka twuduku twunopfuyiwa [tsuro / tsindi / mbira / nezvakada kudaro]
7)Zvakaita sehuku [huku / hanga / dhadha / zvihuta / mateki / nezvakada kudaro]
8)Ngamera
9)Mazai
10)Mukaka kana zvinogadzirwa nemukaka
11)Ganda kana chikumba kana shinda
12)HANDIZIVI
13)ARAMBA</t>
        </is>
      </c>
      <c r="G127" s="308">
        <f>LEN(F127)</f>
        <v/>
      </c>
      <c r="H127" s="568" t="inlineStr">
        <is>
          <t>Yisiphi isifuyo kumbe okuvela esifuyweni abemuli yakho abagxile kiso ukusifuyela ukusithengisa kunyanga ezilitshumi lambili ezindlulileyo?
[OQHUBAYO: IMPENDULO EYODWA. KHULUMA NGESIFUYO ABAGXILE KISO]
1)Inkomo/inyama/inyama yenkonyane/yakhi/ inyathi]
2)Imbuzi
3)Imvu
4)Ingulube [ingulube efazi/ingulube esilisa/ eyeganga/ okunye]
5)Ubabhemi/ ibhiza / okunye]
6)Izinyamazana ezincane ezifuywayo[ undlegu/umvundla/ihotshi/okunye
7)Ezilempiko[inkukhu/isikhwehle/idada/izigwaca/ itokhi/okunye]
8)Ikamela
9)Amaqanda
10)Uchago kumbe okunye okuvela echagweni                                                      
11)Isikhumba kumbe tshani
12)KAZI
13)WALILE</t>
        </is>
      </c>
      <c r="I127" s="564">
        <f>LEN(H127)</f>
        <v/>
      </c>
      <c r="J127" s="106" t="inlineStr">
        <is>
          <t>Single Choice</t>
        </is>
      </c>
      <c r="K127" s="564" t="inlineStr">
        <is>
          <t>NA</t>
        </is>
      </c>
      <c r="L127" s="564" t="inlineStr">
        <is>
          <t>Send if "income_main" "Equals" "Production and sale of livestock and livestock products" Or "income_sec" "Equals" "Production and sale of livestock and livestock products" Or "income_third" "Equals" "Production and sale of livestock and livestock products" if not satisfied go to "fish_intro"</t>
        </is>
      </c>
      <c r="M127" s="67" t="inlineStr">
        <is>
          <t>Form Type - Buttons
IsDemographic</t>
        </is>
      </c>
      <c r="N127" s="563" t="inlineStr">
        <is>
          <t>1-11 = ls_salesdif_1
12-13 = fish_intro</t>
        </is>
      </c>
      <c r="O127" s="211" t="n"/>
      <c r="P127" s="211" t="n"/>
      <c r="Q127" s="373" t="inlineStr">
        <is>
          <t>If either income_main or income_sec or income_third = "Production and sale of livestock and livestock products", then this section will be asked to respondents.
Otherwise, skip to fish_main.
if ls_salesmain = 1-11, go to ls_salesdif_1 ; 
if ls_salesmain = 12-13, go to fish_intro</t>
        </is>
      </c>
      <c r="R127" s="440" t="n"/>
      <c r="S127" s="131" t="inlineStr">
        <is>
          <t>resp_age = 18-100
hh_agricactivity = 1 | 2 | 3 | 4
(income_main = 4 | income_sec = 4 | income_third = 4)
quotareached = 2</t>
        </is>
      </c>
      <c r="T127" s="64" t="n"/>
      <c r="U127" s="45" t="n">
        <v>13.99939060211182</v>
      </c>
      <c r="V127" s="20">
        <f>#REF!</f>
        <v/>
      </c>
      <c r="W127" s="45">
        <f>U127*V127</f>
        <v/>
      </c>
      <c r="X127" s="3" t="n"/>
      <c r="Z127" s="7" t="inlineStr">
        <is>
          <t>yes</t>
        </is>
      </c>
      <c r="AA127" s="54" t="n"/>
      <c r="AD127" s="6" t="inlineStr">
        <is>
          <t>Col H + col J</t>
        </is>
      </c>
    </row>
    <row r="128" ht="168.75" customFormat="1" customHeight="1" s="5">
      <c r="A128" s="503">
        <f>A127+1</f>
        <v/>
      </c>
      <c r="B128" s="164" t="inlineStr">
        <is>
          <t>ls_salesdif_1</t>
        </is>
      </c>
      <c r="C128" s="155" t="inlineStr">
        <is>
          <t>ls_salesdif</t>
        </is>
      </c>
      <c r="D128" s="568" t="inlineStr">
        <is>
          <t>Has your household faced any difficulty in the last 3 months in selling your {ls_salesmain}?
[OPERATOR: SINGLE RESPONSE.]
1)YES
2)NO
3)DON'T KNOW
4)REFUSED</t>
        </is>
      </c>
      <c r="E128" s="127">
        <f>LEN(D128)</f>
        <v/>
      </c>
      <c r="F128" s="568" t="inlineStr">
        <is>
          <t>Mhuri yenyu yakasangana nechero dambudziko here pakutengesa {ls_salesmain} mumwedzi 3 yapfuura?
[ARI KUITISA ONGORORO: MHINDURO IMWE CHETE.]
1)HONGU 
2)KWETE
3)HANDIZIVI
4)ARAMBA</t>
        </is>
      </c>
      <c r="G128" s="127">
        <f>LEN(F128)</f>
        <v/>
      </c>
      <c r="H128" s="568" t="inlineStr">
        <is>
          <t>Kungabe abomuzi wakho bahlangana lobunzima kunyanga ezintathu ezidlulileyo ekuthengiseni {ls_salesmain} senu?
[OQHUBAYO: IMPENDULO EYODWA.]
1)YEBO
2)HATSHI
3)KAZI
4)WALILE</t>
        </is>
      </c>
      <c r="I128" s="566">
        <f>LEN(H128)</f>
        <v/>
      </c>
      <c r="J128" s="123" t="inlineStr">
        <is>
          <t>Single Choice</t>
        </is>
      </c>
      <c r="K128" s="566" t="inlineStr">
        <is>
          <t>NA</t>
        </is>
      </c>
      <c r="L128" s="566" t="inlineStr">
        <is>
          <t>NA</t>
        </is>
      </c>
      <c r="M128" s="566" t="inlineStr">
        <is>
          <t>Form Type - Buttons</t>
        </is>
      </c>
      <c r="N128" s="568" t="inlineStr">
        <is>
          <t>1 = ls_salesdif_2
2-4 = ls_salesprice</t>
        </is>
      </c>
      <c r="O128" s="149" t="n"/>
      <c r="P128" s="149" t="n"/>
      <c r="Q128" s="129" t="inlineStr">
        <is>
          <t>if ls_salesdif_1 = 1, go to ls_salesdif_2 ; 
if ls_salesdif_1 = 2-4, go to ls_salesprice</t>
        </is>
      </c>
      <c r="R128" s="351" t="n"/>
      <c r="S128" s="159" t="inlineStr">
        <is>
          <t>resp_age = 18-100
hh_agricactivity = 1 | 2 | 3 | 4
(income_main = 4 | income_sec = 4 | income_third = 4)
quotareached = 2
ls_salesmain = 1-11</t>
        </is>
      </c>
      <c r="T128" s="72" t="n"/>
      <c r="U128" s="45" t="n">
        <v>10.25279426574707</v>
      </c>
      <c r="V128" s="20">
        <f>#REF!</f>
        <v/>
      </c>
      <c r="W128" s="45">
        <f>U128*V128</f>
        <v/>
      </c>
      <c r="X128" s="3" t="n"/>
      <c r="Z128" s="7" t="inlineStr">
        <is>
          <t>yes</t>
        </is>
      </c>
      <c r="AA128" s="54" t="n"/>
      <c r="AD128" s="6" t="n"/>
    </row>
    <row r="129" ht="393.75" customFormat="1" customHeight="1" s="5">
      <c r="A129" s="503">
        <f>A128+1</f>
        <v/>
      </c>
      <c r="B129" s="120" t="inlineStr">
        <is>
          <t>ls_salesdif_2</t>
        </is>
      </c>
      <c r="C129" s="67" t="inlineStr">
        <is>
          <t>ls_salesdif_
1) ls_salesdif_marketing_cost
2) ls_salesdif_damage_losses
3) ls_salesdif_low_demand
4)ls_salesdif_pay_delay
5) ls_salesdif_low_price
6)  ls_salesdif_slaughterhouse
7) ls_salesdif_processing
8) ls_salesdif_competition
9) ls_salesdif_other
10) ls_salesdif_dk
11) ls_salesdif_ref</t>
        </is>
      </c>
      <c r="D129" s="335" t="inlineStr">
        <is>
          <t>Which difficulties has your household faced in the last 3 months in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29" s="316">
        <f>LEN(D129)</f>
        <v/>
      </c>
      <c r="F129" s="335" t="inlineStr">
        <is>
          <t>Matambudziko api ayo mhuri yenyu yakatarisana nayo pakutengesa {ls_salesmain} mumwedzi 3 yapfuura?
[ARI KUITISA ONGORORO: PANOGONA KUPIWA MHINDURO DZAKAWANDA. SARUDZA MHINDURO DZINONYATSOENDERANA NEZVATAURWA NEVARI KUPINDURA.]
1)Mitengo yakakwira yekutakurisa zvinhu uye yekushambadzira
2)Kuparara uye kurasikirwa nekuda kwekushaya pekuchengetera uye/kana kuti kutadza kusvika kumusika [somuenzaniso nekuda kwekusachengeteka/zvivakwa zvisina kunaka/ nezvakada kudaro]
3)Vagara vaisimbotitengera havachatengi
4)Kunonoka kubhadharwa nevatengi
5)Kuderera kwemitengo yekutengesa nayo [somuenzaniso kana zvichienzaniswa newekutenga nawo / kupera simba kwemari]
6)Kuvharwa kwenzvimbo dzekuurayira zvipfuyo kana kuti kutadza kusvika kwadziri
7)Kutadza kugadzira zvinhu zvisinei nekuvharwa kwenzvimbo dzekuurayira zvipfuyo [kutadza kuwana zvekushandisa / michina / nezvakada kudaro
8)Kuzara kwezvinhu pamusika
9)Zvimwewo
10)HANDIZIVI
11)ARAMBA</t>
        </is>
      </c>
      <c r="G129" s="316">
        <f>LEN(F129)</f>
        <v/>
      </c>
      <c r="H129" s="335" t="inlineStr">
        <is>
          <t>Yibuphi ubunzima abemuli yakho abahlangana labo ekuthengiseni {ls_salesmain} kunyanga ezintathu ezidlulileyo?
[OQHUBAYO: IMPENDULO EZINENGI ZINGAKHETHWA. KHETHA IMPENDULO EFANELE ULWAZI OLUTHOLISWA NGOMAPHENDULA]
1)Indleko zezokuhambisa eziphezulu kumbe ezokuthengisa
2)Ukubhidlizwa lokulahlekelwa ngesikhathi kuhanjiswa kumbe ubunzima ukufinyelela indawo zokuthengisela
3)Ukuswelakala kokudingakala kubathengisi kumbe abathengi abajwayelekileyo  
4)Ukuphuza ukubhadala kuvela kubathengisi/abathengi
5)Intengo zokuthengisa ephansi [isibonelo; kuqathaniswa lentengo zalokho okusetshenziswayo/ukwehla kwesisindo semali]
6)Ukuvalwa kwendawo zokuhlinzelwa kumbe ubunzima ukufinyelela indawo zokuhlinzela
7)Ubunzima bokulungisa impahla kulokuvalwa kwendawo zokuhlinzela [ukuswelakala indlela zokufinyelela impahla zokulungisisa/imitshina/lokunye]
8)Indawo zokuthengisela zigcwele impahla
9)Okunye
10)KAZI
11)WALILE</t>
        </is>
      </c>
      <c r="I129" s="316">
        <f>LEN(H129)</f>
        <v/>
      </c>
      <c r="J129" s="346" t="inlineStr">
        <is>
          <t xml:space="preserve">Select All That Apply </t>
        </is>
      </c>
      <c r="K129" s="316" t="inlineStr">
        <is>
          <t>NA</t>
        </is>
      </c>
      <c r="L129" s="316" t="inlineStr">
        <is>
          <t>NA</t>
        </is>
      </c>
      <c r="M129" s="316" t="inlineStr">
        <is>
          <t>Form Type - Checklist
10,11 = IsNone
High transportation or other marketing costs) ls_salesdif_marketing_cost
Damage and losses during transportation or difficulty accessing the market) ls_salesdif_damage_losses
Lack of demand from usual traders or buyers  ) ls_salesdif_low_demand
Payment delays from traders / buyers )ls_salesdif_pay_delay
Low selling prices [e.g. compared to input prices / inflation]) ls_salesdif_low_price
Closure of slaughterhouses or difficulties accessing slaughterhouses)  ls_salesdif_slaughterhouse
Difficulties processing product other than closure of slaughterhouse [lack of access to processing inputs / equipment / etc]) ls_salesdif_processing
Market flooded with products) ls_salesdif_competition
Other) ls_salesdif_other
DON'T KNOW) ls_salesdif_dk
REFUSED) ls_salesdif_ref</t>
        </is>
      </c>
      <c r="N129" s="335" t="inlineStr">
        <is>
          <t>1-11 = ls_salesprice</t>
        </is>
      </c>
      <c r="O129" s="149" t="n"/>
      <c r="P129" s="149" t="n"/>
      <c r="Q129" s="129" t="inlineStr">
        <is>
          <t>if ls_salesdif_2 = 1-9, go to ls_salesprice</t>
        </is>
      </c>
      <c r="R129" s="351" t="n"/>
      <c r="S129" s="159" t="inlineStr">
        <is>
          <t>resp_age = 18-100
hh_agricactivity = 1 | 2 | 3 | 4
(income_main = 4 | income_sec = 4 | income_third = 4)
quotareached = 2
ls_salesmain = 1-11
ls_salesdif = 1</t>
        </is>
      </c>
      <c r="T129" s="72" t="n"/>
      <c r="U129" s="45" t="n">
        <v>24.19434356689453</v>
      </c>
      <c r="V129" s="20">
        <f>#REF!</f>
        <v/>
      </c>
      <c r="W129" s="45">
        <f>U129*V129</f>
        <v/>
      </c>
      <c r="X129" s="3" t="n"/>
      <c r="Z129" s="7" t="inlineStr">
        <is>
          <t>yes</t>
        </is>
      </c>
      <c r="AA129" s="54" t="n"/>
      <c r="AD129" s="10" t="inlineStr">
        <is>
          <t>Change in options #1, 2, 3, 4 (col D)</t>
        </is>
      </c>
    </row>
    <row r="130" ht="244.5" customFormat="1" customHeight="1" s="5" thickBot="1">
      <c r="A130" s="506">
        <f>A129+1</f>
        <v/>
      </c>
      <c r="B130" s="107" t="inlineStr">
        <is>
          <t>ls_salesprice</t>
        </is>
      </c>
      <c r="C130" s="158" t="inlineStr">
        <is>
          <t>ls_salesprice</t>
        </is>
      </c>
      <c r="D130" s="569"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30" s="296">
        <f>LEN(D130)</f>
        <v/>
      </c>
      <c r="F130" s="569" t="inlineStr">
        <is>
          <t>Mutengo we {ls_salesmain} dzenyu uri sei kana muchienzanisa nemutengo waivepo nguva yakafanana gore rapfuura?
[ARI KUITISA ONGORORO: MHINDURO IMWE CHETE. SIMBISIRA KUTI CHAKATENGESWA ZVAKANYANYA.]
1)Wakawedzera zvikuru [wakakwira nezvikamu 50 kubva muzana]
2)Wakawedzera zvishoma
3)Hauna kuchinja
4)Wakadzika zvishoma
5)Wakadzika zvikuru [zviri pasi zvikuru nechidimbu]
6)HANDIZIVI
7)ARAMBA</t>
        </is>
      </c>
      <c r="G130" s="296">
        <f>LEN(F130)</f>
        <v/>
      </c>
      <c r="H130" s="161" t="inlineStr">
        <is>
          <t>Kungabe intengo yokuthengisa kwendlini yakho {ls_salesmain} iqathaniswa njani lentengo yeminyaka emithathu edlulileyo ngesikhathi esifanayo?  
[OQHUBAYO: IMPENDULO EYODWA. GXILA KUMPAHLA EYIYO EKHULUNYIWEYO.]
1)Kakhulu [ikhuphuke ngenani eledluala amaphesenti angu50%]
2)Kakhulu mbijana
3)Ngokufanana
4)Kancane mbijana
5)Kancane mbijana [Ngokulutshwana okwedlula ingxenye]
6)KAZI
7)WALILE</t>
        </is>
      </c>
      <c r="I130" s="570">
        <f>LEN(H130)</f>
        <v/>
      </c>
      <c r="J130" s="110" t="inlineStr">
        <is>
          <t>Single Choice</t>
        </is>
      </c>
      <c r="K130" s="570" t="inlineStr">
        <is>
          <t>NA</t>
        </is>
      </c>
      <c r="L130" s="570" t="inlineStr">
        <is>
          <t>NA</t>
        </is>
      </c>
      <c r="M130" s="570" t="inlineStr">
        <is>
          <t>Form Type - Buttons</t>
        </is>
      </c>
      <c r="N130" s="212" t="inlineStr">
        <is>
          <t>1-7 = fish_intro</t>
        </is>
      </c>
      <c r="O130" s="213" t="n"/>
      <c r="P130" s="213" t="n"/>
      <c r="Q130" s="403" t="inlineStr">
        <is>
          <t>For options #1-7, go to fish_intro</t>
        </is>
      </c>
      <c r="R130" s="444" t="n"/>
      <c r="S130" s="177" t="inlineStr">
        <is>
          <t>resp_age = 18-100
hh_agricactivity = 1 | 2 | 3 | 4
(income_main = 4 | income_sec = 4 | income_third = 4)
quotareached = 2
ls_salesmain = 1-11</t>
        </is>
      </c>
      <c r="T130" s="111" t="n"/>
      <c r="U130" s="45" t="n">
        <v>19.32173728942871</v>
      </c>
      <c r="V130" s="20">
        <f>#REF!</f>
        <v/>
      </c>
      <c r="W130" s="45">
        <f>U130*V130</f>
        <v/>
      </c>
      <c r="X130" s="3" t="n"/>
      <c r="Z130" s="7" t="inlineStr">
        <is>
          <t>yes</t>
        </is>
      </c>
      <c r="AA130" s="54" t="n"/>
      <c r="AD130" s="10" t="inlineStr">
        <is>
          <t>Change in options #2, 4 (col D) 
+ col J</t>
        </is>
      </c>
    </row>
    <row r="131" ht="19.5" customFormat="1" customHeight="1" s="5" thickBot="1">
      <c r="A131" s="530" t="inlineStr">
        <is>
          <t>F. FISHERIES PRODUCTION</t>
        </is>
      </c>
      <c r="B131" s="577" t="n"/>
      <c r="C131" s="577" t="n"/>
      <c r="D131" s="577" t="n"/>
      <c r="E131" s="577" t="n"/>
      <c r="F131" s="577" t="n"/>
      <c r="G131" s="577" t="n"/>
      <c r="H131" s="577" t="n"/>
      <c r="I131" s="577" t="n"/>
      <c r="J131" s="577" t="n"/>
      <c r="K131" s="577" t="n"/>
      <c r="L131" s="577" t="n"/>
      <c r="M131" s="577" t="n"/>
      <c r="N131" s="577" t="n"/>
      <c r="O131" s="577" t="n"/>
      <c r="P131" s="577" t="n"/>
      <c r="Q131" s="577" t="n"/>
      <c r="R131" s="577" t="n"/>
      <c r="S131" s="577" t="n"/>
      <c r="T131" s="587" t="n"/>
      <c r="U131" s="44" t="n"/>
      <c r="V131" s="42" t="n"/>
      <c r="W131" s="44" t="n"/>
      <c r="X131" s="3" t="n"/>
      <c r="Z131" s="7" t="n"/>
      <c r="AA131" s="54" t="n"/>
      <c r="AD131" s="6" t="n"/>
    </row>
    <row r="132" ht="112.5" customFormat="1" customHeight="1" s="5">
      <c r="A132" s="247">
        <f>A130+1</f>
        <v/>
      </c>
      <c r="B132" s="59" t="inlineStr">
        <is>
          <t>fish_intro</t>
        </is>
      </c>
      <c r="C132" s="67" t="inlineStr">
        <is>
          <t>fish_intro</t>
        </is>
      </c>
      <c r="D132" s="114" t="inlineStr">
        <is>
          <t>We will now ask you some questions about fish and aquaculture production which apply to you and anyone in your household that is involved in the production or sales of fish/aquaculture.
1)CONTINUE</t>
        </is>
      </c>
      <c r="E132" s="308">
        <f>LEN(D132)</f>
        <v/>
      </c>
      <c r="F132" s="114" t="inlineStr">
        <is>
          <t>Tave kuda kukubvunza mibvunzo iri pamusoro pehove uye mabasa ose ane chokuita nekuchengetwa uye kutarisirwa kwehove idzo iwe uye munhu wese ari mumhuri yenyu akachengeta uye kutengesa.
1)ENDERERA MBERI</t>
        </is>
      </c>
      <c r="G132" s="308">
        <f>LEN(F132)</f>
        <v/>
      </c>
      <c r="H132" s="114" t="inlineStr">
        <is>
          <t>Kathesi sizabuza imibuzo mayela lenhlanzi lokufuya okuhlala emanzini khona okuqhutshwa nguwe kanye lomunye emuzini wakho kwezokufuya inhlanzi lokuthengisa.
1)QHUBEKA</t>
        </is>
      </c>
      <c r="I132" s="564">
        <f>LEN(H132)</f>
        <v/>
      </c>
      <c r="J132" s="564" t="inlineStr">
        <is>
          <t>Single Choice</t>
        </is>
      </c>
      <c r="K132" s="564" t="inlineStr">
        <is>
          <t>NA</t>
        </is>
      </c>
      <c r="L132" s="564" t="inlineStr">
        <is>
          <t>Send if "income_main_fishcheck" "Equals" "YES" Or "income_sec_fishcheck" "Equals" "YES" Or "income_third_fishcheck" "Equals" "YES" if not satisfied go to "fies"</t>
        </is>
      </c>
      <c r="M132" s="564" t="inlineStr">
        <is>
          <t>Form Type - Buttons</t>
        </is>
      </c>
      <c r="N132" s="563" t="inlineStr">
        <is>
          <t>1 = fish_main</t>
        </is>
      </c>
      <c r="O132" s="211" t="n"/>
      <c r="P132" s="211" t="n"/>
      <c r="Q132" s="401" t="inlineStr">
        <is>
          <t>If the respondent reported production and sales of fish in one of the three main income sources and confirmed that they are involved in production, then this section will be administered to respondents. Otherwise, skip to fies</t>
        </is>
      </c>
      <c r="R132" s="441" t="n"/>
      <c r="S132" s="131" t="inlineStr">
        <is>
          <t>resp_age = 18-100
hh_agricactivity = 1| 2 | 3 | 4
(income_main_fishcheck = 1) | (income_sec_fishcheck = 1) | (income_third_fishcheck = 1) 
quotareached = 2</t>
        </is>
      </c>
      <c r="T132" s="64" t="n"/>
      <c r="U132" s="45" t="n">
        <v>7.5</v>
      </c>
      <c r="V132" s="20">
        <f>#REF!</f>
        <v/>
      </c>
      <c r="W132" s="45">
        <f>U132*V132</f>
        <v/>
      </c>
      <c r="X132" s="3" t="n"/>
      <c r="Z132" s="7" t="inlineStr">
        <is>
          <t>yes</t>
        </is>
      </c>
      <c r="AA132" s="54" t="n"/>
      <c r="AD132" s="6" t="inlineStr">
        <is>
          <t>new question</t>
        </is>
      </c>
    </row>
    <row r="133" ht="206.25" customFormat="1" customHeight="1" s="5">
      <c r="A133" s="503">
        <f>A132+1</f>
        <v/>
      </c>
      <c r="B133" s="120" t="inlineStr">
        <is>
          <t>fish_main</t>
        </is>
      </c>
      <c r="C133" s="300" t="inlineStr">
        <is>
          <t>fish_main_
1) fish_main_coastal
2) fish_main_offshore_sea
3)fish_main_freshwater
4) fish_main_aquaculture
5) fish_main_dk
6) fish_main_ref</t>
        </is>
      </c>
      <c r="D133" s="335" t="inlineStr">
        <is>
          <t>What type of fishing activity does your household generally practice?
[OPERATOR: MULTIPLE RESPONSES POSSIBLE.]
1)Near coastal/ delta/lagoon fishing
2)Offshore sea fishing
3)Freshwater fishing [in lakes/reservoirs/ponds/ rivers or wetlands]
4)Aquaculture
5)DON'T KNOW
6)REFUSED</t>
        </is>
      </c>
      <c r="E133" s="316">
        <f>LEN(D133)</f>
        <v/>
      </c>
      <c r="F133" s="335" t="inlineStr">
        <is>
          <t>Inzira ipi yekuredza hove inowanzoshandiswa nemhuri yenyu?
[ARI KUITISA ONGORORO: PANOGONA KUPIWA MHINDURO DZAKAWANDA.]
1)Kuredza pedyo nemahombekombe/pachitsuwa /munzvimbo dzisina mvura yakanyanya
2)Kuredza kumahombekombe kwenyanza
3)Kuredza muvhura [mugungwa/mudziva/mupondi/ nzizi kana mumachakwi]
4)Kuchengeta hove
5)HANDIZIVI
6)ARAMBA</t>
        </is>
      </c>
      <c r="G133" s="316">
        <f>LEN(F133)</f>
        <v/>
      </c>
      <c r="H133" s="335" t="inlineStr">
        <is>
          <t>Yiwuphi umhlobo wezokuthiya inhlanzi abendlini yakho abawuqhubayo?
[OQHUBAYO: IMPENDULO EZINENGI ZINGAPHIWA.]
1)Ukuthiya duzane lolwandle/ekhunjini/ichibi
2)Ukuthiya ngaphandle kolwandle
3)Ukuthiya emanzini amatsha [emifuleni/amachibi/amanzi agciniweyo/amadamu kumbe indawo ezilamanzi]
4)Ukugcina inhlanzi kanye lezilimo zemanzini
5)KAZI
6)WALILE</t>
        </is>
      </c>
      <c r="I133" s="316">
        <f>LEN(H133)</f>
        <v/>
      </c>
      <c r="J133" s="346" t="inlineStr">
        <is>
          <t>Select All That Apply</t>
        </is>
      </c>
      <c r="K133" s="316" t="inlineStr">
        <is>
          <t>NA</t>
        </is>
      </c>
      <c r="L133" s="316" t="inlineStr">
        <is>
          <t>NA</t>
        </is>
      </c>
      <c r="M133" s="316" t="inlineStr">
        <is>
          <t>Form Type - Checklist
5,6 = IsNone
Near coastal/delta/lagoon fishing) fish_main_coastal
Offshore sea fishing) fish_main_offshore_sea
Freshwater fishing [in lakes/reservoirs/ponds/ rivers or wetlands])fish_main_freshwater
Aquaculture) fish_main_aquaculture
DON'T KNOW) fish_main_dk
REFUSED) fish_main_ref</t>
        </is>
      </c>
      <c r="N133" s="335" t="inlineStr">
        <is>
          <t>1-6 = fish_change</t>
        </is>
      </c>
      <c r="O133" s="149" t="n"/>
      <c r="P133" s="149" t="n"/>
      <c r="Q133" s="129" t="inlineStr">
        <is>
          <t>if fish_main = 1-6, go to fish_change</t>
        </is>
      </c>
      <c r="R133" s="351" t="n"/>
      <c r="S133" s="159" t="inlineStr">
        <is>
          <t>resp_age = 18-100
hh_agricactivity = 1| 2 | 3 | 4
(income_main_fishcheck = 1) | (income_sec_fishcheck = 1) | (income_third_fishcheck = 1) 
quotareached = 2</t>
        </is>
      </c>
      <c r="T133" s="72" t="n"/>
      <c r="U133" s="45" t="n">
        <v>19.09011650085449</v>
      </c>
      <c r="V133" s="20">
        <f>#REF!</f>
        <v/>
      </c>
      <c r="W133" s="45">
        <f>U133*V133</f>
        <v/>
      </c>
      <c r="X133" s="3" t="n"/>
      <c r="Z133" s="7" t="inlineStr">
        <is>
          <t>yes</t>
        </is>
      </c>
      <c r="AA133" s="54" t="n"/>
      <c r="AD133" s="8" t="inlineStr">
        <is>
          <t>Change in option #3 (col D)
Change in col. H</t>
        </is>
      </c>
    </row>
    <row r="134" ht="243.75" customHeight="1">
      <c r="A134" s="503">
        <f>A133+1</f>
        <v/>
      </c>
      <c r="B134" s="169" t="inlineStr">
        <is>
          <t>fish_change</t>
        </is>
      </c>
      <c r="C134" s="170" t="inlineStr">
        <is>
          <t>fish_change</t>
        </is>
      </c>
      <c r="D134" s="335" t="inlineStr">
        <is>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is>
      </c>
      <c r="E134" s="316">
        <f>LEN(D134)</f>
        <v/>
      </c>
      <c r="F134" s="335" t="inlineStr">
        <is>
          <t>Hove dzamakabata [hove dzakabatwa] mumwedzi 3 yapfuura [kana pakubata kwamakaita pakupedzisira] dzange dzakawanda sei kana muchidzienzanisa nedzenguva yakafanana [dzamakabata] gore rakapfuura?
[ARI KUITISA ONGORORO: MHINDURO IMWE CHETE.]
1)Wakawedzera zvikuru [wakakwira nezvikamu 50 kubva muzana]
2)Wakawedzera zvishoma
3)Hauna kuchinja
4)Wakadzika zvishoma
5)Wakadzika zvikuru [zviri pasi zvikuru nechidimbu]
6)HANDIZIVI
7)ARAMBA</t>
        </is>
      </c>
      <c r="G134" s="316">
        <f>LEN(F134)</f>
        <v/>
      </c>
      <c r="H134" s="335" t="inlineStr">
        <is>
          <t>Ukubamba kwakho inhlanzi [inhlanzi ezibanjiweyo] kunyanga ezintathu ezidlulileyo [kumbe ukuthiya kwakucina] kuqathaniseka njani lesikhathi esifanayo [sokubamba] ngomnyaka ophelileyo?
[OQHUBAYO: IMPENDULO EYODWA]
1)Kakhulu [ikhuphuke ngenani eledluala amaphesenti angu50%]
2)Kakhulu mbijana
3)Ngokufanana
4)Kancane mbijana
5)Kancane mbijana [Ngokulutshwana okwedlula ingxenye]
6)KAZI
7)WALILE</t>
        </is>
      </c>
      <c r="I134" s="316">
        <f>LEN(H134)</f>
        <v/>
      </c>
      <c r="J134" s="488" t="inlineStr">
        <is>
          <t>Single Choice</t>
        </is>
      </c>
      <c r="K134" s="488" t="inlineStr">
        <is>
          <t>NA</t>
        </is>
      </c>
      <c r="L134" s="488" t="inlineStr">
        <is>
          <t>NA</t>
        </is>
      </c>
      <c r="M134" s="488" t="inlineStr">
        <is>
          <t>Form Type - Buttons</t>
        </is>
      </c>
      <c r="N134" s="489" t="inlineStr">
        <is>
          <t>1-7 = fish_proddif_1</t>
        </is>
      </c>
      <c r="O134" s="171" t="n"/>
      <c r="P134" s="171" t="n"/>
      <c r="Q134" s="487" t="inlineStr">
        <is>
          <t>if fish_change = 1-7, go to fish_proddif_1</t>
        </is>
      </c>
      <c r="R134" s="445" t="n"/>
      <c r="S134" s="159" t="inlineStr">
        <is>
          <t>resp_age = 18-100
hh_agricactivity = 1| 2 | 3 | 4
(income_main_fishcheck = 1) | (income_sec_fishcheck = 1) | (income_third_fishcheck = 1) 
quotareached = 2</t>
        </is>
      </c>
      <c r="T134" s="72" t="n"/>
      <c r="U134" s="45" t="n">
        <v>17.6569766998291</v>
      </c>
      <c r="V134" s="20">
        <f>#REF!</f>
        <v/>
      </c>
      <c r="W134" s="45">
        <f>U134*V134</f>
        <v/>
      </c>
      <c r="X134" s="3" t="n"/>
      <c r="Z134" s="7" t="inlineStr">
        <is>
          <t>yes</t>
        </is>
      </c>
      <c r="AD134" s="8" t="inlineStr">
        <is>
          <t xml:space="preserve">Change in options 2 and 4 wording (col D) </t>
        </is>
      </c>
    </row>
    <row r="135" ht="168.75" customFormat="1" customHeight="1" s="5">
      <c r="A135" s="503">
        <f>A134+1</f>
        <v/>
      </c>
      <c r="B135" s="120" t="inlineStr">
        <is>
          <t>fish_proddif_1</t>
        </is>
      </c>
      <c r="C135" s="155" t="inlineStr">
        <is>
          <t>fish_proddif</t>
        </is>
      </c>
      <c r="D135" s="335" t="inlineStr">
        <is>
          <t>Has your household faced any significant difficulty with fish catch and/or aquaculture production in the last 3 months?
[OPERATOR: SINGLE RESPONSE.]
1)YES
2)NO
3)DON'T KNOW
4)REFUSED</t>
        </is>
      </c>
      <c r="E135" s="316">
        <f>LEN(D135)</f>
        <v/>
      </c>
      <c r="F135" s="335" t="inlineStr">
        <is>
          <t>Mhuri yenyu yakasangana nechero dambudziko guru here panyaya yekubata uye/ kana kuti kuchengeta hove mumwedzi 3 yapfuura?
[ARI KUITISA ONGORORO: MHINDURO IMWE CHETE.]
1)HONGU 
2)KWETE
3)HANDIZIVI
4)ARAMBA</t>
        </is>
      </c>
      <c r="G135" s="316">
        <f>LEN(F135)</f>
        <v/>
      </c>
      <c r="H135" s="335" t="inlineStr">
        <is>
          <t>Kungabe abomuzi wakho behlangane lobunzima buphi bokuthiya inhlanzi/kumbe konke okuhlala emanzini kunyanga ezintathu ezidluleyo?
[OQHUBAYO: IMPENDULO EYODWA.]
1)YEBO
2)HATSHI
3)KAZI
4)WALILE</t>
        </is>
      </c>
      <c r="I135" s="316">
        <f>LEN(H135)</f>
        <v/>
      </c>
      <c r="J135" s="329" t="inlineStr">
        <is>
          <t>Single Choice</t>
        </is>
      </c>
      <c r="K135" s="316" t="inlineStr">
        <is>
          <t>NA</t>
        </is>
      </c>
      <c r="L135" s="316" t="inlineStr">
        <is>
          <t>NA</t>
        </is>
      </c>
      <c r="M135" s="316" t="inlineStr">
        <is>
          <t>Form Type - Buttons</t>
        </is>
      </c>
      <c r="N135" s="335" t="inlineStr">
        <is>
          <t>1=fish_proddif_2
2-4= fish_salesmain</t>
        </is>
      </c>
      <c r="O135" s="149" t="n"/>
      <c r="P135" s="149" t="n"/>
      <c r="Q135" s="129" t="inlineStr">
        <is>
          <t>if fish_proddif_1 = 1, go to fish_proddif_2 ; 
if fish_proddif_1 = 2-4, go to fish_salesmain OR optional question</t>
        </is>
      </c>
      <c r="R135" s="351" t="n"/>
      <c r="S135" s="159" t="inlineStr">
        <is>
          <t>resp_age = 18-100
hh_agricactivity = 1| 2 | 3 | 4
(income_main_fishcheck = 1) | (income_sec_fishcheck = 1) | (income_third_fishcheck = 1) 
quotareached = 2</t>
        </is>
      </c>
      <c r="T135" s="72" t="n"/>
      <c r="U135" s="45" t="n">
        <v>8.764705657958984</v>
      </c>
      <c r="V135" s="20">
        <f>#REF!</f>
        <v/>
      </c>
      <c r="W135" s="45">
        <f>U135*V135</f>
        <v/>
      </c>
      <c r="X135" s="3" t="n"/>
      <c r="Z135" s="7" t="inlineStr">
        <is>
          <t>yes</t>
        </is>
      </c>
      <c r="AA135" s="54" t="n"/>
      <c r="AD135" s="6" t="n"/>
    </row>
    <row r="136" ht="393.75" customFormat="1" customHeight="1" s="5">
      <c r="A136" s="503">
        <f>A135+1</f>
        <v/>
      </c>
      <c r="B136" s="120" t="inlineStr">
        <is>
          <t>fish_proddif_2</t>
        </is>
      </c>
      <c r="C136" s="67"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36" s="335" t="inlineStr">
        <is>
          <t>Which difficulties has your household faced with fisheries and aquaculture production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[ponds/cages/ports/landing sites]
8)Damage or destruction of boats or gears
9)Other
10)DON'T KNOW
11)REFUSED</t>
        </is>
      </c>
      <c r="E136" s="316">
        <f>LEN(D136)</f>
        <v/>
      </c>
      <c r="F136" s="568" t="inlineStr">
        <is>
          <t>Ndeapi matambudziko ayo mhuri yenyu yakasangana nawo pakuchengeta zvipfuyo mumwedzi 3 yapfuura?
[ARI KUITISA ONGORORO: PANOGONA KUVE NEMHINDURO DZAKAWANDA. SARUDZA MHIDZURO DZINONYATSOENDERANA NEMASHOKO ATAURWA NEVARI KUPINDURA.]
1)Hove dzave kunetsa kuwana kupfuura zvadzaiita mumakore akapfuura mumwaka wakafanana [kuredza]
2)Zvipembenene nezvirwere zvehove [kuchengeta hove]
3)Kutadza kuredza kana kuti kuwana nzvimbo yekuchengetera hove [somuenzaniso nekuda kwemamiriro ekunze kana kuchengeteka]
4)Kutadza kuwana mafuta emichina [mitengo yakakwira kana kuti kusawanika]
5)Kutadza kuwana zvimwe zvekushandisa pakuredza kana kuchengeta hove [mitengo yakakwira kana kuti kusawanika]
6)Kutadza kuwana vashandi [mitengo yakakwira kana kuti kusawanika]
7)Kuparara kana kuti kuparadzwa kwezvivakwa [mapondi/makeji/zviteshi zvechikepe/nzvimbo dzakaoma]
8)Kuparara kana kuti kuparadzwa kwezvikepe kana kuti zvekushandisa
9)Zvimwewo
10)HANDIZIVI
11)ARAMBA</t>
        </is>
      </c>
      <c r="G136" s="316">
        <f>LEN(F136)</f>
        <v/>
      </c>
      <c r="H136" s="335" t="inlineStr">
        <is>
          <t>Yibuphi ubunzima abemuli yakho abahlangana labo ngezokuthiya lokugcina inhlanzi kunyanga ezintsthu ezidlulileyo?
[OQHUBAYO: IMPENDULO EZINENGI ZINGAKHETHWA. KHETHA IMPENDULO EFANELE ULWAZI OLUTHOLISWA NGOMAPHENDULA.]
1)]Inhlanzi zinzima ukuthola nxa kukhangelwa kuminyaka edlulileyo ngesikhathi esifanayo [ukuthiya inhlanzi]
2)Izibungwana lemikhuhlane yenhlanzi
3)Ukufinyelela indawo zokuthiya kumbe ezenhlanzi lezilimo zamanzi [isibonelo; ngenxa yomkhathi kumbe ukuphepha]
4)Ukufinyelela ifuweli [intengo ziphezulu kumbe kayitholakali]
5)Ukufinyelela ezinye izinto zokuthiya inhlanzi kumbe ezokuthiya [intengo iphezulu kumbe kakutholakali]
6)Ukufinyelela izisebenzi [intengo ziphezulu kumbe abatholakali]
7)Ukubhidlizwa kumbe ukubulawa kwezakhiwo [amachibi/amakheji/indawo zokufikela]
8)Ukubhidlizeka lokubulawa kwezikepe kumbe okusetshenziswa ezikepeni
9)Okunye
10)KAZI
11)WALILE</t>
        </is>
      </c>
      <c r="I136" s="316">
        <f>LEN(H136)</f>
        <v/>
      </c>
      <c r="J136" s="346" t="inlineStr">
        <is>
          <t xml:space="preserve">Open Ended-Select All That Apply </t>
        </is>
      </c>
      <c r="K136" s="316" t="inlineStr">
        <is>
          <t>NA</t>
        </is>
      </c>
      <c r="L136" s="316" t="inlineStr">
        <is>
          <t>NA</t>
        </is>
      </c>
      <c r="M136" s="316" t="inlineStr">
        <is>
          <t>Form Type - Checklist
10,11 = IsNone
Fish is more difficult to find than in previous years in the same season [fishing]) fish_proddif_find_fish
Fish pests and diseases [aquaculture]) fish_proddif_pests
Access to fishing or aquaculture area [e.g. due to weather or security]) fish_proddif_access_area
Access to fuel [prices higher or not available]) fish_proddif_fuel
Access to other fishing or culture inputs [prices higher or not available]) fish_proddif_input_access
Access to labour or crew labour [prices higher or not available]) fish_proddif_labour
Damage or destruction of infrastructure [ponds/cages/ports/landing sites]) fish_proddif_infrastructure
Damage or destruction of boats or gears) fish_proddif_damage_equip
Other) fish_proddif_other
DON'T KNOW) fish_proddif_dk
REFUSED) fish_proddif_ref</t>
        </is>
      </c>
      <c r="N136" s="335" t="inlineStr">
        <is>
          <t>1-11 = fish_inputdif</t>
        </is>
      </c>
      <c r="O136" s="149" t="n"/>
      <c r="P136" s="149" t="n"/>
      <c r="Q136" s="129" t="inlineStr">
        <is>
          <t>If fish_proddif_1 = 1-8, go to fish_salesmain OR optional question</t>
        </is>
      </c>
      <c r="R136" s="351" t="n"/>
      <c r="S136" s="159" t="inlineStr">
        <is>
          <t>resp_age = 18-100
hh_agricactivity = 1| 2 | 3 | 4
(income_main_fishcheck = 1) | (income_sec_fishcheck = 1) | (income_third_fishcheck = 1) 
quotareached = 2
fish_proddif_1 = 1</t>
        </is>
      </c>
      <c r="T136" s="72" t="n"/>
      <c r="U136" s="45" t="n">
        <v>27.9538459777832</v>
      </c>
      <c r="V136" s="20">
        <f>#REF!</f>
        <v/>
      </c>
      <c r="W136" s="45">
        <f>U136*V136</f>
        <v/>
      </c>
      <c r="X136" s="3" t="n"/>
      <c r="Z136" s="7" t="inlineStr">
        <is>
          <t>yes</t>
        </is>
      </c>
      <c r="AA136" s="54" t="n"/>
      <c r="AD136" s="6" t="n"/>
    </row>
    <row r="137" ht="282" customFormat="1" customHeight="1" s="5" thickBot="1">
      <c r="A137" s="506">
        <f>A136+1</f>
        <v/>
      </c>
      <c r="B137" s="133" t="inlineStr">
        <is>
          <t>fish_inputdif</t>
        </is>
      </c>
      <c r="C137" s="288" t="inlineStr">
        <is>
          <t>fish_inputdif_
1) fish_inputdif_bait_feed
2)fish_inputdif_fingerling
3) fish_inputdif_gear
4) fish_inputdif_ice
5) fish_inputdif_fuel
6) fish_inputdif_repairs
7) fish_inputdif_labour
8) fish_inputdif_other 
9)fish_inputdif_dk
10) fish_inputdif_ref</t>
        </is>
      </c>
      <c r="D137" s="473" t="inlineStr">
        <is>
          <t>Which fishing [culture] input material has your household had difficulties accessing in the last 3 months?
[OPERATOR: MULTIPLE RESPONSE POSSIBLE.]
1)Feed or bait
2)Fingerlings
3)Fishing gear [e.g. rods/hooks/nets]
4)Ice
5)Fuel
6)Equipment repairs [including boats] or spare parts
7)Labour
8)Other [specify]
9)DON'T KNOW
10)REFUSED</t>
        </is>
      </c>
      <c r="E137" s="472">
        <f>LEN(D137)</f>
        <v/>
      </c>
      <c r="F137" s="473" t="inlineStr">
        <is>
          <t>Ndechekushandisa pakuredza [kuchengeta] hove chipi icho mhuri yenyu yakaita dambudziko kuti ichiwane mumwedzi 3 yapfuura?
[ARI KUITISA ONGORORO: PANOGONA KUPIWA MHINDURO DZAKAWANDA.]
1)Zvekuposhesa kana kuti kukwezvesa hove
2)Imwe mhando yehove
3)Zvekuredzesa hove [somuenzaniso zvirauro/mambure]
4)Ayizi
5)Mafuta yemichina
6)Zvekugadzirisa zvinhu [kusanganisira zvikepe] nemapatsi ekutsiva anenge afa
7)Vashandi
8)Zvimwewo [ratidza]
9)HANDIZIVI
10)ARAMBA</t>
        </is>
      </c>
      <c r="G137" s="472">
        <f>LEN(F137)</f>
        <v/>
      </c>
      <c r="H137" s="473" t="inlineStr">
        <is>
          <t>Yikuphi okusetshenziswa kwezokuthiya inhlanzi [isiko] abomuzi wakho ababalohlupho lokukufinyelela kunyanga ezintathu ezidluleyo?
[OQHUBAYO: IMPENDULO EZINENGI ZINGAPHIWA.]
1)Ukudla kumbe okokuhuga
2)Inhlanzi encane
3)Amathuluzi okuthiya [isibonelo. isigodo/ihuka/umambule]
4)i-Ice
5)iFuweli
6)Ukulungiswa kwamathuluzi [kugoqela izikepe] kumbe ingxenye zesikepe
7)Izisebenzi
8)Okunye [caca]
9)KAZI
10)WALILE</t>
        </is>
      </c>
      <c r="I137" s="472">
        <f>LEN(H137)</f>
        <v/>
      </c>
      <c r="J137" s="486" t="inlineStr">
        <is>
          <t xml:space="preserve">Open Ended-Select All That Apply </t>
        </is>
      </c>
      <c r="K137" s="472" t="inlineStr">
        <is>
          <t>NA</t>
        </is>
      </c>
      <c r="L137" s="472" t="inlineStr">
        <is>
          <t>Send if "fish_proddif_2" "Contains" "Access to other fishing or culture inputs [prices higher or not available]" if not satisfied go to "fish_salesmain"</t>
        </is>
      </c>
      <c r="M137" s="472" t="inlineStr">
        <is>
          <t>Form Type - Checklist
9,10 = IsNone
Feed or bait) fish_inputdif_bait_feed
Fingerlings)fish_inputdif_fingerling
Fishing gear [e.g. rods/hooks/nets]) fish_inputdif_gear
Ice) fish_inputdif_ice
Fuel) fish_inputdif_fuel
Equipment repairs [including boats] or spare parts) fish_inputdif_repairs
Labour) fish_inputdif_labour
Other [specify]) fish_inputdif_other 
DON'T KNOW)fish_inputdif_dk
REFUSED) fish_inputdif_ref</t>
        </is>
      </c>
      <c r="N137" s="473" t="inlineStr">
        <is>
          <t>1-10 = fish_salesmain</t>
        </is>
      </c>
      <c r="O137" s="210" t="n"/>
      <c r="P137" s="210" t="n"/>
      <c r="Q137" s="299" t="inlineStr">
        <is>
          <t>Asked only to respondents that answered fish_proddif_2 = 4.
if fish_inputdif = 1-9, go to fish_salesmain</t>
        </is>
      </c>
      <c r="R137" s="299" t="n"/>
      <c r="S137" s="177" t="inlineStr">
        <is>
          <t>resp_age = 18-100
hh_agricactivity = 1| 2 | 3 | 4
(income_main_fishcheck = 1) | (income_sec_fishcheck = 1) | (income_third_fishcheck = 1) 
quotareached = 2
fish_proddif_1 = 1
fish_proddif_2 = 4</t>
        </is>
      </c>
      <c r="T137" s="111" t="n"/>
      <c r="U137" s="44" t="n">
        <v>21.25</v>
      </c>
      <c r="V137" s="20">
        <f>#REF!</f>
        <v/>
      </c>
      <c r="W137" s="44">
        <f>U137*V137</f>
        <v/>
      </c>
      <c r="X137" s="3" t="n"/>
      <c r="Z137" s="7" t="inlineStr">
        <is>
          <t>no</t>
        </is>
      </c>
      <c r="AA137" s="54" t="n"/>
      <c r="AD137" s="6" t="n"/>
    </row>
    <row r="138" ht="19.5" customFormat="1" customHeight="1" s="5" thickBot="1">
      <c r="A138" s="530" t="inlineStr">
        <is>
          <t>F. FISHERIES MARKETING</t>
        </is>
      </c>
      <c r="B138" s="577" t="n"/>
      <c r="C138" s="577" t="n"/>
      <c r="D138" s="577" t="n"/>
      <c r="E138" s="577" t="n"/>
      <c r="F138" s="577" t="n"/>
      <c r="G138" s="577" t="n"/>
      <c r="H138" s="577" t="n"/>
      <c r="I138" s="577" t="n"/>
      <c r="J138" s="577" t="n"/>
      <c r="K138" s="577" t="n"/>
      <c r="L138" s="577" t="n"/>
      <c r="M138" s="577" t="n"/>
      <c r="N138" s="577" t="n"/>
      <c r="O138" s="577" t="n"/>
      <c r="P138" s="577" t="n"/>
      <c r="Q138" s="577" t="n"/>
      <c r="R138" s="577" t="n"/>
      <c r="S138" s="577" t="n"/>
      <c r="T138" s="587" t="n"/>
      <c r="U138" s="44" t="n"/>
      <c r="V138" s="20" t="n"/>
      <c r="W138" s="44" t="n"/>
      <c r="X138" s="3" t="n"/>
      <c r="Z138" s="7" t="n"/>
      <c r="AA138" s="54" t="n"/>
      <c r="AD138" s="6" t="n"/>
    </row>
    <row r="139" ht="243.75" customFormat="1" customHeight="1" s="5">
      <c r="A139" s="247">
        <f>A137+1</f>
        <v/>
      </c>
      <c r="B139" s="59" t="inlineStr">
        <is>
          <t>fish_salesmain</t>
        </is>
      </c>
      <c r="C139" s="67" t="inlineStr">
        <is>
          <t>fish_salesmain</t>
        </is>
      </c>
      <c r="D139" s="372" t="inlineStr">
        <is>
          <t>What has been the main fish product sold by your household in the last 3 months?
[OPERATOR: SINGLE RESPONSE.]
1)Fresh fish [any kind - including invertebrates]
2)Preserved fish [including dry fish/smoked fish/fermented fish/salt fish]
3)Frozen fish
4)Canned fish
5)Other [specify]
6)DON'T KNOW
7)REFUSED</t>
        </is>
      </c>
      <c r="E139" s="315">
        <f>LEN(D139)</f>
        <v/>
      </c>
      <c r="F139" s="372" t="inlineStr">
        <is>
          <t>Ihove dzakaita sei idzo mhuri yenyu yakanyanya kutengesa mumwedzi 3 yapfuura?
[ARI KUITISA ONGORORO: MHINDURO IMWE CHETE.]
1)Hove nyoro [chero mhando - kusanganisira dzine musana]
2)Hove dzakagadzirwa [kusanganisira dzakaomeswa/dzakapfungaidzwa/dzakaviriswa/dzakaiswa munyu]
3)Hove dzakaomeswa nechando
4)Hove dzemugaba
5)Dzimwewo [ratidza]
6)HANDIZIVI
7)ARAMBA</t>
        </is>
      </c>
      <c r="G139" s="315">
        <f>LEN(F139)</f>
        <v/>
      </c>
      <c r="H139" s="460" t="inlineStr">
        <is>
          <t>Yiwuphi umhlobo wenhlanzi oyiwo othengiswa ngabomuzi wakho kunyanga ezintathu ezidlulileyo?
[OQHUBAYO: IMPENDULO EYODWA.]
1)Inhlanzi ezintsha [loba yiwuphi umhlobo -kugoqela ezilamathambo]
2)Inhlanzi ezigciniweyo [kugoqela ezonyisiweyo/ezitshisiweyo/ ezixhwathisweyo/ezifakwe isawudo]
3)Inhlanzi eziqandisiweyo
4)Inhlanzi ezigcinwa emagabheni
5)Okunye [caca]
6)KAZI
7)WALILE</t>
        </is>
      </c>
      <c r="I139" s="315">
        <f>LEN(H139)</f>
        <v/>
      </c>
      <c r="J139" s="374" t="inlineStr">
        <is>
          <t>Open Ended-Single Choice</t>
        </is>
      </c>
      <c r="K139" s="315" t="inlineStr">
        <is>
          <t>NA</t>
        </is>
      </c>
      <c r="L139" s="315" t="inlineStr">
        <is>
          <t>NA</t>
        </is>
      </c>
      <c r="M139" s="315" t="inlineStr">
        <is>
          <t>Form Type - RadioList
IsDemographic</t>
        </is>
      </c>
      <c r="N139" s="342" t="inlineStr">
        <is>
          <t>1-5 = fish_salesdif_1
6-7 = fies</t>
        </is>
      </c>
      <c r="O139" s="221" t="n"/>
      <c r="P139" s="221" t="n"/>
      <c r="Q139" s="373" t="inlineStr">
        <is>
          <t>if fish_salesmain = 1-5, go to fish_salesdif_1
if fish_salesmain = 6-7, go to fies</t>
        </is>
      </c>
      <c r="R139" s="440" t="n"/>
      <c r="S139" s="217" t="inlineStr">
        <is>
          <t>resp_age = 18-100
hh_agricactivity = 1 | 2 | 3 | 4
quotareached = 2
(income_main = 5 | income_sec = 5 | income_third = 5)</t>
        </is>
      </c>
      <c r="T139" s="64" t="n"/>
      <c r="U139" s="45" t="n">
        <v>14.38495540618896</v>
      </c>
      <c r="V139" s="20">
        <f>#REF!</f>
        <v/>
      </c>
      <c r="W139" s="45">
        <f>U139*V139</f>
        <v/>
      </c>
      <c r="X139" s="3" t="n"/>
      <c r="Z139" s="7" t="inlineStr">
        <is>
          <t>yes</t>
        </is>
      </c>
      <c r="AA139" s="54" t="n"/>
      <c r="AD139" s="6" t="n"/>
    </row>
    <row r="140" ht="168.75" customFormat="1" customHeight="1" s="5">
      <c r="A140" s="503">
        <f>A139+1</f>
        <v/>
      </c>
      <c r="B140" s="164" t="inlineStr">
        <is>
          <t>fish_salesdif_1</t>
        </is>
      </c>
      <c r="C140" s="566" t="inlineStr">
        <is>
          <t>fish_salesdif</t>
        </is>
      </c>
      <c r="D140" s="335" t="inlineStr">
        <is>
          <t>Has your household faced any significant difficulty marketing / selling your {fish_salesmain} in the last 3 months?
[OPERATOR: SINGLE RESPONSE]
1)YES
2)NO
3)DON'T KNOW
4)REFUSED</t>
        </is>
      </c>
      <c r="E140" s="316">
        <f>LEN(D140)</f>
        <v/>
      </c>
      <c r="F140" s="335" t="inlineStr">
        <is>
          <t>Mhuri yenyu yakasangana nechero dambudziko guru here panyaya yekushambadza / kutengesa hove {fish_salesmain} mumwedzi 3 yapfuura?
[ARI KUITISA ONGORORO: MHINDURO IMWE CHETE.]
1)HONGU 
2)KWETE
3)HANDIZIVI
4)ARAMBA</t>
        </is>
      </c>
      <c r="G140" s="316">
        <f>LEN(F140)</f>
        <v/>
      </c>
      <c r="H140" s="335" t="inlineStr">
        <is>
          <t>Kungabe abomuzi wakho bahlangana lobunzima ekuthengiseni inhlanzi zenu  {fish_salesmain} kunyanga ezintathu ezedluleyo?
[OQHUBAYO: IMPENDULO EYODWA.]
1)YEBO
2)HATSHI
3)KAZI
4)WALILE</t>
        </is>
      </c>
      <c r="I140" s="316">
        <f>LEN(H140)</f>
        <v/>
      </c>
      <c r="J140" s="329" t="inlineStr">
        <is>
          <t>Single Choice</t>
        </is>
      </c>
      <c r="K140" s="316" t="inlineStr">
        <is>
          <t>NA</t>
        </is>
      </c>
      <c r="L140" s="316" t="inlineStr">
        <is>
          <t>NA</t>
        </is>
      </c>
      <c r="M140" s="316" t="inlineStr">
        <is>
          <t>Form Type - Buttons</t>
        </is>
      </c>
      <c r="N140" s="335" t="inlineStr">
        <is>
          <t>1 = fish_salesdif
2-4 = fish_salesprice</t>
        </is>
      </c>
      <c r="O140" s="149" t="n"/>
      <c r="P140" s="149" t="n"/>
      <c r="Q140" s="344" t="inlineStr">
        <is>
          <t>if fish_salesdif_1 = 1, go to fish_salesdif ;
if fish_salesdif_1 = 2-4, go to fish_salesprice</t>
        </is>
      </c>
      <c r="R140" s="327" t="n"/>
      <c r="S140" s="168" t="inlineStr">
        <is>
          <t>resp_age = 18-100
hh_agricactivity = 1 | 2 | 3 | 4
quotareached = 2
(income_main = 5 | income_sec = 5 | income_third = 5)</t>
        </is>
      </c>
      <c r="T140" s="72" t="n"/>
      <c r="U140" s="45" t="n">
        <v>9.438053131103516</v>
      </c>
      <c r="V140" s="20">
        <f>#REF!</f>
        <v/>
      </c>
      <c r="W140" s="45">
        <f>U140*V140</f>
        <v/>
      </c>
      <c r="X140" s="3" t="n"/>
      <c r="Z140" s="7" t="inlineStr">
        <is>
          <t>yes</t>
        </is>
      </c>
      <c r="AA140" s="54" t="n"/>
      <c r="AD140" s="6" t="n"/>
    </row>
    <row r="141" ht="375" customFormat="1" customHeight="1" s="5">
      <c r="A141" s="503">
        <f>A140+1</f>
        <v/>
      </c>
      <c r="B141" s="120" t="inlineStr">
        <is>
          <t>fish_salesdif</t>
        </is>
      </c>
      <c r="C141" s="67" t="inlineStr">
        <is>
          <t xml:space="preserve">fish_saledif_
1) fish_saledif_marketing_cost
2) fish_saledif_damage_losses
3) fish_saledif_low_demand
4)fish_saledif_pay_delay
5) fish_saledif_low_prices
6) fish_saledif_processing
7) fish_saledif_competition
8) fish_saledif_other
9) fish_saledif_dk
10) fish_saledif_ref
</t>
        </is>
      </c>
      <c r="D141" s="335" t="inlineStr">
        <is>
          <t>Which difficulties has your household faced in the last 3 months in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41" s="316">
        <f>LEN(D141)</f>
        <v/>
      </c>
      <c r="F141" s="335" t="inlineStr">
        <is>
          <t>Matambudziko api ayo mhuri yenyu yakatarisana nayo pakutengesa {fish_salesmain} mumwedzi 3 yapfuura?
[ARI KUITISA ONGORORO: PANOGONA KUPIWA MHINDURO DZAKAWANDA. SARUDZA MHIDZURO DZINONYATSOENDERANA NEZVATAURWA NEVARI KUPINDURA]
1)Mitengo yakakwira yekutakurisa zvinhu uye yekushambadzira
2)Kuparara uye kurasikirwa nekuda kwekushaya pekuchengetera uye/kana kuti kutadza kusvika kumusika [somuenzaniso nekuda kwekusachengeteka/zvivakwa zvisina kunaka/ nezvakada kudaro]
3)Vagara vaisimbotitengera havachatengi
4)Kunonoka kubhadharwa nevatengi
5)Kuderera kwemitengo yekutengesa nayo [somuenzaniso kana zvichienzaniswa newekutenga nawo / kupera simba kwemari]
6)Kutadza kugadzira zvinhu [kushomeka kwezvokushandisa pakugadzira zvinhu / michina / nezvakada kudaro]
7)Kuzarisa kwezvinhu mumusika
8)Zvimwewo
9)HANDIZIVI
10)ARAMBA</t>
        </is>
      </c>
      <c r="G141" s="316">
        <f>LEN(F141)</f>
        <v/>
      </c>
      <c r="H141" s="335" t="inlineStr">
        <is>
          <t>Yibuphi ubunzima abomuzi wakho abahlangana labo kunyanga ezintathu ezidlulileyo ekuthengiseni {fish_salesmain}?
[OQHUBAYO: IMPENDULO EZINENGI ZINGAKHETHWA. KHETHA IMPENDULO EZIFANELE ULWAZI OLUTHOLISWE NGOMAPHENDULA]
1)Indleko zezokuhambisa kumbe ezinye zezokuthengisa
2)Ukwehla kanye lokulahlekelwa ngenxa yobunzima bokugcinisa kumbe ukuphuza kumbe ukungenelisi ukufinyelela indawo zokuthengisela.
3)Ukuswelakala kokudingakala kuphuma kubathengisi/abathengi abajwayelekileyo
4)Ukuphuza ukubhadala kwabathengisi/abathengi
5)Intengo zokuthengisa eziphansi [isibonelo. kuqathaniswa lentengo zokusetshenziswa ukulungisa/ukwehla kwesisindo semali]
6)Ubunzima bokulungisa impahla [ukuswelakala kwendlela zokufinyelela okusetshenziswayo/imitshina/lokunye]
7)Indawo zokuthengisela zigcwele impahla
8)Okunye
9)KAZI
10)WALILE</t>
        </is>
      </c>
      <c r="I141" s="316">
        <f>LEN(H141)</f>
        <v/>
      </c>
      <c r="J141" s="346" t="inlineStr">
        <is>
          <t xml:space="preserve">Open Ended-Select All That Apply </t>
        </is>
      </c>
      <c r="K141" s="316" t="inlineStr">
        <is>
          <t>NA</t>
        </is>
      </c>
      <c r="L141" s="316" t="inlineStr">
        <is>
          <t>NA</t>
        </is>
      </c>
      <c r="M141" s="316" t="inlineStr">
        <is>
          <t>Form Type - Checklist
9,10 = IsNone
High transportation or other marketing costs) fish_saledif_marketing_cost
Deterioration and losses due to storage difficulties or delays or inability to physically access markets) fish_saledif_damage_losses
Lack of demand from usual buyers/traders) fish_saledif_low_demand
Payment delays from traders/buyers )fish_saledif_pay_delay
Low selling prices [e.g. compared to input prices / inflation]) fish_saledif_low_prices
Difficulties processing product [lack of access to processing inputs / equipment / etc]) fish_saledif_processing
Market flooded with product) fish_saledif_competition
Other) fish_saledif_other
DON'T KNOW) fish_saledif_dk
REFUSED) fish_saledif_ref</t>
        </is>
      </c>
      <c r="N141" s="335" t="inlineStr">
        <is>
          <t>1-10 = fish_salesprice</t>
        </is>
      </c>
      <c r="O141" s="149" t="n"/>
      <c r="P141" s="149" t="n"/>
      <c r="Q141" s="129" t="inlineStr">
        <is>
          <t>if fish_salesdif = 1-8, go to fish_salesprice</t>
        </is>
      </c>
      <c r="R141" s="351" t="n"/>
      <c r="S141" s="159" t="inlineStr">
        <is>
          <t>resp_age = 18-100
hh_agricactivity = 1 | 2 | 3 | 4
quotareached = 2
(income_main = 5 | income_sec = 5 | income_third = 5)
fish_salesdif_1 = 1</t>
        </is>
      </c>
      <c r="T141" s="72" t="n"/>
      <c r="U141" s="45" t="n">
        <v>27.76699066162109</v>
      </c>
      <c r="V141" s="20">
        <f>#REF!</f>
        <v/>
      </c>
      <c r="W141" s="45">
        <f>U141*V141</f>
        <v/>
      </c>
      <c r="X141" s="3" t="n"/>
      <c r="Z141" s="7" t="inlineStr">
        <is>
          <t>yes</t>
        </is>
      </c>
      <c r="AA141" s="54" t="n"/>
      <c r="AD141" s="6" t="inlineStr">
        <is>
          <t>Change in option 2</t>
        </is>
      </c>
    </row>
    <row r="142" ht="263.25" customFormat="1" customHeight="1" s="5" thickBot="1">
      <c r="A142" s="506">
        <f>A141+1</f>
        <v/>
      </c>
      <c r="B142" s="107" t="inlineStr">
        <is>
          <t>fish_salesprice</t>
        </is>
      </c>
      <c r="C142" s="158" t="inlineStr">
        <is>
          <t>fish_salesprice</t>
        </is>
      </c>
      <c r="D142" s="295" t="inlineStr">
        <is>
          <t>How does the current price of your household's {fish_salesmain} sold compare to the average price in the same period/harvest of a normal year? 
[OPERATOR: SINGLE RESPONSE. INSIST ON THE MAIN PRODUCT MENTIONED.]
1)A lot more [increased by more than 50%]
2)Slightly more
3)Same
4)Slightly less
5)A lot less [less than half as much]
6)DON'T KNOW
7)REFUSED</t>
        </is>
      </c>
      <c r="E142" s="334">
        <f>LEN(D142)</f>
        <v/>
      </c>
      <c r="F142" s="295" t="inlineStr">
        <is>
          <t>Mutengo uripo we {fish_salesmain} uyo mhuri yenyu yakatengesa nawo uri sei kana muchienzanisa nevamaiwanzotengesa nawo munguva/goho rakafanana mugore apo zvinhu zvainge zvakanaka?  
[ARI KUITISA ONGORORO: MHINDURO IMWE CHETE. SIMBISIRA KUTI CHAKATENGESWA ZVAKANYANYA.]
1)Wakawedzera zvikuru [wakakwira nezvikamu 50 kubva muzana]
2)Wakawedzera zvishoma
3)Hauna kuchinja
4)Wakadzika zvishoma
5)Wakadzika zvikuru [zviri pasi zvikuru nechidimbu]
6)HANDIZIVI
7)ARAMBA</t>
        </is>
      </c>
      <c r="G142" s="334">
        <f>LEN(F142)</f>
        <v/>
      </c>
      <c r="H142" s="335" t="inlineStr">
        <is>
          <t xml:space="preserve"> Intengo yakathesi yomuzi wakho ye {fish_salesmain} iqathaniseka njani lentengo ephakathi ngesikhathi esifanayo sokuthiya ngomnyaka ojwayelekileyo?
[OQHUBAYO: IMPENDULO EYODWA. GXILA KUMPAHLA EYIYO EKHULUNYIWEYO.]
1)Kakhulu [ikhuphuke ngenani eledluala amaphesenti angu50%]
2)Kakhulu mbijana
3)Ngokufanana
4)Kancane mbijana
5)Kancane mbijana [Ngokulutshwana okwedlula ingxenye]
6)KAZI
7)WALILE</t>
        </is>
      </c>
      <c r="I142" s="334">
        <f>LEN(H142)</f>
        <v/>
      </c>
      <c r="J142" s="336" t="inlineStr">
        <is>
          <t>Single Choice</t>
        </is>
      </c>
      <c r="K142" s="334" t="inlineStr">
        <is>
          <t>NA</t>
        </is>
      </c>
      <c r="L142" s="334" t="inlineStr">
        <is>
          <t>NA</t>
        </is>
      </c>
      <c r="M142" s="334" t="inlineStr">
        <is>
          <t>Form Type - Buttons</t>
        </is>
      </c>
      <c r="N142" s="295" t="inlineStr">
        <is>
          <t>1-7 = fies</t>
        </is>
      </c>
      <c r="O142" s="176" t="n"/>
      <c r="P142" s="176" t="n"/>
      <c r="Q142" s="330" t="inlineStr">
        <is>
          <t>if fish_salesprice = 1-7, go to fies</t>
        </is>
      </c>
      <c r="R142" s="299" t="n"/>
      <c r="S142" s="135" t="inlineStr">
        <is>
          <t>resp_age = 18-100
hh_agricactivity = 1 | 2 | 3 | 4
quotareached = 2
(income_main = 5 | income_sec = 5 | income_third = 5)</t>
        </is>
      </c>
      <c r="T142" s="111" t="n"/>
      <c r="U142" s="45" t="n">
        <v>13.7057523727417</v>
      </c>
      <c r="V142" s="20">
        <f>#REF!</f>
        <v/>
      </c>
      <c r="W142" s="45">
        <f>U142*V142</f>
        <v/>
      </c>
      <c r="X142" s="3" t="n"/>
      <c r="Z142" s="7" t="inlineStr">
        <is>
          <t>yes</t>
        </is>
      </c>
      <c r="AA142" s="54" t="n"/>
      <c r="AD142" s="8" t="inlineStr">
        <is>
          <t xml:space="preserve">Change in options 2 and 4 wording (col D) </t>
        </is>
      </c>
    </row>
    <row r="143" ht="19.5" customFormat="1" customHeight="1" s="5" thickBot="1">
      <c r="A143" s="539" t="inlineStr">
        <is>
          <t>G. FOOD SECURITY AND CONSUMPTION</t>
        </is>
      </c>
      <c r="B143" s="577" t="n"/>
      <c r="C143" s="577" t="n"/>
      <c r="D143" s="577" t="n"/>
      <c r="E143" s="577" t="n"/>
      <c r="F143" s="577" t="n"/>
      <c r="G143" s="577" t="n"/>
      <c r="H143" s="577" t="n"/>
      <c r="I143" s="577" t="n"/>
      <c r="J143" s="577" t="n"/>
      <c r="K143" s="577" t="n"/>
      <c r="L143" s="577" t="n"/>
      <c r="M143" s="577" t="n"/>
      <c r="N143" s="577" t="n"/>
      <c r="O143" s="577" t="n"/>
      <c r="P143" s="577" t="n"/>
      <c r="Q143" s="577" t="n"/>
      <c r="R143" s="577" t="n"/>
      <c r="S143" s="577" t="n"/>
      <c r="T143" s="587" t="n"/>
      <c r="U143" s="44" t="n"/>
      <c r="V143" s="42" t="n"/>
      <c r="W143" s="44" t="n"/>
      <c r="X143" s="3" t="n"/>
      <c r="Z143" s="7" t="n"/>
      <c r="AA143" s="54" t="n"/>
      <c r="AD143" s="6" t="n"/>
    </row>
    <row r="144" ht="131.25" customFormat="1" customHeight="1" s="5">
      <c r="A144" s="247">
        <f>A142+1</f>
        <v/>
      </c>
      <c r="B144" s="59" t="inlineStr">
        <is>
          <t>fies</t>
        </is>
      </c>
      <c r="C144" s="67" t="inlineStr">
        <is>
          <t>fies</t>
        </is>
      </c>
      <c r="D144" s="563"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1)NEXT</t>
        </is>
      </c>
      <c r="E144" s="308">
        <f>LEN(D144)</f>
        <v/>
      </c>
      <c r="F144" s="563" t="inlineStr">
        <is>
          <t>Parizvino ndave kuda kukubvunza pamusoro pekudyiwa kwezvekudya, kushandiswa kwezvekudya uye nzira dzekurarama nadzo munguva dzakaoma. Ivai nechokwadi chekuti muri kutaura zvakaitika panguva chaiyo pachikamu chimwe nechimwe chemibvunzo. Chikamu chekutanga chemibvunzo chiri pamusoro pezvavakasangana nazvo kana kuti zvakasangana nachero wemumhuri menyu mukati memazuva 30 apfuura. 
1)ENDERERA MBERI</t>
        </is>
      </c>
      <c r="G144" s="308">
        <f>LEN(F144)</f>
        <v/>
      </c>
      <c r="H144" s="563" t="inlineStr">
        <is>
          <t>Kathesi sizakubuza imbuzo mayelana lezokudla, ukusetshenziswa kokudla kanye lendlela zokubhekana. Qiniseka ukuthi ukhulume ngesikhathi esiqondileyo ngemibuzo ethile. Imbuzo yakuqala itsho lokho owadlula kikho lamalunga omuzi wakho kumalanga angu-30 adlulileyo. 
1)QHUBEKA</t>
        </is>
      </c>
      <c r="I144" s="564">
        <f>LEN(H144)</f>
        <v/>
      </c>
      <c r="J144" s="106" t="inlineStr">
        <is>
          <t>Single Choice</t>
        </is>
      </c>
      <c r="K144" s="564" t="inlineStr">
        <is>
          <t>NA</t>
        </is>
      </c>
      <c r="L144" s="564" t="inlineStr">
        <is>
          <t>NA</t>
        </is>
      </c>
      <c r="M144" s="564" t="inlineStr">
        <is>
          <t>Form Type - Buttons</t>
        </is>
      </c>
      <c r="N144" s="563" t="inlineStr">
        <is>
          <t>1 = fies_worried</t>
        </is>
      </c>
      <c r="O144" s="211" t="n"/>
      <c r="P144" s="211" t="n"/>
      <c r="Q144" s="373" t="inlineStr">
        <is>
          <t>if fies = 1, go to fies_worried</t>
        </is>
      </c>
      <c r="R144" s="440" t="n"/>
      <c r="S144" s="131" t="inlineStr">
        <is>
          <t>resp_age = 18-100
hh_agricactivity = 1 | 2 | 3 | 4
quotareached = 2</t>
        </is>
      </c>
      <c r="T144" s="219" t="inlineStr">
        <is>
          <t>Check if the ESS team has an official translation.</t>
        </is>
      </c>
      <c r="U144" s="45" t="n">
        <v>12.77690315246582</v>
      </c>
      <c r="V144" s="20" t="n">
        <v>1</v>
      </c>
      <c r="W144" s="45">
        <f>U144*V144</f>
        <v/>
      </c>
      <c r="X144" s="3" t="n"/>
      <c r="Z144" s="7" t="inlineStr">
        <is>
          <t>yes</t>
        </is>
      </c>
      <c r="AA144" s="54" t="n"/>
      <c r="AD144" s="6" t="n"/>
    </row>
    <row r="145" ht="187.5" customFormat="1" customHeight="1" s="5">
      <c r="A145" s="503">
        <f>A144+1</f>
        <v/>
      </c>
      <c r="B145" s="120" t="inlineStr">
        <is>
          <t>fies_worried</t>
        </is>
      </c>
      <c r="C145" s="155" t="inlineStr">
        <is>
          <t>fies_worried</t>
        </is>
      </c>
      <c r="D145" s="161" t="inlineStr">
        <is>
          <t>During the last 30 days, was there a time when you or others in your household were worried about not having enough food to eat because of lack of money or other resources?
[OPERATOR: SINGLE RESPONSE]
1)YES
2)NO
3)DON'T KNOW
4)REFUSED</t>
        </is>
      </c>
      <c r="E145" s="127">
        <f>LEN(D145)</f>
        <v/>
      </c>
      <c r="F145" s="161" t="inlineStr">
        <is>
          <t>Mukati memazuva 30 apfuura, pane nguva here apo iwe kana mumwe wemumhuri menyu akanetseka nekuti ashaya zvekudya zvakakwana nekuda kwekushaya mari kana zvimwe zvekushandisa?
[ARI KUITISA ONGORORO: MHINDURO IMWE CHETE.]
1)HONGU 
2)KWETE
3)HANDIZIVI
4)ARAMBA</t>
        </is>
      </c>
      <c r="G145" s="127">
        <f>LEN(F145)</f>
        <v/>
      </c>
      <c r="H145" s="161" t="inlineStr">
        <is>
          <t>Kumalanga angu-30 adlulileyo, kwake kwaba lesikhathi lapho wena kumbe abanye endlini yakho abakhathazeka ngokungabi lokudla okwaneleyo ngenxa yokuswela imali kumbe ezinye insizakusebenza?
[OQHUBAYO: IMPENDULO EYODWA.]
1)YEBO
2)HATSHI
3)KAZI
4)WALILE</t>
        </is>
      </c>
      <c r="I145" s="566">
        <f>LEN(H145)</f>
        <v/>
      </c>
      <c r="J145" s="123" t="inlineStr">
        <is>
          <t>Single Choice</t>
        </is>
      </c>
      <c r="K145" s="566" t="inlineStr">
        <is>
          <t>NA</t>
        </is>
      </c>
      <c r="L145" s="566" t="inlineStr">
        <is>
          <t>NA</t>
        </is>
      </c>
      <c r="M145" s="566" t="inlineStr">
        <is>
          <t>Form Type - Buttons</t>
        </is>
      </c>
      <c r="N145" s="568" t="inlineStr">
        <is>
          <t>1-4 = fies_healthy</t>
        </is>
      </c>
      <c r="O145" s="149" t="n"/>
      <c r="P145" s="149" t="n"/>
      <c r="Q145" s="344" t="inlineStr">
        <is>
          <t>if fies_worried = 1-4, go to fies_healthy</t>
        </is>
      </c>
      <c r="R145" s="327" t="n"/>
      <c r="S145" s="159" t="inlineStr">
        <is>
          <t>resp_age = 18-100
hh_agricactivity = 1 | 2 | 3 | 4
quotareached = 2</t>
        </is>
      </c>
      <c r="T145" s="72" t="n"/>
      <c r="U145" s="45" t="n">
        <v>21.39860534667969</v>
      </c>
      <c r="V145" s="20" t="n">
        <v>1</v>
      </c>
      <c r="W145" s="45">
        <f>U145*V145</f>
        <v/>
      </c>
      <c r="X145" s="3" t="n"/>
      <c r="Z145" s="7" t="inlineStr">
        <is>
          <t>yes</t>
        </is>
      </c>
      <c r="AA145" s="54" t="n"/>
      <c r="AD145" s="6" t="n"/>
    </row>
    <row r="146" ht="187.5" customFormat="1" customHeight="1" s="5">
      <c r="A146" s="503">
        <f>A145+1</f>
        <v/>
      </c>
      <c r="B146" s="120" t="inlineStr">
        <is>
          <t>fies_healthy</t>
        </is>
      </c>
      <c r="C146" s="155" t="inlineStr">
        <is>
          <t>fies_healthy</t>
        </is>
      </c>
      <c r="D146" s="161" t="inlineStr">
        <is>
          <t>During the last 30 days, was there a time when you or others in your household were unable to eat healthy and nutritious food because of lack of money or other resources?
[OPERATOR: SINGLE RESPONSE]
1)YES
2)NO
3)DON'T KNOW
4)REFUSED</t>
        </is>
      </c>
      <c r="E146" s="127">
        <f>LEN(D146)</f>
        <v/>
      </c>
      <c r="F146" s="161" t="inlineStr">
        <is>
          <t>Mukati memazuva 30 apfuura, pane nguva here apo iwe kana mumwe wemumhuri menyu akatadza kudya zvekudya zvinopa utano nekuda  kwekushaya mari kana zvimwe zvekushandisa?
[ARI KUITISA ONGORORO: MHINDURO IMWE CHETE.]
1)HONGU 
2)KWETE
3)HANDIZIVI
4)ARAMBA</t>
        </is>
      </c>
      <c r="G146" s="127">
        <f>LEN(F146)</f>
        <v/>
      </c>
      <c r="H146" s="161" t="inlineStr">
        <is>
          <t>Kumalanga angu-30 adlulileyo, kwake kwaba lesikhathi lapho wena kumbe abanye bendlini yakho ababengenelisi ukudla okwakha umzimba ngenxa yokuswela imali kumbe ezinye insizakusebenza?
[OQHUBAYO: IMPENDULO EYODWA.]
1)YEBO
2)HATSHI
3)KAZI
4)WALILE</t>
        </is>
      </c>
      <c r="I146" s="566">
        <f>LEN(H146)</f>
        <v/>
      </c>
      <c r="J146" s="123" t="inlineStr">
        <is>
          <t>Single Choice</t>
        </is>
      </c>
      <c r="K146" s="566" t="inlineStr">
        <is>
          <t>NA</t>
        </is>
      </c>
      <c r="L146" s="566" t="inlineStr">
        <is>
          <t>NA</t>
        </is>
      </c>
      <c r="M146" s="566" t="inlineStr">
        <is>
          <t>Form Type - Buttons</t>
        </is>
      </c>
      <c r="N146" s="568" t="inlineStr">
        <is>
          <t>1-4 = fies_fewfoods</t>
        </is>
      </c>
      <c r="O146" s="149" t="n"/>
      <c r="P146" s="149" t="n"/>
      <c r="Q146" s="344" t="inlineStr">
        <is>
          <t>if fies_healthy = 1-4, go to fies_fewfoods</t>
        </is>
      </c>
      <c r="R146" s="327" t="n"/>
      <c r="S146" s="159" t="inlineStr">
        <is>
          <t>resp_age = 18-100
hh_agricactivity = 1 | 2 | 3 | 4
quotareached = 2</t>
        </is>
      </c>
      <c r="T146" s="72" t="n"/>
      <c r="U146" s="45" t="n">
        <v>14.98074054718018</v>
      </c>
      <c r="V146" s="20" t="n">
        <v>1</v>
      </c>
      <c r="W146" s="45">
        <f>U146*V146</f>
        <v/>
      </c>
      <c r="X146" s="3" t="n"/>
      <c r="Z146" s="7" t="inlineStr">
        <is>
          <t>yes</t>
        </is>
      </c>
      <c r="AA146" s="54" t="n"/>
      <c r="AD146" s="6" t="n"/>
    </row>
    <row r="147" ht="187.5" customFormat="1" customHeight="1" s="5">
      <c r="A147" s="503">
        <f>A146+1</f>
        <v/>
      </c>
      <c r="B147" s="120" t="inlineStr">
        <is>
          <t>fies_fewfoods</t>
        </is>
      </c>
      <c r="C147" s="155" t="inlineStr">
        <is>
          <t>fies_fewfoods</t>
        </is>
      </c>
      <c r="D147" s="161" t="inlineStr">
        <is>
          <t>During the last 30 days, was there a time when you or others in your household ate only a few kinds of foods because of lack of money or other resources?
[OPERATOR: SINGLE RESPONSE]
1)YES
2)NO
3)DON'T KNOW
4)REFUSED</t>
        </is>
      </c>
      <c r="E147" s="127">
        <f>LEN(D147)</f>
        <v/>
      </c>
      <c r="F147" s="161" t="inlineStr">
        <is>
          <t>Mukati memazuva 30 apfuura, pane nguva here apo iwe kana mumwe wemumhuri menyu akadya mhando shomanana dzezvekudya nekuda  kwekushaya mari kana zvimwe zvekushandisa?
[ARI KUITISA ONGORORO: MHINDURO IMWE CHETE.]
1)HONGU 
2)KWETE
3)HANDIZIVI
4)ARAMBA</t>
        </is>
      </c>
      <c r="G147" s="127">
        <f>LEN(F147)</f>
        <v/>
      </c>
      <c r="H147" s="161" t="inlineStr">
        <is>
          <t>Kumalanga angu-30 adlulileyo, kwake kwaba lesikhathi lapho wena kumbe abanye endlini yakho abadla imihlobo emilutshwana yokudla ngenxa yokuswela imali kumbe ezinye insizakusebenza?
[OQHUBAYO: IMPENDULO EYODWA.]
1)YEBO
2)HATSHI
3)KAZI
4)WALILE</t>
        </is>
      </c>
      <c r="I147" s="566">
        <f>LEN(H147)</f>
        <v/>
      </c>
      <c r="J147" s="123" t="inlineStr">
        <is>
          <t>Single Choice</t>
        </is>
      </c>
      <c r="K147" s="566" t="inlineStr">
        <is>
          <t>NA</t>
        </is>
      </c>
      <c r="L147" s="566" t="inlineStr">
        <is>
          <t>NA</t>
        </is>
      </c>
      <c r="M147" s="566" t="inlineStr">
        <is>
          <t>Form Type - Buttons</t>
        </is>
      </c>
      <c r="N147" s="568" t="inlineStr">
        <is>
          <t>1-4 = fies_skipped</t>
        </is>
      </c>
      <c r="O147" s="149" t="n"/>
      <c r="P147" s="149" t="n"/>
      <c r="Q147" s="344" t="inlineStr">
        <is>
          <t>if fies_fewfoods = 1-4, go to fies_skipped</t>
        </is>
      </c>
      <c r="R147" s="327" t="n"/>
      <c r="S147" s="159" t="inlineStr">
        <is>
          <t>resp_age = 18-100
hh_agricactivity = 1 | 2 | 3 | 4
quotareached = 2</t>
        </is>
      </c>
      <c r="T147" s="72" t="n"/>
      <c r="U147" s="45" t="n">
        <v>13.72302150726318</v>
      </c>
      <c r="V147" s="20" t="n">
        <v>1</v>
      </c>
      <c r="W147" s="45">
        <f>U147*V147</f>
        <v/>
      </c>
      <c r="X147" s="3" t="n"/>
      <c r="Z147" s="7" t="inlineStr">
        <is>
          <t>yes</t>
        </is>
      </c>
      <c r="AA147" s="54" t="n"/>
      <c r="AD147" s="6" t="n"/>
    </row>
    <row r="148" ht="187.5" customFormat="1" customHeight="1" s="5">
      <c r="A148" s="503">
        <f>A147+1</f>
        <v/>
      </c>
      <c r="B148" s="120" t="inlineStr">
        <is>
          <t>fies_skipped</t>
        </is>
      </c>
      <c r="C148" s="155" t="inlineStr">
        <is>
          <t>fies_skipped</t>
        </is>
      </c>
      <c r="D148" s="161" t="inlineStr">
        <is>
          <t>During the last 30 days, was there a time when you or others in your household had to skip a meal because of lack of money or other resources to get food?
[OPERATOR: SINGLE RESPONSE]
1)YES
2)NO
3)DON'T KNOW
4)REFUSED</t>
        </is>
      </c>
      <c r="E148" s="127">
        <f>LEN(D148)</f>
        <v/>
      </c>
      <c r="F148" s="161" t="inlineStr">
        <is>
          <t>Mukati memazuva 30 apfuura, pane nguva here apo iwe kana mumwe wemumhuri menyu asina kudya panguva yaaifanira kudya nekuda  kwekushaya mari kana zvimwe zvekushandisa?
[ARI KUITISA ONGORORO: MHINDURO IMWE CHETE.]
1)HONGU 
2)KWETE
3)HANDIZIVI
4)ARAMBA</t>
        </is>
      </c>
      <c r="G148" s="127">
        <f>LEN(F148)</f>
        <v/>
      </c>
      <c r="H148" s="161" t="inlineStr">
        <is>
          <t>Kumalanga angu-30 adlulileyo, kwake kwaba lesikhathi lapho wena kumbe abanye endlini yakho abeqisa ukudla ngenxa yokuswela imali kumbe ezinye insizakusebenza zokuthola ukudla?
[OQHUBAYO: IMPENDULO EYODWA.]
1)YEBO
2)HATSHI
3)KAZI
4)WALILE</t>
        </is>
      </c>
      <c r="I148" s="566">
        <f>LEN(H148)</f>
        <v/>
      </c>
      <c r="J148" s="123" t="inlineStr">
        <is>
          <t>Single Choice</t>
        </is>
      </c>
      <c r="K148" s="566" t="inlineStr">
        <is>
          <t>NA</t>
        </is>
      </c>
      <c r="L148" s="566" t="inlineStr">
        <is>
          <t>NA</t>
        </is>
      </c>
      <c r="M148" s="566" t="inlineStr">
        <is>
          <t>Form Type - Buttons</t>
        </is>
      </c>
      <c r="N148" s="568" t="inlineStr">
        <is>
          <t>1-4 = fies_ateless</t>
        </is>
      </c>
      <c r="O148" s="149" t="n"/>
      <c r="P148" s="149" t="n"/>
      <c r="Q148" s="129" t="inlineStr">
        <is>
          <t>if fies_skipped = 1-4, go to fies_ateless</t>
        </is>
      </c>
      <c r="R148" s="351" t="n"/>
      <c r="S148" s="159" t="inlineStr">
        <is>
          <t>resp_age = 18-100
hh_agricactivity = 1 | 2 | 3 | 4
quotareached = 2</t>
        </is>
      </c>
      <c r="T148" s="72" t="n"/>
      <c r="U148" s="45" t="n">
        <v>13.06220054626465</v>
      </c>
      <c r="V148" s="20" t="n">
        <v>1</v>
      </c>
      <c r="W148" s="45">
        <f>U148*V148</f>
        <v/>
      </c>
      <c r="X148" s="3" t="n"/>
      <c r="Z148" s="7" t="inlineStr">
        <is>
          <t>yes</t>
        </is>
      </c>
      <c r="AA148" s="54" t="n"/>
      <c r="AD148" s="6" t="n"/>
    </row>
    <row r="149" ht="187.5" customFormat="1" customHeight="1" s="5">
      <c r="A149" s="503">
        <f>A148+1</f>
        <v/>
      </c>
      <c r="B149" s="120" t="inlineStr">
        <is>
          <t>fies_ateless</t>
        </is>
      </c>
      <c r="C149" s="155" t="inlineStr">
        <is>
          <t>fies_ateless</t>
        </is>
      </c>
      <c r="D149" s="161" t="inlineStr">
        <is>
          <t>During the last 30 days, was there a time when you or others in your household ate less than you thought you should because of lack of money or other resources?
[OPERATOR: SINGLE RESPONSE]
1)YES
2)NO
3)DON'T KNOW
4)REFUSED</t>
        </is>
      </c>
      <c r="E149" s="127">
        <f>LEN(D149)</f>
        <v/>
      </c>
      <c r="F149" s="161" t="inlineStr">
        <is>
          <t>Mukati memazuva 30 apfuura, pane nguva here apo iwe kana mumwe wemumhuri menyu akadya zvekudya zvishoma kupfuura zvaaifunga kuti aifanira adya nekuda  kwekushaya mari kana zvimwe zvekushandisa
[ARI KUITISA ONGORORO: MHINDURO IMWE CHETE.]
1)HONGU 
2)KWETE
3)HANDIZIVI
4)ARAMBA</t>
        </is>
      </c>
      <c r="G149" s="127">
        <f>LEN(F149)</f>
        <v/>
      </c>
      <c r="H149" s="161" t="inlineStr">
        <is>
          <t>Kumalanga angu-30 adlulileyo, kwake kwaba lesikhathi lapho wena kumbe abanye endlini yakho abadla okulutshwana kulalokho owawucabanga ukuthi kumele badle ngenxa yokuswela imali kumbe ezinye insizakusebenza?
[OQHUBAYO: IMPENDULO EYODWA.]
1)YEBO
2)HATSHI
3)KAZI
4)WALILE</t>
        </is>
      </c>
      <c r="I149" s="566">
        <f>LEN(H149)</f>
        <v/>
      </c>
      <c r="J149" s="123" t="inlineStr">
        <is>
          <t>Single Choice</t>
        </is>
      </c>
      <c r="K149" s="566" t="inlineStr">
        <is>
          <t>NA</t>
        </is>
      </c>
      <c r="L149" s="566" t="inlineStr">
        <is>
          <t>NA</t>
        </is>
      </c>
      <c r="M149" s="566" t="inlineStr">
        <is>
          <t>Form Type - Buttons</t>
        </is>
      </c>
      <c r="N149" s="568" t="inlineStr">
        <is>
          <t>1-4 = fies_ranout</t>
        </is>
      </c>
      <c r="O149" s="149" t="n"/>
      <c r="P149" s="149" t="n"/>
      <c r="Q149" s="129" t="inlineStr">
        <is>
          <t>if fies_ateless = 1-4, go to fies_ranout</t>
        </is>
      </c>
      <c r="R149" s="351" t="n"/>
      <c r="S149" s="159" t="inlineStr">
        <is>
          <t>resp_age = 18-100
hh_agricactivity = 1 | 2 | 3 | 4
quotareached = 2</t>
        </is>
      </c>
      <c r="T149" s="72" t="n"/>
      <c r="U149" s="45" t="n">
        <v>13.09532356262207</v>
      </c>
      <c r="V149" s="20" t="n">
        <v>1</v>
      </c>
      <c r="W149" s="45">
        <f>U149*V149</f>
        <v/>
      </c>
      <c r="X149" s="3" t="n"/>
      <c r="Z149" s="7" t="inlineStr">
        <is>
          <t>yes</t>
        </is>
      </c>
      <c r="AA149" s="54" t="n"/>
      <c r="AD149" s="6" t="n"/>
    </row>
    <row r="150" ht="168.75" customFormat="1" customHeight="1" s="5">
      <c r="A150" s="503">
        <f>A149+1</f>
        <v/>
      </c>
      <c r="B150" s="120" t="inlineStr">
        <is>
          <t>fies_ranout</t>
        </is>
      </c>
      <c r="C150" s="121" t="inlineStr">
        <is>
          <t>fies_ranout</t>
        </is>
      </c>
      <c r="D150" s="161" t="inlineStr">
        <is>
          <t>In the past 30 days, was there ever no food to eat of any kind in your house because of lack of resources to get food?
[OPERATOR: SINGLE RESPONSE]
1)YES
2)NO
3)DON'T KNOW
4)REFUSED</t>
        </is>
      </c>
      <c r="E150" s="127">
        <f>LEN(D150)</f>
        <v/>
      </c>
      <c r="F150" s="161" t="inlineStr">
        <is>
          <t>Mukati memazuva 30 apfuura, pakambove here nenguva apo paisambove nezvekudya chero zverudzi rwupi mumhuri yenyu nekuda  kwekushaya zvekushandisa kuti muwane zvekudya?
[ARI KUITISA ONGORORO: MHINDURO IMWE CHETE.]
1)HONGU 
2)KWETE
3)HANDIZIVI
4)ARAMBA</t>
        </is>
      </c>
      <c r="G150" s="127">
        <f>LEN(F150)</f>
        <v/>
      </c>
      <c r="H150" s="161" t="inlineStr">
        <is>
          <t>Kumalanga angu-30 adlulileyo, kwake kwaswelakala ukudla kohlobo loba yiluphi endlini yakho ngenxa yokusweleka kwensizakusebenza zokuthola ukudla?
[OQHUBAYO: IMPENDULO EYODWA.]
1)YEBO
2)HATSHI
3)KAZI
4)WALILE</t>
        </is>
      </c>
      <c r="I150" s="566">
        <f>LEN(H150)</f>
        <v/>
      </c>
      <c r="J150" s="123" t="inlineStr">
        <is>
          <t>Single Choice</t>
        </is>
      </c>
      <c r="K150" s="566" t="inlineStr">
        <is>
          <t>NA</t>
        </is>
      </c>
      <c r="L150" s="566" t="inlineStr">
        <is>
          <t>NA</t>
        </is>
      </c>
      <c r="M150" s="566" t="inlineStr">
        <is>
          <t>Form Type - Buttons</t>
        </is>
      </c>
      <c r="N150" s="568" t="inlineStr">
        <is>
          <t>1 = fies_ranout_hhs
2-4 = fies_hungry</t>
        </is>
      </c>
      <c r="O150" s="149" t="n"/>
      <c r="P150" s="149" t="n"/>
      <c r="Q150" s="344" t="inlineStr">
        <is>
          <t>if fies_ranout = 1, go to fies_ranout_hhs. Otherwise, go to fies_hungry</t>
        </is>
      </c>
      <c r="R150" s="327" t="n"/>
      <c r="S150" s="159" t="inlineStr">
        <is>
          <t>resp_age = 18-100
hh_agricactivity = 1 | 2 | 3 | 4
quotareached = 2</t>
        </is>
      </c>
      <c r="T150" s="72" t="n"/>
      <c r="U150" s="45" t="n">
        <v>16.10101918465228</v>
      </c>
      <c r="V150" s="20" t="n">
        <v>1</v>
      </c>
      <c r="W150" s="45">
        <f>U150*V150</f>
        <v/>
      </c>
      <c r="X150" s="3" t="n"/>
      <c r="Z150" s="7" t="inlineStr">
        <is>
          <t>yes</t>
        </is>
      </c>
      <c r="AA150" s="54" t="n"/>
      <c r="AD150" s="6" t="inlineStr">
        <is>
          <t>Change question text</t>
        </is>
      </c>
    </row>
    <row r="151" ht="168.75" customFormat="1" customHeight="1" s="40">
      <c r="A151" s="503">
        <f>A150+1</f>
        <v/>
      </c>
      <c r="B151" s="120" t="inlineStr">
        <is>
          <t>fies_ranout_hhs</t>
        </is>
      </c>
      <c r="C151" s="121" t="inlineStr">
        <is>
          <t>fies_ranout_hhs</t>
        </is>
      </c>
      <c r="D151" s="172" t="inlineStr">
        <is>
          <t>How often did this happen?
[OPERATOR: SINGLE RESPONSE]
1)Rarely [1-2 times in the past 30 days]
2)Sometimes [3-10 times in the past 30 days]
3)Often [more than 10 times in the last 30 days]
4)DON'T KNOW
5)REFUSED</t>
        </is>
      </c>
      <c r="E151" s="127">
        <f>LEN(D151)</f>
        <v/>
      </c>
      <c r="F151" s="172" t="inlineStr">
        <is>
          <t>Izvi zvakaitika kakawanda sei?
[ARI KUITISA ONGORORO: MHINDURO IMWE CHETE.]
1)Kashoma zvikuru [kamwe chete kana kaviri mumazuva 30 apfuura]
2)Dzimwe nguva [katatu kusvika kukagumi mumazuva 30 apfuura]
3)Nguva zhinji [kanopfuura kagumi mumazuva 30 apfuura]
4)HANDIZIVI
5)ARAMBA</t>
        </is>
      </c>
      <c r="G151" s="127">
        <f>LEN(F151)</f>
        <v/>
      </c>
      <c r="H151" s="172" t="inlineStr">
        <is>
          <t>Kwenzakala kangaki lokhu?
[OQHUBAYO: IMPENDULO EYODWA.]
1)Akuvamanga [kanye kumbe kabili kumalanga angu-30 adlulileyo]
2)Kwezinye izikhathi [kathathu kusiya kutshumi kumalanga angu-30 aldulileyo]
3)Ngezikhathi ezinengi [okwedlula izikhathi ezilitshumi kumalanga angu-30 adlulileyo]
4)KAZI
5)WALILE</t>
        </is>
      </c>
      <c r="I151" s="566">
        <f>LEN(H151)</f>
        <v/>
      </c>
      <c r="J151" s="123" t="inlineStr">
        <is>
          <t>Single Choice</t>
        </is>
      </c>
      <c r="K151" s="566" t="inlineStr">
        <is>
          <t>NA</t>
        </is>
      </c>
      <c r="L151" s="566" t="inlineStr">
        <is>
          <t>NA</t>
        </is>
      </c>
      <c r="M151" s="566" t="inlineStr">
        <is>
          <t>Form Type - Buttons</t>
        </is>
      </c>
      <c r="N151" s="568" t="inlineStr">
        <is>
          <t xml:space="preserve">1-5 = fies_hungry </t>
        </is>
      </c>
      <c r="O151" s="149" t="n"/>
      <c r="P151" s="149" t="n"/>
      <c r="Q151" s="129" t="inlineStr">
        <is>
          <t>if fies_ranout_hhs = 1-5, go to fies_hungry</t>
        </is>
      </c>
      <c r="R151" s="351" t="n"/>
      <c r="S151" s="159" t="inlineStr">
        <is>
          <t xml:space="preserve">resp_age = 18-100
hh_agricactivity = 1 | 2 | 3 | 4
quotareached = 2
fies_ranout = 1 </t>
        </is>
      </c>
      <c r="T151" s="72" t="n"/>
      <c r="U151" s="45" t="n">
        <v>11.76504325866699</v>
      </c>
      <c r="V151" s="20" t="n">
        <v>1</v>
      </c>
      <c r="W151" s="45">
        <f>U151*V151</f>
        <v/>
      </c>
      <c r="X151" s="3" t="n"/>
      <c r="Z151" s="7" t="inlineStr">
        <is>
          <t>yes</t>
        </is>
      </c>
      <c r="AA151" s="54" t="n"/>
      <c r="AD151" s="6" t="inlineStr">
        <is>
          <t>Change options 1-3</t>
        </is>
      </c>
    </row>
    <row r="152" ht="168.75" customFormat="1" customHeight="1" s="5">
      <c r="A152" s="503">
        <f>A151+1</f>
        <v/>
      </c>
      <c r="B152" s="120" t="inlineStr">
        <is>
          <t>fies_hungry</t>
        </is>
      </c>
      <c r="C152" s="155" t="inlineStr">
        <is>
          <t>fies_hungry</t>
        </is>
      </c>
      <c r="D152" s="161" t="inlineStr">
        <is>
          <t>In the past 30 days, did you or any household member ever go to sleep at night hungry because there was not enough food?
[OPERATOR: SINGLE RESPONSE]
1)YES
2)NO
3)DON'T KNOW
4)REFUSED</t>
        </is>
      </c>
      <c r="E152" s="127">
        <f>LEN(D152)</f>
        <v/>
      </c>
      <c r="F152" s="161" t="inlineStr">
        <is>
          <t>Mumazuva 30 apfuura, pane here apo iwe kana mumwe wemumhuri menyu akarara asina kudya nekuti paisava nezvokudya zvakakwana?
[ARI KUITISA ONGORORO: MHINDURO IMWE CHETE.]
1)HONGU 
2)KWETE
3)HANDIZIVI
4)ARAMBA</t>
        </is>
      </c>
      <c r="G152" s="127">
        <f>LEN(F152)</f>
        <v/>
      </c>
      <c r="H152" s="115" t="inlineStr">
        <is>
          <t>Kumalanga angu-30 adlulileyo, kungabe wena kumbe ilunga lomuzi wakho lalala ebusuku lilambile ngoba kungela kudla okwaneleyo?
[OQHUBAYO: IMPENDULO EYODWA.]
1)YEBO
2)HATSHI
3)KAZI
4)WALILE</t>
        </is>
      </c>
      <c r="I152" s="566">
        <f>LEN(H152)</f>
        <v/>
      </c>
      <c r="J152" s="123" t="inlineStr">
        <is>
          <t>Single Choice</t>
        </is>
      </c>
      <c r="K152" s="566" t="inlineStr">
        <is>
          <t>NA</t>
        </is>
      </c>
      <c r="L152" s="566" t="inlineStr">
        <is>
          <t>NA</t>
        </is>
      </c>
      <c r="M152" s="566" t="inlineStr">
        <is>
          <t>Form Type - Buttons</t>
        </is>
      </c>
      <c r="N152" s="568" t="inlineStr">
        <is>
          <t>1 = fies_hungry_hhs
2-4 = fies_whlday</t>
        </is>
      </c>
      <c r="O152" s="149" t="n"/>
      <c r="P152" s="149" t="n"/>
      <c r="Q152" s="344" t="inlineStr">
        <is>
          <t>if fies_hungry = 1, go to fies_hungry_hhs. Otherwise, go to fies_whlday</t>
        </is>
      </c>
      <c r="R152" s="327" t="n"/>
      <c r="S152" s="159" t="inlineStr">
        <is>
          <t>resp_age = 18-100
hh_agricactivity = 1 | 2 | 3 | 4
quotareached = 2</t>
        </is>
      </c>
      <c r="T152" s="72" t="n"/>
      <c r="U152" s="45" t="n">
        <v>12.43247890472412</v>
      </c>
      <c r="V152" s="20" t="n">
        <v>1</v>
      </c>
      <c r="W152" s="45">
        <f>U152*V152</f>
        <v/>
      </c>
      <c r="X152" s="3" t="n"/>
      <c r="Z152" s="7" t="inlineStr">
        <is>
          <t>yes</t>
        </is>
      </c>
      <c r="AA152" s="54" t="n"/>
      <c r="AD152" s="6" t="inlineStr">
        <is>
          <t>Change question text</t>
        </is>
      </c>
    </row>
    <row r="153" ht="168.75" customFormat="1" customHeight="1" s="5">
      <c r="A153" s="503">
        <f>A152+1</f>
        <v/>
      </c>
      <c r="B153" s="120" t="inlineStr">
        <is>
          <t>fies_hungry_hhs</t>
        </is>
      </c>
      <c r="C153" s="121" t="inlineStr">
        <is>
          <t>fies_hungry_hhs</t>
        </is>
      </c>
      <c r="D153" s="172" t="inlineStr">
        <is>
          <t>How often did this happen?
[OPERATOR: SINGLE RESPONSE]
1)Rarely [1-2 times in the past 30 days]
2)Sometimes [3-10 times in the past 30 days]
3)Often [more than 10 times in the last 30 days]
4)DON'T KNOW
5)REFUSED</t>
        </is>
      </c>
      <c r="E153" s="127">
        <f>LEN(D153)</f>
        <v/>
      </c>
      <c r="F153" s="172" t="inlineStr">
        <is>
          <t>Izvi zvakaitika kakawanda sei?
[ARI KUITISA ONGORORO: MHINDURO IMWE CHETE.]
1)Kashoma zvikuru [kamwe chete kana kaviri mumazuva 30 apfuura]
2)Dzimwe nguva [katatu kusvika kukagumi mumazuva 30 apfuura]
3)Nguva zhinji [kanopfuura kagumi mumazuva 30 apfuura]
4)HANDIZIVI
5)ARAMBA</t>
        </is>
      </c>
      <c r="G153" s="127">
        <f>LEN(F153)</f>
        <v/>
      </c>
      <c r="H153" s="172" t="inlineStr">
        <is>
          <t>Kwenzakala kangaki lokhu?
[OQHUBAYO: IMPENDULO EYODWA.]
1)Akuvamanga [kanye kumbe kabili kumalanga angu-30 adlulileyo]
2)Kwezinye izikhathi [kathathu kusiya kutshumi kumalanga angu-30 aldulileyo]
3)Ngezikhathi ezinengi [okwedlula izikhathi ezilitshumi kumalanga angu-30 adlulileyo]
4)KAZI
5)WALILE</t>
        </is>
      </c>
      <c r="I153" s="566">
        <f>LEN(H153)</f>
        <v/>
      </c>
      <c r="J153" s="123" t="inlineStr">
        <is>
          <t>Single Choice</t>
        </is>
      </c>
      <c r="K153" s="566" t="inlineStr">
        <is>
          <t>NA</t>
        </is>
      </c>
      <c r="L153" s="566" t="inlineStr">
        <is>
          <t>NA</t>
        </is>
      </c>
      <c r="M153" s="566" t="inlineStr">
        <is>
          <t>Form Type - Buttons</t>
        </is>
      </c>
      <c r="N153" s="568" t="inlineStr">
        <is>
          <t>1-5 = fies_whlday</t>
        </is>
      </c>
      <c r="O153" s="149" t="n"/>
      <c r="P153" s="149" t="n"/>
      <c r="Q153" s="129" t="inlineStr">
        <is>
          <t>if fies_hungry_hhs = 1-5, go to fies_whlday</t>
        </is>
      </c>
      <c r="R153" s="351" t="n"/>
      <c r="S153" s="159" t="inlineStr">
        <is>
          <t xml:space="preserve">resp_age = 18-100
hh_agricactivity = 1 | 2 | 3 | 4
quotareached = 2
fies_hungry = 1 </t>
        </is>
      </c>
      <c r="T153" s="72" t="n"/>
      <c r="U153" s="45" t="n">
        <v>8.980183601379395</v>
      </c>
      <c r="V153" s="20" t="n">
        <v>1</v>
      </c>
      <c r="W153" s="45">
        <f>U153*V153</f>
        <v/>
      </c>
      <c r="X153" s="3" t="n"/>
      <c r="Z153" s="7" t="inlineStr">
        <is>
          <t>yes</t>
        </is>
      </c>
      <c r="AA153" s="54" t="n"/>
      <c r="AD153" s="6" t="inlineStr">
        <is>
          <t>Change options 1-3</t>
        </is>
      </c>
    </row>
    <row r="154" ht="168.75" customFormat="1" customHeight="1" s="5">
      <c r="A154" s="503">
        <f>A153+1</f>
        <v/>
      </c>
      <c r="B154" s="120" t="inlineStr">
        <is>
          <t>fies_whlday</t>
        </is>
      </c>
      <c r="C154" s="155" t="inlineStr">
        <is>
          <t>fies_whlday</t>
        </is>
      </c>
      <c r="D154" s="161" t="inlineStr">
        <is>
          <t>In the past 30 days, did you or any household member ever go a whole day and night without eating anything at all because there was not enough food?
[OPERATOR: SINGLE RESPONSE]
1)YES
2)NO
3)DON'T KNOW
4)REFUSED</t>
        </is>
      </c>
      <c r="E154" s="127">
        <f>LEN(D154)</f>
        <v/>
      </c>
      <c r="F154" s="156" t="inlineStr">
        <is>
          <t>Mumazuva 30 apfuura, pane here apo iwe kana mumwe wemumhuri menyu aswera zuva rose ndokurara asina kudya chero chinhu nekuti paisava nezvokudya zvakakwana?
[ARI KUITISA ONGORORO: MHINDURO IMWE CHETE.]
1)HONGU 
2)KWETE
3)HANDIZIVI
4)ARAMBA</t>
        </is>
      </c>
      <c r="G154" s="127">
        <f>LEN(F154)</f>
        <v/>
      </c>
      <c r="H154" s="115" t="inlineStr">
        <is>
          <t>Kumalanga angu-30 adluleyo, kungabe wena kumbe elinye ilunga lomuzi wakho latshona ilanga lonke lingadlanga lutho ngoba kungela kudla okwaneleyo?
[OQHUBAYO: IMPENDULO EYODWA.]
1)YEBO
2)HATSHI
3)KAZI
4)WALILE</t>
        </is>
      </c>
      <c r="I154" s="566">
        <f>LEN(H154)</f>
        <v/>
      </c>
      <c r="J154" s="123" t="inlineStr">
        <is>
          <t>Single Choice</t>
        </is>
      </c>
      <c r="K154" s="566" t="inlineStr">
        <is>
          <t>NA</t>
        </is>
      </c>
      <c r="L154" s="566" t="inlineStr">
        <is>
          <t>NA</t>
        </is>
      </c>
      <c r="M154" s="566" t="inlineStr">
        <is>
          <t>Form Type - Buttons</t>
        </is>
      </c>
      <c r="N154" s="335" t="inlineStr">
        <is>
          <t>1 = fies_whlday_hhs
2-4 = lcsi_intro</t>
        </is>
      </c>
      <c r="O154" s="149" t="n"/>
      <c r="P154" s="149" t="n"/>
      <c r="Q154" s="344" t="inlineStr">
        <is>
          <t>if fies_whlday = 1, go to fies_whlday_hhs. Otherwise, go to copingstrategies OR hdds</t>
        </is>
      </c>
      <c r="R154" s="327" t="n"/>
      <c r="S154" s="159" t="inlineStr">
        <is>
          <t>resp_age = 18-100
hh_agricactivity = 1 | 2 | 3 | 4
quotareached = 2</t>
        </is>
      </c>
      <c r="T154" s="72" t="n"/>
      <c r="U154" s="45" t="n">
        <v>11.08932876586914</v>
      </c>
      <c r="V154" s="20" t="n">
        <v>1</v>
      </c>
      <c r="W154" s="45">
        <f>U154*V154</f>
        <v/>
      </c>
      <c r="X154" s="3" t="n"/>
      <c r="Z154" s="7" t="inlineStr">
        <is>
          <t>yes</t>
        </is>
      </c>
      <c r="AA154" s="54" t="n"/>
      <c r="AD154" s="6" t="inlineStr">
        <is>
          <t>Change question text</t>
        </is>
      </c>
    </row>
    <row r="155" ht="169.5" customFormat="1" customHeight="1" s="5" thickBot="1">
      <c r="A155" s="503">
        <f>A154+1</f>
        <v/>
      </c>
      <c r="B155" s="78" t="inlineStr">
        <is>
          <t>fies_whlday_hhs</t>
        </is>
      </c>
      <c r="C155" s="301" t="inlineStr">
        <is>
          <t>fies_whlday_hhs</t>
        </is>
      </c>
      <c r="D155" s="302" t="inlineStr">
        <is>
          <t>How often did this happen?
[OPERATOR: SINGLE RESPONSE]
1)Rarely [1-2 times in the past 30 days]
2)Sometimes [3-10 times in the past 30 days]
3)Often [more than 10 times in the last 30 days]
4)DON'T KNOW
5)REFUSED</t>
        </is>
      </c>
      <c r="E155" s="312">
        <f>LEN(D155)</f>
        <v/>
      </c>
      <c r="F155" s="302" t="inlineStr">
        <is>
          <t>Izvi zvakaitika kakawanda sei?
[ARI KUITISA ONGORORO: MHINDURO IMWE CHETE.]
1)Kashoma zvikuru [kamwe chete kana kaviri mumazuva 30 apfuura]
2)Dzimwe nguva [katatu kusvika kukagumi mumazuva 30 apfuura]
3)Nguva zhinji [kanopfuura kagumi mumazuva 30 apfuura]
4)HANDIZIVI
5)ARAMBA</t>
        </is>
      </c>
      <c r="G155" s="312">
        <f>LEN(F155)</f>
        <v/>
      </c>
      <c r="H155" s="302" t="inlineStr">
        <is>
          <t>Kwenzakala kangaki lokhu?
[OQHUBAYO: IMPENDULO EYODWA.]
1)Akuvamanga [kanye kumbe kabili kumalanga angu-30 adlulileyo]
2)Kwezinye izikhathi [kathathu kusiya kutshumi kumalanga angu-30 aldulileyo]
3)Ngezikhathi ezinengi [okwedlula izikhathi ezilitshumi kumalanga angu-30 adlulileyo]
4)KAZI
5)WALILE</t>
        </is>
      </c>
      <c r="I155" s="81">
        <f>LEN(H155)</f>
        <v/>
      </c>
      <c r="J155" s="82" t="inlineStr">
        <is>
          <t>Single Choice</t>
        </is>
      </c>
      <c r="K155" s="81" t="inlineStr">
        <is>
          <t>NA</t>
        </is>
      </c>
      <c r="L155" s="81" t="inlineStr">
        <is>
          <t>NA</t>
        </is>
      </c>
      <c r="M155" s="81" t="inlineStr">
        <is>
          <t>Form Type - Buttons</t>
        </is>
      </c>
      <c r="N155" s="490" t="inlineStr">
        <is>
          <t>1-5 = lcsi_intro</t>
        </is>
      </c>
      <c r="O155" s="149" t="n"/>
      <c r="P155" s="149" t="n"/>
      <c r="Q155" s="344" t="inlineStr">
        <is>
          <t>if fies_whlday_hhs = 1-5, go to copingstrategies OR hdds</t>
        </is>
      </c>
      <c r="R155" s="327" t="n"/>
      <c r="S155" s="159" t="inlineStr">
        <is>
          <t xml:space="preserve">resp_age = 18-100
hh_agricactivity = 1 | 2 | 3 | 4
quotareached = 2
fies_whlday = 1 </t>
        </is>
      </c>
      <c r="T155" s="72" t="n"/>
      <c r="U155" s="45" t="n">
        <v>8.06833553314209</v>
      </c>
      <c r="V155" s="20" t="n">
        <v>1</v>
      </c>
      <c r="W155" s="45">
        <f>U155*V155</f>
        <v/>
      </c>
      <c r="X155" s="3" t="n"/>
      <c r="Z155" s="7" t="inlineStr">
        <is>
          <t>yes</t>
        </is>
      </c>
      <c r="AA155" s="54" t="n"/>
      <c r="AD155" s="6" t="inlineStr">
        <is>
          <t>Change options 1-3</t>
        </is>
      </c>
    </row>
    <row r="156" ht="243.75" customFormat="1" customHeight="1" s="5">
      <c r="A156" s="503">
        <f>A155+1</f>
        <v/>
      </c>
      <c r="B156" s="348" t="inlineStr">
        <is>
          <t>lcsi_intro</t>
        </is>
      </c>
      <c r="C156" s="362" t="inlineStr">
        <is>
          <t>lcsi_intro</t>
        </is>
      </c>
      <c r="D156" s="491" t="inlineStr">
        <is>
          <t>Now I would like to ask you another set of questions on coping strategies, referring to the past 30 days.
1)NEXT</t>
        </is>
      </c>
      <c r="E156" s="308">
        <f>LEN(D156)</f>
        <v/>
      </c>
      <c r="F156" s="491" t="inlineStr">
        <is>
          <t>Parizvino ndave kuda kukubvunzai chimwe chikamu chemibvnzo chiri maringe nemazano amakashandisa pakurwisana nezvinetso, takanangana nemazuva 30 apfuura.
1)ENDERERA MBERI</t>
        </is>
      </c>
      <c r="G156" s="359">
        <f>LEN(F156)</f>
        <v/>
      </c>
      <c r="H156" s="491" t="inlineStr">
        <is>
          <t>Kathesi ngizathanda ukukubuza imbuzo mayelana lamaqhinga okubhekana lezimo, ngisitsho kumalanga angamatshumi amathathu adluleyo.
1)QHUBEKA</t>
        </is>
      </c>
      <c r="I156" s="70">
        <f>LEN(H156)</f>
        <v/>
      </c>
      <c r="J156" s="143" t="inlineStr">
        <is>
          <t>Single Choice</t>
        </is>
      </c>
      <c r="K156" s="70" t="inlineStr">
        <is>
          <t>NA</t>
        </is>
      </c>
      <c r="L156" s="70" t="inlineStr">
        <is>
          <t>NA</t>
        </is>
      </c>
      <c r="M156" s="70" t="inlineStr">
        <is>
          <t>Form Type - Buttons</t>
        </is>
      </c>
      <c r="N156" s="131" t="inlineStr">
        <is>
          <t>1 = cs_stress_hh_assets</t>
        </is>
      </c>
      <c r="O156" s="140" t="n"/>
      <c r="P156" s="140" t="n"/>
      <c r="Q156" s="404" t="n"/>
      <c r="R156" s="404" t="n"/>
      <c r="S156" s="159" t="inlineStr">
        <is>
          <t>resp_age = 18-100
hh_agricactivity = 1 | 2 | 3 | 4
quotareached = 2</t>
        </is>
      </c>
      <c r="T156" s="196" t="inlineStr">
        <is>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is>
      </c>
      <c r="U156" s="44" t="n">
        <v>5.711253643035889</v>
      </c>
      <c r="V156" s="42" t="n">
        <v>1</v>
      </c>
      <c r="W156" s="44">
        <f>U156*V156</f>
        <v/>
      </c>
      <c r="X156" s="3" t="n"/>
      <c r="Z156" s="7" t="inlineStr">
        <is>
          <t>no</t>
        </is>
      </c>
      <c r="AA156" s="54" t="n"/>
      <c r="AD156" s="6" t="n"/>
    </row>
    <row r="157" ht="243.75" customFormat="1" customHeight="1" s="5">
      <c r="A157" s="503">
        <f>A156+1</f>
        <v/>
      </c>
      <c r="B157" s="201" t="inlineStr">
        <is>
          <t>cs_stress_hh_assets</t>
        </is>
      </c>
      <c r="C157" s="165" t="inlineStr">
        <is>
          <t xml:space="preserve"> cs_stress_hh_assets</t>
        </is>
      </c>
      <c r="D157" s="159"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57" s="127">
        <f>LEN(D157)</f>
        <v/>
      </c>
      <c r="F157" s="159" t="inlineStr">
        <is>
          <t>Mumazuva 30 apfuura, mumwe munhu ari mumhuri yenyu aitofanira here kutengesa mudziyo kana zvinhu zvemumba [redhiyo, fenicha, terevhizheni, zvishongo, nezvakada kudaro] nekuda kwekushaya zvekudya kana mari?
[ARI KUITISA ONGORORO: MHINDURO IMWE CHETE.]
1)Hongu
2)Kwete - nekuti paisava nechikonzero chekuti tidaro
3)Kwete - nekuti midziyo iyi yakatotengeswa nechekare kana kuti vakatoita izvi mumwedzi 12 yapfuura uye haungarambe uchizviita
4)Hazvishandi
5)HANDIZIVI
6)ARAMBA</t>
        </is>
      </c>
      <c r="G157" s="286">
        <f>LEN(F157)</f>
        <v/>
      </c>
      <c r="H157" s="159" t="inlineStr">
        <is>
          <t>Kumalanga angu-30 adlulileyo, kungabe omunye wendlini yakho wathengisa impahla zendlini [isigxingimazwi, umabonakude, ubucwebe, okunye] ngoba kungela kudla kumbe imali?
[OQHUBAYO: IMPENDULO EYODWA.]
1)Yebo
2)Hatshi - ngoba kwakungadingakali
3)Hatshi - ngoba wawusuvele suzithengisile impahla lezo kumbe wenza lokhu ngenyanga ezilitshumi lambili njalo kawusenelisi ukuqhubeka ukwenza
4)Akungeni
5)KAZI
6)WALILE</t>
        </is>
      </c>
      <c r="I157" s="163">
        <f>LEN(H157)</f>
        <v/>
      </c>
      <c r="J157" s="193" t="inlineStr">
        <is>
          <t>Single Choice</t>
        </is>
      </c>
      <c r="K157" s="163" t="inlineStr">
        <is>
          <t>NA</t>
        </is>
      </c>
      <c r="L157" s="163" t="inlineStr">
        <is>
          <t>NA</t>
        </is>
      </c>
      <c r="M157" s="163" t="inlineStr">
        <is>
          <t>Form Type - Buttons</t>
        </is>
      </c>
      <c r="N157" s="159" t="inlineStr">
        <is>
          <t>1-6 = cs_stress_sold_more_animals</t>
        </is>
      </c>
      <c r="O157" s="140" t="n"/>
      <c r="P157" s="140" t="n"/>
      <c r="Q157" s="351" t="n"/>
      <c r="R157" s="351" t="n"/>
      <c r="S157" s="159" t="inlineStr">
        <is>
          <t>resp_age = 18-100
hh_agricactivity = 1 | 2 | 3 | 4
quotareached = 2</t>
        </is>
      </c>
      <c r="T157" s="72" t="n"/>
      <c r="U157" s="44" t="n">
        <v>19.85153007507324</v>
      </c>
      <c r="V157" s="42" t="n">
        <v>1</v>
      </c>
      <c r="W157" s="44">
        <f>U157*V157</f>
        <v/>
      </c>
      <c r="X157" s="3" t="n"/>
      <c r="Z157" s="7" t="inlineStr">
        <is>
          <t>no</t>
        </is>
      </c>
      <c r="AA157" s="54" t="n"/>
      <c r="AD157" s="6" t="n"/>
    </row>
    <row r="158" ht="243.75" customFormat="1" customHeight="1" s="5">
      <c r="A158" s="503">
        <f>A157+1</f>
        <v/>
      </c>
      <c r="B158" s="201" t="inlineStr">
        <is>
          <t>cs_stress_sold_more_animals</t>
        </is>
      </c>
      <c r="C158" s="165" t="inlineStr">
        <is>
          <t>cs_stress_sold_more_animals</t>
        </is>
      </c>
      <c r="D158" s="159" t="inlineStr">
        <is>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is>
      </c>
      <c r="E158" s="127">
        <f>LEN(D158)</f>
        <v/>
      </c>
      <c r="F158" s="159" t="inlineStr">
        <is>
          <t>Mumazuva 30 apfuura, mumwe munhu ari mumhuri yenyu aitofanira kutengesa here zvipfuyo zvakawanda [zvisina basa] kupfuura zvinosiitwa nekuda kwekushaya zvekudya kana mari?
[ARI KUITISA ONGORORO: MHINDURO IMWE CHETE.]
1)Hongu
2)Kwete - nekuti paisava nechikonzero chekuti tidaro
3)Kwete - nekuti midziyo iyi yakatotengeswa nechekare kana kuti vakatoita izvi mumwedzi 12 yapfuura uye haungarambe uchizviita
4)Hazvishandi
5)HANDIZIVI
6)ARAMBA</t>
        </is>
      </c>
      <c r="G158" s="286">
        <f>LEN(F158)</f>
        <v/>
      </c>
      <c r="H158" s="159" t="inlineStr">
        <is>
          <t>Kumalanga angu-30 adlulileyo, kungabe kulomuntu endlini yakho owathengisa izifuyo ezinengi [ezingatholisi lutho] okwedlula injwayelo ngenxa yokuswela ukudla kumbe imali?
[OQHUBAYO: IMPENDULO EYODWA.]
1)Yebo
2)Hatshi - ngoba kwakungadingakali
3)Hatshi - ngoba wawusuvele suzithengisile impahla lezo kumbe wenza lokhu ngenyanga ezilitshumi lambili njalo kawusenelisi ukuqhubeka ukwenza
4)Akungeni
5)KAZI
6)WALILE</t>
        </is>
      </c>
      <c r="I158" s="163">
        <f>LEN(H158)</f>
        <v/>
      </c>
      <c r="J158" s="193" t="inlineStr">
        <is>
          <t>Single Choice</t>
        </is>
      </c>
      <c r="K158" s="163" t="inlineStr">
        <is>
          <t>NA</t>
        </is>
      </c>
      <c r="L158" s="323" t="inlineStr">
        <is>
          <t>Send if "hh_agricactivity" "Equals" "Yes - livestock production" Or "hh_agricactivity" "Equals" "Yes - both crop and livestock production" if not satisfied go to "cs_stress_credit"</t>
        </is>
      </c>
      <c r="M158" s="163" t="inlineStr">
        <is>
          <t>Form Type - Buttons</t>
        </is>
      </c>
      <c r="N158" s="159" t="inlineStr">
        <is>
          <t>1-6 = cs_stress_credit</t>
        </is>
      </c>
      <c r="O158" s="140" t="n"/>
      <c r="P158" s="140" t="n"/>
      <c r="Q158" s="351" t="n"/>
      <c r="R158" s="351" t="n"/>
      <c r="S158" s="159" t="inlineStr">
        <is>
          <t>resp_age = 18-100
hh_agricactivity = 1 | 2 | 3 | 4
quotareached = 2</t>
        </is>
      </c>
      <c r="T158" s="72" t="n"/>
      <c r="U158" s="44" t="n">
        <v>13.39993858337402</v>
      </c>
      <c r="V158" s="42" t="n">
        <v>1</v>
      </c>
      <c r="W158" s="44">
        <f>U158*V158</f>
        <v/>
      </c>
      <c r="X158" s="3" t="n"/>
      <c r="Z158" s="7" t="inlineStr">
        <is>
          <t>no</t>
        </is>
      </c>
      <c r="AA158" s="54" t="n"/>
      <c r="AD158" s="6" t="n"/>
    </row>
    <row r="159" ht="225" customFormat="1" customHeight="1" s="5">
      <c r="A159" s="503">
        <f>A158+1</f>
        <v/>
      </c>
      <c r="B159" s="201" t="inlineStr">
        <is>
          <t>cs_stress_credit</t>
        </is>
      </c>
      <c r="C159" s="165" t="inlineStr">
        <is>
          <t>cs_stress_credit</t>
        </is>
      </c>
      <c r="D159" s="159"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59" s="127">
        <f>LEN(D159)</f>
        <v/>
      </c>
      <c r="F159" s="159" t="inlineStr">
        <is>
          <t>Mumazuva 30 apfuura, mumwe munhu ari mumhuri yenyu aitofanira kutenga here zvekudya nechikwerete kana kukwereta zvekudya nekuda kwekushaya zvekudya kana mari?
[ARI KUITISA ONGORORO: MHINDURO IMWE CHETE.]
1)Hongu
2)Kwete - nekuti paisava nechikonzero chekuti tidaro
3)Kwete - nekuti midziyo iyi yakatotengeswa nechekare kana kuti vakatoita izvi mumwedzi 12 yapfuura uye haungarambe uchizviita
4)Hazvishandi
5)HANDIZIVI
6)ARAMBA</t>
        </is>
      </c>
      <c r="G159" s="286">
        <f>LEN(F159)</f>
        <v/>
      </c>
      <c r="H159" s="159" t="inlineStr">
        <is>
          <t>Kumalanga angu-30 adlulileyo, kungabe kulomuntu endlini yakho owathenga ukudla ngesikwelede kumbe waboleka ukudla ngenxa yokuswela ukudla kumbe imali?
[OQHUBAYO: IMPENDULO EYODWA.]
1)Yebo
2)Hatshi - ngoba kwakungadingakali
3)Hatshi - ngoba wawusuvele suzithengisile impahla lezo kumbe wenza lokhu ngenyanga ezilitshumi lambili njalo kawusenelisi ukuqhubeka ukwenza
4)Akungeni
5)KAZI
6)WALILE</t>
        </is>
      </c>
      <c r="I159" s="163">
        <f>LEN(H159)</f>
        <v/>
      </c>
      <c r="J159" s="193" t="inlineStr">
        <is>
          <t>Single Choice</t>
        </is>
      </c>
      <c r="K159" s="163" t="inlineStr">
        <is>
          <t>NA</t>
        </is>
      </c>
      <c r="L159" s="163" t="inlineStr">
        <is>
          <t>NA</t>
        </is>
      </c>
      <c r="M159" s="163" t="inlineStr">
        <is>
          <t>Form Type - Buttons</t>
        </is>
      </c>
      <c r="N159" s="159" t="inlineStr">
        <is>
          <t>1-6 = cs_stress_borrowed_money</t>
        </is>
      </c>
      <c r="O159" s="140" t="n"/>
      <c r="P159" s="140" t="n"/>
      <c r="Q159" s="351" t="n"/>
      <c r="R159" s="351" t="n"/>
      <c r="S159" s="159" t="inlineStr">
        <is>
          <t>resp_age = 18-100
hh_agricactivity = 1 | 2 | 3 | 4
quotareached = 2</t>
        </is>
      </c>
      <c r="T159" s="72" t="n"/>
      <c r="U159" s="44" t="n">
        <v>12.4080867767334</v>
      </c>
      <c r="V159" s="42" t="n">
        <v>1</v>
      </c>
      <c r="W159" s="44">
        <f>U159*V159</f>
        <v/>
      </c>
      <c r="X159" s="3" t="n"/>
      <c r="Z159" s="7" t="inlineStr">
        <is>
          <t>no</t>
        </is>
      </c>
      <c r="AA159" s="54" t="n"/>
      <c r="AD159" s="6" t="n"/>
    </row>
    <row r="160" ht="225" customFormat="1" customHeight="1" s="5">
      <c r="A160" s="503">
        <f>A159+1</f>
        <v/>
      </c>
      <c r="B160" s="201" t="inlineStr">
        <is>
          <t>cs_stress_borrowed_money</t>
        </is>
      </c>
      <c r="C160" s="165" t="inlineStr">
        <is>
          <t>cs_stress_borrowed_money</t>
        </is>
      </c>
      <c r="D160" s="159"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is>
      </c>
      <c r="E160" s="127">
        <f>LEN(D160)</f>
        <v/>
      </c>
      <c r="F160" s="159" t="inlineStr">
        <is>
          <t>Mumazuva 30 apfuura, mumwe munhu ari mumhuri yenyu aitofanira here kukwereta mari nekuda kwekushaya zvekudya kana mari?
[ARI KUITISA ONGORORO: MHINDURO IMWE CHETE.]
1)Hongu
2)Kwete - nekuti paisava nechikonzero chekuti tidaro
3)Kwete - nekuti midziyo iyi yakatotengeswa nechekare kana kuti vakatoita izvi mumwedzi 12 yapfuura uye haungarambe uchizviita
4)Hazvishandi
5)HANDIZIVI
6)ARAMBA</t>
        </is>
      </c>
      <c r="G160" s="286">
        <f>LEN(F160)</f>
        <v/>
      </c>
      <c r="H160" s="159" t="inlineStr">
        <is>
          <t>Kumalanga angu-30 adlulileyo, kungabe kulomuntu wendlini yakho okwakumele aboleke imali ngenxa yokuswela ukudla kumbe imali?
[OQHUBAYO: IMPENDULO EYODWA.]
1)Yebo
2)Hatshi - ngoba kwakungadingakali
3)Hatshi - ngoba wawusuvele suzithengisile impahla lezo kumbe wenza lokhu ngenyanga ezilitshumi lambili njalo kawusenelisi ukuqhubeka ukwenza
4)Akungeni
5)KAZI
6)WALILE</t>
        </is>
      </c>
      <c r="I160" s="163">
        <f>LEN(H160)</f>
        <v/>
      </c>
      <c r="J160" s="193" t="inlineStr">
        <is>
          <t>Single Choice</t>
        </is>
      </c>
      <c r="K160" s="163" t="inlineStr">
        <is>
          <t>NA</t>
        </is>
      </c>
      <c r="L160" s="163" t="inlineStr">
        <is>
          <t>NA</t>
        </is>
      </c>
      <c r="M160" s="163" t="inlineStr">
        <is>
          <t>Form Type - Buttons</t>
        </is>
      </c>
      <c r="N160" s="159" t="inlineStr">
        <is>
          <t>1-6 = cs_crisis_sold_prod_assets</t>
        </is>
      </c>
      <c r="O160" s="140" t="n"/>
      <c r="P160" s="140" t="n"/>
      <c r="Q160" s="351" t="n"/>
      <c r="R160" s="351" t="n"/>
      <c r="S160" s="159" t="inlineStr">
        <is>
          <t>resp_age = 18-100
hh_agricactivity = 1 | 2 | 3 | 4
quotareached = 2</t>
        </is>
      </c>
      <c r="T160" s="72" t="n"/>
      <c r="U160" s="44" t="n">
        <v>9.289467811584473</v>
      </c>
      <c r="V160" s="42" t="n">
        <v>1</v>
      </c>
      <c r="W160" s="44">
        <f>U160*V160</f>
        <v/>
      </c>
      <c r="X160" s="3" t="n"/>
      <c r="Z160" s="7" t="inlineStr">
        <is>
          <t>no</t>
        </is>
      </c>
      <c r="AA160" s="54" t="n"/>
      <c r="AD160" s="6" t="n"/>
    </row>
    <row r="161" ht="243.75" customFormat="1" customHeight="1" s="5">
      <c r="A161" s="503">
        <f>A160+1</f>
        <v/>
      </c>
      <c r="B161" s="201" t="inlineStr">
        <is>
          <t>cs_crisis_sold_prod_assets</t>
        </is>
      </c>
      <c r="C161" s="165" t="inlineStr">
        <is>
          <t>cs_crisis_sold_prod_assets</t>
        </is>
      </c>
      <c r="D161" s="159" t="inlineStr">
        <is>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is>
      </c>
      <c r="E161" s="127">
        <f>LEN(D161)</f>
        <v/>
      </c>
      <c r="F161" s="159" t="inlineStr">
        <is>
          <t>Mumazuva 30 apfuura, mumwe munhu ari mumhuri yenyu aitofanira here kutengesa midziyo yebasa kana chekufambisa [michina yekusonesa, bhara, bhasikoro, mota, nezvakada kudaro] nekuda kwekushaya zvekudya kana mari?
[ARI KUITISA ONGORORO: MHINDURO IMWE CHETE.]
1)Hongu
2)Kwete - nekuti paisava nechikonzero chekuti tidaro
3)Kwete - nekuti midziyo iyi yakatotengeswa nechekare kana kuti vakatoita izvi mumwedzi 12 yapfuura uye haungarambe uchizviita
4)Hazvishandi
5)HANDIZIVI
6)ARAMBA</t>
        </is>
      </c>
      <c r="G161" s="286">
        <f>LEN(F161)</f>
        <v/>
      </c>
      <c r="H161" s="159" t="inlineStr">
        <is>
          <t>Kumalanga angu-30 adlulileyo, kungabe kulomuntu endlini yakho owathengisa impahla ezincedayo kumbe okokuhambisa [umtshina wokuthunga, ibhala, ibhayisikili, imota, okunye] ngenxa yokuswela ukudla kumbe imali?
[OQHUBAYO: IMPENDULO EYODWA.]
1)Yebo
2)Hatshi - ngoba kwakungadingakali
3)Hatshi - ngoba wawusuvele suzithengisile impahla lezo kumbe wenza lokhu ngenyanga ezilitshumi lambili njalo kawusenelisi ukuqhubeka ukwenza
4)Akungeni
5)KAZI
6)WALILE</t>
        </is>
      </c>
      <c r="I161" s="163">
        <f>LEN(H161)</f>
        <v/>
      </c>
      <c r="J161" s="193" t="inlineStr">
        <is>
          <t>Single Choice</t>
        </is>
      </c>
      <c r="K161" s="163" t="inlineStr">
        <is>
          <t>NA</t>
        </is>
      </c>
      <c r="L161" s="163" t="inlineStr">
        <is>
          <t>NA</t>
        </is>
      </c>
      <c r="M161" s="163" t="inlineStr">
        <is>
          <t>Form Type - Buttons</t>
        </is>
      </c>
      <c r="N161" s="159" t="inlineStr">
        <is>
          <t>1-6 = cs_crisis_no_school</t>
        </is>
      </c>
      <c r="O161" s="140" t="n"/>
      <c r="P161" s="140" t="n"/>
      <c r="Q161" s="351" t="n"/>
      <c r="R161" s="351" t="n"/>
      <c r="S161" s="159" t="inlineStr">
        <is>
          <t>resp_age = 18-100
hh_agricactivity = 1 | 2 | 3 | 4
quotareached = 2</t>
        </is>
      </c>
      <c r="T161" s="72" t="n"/>
      <c r="U161" s="44" t="n">
        <v>14.41095890410959</v>
      </c>
      <c r="V161" s="42" t="n">
        <v>1</v>
      </c>
      <c r="W161" s="44">
        <f>U161*V161</f>
        <v/>
      </c>
      <c r="X161" s="3" t="n"/>
      <c r="Z161" s="7" t="inlineStr">
        <is>
          <t>no</t>
        </is>
      </c>
      <c r="AA161" s="54" t="n"/>
      <c r="AD161" s="6" t="n"/>
    </row>
    <row r="162" ht="225" customFormat="1" customHeight="1" s="5">
      <c r="A162" s="503">
        <f>A161+1</f>
        <v/>
      </c>
      <c r="B162" s="201" t="inlineStr">
        <is>
          <t>cs_crisis_no_school</t>
        </is>
      </c>
      <c r="C162" s="165" t="inlineStr">
        <is>
          <t>cs_crisis_no_school</t>
        </is>
      </c>
      <c r="D162" s="159" t="inlineStr">
        <is>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is>
      </c>
      <c r="E162" s="127">
        <f>LEN(D162)</f>
        <v/>
      </c>
      <c r="F162" s="159" t="inlineStr">
        <is>
          <t>Mumazuva 30 apfuura, mumwe munhu ari mumhuri yenyu aitofanira here kumbomisa vana kuti vasaende kuchikoro nekuda kwekushaya zvekudya kana mari?
[ARI KUITISA ONGORORO: MHINDURO IMWE CHETE.]
1)Hongu
2)Kwete - nekuti paisava nechikonzero chekuti tidaro
3)Kwete - nekuti midziyo iyi yakatotengeswa nechekare kana kuti vakatoita izvi mumwedzi 12 yapfuura uye haungarambe uchizviita
4)Hazvishandi
5)HANDIZIVI
6)ARAMBA</t>
        </is>
      </c>
      <c r="G162" s="286">
        <f>LEN(F162)</f>
        <v/>
      </c>
      <c r="H162" s="159" t="inlineStr">
        <is>
          <t>Kumalanga angu-30 adlulileyo, kungabe omunye endlini yakho wakhipha abantwana esikolo ngenxa yokuswela ukudla kumbe imali?
[OQHUBAYO: IMPENDULO EYODWA.]
1)Yebo
2)Hatshi - ngoba kwakungadingakali
3)Hatshi - ngoba wawusuvele suzithengisile impahla lezo kumbe wenza lokhu ngenyanga ezilitshumi lambili njalo kawusenelisi ukuqhubeka ukwenza
4)Akungeni
5)KAZI
6)WALILE</t>
        </is>
      </c>
      <c r="I162" s="163">
        <f>LEN(H162)</f>
        <v/>
      </c>
      <c r="J162" s="193" t="inlineStr">
        <is>
          <t>Single Choice</t>
        </is>
      </c>
      <c r="K162" s="163" t="inlineStr">
        <is>
          <t>NA</t>
        </is>
      </c>
      <c r="L162" s="163" t="inlineStr">
        <is>
          <t>NA</t>
        </is>
      </c>
      <c r="M162" s="163" t="inlineStr">
        <is>
          <t>Form Type - Buttons</t>
        </is>
      </c>
      <c r="N162" s="159" t="inlineStr">
        <is>
          <t>1-6 = cs_crisis_harv_immature_crops</t>
        </is>
      </c>
      <c r="O162" s="140" t="n"/>
      <c r="P162" s="140" t="n"/>
      <c r="Q162" s="351" t="n"/>
      <c r="R162" s="351" t="n"/>
      <c r="S162" s="159" t="inlineStr">
        <is>
          <t>resp_age = 18-100
hh_agricactivity = 1 | 2 | 3 | 4
quotareached = 2</t>
        </is>
      </c>
      <c r="T162" s="72" t="n"/>
      <c r="U162" s="44" t="n">
        <v>15.40838527679443</v>
      </c>
      <c r="V162" s="42" t="n">
        <v>1</v>
      </c>
      <c r="W162" s="44">
        <f>U162*V162</f>
        <v/>
      </c>
      <c r="X162" s="3" t="n"/>
      <c r="Z162" s="7" t="inlineStr">
        <is>
          <t>no</t>
        </is>
      </c>
      <c r="AA162" s="54" t="n"/>
      <c r="AD162" s="6" t="n"/>
    </row>
    <row r="163" ht="243.75" customFormat="1" customHeight="1" s="5">
      <c r="A163" s="503">
        <f>A162+1</f>
        <v/>
      </c>
      <c r="B163" s="201" t="inlineStr">
        <is>
          <t>cs_crisis_harv_immature_crops</t>
        </is>
      </c>
      <c r="C163" s="165" t="inlineStr">
        <is>
          <t>cs_crisis_harv_immature_crops</t>
        </is>
      </c>
      <c r="D163" s="159" t="inlineStr">
        <is>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is>
      </c>
      <c r="E163" s="127">
        <f>LEN(D163)</f>
        <v/>
      </c>
      <c r="F163" s="159" t="inlineStr">
        <is>
          <t>Mumazuva 30 apfuura, mumwe munhu ari mumhuri yenyu aitofanira here kukohwa zvirimwa zvisati zvaibva [zvakadai sechibage chinyoro] kuti adye nekuda kwekushaya zvekudya kana mari?
[ARI KUITISA ONGORORO: MHINDURO IMWE CHETE.]
1)Hongu
2)Kwete - nekuti paisava nechikonzero chekuti tidaro
3)Kwete - nekuti midziyo iyi yakatotengeswa nechekare kana kuti vakatoita izvi mumwedzi 12 yapfuura uye haungarambe uchizviita
4)Hazvishandi
5)HANDIZIVI
6)ARAMBA</t>
        </is>
      </c>
      <c r="G163" s="286">
        <f>LEN(F163)</f>
        <v/>
      </c>
      <c r="H163" s="159" t="inlineStr">
        <is>
          <t>Kumalanga angu-30 adlulileyo, kungabe omunye wendlini yakho kwakumele avune izilimo ezingakavuthwa (isibonelo umumbu oluhlaza)wokudla ngenxa yokuswela ukudla kumbe imali?
[OQHUBAYO: IMPENDULO EYODWA.]
1)Yebo
2)Hatshi - ngoba kwakungadingakali
3)Hatshi - ngoba wawusuvele suzithengisile impahla lezo kumbe wenza lokhu ngenyanga ezilitshumi lambili njalo kawusenelisi ukuqhubeka ukwenza
4)Akungeni
5)KAZI
6)WALILE</t>
        </is>
      </c>
      <c r="I163" s="163">
        <f>LEN(H163)</f>
        <v/>
      </c>
      <c r="J163" s="193" t="inlineStr">
        <is>
          <t>Single Choice</t>
        </is>
      </c>
      <c r="K163" s="163" t="inlineStr">
        <is>
          <t>NA</t>
        </is>
      </c>
      <c r="L163" s="323" t="inlineStr">
        <is>
          <t>Send if "hh_agricactivity" "Equals" "Yes - crop production " Or "hh_agricactivity" "Equals" "Yes - both crop and livestock production" if not satisfied go to "cs_emergency_begged"</t>
        </is>
      </c>
      <c r="M163" s="163" t="inlineStr">
        <is>
          <t>Form Type - Buttons</t>
        </is>
      </c>
      <c r="N163" s="159" t="inlineStr">
        <is>
          <t>1-6 = cs_emergency_begged</t>
        </is>
      </c>
      <c r="O163" s="140" t="n"/>
      <c r="P163" s="140" t="n"/>
      <c r="Q163" s="404" t="n"/>
      <c r="R163" s="404" t="n"/>
      <c r="S163" s="159" t="inlineStr">
        <is>
          <t>resp_age = 18-100
hh_agricactivity = 1 | 2 | 3 | 4
quotareached = 2</t>
        </is>
      </c>
      <c r="T163" s="72" t="n"/>
      <c r="U163" s="44" t="n">
        <v>12</v>
      </c>
      <c r="V163" s="42" t="n">
        <v>1</v>
      </c>
      <c r="W163" s="44">
        <f>U163*V163</f>
        <v/>
      </c>
      <c r="X163" s="3" t="n"/>
      <c r="Z163" s="7" t="inlineStr">
        <is>
          <t>no</t>
        </is>
      </c>
      <c r="AA163" s="54" t="n"/>
      <c r="AD163" s="6" t="n"/>
    </row>
    <row r="164" ht="225" customFormat="1" customHeight="1" s="5">
      <c r="A164" s="503">
        <f>A163+1</f>
        <v/>
      </c>
      <c r="B164" s="201" t="inlineStr">
        <is>
          <t>cs_emergency_begged</t>
        </is>
      </c>
      <c r="C164" s="165" t="inlineStr">
        <is>
          <t>cs_emergency_begged</t>
        </is>
      </c>
      <c r="D164" s="159"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64" s="127">
        <f>LEN(D164)</f>
        <v/>
      </c>
      <c r="F164" s="159" t="inlineStr">
        <is>
          <t>Mumazuva 30 apfuura, mumwe munhu ari mumhuri yenyu aitofanira here kupemha nekuda kwekushaya zvekudya kana mari?
[ARI KUITISA ONGORORO: MHINDURO IMWE CHETE.]
1)Hongu
2)Kwete - nekuti paisava nechikonzero chekuti tidaro
3)Kwete - nekuti midziyo iyi yakatotengeswa nechekare kana kuti vakatoita izvi mumwedzi 12 yapfuura uye haungarambe uchizviita
4)Hazvishandi
5)HANDIZIVI
6)ARAMBA</t>
        </is>
      </c>
      <c r="G164" s="286">
        <f>LEN(F164)</f>
        <v/>
      </c>
      <c r="H164" s="159" t="inlineStr">
        <is>
          <t>Kumalanga angu-30 adlulileyo, kungabe kulomuntu endlini yakho owacina secela ngenxa yokuswela ukudla kumbe imali?
[OQHUBAYO: IMPENDULO EYODWA.]
1)Yebo
2)Hatshi - ngoba kwakungadingakali
3)Hatshi - ngoba wawusuvele suzithengisile impahla lezo kumbe wenza lokhu ngenyanga ezilitshumi lambili njalo kawusenelisi ukuqhubeka ukwenza
4)Akungeni
5)KAZI
6)WALILE</t>
        </is>
      </c>
      <c r="I164" s="163">
        <f>LEN(H164)</f>
        <v/>
      </c>
      <c r="J164" s="193" t="inlineStr">
        <is>
          <t>Single Choice</t>
        </is>
      </c>
      <c r="K164" s="163" t="inlineStr">
        <is>
          <t>NA</t>
        </is>
      </c>
      <c r="L164" s="163" t="inlineStr">
        <is>
          <t>NA</t>
        </is>
      </c>
      <c r="M164" s="163" t="inlineStr">
        <is>
          <t>Form Type - Buttons</t>
        </is>
      </c>
      <c r="N164" s="159" t="inlineStr">
        <is>
          <t>1-6 = cs_emergency_illegal</t>
        </is>
      </c>
      <c r="O164" s="140" t="n"/>
      <c r="P164" s="140" t="n"/>
      <c r="Q164" s="404" t="n"/>
      <c r="R164" s="404" t="n"/>
      <c r="S164" s="159" t="inlineStr">
        <is>
          <t>resp_age = 18-100
hh_agricactivity = 1 | 2 | 3 | 4
quotareached = 2</t>
        </is>
      </c>
      <c r="T164" s="72" t="n"/>
      <c r="U164" s="44" t="n">
        <v>9.716710090637207</v>
      </c>
      <c r="V164" s="42" t="n">
        <v>1</v>
      </c>
      <c r="W164" s="44">
        <f>U164*V164</f>
        <v/>
      </c>
      <c r="X164" s="3" t="n"/>
      <c r="Z164" s="7" t="inlineStr">
        <is>
          <t>no</t>
        </is>
      </c>
      <c r="AA164" s="54" t="n"/>
      <c r="AD164" s="6" t="n"/>
    </row>
    <row r="165" ht="243.75" customFormat="1" customHeight="1" s="5">
      <c r="A165" s="503">
        <f>A164+1</f>
        <v/>
      </c>
      <c r="B165" s="201" t="inlineStr">
        <is>
          <t>cs_emergency_illegal</t>
        </is>
      </c>
      <c r="C165" s="165" t="inlineStr">
        <is>
          <t>cs_emergency_illegal</t>
        </is>
      </c>
      <c r="D165" s="159" t="inlineStr">
        <is>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is>
      </c>
      <c r="E165" s="127">
        <f>LEN(D165)</f>
        <v/>
      </c>
      <c r="F165" s="159" t="inlineStr">
        <is>
          <t>Mumazuva 30 apfuura, mumwe munhu ari mumhuri yenyu aitofanira here kuita mabasa isiri pamutemo kana anozvidzisa [kuba, hupfambi] nekuda kwekushaya zvekudya kana mari?
[ARI KUITISA ONGORORO: MHINDURO IMWE CHETE.]
1)Hongu
2)Kwete - nekuti paisava nechikonzero chekuti tidaro
3)Kwete - nekuti midziyo iyi yakatotengeswa nechekare kana kuti vakatoita izvi mumwedzi 12 yapfuura uye haungarambe uchizviita
4)Hazvishandi
5)HANDIZIVI
6)ARAMBA</t>
        </is>
      </c>
      <c r="G165" s="286">
        <f>LEN(F165)</f>
        <v/>
      </c>
      <c r="H165" s="159" t="inlineStr">
        <is>
          <t>Kumalanga angu-30 adlulileyo, kungabe kulomuntu endlini yakho owacina seqhuba imisebenzi engekho emthethweni kumbe imisebenzi yokuthola imali eyehlisa isithunzi [ukutshontsha, ukuthengisa umzimba] ngenxa yokuswela ukudla kumbe imali?
[OQHUBAYO: IMPENDULO EYODWA.]
1)Yebo
2)Hatshi - ngoba kwakungadingakali
3)Hatshi - ngoba wawusuvele suzithengisile impahla lezo kumbe wenza lokhu ngenyanga ezilitshumi lambili njalo kawusenelisi ukuqhubeka ukwenza
4)Akungeni
5)KAZI
6)WALILE</t>
        </is>
      </c>
      <c r="I165" s="163">
        <f>LEN(H165)</f>
        <v/>
      </c>
      <c r="J165" s="193" t="inlineStr">
        <is>
          <t>Single Choice</t>
        </is>
      </c>
      <c r="K165" s="163" t="inlineStr">
        <is>
          <t>NA</t>
        </is>
      </c>
      <c r="L165" s="163" t="inlineStr">
        <is>
          <t>NA</t>
        </is>
      </c>
      <c r="M165" s="163" t="inlineStr">
        <is>
          <t>Form Type - Buttons</t>
        </is>
      </c>
      <c r="N165" s="159" t="inlineStr">
        <is>
          <t>1-6 = cs_emergency_sold_last_female</t>
        </is>
      </c>
      <c r="O165" s="140" t="n"/>
      <c r="P165" s="140" t="n"/>
      <c r="Q165" s="404" t="n"/>
      <c r="R165" s="404" t="n"/>
      <c r="S165" s="159" t="inlineStr">
        <is>
          <t>resp_age = 18-100
hh_agricactivity = 1 | 2 | 3 | 4
quotareached = 2</t>
        </is>
      </c>
      <c r="T165" s="72" t="n"/>
      <c r="U165" s="44" t="n">
        <v>10.95336532592773</v>
      </c>
      <c r="V165" s="42" t="n">
        <v>1</v>
      </c>
      <c r="W165" s="44">
        <f>U165*V165</f>
        <v/>
      </c>
      <c r="X165" s="3" t="n"/>
      <c r="Z165" s="7" t="inlineStr">
        <is>
          <t>no</t>
        </is>
      </c>
      <c r="AA165" s="54" t="n"/>
      <c r="AD165" s="6" t="n"/>
    </row>
    <row r="166" ht="225.75" customFormat="1" customHeight="1" s="5" thickBot="1">
      <c r="A166" s="503">
        <f>A165+1</f>
        <v/>
      </c>
      <c r="B166" s="303" t="inlineStr">
        <is>
          <t>cs_emergency_sold_last_female</t>
        </is>
      </c>
      <c r="C166" s="304" t="inlineStr">
        <is>
          <t>cs_emergency_sold_last_female</t>
        </is>
      </c>
      <c r="D166" s="281" t="inlineStr">
        <is>
          <t>Over the past 30 days, did anyone in your household have to sell last female animals because of lack of food or money?
[OPERATOR: SINGLE RESPONSE]
1)Yes
2)No - because it wasn’t necessary
3)No - because you already sold those assets or did this activity within the last 12 months and you cannot continue to do it
4)Not applicable
5)DON'T KNOW 
6)REFUSED</t>
        </is>
      </c>
      <c r="E166" s="312">
        <f>LEN(D166)</f>
        <v/>
      </c>
      <c r="F166" s="281" t="inlineStr">
        <is>
          <t>Mumazuva 30 apfuura, mumwe munhu ari mumhuri yenyu aitofanira here kutengesa zvipfuyo zvikadzi zvekupedzisira nekuda kwekushaya zvekudya kana mari?
[ARI KUITISA ONGORORO: MHINDURO IMWE CHETE.]
1)Hongu
2)Kwete - nekuti paisava nechikonzero chekuti tidaro
3)Kwete - nekuti midziyo iyi yakatotengeswa nechekare kana kuti vakatoita izvi mumwedzi 12 yapfuura uye haungarambe uchizviita
4)Hazvishandi
5)HANDIZIVI
6)ARAMBA</t>
        </is>
      </c>
      <c r="G166" s="282">
        <f>LEN(F166)</f>
        <v/>
      </c>
      <c r="H166" s="281" t="inlineStr">
        <is>
          <t>Kumalanga angu-30 adlulileyo, kungabe kulomuntu endlini yakho owacina sethengisa isifuyo sesifazane sokucina ngenxa yokuswela ukudla kumbe imali?
[OQHUBAYO: IMPENDULO EYODWA.]
1)Yebo
2)Hatshi - ngoba kwakungadingakali
3)Hatshi - ngoba wawusuvele suzithengisile impahla lezo kumbe wenza lokhu ngenyanga ezilitshumi lambili njalo kawusenelisi ukuqhubeka ukwenza
4)Akungeni
5)KAZI
6)WALILE</t>
        </is>
      </c>
      <c r="I166" s="283">
        <f>LEN(H166)</f>
        <v/>
      </c>
      <c r="J166" s="284" t="inlineStr">
        <is>
          <t>Single Choice</t>
        </is>
      </c>
      <c r="K166" s="283" t="inlineStr">
        <is>
          <t>NA</t>
        </is>
      </c>
      <c r="L166" s="492" t="inlineStr">
        <is>
          <t>Send if "hh_agricactivity" "Equals" "Yes - livestock production" Or "hh_agricactivity" "Equals" "Yes - both crop and livestock production" if not satisfied go to "hdds"</t>
        </is>
      </c>
      <c r="M166" s="283" t="inlineStr">
        <is>
          <t>Form Type - Buttons</t>
        </is>
      </c>
      <c r="N166" s="281" t="inlineStr">
        <is>
          <t>1-6 = hdds</t>
        </is>
      </c>
      <c r="O166" s="140" t="n"/>
      <c r="P166" s="140" t="n"/>
      <c r="Q166" s="404" t="n"/>
      <c r="R166" s="404" t="n"/>
      <c r="S166" s="159" t="inlineStr">
        <is>
          <t>resp_age = 18-100
hh_agricactivity = 1 | 2 | 3 | 4
quotareached = 2</t>
        </is>
      </c>
      <c r="T166" s="72" t="n"/>
      <c r="U166" s="44" t="n">
        <v>10.11413192749023</v>
      </c>
      <c r="V166" s="42" t="n">
        <v>1</v>
      </c>
      <c r="W166" s="44">
        <f>U166*V166</f>
        <v/>
      </c>
      <c r="X166" s="3" t="n"/>
      <c r="Z166" s="7" t="inlineStr">
        <is>
          <t>no</t>
        </is>
      </c>
      <c r="AA166" s="54" t="n"/>
      <c r="AC166" s="9" t="n"/>
      <c r="AD166" s="6" t="n"/>
    </row>
    <row r="167" ht="409.5" customFormat="1" customHeight="1" s="5">
      <c r="A167" s="503">
        <f>A166+1</f>
        <v/>
      </c>
      <c r="B167" s="59" t="inlineStr">
        <is>
          <t>hdds</t>
        </is>
      </c>
      <c r="C167" s="67" t="inlineStr">
        <is>
          <t>hdds
1) hdds_cereals
2) hdds_rootstubers
3) hdds_vegetables
4) hdds_fruits
5) hdds_meat
6) hdds_eggs
7) hdds_fish
8) hdds_legumes
9) hdds_milkdairy
10) hdds_oils
11)hdds_sugar
12) hdds_condiments</t>
        </is>
      </c>
      <c r="D167" s="246" t="inlineStr">
        <is>
          <t>Now I would like to ask you about the 3rd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4)Fruits [all]
5)Meat / poultry and offal [beef / pork / lamb / goat / rabbit / wild game / chicken / duck / liver / kidney / heart / or other organ meats]
6)Eggs
7)Fish or shellfish [fresh or dried fish / shellfish]
8)Legumes /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67" s="308">
        <f>LEN(D167)</f>
        <v/>
      </c>
      <c r="F167" s="117" t="inlineStr">
        <is>
          <t>Parizvino ndave kuda kukubvunza nezvemibvunzo yechikamu chechitatu iri pamusoro pezvekudya zvakadyiwa, tichitarisa mumaawa 24 anezuro. Tapota tsanangura zvekudya [zvinobata dumbu kana kuti zvekutsengerera-tsengerera] izvo iwe kana wemumhuri yenyu vakadya kana kunwa pamba nezuro [mumaawa 24 anezuro: kudya kwemakuseni, kudya kwemasikati, kudya kwemanheru uye zvekutsengerera-tsengera].
[ARI KUITISA ONGORORO: SARUDZA ZVIKWATA ZVOSE ZVEZVOKUDYA IZVO ZVAKADYIWA MUMAAWA 24 ANEZURO PAMHINDURO DZEARI KUPINDURA. MHINDURO DZAKAWANDA DZINOGONA KUPIWA.]
1)Zvakaita sechibage [mhunga / mapfunde / chibage / gorosi / mupunga / sipageti / chingwa kana kuti isa chimwe chirimwa chinowanika munzvimbo]
2)Zvinoberekera muvhu [mbambaira / mbatatisi / madhumbe / mufarinya kana zvakada kudaro]
3)Miriwo [yose]
4)Michero [yose]
5)Nyama / huku uye zvemukati mehuku [nyama yemombe / nyama yenguruve / nyama yehwai / mbudzi / tsuro / mhuka dzemupaki / huku / dhakisi/ chitaka / itsvo / moyo / kana dzimwewo nhengo dzenyama]
6)Mazai
7)Hove nezvimwe zvinobatwa mumvura [hove nyoro kana dzakaomeswa / gakanje]
8)Zvakaita sebhinzi / nzungu nemhodzi [bhinzi / pizi / dovi/ lentils / arumondi / dzimwewo nzungu]
9)Mukaka nezvimwe zvinogadzirwa nemukaka [mukaka mutete / mukaka wakakora / yogati/ chizi / chimwewo chikafu chinogadzirwa nemukaka]
10)Mafuta [ekubikisa / bhata / majarini / mafuta emhuka/ mafuta / dzimwewo mhando dzemafuta]
11)Tsvigiri kana zvimwewo zvinotapira [huchi / jamu / madhonanzi / kendi / chokoreti / mabhisvo / zvakabhekwa / makeke nezvimwewo zvinotapira]
12)Zvekukaringisa [cocoa / munyu / gariki / zvekukaringisa / mbiriso / mbiriso yekubhekesa / matomasi kana muto wematomati / nyama nehove sezvekukaringisa] uye kofi / tiyi</t>
        </is>
      </c>
      <c r="G167" s="308">
        <f>LEN(F167)</f>
        <v/>
      </c>
      <c r="H167" s="246" t="inlineStr">
        <is>
          <t>Okwamanje ngizathanda ukukubuza mayelana lomhlobo wesithathu wemibuzo mayelana lokudla ukudla, ngisitsho kumahola angamatshumi amabili lane ayizolo. Sicela uchaze ukudla konke wena kumbe lelinye ilunga lendlini elikudlileyo kumbe elikunathileyo endlini izolo [kumahola angamatshumi amabili lane ayizolo: okwekuseni, okwemini, okwantambama kanye lokuncane ukudla okokuhlafuhlafuna.]
[OQHUBAYO: KHETHA YONKE IMIHLOBO YOKUDLA EDLIWEYO KUMAHOLA ANGAMATSHUMI AMABILI LANE AYIZOLO NJENGOKUPHENDULA KUKAMAPHENDULA. IMPENDULO EZINENGI ZINGAKHETHWA]
1)Okulilambazi [amabele / uphoko / umumbu / ingqoloyi/ ilayisi / isinkwa kumbe okunye okulinywa lapho]
2)Okudliwa impande [imbambayila emhlphe /imbambayila / i-yam / i-cassava kumbe okunye okudliwa amajodo akhona]
3)Imibhida [yonke]
4)Izithelo [zonke]
5)Inyama [eyenkukhu lokwangaphakathi / inyama / eyengululube / eyembuzi / eyomvundla / ezingelwayo / inkukhu / idada / isibindi / izinswa / inhliziyo / kumbe enye inyama ]
6)Amaqanda
7)Inhlanzi ezilesikhumba esiqinileyo kumbe inhlanzi [ esanda kuthiywa kumbe eziwonyisiweyo]
8)Imihlobo yendumba kanye lamazambane [indumba / peas / amazambana / lentil / almond / lamanye amazambane]
9)Uchago lokunye ukudla okwenziwa ngochago [uchago olunathwayo/amasi/i-yogurt/ itshizi / lokunye okwenziwa ngochago]
10)Amafutha lokokuchochombisa [awokupheka / bhatha / i-majalini/ ngeminye imihlobo yamafutha]
11)Itshukela kumbe ukudla okunambithekayo [uluju / ijemu / dognuts / iziwiji / itshokholethi / amabhisikiti /okubhakwayo / amakhekhe kanye lokunye ukudla okunambithekayo]
12)Okokufaka ekudleni [cocoa /isawudo / i-garlic / okokwenza isitshebo sibe mnandi / okokukhukhumeza isinkwa / i-tomato sauce / tamatisi / inyama kumbe inhlanzi] kanye lekhofi / tiye</t>
        </is>
      </c>
      <c r="I167" s="564">
        <f>LEN(H167)</f>
        <v/>
      </c>
      <c r="J167" s="106" t="inlineStr">
        <is>
          <t>Select All That Apply</t>
        </is>
      </c>
      <c r="K167" s="564" t="inlineStr">
        <is>
          <t>NA</t>
        </is>
      </c>
      <c r="L167" s="564" t="inlineStr">
        <is>
          <t>NA</t>
        </is>
      </c>
      <c r="M167" s="564" t="inlineStr">
        <is>
          <t>Form Type - Checklist
Cereals [sorghum / millet / corn / wheat / rice / spaghetti / bread or insert any other locally available grain])hdds_cereals
Roots and tubers [white sweet potato / potato / yam / cassava or other tubers])hdds_rootstubers
Vegetables [all])hdds_vegetables
Fruits [all])hdds_fruits
Meat, poultry and offal [beef / pork / lamb / goat / rabbit / wild game / chicken / duck / liver / kidney / heart / or other organ meats])hdds_meat
Eggs)hdds_eggs
Fish or shellfish [fresh or dried fish / shellfish])hdds_fish
Legumes, nuts and seeds [beans / peas / peanut / lentils / almond / other nuts])hdds_legumes
Milk and other dairy products [fresh milk / sour / yogurt / cheese / other dairy products])hdds_milkdairy
Oils and fat [cooking / butter / margarine / fat / oil / other oil])hdds_oils
Sugar or sugary products [honey / jam / donuts / candy / chocolate / biscuits / pastries / cakes and other sweet products])dds_sugar
Condiments [cocoa / salt / garlic / spices / yeast / baking powder / tomato or tomato sauce / meat or fish as a condiment] and coffee / tea)hdds_condiments</t>
        </is>
      </c>
      <c r="N167" s="563" t="inlineStr">
        <is>
          <t>1-12 = hdds_confirmation</t>
        </is>
      </c>
      <c r="O167" s="149" t="n"/>
      <c r="P167" s="149" t="n"/>
      <c r="Q167" s="129" t="inlineStr">
        <is>
          <t>if hdds = 1-12, go to hdds_confirmation</t>
        </is>
      </c>
      <c r="R167" s="351" t="n"/>
      <c r="S167" s="159" t="inlineStr">
        <is>
          <t>resp_age = 18-100
hh_agricactivity = 1 | 2 | 3 | 4
quotareached = 2</t>
        </is>
      </c>
      <c r="T167" s="197" t="n"/>
      <c r="U167" s="45" t="n">
        <v>72.29513549804688</v>
      </c>
      <c r="V167" s="20" t="n">
        <v>1</v>
      </c>
      <c r="W167" s="45">
        <f>U167*V167</f>
        <v/>
      </c>
      <c r="X167" s="3" t="n"/>
      <c r="Z167" s="7" t="inlineStr">
        <is>
          <t>yes</t>
        </is>
      </c>
      <c r="AA167" s="54" t="n"/>
      <c r="AD167" s="6" t="n"/>
    </row>
    <row r="168" ht="188.25" customFormat="1" customHeight="1" s="5" thickBot="1">
      <c r="A168" s="503">
        <f>A167+1</f>
        <v/>
      </c>
      <c r="B168" s="78" t="inlineStr">
        <is>
          <t>hdds_confirmation</t>
        </is>
      </c>
      <c r="C168" s="301" t="inlineStr">
        <is>
          <t>hdds_confirmation</t>
        </is>
      </c>
      <c r="D168" s="80"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68" s="312">
        <f>LEN(D168)</f>
        <v/>
      </c>
      <c r="F168" s="80" t="inlineStr">
        <is>
          <t>[ARI KUITISA ONGORORO: YEUKA KUBVUNZISISA NEZVE ZVOKUTSENGERERA-TSENGERERA, ZVEKUDYA ZVINOPIWA VANA KANA VAKADZI VAKAZVITAKURA, ZVEKUBIKISA MUZVEKUDYA ZVAKASANGANISWA. PAKUPEDZISIRA, BVUNZISISA NEZVE ZVIMWE ZVIKWATA ZVEZVOKUDYA ZVISINA KUTAURWA. 
KANA WATOBVUNZA NECHEKARE, DZVANYA PAKANZI ENDERERA MBERI. KANA ZVISINA KUDARO, DZOKERA KUMASHURE OVA NECHOKWADI KUTI ZVEKUDYA ZVOSE ZVKADYIWA MUMAAWA 24 NEZURO ZVASARUDZWA.]
1)ENDERERA MBERI</t>
        </is>
      </c>
      <c r="G168" s="312">
        <f>LEN(F168)</f>
        <v/>
      </c>
      <c r="H168" s="80" t="inlineStr">
        <is>
          <t xml:space="preserve"> OQHUBAYO: KHUMBULA UKUDINGISISA NGAMA-SNACKS, UKUDLA OKUKHETHEKILEYOOKUPHIWA ABANTWANA KUMBE ABAFAZI ABAZITHWELEYO, OKOKUDLA OKUHLANGANISIWEYO. EKUCINENI, DINGISISA  AMAQEMBU OKUDLA ANGAKHULUNYWANGA.
NXA USUVELE WADINGISISA, FITHIZELA QHUBEKA. KUNGASENJALO, BUYELA EMUVA UKUYAQINISEKA UKUTHI IMIHLOBO YONKE YAMAQEMBU OKUDLA ADLIWE KUMAHOLA ANGU 24 ADLULILEYO AYIZOLO AKHETHIWE]
1)QHUBEKA</t>
        </is>
      </c>
      <c r="I168" s="81">
        <f>LEN(H168)</f>
        <v/>
      </c>
      <c r="J168" s="82" t="inlineStr">
        <is>
          <t>Single Choice</t>
        </is>
      </c>
      <c r="K168" s="81" t="inlineStr">
        <is>
          <t>NA</t>
        </is>
      </c>
      <c r="L168" s="81" t="inlineStr">
        <is>
          <t>NA</t>
        </is>
      </c>
      <c r="M168" s="81" t="inlineStr">
        <is>
          <t>Form Type - Buttons</t>
        </is>
      </c>
      <c r="N168" s="80" t="inlineStr">
        <is>
          <t>1 = fcs_intro</t>
        </is>
      </c>
      <c r="O168" s="149" t="n"/>
      <c r="P168" s="149" t="n"/>
      <c r="Q168" s="129" t="inlineStr">
        <is>
          <t>if hdds_confirmation = 1, go to need_1 or other option if other questions are added</t>
        </is>
      </c>
      <c r="R168" s="351" t="n"/>
      <c r="S168" s="159" t="inlineStr">
        <is>
          <t>NA</t>
        </is>
      </c>
      <c r="T168" s="197" t="n"/>
      <c r="U168" s="45" t="n">
        <v>3.705221891403198</v>
      </c>
      <c r="V168" s="20" t="n">
        <v>1</v>
      </c>
      <c r="W168" s="45">
        <f>U168*V168</f>
        <v/>
      </c>
      <c r="X168" s="3" t="n"/>
      <c r="Z168" s="7" t="inlineStr">
        <is>
          <t>yes</t>
        </is>
      </c>
      <c r="AA168" s="54" t="n"/>
      <c r="AD168" s="6" t="n"/>
    </row>
    <row r="169" ht="112.5" customFormat="1" customHeight="1" s="5">
      <c r="A169" s="503">
        <f>A168+1</f>
        <v/>
      </c>
      <c r="B169" s="136" t="inlineStr">
        <is>
          <t>fcs_intro</t>
        </is>
      </c>
      <c r="C169" s="137" t="inlineStr">
        <is>
          <t>fcs_intro</t>
        </is>
      </c>
      <c r="D169" s="305" t="inlineStr">
        <is>
          <t xml:space="preserve">Now I would like to ask you about the foods and drinks your household ate or drank in the last 7 days during the day and at night [breakfast, lunch, dinner, snacks]
1)CONTINUE
</t>
        </is>
      </c>
      <c r="E169" s="308">
        <f>LEN(D169)</f>
        <v/>
      </c>
      <c r="F169" s="305" t="inlineStr">
        <is>
          <t>Parizvino ndave kuda kukubvunza nezve zvokudya nezvokumwa izvo mhuri yenyu yakadya kana kunwa mumazuva 7 apfuura munguva dzemasikati uye manheru [zvekudya zvekuseni, zvekudya zvemasikati, zvekudya zvemanheru, zvekutsengerera-tsengerera]
1)ENDERERA MBERI</t>
        </is>
      </c>
      <c r="G169" s="274">
        <f>LEN(F169)</f>
        <v/>
      </c>
      <c r="H169" s="305" t="inlineStr">
        <is>
          <t xml:space="preserve">Kathesi ngizathanda ukubuza mayelana lezokudla lezokunatha abomuzi wakho abakudlileyo kumbe abakunathileyo kumalanga angu7 adluleyo phakathi kwelanga lantambama [ukudla kwekuseni, emini, lokwakusihlwa, okohlafuhlafuna]
1)QHUBEKA
</t>
        </is>
      </c>
      <c r="I169" s="70">
        <f>LEN(H169)</f>
        <v/>
      </c>
      <c r="J169" s="143" t="inlineStr">
        <is>
          <t>Single Choice</t>
        </is>
      </c>
      <c r="K169" s="70" t="inlineStr">
        <is>
          <t>NA</t>
        </is>
      </c>
      <c r="L169" s="70" t="inlineStr">
        <is>
          <t>NA</t>
        </is>
      </c>
      <c r="M169" s="70" t="inlineStr">
        <is>
          <t>Form Type - Buttons</t>
        </is>
      </c>
      <c r="N169" s="131" t="inlineStr">
        <is>
          <t>1 = fcs_staple_days</t>
        </is>
      </c>
      <c r="O169" s="140" t="n"/>
      <c r="P169" s="140" t="n"/>
      <c r="Q169" s="351" t="inlineStr">
        <is>
          <t>if fcs_intro = 1, go to fcs_staple_days</t>
        </is>
      </c>
      <c r="R169" s="351" t="n"/>
      <c r="S169" s="159" t="inlineStr">
        <is>
          <t>resp_age = 18-100
hh_agricactivity = 1 | 2 | 3 | 4
quotareached = 2</t>
        </is>
      </c>
      <c r="T169" s="195" t="n"/>
      <c r="U169" s="44" t="n"/>
      <c r="V169" s="42" t="n">
        <v>1</v>
      </c>
      <c r="W169" s="44">
        <f>U169*V169</f>
        <v/>
      </c>
      <c r="X169" s="3" t="n"/>
      <c r="Z169" s="7" t="inlineStr">
        <is>
          <t>no</t>
        </is>
      </c>
      <c r="AA169" s="54" t="n"/>
      <c r="AD169" s="6" t="inlineStr">
        <is>
          <t>new question</t>
        </is>
      </c>
    </row>
    <row r="170" ht="150" customFormat="1" customHeight="1" s="5">
      <c r="A170" s="503">
        <f>A169+1</f>
        <v/>
      </c>
      <c r="B170" s="160" t="inlineStr">
        <is>
          <t>fcs_staple_days</t>
        </is>
      </c>
      <c r="C170" s="162" t="inlineStr">
        <is>
          <t>fcs_staple_days</t>
        </is>
      </c>
      <c r="D170" s="325"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70" s="316">
        <f>LEN(D170)</f>
        <v/>
      </c>
      <c r="F170" s="325" t="inlineStr">
        <is>
          <t>Mazuva mangani pamazuva 7 apfuura, apo nhengo dzemhuri yenyu dzakadya zvekudya zvinopa simba, nezvinoberekerwa muvhu zvakadai semupunga , chibage, pasta, chingwa, mhunga, zviyo, mbatatisi, yamu, kasavha, mbambaira?
[ARI KUITISA ONGORORO: NYORA PASI KUTI MAZUVA MANGANI KUBVA PA-0 KUSVIKA PA-7]
[ZANO: KANA ZVAKADYIWA ZVINGORI MUHUSHOMA, USAZVIISE.]</t>
        </is>
      </c>
      <c r="G170" s="323">
        <f>LEN(F170)</f>
        <v/>
      </c>
      <c r="H170" s="325" t="inlineStr">
        <is>
          <t>Ngamalanga amangaki kumalanga angu 7 adluleyo, amalunga omuzi wakho adla khona isitatshi, okuzipande okufana lelayisi, umumbu, isinkwa, i-pasta, amabele, uphoko, amagwili, i-yam, i-cassava, lembambayila emhlophe?
[OQHUBAYO: BHALA INANI LAMALANGA 0-7]
[ICEBO: NXA KUDLIWA KULINANI ELINCANE, UNGAGOQELI.]</t>
        </is>
      </c>
      <c r="I170" s="323">
        <f>LEN(H170)</f>
        <v/>
      </c>
      <c r="J170" s="452" t="inlineStr">
        <is>
          <t>Range</t>
        </is>
      </c>
      <c r="K170" s="323" t="inlineStr">
        <is>
          <t>NA</t>
        </is>
      </c>
      <c r="L170" s="323" t="inlineStr">
        <is>
          <t>NA</t>
        </is>
      </c>
      <c r="M170" s="323" t="inlineStr">
        <is>
          <t>Form Type - TextBox</t>
        </is>
      </c>
      <c r="N170" s="352" t="inlineStr">
        <is>
          <t>0-7 = fcs_pulses_days</t>
        </is>
      </c>
      <c r="O170" s="140" t="n"/>
      <c r="P170" s="140" t="n"/>
      <c r="Q170" s="351" t="inlineStr">
        <is>
          <t>For any response, go to fcs_pulses_days</t>
        </is>
      </c>
      <c r="R170" s="351" t="n"/>
      <c r="S170" s="159" t="inlineStr">
        <is>
          <t>resp_age = 18-100
hh_agricactivity = 1 | 2 | 3 | 4
quotareached = 2</t>
        </is>
      </c>
      <c r="T170" s="195" t="n"/>
      <c r="U170" s="44" t="n">
        <v>17</v>
      </c>
      <c r="V170" s="42" t="n">
        <v>1</v>
      </c>
      <c r="W170" s="44">
        <f>U170*V170</f>
        <v/>
      </c>
      <c r="X170" s="3" t="n"/>
      <c r="Z170" s="7" t="inlineStr">
        <is>
          <t>no</t>
        </is>
      </c>
      <c r="AA170" s="54" t="n"/>
      <c r="AD170" s="6" t="inlineStr">
        <is>
          <t>new question</t>
        </is>
      </c>
    </row>
    <row r="171" ht="150" customFormat="1" customHeight="1" s="5">
      <c r="A171" s="503">
        <f>A170+1</f>
        <v/>
      </c>
      <c r="B171" s="160" t="inlineStr">
        <is>
          <t>fcs_pulses_days</t>
        </is>
      </c>
      <c r="C171" s="162" t="inlineStr">
        <is>
          <t>fcs_pulses_days</t>
        </is>
      </c>
      <c r="D171" s="325" t="inlineStr">
        <is>
          <t>How many days over the last 7 days, did members of your household eat pulses and nuts such as beans, lentils, cowpeas, soybean, pigeon peas and peanuts or other nuts?
[OPERATOR: RECORD NUMBER OF DAYS 0 - 7]
[HINT: IF CONSUMED ONLY IN SMALL QUANTITY, DO NOT INCLUDE.]</t>
        </is>
      </c>
      <c r="E171" s="316">
        <f>LEN(D171)</f>
        <v/>
      </c>
      <c r="F171" s="325" t="inlineStr">
        <is>
          <t>Mazuva mangani pamazuva 7 apfuura, apo nhengo dzemhuri yenyu dzakadya zvakaita sebhinzi uye nzungu zvakadai sebhinzi, lentils, cowpeas, soyabhinzi, pigion peas uye nzungu nezvakada kudaro?
[ARI KUITISA ONGORORO: NYORA PASI KUTI MAZUVA MANGANI KUBVA PA-0 KUSVIKA PA-7]
[ZANO: KANA ZVAKADYIWA ZVINGORI MUHUSHOMA, USAZVIISE.]</t>
        </is>
      </c>
      <c r="G171" s="323">
        <f>LEN(F171)</f>
        <v/>
      </c>
      <c r="H171" s="325" t="inlineStr">
        <is>
          <t>Ngamalanga amangaki kumalanga angu 7 adluleyo lapho amalunga omuzi wakho adla khona okuhlutshwayo lamazambane okufana lendumba, lentili, cowpeas, soybean, pigeon peas lamazambane kumbe eminye imihlobo yamazambane?
[OQHUBAYO: BHALA INANI LAMALANGA 0-7]
[ICEBO: NXA KUDLIWA KULINANI ELINCANE, UNGAGOQELI.]</t>
        </is>
      </c>
      <c r="I171" s="323">
        <f>LEN(H171)</f>
        <v/>
      </c>
      <c r="J171" s="452" t="inlineStr">
        <is>
          <t>Range</t>
        </is>
      </c>
      <c r="K171" s="323" t="inlineStr">
        <is>
          <t>NA</t>
        </is>
      </c>
      <c r="L171" s="323" t="inlineStr">
        <is>
          <t>NA</t>
        </is>
      </c>
      <c r="M171" s="323" t="inlineStr">
        <is>
          <t>Form Type - TextBox</t>
        </is>
      </c>
      <c r="N171" s="352" t="inlineStr">
        <is>
          <t>0-7 = fcs_vegetables_days</t>
        </is>
      </c>
      <c r="O171" s="140" t="n"/>
      <c r="P171" s="140" t="n"/>
      <c r="Q171" s="351" t="inlineStr">
        <is>
          <t>For any response, go to fcs_veg_days</t>
        </is>
      </c>
      <c r="R171" s="351" t="n"/>
      <c r="S171" s="159" t="inlineStr">
        <is>
          <t>resp_age = 18-100
hh_agricactivity = 1 | 2 | 3 | 4
quotareached = 2</t>
        </is>
      </c>
      <c r="T171" s="195" t="n"/>
      <c r="U171" s="44" t="n">
        <v>17</v>
      </c>
      <c r="V171" s="42" t="n">
        <v>1</v>
      </c>
      <c r="W171" s="44">
        <f>U171*V171</f>
        <v/>
      </c>
      <c r="X171" s="3" t="n"/>
      <c r="Z171" s="7" t="inlineStr">
        <is>
          <t>no</t>
        </is>
      </c>
      <c r="AA171" s="54" t="n"/>
      <c r="AD171" s="6" t="inlineStr">
        <is>
          <t>new question</t>
        </is>
      </c>
    </row>
    <row r="172" ht="131.25" customFormat="1" customHeight="1" s="5">
      <c r="A172" s="503">
        <f>A171+1</f>
        <v/>
      </c>
      <c r="B172" s="160" t="inlineStr">
        <is>
          <t>fcs_vegetables_days</t>
        </is>
      </c>
      <c r="C172" s="162" t="inlineStr">
        <is>
          <t>fcs_vegetables_days</t>
        </is>
      </c>
      <c r="D172" s="325" t="inlineStr">
        <is>
          <t>How many days over the last 7 days, did members of your household eat vegetables or leaves such as Tsunga, Okra and/or other leaves/vegetables?
[OPERATOR: RECORD NUMBER OF DAYS 0 - 7]
[HINT: IF CONSUMED ONLY IN SMALL QUANTITY, DO NOT INCLUDE.]</t>
        </is>
      </c>
      <c r="E172" s="316">
        <f>LEN(D172)</f>
        <v/>
      </c>
      <c r="F172" s="325" t="inlineStr">
        <is>
          <t>Mazuva mangani mumazuva 7 apfuura, apo nhengo dzemhuri yenyu dzakadya miriwo kana mamwe mashizha akadai seTsunga, Derere uye/kana kuti mamwe mashizha/miriwo?
[ARI KUITISA ONGORORO: NYORA PASI KUTI MAZUVA MANGANI KUBVA PA-0 KUSVIKA PA-7]
[ZANO: KANA ZVAKADYIWA ZVINGORI MUHUSHOMA, USAZVIISE.]</t>
        </is>
      </c>
      <c r="G172" s="323">
        <f>LEN(F172)</f>
        <v/>
      </c>
      <c r="H172" s="325" t="inlineStr">
        <is>
          <t>Ngamalanga amangaki kumalanga adluleyo ayisikhombisa, lapho amalunga omuzi wakho adle ezemibhida kumbe ezamahlamvu ezifana leTsunga, Idelele lentanga/kumbe okunye okungamahlamvu?
[OQHUBAYO: BHALA INANI LAMALANGA 0-7]
[ICEBO: NXA KUDLIWA KULINANI ELINCANE, UNGAGOQELI.]</t>
        </is>
      </c>
      <c r="I172" s="323">
        <f>LEN(H172)</f>
        <v/>
      </c>
      <c r="J172" s="452" t="inlineStr">
        <is>
          <t>Range</t>
        </is>
      </c>
      <c r="K172" s="323" t="inlineStr">
        <is>
          <t>NA</t>
        </is>
      </c>
      <c r="L172" s="323" t="inlineStr">
        <is>
          <t>NA</t>
        </is>
      </c>
      <c r="M172" s="323" t="inlineStr">
        <is>
          <t>Form Type - TextBox</t>
        </is>
      </c>
      <c r="N172" s="352" t="inlineStr">
        <is>
          <t>0-7 = fcs_fruit_days</t>
        </is>
      </c>
      <c r="O172" s="140" t="n"/>
      <c r="P172" s="140" t="n"/>
      <c r="Q172" s="351" t="inlineStr">
        <is>
          <t>For any response, go to fcs_fruit_days</t>
        </is>
      </c>
      <c r="R172" s="351" t="n"/>
      <c r="S172" s="159" t="inlineStr">
        <is>
          <t>resp_age = 18-100
hh_agricactivity = 1 | 2 | 3 | 4
quotareached = 2</t>
        </is>
      </c>
      <c r="T172" s="195" t="n"/>
      <c r="U172" s="44" t="n">
        <v>17</v>
      </c>
      <c r="V172" s="42" t="n">
        <v>1</v>
      </c>
      <c r="W172" s="44">
        <f>U172*V172</f>
        <v/>
      </c>
      <c r="X172" s="3" t="n"/>
      <c r="Z172" s="7" t="inlineStr">
        <is>
          <t>no</t>
        </is>
      </c>
      <c r="AA172" s="54" t="n"/>
      <c r="AD172" s="6" t="inlineStr">
        <is>
          <t>new question</t>
        </is>
      </c>
    </row>
    <row r="173" ht="93.75" customFormat="1" customHeight="1" s="5">
      <c r="A173" s="503">
        <f>A172+1</f>
        <v/>
      </c>
      <c r="B173" s="160" t="inlineStr">
        <is>
          <t>fcs_fruit_days</t>
        </is>
      </c>
      <c r="C173" s="162" t="inlineStr">
        <is>
          <t>fcs_fruit_days</t>
        </is>
      </c>
      <c r="D173" s="325" t="inlineStr">
        <is>
          <t>How many days over the last 7 days, did members of your household eat fruit such as Mazhanje (Wild Loquat), Masau and/or other fruits?
[OPERATOR: RECORD NUMBER OF DAYS 0 - 7]</t>
        </is>
      </c>
      <c r="E173" s="316">
        <f>LEN(D173)</f>
        <v/>
      </c>
      <c r="F173" s="325" t="inlineStr">
        <is>
          <t>Mazuva mangani mumazuva 7 apfuura, apo nhengo dzemhuri yenyu dzakadya michero yakadai seMazhanje (Wild Loquat), Masau uye/ kana kuti mimwe michero?
[ARI KUITISA ONGORORO: NYORA PASI KUTI MAZUVA MANGANI KUBVA PA-0 KUSVIKA PA-7]</t>
        </is>
      </c>
      <c r="G173" s="323">
        <f>LEN(F173)</f>
        <v/>
      </c>
      <c r="H173" s="325" t="inlineStr">
        <is>
          <t>Ngamalanga amangaki kumalanga ayisikhombisa adluleyo, lapho amalunga omuzi wakho adle isithelo esifana laMazhanje (Wild Loquat), Masau kanye/kumbe ezinye izithelo?
[OQHUBAYO: BHALA INANI LAMALANGA 0-7]</t>
        </is>
      </c>
      <c r="I173" s="323">
        <f>LEN(H173)</f>
        <v/>
      </c>
      <c r="J173" s="452" t="inlineStr">
        <is>
          <t>Range</t>
        </is>
      </c>
      <c r="K173" s="323" t="inlineStr">
        <is>
          <t>NA</t>
        </is>
      </c>
      <c r="L173" s="323" t="inlineStr">
        <is>
          <t>NA</t>
        </is>
      </c>
      <c r="M173" s="323" t="inlineStr">
        <is>
          <t>Form Type - TextBox</t>
        </is>
      </c>
      <c r="N173" s="352" t="inlineStr">
        <is>
          <t>0-7 = fcs_meat_fish_days</t>
        </is>
      </c>
      <c r="O173" s="140" t="n"/>
      <c r="P173" s="140" t="n"/>
      <c r="Q173" s="351" t="inlineStr">
        <is>
          <t>For any response, go to fcs_meat_fish_days</t>
        </is>
      </c>
      <c r="R173" s="351" t="n"/>
      <c r="S173" s="159" t="inlineStr">
        <is>
          <t>resp_age = 18-100
hh_agricactivity = 1 | 2 | 3 | 4
quotareached = 2</t>
        </is>
      </c>
      <c r="T173" s="195" t="n"/>
      <c r="U173" s="44" t="n">
        <v>17</v>
      </c>
      <c r="V173" s="42" t="n">
        <v>1</v>
      </c>
      <c r="W173" s="44">
        <f>U173*V173</f>
        <v/>
      </c>
      <c r="X173" s="3" t="n"/>
      <c r="Z173" s="7" t="inlineStr">
        <is>
          <t>no</t>
        </is>
      </c>
      <c r="AA173" s="54" t="n"/>
      <c r="AD173" s="6" t="inlineStr">
        <is>
          <t>new question</t>
        </is>
      </c>
    </row>
    <row r="174" ht="150" customFormat="1" customHeight="1" s="5">
      <c r="A174" s="503">
        <f>A173+1</f>
        <v/>
      </c>
      <c r="B174" s="160" t="inlineStr">
        <is>
          <t>fcs_meat_fish_days</t>
        </is>
      </c>
      <c r="C174" s="162" t="inlineStr">
        <is>
          <t>fcs_meat_fish_days</t>
        </is>
      </c>
      <c r="D174" s="325"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74" s="316">
        <f>LEN(D174)</f>
        <v/>
      </c>
      <c r="F174" s="325" t="inlineStr">
        <is>
          <t>Mazuva mangani pamazuva 7 apfuura, apo nhengo dzemhuri yenyu dzakadya nyama, mazai kana kuti hove [chero mhando yenyama kana hove kusanganisira tupukanana, shiri, nyama yemusango, kudya kunowanikwa mumvura, kana dzimwewo nhengo]?
[ARI KUITISA ONGORORO: NYORA PASI KUTI MAZUVA MANGANI KUBVA PA-0 KUSVIKA PA-7]
[ZANO: KANA ZVAKADYIWA ZVINGORI MUHUSHOMA, USAZVIISE.]</t>
        </is>
      </c>
      <c r="G174" s="323">
        <f>LEN(F174)</f>
        <v/>
      </c>
      <c r="H174" s="325" t="inlineStr">
        <is>
          <t>Ngamalanga amangaki kumalanga angu 7 adluleyo, lapho amalunga emuli yakho adla inyama, amaqanda, kumbe inhlanzi [zohlobo loba luphi lwenyama kumbe inhlanzi lugoqela izibungu, inyoni, inyama yeganga, okuhlala kulwandle, kumbe izitho]?
[OQHUBAYO: BHALA INANI LAMALANGA 0-7]
[ICEBO: NXA KUDLIWA KULINANI ELINCANE, UNGAGOQELI.]</t>
        </is>
      </c>
      <c r="I174" s="323">
        <f>LEN(H174)</f>
        <v/>
      </c>
      <c r="J174" s="452" t="inlineStr">
        <is>
          <t>Range</t>
        </is>
      </c>
      <c r="K174" s="323" t="inlineStr">
        <is>
          <t>NA</t>
        </is>
      </c>
      <c r="L174" s="323" t="inlineStr">
        <is>
          <t>NA</t>
        </is>
      </c>
      <c r="M174" s="323" t="inlineStr">
        <is>
          <t>Form Type - TextBox</t>
        </is>
      </c>
      <c r="N174" s="352" t="inlineStr">
        <is>
          <t>0-7 = fcs_dairy_days</t>
        </is>
      </c>
      <c r="O174" s="140" t="n"/>
      <c r="P174" s="140" t="n"/>
      <c r="Q174" s="351" t="inlineStr">
        <is>
          <t>For any response, go to fcs_dairy_days</t>
        </is>
      </c>
      <c r="R174" s="351" t="n"/>
      <c r="S174" s="159" t="inlineStr">
        <is>
          <t>resp_age = 18-100
hh_agricactivity = 1 | 2 | 3 | 4
quotareached = 2</t>
        </is>
      </c>
      <c r="T174" s="195" t="n"/>
      <c r="U174" s="44" t="n">
        <v>17</v>
      </c>
      <c r="V174" s="42" t="n">
        <v>1</v>
      </c>
      <c r="W174" s="44">
        <f>U174*V174</f>
        <v/>
      </c>
      <c r="X174" s="3" t="n"/>
      <c r="Z174" s="7" t="inlineStr">
        <is>
          <t>no</t>
        </is>
      </c>
      <c r="AA174" s="54" t="n"/>
      <c r="AD174" s="6" t="inlineStr">
        <is>
          <t>new question</t>
        </is>
      </c>
    </row>
    <row r="175" ht="168.75" customFormat="1" customHeight="1" s="5">
      <c r="A175" s="503">
        <f>A174+1</f>
        <v/>
      </c>
      <c r="B175" s="160" t="inlineStr">
        <is>
          <t>fcs_dairy_days</t>
        </is>
      </c>
      <c r="C175" s="162" t="inlineStr">
        <is>
          <t>fcs_dairy_days</t>
        </is>
      </c>
      <c r="D175" s="325"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75" s="316">
        <f>LEN(D175)</f>
        <v/>
      </c>
      <c r="F175" s="325" t="inlineStr">
        <is>
          <t xml:space="preserve">Mazuva mangani pamazuva 7 apfuura, apo nhengo dzemhuri yenyu dzakadya mukaka mutete, mukaka wakakora, yogati, chizi, kana kumwe kudya kunogadzirwa nemukaka? [Kusiya kwemajarini/bhata kana twumukaka twushoma twetiyi/kofi]
[ARI KUITISA ONGORORO: NYORA PASI KUTI MAZUVA MANGANI KUBVA PA-0 KUSVIKA PA-7]
[ZANO: KANA ZVAKADYIWA ZVINGORI MUHUSHOMA, USAZVIISE.]
</t>
        </is>
      </c>
      <c r="G175" s="323">
        <f>LEN(F175)</f>
        <v/>
      </c>
      <c r="H175" s="325" t="inlineStr">
        <is>
          <t>Ngamalanga amangaki kumalanga angu 7 adluleyo, lapho amalunga emuli yakho adla kona uchago olungaphekwanga, amasi, iyogathi, itshizi kumbe okunye okuphuma ezifuyweni okuluchago? [Kungakhangelwa i-majalini/ bhatha kumbe itiye/ ikhofi encane]
[OQHUBAYO: BHALA INANI LAMALANGA 0-7]
[ICEBO: NXA KUDLIWA KULINANI ELINCANE, UNGAGOQELI.]</t>
        </is>
      </c>
      <c r="I175" s="323">
        <f>LEN(H175)</f>
        <v/>
      </c>
      <c r="J175" s="452" t="inlineStr">
        <is>
          <t>Range</t>
        </is>
      </c>
      <c r="K175" s="323" t="inlineStr">
        <is>
          <t>NA</t>
        </is>
      </c>
      <c r="L175" s="323" t="inlineStr">
        <is>
          <t>NA</t>
        </is>
      </c>
      <c r="M175" s="323" t="inlineStr">
        <is>
          <t>Form Type - TextBox</t>
        </is>
      </c>
      <c r="N175" s="352" t="inlineStr">
        <is>
          <t>0-7 = fcs_sugar_days</t>
        </is>
      </c>
      <c r="O175" s="140" t="n"/>
      <c r="P175" s="140" t="n"/>
      <c r="Q175" s="351" t="inlineStr">
        <is>
          <t>For any response, go to fcs_sugar_days</t>
        </is>
      </c>
      <c r="R175" s="351" t="n"/>
      <c r="S175" s="159" t="inlineStr">
        <is>
          <t>resp_age = 18-100
hh_agricactivity = 1 | 2 | 3 | 4
quotareached = 2</t>
        </is>
      </c>
      <c r="T175" s="195" t="n"/>
      <c r="U175" s="44" t="n">
        <v>17</v>
      </c>
      <c r="V175" s="42" t="n">
        <v>1</v>
      </c>
      <c r="W175" s="44">
        <f>U175*V175</f>
        <v/>
      </c>
      <c r="X175" s="3" t="n"/>
      <c r="Z175" s="7" t="inlineStr">
        <is>
          <t>no</t>
        </is>
      </c>
      <c r="AA175" s="54" t="n"/>
      <c r="AD175" s="6" t="inlineStr">
        <is>
          <t>new question</t>
        </is>
      </c>
    </row>
    <row r="176" ht="150" customFormat="1" customHeight="1" s="5">
      <c r="A176" s="503">
        <f>A175+1</f>
        <v/>
      </c>
      <c r="B176" s="160" t="inlineStr">
        <is>
          <t>fcs_sugar_days</t>
        </is>
      </c>
      <c r="C176" s="162" t="inlineStr">
        <is>
          <t>fcs_sugar_days</t>
        </is>
      </c>
      <c r="D176" s="325" t="inlineStr">
        <is>
          <t>How many days over the last 7 days, did members of your household consume sugar or sweet such as sugar, honey, jam, cakes, candy, cookies, pastries, cakes and other sweets and sugary drinks?
[OPERATOR: RECORD NUMBER OF DAYS 0 - 7]
[HINT: IF CONSUMED ONLY IN SMALL QUANTITY, DO NOT INCLUDE.]</t>
        </is>
      </c>
      <c r="E176" s="316">
        <f>LEN(D176)</f>
        <v/>
      </c>
      <c r="F176" s="325" t="inlineStr">
        <is>
          <t>Mazuva mangani pamazuva 7 apfuura, apo nhengo dzemhuri yenyu dzakadya tsvigiri kana zvekudya zvinotapira zvakadai setsvigiri, huchi, jamu, makeke, zvekubheka nezvimwe zviwitsi uye zvimwiwa zvinotapira?
[ARI KUITISA ONGORORO: NYORA PASI KUTI MAZUVA MANGANI KUBVA PA-0 KUSVIKA PA-7]
[ZANO: KANA ZVAKADYIWA ZVINGORI MUHUSHOMA, USAZVIISE.]</t>
        </is>
      </c>
      <c r="G176" s="323">
        <f>LEN(F176)</f>
        <v/>
      </c>
      <c r="H176" s="325" t="inlineStr">
        <is>
          <t>Ngamalanga amangaki kumalanga angu 7 adluleyo, lapho amalunga omuzi wakho adla khona itshukela kumbe okunambithekayo okufana letshukela, uluju, ijemu,iziwiji, amakhekhe, amabhisikiti, okubhakwayo, amakhekhe kanye lokunathwayo okunambithekayo?
[OQHUBAYO: BHALA INANI LAMALANGA 0-7]
[ICEBO: NXA KUDLIWA KULINANI ELINCANE, UNGAGOQELI.]</t>
        </is>
      </c>
      <c r="I176" s="323">
        <f>LEN(H176)</f>
        <v/>
      </c>
      <c r="J176" s="452" t="inlineStr">
        <is>
          <t>Range</t>
        </is>
      </c>
      <c r="K176" s="323" t="inlineStr">
        <is>
          <t>NA</t>
        </is>
      </c>
      <c r="L176" s="323" t="inlineStr">
        <is>
          <t>NA</t>
        </is>
      </c>
      <c r="M176" s="323" t="inlineStr">
        <is>
          <t>Form Type - TextBox</t>
        </is>
      </c>
      <c r="N176" s="352" t="inlineStr">
        <is>
          <t>0-7 = fcs_oil_days</t>
        </is>
      </c>
      <c r="O176" s="140" t="n"/>
      <c r="P176" s="140" t="n"/>
      <c r="Q176" s="351" t="inlineStr">
        <is>
          <t>For any response, go to fcs_oil_days</t>
        </is>
      </c>
      <c r="R176" s="351" t="n"/>
      <c r="S176" s="159" t="inlineStr">
        <is>
          <t>resp_age = 18-100
hh_agricactivity = 1 | 2 | 3 | 4
quotareached = 2</t>
        </is>
      </c>
      <c r="T176" s="195" t="n"/>
      <c r="U176" s="44" t="n">
        <v>17</v>
      </c>
      <c r="V176" s="42" t="n">
        <v>1</v>
      </c>
      <c r="W176" s="44">
        <f>U176*V176</f>
        <v/>
      </c>
      <c r="X176" s="3" t="n"/>
      <c r="Z176" s="7" t="inlineStr">
        <is>
          <t>no</t>
        </is>
      </c>
      <c r="AA176" s="54" t="n"/>
      <c r="AD176" s="6" t="inlineStr">
        <is>
          <t>new question</t>
        </is>
      </c>
    </row>
    <row r="177" ht="131.25" customFormat="1" customHeight="1" s="5">
      <c r="A177" s="503">
        <f>A176+1</f>
        <v/>
      </c>
      <c r="B177" s="160" t="inlineStr">
        <is>
          <t>fcs_oil_days</t>
        </is>
      </c>
      <c r="C177" s="162" t="inlineStr">
        <is>
          <t>fcs_oil_days</t>
        </is>
      </c>
      <c r="D177" s="325" t="inlineStr">
        <is>
          <t>How many days over the last 7 days, did members of your household eat oil/fat/butter such as vegetable oil, palm oil, groundnut oil, margarine, other fats / oil?
[OPERATOR: RECORD NUMBER OF DAYS 0 - 7]
[HINT: IF CONSUMED ONLY IN SMALL QUANTITY, DO NOT INCLUDE.]</t>
        </is>
      </c>
      <c r="E177" s="316">
        <f>LEN(D177)</f>
        <v/>
      </c>
      <c r="F177" s="520" t="inlineStr">
        <is>
          <t>Mazuva mangani pamazuva 7 apfuura, apo nhengo dzemhuri yenyu dzakadya mafuta/bhata zvakaita semafuta emiriwo, emupalm, enzungu, majarini, mamwewo mafuta?
[ARI KUITISA ONGORORO: NYORA PASI KUTI MAZUVA MANGANI KUBVA PA-0 KUSVIKA PA-7]
[ZANO: KANA ZVAKADYIWA ZVINGORI MUHUSHOMA, USAZVIISE.]</t>
        </is>
      </c>
      <c r="G177" s="323">
        <f>LEN(F177)</f>
        <v/>
      </c>
      <c r="H177" s="325" t="inlineStr">
        <is>
          <t>Ngamalanga amangaki kumalanga angu 7 adluleyo, lapho amalunga omuzi wakho adla khona amafutha/ibhatha okufana lamafutha athengwayo, ipalm oil, amafutha amazambane, majalini / lokunye okungamafutha?
[OQHUBAYO: BHALA INANI LAMALANGA 0-7]
[ICEBO: NXA KUDLIWA KULINANI ELINCANE, UNGAGOQELI.]</t>
        </is>
      </c>
      <c r="I177" s="323">
        <f>LEN(H177)</f>
        <v/>
      </c>
      <c r="J177" s="452" t="inlineStr">
        <is>
          <t>Range</t>
        </is>
      </c>
      <c r="K177" s="323" t="inlineStr">
        <is>
          <t>NA</t>
        </is>
      </c>
      <c r="L177" s="323" t="inlineStr">
        <is>
          <t>NA</t>
        </is>
      </c>
      <c r="M177" s="323" t="inlineStr">
        <is>
          <t>Form Type - TextBox</t>
        </is>
      </c>
      <c r="N177" s="352" t="inlineStr">
        <is>
          <t>0-7 = fcs_condiments_days</t>
        </is>
      </c>
      <c r="O177" s="140" t="n"/>
      <c r="P177" s="140" t="n"/>
      <c r="Q177" s="351" t="inlineStr">
        <is>
          <t>For any response, go to fcs_condiments_days</t>
        </is>
      </c>
      <c r="R177" s="351" t="n"/>
      <c r="S177" s="159" t="inlineStr">
        <is>
          <t>resp_age = 18-100
hh_agricactivity = 1 | 2 | 3 | 4
quotareached = 2</t>
        </is>
      </c>
      <c r="T177" s="195" t="n"/>
      <c r="U177" s="44" t="n">
        <v>17</v>
      </c>
      <c r="V177" s="42" t="n">
        <v>1</v>
      </c>
      <c r="W177" s="44">
        <f>U177*V177</f>
        <v/>
      </c>
      <c r="X177" s="3" t="n"/>
      <c r="Z177" s="7" t="inlineStr">
        <is>
          <t>no</t>
        </is>
      </c>
      <c r="AA177" s="54" t="n"/>
      <c r="AD177" s="6" t="inlineStr">
        <is>
          <t>new question</t>
        </is>
      </c>
    </row>
    <row r="178" ht="150.75" customFormat="1" customHeight="1" s="5" thickBot="1">
      <c r="A178" s="503">
        <f>A177+1</f>
        <v/>
      </c>
      <c r="B178" s="279" t="inlineStr">
        <is>
          <t>fcs_condiments_days</t>
        </is>
      </c>
      <c r="C178" s="280" t="inlineStr">
        <is>
          <t>fcs_condiments_days</t>
        </is>
      </c>
      <c r="D178" s="493" t="inlineStr">
        <is>
          <t>How many days over the last 7 days, did members of your household eat spices or condiments such as tea, coffee, cocoa, salt, garlic, spices, yeast, meat fish as a condiment or small amounts of milk for tea or coffee?
[OPERATOR: RECORD NUMBER OF DAYS 0 - 7]
[HINT: IF CONSUMED ONLY IN SMALL QUANTITY, DO NOT INCLUDE.]</t>
        </is>
      </c>
      <c r="E178" s="456">
        <f>LEN(D178)</f>
        <v/>
      </c>
      <c r="F178" s="493" t="inlineStr">
        <is>
          <t>Mazuva mangani mumazuva 7 apfuura, apo nhengo dzemhuri yenyu dzakadya zvekudya zvakadai setiyi, kofi, kokoa, munyu, gariki, zvekukaringisa, mbiriso, nyama kana hove sezvekukaringisa kana kuti zvikamu zvishoma zvemukaka wetiyi kana kofi?
[ARI KUITISA ONGORORO: NYORA PASI KUTI MAZUVA MANGANI KUBVA PA-0 KUSVIKA PA-7]
[ZANO: KANA ZVAKADYIWA ZVINGORI MUHUSHOMA, USAZVIISE.]</t>
        </is>
      </c>
      <c r="G178" s="492">
        <f>LEN(F178)</f>
        <v/>
      </c>
      <c r="H178" s="493" t="inlineStr">
        <is>
          <t>Ngamalanga amangaki kumalanga ayisikhombisa adluleyo, lapho amalunga omuzi wakho adle ama-spice kumbe okufakwa ekudleni okufana letiye, ikhofi, icocoa, sawudo, galikhi, i-spice, okokukhukhumeza isinkwa, inyama inhlanzi kulabilisa ukudla kumbe uchago oluncane etiyeni kumbe ekhofini?
[OQHUBAYO: BHALA INANI LAMALANGA 0-7]
[ICEBO: NXA KUDLIWA KULINANI ELINCANE, UNGAGOQELI.]</t>
        </is>
      </c>
      <c r="I178" s="492">
        <f>LEN(H178)</f>
        <v/>
      </c>
      <c r="J178" s="494" t="inlineStr">
        <is>
          <t>Range</t>
        </is>
      </c>
      <c r="K178" s="492" t="inlineStr">
        <is>
          <t>NA</t>
        </is>
      </c>
      <c r="L178" s="492" t="inlineStr">
        <is>
          <t>NA</t>
        </is>
      </c>
      <c r="M178" s="492" t="inlineStr">
        <is>
          <t>Form Type - TextBox</t>
        </is>
      </c>
      <c r="N178" s="495" t="inlineStr">
        <is>
          <t>0-7 = rcsi_intro</t>
        </is>
      </c>
      <c r="O178" s="140" t="n"/>
      <c r="P178" s="140" t="n"/>
      <c r="Q178" s="351" t="inlineStr">
        <is>
          <t>For any response, go to rcsi</t>
        </is>
      </c>
      <c r="R178" s="351" t="n"/>
      <c r="S178" s="159" t="inlineStr">
        <is>
          <t>resp_age = 18-100
hh_agricactivity = 1 | 2 | 3 | 4
quotareached = 2</t>
        </is>
      </c>
      <c r="T178" s="195" t="n"/>
      <c r="U178" s="44" t="n">
        <v>17</v>
      </c>
      <c r="V178" s="42" t="n">
        <v>1</v>
      </c>
      <c r="W178" s="44">
        <f>U178*V178</f>
        <v/>
      </c>
      <c r="X178" s="3" t="n"/>
      <c r="Z178" s="7" t="inlineStr">
        <is>
          <t>no</t>
        </is>
      </c>
      <c r="AA178" s="54" t="n"/>
      <c r="AD178" s="6" t="n"/>
    </row>
    <row r="179" ht="93.75" customFormat="1" customHeight="1" s="5">
      <c r="A179" s="503">
        <f>A178+1</f>
        <v/>
      </c>
      <c r="B179" s="136" t="inlineStr">
        <is>
          <t>rcsi_intro</t>
        </is>
      </c>
      <c r="C179" s="137" t="inlineStr">
        <is>
          <t>rcsi_intro</t>
        </is>
      </c>
      <c r="D179" s="305" t="inlineStr">
        <is>
          <t>Now I will ask you about the number of days, in the last 7 days, during which the household has done some of the actions that I will mention to cope with the lack of food or money to buy food.
1)CONTINUE</t>
        </is>
      </c>
      <c r="E179" s="315">
        <f>LEN(D179)</f>
        <v/>
      </c>
      <c r="F179" s="305" t="inlineStr">
        <is>
          <t>Parizvino ndichakubvunza nezvehuwandu hwemazuva, mumazuva 7 apfuura, umo mhuri yenyu yakaita zvimwe zvezvandichataura kuti igadzirise dambudziko rekushaya zvekudya kana mari yekutenga zvekudya.
1)ENDERERA MBERI</t>
        </is>
      </c>
      <c r="G179" s="274">
        <f>LEN(F179)</f>
        <v/>
      </c>
      <c r="H179" s="305" t="inlineStr">
        <is>
          <t>Okwamanje ngizakubuza mayelana lokuthi malanga amangaki, kumalanga angu 7 adluleyo, lapho abomuzi bakho bakwenza okuthile engizalitshelayo ukuze libhekane lesimo sokuswelakala kokudla kumbe imali yokuthenga ukudla.
1)QHUBEKA</t>
        </is>
      </c>
      <c r="I179" s="70">
        <f>LEN(H179)</f>
        <v/>
      </c>
      <c r="J179" s="143" t="inlineStr">
        <is>
          <t>Single Choice</t>
        </is>
      </c>
      <c r="K179" s="70" t="inlineStr">
        <is>
          <t>NA</t>
        </is>
      </c>
      <c r="L179" s="70" t="inlineStr">
        <is>
          <t>NA</t>
        </is>
      </c>
      <c r="M179" s="70" t="inlineStr">
        <is>
          <t>Form Type - Buttons</t>
        </is>
      </c>
      <c r="N179" s="131" t="inlineStr">
        <is>
          <t>1 = rcsi_less_preferred_foods</t>
        </is>
      </c>
      <c r="O179" s="140" t="n"/>
      <c r="P179" s="140" t="n"/>
      <c r="Q179" s="351" t="inlineStr">
        <is>
          <t>For any response, go to rcsi_less_preferred_foods</t>
        </is>
      </c>
      <c r="R179" s="351" t="n"/>
      <c r="S179" s="159" t="inlineStr">
        <is>
          <t>resp_age = 18-100
hh_agricactivity = 1 | 2 | 3 | 4
quotareached = 2</t>
        </is>
      </c>
      <c r="T179" s="195" t="n"/>
      <c r="U179" s="44" t="n"/>
      <c r="V179" s="42" t="n">
        <v>1</v>
      </c>
      <c r="W179" s="44">
        <f>U179*V179</f>
        <v/>
      </c>
      <c r="X179" s="3" t="n"/>
      <c r="Z179" s="7" t="inlineStr">
        <is>
          <t>no</t>
        </is>
      </c>
      <c r="AA179" s="54" t="n"/>
      <c r="AD179" s="6" t="inlineStr">
        <is>
          <t>new question</t>
        </is>
      </c>
    </row>
    <row r="180" ht="93.75" customFormat="1" customHeight="1" s="5">
      <c r="A180" s="503">
        <f>A179+1</f>
        <v/>
      </c>
      <c r="B180" s="160" t="inlineStr">
        <is>
          <t>rcsi_less_preferred_foods</t>
        </is>
      </c>
      <c r="C180" s="162" t="inlineStr">
        <is>
          <t>rcsi_less_preferred_foods</t>
        </is>
      </c>
      <c r="D180" s="202" t="inlineStr">
        <is>
          <t>In the past 7 days, how many days did your household rely on less preferred or less expensive food due to lack of food/money?  
[OPERATOR: RECORD NUMBER OF DAYS 0 - 7 ]</t>
        </is>
      </c>
      <c r="E180" s="315">
        <f>LEN(D180)</f>
        <v/>
      </c>
      <c r="F180" s="202" t="inlineStr">
        <is>
          <t>Mumazuva 7 apfuura, mazuva mangani apo mhuri yenyu yakararama nezvekudya zvisinganyanyi kudiwa kana kuti zvakachipa nekuda kwekushaya zvekudya kana mari?  
[ARI KUITISA ONGORORO: NYORA PASI KUTI MAZUVA MANGANI KUBVA PA-0 KUSVIKA PA-7]</t>
        </is>
      </c>
      <c r="G180" s="286">
        <f>LEN(F180)</f>
        <v/>
      </c>
      <c r="H180" s="202" t="inlineStr">
        <is>
          <t>Ngamalanga amangaki kumalanga angu7 adluleyo, lapho abomuzi wakho abathembela ekudleni abangakukhethiyo kumbe okungaduli kakhulu ngenxa yokuswela ukudla/imali?   
[OQHUBAYO: BHALA INANI LAMALANGA 0-7]</t>
        </is>
      </c>
      <c r="I180" s="163">
        <f>LEN(H180)</f>
        <v/>
      </c>
      <c r="J180" s="165" t="inlineStr">
        <is>
          <t>Range</t>
        </is>
      </c>
      <c r="K180" s="163" t="inlineStr">
        <is>
          <t>NA</t>
        </is>
      </c>
      <c r="L180" s="163" t="inlineStr">
        <is>
          <t>NA</t>
        </is>
      </c>
      <c r="M180" s="163" t="inlineStr">
        <is>
          <t>Form Type - TextBox</t>
        </is>
      </c>
      <c r="N180" s="159" t="inlineStr">
        <is>
          <t>0-7 = rcsi_borrowed_food</t>
        </is>
      </c>
      <c r="O180" s="140" t="n"/>
      <c r="P180" s="140" t="n"/>
      <c r="Q180" s="351" t="inlineStr">
        <is>
          <t>For any response, go to rcsi_borrowed_food</t>
        </is>
      </c>
      <c r="R180" s="351" t="n"/>
      <c r="S180" s="159" t="inlineStr">
        <is>
          <t>resp_age = 18-100
hh_agricactivity = 1 | 2 | 3 | 4
quotareached = 2</t>
        </is>
      </c>
      <c r="T180" s="195" t="n"/>
      <c r="U180" s="44" t="n">
        <v>17</v>
      </c>
      <c r="V180" s="42" t="n">
        <v>1</v>
      </c>
      <c r="W180" s="44">
        <f>U180*V180</f>
        <v/>
      </c>
      <c r="X180" s="3" t="n"/>
      <c r="Z180" s="7" t="inlineStr">
        <is>
          <t>no</t>
        </is>
      </c>
      <c r="AA180" s="54" t="n"/>
      <c r="AD180" s="6" t="inlineStr">
        <is>
          <t>new question</t>
        </is>
      </c>
    </row>
    <row r="181" ht="93.75" customFormat="1" customHeight="1" s="5">
      <c r="A181" s="503">
        <f>A180+1</f>
        <v/>
      </c>
      <c r="B181" s="160" t="inlineStr">
        <is>
          <t>rcsi_borrowed_food</t>
        </is>
      </c>
      <c r="C181" s="162" t="inlineStr">
        <is>
          <t>rcsi_borrowed_food</t>
        </is>
      </c>
      <c r="D181" s="202" t="inlineStr">
        <is>
          <t>In the past 7 days, how many days did your household borrow food, or rely on help from a friend or relative due to lack of food or money to buy food? 
[OPERATOR: RECORD NUMBER OF DAYS 0 - 7 ]</t>
        </is>
      </c>
      <c r="E181" s="315">
        <f>LEN(D181)</f>
        <v/>
      </c>
      <c r="F181" s="202" t="inlineStr">
        <is>
          <t>Mumazuva 7 apfuura, mazuva mangani apo mhuri yenyu yakakwereta zvekudya kana kuti kupiwa rubatsiro neshamwari kana hama nekuda kwekushaya zvekudya kana mari? 
[ARI KUITISA ONGORORO: NYORA PASI KUTI MAZUVA MANGANI KUBVA PA-0 KUSVIKA PA-7]</t>
        </is>
      </c>
      <c r="G181" s="286">
        <f>LEN(F181)</f>
        <v/>
      </c>
      <c r="H181" s="202" t="inlineStr">
        <is>
          <t>Kumalanga angu7 adluleyo,ngamalanga amangaki lapho abomuzi wakho ababoleka khona ukudla, kumbe bethembele ekuncedweni ngumngane kumbe isihlobo ngenxa yokuswela ukudla kumbe imali yokuthenga ukudla?
[OQHUBAYO: BHALA INANI LAMALANGA 0-7]</t>
        </is>
      </c>
      <c r="I181" s="163">
        <f>LEN(H181)</f>
        <v/>
      </c>
      <c r="J181" s="165" t="inlineStr">
        <is>
          <t>Range</t>
        </is>
      </c>
      <c r="K181" s="163" t="inlineStr">
        <is>
          <t>NA</t>
        </is>
      </c>
      <c r="L181" s="163" t="inlineStr">
        <is>
          <t>NA</t>
        </is>
      </c>
      <c r="M181" s="163" t="inlineStr">
        <is>
          <t>Form Type - TextBox</t>
        </is>
      </c>
      <c r="N181" s="159" t="inlineStr">
        <is>
          <t>0-7 = rcsi_reduce_number_meals</t>
        </is>
      </c>
      <c r="O181" s="140" t="n"/>
      <c r="P181" s="140" t="n"/>
      <c r="Q181" s="351" t="inlineStr">
        <is>
          <t>For any response, go to rcsi_reduce_number_meals</t>
        </is>
      </c>
      <c r="R181" s="351" t="n"/>
      <c r="S181" s="159" t="inlineStr">
        <is>
          <t>resp_age = 18-100
hh_agricactivity = 1 | 2 | 3 | 4
quotareached = 2</t>
        </is>
      </c>
      <c r="T181" s="195" t="n"/>
      <c r="U181" s="44" t="n">
        <v>17</v>
      </c>
      <c r="V181" s="42" t="n">
        <v>1</v>
      </c>
      <c r="W181" s="44">
        <f>U181*V181</f>
        <v/>
      </c>
      <c r="X181" s="3" t="n"/>
      <c r="Z181" s="7" t="inlineStr">
        <is>
          <t>no</t>
        </is>
      </c>
      <c r="AA181" s="54" t="n"/>
      <c r="AD181" s="6" t="inlineStr">
        <is>
          <t>new question</t>
        </is>
      </c>
    </row>
    <row r="182" ht="93.75" customFormat="1" customHeight="1" s="5">
      <c r="A182" s="503">
        <f>A181+1</f>
        <v/>
      </c>
      <c r="B182" s="160" t="inlineStr">
        <is>
          <t>rcsi_reduce_number_meals</t>
        </is>
      </c>
      <c r="C182" s="162" t="inlineStr">
        <is>
          <t>rcsi_reduce_number_meals</t>
        </is>
      </c>
      <c r="D182" s="202" t="inlineStr">
        <is>
          <t>In the past 7 days, how many days did your household reduce the number of meals eaten in a day due to lack of food or money to buy food?
[OPERATOR: RECORD NUMBER OF DAYS 0 - 7 ]</t>
        </is>
      </c>
      <c r="E182" s="315">
        <f>LEN(D182)</f>
        <v/>
      </c>
      <c r="F182" s="202" t="inlineStr">
        <is>
          <t>Mumazuva 7 apfuura, mazuva mangani apo mhuri yenyu yakaderedza nguva dzaifanira kudyiwa pazuva nekuda kwekushaya zvekudya kana mari?
[ARI KUITISA ONGORORO: NYORA PASI KUTI MAZUVA MANGANI KUBVA PA-0 KUSVIKA PA-7]</t>
        </is>
      </c>
      <c r="G182" s="286">
        <f>LEN(F182)</f>
        <v/>
      </c>
      <c r="H182" s="202" t="inlineStr">
        <is>
          <t>Kumalanga angu7 adluleyo,ngamalanga amangaki lapho abomuzi wakho abehlisa khona inani lokudla okudliwa ngelanga ngenxa yokuswela ukudla kumbe imali yokuthenga ukudla?
[OQHUBAYO: BHALA INANI LAMALANGA 0-7]</t>
        </is>
      </c>
      <c r="I182" s="163">
        <f>LEN(H182)</f>
        <v/>
      </c>
      <c r="J182" s="165" t="inlineStr">
        <is>
          <t>Range</t>
        </is>
      </c>
      <c r="K182" s="163" t="inlineStr">
        <is>
          <t>NA</t>
        </is>
      </c>
      <c r="L182" s="163" t="inlineStr">
        <is>
          <t>NA</t>
        </is>
      </c>
      <c r="M182" s="163" t="inlineStr">
        <is>
          <t>Form Type - TextBox</t>
        </is>
      </c>
      <c r="N182" s="159" t="inlineStr">
        <is>
          <t>0-7 = rcsi_limit_portions</t>
        </is>
      </c>
      <c r="O182" s="140" t="n"/>
      <c r="P182" s="140" t="n"/>
      <c r="Q182" s="351" t="inlineStr">
        <is>
          <t>For any response, go to rcsi_limit_portions</t>
        </is>
      </c>
      <c r="R182" s="351" t="n"/>
      <c r="S182" s="159" t="inlineStr">
        <is>
          <t>resp_age = 18-100
hh_agricactivity = 1 | 2 | 3 | 4
quotareached = 2</t>
        </is>
      </c>
      <c r="T182" s="195" t="n"/>
      <c r="U182" s="44" t="n">
        <v>17</v>
      </c>
      <c r="V182" s="42" t="n">
        <v>1</v>
      </c>
      <c r="W182" s="44">
        <f>U182*V182</f>
        <v/>
      </c>
      <c r="X182" s="3" t="n"/>
      <c r="Z182" s="7" t="inlineStr">
        <is>
          <t>no</t>
        </is>
      </c>
      <c r="AA182" s="54" t="n"/>
      <c r="AD182" s="6" t="inlineStr">
        <is>
          <t>new question</t>
        </is>
      </c>
    </row>
    <row r="183" ht="93.75" customFormat="1" customHeight="1" s="5">
      <c r="A183" s="503">
        <f>A182+1</f>
        <v/>
      </c>
      <c r="B183" s="160" t="inlineStr">
        <is>
          <t>rcsi_limit_portions</t>
        </is>
      </c>
      <c r="C183" s="162" t="inlineStr">
        <is>
          <t>rcsi_limit_portions</t>
        </is>
      </c>
      <c r="D183" s="202" t="inlineStr">
        <is>
          <t>In the past 7 days, how many days did your household limit portion sizes at mealtime due to lack of food or money to buy food? 
[OPERATOR: RECORD NUMBER OF DAYS 0 - 7 ]</t>
        </is>
      </c>
      <c r="E183" s="315">
        <f>LEN(D183)</f>
        <v/>
      </c>
      <c r="F183" s="202" t="inlineStr">
        <is>
          <t>Mumazuva 7 apfuura, mazuva mangani apo mhuri yenyu yakadzikisa huwandu zvezvekudya panguva yekudya nekuda kwekushaya zvekudya kana mari?
[ARI KUITISA ONGORORO: NYORA PASI KUTI MAZUVA MANGANI KUBVA PA-0 KUSVIKA PA-7]</t>
        </is>
      </c>
      <c r="G183" s="286">
        <f>LEN(F183)</f>
        <v/>
      </c>
      <c r="H183" s="202" t="inlineStr">
        <is>
          <t>Kumalanga angu7 adluleyo,ngamalanga amangaki lapho abomuzi wakho abehlisa ubunengi bokudla ngesikhathi sokudla ngenxa yokuswela ukudla kumbe imali yokuthenga ukudla?
[OQHUBAYO: BHALA INANI LAMALANGA 0-7]</t>
        </is>
      </c>
      <c r="I183" s="163">
        <f>LEN(H183)</f>
        <v/>
      </c>
      <c r="J183" s="165" t="inlineStr">
        <is>
          <t>Range</t>
        </is>
      </c>
      <c r="K183" s="163" t="inlineStr">
        <is>
          <t>NA</t>
        </is>
      </c>
      <c r="L183" s="163" t="inlineStr">
        <is>
          <t>NA</t>
        </is>
      </c>
      <c r="M183" s="163" t="inlineStr">
        <is>
          <t>Form Type - TextBox</t>
        </is>
      </c>
      <c r="N183" s="159" t="inlineStr">
        <is>
          <t>0-7 = rcsi_restrict_adult_consumption</t>
        </is>
      </c>
      <c r="O183" s="140" t="n"/>
      <c r="P183" s="140" t="n"/>
      <c r="Q183" s="351" t="inlineStr">
        <is>
          <t>For any response, go to  rcsi_restrict_adult_consumption</t>
        </is>
      </c>
      <c r="R183" s="351" t="n"/>
      <c r="S183" s="159" t="inlineStr">
        <is>
          <t>resp_age = 18-100
hh_agricactivity = 1 | 2 | 3 | 4
quotareached = 2</t>
        </is>
      </c>
      <c r="T183" s="195" t="n"/>
      <c r="U183" s="44" t="n">
        <v>17</v>
      </c>
      <c r="V183" s="42" t="n">
        <v>1</v>
      </c>
      <c r="W183" s="44">
        <f>U183*V183</f>
        <v/>
      </c>
      <c r="X183" s="3" t="n"/>
      <c r="Z183" s="7" t="inlineStr">
        <is>
          <t>no</t>
        </is>
      </c>
      <c r="AA183" s="54" t="n"/>
      <c r="AD183" s="6" t="inlineStr">
        <is>
          <t>new question</t>
        </is>
      </c>
    </row>
    <row r="184" ht="94.5" customFormat="1" customHeight="1" s="5" thickBot="1">
      <c r="A184" s="506">
        <f>A183+1</f>
        <v/>
      </c>
      <c r="B184" s="133" t="inlineStr">
        <is>
          <t>rcsi_restrict_adult_consumption</t>
        </is>
      </c>
      <c r="C184" s="134" t="inlineStr">
        <is>
          <t>rcsi_restrict_adult_consumption</t>
        </is>
      </c>
      <c r="D184" s="177" t="inlineStr">
        <is>
          <t>In the past 7 days, how many days did your household restrict consumption by adults so children could eat, due to lack of food or money to buy food?
[OPERATOR: RECORD NUMBER OF DAYS 0 - 7 ]</t>
        </is>
      </c>
      <c r="E184" s="315">
        <f>LEN(D184)</f>
        <v/>
      </c>
      <c r="F184" s="177" t="inlineStr">
        <is>
          <t>Mumazuva 7 apfuura, mazuva mangani apo mhuri yenyu yakati vakuru vambomira kudya kuitira kuti vana vadye nekuda kwekushaya zvekudya kana mari?
[ARI KUITISA ONGORORO: NYORA PASI KUTI MAZUVA MANGANI KUBVA PA-0 KUSVIKA PA-7]</t>
        </is>
      </c>
      <c r="G184" s="298">
        <f>LEN(F184)</f>
        <v/>
      </c>
      <c r="H184" s="177" t="inlineStr">
        <is>
          <t>Kumalanga angu7 adluleyo,ngamalanga amangaki lapho abomuzi wakho abadala abangadlanga khona abantwana bayadla ngenxa yokuswela ukudla kumbe imali yokuthenga ukudla?
[OQHUBAYO: BHALA INANI LAMALANGA 0-7]</t>
        </is>
      </c>
      <c r="I184" s="132">
        <f>LEN(H184)</f>
        <v/>
      </c>
      <c r="J184" s="209" t="inlineStr">
        <is>
          <t>Range</t>
        </is>
      </c>
      <c r="K184" s="132" t="inlineStr">
        <is>
          <t>NA</t>
        </is>
      </c>
      <c r="L184" s="132" t="inlineStr">
        <is>
          <t>NA</t>
        </is>
      </c>
      <c r="M184" s="132" t="inlineStr">
        <is>
          <t>Form Type - TextBox</t>
        </is>
      </c>
      <c r="N184" s="177" t="inlineStr">
        <is>
          <t>0-7 = need_1</t>
        </is>
      </c>
      <c r="O184" s="210" t="n"/>
      <c r="P184" s="210" t="n"/>
      <c r="Q184" s="299" t="inlineStr">
        <is>
          <t>For any response, go to need_1</t>
        </is>
      </c>
      <c r="R184" s="299" t="n"/>
      <c r="S184" s="177" t="inlineStr">
        <is>
          <t>resp_age = 18-100
hh_agricactivity = 1 | 2 | 3 | 4
quotareached = 2</t>
        </is>
      </c>
      <c r="T184" s="199" t="n"/>
      <c r="U184" s="44" t="n">
        <v>17</v>
      </c>
      <c r="V184" s="42" t="n">
        <v>1</v>
      </c>
      <c r="W184" s="44">
        <f>U184*V184</f>
        <v/>
      </c>
      <c r="X184" s="3" t="n"/>
      <c r="Z184" s="7" t="inlineStr">
        <is>
          <t>no</t>
        </is>
      </c>
      <c r="AA184" s="54" t="n"/>
      <c r="AD184" s="6" t="inlineStr">
        <is>
          <t>new question</t>
        </is>
      </c>
    </row>
    <row r="185" ht="19.5" customFormat="1" customHeight="1" s="5" thickBot="1">
      <c r="A185" s="530" t="inlineStr">
        <is>
          <t>H. NEEDS ASSISTANCE</t>
        </is>
      </c>
      <c r="B185" s="577" t="n"/>
      <c r="C185" s="577" t="n"/>
      <c r="D185" s="577" t="n"/>
      <c r="E185" s="577" t="n"/>
      <c r="F185" s="577" t="n"/>
      <c r="G185" s="577" t="n"/>
      <c r="H185" s="577" t="n"/>
      <c r="I185" s="577" t="n"/>
      <c r="J185" s="577" t="n"/>
      <c r="K185" s="577" t="n"/>
      <c r="L185" s="577" t="n"/>
      <c r="M185" s="577" t="n"/>
      <c r="N185" s="577" t="n"/>
      <c r="O185" s="577" t="n"/>
      <c r="P185" s="577" t="n"/>
      <c r="Q185" s="577" t="n"/>
      <c r="R185" s="577" t="n"/>
      <c r="S185" s="577" t="n"/>
      <c r="T185" s="587" t="n"/>
      <c r="U185" s="44" t="n"/>
      <c r="V185" s="42" t="n"/>
      <c r="W185" s="44" t="n"/>
      <c r="X185" s="3" t="n"/>
      <c r="Z185" s="7" t="n"/>
      <c r="AA185" s="54" t="n"/>
      <c r="AD185" s="6" t="n"/>
    </row>
    <row r="186" ht="187.5" customFormat="1" customHeight="1" s="17">
      <c r="A186" s="507">
        <f>A184+1</f>
        <v/>
      </c>
      <c r="B186" s="59" t="inlineStr">
        <is>
          <t>need_1</t>
        </is>
      </c>
      <c r="C186" s="67" t="inlineStr">
        <is>
          <t>need</t>
        </is>
      </c>
      <c r="D186" s="353" t="inlineStr">
        <is>
          <t>Does your household need assistance for agricultural activities [including crop, livestock and fisheries/aquaculture activities] over the next 3 to 6 months?
[OPERATOR: SINGLE RESPONSE.]
1)YES
2)NO
3)DON'T KNOW
4)REFUSED</t>
        </is>
      </c>
      <c r="E186" s="315">
        <f>LEN(D186)</f>
        <v/>
      </c>
      <c r="F186" s="353" t="inlineStr">
        <is>
          <t>Mhuri yenyu ingada here rubatsiro mumwedzi 3 kusvika ku6 inotevera mumabasa ekurima [kusanganisira zvirimwa, kupfuya zvipfuyo uye hove/mabasa ekuchengeta hove]?
[ARI KUITISA ONGORORO: MHINDURO IMWE CHETE.]
1)HONGU 
2)KWETE
3)HANDIZIVI
4)ARAMBA</t>
        </is>
      </c>
      <c r="G186" s="315">
        <f>LEN(F186)</f>
        <v/>
      </c>
      <c r="H186" s="353" t="inlineStr">
        <is>
          <t>Kungabe umuzi wakho udinga uncedo kwezemisebenzi yokulima [kugoqela imisebenzi yezilimo, izifuyo kanye lezenhlanzi/okuhlala emanzini] kunyanga ezintathu kusiya kweziyisithupha ezizayo?
[OQHUBAYO: IMPENDULO EYODWA.]
1)YEBO
2)HATSHI
3)KAZI
4)WALILE</t>
        </is>
      </c>
      <c r="I186" s="315">
        <f>LEN(H186)</f>
        <v/>
      </c>
      <c r="J186" s="374" t="inlineStr">
        <is>
          <t>Single Choice</t>
        </is>
      </c>
      <c r="K186" s="315" t="inlineStr">
        <is>
          <t>NA</t>
        </is>
      </c>
      <c r="L186" s="343" t="inlineStr">
        <is>
          <t>NA</t>
        </is>
      </c>
      <c r="M186" s="315" t="inlineStr">
        <is>
          <t>Form Type - Buttons</t>
        </is>
      </c>
      <c r="N186" s="353" t="inlineStr">
        <is>
          <t>1 = need_2
2-4= need_received</t>
        </is>
      </c>
      <c r="O186" s="211" t="n"/>
      <c r="P186" s="211" t="n"/>
      <c r="Q186" s="373" t="inlineStr">
        <is>
          <t>if need_1 = 1, go to need_2
if need_1 = 2-4, go to need_received OR callback</t>
        </is>
      </c>
      <c r="R186" s="440" t="n"/>
      <c r="S186" s="131" t="inlineStr">
        <is>
          <t>resp_age = 18-100
hh_agricactivity = 1 | 2 | 3 | 4
quotareached = 2</t>
        </is>
      </c>
      <c r="T186" s="64" t="n"/>
      <c r="U186" s="47" t="n">
        <v>19.82824516296387</v>
      </c>
      <c r="V186" s="20" t="n">
        <v>1</v>
      </c>
      <c r="W186" s="45">
        <f>U186*V186</f>
        <v/>
      </c>
      <c r="X186" s="4" t="n"/>
      <c r="Z186" s="11" t="inlineStr">
        <is>
          <t>yes</t>
        </is>
      </c>
      <c r="AA186" s="53" t="n"/>
      <c r="AD186" s="8" t="n"/>
    </row>
    <row r="187" ht="409.5" customFormat="1" customHeight="1" s="5">
      <c r="A187" s="503">
        <f>A186+1</f>
        <v/>
      </c>
      <c r="B187" s="120" t="inlineStr">
        <is>
          <t>need_2</t>
        </is>
      </c>
      <c r="C187" s="306"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187" s="335" t="inlineStr">
        <is>
          <t>What are your household's greatest needs for assistance for agricultural activities [including crop, livestock or fisheries/aquaculture activities] over the next 3 to 6 months?
[OPERATOR: MULTIPLE RESPONSE. DO NOT READ THE OPTIONS IF POSSIBLE.]
1)Food
2)Cash
3)Vouchers or input trade fairs
4)Inputs for crop and/or vegetable production [e.g. seeds/fertilizer/tools]
5)Infrastructure for crop and/or vegetable production [e.g. irrigation/canal rehabilitation/pumps]
6)Training &amp; technical knowledge/advice for crop production
7)Livestock feed [fodder or supplementary feed]
8)Veterinary services [e.g. vaccination/dips/deworming]
9)Infrastructure for livestock [e.g. water points/transhumance corridors/shelter/health points]
10)Training &amp; technical knowledge/advice for livestock production
11)Inputs for fishing or aquaculture production
12)Infrastructure for fisheries or aquaculture production [e.g. rehabilitation of port / repair of ponds]
13)Training &amp; technical knowledge/advice for fisheries or aquaculture production
14)Environmental or infrastructure rehabilitation [community-wide]
15)Cold storage
16)Marketing or sales support [e.g. public procurement]
17)Other [specify]
18)DON'T KNOW
19)REFUSED</t>
        </is>
      </c>
      <c r="E187" s="316">
        <f>LEN(D187)</f>
        <v/>
      </c>
      <c r="F187" s="496" t="inlineStr">
        <is>
          <t>Ndezvipi izvo mhuri yenyu inganyanya kuda kubatsirwa mumabasa ekurima mumwedzi 3 kusvika ku6 inotevera [kusanganisira zvirimwa, kupfuya zvipfuyo uye hove/mabasa ekuchengeta hove]?
[ARI KUITISA ONGORORO: MHINDURO DZAKAWANDA. USAVERENGA MHINDURO KANA ZVICHIITA.]
1)Zvekudya
2)Mari
3)Mavhocha kana kuti kuratidzirwa zvinhu zvekushandisa nevatengesi
4)Zvekushandisa pazvirimwa uye/kana kuti pakurima miriwo [somuenzaniso mbeu/fetereza/maturusi]
5)Zvivakwa zvemabasa ekurima zvirimwa/kana miriwio [somuenzaniso madiridziro/kugadziriswa kwemigero/mapambu]
6)Kudzidziswa uye kupiwa ruzivo rwekushandisa michina/mazano pakurima zvirimwa
7)Chikafu chezvipfuyo [zvekudya kana zvekuwedzeresa hutano hwezvipfuyo]
8)Zvine chokuita nehutano hwezvipfuyo [somuenzaniso kubayisa majekiseni/kudhibhisa/kuuraya mahwemusi]
9)Zvivakwa zvemabasa ekupfuya zvipfuyo [somuenzaniso pekumwira mvura/mikoto yekuendesa kumafuro/matanga/nzvimbo dzezveutano]
10)Kudzidziswa uye kupiwa ruzivo rwekushandisa michina/mazano pakupfuya zvipfuyo
11)Zvekushandisa pakuredza kana kuti kuchengeta hove
12)Zvivakwa zvemabasa ekuchengeta hove [somuenzaniso kugadziriswa kwemapoti/mapondi]
13)Kudzidziswa uye kupiwa ruzivo rwekushandisa michina/mazano pakuchengeta hove
14)Kugadziriswa kwemunharaunda uye kwezvivakwa [mudunhu rose]
15)Nzvimbo dzekuchengetera nyama dzinotonhora
16)Kubatsirwa pakushambadza kana kuti kutengesa [somuenzaniso kutengesera hurumende]
17)Zvimwewo [ratidza]
18)HANDIZIVI
19)ARAMBA</t>
        </is>
      </c>
      <c r="G187" s="316">
        <f>LEN(F187)</f>
        <v/>
      </c>
      <c r="H187" s="496" t="inlineStr">
        <is>
          <t>Yikuphi okudingakala kakhulu emuzini wakho okwemisebenzi yezokulima [kugoqela imisebenzi yezilimo/izifuyo kanye lezenhlanzi/okuhlala emanzini] kunyanga ezintathu kusiya kweziyisithupha ezizayo?
[OQHUBAYO: IMPENDULO EZINENGI. UNGABALELI PHEZULU IMPENDULO NXA KUSENZA]
1)Ukudla
2)Imali
3)Ama-voucher kumbe inhlelo zokuthengiselana izinto zokusebenzisa
4)Okusetshenziswa ukulima izilimo kanye lokulima ezemibhida [isibonelo. inhlanyelo/ifethalayiza/amathuluzi]
5)Izakhiwo zokulima izilimo kanye/kumbe ezemibhida [isibonelo. ukuthelela/ukulungiswa kwezimpompi/impompi zokupompa amanzi]
6)Ulwazi lokufundiswa ukusebenzisa imitshina/izicebiso zokulima izilimo
7)Ukudla kwezifuyo [utshani kumbe okunye okuncedisayo okokudla]
8)Uncedo lokwelatshwa kwezifuyo [isibonelo. ukuhlatshiswa/ukudijiswa/ukukhitshwa amawemusi]
9)Izakhiwo zezifuyo [isibonelo. indawo zamanzi/indawo zamadlelo ezikhatshana/izibaya/indawo zezempilakahle]
10)Ulwazi lokufundiswa ukusebenzisa imitshina/izicebiso zokulima izilimo
11)Okusetshenzisa ukufuya inhlanzi kumbe okuhlala emanzini
12)Izakhiwo zezenhlanzi kumbe ukulungiswa kwalokho okuhlala emanzini [isibonelo. ukulungisiswa  kwemkhumbi/ukulungiswa kwendawo zokugcinela inhlanzi]
13)Ulwazi lokufundiswa ukusebenzisa imitshina/izicebiso zezokuthiya kumbe ezihlala emanzini
14)Ukulungisiswa kwemvelo kumbe izakhiwo [umphakathi wonke]
15)Indawo zokugcinela eziqandelelayo
16)Usekelo lokwazisa kumbe lokuthengisa [isibonelo. kwezomphakathi lehulumende]
17)Okunye [caca]
18)KAZI
19)WALILE</t>
        </is>
      </c>
      <c r="I187" s="316">
        <f>LEN(H187)</f>
        <v/>
      </c>
      <c r="J187" s="346" t="inlineStr">
        <is>
          <t xml:space="preserve">Open Ended-Select All That Apply </t>
        </is>
      </c>
      <c r="K187" s="316" t="inlineStr">
        <is>
          <t>NA</t>
        </is>
      </c>
      <c r="L187" s="343" t="inlineStr">
        <is>
          <t>NA</t>
        </is>
      </c>
      <c r="M187" s="316" t="inlineStr">
        <is>
          <t>Form Type - Checklist
18,19  = IsNone
Food) need_food
Cash) need_cash
Vouchers or input trade fairs) need_vouchers_fair
Inputs for crop and/or vegetable production [e.g. seeds/fertilizer/tools]) need_crop_inputs
Infrastructure for crop and/or vegetable production [e.g. irrigation/canal rehabilitation/pumps]) need_crop_infrastructure
Training &amp; technical knowledge/advice for crop production) need_crop_knowledge
Livestock feed [fodder or supplementary feed]) need_ls_feed
Veterinary services [e.g. vaccination/dips/deworming]) need_ls_vet_service
Infrastructure for livestock [e.g. water points/transhumance corridors/shelter/health points]) need_ls_infrastructure
Training &amp; technical knowledge/advice for livestock production) need_ls_knowledge
Inputs for fishing or aquaculture production) need_fish_inputs
Infrastructure for fisheries or aquaculture production [e.g. rehabilitation of port / repair of ponds]) need_fish_infrastructure
Training &amp; technical knowledge/advice for fisheries or aquaculture production) need_fish_knowledge
Environmental or infrastructure rehabilitation [community-wide]) need_env_infra_rehab
Cold storage) need_cold_storage
Marketing or sales support [e.g. public procurement]) need_marketing_supp
Other [specify]) need_other
DON'T KNOW) need_dk
REFUSED) need_ref</t>
        </is>
      </c>
      <c r="N187" s="335" t="inlineStr">
        <is>
          <t>1-19 = need_received</t>
        </is>
      </c>
      <c r="O187" s="149" t="n"/>
      <c r="P187" s="149" t="n"/>
      <c r="Q187" s="344" t="inlineStr">
        <is>
          <t>if need_2 = 1-25, go to need_received OR callback</t>
        </is>
      </c>
      <c r="R187" s="446" t="n"/>
      <c r="S187" s="159" t="inlineStr">
        <is>
          <t>resp_age = 18-100
hh_agricactivity = 1 | 2 | 3 | 4
quotareached = 2
need = 1</t>
        </is>
      </c>
      <c r="T187" s="72" t="n"/>
      <c r="U187" s="45" t="n">
        <v>49.52969360351562</v>
      </c>
      <c r="V187" s="20" t="n">
        <v>1</v>
      </c>
      <c r="W187" s="45">
        <f>U187*V187</f>
        <v/>
      </c>
      <c r="X187" s="3" t="n"/>
      <c r="Z187" s="7" t="inlineStr">
        <is>
          <t>yes</t>
        </is>
      </c>
      <c r="AA187" s="54" t="n"/>
      <c r="AD187" s="6" t="inlineStr">
        <is>
          <t>Answer option #21, 22 (col D)</t>
        </is>
      </c>
    </row>
    <row r="188" ht="356.25" customFormat="1" customHeight="1" s="5">
      <c r="A188" s="503">
        <f>A187+1</f>
        <v/>
      </c>
      <c r="B188" s="160" t="inlineStr">
        <is>
          <t>need_received</t>
        </is>
      </c>
      <c r="C188" s="155"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188" s="352" t="inlineStr">
        <is>
          <t>Has your household received any assistance in the last 3 months, and if so, which kind?
[OPERATOR: READ OUT ANSWER OPTIONS. MULTIPLE RESPONSE POSSIBLE.]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188" s="316">
        <f>LEN(D188)</f>
        <v/>
      </c>
      <c r="F188" s="352" t="inlineStr">
        <is>
          <t>Mhuri yenyu yakawana here chero rubatsiro mumwedzi 3 yapfuura, uye kana yakawana, rwaiva rwei?
[ARI KUITISA ONGORORO: VERENGA MHINDURO DZIRIPO. MHINDURO DZAKAWANDA DZINOGONA KUPIWA.]
1)Zvekudya
2)Mari
3)Mavhocha/kuratidzirwa zvinhu zvekushandisa nevatengesi
4)Rubatsiro pakurima zvirimwa uye/kana kuti miriwo
5)Rubatsiro rwezvipfuyo
6)Rubatsiro pakuredza hove uye/kana kuti kuchengeta hove
7)Kugadziriswa kwemunharaunda uye kwezvivakwa [mudunhu rose]
8)Kubatsirwa pakushambadza kana kuti kutengesa [somuenzaniso kutengesera hurumende]
9)Zvimwewo [ratidza]
10)Hapana rubatsiro rwatakawana
11)HANDIZIVI
12)ARAMBA</t>
        </is>
      </c>
      <c r="G188" s="323">
        <f>LEN(F188)</f>
        <v/>
      </c>
      <c r="H188" s="352" t="inlineStr">
        <is>
          <t>Kungabe abomuzi wakho bamukela uncedo kunyanga ezintathu ezidlulileyo, nxa kunjalo, ngolunjani?
[OQHUBAYO: BALELA PHEZULU IMPENDULOIMPENDULO EZINENGI EZINGAKHETHWA. ]
1)Ukudla
2)Imali
3)Ama-voucher kumbe inhlelo zokuthengiselana izinto zokusebenzisa
4)Uncedo lokulima izilimo kanye/kumbe ezemibhida
5)Uncedo kwezezifuyo
6)Uncedo kwezokuthiya inhlanzi kanye/kumbe uncedo kwezezilimo zamanzi
7)Ukulungisiswa kwemvelo kumbe izakhiwo [umphakathi wonke]
8)Usekelo lokwazisa kumbe ukuthengisa [isibonelo; kumphakathi]
9)Okunye [caca]
10)Akula ncedo olwamukelwayo
11)KAZI
12)WALILE</t>
        </is>
      </c>
      <c r="I188" s="323">
        <f>LEN(H188)</f>
        <v/>
      </c>
      <c r="J188" s="349" t="inlineStr">
        <is>
          <t xml:space="preserve">Open Ended-Select All That Apply </t>
        </is>
      </c>
      <c r="K188" s="323" t="inlineStr">
        <is>
          <t>NA</t>
        </is>
      </c>
      <c r="L188" s="343" t="inlineStr">
        <is>
          <t>NA</t>
        </is>
      </c>
      <c r="M188" s="323" t="inlineStr">
        <is>
          <t>Form Type - Checklist
10,11,12 = IsNone
Food) need_received_food
Cash ) need_received_cash
Vouchers/input trade fairs) need_received_vouchers_fair
Crop and/or vegetable production assistance) need_received_crop_assist
Livestock assistance) need_received_ls_assist
Fisheries and/or aquaculture assistance) need_received_fish_assist
Environmental or infrastructure rehabilitation [community-wide]) need_received_rehabilitation
Marketing or sales support [e.g. public procurement]) need_received_sales_support
Other [specify]) need_received_other
No assistance received) need_received_none
DON'T KNOW ) need_received_dk
REFUSED) need_received_ref</t>
        </is>
      </c>
      <c r="N188" s="352" t="inlineStr">
        <is>
          <t>1-9 = assistance_quality
10-12 = callback</t>
        </is>
      </c>
      <c r="O188" s="140" t="n"/>
      <c r="P188" s="140" t="n"/>
      <c r="Q188" s="351" t="inlineStr">
        <is>
          <t>if need_received = 1-9, go to assistance_timeliness OR callback</t>
        </is>
      </c>
      <c r="R188" s="351" t="n"/>
      <c r="S188" s="159" t="inlineStr">
        <is>
          <t>resp_age = 18-100
hh_agricactivity = 1 | 2 | 3 | 4
quotareached = 2</t>
        </is>
      </c>
      <c r="T188" s="72" t="n"/>
      <c r="U188" s="44" t="n">
        <v>22.02975082397461</v>
      </c>
      <c r="V188" s="42" t="n">
        <v>1</v>
      </c>
      <c r="W188" s="44">
        <f>U188*V188</f>
        <v/>
      </c>
      <c r="X188" s="3" t="n"/>
      <c r="Z188" s="7" t="inlineStr">
        <is>
          <t>no</t>
        </is>
      </c>
      <c r="AA188" s="54" t="n"/>
      <c r="AD188" s="6" t="n"/>
    </row>
    <row r="189" ht="281.25" customFormat="1" customHeight="1" s="5">
      <c r="A189" s="503">
        <f>A188+1</f>
        <v/>
      </c>
      <c r="B189" s="201" t="inlineStr">
        <is>
          <t>assistance_quality</t>
        </is>
      </c>
      <c r="C189" s="209" t="inlineStr">
        <is>
          <t>assistance_quality</t>
        </is>
      </c>
      <c r="D189" s="352" t="inlineStr">
        <is>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is>
      </c>
      <c r="E189" s="316">
        <f>LEN(D189)</f>
        <v/>
      </c>
      <c r="F189" s="352" t="inlineStr">
        <is>
          <t>Makagutsikana here nekunaka kwerubatsiro rwamakapiwa? 
[ARI KUITISA ONGORORO: MHINDUURO IMWE CHHETE. KUNAKA KWERUBATSIRO PANYAYA YEKUTI RUBATSIRO RWAINGE RWAKAKWANA PAKUKUNDA MATAMBUDZIKO PAMABASA EKURIMA KANA EKUTENGESA.]
1)Hongu
2)Kwete - haruna kupiwa nenguva
3)Kwete - hapana zvarakabatsira
4)Kwete - rwaive rwushoma
5)Kwete - paive nedambudziko neaibatsira
6)Kwete - zvakabatsirwa nazvo zvaisashanda zvakanaka [somuenzaniso michina yemhando yepasi]
7)HANDIZIVI
8)ARAMBA</t>
        </is>
      </c>
      <c r="G189" s="323">
        <f>LEN(F189)</f>
        <v/>
      </c>
      <c r="H189" s="352" t="inlineStr">
        <is>
          <t>Usuthisekile ngezinga loncedo olutholisiweyo? 
[OQHUBAYO: IMPENDULO EYODWA. IZINGA LONCEDO NXA KUKHANGELWA UNCEDO OLWANELEYO EKULUNGISENI UBUNZIMA BEZOKULIMA KUMBE BEZOKUTHENGISA OKUMELE BUQEDWE.]
1)Yebo
2)Hatshi - akwamukelwanga ngesikhathi
3)Hatshi - akuhlanganyelananga lezidingo zami
4)Hatshi- ubunengi kade bungeneli
5)Hatshi -bekulohlupho lomatholisa
6)Hatshi -kube lokuphambaniseka lohlobo loncedo olutholisiweyo [isibonelo. amathulizi ezinga eliphansi]
7)KAZI
8)WALILE</t>
        </is>
      </c>
      <c r="I189" s="323">
        <f>LEN(H189)</f>
        <v/>
      </c>
      <c r="J189" s="482" t="inlineStr">
        <is>
          <t>Single Choice</t>
        </is>
      </c>
      <c r="K189" s="472" t="inlineStr">
        <is>
          <t>NA</t>
        </is>
      </c>
      <c r="L189" s="343" t="inlineStr">
        <is>
          <t>NA</t>
        </is>
      </c>
      <c r="M189" s="472" t="inlineStr">
        <is>
          <t>Form Type - Buttons</t>
        </is>
      </c>
      <c r="N189" s="473" t="inlineStr">
        <is>
          <t>1-8 = assistance_provider</t>
        </is>
      </c>
      <c r="O189" s="210" t="n"/>
      <c r="P189" s="210" t="n"/>
      <c r="Q189" s="351" t="inlineStr">
        <is>
          <t>If options #1-6 were selected in need_received, this question will be asked Otherwise go to callback.
if need_received = 1-9, go to callback</t>
        </is>
      </c>
      <c r="R189" s="299" t="n"/>
      <c r="S189" s="177" t="inlineStr">
        <is>
          <t>resp_age = 18-100
hh_agricactivity = 1 | 2 | 3 | 4
quotareached = 2</t>
        </is>
      </c>
      <c r="T189" s="111" t="n"/>
      <c r="U189" s="44" t="n">
        <v>17</v>
      </c>
      <c r="V189" s="42" t="n">
        <v>1</v>
      </c>
      <c r="W189" s="44">
        <f>U189*V189</f>
        <v/>
      </c>
      <c r="X189" s="3" t="n"/>
      <c r="Z189" s="7" t="inlineStr">
        <is>
          <t>no</t>
        </is>
      </c>
      <c r="AA189" s="54" t="n"/>
      <c r="AD189" s="6" t="inlineStr">
        <is>
          <t xml:space="preserve">new question </t>
        </is>
      </c>
    </row>
    <row r="190" ht="207" customFormat="1" customHeight="1" s="5" thickBot="1">
      <c r="A190" s="506">
        <f>A189+1</f>
        <v/>
      </c>
      <c r="B190" s="365" t="inlineStr">
        <is>
          <t>assistance_provider</t>
        </is>
      </c>
      <c r="C190" s="500" t="inlineStr">
        <is>
          <t>assistance_provider
1) assistance_fao
2) assistance_wfp
3) assistance_otherun
4) assistance_gov
5) assistance_ngo
6) assistance_dk
7) assistance_ref</t>
        </is>
      </c>
      <c r="D190" s="501" t="inlineStr">
        <is>
          <t>Who provided your household with this assistance?
[OPERATOR: MULTIPLE RESPONSE.]
1)FAO
2)WFP
3)Other UN agencies
4)Government
5)Non-governmental/local organization
6)DON'T KNOW
7)REFUSED</t>
        </is>
      </c>
      <c r="E190" s="316">
        <f>LEN(D190)</f>
        <v/>
      </c>
      <c r="F190" s="497" t="inlineStr">
        <is>
          <t>Ndiani akapa mhuri yenyu rubatsiro urwu?
[ARI KUITISA ONGORORO: MHINDURO DZAKAWANDA.]
1)FAO
2)WFP
3)Mamwe maajenzi eUN
4)Hurumende
5)Masangano akazvimirira ega/masangano emunharaunda
6)HANDIZIVI
7)ARAMBA</t>
        </is>
      </c>
      <c r="G190" s="472">
        <f>LEN(F190)</f>
        <v/>
      </c>
      <c r="H190" s="497" t="inlineStr">
        <is>
          <t>Ngubani otholise umuzi wakho uncedo lolu?
[OQHUBAYO: IMPENDULO EZINENGI.]
1)i-FAO
2)i-WFP
3)Ezinye inhlanganiso zeUN
4)Uhulumende
5)Inhlanganiso ezizimeleyo/inhlanganiso zalapho
6)KAZI
7)WALILE</t>
        </is>
      </c>
      <c r="I190" s="472">
        <f>LEN(H190)</f>
        <v/>
      </c>
      <c r="J190" s="482" t="inlineStr">
        <is>
          <t>Select All That Apply</t>
        </is>
      </c>
      <c r="K190" s="472" t="inlineStr">
        <is>
          <t>NA</t>
        </is>
      </c>
      <c r="L190" s="498" t="inlineStr">
        <is>
          <t>NA</t>
        </is>
      </c>
      <c r="M190" s="472" t="inlineStr">
        <is>
          <t>Form Type - Checklist
6,7 = IsNone
FAO) assistance_fao
WFP) assistance_wfp
Other UN agencies) assistance_otherun
Government) assistance_gov
Non-governmental/local organization) assistance_ngo
DON'T KNOW) assistance_dk
REFUSED) assistance_ref</t>
        </is>
      </c>
      <c r="N190" s="499" t="inlineStr">
        <is>
          <t>1-7 = callback</t>
        </is>
      </c>
      <c r="O190" s="307" t="n"/>
      <c r="P190" s="307" t="n"/>
      <c r="Q190" s="299" t="n"/>
      <c r="R190" s="405" t="n"/>
      <c r="S190" s="194" t="n"/>
      <c r="T190" s="291" t="n"/>
      <c r="U190" s="44" t="n"/>
      <c r="V190" s="42" t="n"/>
      <c r="W190" s="44" t="n"/>
      <c r="X190" s="3" t="n"/>
      <c r="Z190" s="7" t="n"/>
      <c r="AA190" s="54" t="n"/>
      <c r="AD190" s="6" t="n"/>
    </row>
    <row r="191" ht="19.5" customFormat="1" customHeight="1" s="5" thickBot="1">
      <c r="A191" s="530" t="inlineStr">
        <is>
          <t>I. CLOSING</t>
        </is>
      </c>
      <c r="B191" s="577" t="n"/>
      <c r="C191" s="577" t="n"/>
      <c r="D191" s="577" t="n"/>
      <c r="E191" s="577" t="n"/>
      <c r="F191" s="577" t="n"/>
      <c r="G191" s="577" t="n"/>
      <c r="H191" s="577" t="n"/>
      <c r="I191" s="577" t="n"/>
      <c r="J191" s="577" t="n"/>
      <c r="K191" s="577" t="n"/>
      <c r="L191" s="577" t="n"/>
      <c r="M191" s="577" t="n"/>
      <c r="N191" s="577" t="n"/>
      <c r="O191" s="577" t="n"/>
      <c r="P191" s="577" t="n"/>
      <c r="Q191" s="577" t="n"/>
      <c r="R191" s="577" t="n"/>
      <c r="S191" s="577" t="n"/>
      <c r="T191" s="587" t="n"/>
      <c r="U191" s="44" t="n"/>
      <c r="V191" s="42" t="n"/>
      <c r="W191" s="44" t="n"/>
      <c r="X191" s="3" t="n"/>
      <c r="Z191" s="7" t="n"/>
      <c r="AA191" s="54" t="n"/>
      <c r="AD191" s="6" t="n"/>
    </row>
    <row r="192" ht="131.25" customFormat="1" customHeight="1" s="5">
      <c r="A192" s="247">
        <f>A189+1</f>
        <v/>
      </c>
      <c r="B192" s="59" t="inlineStr">
        <is>
          <t>callback</t>
        </is>
      </c>
      <c r="C192" s="67" t="inlineStr">
        <is>
          <t>callback</t>
        </is>
      </c>
      <c r="D192" s="563" t="inlineStr">
        <is>
          <t>Your answers will help us to understand and respond to your community needs. May we call you back again in a few months?
[OPERATOR: SINGLE RESPONSE.]
1)YES
2)NO</t>
        </is>
      </c>
      <c r="E192" s="308">
        <f>LEN(D192)</f>
        <v/>
      </c>
      <c r="F192" s="563" t="inlineStr">
        <is>
          <t>Mhinduro dzenyu dzinotibatsira kuti tinzwisise uye tipe rubatsiro pane zviri kudiwa nevagari vemunzvimbo yenyu. Tinokwania here kuzokufonerai mumwedzi mishoma inotevera?
[ARI KUITISA ONGORORO: MHINDURO IMWE CHETE.]
1)HONGU 
2)KWETE</t>
        </is>
      </c>
      <c r="G192" s="308">
        <f>LEN(F192)</f>
        <v/>
      </c>
      <c r="H192" s="568" t="inlineStr">
        <is>
          <t>Impendulo zakho zizasinceda ukuthi sizwisise lokuphendula izidingo zomphakathi wakho. Singakutshayela ucingo futhi ngenyanga ezimbalwa ezizayo?
[OQHUBAYO: IMPENDULO EYODWA.]
1)YEBO
2)HATSHI</t>
        </is>
      </c>
      <c r="I192" s="564">
        <f>LEN(H192)</f>
        <v/>
      </c>
      <c r="J192" s="564" t="inlineStr">
        <is>
          <t>Single Choice</t>
        </is>
      </c>
      <c r="K192" s="564" t="inlineStr">
        <is>
          <t>NA</t>
        </is>
      </c>
      <c r="L192" s="564" t="inlineStr">
        <is>
          <t>NA</t>
        </is>
      </c>
      <c r="M192" s="564" t="inlineStr">
        <is>
          <t>Form Type - Buttons</t>
        </is>
      </c>
      <c r="N192" s="563" t="inlineStr">
        <is>
          <t>1 = leader_contact
2 = language2</t>
        </is>
      </c>
      <c r="O192" s="211" t="inlineStr">
        <is>
          <t>GeoPoll: Confirm routings for option 2. Shouldn't they be routed to the next question too?</t>
        </is>
      </c>
      <c r="P192" s="225" t="inlineStr">
        <is>
          <t xml:space="preserve">
See column M
</t>
        </is>
      </c>
      <c r="Q192" s="373" t="inlineStr">
        <is>
          <t>if callback = 1, go to leader_contact
if callback = 2, go to language2</t>
        </is>
      </c>
      <c r="R192" s="440" t="n"/>
      <c r="S192" s="131" t="inlineStr">
        <is>
          <t>resp_age = 18-100
hh_agricactivity = 1 | 2 | 3 | 4
quotareached = 2</t>
        </is>
      </c>
      <c r="T192" s="64" t="n"/>
      <c r="U192" s="45" t="n">
        <v>36.78304672241211</v>
      </c>
      <c r="V192" s="20" t="n">
        <v>1</v>
      </c>
      <c r="W192" s="45">
        <f>U192*V192</f>
        <v/>
      </c>
      <c r="X192" s="3" t="n"/>
      <c r="Z192" s="7" t="inlineStr">
        <is>
          <t>yes</t>
        </is>
      </c>
      <c r="AA192" s="54" t="n"/>
      <c r="AD192" s="6" t="n"/>
    </row>
    <row r="193" ht="150" customFormat="1" customHeight="1" s="23">
      <c r="A193" s="508">
        <f>A192+1</f>
        <v/>
      </c>
      <c r="B193" s="200" t="inlineStr">
        <is>
          <t>leader_contact</t>
        </is>
      </c>
      <c r="C193" s="155" t="inlineStr">
        <is>
          <t>phone_number_leader_yn</t>
        </is>
      </c>
      <c r="D193" s="203" t="inlineStr">
        <is>
          <t>Can you provide me with the contact information of a leader in your community?
[OPERATOR: SINGLE RESPONSE.]
1)YES 
2)NO
3)DON'T KNOW
4)REFUSED</t>
        </is>
      </c>
      <c r="E193" s="127">
        <f>LEN(D193)</f>
        <v/>
      </c>
      <c r="F193" s="203" t="inlineStr">
        <is>
          <t>Unokwanisa here kundipa nhamba dzerunhare dzemutungamiri wemunzvimbo yenyu?
[ARI KUITISA ONGORORO: MHINDURO IMWE CHETE.]
1)HONGU 
2)KWETE
3)HANDIZIVI
4)ARAMBA</t>
        </is>
      </c>
      <c r="G193" s="127">
        <f>LEN(F193)</f>
        <v/>
      </c>
      <c r="H193" s="242" t="inlineStr">
        <is>
          <t>Ungangitholisa ulwazi lokuxhumana lenkokheli yomphakathi wakho?
[OQHUBAYO: IMPENDULO EYODWA.]
1)YEBO
2)HATSHI
3)KAZI
4)WALILE</t>
        </is>
      </c>
      <c r="I193" s="566">
        <f>LEN(H193)</f>
        <v/>
      </c>
      <c r="J193" s="566" t="inlineStr">
        <is>
          <t>Single Choice</t>
        </is>
      </c>
      <c r="K193" s="566" t="inlineStr">
        <is>
          <t>NA</t>
        </is>
      </c>
      <c r="L193" s="566" t="inlineStr">
        <is>
          <t>NA</t>
        </is>
      </c>
      <c r="M193" s="566" t="inlineStr">
        <is>
          <t>Form Type - Buttons</t>
        </is>
      </c>
      <c r="N193" s="568" t="inlineStr">
        <is>
          <t>1 = leader_type
2-4 = future_int_day</t>
        </is>
      </c>
      <c r="O193" s="149" t="n"/>
      <c r="P193" s="149" t="n"/>
      <c r="Q193" s="173" t="inlineStr">
        <is>
          <t>if leader_contact = 1, go to leader_type;
if leader_contact = 2-4, go to future_int_day</t>
        </is>
      </c>
      <c r="R193" s="174" t="n"/>
      <c r="S193" s="174" t="inlineStr">
        <is>
          <t>resp_age = 18-100
hh_agricactivity = 1 | 2 | 3 | 4
quotareached = 2</t>
        </is>
      </c>
      <c r="T193" s="198" t="n"/>
      <c r="U193" s="48" t="n">
        <v>10</v>
      </c>
      <c r="V193" s="21" t="n">
        <v>1</v>
      </c>
      <c r="W193" s="46">
        <f>U193*V193</f>
        <v/>
      </c>
      <c r="X193" s="22" t="n"/>
      <c r="Z193" s="24" t="inlineStr">
        <is>
          <t>no - panel</t>
        </is>
      </c>
      <c r="AA193" s="25" t="n"/>
      <c r="AD193" s="26" t="inlineStr">
        <is>
          <t>new question - optional based on country context (assuming strong community ties in the country)</t>
        </is>
      </c>
    </row>
    <row r="194" ht="206.25" customFormat="1" customHeight="1" s="28">
      <c r="A194" s="503">
        <f>A193+1</f>
        <v/>
      </c>
      <c r="B194" s="200" t="inlineStr">
        <is>
          <t>leader_type</t>
        </is>
      </c>
      <c r="C194" s="155" t="inlineStr">
        <is>
          <t>leader_type</t>
        </is>
      </c>
      <c r="D194" s="203" t="inlineStr">
        <is>
          <t>What type of community leader can you provide information for?
[OPERATOR: SINGLE RESPONSE.]
1)Village/ town administrator
2)Agricultural extension officer
3)Health extension officer
4)Teacher
5)Other [specify]
6)DON'T KNOW
7)REFUSED</t>
        </is>
      </c>
      <c r="E194" s="127">
        <f>LEN(D194)</f>
        <v/>
      </c>
      <c r="F194" s="203" t="inlineStr">
        <is>
          <t>Mutungamiri wemunzvimbo ane chinzvimbo chipi waunokwanisa kundipa nhamba dzake?
[ARI KUITISA ONGORORO: MHINDURO IMWE CHETE.]
1)Mukuru wedunhu/guta
2)Murimisi
3)Mukuru wezveutano
4)Mudzidzisi
5)Mumwewo [ratidza]
6)HANDIZIVI
7)ARAMBA</t>
        </is>
      </c>
      <c r="G194" s="127">
        <f>LEN(F194)</f>
        <v/>
      </c>
      <c r="H194" s="203" t="inlineStr">
        <is>
          <t>Yiwuphi umhlobo wenkokheli yomphakathi ongatholisa ulwazi ngaye?
[OQHUBAYO: IMPENDULO EYODWA.]
1)Umlawuli wesabelo/dolobho
2)Ophatha ngezokulima  
3)Ophatha ngezempilakahle
4)Umbalisi
5)Okunye [caca]
6)KAZI
7)WALILE</t>
        </is>
      </c>
      <c r="I194" s="566">
        <f>LEN(H194)</f>
        <v/>
      </c>
      <c r="J194" s="566" t="inlineStr">
        <is>
          <t>Open Ended-Single Choice</t>
        </is>
      </c>
      <c r="K194" s="566" t="inlineStr">
        <is>
          <t>NA</t>
        </is>
      </c>
      <c r="L194" s="566" t="inlineStr">
        <is>
          <t>NA</t>
        </is>
      </c>
      <c r="M194" s="566" t="inlineStr">
        <is>
          <t>Form Type - RadioList</t>
        </is>
      </c>
      <c r="N194" s="568" t="inlineStr">
        <is>
          <t>1-7 = phone_number_leader</t>
        </is>
      </c>
      <c r="O194" s="149" t="n"/>
      <c r="P194" s="149" t="n"/>
      <c r="Q194" s="173" t="inlineStr">
        <is>
          <t>if leader_type = 1-7, go to phone_number_leader</t>
        </is>
      </c>
      <c r="R194" s="174" t="n"/>
      <c r="S194" s="174" t="inlineStr">
        <is>
          <t>resp_age = 18-100
hh_agricactivity = 1 | 2 | 3 | 4
quotareached = 2
phone_number_leader_yn = 1</t>
        </is>
      </c>
      <c r="T194" s="198" t="n"/>
      <c r="U194" s="48" t="n">
        <v>10</v>
      </c>
      <c r="V194" s="21" t="n">
        <v>1</v>
      </c>
      <c r="W194" s="46">
        <f>U194*V194</f>
        <v/>
      </c>
      <c r="X194" s="27" t="n"/>
      <c r="Z194" s="24" t="inlineStr">
        <is>
          <t>no - panel</t>
        </is>
      </c>
      <c r="AA194" s="29" t="n"/>
      <c r="AD194" s="26" t="inlineStr">
        <is>
          <t>new question - optional based on country context (assuming strong community ties in the country)</t>
        </is>
      </c>
    </row>
    <row r="195" ht="75" customFormat="1" customHeight="1" s="28">
      <c r="A195" s="503">
        <f>A194+1</f>
        <v/>
      </c>
      <c r="B195" s="200" t="inlineStr">
        <is>
          <t>phone_number_leader</t>
        </is>
      </c>
      <c r="C195" s="155" t="inlineStr">
        <is>
          <t>phone_number_leader</t>
        </is>
      </c>
      <c r="D195" s="203" t="inlineStr">
        <is>
          <t>What is the leader's phone number?
[OPERATOR: RECORD THE NUMBER GIVEN. ENTER 88 FOR DON'T KNOW &amp; 99 FOR REFUSED]</t>
        </is>
      </c>
      <c r="E195" s="127">
        <f>LEN(D195)</f>
        <v/>
      </c>
      <c r="F195" s="203" t="inlineStr">
        <is>
          <t>Nhamba dzerunhare dzemutungamiri dzinoti chii?
[ARI KUITISA ONGORORO: NYORA PASI NHAMBA DZATAURWA. ISA 88 KANA ASINGAZIVE UYE 99 KANA ARAMBA]</t>
        </is>
      </c>
      <c r="G195" s="127">
        <f>LEN(F195)</f>
        <v/>
      </c>
      <c r="H195" s="203" t="inlineStr">
        <is>
          <t>Inombolo zocingo lwenkokheli zithini?
[OQHUBAYO: BHALA INOMBOLO EPHIWEYO. FAKA 88 NXA ENGAZI &amp; 99 NXA EYALILE]</t>
        </is>
      </c>
      <c r="I195" s="566">
        <f>LEN(H195)</f>
        <v/>
      </c>
      <c r="J195" s="566" t="inlineStr">
        <is>
          <t>Open Ended</t>
        </is>
      </c>
      <c r="K195" s="566" t="inlineStr">
        <is>
          <t>NA</t>
        </is>
      </c>
      <c r="L195" s="566" t="inlineStr">
        <is>
          <t>NA</t>
        </is>
      </c>
      <c r="M195" s="566" t="inlineStr">
        <is>
          <t>Form Type - TextBox</t>
        </is>
      </c>
      <c r="N195" s="568" t="inlineStr">
        <is>
          <t>Any Response = leader_name</t>
        </is>
      </c>
      <c r="O195" s="149" t="n"/>
      <c r="P195" s="149" t="n"/>
      <c r="Q195" s="173" t="inlineStr">
        <is>
          <t>For any response, go to leader_name</t>
        </is>
      </c>
      <c r="R195" s="174" t="n"/>
      <c r="S195" s="174" t="inlineStr">
        <is>
          <t>resp_age = 18-100
hh_agricactivity = 1 | 2 | 3 | 4
quotareached = 2
phone_number_leader_yn = 1</t>
        </is>
      </c>
      <c r="T195" s="198" t="n"/>
      <c r="U195" s="48" t="n">
        <v>10</v>
      </c>
      <c r="V195" s="21" t="n">
        <v>1</v>
      </c>
      <c r="W195" s="46">
        <f>U195*V195</f>
        <v/>
      </c>
      <c r="X195" s="27" t="n"/>
      <c r="Z195" s="24" t="inlineStr">
        <is>
          <t>no - panel</t>
        </is>
      </c>
      <c r="AA195" s="29" t="n"/>
      <c r="AD195" s="26" t="inlineStr">
        <is>
          <t>new question - optional based on country context (assuming strong community ties in the country)</t>
        </is>
      </c>
    </row>
    <row r="196" ht="75" customFormat="1" customHeight="1" s="28">
      <c r="A196" s="503">
        <f>A195+1</f>
        <v/>
      </c>
      <c r="B196" s="200" t="inlineStr">
        <is>
          <t>leader_name</t>
        </is>
      </c>
      <c r="C196" s="155" t="inlineStr">
        <is>
          <t>leader_name</t>
        </is>
      </c>
      <c r="D196" s="203" t="inlineStr">
        <is>
          <t>What is the leader's name?
[OPERATOR: RECORD THE NAME GIVEN. ENTER 88 FOR DON'T KNOW &amp; 99 FOR REFUSED]</t>
        </is>
      </c>
      <c r="E196" s="127">
        <f>LEN(D196)</f>
        <v/>
      </c>
      <c r="F196" s="203" t="inlineStr">
        <is>
          <t>Zita remutungamiri ndiani?
[ARI KUITISA ONGORORO: NYORA PASI ZITA RATAURWA. ISA 88 KANA ASINGAZIVE UYE 99 KANA ARAMBA]</t>
        </is>
      </c>
      <c r="G196" s="127">
        <f>LEN(F196)</f>
        <v/>
      </c>
      <c r="H196" s="203" t="inlineStr">
        <is>
          <t>Ibizo lenkokheli ngubani?
[OQHUBAYO: BHALA IBIZO ELIPHIWEYO. FAKA 88 NXA ENGAZI &amp; 99 NXA EYALIL]</t>
        </is>
      </c>
      <c r="I196" s="566">
        <f>LEN(H196)</f>
        <v/>
      </c>
      <c r="J196" s="566" t="inlineStr">
        <is>
          <t>Open Ended</t>
        </is>
      </c>
      <c r="K196" s="566" t="inlineStr">
        <is>
          <t>NA</t>
        </is>
      </c>
      <c r="L196" s="566" t="inlineStr">
        <is>
          <t>NA</t>
        </is>
      </c>
      <c r="M196" s="566" t="inlineStr">
        <is>
          <t>Form Type - TextBox</t>
        </is>
      </c>
      <c r="N196" s="568" t="inlineStr">
        <is>
          <t>Any Response = future_int_day</t>
        </is>
      </c>
      <c r="O196" s="149" t="n"/>
      <c r="P196" s="149" t="n"/>
      <c r="Q196" s="173" t="inlineStr">
        <is>
          <t>For any response, go to future_int_day</t>
        </is>
      </c>
      <c r="R196" s="174" t="n"/>
      <c r="S196" s="174" t="n"/>
      <c r="T196" s="198" t="n"/>
      <c r="U196" s="49" t="n">
        <v>10</v>
      </c>
      <c r="V196" s="39" t="n">
        <v>1</v>
      </c>
      <c r="W196" s="50">
        <f>U196*V196</f>
        <v/>
      </c>
      <c r="X196" s="27" t="n"/>
      <c r="Z196" s="24" t="inlineStr">
        <is>
          <t>no - panel</t>
        </is>
      </c>
      <c r="AA196" s="29" t="n"/>
      <c r="AD196" s="26" t="n"/>
    </row>
    <row r="197" ht="206.25" customFormat="1" customHeight="1" s="29">
      <c r="A197" s="503">
        <f>A196+1</f>
        <v/>
      </c>
      <c r="B197" s="200" t="inlineStr">
        <is>
          <t>future_int_day</t>
        </is>
      </c>
      <c r="C197" s="155" t="inlineStr">
        <is>
          <t>future_int_day_
1) future_int_day_mon
2) future_int_day_tues
3) future_int_day_wed
4) future_int_day_thurs
5) future_int_day_fri
6) future_int_day_sat
7) future_int_day_sun</t>
        </is>
      </c>
      <c r="D197" s="203" t="inlineStr">
        <is>
          <t>For future interviews, in which day[s] can I call you?
[OPERATOR: MULTIPLE ANSWERS POSSIBLE.]
1)Monday
2)Tuesday
3)Wednesday
4)Thursday
5)Friday
6)Saturday
7)Sunday</t>
        </is>
      </c>
      <c r="E197" s="127">
        <f>LEN(D197)</f>
        <v/>
      </c>
      <c r="F197" s="203" t="inlineStr">
        <is>
          <t>Pahurukuro dzeramangwana, izuva ripi kana mazuva andinogona kuzokufonerai?
[ARI KUITISA ONGORORO: PANOGONA KUPIWA MHINDURO DZAKAWANDA.]
1)Muvhuro
2)Chipiri
3)Chitatu
4)China
5)Chishanu
6)Mugovera
7)Svondo</t>
        </is>
      </c>
      <c r="G197" s="127">
        <f>LEN(F197)</f>
        <v/>
      </c>
      <c r="H197" s="242" t="inlineStr">
        <is>
          <t>Kungxoxo kwelakusasa, ngokutshayela ucingo ngaliphi ilanga kumbe amalanga?
[OQHUBAYO: IMPENDULO EZINENGI ZINGAPHIWA.]
1)Ngomvulo
2)Ngolwesibili
3)Ngolwesithathu
4)Ngolwesine
5)Ngolwesine
6)Ngomgqibelo
7)Ngesonto</t>
        </is>
      </c>
      <c r="I197" s="566">
        <f>LEN(H197)</f>
        <v/>
      </c>
      <c r="J197" s="566" t="inlineStr">
        <is>
          <t>Select All That Apply</t>
        </is>
      </c>
      <c r="K197" s="566" t="inlineStr">
        <is>
          <t>NA</t>
        </is>
      </c>
      <c r="L197" s="566" t="inlineStr">
        <is>
          <t>NA</t>
        </is>
      </c>
      <c r="M197" s="566" t="inlineStr">
        <is>
          <t>Form Type - Checklist
Monday)future_int_day_mon
Tuesday)future_int_day_tues
Wednesday)future_int_day_wed
Thursday)future_int_day_thurs
Friday)future_int_day_fri
Saturday)future_int_day_sat
Sunday)future_int_day_sun</t>
        </is>
      </c>
      <c r="N197" s="568" t="inlineStr">
        <is>
          <t>1-7 = future_int_time</t>
        </is>
      </c>
      <c r="O197" s="149" t="n"/>
      <c r="P197" s="149" t="n"/>
      <c r="Q197" s="173" t="inlineStr">
        <is>
          <t>if l_future_int_day = 1-7, go to future_int_time</t>
        </is>
      </c>
      <c r="R197" s="174" t="n"/>
      <c r="S197" s="175" t="inlineStr">
        <is>
          <t>resp_age = 18-100
hh_agricactivity = 1 | 2 | 3 | 4
quotareached = 2</t>
        </is>
      </c>
      <c r="T197" s="198" t="n"/>
      <c r="U197" s="48" t="n">
        <v>10</v>
      </c>
      <c r="V197" s="21" t="n">
        <v>1</v>
      </c>
      <c r="W197" s="46">
        <f>U197*V197</f>
        <v/>
      </c>
      <c r="X197" s="27" t="n"/>
      <c r="Z197" s="24" t="inlineStr">
        <is>
          <t>yes - panel</t>
        </is>
      </c>
      <c r="AD197" s="38" t="inlineStr">
        <is>
          <t>new question</t>
        </is>
      </c>
    </row>
    <row r="198" ht="131.25" customFormat="1" customHeight="1" s="29">
      <c r="A198" s="503">
        <f>A197+1</f>
        <v/>
      </c>
      <c r="B198" s="200" t="inlineStr">
        <is>
          <t>future_int_time</t>
        </is>
      </c>
      <c r="C198" s="155" t="inlineStr">
        <is>
          <t>future_int_time_ 
1) future_int_time_morn
2) future_int_time_aft
3) future_int_time_eve</t>
        </is>
      </c>
      <c r="D198" s="203" t="inlineStr">
        <is>
          <t>For future interviews, at what time[s] can I call you?
[OPERATOR: MULTIPLE ANSWERS POSSIBLE.]
1)Mornings
2)Afternoons
3)Evenings</t>
        </is>
      </c>
      <c r="E198" s="127">
        <f>LEN(D198)</f>
        <v/>
      </c>
      <c r="F198" s="203" t="inlineStr">
        <is>
          <t>Pahurukuro dzeramangwana, inguva dzipi dzandinogona kuzokufonerai?
[ARI KUITISA ONGORORO: PANOGONA KUPIWA MHINDURO DZAKAWANDA.]
1)Mangwanani
2)Masikati
3)Manheru</t>
        </is>
      </c>
      <c r="G198" s="127">
        <f>LEN(F198)</f>
        <v/>
      </c>
      <c r="H198" s="242" t="inlineStr">
        <is>
          <t>Kungxoxo kwelakusasa, ngikufonele sikhathi bani kumbe ngaziphi izikhathi?
[OQHUBAYO: IMPENDULO EZINENGI ZINGAPHIWA.]
1)Ekuseni
2)Emini
3)Ntambama</t>
        </is>
      </c>
      <c r="I198" s="566">
        <f>LEN(H198)</f>
        <v/>
      </c>
      <c r="J198" s="566" t="inlineStr">
        <is>
          <t>Select All That Apply</t>
        </is>
      </c>
      <c r="K198" s="566" t="inlineStr">
        <is>
          <t>NA</t>
        </is>
      </c>
      <c r="L198" s="566" t="inlineStr">
        <is>
          <t>NA</t>
        </is>
      </c>
      <c r="M198" s="566" t="inlineStr">
        <is>
          <t>Form Type - Checklist
Mornings)future_int_time_morn
Afternoons)future_int_time_aft
Evenings)future_int_time_eve</t>
        </is>
      </c>
      <c r="N198" s="568" t="inlineStr">
        <is>
          <t>1-3 = language2</t>
        </is>
      </c>
      <c r="O198" s="149" t="n"/>
      <c r="P198" s="149" t="n"/>
      <c r="Q198" s="173" t="inlineStr">
        <is>
          <t>if future_int_time = 1-3, go to language2</t>
        </is>
      </c>
      <c r="R198" s="174" t="n"/>
      <c r="S198" s="175" t="inlineStr">
        <is>
          <t>resp_age = 18-100
hh_agricactivity = 1 | 2 | 3 | 4
quotareached = 2</t>
        </is>
      </c>
      <c r="T198" s="198" t="n"/>
      <c r="U198" s="48" t="n">
        <v>10</v>
      </c>
      <c r="V198" s="21" t="n">
        <v>1</v>
      </c>
      <c r="W198" s="46">
        <f>U198*V198</f>
        <v/>
      </c>
      <c r="X198" s="27" t="n"/>
      <c r="Z198" s="24" t="inlineStr">
        <is>
          <t>yes - panel</t>
        </is>
      </c>
      <c r="AD198" s="38" t="inlineStr">
        <is>
          <t>new question</t>
        </is>
      </c>
    </row>
    <row r="199" ht="132" customFormat="1" customHeight="1" s="17" thickBot="1">
      <c r="A199" s="506">
        <f>A198+1</f>
        <v/>
      </c>
      <c r="B199" s="107" t="inlineStr">
        <is>
          <t>language2</t>
        </is>
      </c>
      <c r="C199" s="158" t="inlineStr">
        <is>
          <t>language2</t>
        </is>
      </c>
      <c r="D199" s="569" t="inlineStr">
        <is>
          <t>Select the language that was mostly used to complete the interview.
[OPERATOR: SINGLE RESPONSE.]
1)English
2)Shona
3)Ndebele</t>
        </is>
      </c>
      <c r="E199" s="296">
        <f>LEN(D199)</f>
        <v/>
      </c>
      <c r="F199" s="569" t="inlineStr">
        <is>
          <t>Sarudza mutauro wanyanya kushandiswa pakupedza hurukuro ino.
[ARI KUITISA ONGORORO: MHINDURO IMWE CHETE.]
1)Chirungu
2)ChiShona
3)ChiNdebele</t>
        </is>
      </c>
      <c r="G199" s="296">
        <f>LEN(F199)</f>
        <v/>
      </c>
      <c r="H199" s="569" t="inlineStr">
        <is>
          <t>Khetha ulimi olusetshenziswe kakhulu ekuqhubeni ingxoxo le.
[OQHUBAYO: IMPENDULO EYODWA.]
1)IsiNgisi
2)IsiShona
3)IsiNdebele</t>
        </is>
      </c>
      <c r="I199" s="570">
        <f>LEN(H199)</f>
        <v/>
      </c>
      <c r="J199" s="570" t="inlineStr">
        <is>
          <t>Single Choice</t>
        </is>
      </c>
      <c r="K199" s="570" t="inlineStr">
        <is>
          <t>NA</t>
        </is>
      </c>
      <c r="L199" s="570" t="inlineStr">
        <is>
          <t>NA</t>
        </is>
      </c>
      <c r="M199" s="570" t="inlineStr">
        <is>
          <t>Form Type - Buttons</t>
        </is>
      </c>
      <c r="N199" s="569" t="inlineStr">
        <is>
          <t>1-3 = closeout</t>
        </is>
      </c>
      <c r="O199" s="176" t="n"/>
      <c r="P199" s="176" t="n"/>
      <c r="Q199" s="331" t="n"/>
      <c r="R199" s="543" t="n"/>
      <c r="S199" s="177" t="inlineStr">
        <is>
          <t>resp_age = 18-100
hh_agricactivity = 1 | 2 | 3 | 4
quotareached = 2</t>
        </is>
      </c>
      <c r="T199" s="199" t="n"/>
      <c r="U199" s="45" t="n">
        <v>3</v>
      </c>
      <c r="V199" s="20" t="n">
        <v>1</v>
      </c>
      <c r="W199" s="45">
        <f>U199*V199</f>
        <v/>
      </c>
      <c r="X199" s="3" t="n"/>
      <c r="Z199" s="7" t="inlineStr">
        <is>
          <t>yes</t>
        </is>
      </c>
      <c r="AA199" s="54" t="n"/>
      <c r="AD199" s="8" t="n"/>
    </row>
    <row r="200" ht="57" customFormat="1" customHeight="1" s="5" thickBot="1">
      <c r="A200" s="509" t="inlineStr">
        <is>
          <t>NA</t>
        </is>
      </c>
      <c r="B200" s="178" t="inlineStr">
        <is>
          <t>closeout</t>
        </is>
      </c>
      <c r="C200" s="179" t="inlineStr">
        <is>
          <t>closeout</t>
        </is>
      </c>
      <c r="D200" s="180" t="inlineStr">
        <is>
          <t>Thank you for your time. The interview has come to an end. You will receive your #TOPUP# airtime credit on this phone within the next 2 days.</t>
        </is>
      </c>
      <c r="E200" s="317">
        <f>LEN(D200)</f>
        <v/>
      </c>
      <c r="F200" s="180" t="inlineStr">
        <is>
          <t>Tinotenda nenguva yako. Hurukuro ino yaperera pano. Uchawana #TOPUP# yemari yekufonesa panhare iyi mumazuva 2 anotevera.</t>
        </is>
      </c>
      <c r="G200" s="317">
        <f>LEN(F200)</f>
        <v/>
      </c>
      <c r="H200" s="180" t="inlineStr">
        <is>
          <t>Siyabonga ngesikhathi sakho. Ingxoxo sifike emaphethelweni. Uzamukela I #TOPUP# yomakhalekhukhwini lo ngamalanga amabili abuyayo.</t>
        </is>
      </c>
      <c r="I200" s="181">
        <f>LEN(H200)</f>
        <v/>
      </c>
      <c r="J200" s="181" t="inlineStr">
        <is>
          <t>NA</t>
        </is>
      </c>
      <c r="K200" s="181" t="inlineStr">
        <is>
          <t>NA</t>
        </is>
      </c>
      <c r="L200" s="181" t="inlineStr">
        <is>
          <t>NA</t>
        </is>
      </c>
      <c r="M200" s="181" t="inlineStr">
        <is>
          <t>NA</t>
        </is>
      </c>
      <c r="N200" s="182" t="inlineStr">
        <is>
          <t>NA</t>
        </is>
      </c>
      <c r="O200" s="183" t="n"/>
      <c r="P200" s="183" t="n"/>
      <c r="Q200" s="317" t="n"/>
      <c r="R200" s="448" t="n"/>
      <c r="S200" s="184" t="inlineStr">
        <is>
          <t>resp_age = 18-100
hh_agricactivity = 1 | 2 | 3 | 4
quotareached = 2</t>
        </is>
      </c>
      <c r="T200" s="185" t="n"/>
      <c r="U200" s="51" t="n"/>
      <c r="V200" s="20" t="n">
        <v>1</v>
      </c>
      <c r="W200" s="45">
        <f>U200*V200</f>
        <v/>
      </c>
      <c r="X200" s="54" t="n"/>
      <c r="Z200" s="7" t="inlineStr">
        <is>
          <t>no</t>
        </is>
      </c>
      <c r="AA200" s="54" t="n"/>
      <c r="AD200" s="6" t="n"/>
    </row>
    <row r="201" ht="56.25" customFormat="1" customHeight="1" s="5">
      <c r="A201" s="505" t="inlineStr">
        <is>
          <t>NA</t>
        </is>
      </c>
      <c r="B201" s="265" t="inlineStr">
        <is>
          <t>End poll callback</t>
        </is>
      </c>
      <c r="C201" s="231" t="inlineStr">
        <is>
          <t>NA</t>
        </is>
      </c>
      <c r="D201" s="237" t="inlineStr">
        <is>
          <t>Call back set</t>
        </is>
      </c>
      <c r="E201" s="318">
        <f>LEN(D201)</f>
        <v/>
      </c>
      <c r="F201" s="237" t="inlineStr">
        <is>
          <t>Call back set</t>
        </is>
      </c>
      <c r="G201" s="318">
        <f>LEN(F201)</f>
        <v/>
      </c>
      <c r="H201" s="237" t="inlineStr">
        <is>
          <t>Call back set</t>
        </is>
      </c>
      <c r="I201" s="232">
        <f>LEN(H201)</f>
        <v/>
      </c>
      <c r="J201" s="232" t="inlineStr">
        <is>
          <t>NA</t>
        </is>
      </c>
      <c r="K201" s="232" t="inlineStr">
        <is>
          <t>NA</t>
        </is>
      </c>
      <c r="L201" s="232" t="inlineStr">
        <is>
          <t>NA</t>
        </is>
      </c>
      <c r="M201" s="232" t="inlineStr">
        <is>
          <t>NA</t>
        </is>
      </c>
      <c r="N201" s="233" t="inlineStr">
        <is>
          <t>NA</t>
        </is>
      </c>
      <c r="O201" s="234" t="n"/>
      <c r="P201" s="234" t="n"/>
      <c r="Q201" s="318" t="n"/>
      <c r="R201" s="449" t="n"/>
      <c r="S201" s="235" t="inlineStr">
        <is>
          <t>resp_age = 18-100
hh_agricactivity = 1 | 2 | 3 | 4
quotareached = 2</t>
        </is>
      </c>
      <c r="T201" s="236" t="n"/>
      <c r="U201" s="51" t="n"/>
      <c r="V201" s="20" t="n">
        <v>1</v>
      </c>
      <c r="W201" s="45">
        <f>U201*V201</f>
        <v/>
      </c>
      <c r="X201" s="54" t="n"/>
      <c r="Z201" s="7" t="inlineStr">
        <is>
          <t>no</t>
        </is>
      </c>
      <c r="AA201" s="54" t="n"/>
      <c r="AD201" s="6" t="n"/>
    </row>
    <row r="202" ht="56.25" customFormat="1" customHeight="1" s="5">
      <c r="A202" s="503" t="inlineStr">
        <is>
          <t>NA</t>
        </is>
      </c>
      <c r="B202" s="200" t="inlineStr">
        <is>
          <t>CallBack-Introduction</t>
        </is>
      </c>
      <c r="C202" s="155" t="inlineStr">
        <is>
          <t>NA</t>
        </is>
      </c>
      <c r="D202" s="238" t="inlineStr">
        <is>
          <t>Introduction</t>
        </is>
      </c>
      <c r="E202" s="127">
        <f>LEN(D202)</f>
        <v/>
      </c>
      <c r="F202" s="238" t="inlineStr">
        <is>
          <t>Introduction</t>
        </is>
      </c>
      <c r="G202" s="127">
        <f>LEN(F202)</f>
        <v/>
      </c>
      <c r="H202" s="238" t="inlineStr">
        <is>
          <t>Introduction</t>
        </is>
      </c>
      <c r="I202" s="566">
        <f>LEN(H202)</f>
        <v/>
      </c>
      <c r="J202" s="566" t="inlineStr">
        <is>
          <t>NA</t>
        </is>
      </c>
      <c r="K202" s="566" t="inlineStr">
        <is>
          <t>NA</t>
        </is>
      </c>
      <c r="L202" s="566" t="inlineStr">
        <is>
          <t>NA</t>
        </is>
      </c>
      <c r="M202" s="566" t="inlineStr">
        <is>
          <t>NA</t>
        </is>
      </c>
      <c r="N202" s="156" t="inlineStr">
        <is>
          <t>NA</t>
        </is>
      </c>
      <c r="O202" s="157" t="n"/>
      <c r="P202" s="157" t="n"/>
      <c r="Q202" s="127" t="n"/>
      <c r="R202" s="286" t="n"/>
      <c r="S202" s="159" t="inlineStr">
        <is>
          <t>resp_age = 18-100
hh_agricactivity = 1 | 2 | 3 | 4
quotareached = 2</t>
        </is>
      </c>
      <c r="T202" s="72" t="n"/>
      <c r="U202" s="51" t="n"/>
      <c r="V202" s="20" t="n">
        <v>1</v>
      </c>
      <c r="W202" s="45">
        <f>U202*V202</f>
        <v/>
      </c>
      <c r="X202" s="54" t="n"/>
      <c r="Z202" s="7" t="inlineStr">
        <is>
          <t>no</t>
        </is>
      </c>
      <c r="AA202" s="54" t="n"/>
      <c r="AD202" s="6" t="n"/>
    </row>
    <row r="203" ht="57" customFormat="1" customHeight="1" s="5" thickBot="1">
      <c r="A203" s="510" t="inlineStr">
        <is>
          <t>NA</t>
        </is>
      </c>
      <c r="B203" s="266" t="inlineStr">
        <is>
          <t>CallBack-Confirmation</t>
        </is>
      </c>
      <c r="C203" s="79" t="inlineStr">
        <is>
          <t>NA</t>
        </is>
      </c>
      <c r="D203" s="239" t="inlineStr">
        <is>
          <t>Confirmation</t>
        </is>
      </c>
      <c r="E203" s="319">
        <f>LEN(D203)</f>
        <v/>
      </c>
      <c r="F203" s="239" t="inlineStr">
        <is>
          <t>Confirmation</t>
        </is>
      </c>
      <c r="G203" s="319">
        <f>LEN(F203)</f>
        <v/>
      </c>
      <c r="H203" s="239" t="inlineStr">
        <is>
          <t>Confirmation</t>
        </is>
      </c>
      <c r="I203" s="226">
        <f>LEN(H203)</f>
        <v/>
      </c>
      <c r="J203" s="226" t="inlineStr">
        <is>
          <t>NA</t>
        </is>
      </c>
      <c r="K203" s="226" t="inlineStr">
        <is>
          <t>NA</t>
        </is>
      </c>
      <c r="L203" s="226" t="inlineStr">
        <is>
          <t>NA</t>
        </is>
      </c>
      <c r="M203" s="226" t="inlineStr">
        <is>
          <t>NA</t>
        </is>
      </c>
      <c r="N203" s="227" t="inlineStr">
        <is>
          <t>NA</t>
        </is>
      </c>
      <c r="O203" s="228" t="n"/>
      <c r="P203" s="228" t="n"/>
      <c r="Q203" s="319" t="n"/>
      <c r="R203" s="450" t="n"/>
      <c r="S203" s="229" t="inlineStr">
        <is>
          <t>resp_age = 18-100
hh_agricactivity = 1 | 2 | 3 | 4
quotareached = 2</t>
        </is>
      </c>
      <c r="T203" s="230" t="n"/>
      <c r="U203" s="51" t="n"/>
      <c r="V203" s="20" t="n">
        <v>1</v>
      </c>
      <c r="W203" s="45">
        <f>U203*V203</f>
        <v/>
      </c>
      <c r="X203" s="54" t="n"/>
      <c r="Z203" s="7" t="inlineStr">
        <is>
          <t>no</t>
        </is>
      </c>
      <c r="AA203" s="54" t="n"/>
      <c r="AD203" s="6" t="n"/>
    </row>
    <row r="204" ht="19.5" customHeight="1" thickBot="1"/>
    <row r="205" ht="19.5" customHeight="1" thickBot="1">
      <c r="D205" s="16" t="inlineStr">
        <is>
          <t xml:space="preserve">AVERAGE ESTIMATED DURATION </t>
        </is>
      </c>
      <c r="E205" s="321" t="n"/>
      <c r="F205" s="223" t="n"/>
      <c r="G205" s="321" t="n"/>
      <c r="H205" s="223" t="n"/>
      <c r="I205" s="15" t="n"/>
      <c r="J205" s="15" t="n"/>
      <c r="K205" s="15" t="n"/>
      <c r="L205" s="15" t="n"/>
      <c r="M205" s="15" t="n"/>
      <c r="N205" s="15" t="n"/>
      <c r="O205" s="141" t="n"/>
      <c r="P205" s="141" t="n"/>
      <c r="Q205" s="465" t="n"/>
      <c r="R205" s="321" t="n"/>
      <c r="S205" s="15" t="n"/>
      <c r="T205" s="15" t="n"/>
      <c r="U205" s="33" t="n"/>
      <c r="V205" s="32" t="n"/>
      <c r="W205" s="204">
        <f>(SUM(W5:W201))/60</f>
        <v/>
      </c>
    </row>
    <row r="206" ht="19.5" customHeight="1" thickBot="1">
      <c r="D206" s="37" t="inlineStr">
        <is>
          <t>AVERAGE ESTIMATED DURATION (without fisheries section)</t>
        </is>
      </c>
      <c r="E206" s="322" t="n"/>
      <c r="F206" s="224" t="n"/>
      <c r="G206" s="322" t="n"/>
      <c r="H206" s="224" t="n"/>
      <c r="I206" s="36" t="n"/>
      <c r="J206" s="36" t="n"/>
      <c r="K206" s="36" t="n"/>
      <c r="L206" s="36" t="n"/>
      <c r="M206" s="36" t="n"/>
      <c r="N206" s="36" t="n"/>
      <c r="O206" s="142" t="n"/>
      <c r="P206" s="142" t="n"/>
      <c r="Q206" s="466" t="n"/>
      <c r="R206" s="322" t="n"/>
      <c r="S206" s="36" t="n"/>
      <c r="T206" s="36" t="n"/>
      <c r="U206" s="35" t="n"/>
      <c r="V206" s="34" t="n"/>
      <c r="W206" s="205">
        <f>(SUM(W6:W130)+SUM(W144:W201))/60</f>
        <v/>
      </c>
    </row>
    <row r="207" ht="19.5" customHeight="1" thickBot="1">
      <c r="D207" s="16" t="inlineStr">
        <is>
          <t>AVERAGE ESTIMATED DURATION (without fisheries section or panel)</t>
        </is>
      </c>
      <c r="E207" s="321" t="n"/>
      <c r="F207" s="223" t="n"/>
      <c r="G207" s="321" t="n"/>
      <c r="H207" s="223" t="n"/>
      <c r="I207" s="15" t="n"/>
      <c r="J207" s="15" t="n"/>
      <c r="K207" s="15" t="n"/>
      <c r="L207" s="15" t="n"/>
      <c r="M207" s="15" t="n"/>
      <c r="N207" s="15" t="n"/>
      <c r="O207" s="141" t="n"/>
      <c r="P207" s="141" t="n"/>
      <c r="Q207" s="465" t="n"/>
      <c r="R207" s="321" t="n"/>
      <c r="S207" s="15" t="n"/>
      <c r="T207" s="15" t="n"/>
      <c r="U207" s="33" t="n"/>
      <c r="V207" s="32" t="n"/>
      <c r="W207" s="206">
        <f>(SUM(W6:W25)+SUM(W34:W130)+SUM(W143:W192)+SUM(W199:W201))/60</f>
        <v/>
      </c>
    </row>
  </sheetData>
  <mergeCells count="21">
    <mergeCell ref="A1:T1"/>
    <mergeCell ref="A2:S2"/>
    <mergeCell ref="T2:T3"/>
    <mergeCell ref="A4:T4"/>
    <mergeCell ref="A21:T21"/>
    <mergeCell ref="Q34:Q36"/>
    <mergeCell ref="R35:R36"/>
    <mergeCell ref="T35:T36"/>
    <mergeCell ref="A47:T47"/>
    <mergeCell ref="A58:T58"/>
    <mergeCell ref="T63:T64"/>
    <mergeCell ref="T81:T82"/>
    <mergeCell ref="A138:T138"/>
    <mergeCell ref="A185:T185"/>
    <mergeCell ref="A191:T191"/>
    <mergeCell ref="A88:T88"/>
    <mergeCell ref="A111:T111"/>
    <mergeCell ref="A116:T116"/>
    <mergeCell ref="A126:T126"/>
    <mergeCell ref="A131:T131"/>
    <mergeCell ref="A143:T143"/>
  </mergeCells>
  <conditionalFormatting sqref="B124">
    <cfRule type="duplicateValues" priority="972" dxfId="0"/>
    <cfRule type="duplicateValues" priority="973" dxfId="0"/>
  </conditionalFormatting>
  <conditionalFormatting sqref="B15:B19">
    <cfRule type="duplicateValues" priority="971" dxfId="0"/>
  </conditionalFormatting>
  <conditionalFormatting sqref="B20">
    <cfRule type="duplicateValues" priority="970" dxfId="0"/>
  </conditionalFormatting>
  <conditionalFormatting sqref="C140">
    <cfRule type="duplicateValues" priority="956" dxfId="0"/>
  </conditionalFormatting>
  <conditionalFormatting sqref="B150">
    <cfRule type="duplicateValues" priority="955" dxfId="0"/>
  </conditionalFormatting>
  <conditionalFormatting sqref="C150">
    <cfRule type="duplicateValues" priority="954" dxfId="0"/>
  </conditionalFormatting>
  <conditionalFormatting sqref="B151">
    <cfRule type="duplicateValues" priority="953" dxfId="0"/>
  </conditionalFormatting>
  <conditionalFormatting sqref="C151">
    <cfRule type="duplicateValues" priority="952" dxfId="0"/>
  </conditionalFormatting>
  <conditionalFormatting sqref="B153">
    <cfRule type="duplicateValues" priority="951" dxfId="0"/>
  </conditionalFormatting>
  <conditionalFormatting sqref="C153">
    <cfRule type="duplicateValues" priority="950" dxfId="0"/>
  </conditionalFormatting>
  <conditionalFormatting sqref="B155">
    <cfRule type="duplicateValues" priority="949" dxfId="0"/>
  </conditionalFormatting>
  <conditionalFormatting sqref="C155">
    <cfRule type="duplicateValues" priority="948" dxfId="0"/>
  </conditionalFormatting>
  <conditionalFormatting sqref="B168">
    <cfRule type="duplicateValues" priority="947" dxfId="0"/>
  </conditionalFormatting>
  <conditionalFormatting sqref="C168">
    <cfRule type="duplicateValues" priority="946" dxfId="0"/>
  </conditionalFormatting>
  <conditionalFormatting sqref="C56">
    <cfRule type="duplicateValues" priority="945" dxfId="0"/>
  </conditionalFormatting>
  <conditionalFormatting sqref="B109">
    <cfRule type="duplicateValues" priority="974" dxfId="0"/>
  </conditionalFormatting>
  <conditionalFormatting sqref="C57">
    <cfRule type="duplicateValues" priority="944" dxfId="0"/>
  </conditionalFormatting>
  <conditionalFormatting sqref="B122">
    <cfRule type="duplicateValues" priority="975" dxfId="0"/>
  </conditionalFormatting>
  <conditionalFormatting sqref="D49">
    <cfRule type="cellIs" priority="941" operator="notEqual" dxfId="0">
      <formula>$D$49</formula>
    </cfRule>
  </conditionalFormatting>
  <conditionalFormatting sqref="B54:B55">
    <cfRule type="duplicateValues" priority="940" dxfId="0"/>
  </conditionalFormatting>
  <conditionalFormatting sqref="B72">
    <cfRule type="duplicateValues" priority="935" dxfId="0"/>
  </conditionalFormatting>
  <conditionalFormatting sqref="B132">
    <cfRule type="duplicateValues" priority="930" dxfId="0"/>
  </conditionalFormatting>
  <conditionalFormatting sqref="B183 C169:C177 C179:C181">
    <cfRule type="duplicateValues" priority="976" dxfId="0"/>
  </conditionalFormatting>
  <conditionalFormatting sqref="B208:B1048576 B192 B152 B139 B113:B115 B2:B3 B127:B128 B76:B77 B85 B108 B118:B121 B123:B124 B130 B134:B137 B144:B149 B154 B52:B53 B5 B24:B26 B59:B63 B65 B167 B56:B57 B81 B87 B92:B93 B8:B20 B28:B32 B49:B50 B34:B46 B199:B200 B204:B206 B186:B188 B67:B68">
    <cfRule type="duplicateValues" priority="977" dxfId="0"/>
  </conditionalFormatting>
  <conditionalFormatting sqref="C86">
    <cfRule type="duplicateValues" priority="926" dxfId="0"/>
  </conditionalFormatting>
  <conditionalFormatting sqref="B86">
    <cfRule type="duplicateValues" priority="927" dxfId="0"/>
  </conditionalFormatting>
  <conditionalFormatting sqref="D193:D198 D33">
    <cfRule type="expression" priority="897" dxfId="33" stopIfTrue="1">
      <formula>OR($A33="audio", $A33="video")</formula>
    </cfRule>
    <cfRule type="expression" priority="898" dxfId="32" stopIfTrue="1">
      <formula>OR($A33="audio", $A33="video")</formula>
    </cfRule>
    <cfRule type="expression" priority="899" dxfId="34" stopIfTrue="1">
      <formula>$A33="image"</formula>
    </cfRule>
    <cfRule type="expression" priority="900" dxfId="31" stopIfTrue="1">
      <formula>$A33="image"</formula>
    </cfRule>
    <cfRule type="expression" priority="901" dxfId="35" stopIfTrue="1">
      <formula>OR($A33="date", $A33="datetime")</formula>
    </cfRule>
    <cfRule type="expression" priority="902" dxfId="30" stopIfTrue="1">
      <formula>OR($A33="date", $A33="datetime")</formula>
    </cfRule>
    <cfRule type="expression" priority="903" dxfId="29" stopIfTrue="1">
      <formula>OR($A33="calculate", $A33="calculate_here")</formula>
    </cfRule>
    <cfRule type="expression" priority="904" dxfId="38" stopIfTrue="1">
      <formula>$A33="note"</formula>
    </cfRule>
    <cfRule type="expression" priority="905" dxfId="28" stopIfTrue="1">
      <formula>$A33="note"</formula>
    </cfRule>
    <cfRule type="expression" priority="906" dxfId="37" stopIfTrue="1">
      <formula>$A33="barcode"</formula>
    </cfRule>
    <cfRule type="expression" priority="907" dxfId="27" stopIfTrue="1">
      <formula>$A33="barcode"</formula>
    </cfRule>
    <cfRule type="expression" priority="908" dxfId="36" stopIfTrue="1">
      <formula>$A33="geopoint"</formula>
    </cfRule>
    <cfRule type="expression" priority="909" dxfId="26" stopIfTrue="1">
      <formula>$A33="geopoint"</formula>
    </cfRule>
    <cfRule type="expression" priority="910" dxfId="25" stopIfTrue="1">
      <formula>OR($A33="audio audit", $A33="text audit")</formula>
    </cfRule>
    <cfRule type="expression" priority="911" dxfId="24" stopIfTrue="1">
      <formula>OR($A33="username", $A33="phonenumber", $A33="start", $A33="end", $A33="deviceid", $A33="subscriberid", $A33="simserial")</formula>
    </cfRule>
    <cfRule type="expression" priority="912" dxfId="39" stopIfTrue="1">
      <formula>OR(AND(LEFT($A33, 16)="select_multiple ", LEN($A33)&gt;16, NOT(ISNUMBER(SEARCH(" ", $A33, 17)))), AND(LEFT($A33, 11)="select_one ", LEN($A33)&gt;11, NOT(ISNUMBER(SEARCH(" ", $A33, 12)))))</formula>
    </cfRule>
    <cfRule type="expression" priority="913" dxfId="23" stopIfTrue="1">
      <formula>OR(AND(LEFT($A33, 16)="select_multiple ", LEN($A33)&gt;16, NOT(ISNUMBER(SEARCH(" ", $A33, 17)))), AND(LEFT($A33, 11)="select_one ", LEN($A33)&gt;11, NOT(ISNUMBER(SEARCH(" ", $A33, 12)))))</formula>
    </cfRule>
    <cfRule type="expression" priority="914" dxfId="40" stopIfTrue="1">
      <formula>$A33="decimal"</formula>
    </cfRule>
    <cfRule type="expression" priority="915" dxfId="22" stopIfTrue="1">
      <formula>$A33="decimal"</formula>
    </cfRule>
    <cfRule type="expression" priority="916" dxfId="41" stopIfTrue="1">
      <formula>$A33="integer"</formula>
    </cfRule>
    <cfRule type="expression" priority="917" dxfId="21" stopIfTrue="1">
      <formula>$A33="integer"</formula>
    </cfRule>
    <cfRule type="expression" priority="918" dxfId="42" stopIfTrue="1">
      <formula>$A33="text"</formula>
    </cfRule>
    <cfRule type="expression" priority="919" dxfId="20" stopIfTrue="1">
      <formula>$A33="text"</formula>
    </cfRule>
    <cfRule type="expression" priority="920" dxfId="18" stopIfTrue="1">
      <formula>$A33="end repeat"</formula>
    </cfRule>
    <cfRule type="expression" priority="921" dxfId="43" stopIfTrue="1">
      <formula>$A33="begin repeat"</formula>
    </cfRule>
    <cfRule type="expression" priority="922" dxfId="18" stopIfTrue="1">
      <formula>$A33="begin repeat"</formula>
    </cfRule>
    <cfRule type="expression" priority="923" dxfId="16" stopIfTrue="1">
      <formula>$A33="end group"</formula>
    </cfRule>
    <cfRule type="expression" priority="924" dxfId="44" stopIfTrue="1">
      <formula>$A33="begin group"</formula>
    </cfRule>
    <cfRule type="expression" priority="925" dxfId="16" stopIfTrue="1">
      <formula>$A33="begin group"</formula>
    </cfRule>
  </conditionalFormatting>
  <conditionalFormatting sqref="D26:D31">
    <cfRule type="expression" priority="868" dxfId="33" stopIfTrue="1">
      <formula>OR($A26="audio", $A26="video")</formula>
    </cfRule>
    <cfRule type="expression" priority="869" dxfId="32" stopIfTrue="1">
      <formula>OR($A26="audio", $A26="video")</formula>
    </cfRule>
    <cfRule type="expression" priority="870" dxfId="34" stopIfTrue="1">
      <formula>$A26="image"</formula>
    </cfRule>
    <cfRule type="expression" priority="871" dxfId="31" stopIfTrue="1">
      <formula>$A26="image"</formula>
    </cfRule>
    <cfRule type="expression" priority="872" dxfId="35" stopIfTrue="1">
      <formula>OR($A26="date", $A26="datetime")</formula>
    </cfRule>
    <cfRule type="expression" priority="873" dxfId="30" stopIfTrue="1">
      <formula>OR($A26="date", $A26="datetime")</formula>
    </cfRule>
    <cfRule type="expression" priority="874" dxfId="29" stopIfTrue="1">
      <formula>OR($A26="calculate", $A26="calculate_here")</formula>
    </cfRule>
    <cfRule type="expression" priority="875" dxfId="38" stopIfTrue="1">
      <formula>$A26="note"</formula>
    </cfRule>
    <cfRule type="expression" priority="876" dxfId="28" stopIfTrue="1">
      <formula>$A26="note"</formula>
    </cfRule>
    <cfRule type="expression" priority="877" dxfId="37" stopIfTrue="1">
      <formula>$A26="barcode"</formula>
    </cfRule>
    <cfRule type="expression" priority="878" dxfId="27" stopIfTrue="1">
      <formula>$A26="barcode"</formula>
    </cfRule>
    <cfRule type="expression" priority="879" dxfId="36" stopIfTrue="1">
      <formula>$A26="geopoint"</formula>
    </cfRule>
    <cfRule type="expression" priority="880" dxfId="26" stopIfTrue="1">
      <formula>$A26="geopoint"</formula>
    </cfRule>
    <cfRule type="expression" priority="881" dxfId="25" stopIfTrue="1">
      <formula>OR($A26="audio audit", $A26="text audit")</formula>
    </cfRule>
    <cfRule type="expression" priority="882" dxfId="24" stopIfTrue="1">
      <formula>OR($A26="username", $A26="phonenumber", $A26="start", $A26="end", $A26="deviceid", $A26="subscriberid", $A26="simserial")</formula>
    </cfRule>
    <cfRule type="expression" priority="883" dxfId="39" stopIfTrue="1">
      <formula>OR(AND(LEFT($A26, 16)="select_multiple ", LEN($A26)&gt;16, NOT(ISNUMBER(SEARCH(" ", $A26, 17)))), AND(LEFT($A26, 11)="select_one ", LEN($A26)&gt;11, NOT(ISNUMBER(SEARCH(" ", $A26, 12)))))</formula>
    </cfRule>
    <cfRule type="expression" priority="884" dxfId="23" stopIfTrue="1">
      <formula>OR(AND(LEFT($A26, 16)="select_multiple ", LEN($A26)&gt;16, NOT(ISNUMBER(SEARCH(" ", $A26, 17)))), AND(LEFT($A26, 11)="select_one ", LEN($A26)&gt;11, NOT(ISNUMBER(SEARCH(" ", $A26, 12)))))</formula>
    </cfRule>
    <cfRule type="expression" priority="885" dxfId="40" stopIfTrue="1">
      <formula>$A26="decimal"</formula>
    </cfRule>
    <cfRule type="expression" priority="886" dxfId="22" stopIfTrue="1">
      <formula>$A26="decimal"</formula>
    </cfRule>
    <cfRule type="expression" priority="887" dxfId="41" stopIfTrue="1">
      <formula>$A26="integer"</formula>
    </cfRule>
    <cfRule type="expression" priority="888" dxfId="21" stopIfTrue="1">
      <formula>$A26="integer"</formula>
    </cfRule>
    <cfRule type="expression" priority="889" dxfId="42" stopIfTrue="1">
      <formula>$A26="text"</formula>
    </cfRule>
    <cfRule type="expression" priority="890" dxfId="20" stopIfTrue="1">
      <formula>$A26="text"</formula>
    </cfRule>
    <cfRule type="expression" priority="891" dxfId="18" stopIfTrue="1">
      <formula>$A26="end repeat"</formula>
    </cfRule>
    <cfRule type="expression" priority="892" dxfId="43" stopIfTrue="1">
      <formula>$A26="begin repeat"</formula>
    </cfRule>
    <cfRule type="expression" priority="893" dxfId="18" stopIfTrue="1">
      <formula>$A26="begin repeat"</formula>
    </cfRule>
    <cfRule type="expression" priority="894" dxfId="16" stopIfTrue="1">
      <formula>$A26="end group"</formula>
    </cfRule>
    <cfRule type="expression" priority="895" dxfId="44" stopIfTrue="1">
      <formula>$A26="begin group"</formula>
    </cfRule>
    <cfRule type="expression" priority="896" dxfId="16" stopIfTrue="1">
      <formula>$A26="begin group"</formula>
    </cfRule>
  </conditionalFormatting>
  <conditionalFormatting sqref="D32">
    <cfRule type="expression" priority="839" dxfId="33" stopIfTrue="1">
      <formula>OR($A32="audio", $A32="video")</formula>
    </cfRule>
    <cfRule type="expression" priority="840" dxfId="32" stopIfTrue="1">
      <formula>OR($A32="audio", $A32="video")</formula>
    </cfRule>
    <cfRule type="expression" priority="841" dxfId="34" stopIfTrue="1">
      <formula>$A32="image"</formula>
    </cfRule>
    <cfRule type="expression" priority="842" dxfId="31" stopIfTrue="1">
      <formula>$A32="image"</formula>
    </cfRule>
    <cfRule type="expression" priority="843" dxfId="35" stopIfTrue="1">
      <formula>OR($A32="date", $A32="datetime")</formula>
    </cfRule>
    <cfRule type="expression" priority="844" dxfId="30" stopIfTrue="1">
      <formula>OR($A32="date", $A32="datetime")</formula>
    </cfRule>
    <cfRule type="expression" priority="845" dxfId="29" stopIfTrue="1">
      <formula>OR($A32="calculate", $A32="calculate_here")</formula>
    </cfRule>
    <cfRule type="expression" priority="846" dxfId="38" stopIfTrue="1">
      <formula>$A32="note"</formula>
    </cfRule>
    <cfRule type="expression" priority="847" dxfId="28" stopIfTrue="1">
      <formula>$A32="note"</formula>
    </cfRule>
    <cfRule type="expression" priority="848" dxfId="37" stopIfTrue="1">
      <formula>$A32="barcode"</formula>
    </cfRule>
    <cfRule type="expression" priority="849" dxfId="27" stopIfTrue="1">
      <formula>$A32="barcode"</formula>
    </cfRule>
    <cfRule type="expression" priority="850" dxfId="36" stopIfTrue="1">
      <formula>$A32="geopoint"</formula>
    </cfRule>
    <cfRule type="expression" priority="851" dxfId="26" stopIfTrue="1">
      <formula>$A32="geopoint"</formula>
    </cfRule>
    <cfRule type="expression" priority="852" dxfId="25" stopIfTrue="1">
      <formula>OR($A32="audio audit", $A32="text audit")</formula>
    </cfRule>
    <cfRule type="expression" priority="853" dxfId="24" stopIfTrue="1">
      <formula>OR($A32="username", $A32="phonenumber", $A32="start", $A32="end", $A32="deviceid", $A32="subscriberid", $A32="simserial")</formula>
    </cfRule>
    <cfRule type="expression" priority="854" dxfId="39" stopIfTrue="1">
      <formula>OR(AND(LEFT($A32, 16)="select_multiple ", LEN($A32)&gt;16, NOT(ISNUMBER(SEARCH(" ", $A32, 17)))), AND(LEFT($A32, 11)="select_one ", LEN($A32)&gt;11, NOT(ISNUMBER(SEARCH(" ", $A32, 12)))))</formula>
    </cfRule>
    <cfRule type="expression" priority="855" dxfId="23" stopIfTrue="1">
      <formula>OR(AND(LEFT($A32, 16)="select_multiple ", LEN($A32)&gt;16, NOT(ISNUMBER(SEARCH(" ", $A32, 17)))), AND(LEFT($A32, 11)="select_one ", LEN($A32)&gt;11, NOT(ISNUMBER(SEARCH(" ", $A32, 12)))))</formula>
    </cfRule>
    <cfRule type="expression" priority="856" dxfId="40" stopIfTrue="1">
      <formula>$A32="decimal"</formula>
    </cfRule>
    <cfRule type="expression" priority="857" dxfId="22" stopIfTrue="1">
      <formula>$A32="decimal"</formula>
    </cfRule>
    <cfRule type="expression" priority="858" dxfId="41" stopIfTrue="1">
      <formula>$A32="integer"</formula>
    </cfRule>
    <cfRule type="expression" priority="859" dxfId="21" stopIfTrue="1">
      <formula>$A32="integer"</formula>
    </cfRule>
    <cfRule type="expression" priority="860" dxfId="42" stopIfTrue="1">
      <formula>$A32="text"</formula>
    </cfRule>
    <cfRule type="expression" priority="861" dxfId="20" stopIfTrue="1">
      <formula>$A32="text"</formula>
    </cfRule>
    <cfRule type="expression" priority="862" dxfId="18" stopIfTrue="1">
      <formula>$A32="end repeat"</formula>
    </cfRule>
    <cfRule type="expression" priority="863" dxfId="43" stopIfTrue="1">
      <formula>$A32="begin repeat"</formula>
    </cfRule>
    <cfRule type="expression" priority="864" dxfId="18" stopIfTrue="1">
      <formula>$A32="begin repeat"</formula>
    </cfRule>
    <cfRule type="expression" priority="865" dxfId="16" stopIfTrue="1">
      <formula>$A32="end group"</formula>
    </cfRule>
    <cfRule type="expression" priority="866" dxfId="44" stopIfTrue="1">
      <formula>$A32="begin group"</formula>
    </cfRule>
    <cfRule type="expression" priority="867" dxfId="16" stopIfTrue="1">
      <formula>$A32="begin group"</formula>
    </cfRule>
  </conditionalFormatting>
  <conditionalFormatting sqref="B178">
    <cfRule type="duplicateValues" priority="835" dxfId="0"/>
  </conditionalFormatting>
  <conditionalFormatting sqref="C178">
    <cfRule type="duplicateValues" priority="836" dxfId="0"/>
  </conditionalFormatting>
  <conditionalFormatting sqref="B184">
    <cfRule type="duplicateValues" priority="834" dxfId="0"/>
  </conditionalFormatting>
  <conditionalFormatting sqref="B182">
    <cfRule type="duplicateValues" priority="833" dxfId="0"/>
  </conditionalFormatting>
  <conditionalFormatting sqref="B169:B177 B179:B181">
    <cfRule type="duplicateValues" priority="980" dxfId="0"/>
  </conditionalFormatting>
  <conditionalFormatting sqref="C183">
    <cfRule type="duplicateValues" priority="832" dxfId="0"/>
  </conditionalFormatting>
  <conditionalFormatting sqref="C184">
    <cfRule type="duplicateValues" priority="831" dxfId="0"/>
  </conditionalFormatting>
  <conditionalFormatting sqref="C182">
    <cfRule type="duplicateValues" priority="830" dxfId="0"/>
  </conditionalFormatting>
  <conditionalFormatting sqref="C26">
    <cfRule type="duplicateValues" priority="829" dxfId="0"/>
  </conditionalFormatting>
  <conditionalFormatting sqref="B27">
    <cfRule type="duplicateValues" priority="828" dxfId="0"/>
  </conditionalFormatting>
  <conditionalFormatting sqref="C27">
    <cfRule type="duplicateValues" priority="827" dxfId="0"/>
  </conditionalFormatting>
  <conditionalFormatting sqref="C28:C29 C31:C32">
    <cfRule type="duplicateValues" priority="826" dxfId="0"/>
  </conditionalFormatting>
  <conditionalFormatting sqref="C30">
    <cfRule type="duplicateValues" priority="790" dxfId="0"/>
  </conditionalFormatting>
  <conditionalFormatting sqref="B207">
    <cfRule type="duplicateValues" priority="745" dxfId="0"/>
  </conditionalFormatting>
  <conditionalFormatting sqref="C112">
    <cfRule type="duplicateValues" priority="1022" dxfId="0"/>
  </conditionalFormatting>
  <conditionalFormatting sqref="B33">
    <cfRule type="duplicateValues" priority="1097" dxfId="0"/>
  </conditionalFormatting>
  <conditionalFormatting sqref="C33">
    <cfRule type="duplicateValues" priority="1127" dxfId="0"/>
  </conditionalFormatting>
  <conditionalFormatting sqref="C46">
    <cfRule type="duplicateValues" priority="1128" dxfId="0"/>
  </conditionalFormatting>
  <conditionalFormatting sqref="C51">
    <cfRule type="duplicateValues" priority="1129" dxfId="0"/>
  </conditionalFormatting>
  <conditionalFormatting sqref="B51">
    <cfRule type="duplicateValues" priority="1130" dxfId="0"/>
  </conditionalFormatting>
  <conditionalFormatting sqref="B64">
    <cfRule type="duplicateValues" priority="1132" dxfId="0"/>
  </conditionalFormatting>
  <conditionalFormatting sqref="C64">
    <cfRule type="duplicateValues" priority="1133" dxfId="0"/>
  </conditionalFormatting>
  <conditionalFormatting sqref="B69:B71 B74">
    <cfRule type="duplicateValues" priority="1134" dxfId="0"/>
  </conditionalFormatting>
  <conditionalFormatting sqref="C69:C71 C74">
    <cfRule type="duplicateValues" priority="1136" dxfId="0"/>
  </conditionalFormatting>
  <conditionalFormatting sqref="B73">
    <cfRule type="duplicateValues" priority="1137" dxfId="0"/>
  </conditionalFormatting>
  <conditionalFormatting sqref="C73">
    <cfRule type="duplicateValues" priority="1138" dxfId="0"/>
  </conditionalFormatting>
  <conditionalFormatting sqref="B82">
    <cfRule type="duplicateValues" priority="1142" dxfId="0"/>
  </conditionalFormatting>
  <conditionalFormatting sqref="C82">
    <cfRule type="duplicateValues" priority="1143" dxfId="0"/>
  </conditionalFormatting>
  <conditionalFormatting sqref="C106:C107">
    <cfRule type="duplicateValues" priority="1146" dxfId="0"/>
  </conditionalFormatting>
  <conditionalFormatting sqref="B112">
    <cfRule type="duplicateValues" priority="1182" dxfId="0"/>
  </conditionalFormatting>
  <conditionalFormatting sqref="B129">
    <cfRule type="duplicateValues" priority="1183" dxfId="0"/>
  </conditionalFormatting>
  <conditionalFormatting sqref="B133">
    <cfRule type="duplicateValues" priority="1184" dxfId="0"/>
  </conditionalFormatting>
  <conditionalFormatting sqref="B140:B142">
    <cfRule type="duplicateValues" priority="1185" dxfId="0"/>
  </conditionalFormatting>
  <conditionalFormatting sqref="B106:B107">
    <cfRule type="duplicateValues" priority="1221" dxfId="0"/>
  </conditionalFormatting>
  <conditionalFormatting sqref="F26:F27">
    <cfRule type="expression" priority="687" dxfId="33" stopIfTrue="1">
      <formula>OR(#REF!="audio",#REF!= "video")</formula>
    </cfRule>
    <cfRule type="expression" priority="688" dxfId="32" stopIfTrue="1">
      <formula>OR(#REF!="audio",#REF!= "video")</formula>
    </cfRule>
    <cfRule type="expression" priority="689" dxfId="34" stopIfTrue="1">
      <formula>#REF!="image"</formula>
    </cfRule>
    <cfRule type="expression" priority="690" dxfId="31" stopIfTrue="1">
      <formula>#REF!="image"</formula>
    </cfRule>
    <cfRule type="expression" priority="691" dxfId="35" stopIfTrue="1">
      <formula>OR(#REF!="date",#REF!= "datetime")</formula>
    </cfRule>
    <cfRule type="expression" priority="692" dxfId="30" stopIfTrue="1">
      <formula>OR(#REF!="date",#REF!= "datetime")</formula>
    </cfRule>
    <cfRule type="expression" priority="693" dxfId="29" stopIfTrue="1">
      <formula>OR(#REF!="calculate",#REF!= "calculate_here")</formula>
    </cfRule>
    <cfRule type="expression" priority="694" dxfId="38" stopIfTrue="1">
      <formula>#REF!="note"</formula>
    </cfRule>
    <cfRule type="expression" priority="695" dxfId="28" stopIfTrue="1">
      <formula>#REF!="note"</formula>
    </cfRule>
    <cfRule type="expression" priority="696" dxfId="37" stopIfTrue="1">
      <formula>#REF!="barcode"</formula>
    </cfRule>
    <cfRule type="expression" priority="697" dxfId="27" stopIfTrue="1">
      <formula>#REF!="barcode"</formula>
    </cfRule>
    <cfRule type="expression" priority="698" dxfId="36" stopIfTrue="1">
      <formula>#REF!="geopoint"</formula>
    </cfRule>
    <cfRule type="expression" priority="699" dxfId="26" stopIfTrue="1">
      <formula>#REF!="geopoint"</formula>
    </cfRule>
    <cfRule type="expression" priority="700" dxfId="25" stopIfTrue="1">
      <formula>OR(#REF!="audio audit",#REF!= "text audit")</formula>
    </cfRule>
    <cfRule type="expression" priority="701" dxfId="24" stopIfTrue="1">
      <formula>OR(#REF!="username",#REF!= "phonenumber",#REF!= "start",#REF!= "end",#REF!= "deviceid",#REF!= "subscriberid",#REF!= "simserial")</formula>
    </cfRule>
    <cfRule type="expression" priority="702" dxfId="39" stopIfTrue="1">
      <formula>OR(AND(LEFT(#REF!, 16)="select_multiple ", LEN(#REF!)&gt;16, NOT(ISNUMBER(SEARCH(" ",#REF!, 17)))), AND(LEFT(#REF!, 11)="select_one ", LEN(#REF!)&gt;11, NOT(ISNUMBER(SEARCH(" ",#REF!, 12)))))</formula>
    </cfRule>
    <cfRule type="expression" priority="703" dxfId="23" stopIfTrue="1">
      <formula>OR(AND(LEFT(#REF!, 16)="select_multiple ", LEN(#REF!)&gt;16, NOT(ISNUMBER(SEARCH(" ",#REF!, 17)))), AND(LEFT(#REF!, 11)="select_one ", LEN(#REF!)&gt;11, NOT(ISNUMBER(SEARCH(" ",#REF!, 12)))))</formula>
    </cfRule>
    <cfRule type="expression" priority="704" dxfId="40" stopIfTrue="1">
      <formula>#REF!="decimal"</formula>
    </cfRule>
    <cfRule type="expression" priority="705" dxfId="22" stopIfTrue="1">
      <formula>#REF!="decimal"</formula>
    </cfRule>
    <cfRule type="expression" priority="706" dxfId="41" stopIfTrue="1">
      <formula>#REF!="integer"</formula>
    </cfRule>
    <cfRule type="expression" priority="707" dxfId="21" stopIfTrue="1">
      <formula>#REF!="integer"</formula>
    </cfRule>
    <cfRule type="expression" priority="708" dxfId="42" stopIfTrue="1">
      <formula>#REF!="text"</formula>
    </cfRule>
    <cfRule type="expression" priority="709" dxfId="20" stopIfTrue="1">
      <formula>#REF!="text"</formula>
    </cfRule>
    <cfRule type="expression" priority="710" dxfId="18" stopIfTrue="1">
      <formula>#REF!="end repeat"</formula>
    </cfRule>
    <cfRule type="expression" priority="711" dxfId="43" stopIfTrue="1">
      <formula>#REF!="begin repeat"</formula>
    </cfRule>
    <cfRule type="expression" priority="712" dxfId="18" stopIfTrue="1">
      <formula>#REF!="begin repeat"</formula>
    </cfRule>
    <cfRule type="expression" priority="713" dxfId="16" stopIfTrue="1">
      <formula>#REF!="end group"</formula>
    </cfRule>
    <cfRule type="expression" priority="714" dxfId="44" stopIfTrue="1">
      <formula>#REF!="begin group"</formula>
    </cfRule>
    <cfRule type="expression" priority="715" dxfId="16" stopIfTrue="1">
      <formula>#REF!="begin group"</formula>
    </cfRule>
  </conditionalFormatting>
  <conditionalFormatting sqref="F28:F30">
    <cfRule type="expression" priority="658" dxfId="33" stopIfTrue="1">
      <formula>OR(#REF!="audio",#REF!= "video")</formula>
    </cfRule>
    <cfRule type="expression" priority="659" dxfId="32" stopIfTrue="1">
      <formula>OR(#REF!="audio",#REF!= "video")</formula>
    </cfRule>
    <cfRule type="expression" priority="660" dxfId="34" stopIfTrue="1">
      <formula>#REF!="image"</formula>
    </cfRule>
    <cfRule type="expression" priority="661" dxfId="31" stopIfTrue="1">
      <formula>#REF!="image"</formula>
    </cfRule>
    <cfRule type="expression" priority="662" dxfId="35" stopIfTrue="1">
      <formula>OR(#REF!="date",#REF!= "datetime")</formula>
    </cfRule>
    <cfRule type="expression" priority="663" dxfId="30" stopIfTrue="1">
      <formula>OR(#REF!="date",#REF!= "datetime")</formula>
    </cfRule>
    <cfRule type="expression" priority="664" dxfId="29" stopIfTrue="1">
      <formula>OR(#REF!="calculate",#REF!= "calculate_here")</formula>
    </cfRule>
    <cfRule type="expression" priority="665" dxfId="38" stopIfTrue="1">
      <formula>#REF!="note"</formula>
    </cfRule>
    <cfRule type="expression" priority="666" dxfId="28" stopIfTrue="1">
      <formula>#REF!="note"</formula>
    </cfRule>
    <cfRule type="expression" priority="667" dxfId="37" stopIfTrue="1">
      <formula>#REF!="barcode"</formula>
    </cfRule>
    <cfRule type="expression" priority="668" dxfId="27" stopIfTrue="1">
      <formula>#REF!="barcode"</formula>
    </cfRule>
    <cfRule type="expression" priority="669" dxfId="36" stopIfTrue="1">
      <formula>#REF!="geopoint"</formula>
    </cfRule>
    <cfRule type="expression" priority="670" dxfId="26" stopIfTrue="1">
      <formula>#REF!="geopoint"</formula>
    </cfRule>
    <cfRule type="expression" priority="671" dxfId="25" stopIfTrue="1">
      <formula>OR(#REF!="audio audit",#REF!= "text audit")</formula>
    </cfRule>
    <cfRule type="expression" priority="672" dxfId="24" stopIfTrue="1">
      <formula>OR(#REF!="username",#REF!= "phonenumber",#REF!= "start",#REF!= "end",#REF!= "deviceid",#REF!= "subscriberid",#REF!= "simserial")</formula>
    </cfRule>
    <cfRule type="expression" priority="673" dxfId="39" stopIfTrue="1">
      <formula>OR(AND(LEFT(#REF!, 16)="select_multiple ", LEN(#REF!)&gt;16, NOT(ISNUMBER(SEARCH(" ",#REF!, 17)))), AND(LEFT(#REF!, 11)="select_one ", LEN(#REF!)&gt;11, NOT(ISNUMBER(SEARCH(" ",#REF!, 12)))))</formula>
    </cfRule>
    <cfRule type="expression" priority="674" dxfId="23" stopIfTrue="1">
      <formula>OR(AND(LEFT(#REF!, 16)="select_multiple ", LEN(#REF!)&gt;16, NOT(ISNUMBER(SEARCH(" ",#REF!, 17)))), AND(LEFT(#REF!, 11)="select_one ", LEN(#REF!)&gt;11, NOT(ISNUMBER(SEARCH(" ",#REF!, 12)))))</formula>
    </cfRule>
    <cfRule type="expression" priority="675" dxfId="40" stopIfTrue="1">
      <formula>#REF!="decimal"</formula>
    </cfRule>
    <cfRule type="expression" priority="676" dxfId="22" stopIfTrue="1">
      <formula>#REF!="decimal"</formula>
    </cfRule>
    <cfRule type="expression" priority="677" dxfId="41" stopIfTrue="1">
      <formula>#REF!="integer"</formula>
    </cfRule>
    <cfRule type="expression" priority="678" dxfId="21" stopIfTrue="1">
      <formula>#REF!="integer"</formula>
    </cfRule>
    <cfRule type="expression" priority="679" dxfId="42" stopIfTrue="1">
      <formula>#REF!="text"</formula>
    </cfRule>
    <cfRule type="expression" priority="680" dxfId="20" stopIfTrue="1">
      <formula>#REF!="text"</formula>
    </cfRule>
    <cfRule type="expression" priority="681" dxfId="18" stopIfTrue="1">
      <formula>#REF!="end repeat"</formula>
    </cfRule>
    <cfRule type="expression" priority="682" dxfId="43" stopIfTrue="1">
      <formula>#REF!="begin repeat"</formula>
    </cfRule>
    <cfRule type="expression" priority="683" dxfId="18" stopIfTrue="1">
      <formula>#REF!="begin repeat"</formula>
    </cfRule>
    <cfRule type="expression" priority="684" dxfId="16" stopIfTrue="1">
      <formula>#REF!="end group"</formula>
    </cfRule>
    <cfRule type="expression" priority="685" dxfId="44" stopIfTrue="1">
      <formula>#REF!="begin group"</formula>
    </cfRule>
    <cfRule type="expression" priority="686" dxfId="16" stopIfTrue="1">
      <formula>#REF!="begin group"</formula>
    </cfRule>
  </conditionalFormatting>
  <conditionalFormatting sqref="F31">
    <cfRule type="expression" priority="629" dxfId="33" stopIfTrue="1">
      <formula>OR(#REF!="audio",#REF!= "video")</formula>
    </cfRule>
    <cfRule type="expression" priority="630" dxfId="32" stopIfTrue="1">
      <formula>OR(#REF!="audio",#REF!= "video")</formula>
    </cfRule>
    <cfRule type="expression" priority="631" dxfId="34" stopIfTrue="1">
      <formula>#REF!="image"</formula>
    </cfRule>
    <cfRule type="expression" priority="632" dxfId="31" stopIfTrue="1">
      <formula>#REF!="image"</formula>
    </cfRule>
    <cfRule type="expression" priority="633" dxfId="35" stopIfTrue="1">
      <formula>OR(#REF!="date",#REF!= "datetime")</formula>
    </cfRule>
    <cfRule type="expression" priority="634" dxfId="30" stopIfTrue="1">
      <formula>OR(#REF!="date",#REF!= "datetime")</formula>
    </cfRule>
    <cfRule type="expression" priority="635" dxfId="29" stopIfTrue="1">
      <formula>OR(#REF!="calculate",#REF!= "calculate_here")</formula>
    </cfRule>
    <cfRule type="expression" priority="636" dxfId="38" stopIfTrue="1">
      <formula>#REF!="note"</formula>
    </cfRule>
    <cfRule type="expression" priority="637" dxfId="28" stopIfTrue="1">
      <formula>#REF!="note"</formula>
    </cfRule>
    <cfRule type="expression" priority="638" dxfId="37" stopIfTrue="1">
      <formula>#REF!="barcode"</formula>
    </cfRule>
    <cfRule type="expression" priority="639" dxfId="27" stopIfTrue="1">
      <formula>#REF!="barcode"</formula>
    </cfRule>
    <cfRule type="expression" priority="640" dxfId="36" stopIfTrue="1">
      <formula>#REF!="geopoint"</formula>
    </cfRule>
    <cfRule type="expression" priority="641" dxfId="26" stopIfTrue="1">
      <formula>#REF!="geopoint"</formula>
    </cfRule>
    <cfRule type="expression" priority="642" dxfId="25" stopIfTrue="1">
      <formula>OR(#REF!="audio audit",#REF!= "text audit")</formula>
    </cfRule>
    <cfRule type="expression" priority="643" dxfId="24" stopIfTrue="1">
      <formula>OR(#REF!="username",#REF!= "phonenumber",#REF!= "start",#REF!= "end",#REF!= "deviceid",#REF!= "subscriberid",#REF!= "simserial")</formula>
    </cfRule>
    <cfRule type="expression" priority="644" dxfId="39" stopIfTrue="1">
      <formula>OR(AND(LEFT(#REF!, 16)="select_multiple ", LEN(#REF!)&gt;16, NOT(ISNUMBER(SEARCH(" ",#REF!, 17)))), AND(LEFT(#REF!, 11)="select_one ", LEN(#REF!)&gt;11, NOT(ISNUMBER(SEARCH(" ",#REF!, 12)))))</formula>
    </cfRule>
    <cfRule type="expression" priority="645" dxfId="23" stopIfTrue="1">
      <formula>OR(AND(LEFT(#REF!, 16)="select_multiple ", LEN(#REF!)&gt;16, NOT(ISNUMBER(SEARCH(" ",#REF!, 17)))), AND(LEFT(#REF!, 11)="select_one ", LEN(#REF!)&gt;11, NOT(ISNUMBER(SEARCH(" ",#REF!, 12)))))</formula>
    </cfRule>
    <cfRule type="expression" priority="646" dxfId="40" stopIfTrue="1">
      <formula>#REF!="decimal"</formula>
    </cfRule>
    <cfRule type="expression" priority="647" dxfId="22" stopIfTrue="1">
      <formula>#REF!="decimal"</formula>
    </cfRule>
    <cfRule type="expression" priority="648" dxfId="41" stopIfTrue="1">
      <formula>#REF!="integer"</formula>
    </cfRule>
    <cfRule type="expression" priority="649" dxfId="21" stopIfTrue="1">
      <formula>#REF!="integer"</formula>
    </cfRule>
    <cfRule type="expression" priority="650" dxfId="42" stopIfTrue="1">
      <formula>#REF!="text"</formula>
    </cfRule>
    <cfRule type="expression" priority="651" dxfId="20" stopIfTrue="1">
      <formula>#REF!="text"</formula>
    </cfRule>
    <cfRule type="expression" priority="652" dxfId="18" stopIfTrue="1">
      <formula>#REF!="end repeat"</formula>
    </cfRule>
    <cfRule type="expression" priority="653" dxfId="43" stopIfTrue="1">
      <formula>#REF!="begin repeat"</formula>
    </cfRule>
    <cfRule type="expression" priority="654" dxfId="18" stopIfTrue="1">
      <formula>#REF!="begin repeat"</formula>
    </cfRule>
    <cfRule type="expression" priority="655" dxfId="16" stopIfTrue="1">
      <formula>#REF!="end group"</formula>
    </cfRule>
    <cfRule type="expression" priority="656" dxfId="44" stopIfTrue="1">
      <formula>#REF!="begin group"</formula>
    </cfRule>
    <cfRule type="expression" priority="657" dxfId="16" stopIfTrue="1">
      <formula>#REF!="begin group"</formula>
    </cfRule>
  </conditionalFormatting>
  <conditionalFormatting sqref="F32:F33">
    <cfRule type="expression" priority="600" dxfId="33" stopIfTrue="1">
      <formula>OR(#REF!="audio",#REF!= "video")</formula>
    </cfRule>
    <cfRule type="expression" priority="601" dxfId="32" stopIfTrue="1">
      <formula>OR(#REF!="audio",#REF!= "video")</formula>
    </cfRule>
    <cfRule type="expression" priority="602" dxfId="34" stopIfTrue="1">
      <formula>#REF!="image"</formula>
    </cfRule>
    <cfRule type="expression" priority="603" dxfId="31" stopIfTrue="1">
      <formula>#REF!="image"</formula>
    </cfRule>
    <cfRule type="expression" priority="604" dxfId="35" stopIfTrue="1">
      <formula>OR(#REF!="date",#REF!= "datetime")</formula>
    </cfRule>
    <cfRule type="expression" priority="605" dxfId="30" stopIfTrue="1">
      <formula>OR(#REF!="date",#REF!= "datetime")</formula>
    </cfRule>
    <cfRule type="expression" priority="606" dxfId="29" stopIfTrue="1">
      <formula>OR(#REF!="calculate",#REF!= "calculate_here")</formula>
    </cfRule>
    <cfRule type="expression" priority="607" dxfId="38" stopIfTrue="1">
      <formula>#REF!="note"</formula>
    </cfRule>
    <cfRule type="expression" priority="608" dxfId="28" stopIfTrue="1">
      <formula>#REF!="note"</formula>
    </cfRule>
    <cfRule type="expression" priority="609" dxfId="37" stopIfTrue="1">
      <formula>#REF!="barcode"</formula>
    </cfRule>
    <cfRule type="expression" priority="610" dxfId="27" stopIfTrue="1">
      <formula>#REF!="barcode"</formula>
    </cfRule>
    <cfRule type="expression" priority="611" dxfId="36" stopIfTrue="1">
      <formula>#REF!="geopoint"</formula>
    </cfRule>
    <cfRule type="expression" priority="612" dxfId="26" stopIfTrue="1">
      <formula>#REF!="geopoint"</formula>
    </cfRule>
    <cfRule type="expression" priority="613" dxfId="25" stopIfTrue="1">
      <formula>OR(#REF!="audio audit",#REF!= "text audit")</formula>
    </cfRule>
    <cfRule type="expression" priority="614" dxfId="24" stopIfTrue="1">
      <formula>OR(#REF!="username",#REF!= "phonenumber",#REF!= "start",#REF!= "end",#REF!= "deviceid",#REF!= "subscriberid",#REF!= "simserial")</formula>
    </cfRule>
    <cfRule type="expression" priority="615" dxfId="39" stopIfTrue="1">
      <formula>OR(AND(LEFT(#REF!, 16)="select_multiple ", LEN(#REF!)&gt;16, NOT(ISNUMBER(SEARCH(" ",#REF!, 17)))), AND(LEFT(#REF!, 11)="select_one ", LEN(#REF!)&gt;11, NOT(ISNUMBER(SEARCH(" ",#REF!, 12)))))</formula>
    </cfRule>
    <cfRule type="expression" priority="616" dxfId="23" stopIfTrue="1">
      <formula>OR(AND(LEFT(#REF!, 16)="select_multiple ", LEN(#REF!)&gt;16, NOT(ISNUMBER(SEARCH(" ",#REF!, 17)))), AND(LEFT(#REF!, 11)="select_one ", LEN(#REF!)&gt;11, NOT(ISNUMBER(SEARCH(" ",#REF!, 12)))))</formula>
    </cfRule>
    <cfRule type="expression" priority="617" dxfId="40" stopIfTrue="1">
      <formula>#REF!="decimal"</formula>
    </cfRule>
    <cfRule type="expression" priority="618" dxfId="22" stopIfTrue="1">
      <formula>#REF!="decimal"</formula>
    </cfRule>
    <cfRule type="expression" priority="619" dxfId="41" stopIfTrue="1">
      <formula>#REF!="integer"</formula>
    </cfRule>
    <cfRule type="expression" priority="620" dxfId="21" stopIfTrue="1">
      <formula>#REF!="integer"</formula>
    </cfRule>
    <cfRule type="expression" priority="621" dxfId="42" stopIfTrue="1">
      <formula>#REF!="text"</formula>
    </cfRule>
    <cfRule type="expression" priority="622" dxfId="20" stopIfTrue="1">
      <formula>#REF!="text"</formula>
    </cfRule>
    <cfRule type="expression" priority="623" dxfId="18" stopIfTrue="1">
      <formula>#REF!="end repeat"</formula>
    </cfRule>
    <cfRule type="expression" priority="624" dxfId="43" stopIfTrue="1">
      <formula>#REF!="begin repeat"</formula>
    </cfRule>
    <cfRule type="expression" priority="625" dxfId="18" stopIfTrue="1">
      <formula>#REF!="begin repeat"</formula>
    </cfRule>
    <cfRule type="expression" priority="626" dxfId="16" stopIfTrue="1">
      <formula>#REF!="end group"</formula>
    </cfRule>
    <cfRule type="expression" priority="627" dxfId="44" stopIfTrue="1">
      <formula>#REF!="begin group"</formula>
    </cfRule>
    <cfRule type="expression" priority="628" dxfId="16" stopIfTrue="1">
      <formula>#REF!="begin group"</formula>
    </cfRule>
  </conditionalFormatting>
  <conditionalFormatting sqref="F193">
    <cfRule type="expression" priority="571" dxfId="33" stopIfTrue="1">
      <formula>OR(#REF!="audio",#REF!= "video")</formula>
    </cfRule>
    <cfRule type="expression" priority="572" dxfId="32" stopIfTrue="1">
      <formula>OR(#REF!="audio",#REF!= "video")</formula>
    </cfRule>
    <cfRule type="expression" priority="573" dxfId="34" stopIfTrue="1">
      <formula>#REF!="image"</formula>
    </cfRule>
    <cfRule type="expression" priority="574" dxfId="31" stopIfTrue="1">
      <formula>#REF!="image"</formula>
    </cfRule>
    <cfRule type="expression" priority="575" dxfId="35" stopIfTrue="1">
      <formula>OR(#REF!="date",#REF!= "datetime")</formula>
    </cfRule>
    <cfRule type="expression" priority="576" dxfId="30" stopIfTrue="1">
      <formula>OR(#REF!="date",#REF!= "datetime")</formula>
    </cfRule>
    <cfRule type="expression" priority="577" dxfId="29" stopIfTrue="1">
      <formula>OR(#REF!="calculate",#REF!= "calculate_here")</formula>
    </cfRule>
    <cfRule type="expression" priority="578" dxfId="38" stopIfTrue="1">
      <formula>#REF!="note"</formula>
    </cfRule>
    <cfRule type="expression" priority="579" dxfId="28" stopIfTrue="1">
      <formula>#REF!="note"</formula>
    </cfRule>
    <cfRule type="expression" priority="580" dxfId="37" stopIfTrue="1">
      <formula>#REF!="barcode"</formula>
    </cfRule>
    <cfRule type="expression" priority="581" dxfId="27" stopIfTrue="1">
      <formula>#REF!="barcode"</formula>
    </cfRule>
    <cfRule type="expression" priority="582" dxfId="36" stopIfTrue="1">
      <formula>#REF!="geopoint"</formula>
    </cfRule>
    <cfRule type="expression" priority="583" dxfId="26" stopIfTrue="1">
      <formula>#REF!="geopoint"</formula>
    </cfRule>
    <cfRule type="expression" priority="584" dxfId="25" stopIfTrue="1">
      <formula>OR(#REF!="audio audit",#REF!= "text audit")</formula>
    </cfRule>
    <cfRule type="expression" priority="585" dxfId="24" stopIfTrue="1">
      <formula>OR(#REF!="username",#REF!= "phonenumber",#REF!= "start",#REF!= "end",#REF!= "deviceid",#REF!= "subscriberid",#REF!= "simserial")</formula>
    </cfRule>
    <cfRule type="expression" priority="586" dxfId="39" stopIfTrue="1">
      <formula>OR(AND(LEFT(#REF!, 16)="select_multiple ", LEN(#REF!)&gt;16, NOT(ISNUMBER(SEARCH(" ",#REF!, 17)))), AND(LEFT(#REF!, 11)="select_one ", LEN(#REF!)&gt;11, NOT(ISNUMBER(SEARCH(" ",#REF!, 12)))))</formula>
    </cfRule>
    <cfRule type="expression" priority="587" dxfId="23" stopIfTrue="1">
      <formula>OR(AND(LEFT(#REF!, 16)="select_multiple ", LEN(#REF!)&gt;16, NOT(ISNUMBER(SEARCH(" ",#REF!, 17)))), AND(LEFT(#REF!, 11)="select_one ", LEN(#REF!)&gt;11, NOT(ISNUMBER(SEARCH(" ",#REF!, 12)))))</formula>
    </cfRule>
    <cfRule type="expression" priority="588" dxfId="40" stopIfTrue="1">
      <formula>#REF!="decimal"</formula>
    </cfRule>
    <cfRule type="expression" priority="589" dxfId="22" stopIfTrue="1">
      <formula>#REF!="decimal"</formula>
    </cfRule>
    <cfRule type="expression" priority="590" dxfId="41" stopIfTrue="1">
      <formula>#REF!="integer"</formula>
    </cfRule>
    <cfRule type="expression" priority="591" dxfId="21" stopIfTrue="1">
      <formula>#REF!="integer"</formula>
    </cfRule>
    <cfRule type="expression" priority="592" dxfId="42" stopIfTrue="1">
      <formula>#REF!="text"</formula>
    </cfRule>
    <cfRule type="expression" priority="593" dxfId="20" stopIfTrue="1">
      <formula>#REF!="text"</formula>
    </cfRule>
    <cfRule type="expression" priority="594" dxfId="18" stopIfTrue="1">
      <formula>#REF!="end repeat"</formula>
    </cfRule>
    <cfRule type="expression" priority="595" dxfId="43" stopIfTrue="1">
      <formula>#REF!="begin repeat"</formula>
    </cfRule>
    <cfRule type="expression" priority="596" dxfId="18" stopIfTrue="1">
      <formula>#REF!="begin repeat"</formula>
    </cfRule>
    <cfRule type="expression" priority="597" dxfId="16" stopIfTrue="1">
      <formula>#REF!="end group"</formula>
    </cfRule>
    <cfRule type="expression" priority="598" dxfId="44" stopIfTrue="1">
      <formula>#REF!="begin group"</formula>
    </cfRule>
    <cfRule type="expression" priority="599" dxfId="16" stopIfTrue="1">
      <formula>#REF!="begin group"</formula>
    </cfRule>
  </conditionalFormatting>
  <conditionalFormatting sqref="F194">
    <cfRule type="expression" priority="542" dxfId="33" stopIfTrue="1">
      <formula>OR(#REF!="audio",#REF!= "video")</formula>
    </cfRule>
    <cfRule type="expression" priority="543" dxfId="32" stopIfTrue="1">
      <formula>OR(#REF!="audio",#REF!= "video")</formula>
    </cfRule>
    <cfRule type="expression" priority="544" dxfId="34" stopIfTrue="1">
      <formula>#REF!="image"</formula>
    </cfRule>
    <cfRule type="expression" priority="545" dxfId="31" stopIfTrue="1">
      <formula>#REF!="image"</formula>
    </cfRule>
    <cfRule type="expression" priority="546" dxfId="35" stopIfTrue="1">
      <formula>OR(#REF!="date",#REF!= "datetime")</formula>
    </cfRule>
    <cfRule type="expression" priority="547" dxfId="30" stopIfTrue="1">
      <formula>OR(#REF!="date",#REF!= "datetime")</formula>
    </cfRule>
    <cfRule type="expression" priority="548" dxfId="29" stopIfTrue="1">
      <formula>OR(#REF!="calculate",#REF!= "calculate_here")</formula>
    </cfRule>
    <cfRule type="expression" priority="549" dxfId="38" stopIfTrue="1">
      <formula>#REF!="note"</formula>
    </cfRule>
    <cfRule type="expression" priority="550" dxfId="28" stopIfTrue="1">
      <formula>#REF!="note"</formula>
    </cfRule>
    <cfRule type="expression" priority="551" dxfId="37" stopIfTrue="1">
      <formula>#REF!="barcode"</formula>
    </cfRule>
    <cfRule type="expression" priority="552" dxfId="27" stopIfTrue="1">
      <formula>#REF!="barcode"</formula>
    </cfRule>
    <cfRule type="expression" priority="553" dxfId="36" stopIfTrue="1">
      <formula>#REF!="geopoint"</formula>
    </cfRule>
    <cfRule type="expression" priority="554" dxfId="26" stopIfTrue="1">
      <formula>#REF!="geopoint"</formula>
    </cfRule>
    <cfRule type="expression" priority="555" dxfId="25" stopIfTrue="1">
      <formula>OR(#REF!="audio audit",#REF!= "text audit")</formula>
    </cfRule>
    <cfRule type="expression" priority="556" dxfId="24" stopIfTrue="1">
      <formula>OR(#REF!="username",#REF!= "phonenumber",#REF!= "start",#REF!= "end",#REF!= "deviceid",#REF!= "subscriberid",#REF!= "simserial")</formula>
    </cfRule>
    <cfRule type="expression" priority="557" dxfId="39" stopIfTrue="1">
      <formula>OR(AND(LEFT(#REF!, 16)="select_multiple ", LEN(#REF!)&gt;16, NOT(ISNUMBER(SEARCH(" ",#REF!, 17)))), AND(LEFT(#REF!, 11)="select_one ", LEN(#REF!)&gt;11, NOT(ISNUMBER(SEARCH(" ",#REF!, 12)))))</formula>
    </cfRule>
    <cfRule type="expression" priority="558" dxfId="23" stopIfTrue="1">
      <formula>OR(AND(LEFT(#REF!, 16)="select_multiple ", LEN(#REF!)&gt;16, NOT(ISNUMBER(SEARCH(" ",#REF!, 17)))), AND(LEFT(#REF!, 11)="select_one ", LEN(#REF!)&gt;11, NOT(ISNUMBER(SEARCH(" ",#REF!, 12)))))</formula>
    </cfRule>
    <cfRule type="expression" priority="559" dxfId="40" stopIfTrue="1">
      <formula>#REF!="decimal"</formula>
    </cfRule>
    <cfRule type="expression" priority="560" dxfId="22" stopIfTrue="1">
      <formula>#REF!="decimal"</formula>
    </cfRule>
    <cfRule type="expression" priority="561" dxfId="41" stopIfTrue="1">
      <formula>#REF!="integer"</formula>
    </cfRule>
    <cfRule type="expression" priority="562" dxfId="21" stopIfTrue="1">
      <formula>#REF!="integer"</formula>
    </cfRule>
    <cfRule type="expression" priority="563" dxfId="42" stopIfTrue="1">
      <formula>#REF!="text"</formula>
    </cfRule>
    <cfRule type="expression" priority="564" dxfId="20" stopIfTrue="1">
      <formula>#REF!="text"</formula>
    </cfRule>
    <cfRule type="expression" priority="565" dxfId="18" stopIfTrue="1">
      <formula>#REF!="end repeat"</formula>
    </cfRule>
    <cfRule type="expression" priority="566" dxfId="43" stopIfTrue="1">
      <formula>#REF!="begin repeat"</formula>
    </cfRule>
    <cfRule type="expression" priority="567" dxfId="18" stopIfTrue="1">
      <formula>#REF!="begin repeat"</formula>
    </cfRule>
    <cfRule type="expression" priority="568" dxfId="16" stopIfTrue="1">
      <formula>#REF!="end group"</formula>
    </cfRule>
    <cfRule type="expression" priority="569" dxfId="44" stopIfTrue="1">
      <formula>#REF!="begin group"</formula>
    </cfRule>
    <cfRule type="expression" priority="570" dxfId="16" stopIfTrue="1">
      <formula>#REF!="begin group"</formula>
    </cfRule>
  </conditionalFormatting>
  <conditionalFormatting sqref="F195:F196">
    <cfRule type="expression" priority="513" dxfId="33" stopIfTrue="1">
      <formula>OR(#REF!="audio",#REF!= "video")</formula>
    </cfRule>
    <cfRule type="expression" priority="514" dxfId="32" stopIfTrue="1">
      <formula>OR(#REF!="audio",#REF!= "video")</formula>
    </cfRule>
    <cfRule type="expression" priority="515" dxfId="34" stopIfTrue="1">
      <formula>#REF!="image"</formula>
    </cfRule>
    <cfRule type="expression" priority="516" dxfId="31" stopIfTrue="1">
      <formula>#REF!="image"</formula>
    </cfRule>
    <cfRule type="expression" priority="517" dxfId="35" stopIfTrue="1">
      <formula>OR(#REF!="date",#REF!= "datetime")</formula>
    </cfRule>
    <cfRule type="expression" priority="518" dxfId="30" stopIfTrue="1">
      <formula>OR(#REF!="date",#REF!= "datetime")</formula>
    </cfRule>
    <cfRule type="expression" priority="519" dxfId="29" stopIfTrue="1">
      <formula>OR(#REF!="calculate",#REF!= "calculate_here")</formula>
    </cfRule>
    <cfRule type="expression" priority="520" dxfId="38" stopIfTrue="1">
      <formula>#REF!="note"</formula>
    </cfRule>
    <cfRule type="expression" priority="521" dxfId="28" stopIfTrue="1">
      <formula>#REF!="note"</formula>
    </cfRule>
    <cfRule type="expression" priority="522" dxfId="37" stopIfTrue="1">
      <formula>#REF!="barcode"</formula>
    </cfRule>
    <cfRule type="expression" priority="523" dxfId="27" stopIfTrue="1">
      <formula>#REF!="barcode"</formula>
    </cfRule>
    <cfRule type="expression" priority="524" dxfId="36" stopIfTrue="1">
      <formula>#REF!="geopoint"</formula>
    </cfRule>
    <cfRule type="expression" priority="525" dxfId="26" stopIfTrue="1">
      <formula>#REF!="geopoint"</formula>
    </cfRule>
    <cfRule type="expression" priority="526" dxfId="25" stopIfTrue="1">
      <formula>OR(#REF!="audio audit",#REF!= "text audit")</formula>
    </cfRule>
    <cfRule type="expression" priority="527" dxfId="24" stopIfTrue="1">
      <formula>OR(#REF!="username",#REF!= "phonenumber",#REF!= "start",#REF!= "end",#REF!= "deviceid",#REF!= "subscriberid",#REF!= "simserial")</formula>
    </cfRule>
    <cfRule type="expression" priority="528" dxfId="39" stopIfTrue="1">
      <formula>OR(AND(LEFT(#REF!, 16)="select_multiple ", LEN(#REF!)&gt;16, NOT(ISNUMBER(SEARCH(" ",#REF!, 17)))), AND(LEFT(#REF!, 11)="select_one ", LEN(#REF!)&gt;11, NOT(ISNUMBER(SEARCH(" ",#REF!, 12)))))</formula>
    </cfRule>
    <cfRule type="expression" priority="529" dxfId="23" stopIfTrue="1">
      <formula>OR(AND(LEFT(#REF!, 16)="select_multiple ", LEN(#REF!)&gt;16, NOT(ISNUMBER(SEARCH(" ",#REF!, 17)))), AND(LEFT(#REF!, 11)="select_one ", LEN(#REF!)&gt;11, NOT(ISNUMBER(SEARCH(" ",#REF!, 12)))))</formula>
    </cfRule>
    <cfRule type="expression" priority="530" dxfId="40" stopIfTrue="1">
      <formula>#REF!="decimal"</formula>
    </cfRule>
    <cfRule type="expression" priority="531" dxfId="22" stopIfTrue="1">
      <formula>#REF!="decimal"</formula>
    </cfRule>
    <cfRule type="expression" priority="532" dxfId="41" stopIfTrue="1">
      <formula>#REF!="integer"</formula>
    </cfRule>
    <cfRule type="expression" priority="533" dxfId="21" stopIfTrue="1">
      <formula>#REF!="integer"</formula>
    </cfRule>
    <cfRule type="expression" priority="534" dxfId="42" stopIfTrue="1">
      <formula>#REF!="text"</formula>
    </cfRule>
    <cfRule type="expression" priority="535" dxfId="20" stopIfTrue="1">
      <formula>#REF!="text"</formula>
    </cfRule>
    <cfRule type="expression" priority="536" dxfId="18" stopIfTrue="1">
      <formula>#REF!="end repeat"</formula>
    </cfRule>
    <cfRule type="expression" priority="537" dxfId="43" stopIfTrue="1">
      <formula>#REF!="begin repeat"</formula>
    </cfRule>
    <cfRule type="expression" priority="538" dxfId="18" stopIfTrue="1">
      <formula>#REF!="begin repeat"</formula>
    </cfRule>
    <cfRule type="expression" priority="539" dxfId="16" stopIfTrue="1">
      <formula>#REF!="end group"</formula>
    </cfRule>
    <cfRule type="expression" priority="540" dxfId="44" stopIfTrue="1">
      <formula>#REF!="begin group"</formula>
    </cfRule>
    <cfRule type="expression" priority="541" dxfId="16" stopIfTrue="1">
      <formula>#REF!="begin group"</formula>
    </cfRule>
  </conditionalFormatting>
  <conditionalFormatting sqref="F197">
    <cfRule type="expression" priority="484" dxfId="33" stopIfTrue="1">
      <formula>OR(#REF!="audio",#REF!= "video")</formula>
    </cfRule>
    <cfRule type="expression" priority="485" dxfId="32" stopIfTrue="1">
      <formula>OR(#REF!="audio",#REF!= "video")</formula>
    </cfRule>
    <cfRule type="expression" priority="486" dxfId="34" stopIfTrue="1">
      <formula>#REF!="image"</formula>
    </cfRule>
    <cfRule type="expression" priority="487" dxfId="31" stopIfTrue="1">
      <formula>#REF!="image"</formula>
    </cfRule>
    <cfRule type="expression" priority="488" dxfId="35" stopIfTrue="1">
      <formula>OR(#REF!="date",#REF!= "datetime")</formula>
    </cfRule>
    <cfRule type="expression" priority="489" dxfId="30" stopIfTrue="1">
      <formula>OR(#REF!="date",#REF!= "datetime")</formula>
    </cfRule>
    <cfRule type="expression" priority="490" dxfId="29" stopIfTrue="1">
      <formula>OR(#REF!="calculate",#REF!= "calculate_here")</formula>
    </cfRule>
    <cfRule type="expression" priority="491" dxfId="38" stopIfTrue="1">
      <formula>#REF!="note"</formula>
    </cfRule>
    <cfRule type="expression" priority="492" dxfId="28" stopIfTrue="1">
      <formula>#REF!="note"</formula>
    </cfRule>
    <cfRule type="expression" priority="493" dxfId="37" stopIfTrue="1">
      <formula>#REF!="barcode"</formula>
    </cfRule>
    <cfRule type="expression" priority="494" dxfId="27" stopIfTrue="1">
      <formula>#REF!="barcode"</formula>
    </cfRule>
    <cfRule type="expression" priority="495" dxfId="36" stopIfTrue="1">
      <formula>#REF!="geopoint"</formula>
    </cfRule>
    <cfRule type="expression" priority="496" dxfId="26" stopIfTrue="1">
      <formula>#REF!="geopoint"</formula>
    </cfRule>
    <cfRule type="expression" priority="497" dxfId="25" stopIfTrue="1">
      <formula>OR(#REF!="audio audit",#REF!= "text audit")</formula>
    </cfRule>
    <cfRule type="expression" priority="498" dxfId="24" stopIfTrue="1">
      <formula>OR(#REF!="username",#REF!= "phonenumber",#REF!= "start",#REF!= "end",#REF!= "deviceid",#REF!= "subscriberid",#REF!= "simserial")</formula>
    </cfRule>
    <cfRule type="expression" priority="499" dxfId="39" stopIfTrue="1">
      <formula>OR(AND(LEFT(#REF!, 16)="select_multiple ", LEN(#REF!)&gt;16, NOT(ISNUMBER(SEARCH(" ",#REF!, 17)))), AND(LEFT(#REF!, 11)="select_one ", LEN(#REF!)&gt;11, NOT(ISNUMBER(SEARCH(" ",#REF!, 12)))))</formula>
    </cfRule>
    <cfRule type="expression" priority="500" dxfId="23" stopIfTrue="1">
      <formula>OR(AND(LEFT(#REF!, 16)="select_multiple ", LEN(#REF!)&gt;16, NOT(ISNUMBER(SEARCH(" ",#REF!, 17)))), AND(LEFT(#REF!, 11)="select_one ", LEN(#REF!)&gt;11, NOT(ISNUMBER(SEARCH(" ",#REF!, 12)))))</formula>
    </cfRule>
    <cfRule type="expression" priority="501" dxfId="40" stopIfTrue="1">
      <formula>#REF!="decimal"</formula>
    </cfRule>
    <cfRule type="expression" priority="502" dxfId="22" stopIfTrue="1">
      <formula>#REF!="decimal"</formula>
    </cfRule>
    <cfRule type="expression" priority="503" dxfId="41" stopIfTrue="1">
      <formula>#REF!="integer"</formula>
    </cfRule>
    <cfRule type="expression" priority="504" dxfId="21" stopIfTrue="1">
      <formula>#REF!="integer"</formula>
    </cfRule>
    <cfRule type="expression" priority="505" dxfId="42" stopIfTrue="1">
      <formula>#REF!="text"</formula>
    </cfRule>
    <cfRule type="expression" priority="506" dxfId="20" stopIfTrue="1">
      <formula>#REF!="text"</formula>
    </cfRule>
    <cfRule type="expression" priority="507" dxfId="18" stopIfTrue="1">
      <formula>#REF!="end repeat"</formula>
    </cfRule>
    <cfRule type="expression" priority="508" dxfId="43" stopIfTrue="1">
      <formula>#REF!="begin repeat"</formula>
    </cfRule>
    <cfRule type="expression" priority="509" dxfId="18" stopIfTrue="1">
      <formula>#REF!="begin repeat"</formula>
    </cfRule>
    <cfRule type="expression" priority="510" dxfId="16" stopIfTrue="1">
      <formula>#REF!="end group"</formula>
    </cfRule>
    <cfRule type="expression" priority="511" dxfId="44" stopIfTrue="1">
      <formula>#REF!="begin group"</formula>
    </cfRule>
    <cfRule type="expression" priority="512" dxfId="16" stopIfTrue="1">
      <formula>#REF!="begin group"</formula>
    </cfRule>
  </conditionalFormatting>
  <conditionalFormatting sqref="F198">
    <cfRule type="expression" priority="455" dxfId="33" stopIfTrue="1">
      <formula>OR(#REF!="audio",#REF!= "video")</formula>
    </cfRule>
    <cfRule type="expression" priority="456" dxfId="32" stopIfTrue="1">
      <formula>OR(#REF!="audio",#REF!= "video")</formula>
    </cfRule>
    <cfRule type="expression" priority="457" dxfId="34" stopIfTrue="1">
      <formula>#REF!="image"</formula>
    </cfRule>
    <cfRule type="expression" priority="458" dxfId="31" stopIfTrue="1">
      <formula>#REF!="image"</formula>
    </cfRule>
    <cfRule type="expression" priority="459" dxfId="35" stopIfTrue="1">
      <formula>OR(#REF!="date",#REF!= "datetime")</formula>
    </cfRule>
    <cfRule type="expression" priority="460" dxfId="30" stopIfTrue="1">
      <formula>OR(#REF!="date",#REF!= "datetime")</formula>
    </cfRule>
    <cfRule type="expression" priority="461" dxfId="29" stopIfTrue="1">
      <formula>OR(#REF!="calculate",#REF!= "calculate_here")</formula>
    </cfRule>
    <cfRule type="expression" priority="462" dxfId="38" stopIfTrue="1">
      <formula>#REF!="note"</formula>
    </cfRule>
    <cfRule type="expression" priority="463" dxfId="28" stopIfTrue="1">
      <formula>#REF!="note"</formula>
    </cfRule>
    <cfRule type="expression" priority="464" dxfId="37" stopIfTrue="1">
      <formula>#REF!="barcode"</formula>
    </cfRule>
    <cfRule type="expression" priority="465" dxfId="27" stopIfTrue="1">
      <formula>#REF!="barcode"</formula>
    </cfRule>
    <cfRule type="expression" priority="466" dxfId="36" stopIfTrue="1">
      <formula>#REF!="geopoint"</formula>
    </cfRule>
    <cfRule type="expression" priority="467" dxfId="26" stopIfTrue="1">
      <formula>#REF!="geopoint"</formula>
    </cfRule>
    <cfRule type="expression" priority="468" dxfId="25" stopIfTrue="1">
      <formula>OR(#REF!="audio audit",#REF!= "text audit")</formula>
    </cfRule>
    <cfRule type="expression" priority="469" dxfId="24" stopIfTrue="1">
      <formula>OR(#REF!="username",#REF!= "phonenumber",#REF!= "start",#REF!= "end",#REF!= "deviceid",#REF!= "subscriberid",#REF!= "simserial")</formula>
    </cfRule>
    <cfRule type="expression" priority="470" dxfId="39" stopIfTrue="1">
      <formula>OR(AND(LEFT(#REF!, 16)="select_multiple ", LEN(#REF!)&gt;16, NOT(ISNUMBER(SEARCH(" ",#REF!, 17)))), AND(LEFT(#REF!, 11)="select_one ", LEN(#REF!)&gt;11, NOT(ISNUMBER(SEARCH(" ",#REF!, 12)))))</formula>
    </cfRule>
    <cfRule type="expression" priority="471" dxfId="23" stopIfTrue="1">
      <formula>OR(AND(LEFT(#REF!, 16)="select_multiple ", LEN(#REF!)&gt;16, NOT(ISNUMBER(SEARCH(" ",#REF!, 17)))), AND(LEFT(#REF!, 11)="select_one ", LEN(#REF!)&gt;11, NOT(ISNUMBER(SEARCH(" ",#REF!, 12)))))</formula>
    </cfRule>
    <cfRule type="expression" priority="472" dxfId="40" stopIfTrue="1">
      <formula>#REF!="decimal"</formula>
    </cfRule>
    <cfRule type="expression" priority="473" dxfId="22" stopIfTrue="1">
      <formula>#REF!="decimal"</formula>
    </cfRule>
    <cfRule type="expression" priority="474" dxfId="41" stopIfTrue="1">
      <formula>#REF!="integer"</formula>
    </cfRule>
    <cfRule type="expression" priority="475" dxfId="21" stopIfTrue="1">
      <formula>#REF!="integer"</formula>
    </cfRule>
    <cfRule type="expression" priority="476" dxfId="42" stopIfTrue="1">
      <formula>#REF!="text"</formula>
    </cfRule>
    <cfRule type="expression" priority="477" dxfId="20" stopIfTrue="1">
      <formula>#REF!="text"</formula>
    </cfRule>
    <cfRule type="expression" priority="478" dxfId="18" stopIfTrue="1">
      <formula>#REF!="end repeat"</formula>
    </cfRule>
    <cfRule type="expression" priority="479" dxfId="43" stopIfTrue="1">
      <formula>#REF!="begin repeat"</formula>
    </cfRule>
    <cfRule type="expression" priority="480" dxfId="18" stopIfTrue="1">
      <formula>#REF!="begin repeat"</formula>
    </cfRule>
    <cfRule type="expression" priority="481" dxfId="16" stopIfTrue="1">
      <formula>#REF!="end group"</formula>
    </cfRule>
    <cfRule type="expression" priority="482" dxfId="44" stopIfTrue="1">
      <formula>#REF!="begin group"</formula>
    </cfRule>
    <cfRule type="expression" priority="483" dxfId="16" stopIfTrue="1">
      <formula>#REF!="begin group"</formula>
    </cfRule>
  </conditionalFormatting>
  <conditionalFormatting sqref="B201:B203">
    <cfRule type="duplicateValues" priority="454" dxfId="0"/>
  </conditionalFormatting>
  <conditionalFormatting sqref="H9">
    <cfRule type="duplicateValues" priority="453" dxfId="0"/>
  </conditionalFormatting>
  <conditionalFormatting sqref="H10">
    <cfRule type="duplicateValues" priority="452" dxfId="0"/>
  </conditionalFormatting>
  <conditionalFormatting sqref="H11">
    <cfRule type="duplicateValues" priority="451" dxfId="0"/>
  </conditionalFormatting>
  <conditionalFormatting sqref="H12">
    <cfRule type="duplicateValues" priority="450" dxfId="0"/>
  </conditionalFormatting>
  <conditionalFormatting sqref="H26">
    <cfRule type="expression" priority="421" dxfId="33" stopIfTrue="1">
      <formula>OR(#REF!="audio",#REF!= "video")</formula>
    </cfRule>
    <cfRule type="expression" priority="422" dxfId="32" stopIfTrue="1">
      <formula>OR(#REF!="audio",#REF!= "video")</formula>
    </cfRule>
    <cfRule type="expression" priority="423" dxfId="34" stopIfTrue="1">
      <formula>#REF!="image"</formula>
    </cfRule>
    <cfRule type="expression" priority="424" dxfId="31" stopIfTrue="1">
      <formula>#REF!="image"</formula>
    </cfRule>
    <cfRule type="expression" priority="425" dxfId="35" stopIfTrue="1">
      <formula>OR(#REF!="date",#REF!= "datetime")</formula>
    </cfRule>
    <cfRule type="expression" priority="426" dxfId="30" stopIfTrue="1">
      <formula>OR(#REF!="date",#REF!= "datetime")</formula>
    </cfRule>
    <cfRule type="expression" priority="427" dxfId="29" stopIfTrue="1">
      <formula>OR(#REF!="calculate",#REF!= "calculate_here")</formula>
    </cfRule>
    <cfRule type="expression" priority="428" dxfId="38" stopIfTrue="1">
      <formula>#REF!="note"</formula>
    </cfRule>
    <cfRule type="expression" priority="429" dxfId="28" stopIfTrue="1">
      <formula>#REF!="note"</formula>
    </cfRule>
    <cfRule type="expression" priority="430" dxfId="37" stopIfTrue="1">
      <formula>#REF!="barcode"</formula>
    </cfRule>
    <cfRule type="expression" priority="431" dxfId="27" stopIfTrue="1">
      <formula>#REF!="barcode"</formula>
    </cfRule>
    <cfRule type="expression" priority="432" dxfId="36" stopIfTrue="1">
      <formula>#REF!="geopoint"</formula>
    </cfRule>
    <cfRule type="expression" priority="433" dxfId="26" stopIfTrue="1">
      <formula>#REF!="geopoint"</formula>
    </cfRule>
    <cfRule type="expression" priority="434" dxfId="25" stopIfTrue="1">
      <formula>OR(#REF!="audio audit",#REF!= "text audit")</formula>
    </cfRule>
    <cfRule type="expression" priority="435" dxfId="24" stopIfTrue="1">
      <formula>OR(#REF!="username",#REF!= "phonenumber",#REF!= "start",#REF!= "end",#REF!= "deviceid",#REF!= "subscriberid",#REF!= "simserial")</formula>
    </cfRule>
    <cfRule type="expression" priority="436" dxfId="39" stopIfTrue="1">
      <formula>OR(AND(LEFT(#REF!, 16)="select_multiple ", LEN(#REF!)&gt;16, NOT(ISNUMBER(SEARCH(" ",#REF!, 17)))), AND(LEFT(#REF!, 11)="select_one ", LEN(#REF!)&gt;11, NOT(ISNUMBER(SEARCH(" ",#REF!, 12)))))</formula>
    </cfRule>
    <cfRule type="expression" priority="437" dxfId="23" stopIfTrue="1">
      <formula>OR(AND(LEFT(#REF!, 16)="select_multiple ", LEN(#REF!)&gt;16, NOT(ISNUMBER(SEARCH(" ",#REF!, 17)))), AND(LEFT(#REF!, 11)="select_one ", LEN(#REF!)&gt;11, NOT(ISNUMBER(SEARCH(" ",#REF!, 12)))))</formula>
    </cfRule>
    <cfRule type="expression" priority="438" dxfId="40" stopIfTrue="1">
      <formula>#REF!="decimal"</formula>
    </cfRule>
    <cfRule type="expression" priority="439" dxfId="22" stopIfTrue="1">
      <formula>#REF!="decimal"</formula>
    </cfRule>
    <cfRule type="expression" priority="440" dxfId="41" stopIfTrue="1">
      <formula>#REF!="integer"</formula>
    </cfRule>
    <cfRule type="expression" priority="441" dxfId="21" stopIfTrue="1">
      <formula>#REF!="integer"</formula>
    </cfRule>
    <cfRule type="expression" priority="442" dxfId="42" stopIfTrue="1">
      <formula>#REF!="text"</formula>
    </cfRule>
    <cfRule type="expression" priority="443" dxfId="20" stopIfTrue="1">
      <formula>#REF!="text"</formula>
    </cfRule>
    <cfRule type="expression" priority="444" dxfId="18" stopIfTrue="1">
      <formula>#REF!="end repeat"</formula>
    </cfRule>
    <cfRule type="expression" priority="445" dxfId="43" stopIfTrue="1">
      <formula>#REF!="begin repeat"</formula>
    </cfRule>
    <cfRule type="expression" priority="446" dxfId="18" stopIfTrue="1">
      <formula>#REF!="begin repeat"</formula>
    </cfRule>
    <cfRule type="expression" priority="447" dxfId="16" stopIfTrue="1">
      <formula>#REF!="end group"</formula>
    </cfRule>
    <cfRule type="expression" priority="448" dxfId="44" stopIfTrue="1">
      <formula>#REF!="begin group"</formula>
    </cfRule>
    <cfRule type="expression" priority="449" dxfId="16" stopIfTrue="1">
      <formula>#REF!="begin group"</formula>
    </cfRule>
  </conditionalFormatting>
  <conditionalFormatting sqref="H27">
    <cfRule type="expression" priority="392" dxfId="33" stopIfTrue="1">
      <formula>OR(#REF!="audio",#REF!= "video")</formula>
    </cfRule>
    <cfRule type="expression" priority="393" dxfId="32" stopIfTrue="1">
      <formula>OR(#REF!="audio",#REF!= "video")</formula>
    </cfRule>
    <cfRule type="expression" priority="394" dxfId="34" stopIfTrue="1">
      <formula>#REF!="image"</formula>
    </cfRule>
    <cfRule type="expression" priority="395" dxfId="31" stopIfTrue="1">
      <formula>#REF!="image"</formula>
    </cfRule>
    <cfRule type="expression" priority="396" dxfId="35" stopIfTrue="1">
      <formula>OR(#REF!="date",#REF!= "datetime")</formula>
    </cfRule>
    <cfRule type="expression" priority="397" dxfId="30" stopIfTrue="1">
      <formula>OR(#REF!="date",#REF!= "datetime")</formula>
    </cfRule>
    <cfRule type="expression" priority="398" dxfId="29" stopIfTrue="1">
      <formula>OR(#REF!="calculate",#REF!= "calculate_here")</formula>
    </cfRule>
    <cfRule type="expression" priority="399" dxfId="38" stopIfTrue="1">
      <formula>#REF!="note"</formula>
    </cfRule>
    <cfRule type="expression" priority="400" dxfId="28" stopIfTrue="1">
      <formula>#REF!="note"</formula>
    </cfRule>
    <cfRule type="expression" priority="401" dxfId="37" stopIfTrue="1">
      <formula>#REF!="barcode"</formula>
    </cfRule>
    <cfRule type="expression" priority="402" dxfId="27" stopIfTrue="1">
      <formula>#REF!="barcode"</formula>
    </cfRule>
    <cfRule type="expression" priority="403" dxfId="36" stopIfTrue="1">
      <formula>#REF!="geopoint"</formula>
    </cfRule>
    <cfRule type="expression" priority="404" dxfId="26" stopIfTrue="1">
      <formula>#REF!="geopoint"</formula>
    </cfRule>
    <cfRule type="expression" priority="405" dxfId="25" stopIfTrue="1">
      <formula>OR(#REF!="audio audit",#REF!= "text audit")</formula>
    </cfRule>
    <cfRule type="expression" priority="406" dxfId="24" stopIfTrue="1">
      <formula>OR(#REF!="username",#REF!= "phonenumber",#REF!= "start",#REF!= "end",#REF!= "deviceid",#REF!= "subscriberid",#REF!= "simserial")</formula>
    </cfRule>
    <cfRule type="expression" priority="407" dxfId="39" stopIfTrue="1">
      <formula>OR(AND(LEFT(#REF!, 16)="select_multiple ", LEN(#REF!)&gt;16, NOT(ISNUMBER(SEARCH(" ",#REF!, 17)))), AND(LEFT(#REF!, 11)="select_one ", LEN(#REF!)&gt;11, NOT(ISNUMBER(SEARCH(" ",#REF!, 12)))))</formula>
    </cfRule>
    <cfRule type="expression" priority="408" dxfId="23" stopIfTrue="1">
      <formula>OR(AND(LEFT(#REF!, 16)="select_multiple ", LEN(#REF!)&gt;16, NOT(ISNUMBER(SEARCH(" ",#REF!, 17)))), AND(LEFT(#REF!, 11)="select_one ", LEN(#REF!)&gt;11, NOT(ISNUMBER(SEARCH(" ",#REF!, 12)))))</formula>
    </cfRule>
    <cfRule type="expression" priority="409" dxfId="40" stopIfTrue="1">
      <formula>#REF!="decimal"</formula>
    </cfRule>
    <cfRule type="expression" priority="410" dxfId="22" stopIfTrue="1">
      <formula>#REF!="decimal"</formula>
    </cfRule>
    <cfRule type="expression" priority="411" dxfId="41" stopIfTrue="1">
      <formula>#REF!="integer"</formula>
    </cfRule>
    <cfRule type="expression" priority="412" dxfId="21" stopIfTrue="1">
      <formula>#REF!="integer"</formula>
    </cfRule>
    <cfRule type="expression" priority="413" dxfId="42" stopIfTrue="1">
      <formula>#REF!="text"</formula>
    </cfRule>
    <cfRule type="expression" priority="414" dxfId="20" stopIfTrue="1">
      <formula>#REF!="text"</formula>
    </cfRule>
    <cfRule type="expression" priority="415" dxfId="18" stopIfTrue="1">
      <formula>#REF!="end repeat"</formula>
    </cfRule>
    <cfRule type="expression" priority="416" dxfId="43" stopIfTrue="1">
      <formula>#REF!="begin repeat"</formula>
    </cfRule>
    <cfRule type="expression" priority="417" dxfId="18" stopIfTrue="1">
      <formula>#REF!="begin repeat"</formula>
    </cfRule>
    <cfRule type="expression" priority="418" dxfId="16" stopIfTrue="1">
      <formula>#REF!="end group"</formula>
    </cfRule>
    <cfRule type="expression" priority="419" dxfId="44" stopIfTrue="1">
      <formula>#REF!="begin group"</formula>
    </cfRule>
    <cfRule type="expression" priority="420" dxfId="16" stopIfTrue="1">
      <formula>#REF!="begin group"</formula>
    </cfRule>
  </conditionalFormatting>
  <conditionalFormatting sqref="H28">
    <cfRule type="expression" priority="363" dxfId="33" stopIfTrue="1">
      <formula>OR(#REF!="audio",#REF!= "video")</formula>
    </cfRule>
    <cfRule type="expression" priority="364" dxfId="32" stopIfTrue="1">
      <formula>OR(#REF!="audio",#REF!= "video")</formula>
    </cfRule>
    <cfRule type="expression" priority="365" dxfId="34" stopIfTrue="1">
      <formula>#REF!="image"</formula>
    </cfRule>
    <cfRule type="expression" priority="366" dxfId="31" stopIfTrue="1">
      <formula>#REF!="image"</formula>
    </cfRule>
    <cfRule type="expression" priority="367" dxfId="35" stopIfTrue="1">
      <formula>OR(#REF!="date",#REF!= "datetime")</formula>
    </cfRule>
    <cfRule type="expression" priority="368" dxfId="30" stopIfTrue="1">
      <formula>OR(#REF!="date",#REF!= "datetime")</formula>
    </cfRule>
    <cfRule type="expression" priority="369" dxfId="29" stopIfTrue="1">
      <formula>OR(#REF!="calculate",#REF!= "calculate_here")</formula>
    </cfRule>
    <cfRule type="expression" priority="370" dxfId="38" stopIfTrue="1">
      <formula>#REF!="note"</formula>
    </cfRule>
    <cfRule type="expression" priority="371" dxfId="28" stopIfTrue="1">
      <formula>#REF!="note"</formula>
    </cfRule>
    <cfRule type="expression" priority="372" dxfId="37" stopIfTrue="1">
      <formula>#REF!="barcode"</formula>
    </cfRule>
    <cfRule type="expression" priority="373" dxfId="27" stopIfTrue="1">
      <formula>#REF!="barcode"</formula>
    </cfRule>
    <cfRule type="expression" priority="374" dxfId="36" stopIfTrue="1">
      <formula>#REF!="geopoint"</formula>
    </cfRule>
    <cfRule type="expression" priority="375" dxfId="26" stopIfTrue="1">
      <formula>#REF!="geopoint"</formula>
    </cfRule>
    <cfRule type="expression" priority="376" dxfId="25" stopIfTrue="1">
      <formula>OR(#REF!="audio audit",#REF!= "text audit")</formula>
    </cfRule>
    <cfRule type="expression" priority="377" dxfId="24" stopIfTrue="1">
      <formula>OR(#REF!="username",#REF!= "phonenumber",#REF!= "start",#REF!= "end",#REF!= "deviceid",#REF!= "subscriberid",#REF!= "simserial")</formula>
    </cfRule>
    <cfRule type="expression" priority="378" dxfId="39" stopIfTrue="1">
      <formula>OR(AND(LEFT(#REF!, 16)="select_multiple ", LEN(#REF!)&gt;16, NOT(ISNUMBER(SEARCH(" ",#REF!, 17)))), AND(LEFT(#REF!, 11)="select_one ", LEN(#REF!)&gt;11, NOT(ISNUMBER(SEARCH(" ",#REF!, 12)))))</formula>
    </cfRule>
    <cfRule type="expression" priority="379" dxfId="23" stopIfTrue="1">
      <formula>OR(AND(LEFT(#REF!, 16)="select_multiple ", LEN(#REF!)&gt;16, NOT(ISNUMBER(SEARCH(" ",#REF!, 17)))), AND(LEFT(#REF!, 11)="select_one ", LEN(#REF!)&gt;11, NOT(ISNUMBER(SEARCH(" ",#REF!, 12)))))</formula>
    </cfRule>
    <cfRule type="expression" priority="380" dxfId="40" stopIfTrue="1">
      <formula>#REF!="decimal"</formula>
    </cfRule>
    <cfRule type="expression" priority="381" dxfId="22" stopIfTrue="1">
      <formula>#REF!="decimal"</formula>
    </cfRule>
    <cfRule type="expression" priority="382" dxfId="41" stopIfTrue="1">
      <formula>#REF!="integer"</formula>
    </cfRule>
    <cfRule type="expression" priority="383" dxfId="21" stopIfTrue="1">
      <formula>#REF!="integer"</formula>
    </cfRule>
    <cfRule type="expression" priority="384" dxfId="42" stopIfTrue="1">
      <formula>#REF!="text"</formula>
    </cfRule>
    <cfRule type="expression" priority="385" dxfId="20" stopIfTrue="1">
      <formula>#REF!="text"</formula>
    </cfRule>
    <cfRule type="expression" priority="386" dxfId="18" stopIfTrue="1">
      <formula>#REF!="end repeat"</formula>
    </cfRule>
    <cfRule type="expression" priority="387" dxfId="43" stopIfTrue="1">
      <formula>#REF!="begin repeat"</formula>
    </cfRule>
    <cfRule type="expression" priority="388" dxfId="18" stopIfTrue="1">
      <formula>#REF!="begin repeat"</formula>
    </cfRule>
    <cfRule type="expression" priority="389" dxfId="16" stopIfTrue="1">
      <formula>#REF!="end group"</formula>
    </cfRule>
    <cfRule type="expression" priority="390" dxfId="44" stopIfTrue="1">
      <formula>#REF!="begin group"</formula>
    </cfRule>
    <cfRule type="expression" priority="391" dxfId="16" stopIfTrue="1">
      <formula>#REF!="begin group"</formula>
    </cfRule>
  </conditionalFormatting>
  <conditionalFormatting sqref="H29">
    <cfRule type="expression" priority="334" dxfId="33" stopIfTrue="1">
      <formula>OR(#REF!="audio",#REF!= "video")</formula>
    </cfRule>
    <cfRule type="expression" priority="335" dxfId="32" stopIfTrue="1">
      <formula>OR(#REF!="audio",#REF!= "video")</formula>
    </cfRule>
    <cfRule type="expression" priority="336" dxfId="34" stopIfTrue="1">
      <formula>#REF!="image"</formula>
    </cfRule>
    <cfRule type="expression" priority="337" dxfId="31" stopIfTrue="1">
      <formula>#REF!="image"</formula>
    </cfRule>
    <cfRule type="expression" priority="338" dxfId="35" stopIfTrue="1">
      <formula>OR(#REF!="date",#REF!= "datetime")</formula>
    </cfRule>
    <cfRule type="expression" priority="339" dxfId="30" stopIfTrue="1">
      <formula>OR(#REF!="date",#REF!= "datetime")</formula>
    </cfRule>
    <cfRule type="expression" priority="340" dxfId="29" stopIfTrue="1">
      <formula>OR(#REF!="calculate",#REF!= "calculate_here")</formula>
    </cfRule>
    <cfRule type="expression" priority="341" dxfId="38" stopIfTrue="1">
      <formula>#REF!="note"</formula>
    </cfRule>
    <cfRule type="expression" priority="342" dxfId="28" stopIfTrue="1">
      <formula>#REF!="note"</formula>
    </cfRule>
    <cfRule type="expression" priority="343" dxfId="37" stopIfTrue="1">
      <formula>#REF!="barcode"</formula>
    </cfRule>
    <cfRule type="expression" priority="344" dxfId="27" stopIfTrue="1">
      <formula>#REF!="barcode"</formula>
    </cfRule>
    <cfRule type="expression" priority="345" dxfId="36" stopIfTrue="1">
      <formula>#REF!="geopoint"</formula>
    </cfRule>
    <cfRule type="expression" priority="346" dxfId="26" stopIfTrue="1">
      <formula>#REF!="geopoint"</formula>
    </cfRule>
    <cfRule type="expression" priority="347" dxfId="25" stopIfTrue="1">
      <formula>OR(#REF!="audio audit",#REF!= "text audit")</formula>
    </cfRule>
    <cfRule type="expression" priority="348" dxfId="24" stopIfTrue="1">
      <formula>OR(#REF!="username",#REF!= "phonenumber",#REF!= "start",#REF!= "end",#REF!= "deviceid",#REF!= "subscriberid",#REF!= "simserial")</formula>
    </cfRule>
    <cfRule type="expression" priority="349" dxfId="39" stopIfTrue="1">
      <formula>OR(AND(LEFT(#REF!, 16)="select_multiple ", LEN(#REF!)&gt;16, NOT(ISNUMBER(SEARCH(" ",#REF!, 17)))), AND(LEFT(#REF!, 11)="select_one ", LEN(#REF!)&gt;11, NOT(ISNUMBER(SEARCH(" ",#REF!, 12)))))</formula>
    </cfRule>
    <cfRule type="expression" priority="350" dxfId="23" stopIfTrue="1">
      <formula>OR(AND(LEFT(#REF!, 16)="select_multiple ", LEN(#REF!)&gt;16, NOT(ISNUMBER(SEARCH(" ",#REF!, 17)))), AND(LEFT(#REF!, 11)="select_one ", LEN(#REF!)&gt;11, NOT(ISNUMBER(SEARCH(" ",#REF!, 12)))))</formula>
    </cfRule>
    <cfRule type="expression" priority="351" dxfId="40" stopIfTrue="1">
      <formula>#REF!="decimal"</formula>
    </cfRule>
    <cfRule type="expression" priority="352" dxfId="22" stopIfTrue="1">
      <formula>#REF!="decimal"</formula>
    </cfRule>
    <cfRule type="expression" priority="353" dxfId="41" stopIfTrue="1">
      <formula>#REF!="integer"</formula>
    </cfRule>
    <cfRule type="expression" priority="354" dxfId="21" stopIfTrue="1">
      <formula>#REF!="integer"</formula>
    </cfRule>
    <cfRule type="expression" priority="355" dxfId="42" stopIfTrue="1">
      <formula>#REF!="text"</formula>
    </cfRule>
    <cfRule type="expression" priority="356" dxfId="20" stopIfTrue="1">
      <formula>#REF!="text"</formula>
    </cfRule>
    <cfRule type="expression" priority="357" dxfId="18" stopIfTrue="1">
      <formula>#REF!="end repeat"</formula>
    </cfRule>
    <cfRule type="expression" priority="358" dxfId="43" stopIfTrue="1">
      <formula>#REF!="begin repeat"</formula>
    </cfRule>
    <cfRule type="expression" priority="359" dxfId="18" stopIfTrue="1">
      <formula>#REF!="begin repeat"</formula>
    </cfRule>
    <cfRule type="expression" priority="360" dxfId="16" stopIfTrue="1">
      <formula>#REF!="end group"</formula>
    </cfRule>
    <cfRule type="expression" priority="361" dxfId="44" stopIfTrue="1">
      <formula>#REF!="begin group"</formula>
    </cfRule>
    <cfRule type="expression" priority="362" dxfId="16" stopIfTrue="1">
      <formula>#REF!="begin group"</formula>
    </cfRule>
  </conditionalFormatting>
  <conditionalFormatting sqref="H30">
    <cfRule type="expression" priority="305" dxfId="33" stopIfTrue="1">
      <formula>OR(#REF!="audio",#REF!= "video")</formula>
    </cfRule>
    <cfRule type="expression" priority="306" dxfId="32" stopIfTrue="1">
      <formula>OR(#REF!="audio",#REF!= "video")</formula>
    </cfRule>
    <cfRule type="expression" priority="307" dxfId="34" stopIfTrue="1">
      <formula>#REF!="image"</formula>
    </cfRule>
    <cfRule type="expression" priority="308" dxfId="31" stopIfTrue="1">
      <formula>#REF!="image"</formula>
    </cfRule>
    <cfRule type="expression" priority="309" dxfId="35" stopIfTrue="1">
      <formula>OR(#REF!="date",#REF!= "datetime")</formula>
    </cfRule>
    <cfRule type="expression" priority="310" dxfId="30" stopIfTrue="1">
      <formula>OR(#REF!="date",#REF!= "datetime")</formula>
    </cfRule>
    <cfRule type="expression" priority="311" dxfId="29" stopIfTrue="1">
      <formula>OR(#REF!="calculate",#REF!= "calculate_here")</formula>
    </cfRule>
    <cfRule type="expression" priority="312" dxfId="38" stopIfTrue="1">
      <formula>#REF!="note"</formula>
    </cfRule>
    <cfRule type="expression" priority="313" dxfId="28" stopIfTrue="1">
      <formula>#REF!="note"</formula>
    </cfRule>
    <cfRule type="expression" priority="314" dxfId="37" stopIfTrue="1">
      <formula>#REF!="barcode"</formula>
    </cfRule>
    <cfRule type="expression" priority="315" dxfId="27" stopIfTrue="1">
      <formula>#REF!="barcode"</formula>
    </cfRule>
    <cfRule type="expression" priority="316" dxfId="36" stopIfTrue="1">
      <formula>#REF!="geopoint"</formula>
    </cfRule>
    <cfRule type="expression" priority="317" dxfId="26" stopIfTrue="1">
      <formula>#REF!="geopoint"</formula>
    </cfRule>
    <cfRule type="expression" priority="318" dxfId="25" stopIfTrue="1">
      <formula>OR(#REF!="audio audit",#REF!= "text audit")</formula>
    </cfRule>
    <cfRule type="expression" priority="319" dxfId="24" stopIfTrue="1">
      <formula>OR(#REF!="username",#REF!= "phonenumber",#REF!= "start",#REF!= "end",#REF!= "deviceid",#REF!= "subscriberid",#REF!= "simserial")</formula>
    </cfRule>
    <cfRule type="expression" priority="320" dxfId="39" stopIfTrue="1">
      <formula>OR(AND(LEFT(#REF!, 16)="select_multiple ", LEN(#REF!)&gt;16, NOT(ISNUMBER(SEARCH(" ",#REF!, 17)))), AND(LEFT(#REF!, 11)="select_one ", LEN(#REF!)&gt;11, NOT(ISNUMBER(SEARCH(" ",#REF!, 12)))))</formula>
    </cfRule>
    <cfRule type="expression" priority="321" dxfId="23" stopIfTrue="1">
      <formula>OR(AND(LEFT(#REF!, 16)="select_multiple ", LEN(#REF!)&gt;16, NOT(ISNUMBER(SEARCH(" ",#REF!, 17)))), AND(LEFT(#REF!, 11)="select_one ", LEN(#REF!)&gt;11, NOT(ISNUMBER(SEARCH(" ",#REF!, 12)))))</formula>
    </cfRule>
    <cfRule type="expression" priority="322" dxfId="40" stopIfTrue="1">
      <formula>#REF!="decimal"</formula>
    </cfRule>
    <cfRule type="expression" priority="323" dxfId="22" stopIfTrue="1">
      <formula>#REF!="decimal"</formula>
    </cfRule>
    <cfRule type="expression" priority="324" dxfId="41" stopIfTrue="1">
      <formula>#REF!="integer"</formula>
    </cfRule>
    <cfRule type="expression" priority="325" dxfId="21" stopIfTrue="1">
      <formula>#REF!="integer"</formula>
    </cfRule>
    <cfRule type="expression" priority="326" dxfId="42" stopIfTrue="1">
      <formula>#REF!="text"</formula>
    </cfRule>
    <cfRule type="expression" priority="327" dxfId="20" stopIfTrue="1">
      <formula>#REF!="text"</formula>
    </cfRule>
    <cfRule type="expression" priority="328" dxfId="18" stopIfTrue="1">
      <formula>#REF!="end repeat"</formula>
    </cfRule>
    <cfRule type="expression" priority="329" dxfId="43" stopIfTrue="1">
      <formula>#REF!="begin repeat"</formula>
    </cfRule>
    <cfRule type="expression" priority="330" dxfId="18" stopIfTrue="1">
      <formula>#REF!="begin repeat"</formula>
    </cfRule>
    <cfRule type="expression" priority="331" dxfId="16" stopIfTrue="1">
      <formula>#REF!="end group"</formula>
    </cfRule>
    <cfRule type="expression" priority="332" dxfId="44" stopIfTrue="1">
      <formula>#REF!="begin group"</formula>
    </cfRule>
    <cfRule type="expression" priority="333" dxfId="16" stopIfTrue="1">
      <formula>#REF!="begin group"</formula>
    </cfRule>
  </conditionalFormatting>
  <conditionalFormatting sqref="H31">
    <cfRule type="expression" priority="276" dxfId="33" stopIfTrue="1">
      <formula>OR(#REF!="audio",#REF!= "video")</formula>
    </cfRule>
    <cfRule type="expression" priority="277" dxfId="32" stopIfTrue="1">
      <formula>OR(#REF!="audio",#REF!= "video")</formula>
    </cfRule>
    <cfRule type="expression" priority="278" dxfId="34" stopIfTrue="1">
      <formula>#REF!="image"</formula>
    </cfRule>
    <cfRule type="expression" priority="279" dxfId="31" stopIfTrue="1">
      <formula>#REF!="image"</formula>
    </cfRule>
    <cfRule type="expression" priority="280" dxfId="35" stopIfTrue="1">
      <formula>OR(#REF!="date",#REF!= "datetime")</formula>
    </cfRule>
    <cfRule type="expression" priority="281" dxfId="30" stopIfTrue="1">
      <formula>OR(#REF!="date",#REF!= "datetime")</formula>
    </cfRule>
    <cfRule type="expression" priority="282" dxfId="29" stopIfTrue="1">
      <formula>OR(#REF!="calculate",#REF!= "calculate_here")</formula>
    </cfRule>
    <cfRule type="expression" priority="283" dxfId="38" stopIfTrue="1">
      <formula>#REF!="note"</formula>
    </cfRule>
    <cfRule type="expression" priority="284" dxfId="28" stopIfTrue="1">
      <formula>#REF!="note"</formula>
    </cfRule>
    <cfRule type="expression" priority="285" dxfId="37" stopIfTrue="1">
      <formula>#REF!="barcode"</formula>
    </cfRule>
    <cfRule type="expression" priority="286" dxfId="27" stopIfTrue="1">
      <formula>#REF!="barcode"</formula>
    </cfRule>
    <cfRule type="expression" priority="287" dxfId="36" stopIfTrue="1">
      <formula>#REF!="geopoint"</formula>
    </cfRule>
    <cfRule type="expression" priority="288" dxfId="26" stopIfTrue="1">
      <formula>#REF!="geopoint"</formula>
    </cfRule>
    <cfRule type="expression" priority="289" dxfId="25" stopIfTrue="1">
      <formula>OR(#REF!="audio audit",#REF!= "text audit")</formula>
    </cfRule>
    <cfRule type="expression" priority="290" dxfId="24" stopIfTrue="1">
      <formula>OR(#REF!="username",#REF!= "phonenumber",#REF!= "start",#REF!= "end",#REF!= "deviceid",#REF!= "subscriberid",#REF!= "simserial")</formula>
    </cfRule>
    <cfRule type="expression" priority="291" dxfId="39" stopIfTrue="1">
      <formula>OR(AND(LEFT(#REF!, 16)="select_multiple ", LEN(#REF!)&gt;16, NOT(ISNUMBER(SEARCH(" ",#REF!, 17)))), AND(LEFT(#REF!, 11)="select_one ", LEN(#REF!)&gt;11, NOT(ISNUMBER(SEARCH(" ",#REF!, 12)))))</formula>
    </cfRule>
    <cfRule type="expression" priority="292" dxfId="23" stopIfTrue="1">
      <formula>OR(AND(LEFT(#REF!, 16)="select_multiple ", LEN(#REF!)&gt;16, NOT(ISNUMBER(SEARCH(" ",#REF!, 17)))), AND(LEFT(#REF!, 11)="select_one ", LEN(#REF!)&gt;11, NOT(ISNUMBER(SEARCH(" ",#REF!, 12)))))</formula>
    </cfRule>
    <cfRule type="expression" priority="293" dxfId="40" stopIfTrue="1">
      <formula>#REF!="decimal"</formula>
    </cfRule>
    <cfRule type="expression" priority="294" dxfId="22" stopIfTrue="1">
      <formula>#REF!="decimal"</formula>
    </cfRule>
    <cfRule type="expression" priority="295" dxfId="41" stopIfTrue="1">
      <formula>#REF!="integer"</formula>
    </cfRule>
    <cfRule type="expression" priority="296" dxfId="21" stopIfTrue="1">
      <formula>#REF!="integer"</formula>
    </cfRule>
    <cfRule type="expression" priority="297" dxfId="42" stopIfTrue="1">
      <formula>#REF!="text"</formula>
    </cfRule>
    <cfRule type="expression" priority="298" dxfId="20" stopIfTrue="1">
      <formula>#REF!="text"</formula>
    </cfRule>
    <cfRule type="expression" priority="299" dxfId="18" stopIfTrue="1">
      <formula>#REF!="end repeat"</formula>
    </cfRule>
    <cfRule type="expression" priority="300" dxfId="43" stopIfTrue="1">
      <formula>#REF!="begin repeat"</formula>
    </cfRule>
    <cfRule type="expression" priority="301" dxfId="18" stopIfTrue="1">
      <formula>#REF!="begin repeat"</formula>
    </cfRule>
    <cfRule type="expression" priority="302" dxfId="16" stopIfTrue="1">
      <formula>#REF!="end group"</formula>
    </cfRule>
    <cfRule type="expression" priority="303" dxfId="44" stopIfTrue="1">
      <formula>#REF!="begin group"</formula>
    </cfRule>
    <cfRule type="expression" priority="304" dxfId="16" stopIfTrue="1">
      <formula>#REF!="begin group"</formula>
    </cfRule>
  </conditionalFormatting>
  <conditionalFormatting sqref="H32">
    <cfRule type="expression" priority="247" dxfId="33" stopIfTrue="1">
      <formula>OR(#REF!="audio",#REF!= "video")</formula>
    </cfRule>
    <cfRule type="expression" priority="248" dxfId="32" stopIfTrue="1">
      <formula>OR(#REF!="audio",#REF!= "video")</formula>
    </cfRule>
    <cfRule type="expression" priority="249" dxfId="34" stopIfTrue="1">
      <formula>#REF!="image"</formula>
    </cfRule>
    <cfRule type="expression" priority="250" dxfId="31" stopIfTrue="1">
      <formula>#REF!="image"</formula>
    </cfRule>
    <cfRule type="expression" priority="251" dxfId="35" stopIfTrue="1">
      <formula>OR(#REF!="date",#REF!= "datetime")</formula>
    </cfRule>
    <cfRule type="expression" priority="252" dxfId="30" stopIfTrue="1">
      <formula>OR(#REF!="date",#REF!= "datetime")</formula>
    </cfRule>
    <cfRule type="expression" priority="253" dxfId="29" stopIfTrue="1">
      <formula>OR(#REF!="calculate",#REF!= "calculate_here")</formula>
    </cfRule>
    <cfRule type="expression" priority="254" dxfId="38" stopIfTrue="1">
      <formula>#REF!="note"</formula>
    </cfRule>
    <cfRule type="expression" priority="255" dxfId="28" stopIfTrue="1">
      <formula>#REF!="note"</formula>
    </cfRule>
    <cfRule type="expression" priority="256" dxfId="37" stopIfTrue="1">
      <formula>#REF!="barcode"</formula>
    </cfRule>
    <cfRule type="expression" priority="257" dxfId="27" stopIfTrue="1">
      <formula>#REF!="barcode"</formula>
    </cfRule>
    <cfRule type="expression" priority="258" dxfId="36" stopIfTrue="1">
      <formula>#REF!="geopoint"</formula>
    </cfRule>
    <cfRule type="expression" priority="259" dxfId="26" stopIfTrue="1">
      <formula>#REF!="geopoint"</formula>
    </cfRule>
    <cfRule type="expression" priority="260" dxfId="25" stopIfTrue="1">
      <formula>OR(#REF!="audio audit",#REF!= "text audit")</formula>
    </cfRule>
    <cfRule type="expression" priority="261" dxfId="24" stopIfTrue="1">
      <formula>OR(#REF!="username",#REF!= "phonenumber",#REF!= "start",#REF!= "end",#REF!= "deviceid",#REF!= "subscriberid",#REF!= "simserial")</formula>
    </cfRule>
    <cfRule type="expression" priority="262" dxfId="39" stopIfTrue="1">
      <formula>OR(AND(LEFT(#REF!, 16)="select_multiple ", LEN(#REF!)&gt;16, NOT(ISNUMBER(SEARCH(" ",#REF!, 17)))), AND(LEFT(#REF!, 11)="select_one ", LEN(#REF!)&gt;11, NOT(ISNUMBER(SEARCH(" ",#REF!, 12)))))</formula>
    </cfRule>
    <cfRule type="expression" priority="263" dxfId="23" stopIfTrue="1">
      <formula>OR(AND(LEFT(#REF!, 16)="select_multiple ", LEN(#REF!)&gt;16, NOT(ISNUMBER(SEARCH(" ",#REF!, 17)))), AND(LEFT(#REF!, 11)="select_one ", LEN(#REF!)&gt;11, NOT(ISNUMBER(SEARCH(" ",#REF!, 12)))))</formula>
    </cfRule>
    <cfRule type="expression" priority="264" dxfId="40" stopIfTrue="1">
      <formula>#REF!="decimal"</formula>
    </cfRule>
    <cfRule type="expression" priority="265" dxfId="22" stopIfTrue="1">
      <formula>#REF!="decimal"</formula>
    </cfRule>
    <cfRule type="expression" priority="266" dxfId="41" stopIfTrue="1">
      <formula>#REF!="integer"</formula>
    </cfRule>
    <cfRule type="expression" priority="267" dxfId="21" stopIfTrue="1">
      <formula>#REF!="integer"</formula>
    </cfRule>
    <cfRule type="expression" priority="268" dxfId="42" stopIfTrue="1">
      <formula>#REF!="text"</formula>
    </cfRule>
    <cfRule type="expression" priority="269" dxfId="20" stopIfTrue="1">
      <formula>#REF!="text"</formula>
    </cfRule>
    <cfRule type="expression" priority="270" dxfId="18" stopIfTrue="1">
      <formula>#REF!="end repeat"</formula>
    </cfRule>
    <cfRule type="expression" priority="271" dxfId="43" stopIfTrue="1">
      <formula>#REF!="begin repeat"</formula>
    </cfRule>
    <cfRule type="expression" priority="272" dxfId="18" stopIfTrue="1">
      <formula>#REF!="begin repeat"</formula>
    </cfRule>
    <cfRule type="expression" priority="273" dxfId="16" stopIfTrue="1">
      <formula>#REF!="end group"</formula>
    </cfRule>
    <cfRule type="expression" priority="274" dxfId="44" stopIfTrue="1">
      <formula>#REF!="begin group"</formula>
    </cfRule>
    <cfRule type="expression" priority="275" dxfId="16" stopIfTrue="1">
      <formula>#REF!="begin group"</formula>
    </cfRule>
  </conditionalFormatting>
  <conditionalFormatting sqref="H33">
    <cfRule type="expression" priority="218" dxfId="33" stopIfTrue="1">
      <formula>OR(#REF!="audio",#REF!= "video")</formula>
    </cfRule>
    <cfRule type="expression" priority="219" dxfId="32" stopIfTrue="1">
      <formula>OR(#REF!="audio",#REF!= "video")</formula>
    </cfRule>
    <cfRule type="expression" priority="220" dxfId="34" stopIfTrue="1">
      <formula>#REF!="image"</formula>
    </cfRule>
    <cfRule type="expression" priority="221" dxfId="31" stopIfTrue="1">
      <formula>#REF!="image"</formula>
    </cfRule>
    <cfRule type="expression" priority="222" dxfId="35" stopIfTrue="1">
      <formula>OR(#REF!="date",#REF!= "datetime")</formula>
    </cfRule>
    <cfRule type="expression" priority="223" dxfId="30" stopIfTrue="1">
      <formula>OR(#REF!="date",#REF!= "datetime")</formula>
    </cfRule>
    <cfRule type="expression" priority="224" dxfId="29" stopIfTrue="1">
      <formula>OR(#REF!="calculate",#REF!= "calculate_here")</formula>
    </cfRule>
    <cfRule type="expression" priority="225" dxfId="38" stopIfTrue="1">
      <formula>#REF!="note"</formula>
    </cfRule>
    <cfRule type="expression" priority="226" dxfId="28" stopIfTrue="1">
      <formula>#REF!="note"</formula>
    </cfRule>
    <cfRule type="expression" priority="227" dxfId="37" stopIfTrue="1">
      <formula>#REF!="barcode"</formula>
    </cfRule>
    <cfRule type="expression" priority="228" dxfId="27" stopIfTrue="1">
      <formula>#REF!="barcode"</formula>
    </cfRule>
    <cfRule type="expression" priority="229" dxfId="36" stopIfTrue="1">
      <formula>#REF!="geopoint"</formula>
    </cfRule>
    <cfRule type="expression" priority="230" dxfId="26" stopIfTrue="1">
      <formula>#REF!="geopoint"</formula>
    </cfRule>
    <cfRule type="expression" priority="231" dxfId="25" stopIfTrue="1">
      <formula>OR(#REF!="audio audit",#REF!= "text audit")</formula>
    </cfRule>
    <cfRule type="expression" priority="232" dxfId="24" stopIfTrue="1">
      <formula>OR(#REF!="username",#REF!= "phonenumber",#REF!= "start",#REF!= "end",#REF!= "deviceid",#REF!= "subscriberid",#REF!= "simserial")</formula>
    </cfRule>
    <cfRule type="expression" priority="233" dxfId="39" stopIfTrue="1">
      <formula>OR(AND(LEFT(#REF!, 16)="select_multiple ", LEN(#REF!)&gt;16, NOT(ISNUMBER(SEARCH(" ",#REF!, 17)))), AND(LEFT(#REF!, 11)="select_one ", LEN(#REF!)&gt;11, NOT(ISNUMBER(SEARCH(" ",#REF!, 12)))))</formula>
    </cfRule>
    <cfRule type="expression" priority="234" dxfId="23" stopIfTrue="1">
      <formula>OR(AND(LEFT(#REF!, 16)="select_multiple ", LEN(#REF!)&gt;16, NOT(ISNUMBER(SEARCH(" ",#REF!, 17)))), AND(LEFT(#REF!, 11)="select_one ", LEN(#REF!)&gt;11, NOT(ISNUMBER(SEARCH(" ",#REF!, 12)))))</formula>
    </cfRule>
    <cfRule type="expression" priority="235" dxfId="40" stopIfTrue="1">
      <formula>#REF!="decimal"</formula>
    </cfRule>
    <cfRule type="expression" priority="236" dxfId="22" stopIfTrue="1">
      <formula>#REF!="decimal"</formula>
    </cfRule>
    <cfRule type="expression" priority="237" dxfId="41" stopIfTrue="1">
      <formula>#REF!="integer"</formula>
    </cfRule>
    <cfRule type="expression" priority="238" dxfId="21" stopIfTrue="1">
      <formula>#REF!="integer"</formula>
    </cfRule>
    <cfRule type="expression" priority="239" dxfId="42" stopIfTrue="1">
      <formula>#REF!="text"</formula>
    </cfRule>
    <cfRule type="expression" priority="240" dxfId="20" stopIfTrue="1">
      <formula>#REF!="text"</formula>
    </cfRule>
    <cfRule type="expression" priority="241" dxfId="18" stopIfTrue="1">
      <formula>#REF!="end repeat"</formula>
    </cfRule>
    <cfRule type="expression" priority="242" dxfId="43" stopIfTrue="1">
      <formula>#REF!="begin repeat"</formula>
    </cfRule>
    <cfRule type="expression" priority="243" dxfId="18" stopIfTrue="1">
      <formula>#REF!="begin repeat"</formula>
    </cfRule>
    <cfRule type="expression" priority="244" dxfId="16" stopIfTrue="1">
      <formula>#REF!="end group"</formula>
    </cfRule>
    <cfRule type="expression" priority="245" dxfId="44" stopIfTrue="1">
      <formula>#REF!="begin group"</formula>
    </cfRule>
    <cfRule type="expression" priority="246" dxfId="16" stopIfTrue="1">
      <formula>#REF!="begin group"</formula>
    </cfRule>
  </conditionalFormatting>
  <conditionalFormatting sqref="H193">
    <cfRule type="expression" priority="217" dxfId="44" stopIfTrue="1">
      <formula>$A193="begin group"</formula>
    </cfRule>
    <cfRule type="expression" priority="216" dxfId="43" stopIfTrue="1">
      <formula>$A193="begin repeat"</formula>
    </cfRule>
    <cfRule type="expression" priority="215" dxfId="42" stopIfTrue="1">
      <formula>$A193="text"</formula>
    </cfRule>
    <cfRule type="expression" priority="214" dxfId="41" stopIfTrue="1">
      <formula>$A193="integer"</formula>
    </cfRule>
    <cfRule type="expression" priority="213" dxfId="40" stopIfTrue="1">
      <formula>$A193="decimal"</formula>
    </cfRule>
    <cfRule type="expression" priority="212" dxfId="39" stopIfTrue="1">
      <formula>OR(AND(LEFT($A193, 16)="select_multiple ", LEN($A193)&gt;16, NOT(ISNUMBER(SEARCH(" ", $A193, 17)))), AND(LEFT($A193, 11)="select_one ", LEN($A193)&gt;11, NOT(ISNUMBER(SEARCH(" ", $A193, 12)))))</formula>
    </cfRule>
    <cfRule type="expression" priority="209" dxfId="38" stopIfTrue="1">
      <formula>$A193="note"</formula>
    </cfRule>
    <cfRule type="expression" priority="210" dxfId="37" stopIfTrue="1">
      <formula>$A193="barcode"</formula>
    </cfRule>
    <cfRule type="expression" priority="211" dxfId="36" stopIfTrue="1">
      <formula>$A193="geopoint"</formula>
    </cfRule>
    <cfRule type="expression" priority="208" dxfId="35" stopIfTrue="1">
      <formula>OR($A193="date", $A193="datetime")</formula>
    </cfRule>
    <cfRule type="expression" priority="207" dxfId="34" stopIfTrue="1">
      <formula>$A193="image"</formula>
    </cfRule>
    <cfRule type="expression" priority="206" dxfId="33" stopIfTrue="1">
      <formula>OR($A193="audio", $A193="video")</formula>
    </cfRule>
    <cfRule type="expression" priority="189" dxfId="32" stopIfTrue="1">
      <formula>OR($A193="audio", $A193="video")</formula>
    </cfRule>
    <cfRule type="expression" priority="190" dxfId="31" stopIfTrue="1">
      <formula>$A193="image"</formula>
    </cfRule>
    <cfRule type="expression" priority="191" dxfId="30" stopIfTrue="1">
      <formula>OR($A193="date", $A193="datetime")</formula>
    </cfRule>
    <cfRule type="expression" priority="192" dxfId="29" stopIfTrue="1">
      <formula>OR($A193="calculate", $A193="calculate_here")</formula>
    </cfRule>
    <cfRule type="expression" priority="193" dxfId="28" stopIfTrue="1">
      <formula>$A193="note"</formula>
    </cfRule>
    <cfRule type="expression" priority="194" dxfId="27" stopIfTrue="1">
      <formula>$A193="barcode"</formula>
    </cfRule>
    <cfRule type="expression" priority="195" dxfId="26" stopIfTrue="1">
      <formula>$A193="geopoint"</formula>
    </cfRule>
    <cfRule type="expression" priority="196" dxfId="25" stopIfTrue="1">
      <formula>OR($A193="audio audit", $A193="text audit")</formula>
    </cfRule>
    <cfRule type="expression" priority="197" dxfId="24" stopIfTrue="1">
      <formula>OR($A193="username", $A193="phonenumber", $A193="start", $A193="end", $A193="deviceid", $A193="subscriberid", $A193="simserial")</formula>
    </cfRule>
    <cfRule type="expression" priority="198" dxfId="23" stopIfTrue="1">
      <formula>OR(AND(LEFT($A193, 16)="select_multiple ", LEN($A193)&gt;16, NOT(ISNUMBER(SEARCH(" ", $A193, 17)))), AND(LEFT($A193, 11)="select_one ", LEN($A193)&gt;11, NOT(ISNUMBER(SEARCH(" ", $A193, 12)))))</formula>
    </cfRule>
    <cfRule type="expression" priority="199" dxfId="22" stopIfTrue="1">
      <formula>$A193="decimal"</formula>
    </cfRule>
    <cfRule type="expression" priority="200" dxfId="21" stopIfTrue="1">
      <formula>$A193="integer"</formula>
    </cfRule>
    <cfRule type="expression" priority="201" dxfId="20" stopIfTrue="1">
      <formula>$A193="text"</formula>
    </cfRule>
    <cfRule type="expression" priority="202" dxfId="18" stopIfTrue="1">
      <formula>$A193="end repeat"</formula>
    </cfRule>
    <cfRule type="expression" priority="203" dxfId="18" stopIfTrue="1">
      <formula>$A193="begin repeat"</formula>
    </cfRule>
    <cfRule type="expression" priority="204" dxfId="16" stopIfTrue="1">
      <formula>$A193="end group"</formula>
    </cfRule>
    <cfRule type="expression" priority="205" dxfId="16" stopIfTrue="1">
      <formula>$A193="begin group"</formula>
    </cfRule>
  </conditionalFormatting>
  <conditionalFormatting sqref="H194">
    <cfRule type="expression" priority="160" dxfId="33" stopIfTrue="1">
      <formula>OR(#REF!="audio",#REF!= "video")</formula>
    </cfRule>
    <cfRule type="expression" priority="161" dxfId="32" stopIfTrue="1">
      <formula>OR(#REF!="audio",#REF!= "video")</formula>
    </cfRule>
    <cfRule type="expression" priority="162" dxfId="34" stopIfTrue="1">
      <formula>#REF!="image"</formula>
    </cfRule>
    <cfRule type="expression" priority="163" dxfId="31" stopIfTrue="1">
      <formula>#REF!="image"</formula>
    </cfRule>
    <cfRule type="expression" priority="164" dxfId="35" stopIfTrue="1">
      <formula>OR(#REF!="date",#REF!= "datetime")</formula>
    </cfRule>
    <cfRule type="expression" priority="165" dxfId="30" stopIfTrue="1">
      <formula>OR(#REF!="date",#REF!= "datetime")</formula>
    </cfRule>
    <cfRule type="expression" priority="166" dxfId="29" stopIfTrue="1">
      <formula>OR(#REF!="calculate",#REF!= "calculate_here")</formula>
    </cfRule>
    <cfRule type="expression" priority="167" dxfId="38" stopIfTrue="1">
      <formula>#REF!="note"</formula>
    </cfRule>
    <cfRule type="expression" priority="168" dxfId="28" stopIfTrue="1">
      <formula>#REF!="note"</formula>
    </cfRule>
    <cfRule type="expression" priority="169" dxfId="37" stopIfTrue="1">
      <formula>#REF!="barcode"</formula>
    </cfRule>
    <cfRule type="expression" priority="170" dxfId="27" stopIfTrue="1">
      <formula>#REF!="barcode"</formula>
    </cfRule>
    <cfRule type="expression" priority="171" dxfId="36" stopIfTrue="1">
      <formula>#REF!="geopoint"</formula>
    </cfRule>
    <cfRule type="expression" priority="172" dxfId="26" stopIfTrue="1">
      <formula>#REF!="geopoint"</formula>
    </cfRule>
    <cfRule type="expression" priority="173" dxfId="25" stopIfTrue="1">
      <formula>OR(#REF!="audio audit",#REF!= "text audit")</formula>
    </cfRule>
    <cfRule type="expression" priority="174" dxfId="24" stopIfTrue="1">
      <formula>OR(#REF!="username",#REF!= "phonenumber",#REF!= "start",#REF!= "end",#REF!= "deviceid",#REF!= "subscriberid",#REF!= "simserial")</formula>
    </cfRule>
    <cfRule type="expression" priority="175" dxfId="39" stopIfTrue="1">
      <formula>OR(AND(LEFT(#REF!, 16)="select_multiple ", LEN(#REF!)&gt;16, NOT(ISNUMBER(SEARCH(" ",#REF!, 17)))), AND(LEFT(#REF!, 11)="select_one ", LEN(#REF!)&gt;11, NOT(ISNUMBER(SEARCH(" ",#REF!, 12)))))</formula>
    </cfRule>
    <cfRule type="expression" priority="176" dxfId="23" stopIfTrue="1">
      <formula>OR(AND(LEFT(#REF!, 16)="select_multiple ", LEN(#REF!)&gt;16, NOT(ISNUMBER(SEARCH(" ",#REF!, 17)))), AND(LEFT(#REF!, 11)="select_one ", LEN(#REF!)&gt;11, NOT(ISNUMBER(SEARCH(" ",#REF!, 12)))))</formula>
    </cfRule>
    <cfRule type="expression" priority="177" dxfId="40" stopIfTrue="1">
      <formula>#REF!="decimal"</formula>
    </cfRule>
    <cfRule type="expression" priority="178" dxfId="22" stopIfTrue="1">
      <formula>#REF!="decimal"</formula>
    </cfRule>
    <cfRule type="expression" priority="179" dxfId="41" stopIfTrue="1">
      <formula>#REF!="integer"</formula>
    </cfRule>
    <cfRule type="expression" priority="180" dxfId="21" stopIfTrue="1">
      <formula>#REF!="integer"</formula>
    </cfRule>
    <cfRule type="expression" priority="181" dxfId="42" stopIfTrue="1">
      <formula>#REF!="text"</formula>
    </cfRule>
    <cfRule type="expression" priority="182" dxfId="20" stopIfTrue="1">
      <formula>#REF!="text"</formula>
    </cfRule>
    <cfRule type="expression" priority="183" dxfId="18" stopIfTrue="1">
      <formula>#REF!="end repeat"</formula>
    </cfRule>
    <cfRule type="expression" priority="184" dxfId="43" stopIfTrue="1">
      <formula>#REF!="begin repeat"</formula>
    </cfRule>
    <cfRule type="expression" priority="185" dxfId="18" stopIfTrue="1">
      <formula>#REF!="begin repeat"</formula>
    </cfRule>
    <cfRule type="expression" priority="186" dxfId="16" stopIfTrue="1">
      <formula>#REF!="end group"</formula>
    </cfRule>
    <cfRule type="expression" priority="187" dxfId="44" stopIfTrue="1">
      <formula>#REF!="begin group"</formula>
    </cfRule>
    <cfRule type="expression" priority="188" dxfId="16" stopIfTrue="1">
      <formula>#REF!="begin group"</formula>
    </cfRule>
    <cfRule type="expression" priority="131" dxfId="33" stopIfTrue="1">
      <formula>OR(#REF!="audio",#REF!= "video")</formula>
    </cfRule>
    <cfRule type="expression" priority="132" dxfId="32" stopIfTrue="1">
      <formula>OR(#REF!="audio",#REF!= "video")</formula>
    </cfRule>
    <cfRule type="expression" priority="133" dxfId="34" stopIfTrue="1">
      <formula>#REF!="image"</formula>
    </cfRule>
    <cfRule type="expression" priority="134" dxfId="31" stopIfTrue="1">
      <formula>#REF!="image"</formula>
    </cfRule>
    <cfRule type="expression" priority="135" dxfId="35" stopIfTrue="1">
      <formula>OR(#REF!="date",#REF!= "datetime")</formula>
    </cfRule>
    <cfRule type="expression" priority="136" dxfId="30" stopIfTrue="1">
      <formula>OR(#REF!="date",#REF!= "datetime")</formula>
    </cfRule>
    <cfRule type="expression" priority="137" dxfId="29" stopIfTrue="1">
      <formula>OR(#REF!="calculate",#REF!= "calculate_here")</formula>
    </cfRule>
    <cfRule type="expression" priority="138" dxfId="38" stopIfTrue="1">
      <formula>#REF!="note"</formula>
    </cfRule>
    <cfRule type="expression" priority="139" dxfId="28" stopIfTrue="1">
      <formula>#REF!="note"</formula>
    </cfRule>
    <cfRule type="expression" priority="140" dxfId="37" stopIfTrue="1">
      <formula>#REF!="barcode"</formula>
    </cfRule>
    <cfRule type="expression" priority="141" dxfId="27" stopIfTrue="1">
      <formula>#REF!="barcode"</formula>
    </cfRule>
    <cfRule type="expression" priority="142" dxfId="36" stopIfTrue="1">
      <formula>#REF!="geopoint"</formula>
    </cfRule>
    <cfRule type="expression" priority="143" dxfId="26" stopIfTrue="1">
      <formula>#REF!="geopoint"</formula>
    </cfRule>
    <cfRule type="expression" priority="144" dxfId="25" stopIfTrue="1">
      <formula>OR(#REF!="audio audit",#REF!= "text audit")</formula>
    </cfRule>
    <cfRule type="expression" priority="145" dxfId="24" stopIfTrue="1">
      <formula>OR(#REF!="username",#REF!= "phonenumber",#REF!= "start",#REF!= "end",#REF!= "deviceid",#REF!= "subscriberid",#REF!= "simserial")</formula>
    </cfRule>
    <cfRule type="expression" priority="146" dxfId="39" stopIfTrue="1">
      <formula>OR(AND(LEFT(#REF!, 16)="select_multiple ", LEN(#REF!)&gt;16, NOT(ISNUMBER(SEARCH(" ",#REF!, 17)))), AND(LEFT(#REF!, 11)="select_one ", LEN(#REF!)&gt;11, NOT(ISNUMBER(SEARCH(" ",#REF!, 12)))))</formula>
    </cfRule>
    <cfRule type="expression" priority="147" dxfId="23" stopIfTrue="1">
      <formula>OR(AND(LEFT(#REF!, 16)="select_multiple ", LEN(#REF!)&gt;16, NOT(ISNUMBER(SEARCH(" ",#REF!, 17)))), AND(LEFT(#REF!, 11)="select_one ", LEN(#REF!)&gt;11, NOT(ISNUMBER(SEARCH(" ",#REF!, 12)))))</formula>
    </cfRule>
    <cfRule type="expression" priority="148" dxfId="40" stopIfTrue="1">
      <formula>#REF!="decimal"</formula>
    </cfRule>
    <cfRule type="expression" priority="149" dxfId="22" stopIfTrue="1">
      <formula>#REF!="decimal"</formula>
    </cfRule>
    <cfRule type="expression" priority="150" dxfId="41" stopIfTrue="1">
      <formula>#REF!="integer"</formula>
    </cfRule>
    <cfRule type="expression" priority="151" dxfId="21" stopIfTrue="1">
      <formula>#REF!="integer"</formula>
    </cfRule>
    <cfRule type="expression" priority="152" dxfId="42" stopIfTrue="1">
      <formula>#REF!="text"</formula>
    </cfRule>
    <cfRule type="expression" priority="153" dxfId="20" stopIfTrue="1">
      <formula>#REF!="text"</formula>
    </cfRule>
    <cfRule type="expression" priority="154" dxfId="18" stopIfTrue="1">
      <formula>#REF!="end repeat"</formula>
    </cfRule>
    <cfRule type="expression" priority="155" dxfId="43" stopIfTrue="1">
      <formula>#REF!="begin repeat"</formula>
    </cfRule>
    <cfRule type="expression" priority="156" dxfId="18" stopIfTrue="1">
      <formula>#REF!="begin repeat"</formula>
    </cfRule>
    <cfRule type="expression" priority="157" dxfId="16" stopIfTrue="1">
      <formula>#REF!="end group"</formula>
    </cfRule>
    <cfRule type="expression" priority="158" dxfId="44" stopIfTrue="1">
      <formula>#REF!="begin group"</formula>
    </cfRule>
    <cfRule type="expression" priority="159" dxfId="16" stopIfTrue="1">
      <formula>#REF!="begin group"</formula>
    </cfRule>
  </conditionalFormatting>
  <conditionalFormatting sqref="H195">
    <cfRule type="expression" priority="102" dxfId="33" stopIfTrue="1">
      <formula>OR(#REF!="audio",#REF!= "video")</formula>
    </cfRule>
    <cfRule type="expression" priority="103" dxfId="32" stopIfTrue="1">
      <formula>OR(#REF!="audio",#REF!= "video")</formula>
    </cfRule>
    <cfRule type="expression" priority="104" dxfId="34" stopIfTrue="1">
      <formula>#REF!="image"</formula>
    </cfRule>
    <cfRule type="expression" priority="105" dxfId="31" stopIfTrue="1">
      <formula>#REF!="image"</formula>
    </cfRule>
    <cfRule type="expression" priority="106" dxfId="35" stopIfTrue="1">
      <formula>OR(#REF!="date",#REF!= "datetime")</formula>
    </cfRule>
    <cfRule type="expression" priority="107" dxfId="30" stopIfTrue="1">
      <formula>OR(#REF!="date",#REF!= "datetime")</formula>
    </cfRule>
    <cfRule type="expression" priority="108" dxfId="29" stopIfTrue="1">
      <formula>OR(#REF!="calculate",#REF!= "calculate_here")</formula>
    </cfRule>
    <cfRule type="expression" priority="109" dxfId="38" stopIfTrue="1">
      <formula>#REF!="note"</formula>
    </cfRule>
    <cfRule type="expression" priority="110" dxfId="28" stopIfTrue="1">
      <formula>#REF!="note"</formula>
    </cfRule>
    <cfRule type="expression" priority="111" dxfId="37" stopIfTrue="1">
      <formula>#REF!="barcode"</formula>
    </cfRule>
    <cfRule type="expression" priority="112" dxfId="27" stopIfTrue="1">
      <formula>#REF!="barcode"</formula>
    </cfRule>
    <cfRule type="expression" priority="113" dxfId="36" stopIfTrue="1">
      <formula>#REF!="geopoint"</formula>
    </cfRule>
    <cfRule type="expression" priority="114" dxfId="26" stopIfTrue="1">
      <formula>#REF!="geopoint"</formula>
    </cfRule>
    <cfRule type="expression" priority="115" dxfId="25" stopIfTrue="1">
      <formula>OR(#REF!="audio audit",#REF!= "text audit")</formula>
    </cfRule>
    <cfRule type="expression" priority="116" dxfId="24" stopIfTrue="1">
      <formula>OR(#REF!="username",#REF!= "phonenumber",#REF!= "start",#REF!= "end",#REF!= "deviceid",#REF!= "subscriberid",#REF!= "simserial")</formula>
    </cfRule>
    <cfRule type="expression" priority="117" dxfId="39" stopIfTrue="1">
      <formula>OR(AND(LEFT(#REF!, 16)="select_multiple ", LEN(#REF!)&gt;16, NOT(ISNUMBER(SEARCH(" ",#REF!, 17)))), AND(LEFT(#REF!, 11)="select_one ", LEN(#REF!)&gt;11, NOT(ISNUMBER(SEARCH(" ",#REF!, 12)))))</formula>
    </cfRule>
    <cfRule type="expression" priority="118" dxfId="23" stopIfTrue="1">
      <formula>OR(AND(LEFT(#REF!, 16)="select_multiple ", LEN(#REF!)&gt;16, NOT(ISNUMBER(SEARCH(" ",#REF!, 17)))), AND(LEFT(#REF!, 11)="select_one ", LEN(#REF!)&gt;11, NOT(ISNUMBER(SEARCH(" ",#REF!, 12)))))</formula>
    </cfRule>
    <cfRule type="expression" priority="119" dxfId="40" stopIfTrue="1">
      <formula>#REF!="decimal"</formula>
    </cfRule>
    <cfRule type="expression" priority="120" dxfId="22" stopIfTrue="1">
      <formula>#REF!="decimal"</formula>
    </cfRule>
    <cfRule type="expression" priority="121" dxfId="41" stopIfTrue="1">
      <formula>#REF!="integer"</formula>
    </cfRule>
    <cfRule type="expression" priority="122" dxfId="21" stopIfTrue="1">
      <formula>#REF!="integer"</formula>
    </cfRule>
    <cfRule type="expression" priority="123" dxfId="42" stopIfTrue="1">
      <formula>#REF!="text"</formula>
    </cfRule>
    <cfRule type="expression" priority="124" dxfId="20" stopIfTrue="1">
      <formula>#REF!="text"</formula>
    </cfRule>
    <cfRule type="expression" priority="125" dxfId="18" stopIfTrue="1">
      <formula>#REF!="end repeat"</formula>
    </cfRule>
    <cfRule type="expression" priority="126" dxfId="43" stopIfTrue="1">
      <formula>#REF!="begin repeat"</formula>
    </cfRule>
    <cfRule type="expression" priority="127" dxfId="18" stopIfTrue="1">
      <formula>#REF!="begin repeat"</formula>
    </cfRule>
    <cfRule type="expression" priority="128" dxfId="16" stopIfTrue="1">
      <formula>#REF!="end group"</formula>
    </cfRule>
    <cfRule type="expression" priority="129" dxfId="44" stopIfTrue="1">
      <formula>#REF!="begin group"</formula>
    </cfRule>
    <cfRule type="expression" priority="130" dxfId="16" stopIfTrue="1">
      <formula>#REF!="begin group"</formula>
    </cfRule>
  </conditionalFormatting>
  <conditionalFormatting sqref="H196">
    <cfRule type="expression" priority="73" dxfId="33" stopIfTrue="1">
      <formula>OR(#REF!="audio",#REF!= "video")</formula>
    </cfRule>
    <cfRule type="expression" priority="74" dxfId="32" stopIfTrue="1">
      <formula>OR(#REF!="audio",#REF!= "video")</formula>
    </cfRule>
    <cfRule type="expression" priority="75" dxfId="34" stopIfTrue="1">
      <formula>#REF!="image"</formula>
    </cfRule>
    <cfRule type="expression" priority="76" dxfId="31" stopIfTrue="1">
      <formula>#REF!="image"</formula>
    </cfRule>
    <cfRule type="expression" priority="77" dxfId="35" stopIfTrue="1">
      <formula>OR(#REF!="date",#REF!= "datetime")</formula>
    </cfRule>
    <cfRule type="expression" priority="78" dxfId="30" stopIfTrue="1">
      <formula>OR(#REF!="date",#REF!= "datetime")</formula>
    </cfRule>
    <cfRule type="expression" priority="79" dxfId="29" stopIfTrue="1">
      <formula>OR(#REF!="calculate",#REF!= "calculate_here")</formula>
    </cfRule>
    <cfRule type="expression" priority="80" dxfId="38" stopIfTrue="1">
      <formula>#REF!="note"</formula>
    </cfRule>
    <cfRule type="expression" priority="81" dxfId="28" stopIfTrue="1">
      <formula>#REF!="note"</formula>
    </cfRule>
    <cfRule type="expression" priority="82" dxfId="37" stopIfTrue="1">
      <formula>#REF!="barcode"</formula>
    </cfRule>
    <cfRule type="expression" priority="83" dxfId="27" stopIfTrue="1">
      <formula>#REF!="barcode"</formula>
    </cfRule>
    <cfRule type="expression" priority="84" dxfId="36" stopIfTrue="1">
      <formula>#REF!="geopoint"</formula>
    </cfRule>
    <cfRule type="expression" priority="85" dxfId="26" stopIfTrue="1">
      <formula>#REF!="geopoint"</formula>
    </cfRule>
    <cfRule type="expression" priority="86" dxfId="25" stopIfTrue="1">
      <formula>OR(#REF!="audio audit",#REF!= "text audit")</formula>
    </cfRule>
    <cfRule type="expression" priority="87" dxfId="24" stopIfTrue="1">
      <formula>OR(#REF!="username",#REF!= "phonenumber",#REF!= "start",#REF!= "end",#REF!= "deviceid",#REF!= "subscriberid",#REF!= "simserial")</formula>
    </cfRule>
    <cfRule type="expression" priority="88" dxfId="39" stopIfTrue="1">
      <formula>OR(AND(LEFT(#REF!, 16)="select_multiple ", LEN(#REF!)&gt;16, NOT(ISNUMBER(SEARCH(" ",#REF!, 17)))), AND(LEFT(#REF!, 11)="select_one ", LEN(#REF!)&gt;11, NOT(ISNUMBER(SEARCH(" ",#REF!, 12)))))</formula>
    </cfRule>
    <cfRule type="expression" priority="89" dxfId="23" stopIfTrue="1">
      <formula>OR(AND(LEFT(#REF!, 16)="select_multiple ", LEN(#REF!)&gt;16, NOT(ISNUMBER(SEARCH(" ",#REF!, 17)))), AND(LEFT(#REF!, 11)="select_one ", LEN(#REF!)&gt;11, NOT(ISNUMBER(SEARCH(" ",#REF!, 12)))))</formula>
    </cfRule>
    <cfRule type="expression" priority="90" dxfId="40" stopIfTrue="1">
      <formula>#REF!="decimal"</formula>
    </cfRule>
    <cfRule type="expression" priority="91" dxfId="22" stopIfTrue="1">
      <formula>#REF!="decimal"</formula>
    </cfRule>
    <cfRule type="expression" priority="92" dxfId="41" stopIfTrue="1">
      <formula>#REF!="integer"</formula>
    </cfRule>
    <cfRule type="expression" priority="93" dxfId="21" stopIfTrue="1">
      <formula>#REF!="integer"</formula>
    </cfRule>
    <cfRule type="expression" priority="94" dxfId="42" stopIfTrue="1">
      <formula>#REF!="text"</formula>
    </cfRule>
    <cfRule type="expression" priority="95" dxfId="20" stopIfTrue="1">
      <formula>#REF!="text"</formula>
    </cfRule>
    <cfRule type="expression" priority="96" dxfId="18" stopIfTrue="1">
      <formula>#REF!="end repeat"</formula>
    </cfRule>
    <cfRule type="expression" priority="97" dxfId="43" stopIfTrue="1">
      <formula>#REF!="begin repeat"</formula>
    </cfRule>
    <cfRule type="expression" priority="98" dxfId="18" stopIfTrue="1">
      <formula>#REF!="begin repeat"</formula>
    </cfRule>
    <cfRule type="expression" priority="99" dxfId="16" stopIfTrue="1">
      <formula>#REF!="end group"</formula>
    </cfRule>
    <cfRule type="expression" priority="100" dxfId="44" stopIfTrue="1">
      <formula>#REF!="begin group"</formula>
    </cfRule>
    <cfRule type="expression" priority="101" dxfId="16" stopIfTrue="1">
      <formula>#REF!="begin group"</formula>
    </cfRule>
  </conditionalFormatting>
  <conditionalFormatting sqref="H197">
    <cfRule type="expression" priority="72" dxfId="44" stopIfTrue="1">
      <formula>$A197="begin group"</formula>
    </cfRule>
    <cfRule type="expression" priority="71" dxfId="43" stopIfTrue="1">
      <formula>$A197="begin repeat"</formula>
    </cfRule>
    <cfRule type="expression" priority="70" dxfId="42" stopIfTrue="1">
      <formula>$A197="text"</formula>
    </cfRule>
    <cfRule type="expression" priority="69" dxfId="41" stopIfTrue="1">
      <formula>$A197="integer"</formula>
    </cfRule>
    <cfRule type="expression" priority="68" dxfId="40" stopIfTrue="1">
      <formula>$A197="decimal"</formula>
    </cfRule>
    <cfRule type="expression" priority="67" dxfId="39" stopIfTrue="1">
      <formula>OR(AND(LEFT($A197, 16)="select_multiple ", LEN($A197)&gt;16, NOT(ISNUMBER(SEARCH(" ", $A197, 17)))), AND(LEFT($A197, 11)="select_one ", LEN($A197)&gt;11, NOT(ISNUMBER(SEARCH(" ", $A197, 12)))))</formula>
    </cfRule>
    <cfRule type="expression" priority="64" dxfId="38" stopIfTrue="1">
      <formula>$A197="note"</formula>
    </cfRule>
    <cfRule type="expression" priority="65" dxfId="37" stopIfTrue="1">
      <formula>$A197="barcode"</formula>
    </cfRule>
    <cfRule type="expression" priority="66" dxfId="36" stopIfTrue="1">
      <formula>$A197="geopoint"</formula>
    </cfRule>
    <cfRule type="expression" priority="63" dxfId="35" stopIfTrue="1">
      <formula>OR($A197="date", $A197="datetime")</formula>
    </cfRule>
    <cfRule type="expression" priority="62" dxfId="34" stopIfTrue="1">
      <formula>$A197="image"</formula>
    </cfRule>
    <cfRule type="expression" priority="61" dxfId="33" stopIfTrue="1">
      <formula>OR($A197="audio", $A197="video")</formula>
    </cfRule>
    <cfRule type="expression" priority="44" dxfId="32" stopIfTrue="1">
      <formula>OR($A197="audio", $A197="video")</formula>
    </cfRule>
    <cfRule type="expression" priority="45" dxfId="31" stopIfTrue="1">
      <formula>$A197="image"</formula>
    </cfRule>
    <cfRule type="expression" priority="46" dxfId="30" stopIfTrue="1">
      <formula>OR($A197="date", $A197="datetime")</formula>
    </cfRule>
    <cfRule type="expression" priority="47" dxfId="29" stopIfTrue="1">
      <formula>OR($A197="calculate", $A197="calculate_here")</formula>
    </cfRule>
    <cfRule type="expression" priority="48" dxfId="28" stopIfTrue="1">
      <formula>$A197="note"</formula>
    </cfRule>
    <cfRule type="expression" priority="49" dxfId="27" stopIfTrue="1">
      <formula>$A197="barcode"</formula>
    </cfRule>
    <cfRule type="expression" priority="50" dxfId="26" stopIfTrue="1">
      <formula>$A197="geopoint"</formula>
    </cfRule>
    <cfRule type="expression" priority="51" dxfId="25" stopIfTrue="1">
      <formula>OR($A197="audio audit", $A197="text audit")</formula>
    </cfRule>
    <cfRule type="expression" priority="52" dxfId="24" stopIfTrue="1">
      <formula>OR($A197="username", $A197="phonenumber", $A197="start", $A197="end", $A197="deviceid", $A197="subscriberid", $A197="simserial")</formula>
    </cfRule>
    <cfRule type="expression" priority="53" dxfId="23" stopIfTrue="1">
      <formula>OR(AND(LEFT($A197, 16)="select_multiple ", LEN($A197)&gt;16, NOT(ISNUMBER(SEARCH(" ", $A197, 17)))), AND(LEFT($A197, 11)="select_one ", LEN($A197)&gt;11, NOT(ISNUMBER(SEARCH(" ", $A197, 12)))))</formula>
    </cfRule>
    <cfRule type="expression" priority="54" dxfId="22" stopIfTrue="1">
      <formula>$A197="decimal"</formula>
    </cfRule>
    <cfRule type="expression" priority="55" dxfId="21" stopIfTrue="1">
      <formula>$A197="integer"</formula>
    </cfRule>
    <cfRule type="expression" priority="56" dxfId="20" stopIfTrue="1">
      <formula>$A197="text"</formula>
    </cfRule>
    <cfRule type="expression" priority="57" dxfId="18" stopIfTrue="1">
      <formula>$A197="end repeat"</formula>
    </cfRule>
    <cfRule type="expression" priority="58" dxfId="18" stopIfTrue="1">
      <formula>$A197="begin repeat"</formula>
    </cfRule>
    <cfRule type="expression" priority="59" dxfId="16" stopIfTrue="1">
      <formula>$A197="end group"</formula>
    </cfRule>
    <cfRule type="expression" priority="60" dxfId="16" stopIfTrue="1">
      <formula>$A197="begin group"</formula>
    </cfRule>
  </conditionalFormatting>
  <conditionalFormatting sqref="H198">
    <cfRule type="expression" priority="43" dxfId="44" stopIfTrue="1">
      <formula>$A198="begin group"</formula>
    </cfRule>
    <cfRule type="expression" priority="42" dxfId="43" stopIfTrue="1">
      <formula>$A198="begin repeat"</formula>
    </cfRule>
    <cfRule type="expression" priority="41" dxfId="42" stopIfTrue="1">
      <formula>$A198="text"</formula>
    </cfRule>
    <cfRule type="expression" priority="40" dxfId="41" stopIfTrue="1">
      <formula>$A198="integer"</formula>
    </cfRule>
    <cfRule type="expression" priority="39" dxfId="40" stopIfTrue="1">
      <formula>$A198="decimal"</formula>
    </cfRule>
    <cfRule type="expression" priority="38" dxfId="39" stopIfTrue="1">
      <formula>OR(AND(LEFT($A198, 16)="select_multiple ", LEN($A198)&gt;16, NOT(ISNUMBER(SEARCH(" ", $A198, 17)))), AND(LEFT($A198, 11)="select_one ", LEN($A198)&gt;11, NOT(ISNUMBER(SEARCH(" ", $A198, 12)))))</formula>
    </cfRule>
    <cfRule type="expression" priority="35" dxfId="38" stopIfTrue="1">
      <formula>$A198="note"</formula>
    </cfRule>
    <cfRule type="expression" priority="36" dxfId="37" stopIfTrue="1">
      <formula>$A198="barcode"</formula>
    </cfRule>
    <cfRule type="expression" priority="37" dxfId="36" stopIfTrue="1">
      <formula>$A198="geopoint"</formula>
    </cfRule>
    <cfRule type="expression" priority="34" dxfId="35" stopIfTrue="1">
      <formula>OR($A198="date", $A198="datetime")</formula>
    </cfRule>
    <cfRule type="expression" priority="33" dxfId="34" stopIfTrue="1">
      <formula>$A198="image"</formula>
    </cfRule>
    <cfRule type="expression" priority="32" dxfId="33" stopIfTrue="1">
      <formula>OR($A198="audio", $A198="video")</formula>
    </cfRule>
    <cfRule type="expression" priority="15" dxfId="32" stopIfTrue="1">
      <formula>OR($A198="audio", $A198="video")</formula>
    </cfRule>
    <cfRule type="expression" priority="16" dxfId="31" stopIfTrue="1">
      <formula>$A198="image"</formula>
    </cfRule>
    <cfRule type="expression" priority="17" dxfId="30" stopIfTrue="1">
      <formula>OR($A198="date", $A198="datetime")</formula>
    </cfRule>
    <cfRule type="expression" priority="18" dxfId="29" stopIfTrue="1">
      <formula>OR($A198="calculate", $A198="calculate_here")</formula>
    </cfRule>
    <cfRule type="expression" priority="19" dxfId="28" stopIfTrue="1">
      <formula>$A198="note"</formula>
    </cfRule>
    <cfRule type="expression" priority="20" dxfId="27" stopIfTrue="1">
      <formula>$A198="barcode"</formula>
    </cfRule>
    <cfRule type="expression" priority="21" dxfId="26" stopIfTrue="1">
      <formula>$A198="geopoint"</formula>
    </cfRule>
    <cfRule type="expression" priority="22" dxfId="25" stopIfTrue="1">
      <formula>OR($A198="audio audit", $A198="text audit")</formula>
    </cfRule>
    <cfRule type="expression" priority="23" dxfId="24" stopIfTrue="1">
      <formula>OR($A198="username", $A198="phonenumber", $A198="start", $A198="end", $A198="deviceid", $A198="subscriberid", $A198="simserial")</formula>
    </cfRule>
    <cfRule type="expression" priority="24" dxfId="23" stopIfTrue="1">
      <formula>OR(AND(LEFT($A198, 16)="select_multiple ", LEN($A198)&gt;16, NOT(ISNUMBER(SEARCH(" ", $A198, 17)))), AND(LEFT($A198, 11)="select_one ", LEN($A198)&gt;11, NOT(ISNUMBER(SEARCH(" ", $A198, 12)))))</formula>
    </cfRule>
    <cfRule type="expression" priority="25" dxfId="22" stopIfTrue="1">
      <formula>$A198="decimal"</formula>
    </cfRule>
    <cfRule type="expression" priority="26" dxfId="21" stopIfTrue="1">
      <formula>$A198="integer"</formula>
    </cfRule>
    <cfRule type="expression" priority="27" dxfId="20" stopIfTrue="1">
      <formula>$A198="text"</formula>
    </cfRule>
    <cfRule type="expression" priority="28" dxfId="18" stopIfTrue="1">
      <formula>$A198="end repeat"</formula>
    </cfRule>
    <cfRule type="expression" priority="29" dxfId="18" stopIfTrue="1">
      <formula>$A198="begin repeat"</formula>
    </cfRule>
    <cfRule type="expression" priority="30" dxfId="16" stopIfTrue="1">
      <formula>$A198="end group"</formula>
    </cfRule>
    <cfRule type="expression" priority="31" dxfId="16" stopIfTrue="1">
      <formula>$A198="begin group"</formula>
    </cfRule>
  </conditionalFormatting>
  <conditionalFormatting sqref="C65:C66 C60:C62">
    <cfRule type="duplicateValues" priority="1257" dxfId="0"/>
  </conditionalFormatting>
  <conditionalFormatting sqref="B66">
    <cfRule type="duplicateValues" priority="13" dxfId="0"/>
  </conditionalFormatting>
  <conditionalFormatting sqref="C75">
    <cfRule type="duplicateValues" priority="12" dxfId="0"/>
  </conditionalFormatting>
  <conditionalFormatting sqref="B75">
    <cfRule type="duplicateValues" priority="11" dxfId="0"/>
  </conditionalFormatting>
  <conditionalFormatting sqref="B83 B78:B80">
    <cfRule type="duplicateValues" priority="1293" dxfId="0"/>
  </conditionalFormatting>
  <conditionalFormatting sqref="C83 C78:C80">
    <cfRule type="duplicateValues" priority="1295" dxfId="0"/>
  </conditionalFormatting>
  <conditionalFormatting sqref="B84">
    <cfRule type="duplicateValues" priority="9" dxfId="0"/>
  </conditionalFormatting>
  <conditionalFormatting sqref="C84">
    <cfRule type="duplicateValues" priority="10" dxfId="0"/>
  </conditionalFormatting>
  <conditionalFormatting sqref="B104">
    <cfRule type="duplicateValues" priority="8" dxfId="0"/>
  </conditionalFormatting>
  <conditionalFormatting sqref="B110">
    <cfRule type="duplicateValues" priority="7" dxfId="0"/>
  </conditionalFormatting>
  <conditionalFormatting sqref="C110">
    <cfRule type="duplicateValues" priority="6" dxfId="0"/>
  </conditionalFormatting>
  <conditionalFormatting sqref="B125">
    <cfRule type="duplicateValues" priority="4" dxfId="0"/>
  </conditionalFormatting>
  <conditionalFormatting sqref="C125">
    <cfRule type="duplicateValues" priority="5" dxfId="0"/>
  </conditionalFormatting>
  <conditionalFormatting sqref="B156">
    <cfRule type="duplicateValues" priority="3" dxfId="0"/>
  </conditionalFormatting>
  <conditionalFormatting sqref="C54">
    <cfRule type="duplicateValues" priority="2" dxfId="0"/>
  </conditionalFormatting>
  <conditionalFormatting sqref="C55">
    <cfRule type="duplicateValues" priority="1" dxfId="0"/>
  </conditionalFormatting>
  <pageMargins left="0.7" right="0.7" top="0.75" bottom="0.75" header="0.3" footer="0.3"/>
  <pageSetup orientation="portrait" paperSize="9"/>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193"/>
  <sheetViews>
    <sheetView topLeftCell="A113" workbookViewId="0">
      <selection activeCell="A124" sqref="A124"/>
    </sheetView>
  </sheetViews>
  <sheetFormatPr baseColWidth="8" defaultColWidth="11.42578125" defaultRowHeight="15"/>
  <sheetData>
    <row r="1">
      <c r="A1" t="inlineStr">
        <is>
          <t>question</t>
        </is>
      </c>
      <c r="B1" t="inlineStr">
        <is>
          <t>duration</t>
        </is>
      </c>
      <c r="C1" t="inlineStr">
        <is>
          <t>responded %</t>
        </is>
      </c>
      <c r="D1" t="inlineStr">
        <is>
          <t>weighted time</t>
        </is>
      </c>
    </row>
    <row r="2">
      <c r="A2" t="inlineStr">
        <is>
          <t>introduction</t>
        </is>
      </c>
      <c r="B2" s="1" t="n">
        <v>50.82254028320312</v>
      </c>
      <c r="C2" s="2" t="n">
        <v>1</v>
      </c>
      <c r="D2" s="1" t="n">
        <v>50.82254028320312</v>
      </c>
    </row>
    <row r="3">
      <c r="A3" t="inlineStr">
        <is>
          <t>agree</t>
        </is>
      </c>
      <c r="B3" s="1" t="n">
        <v>3.496473789215088</v>
      </c>
      <c r="C3" s="2" t="n">
        <v>0.7969874100719424</v>
      </c>
      <c r="D3" s="1" t="n">
        <v>2.786645589650964</v>
      </c>
    </row>
    <row r="4">
      <c r="A4" t="inlineStr">
        <is>
          <t>resp_age</t>
        </is>
      </c>
      <c r="B4" s="1" t="n">
        <v>13.75307273864746</v>
      </c>
      <c r="C4" s="2" t="n">
        <v>1</v>
      </c>
      <c r="D4" s="1" t="n">
        <v>13.75307273864746</v>
      </c>
    </row>
    <row r="5">
      <c r="A5" t="inlineStr">
        <is>
          <t>resp_gender</t>
        </is>
      </c>
      <c r="B5" s="1" t="n">
        <v>2.117356061935425</v>
      </c>
      <c r="C5" s="2" t="n">
        <v>1</v>
      </c>
      <c r="D5" s="1" t="n">
        <v>2.117356061935425</v>
      </c>
    </row>
    <row r="6">
      <c r="A6" t="inlineStr">
        <is>
          <t>quotareached</t>
        </is>
      </c>
      <c r="B6" s="1" t="n">
        <v>2.284250020980835</v>
      </c>
      <c r="C6" s="2" t="n">
        <v>0.7969874100719424</v>
      </c>
      <c r="D6" s="1" t="n">
        <v>1.820518508178296</v>
      </c>
    </row>
    <row r="7">
      <c r="A7" t="inlineStr">
        <is>
          <t>hh_agricactivity</t>
        </is>
      </c>
      <c r="B7" s="1" t="n">
        <v>31.37237739562988</v>
      </c>
      <c r="C7" s="2" t="n">
        <v>1</v>
      </c>
      <c r="D7" s="1" t="n">
        <v>31.37237739562988</v>
      </c>
    </row>
    <row r="8">
      <c r="A8" t="inlineStr">
        <is>
          <t>hh_milieu</t>
        </is>
      </c>
      <c r="B8" s="1" t="n">
        <v>7.922545433044434</v>
      </c>
      <c r="C8" s="2" t="n">
        <v>0.1519034772182254</v>
      </c>
      <c r="D8" s="1" t="n">
        <v>1.203462199698821</v>
      </c>
    </row>
    <row r="9">
      <c r="A9" t="inlineStr">
        <is>
          <t>hh_gender</t>
        </is>
      </c>
      <c r="B9" s="1" t="n">
        <v>10.08573150634766</v>
      </c>
      <c r="C9" s="2" t="n">
        <v>1</v>
      </c>
      <c r="D9" s="1" t="n">
        <v>10.08573150634766</v>
      </c>
    </row>
    <row r="10">
      <c r="A10" t="inlineStr">
        <is>
          <t>hh_education</t>
        </is>
      </c>
      <c r="B10" s="1" t="n">
        <v>12.89403438568115</v>
      </c>
      <c r="C10" s="2" t="n">
        <v>1</v>
      </c>
      <c r="D10" s="1" t="n">
        <v>12.89403438568115</v>
      </c>
    </row>
    <row r="11">
      <c r="A11" t="inlineStr">
        <is>
          <t>hh_wealth_water</t>
        </is>
      </c>
      <c r="B11" s="1" t="n">
        <v>15.26582908630371</v>
      </c>
      <c r="C11" s="2" t="n">
        <v>0.6379646282973621</v>
      </c>
      <c r="D11" s="1" t="n">
        <v>9.739058978694805</v>
      </c>
    </row>
    <row r="12">
      <c r="A12" t="inlineStr">
        <is>
          <t>hh_wealth_toilet</t>
        </is>
      </c>
      <c r="B12" s="1" t="n">
        <v>15.12371826171875</v>
      </c>
      <c r="C12" s="2" t="n">
        <v>0.5918015587529976</v>
      </c>
      <c r="D12" s="1" t="n">
        <v>8.950240041426332</v>
      </c>
    </row>
    <row r="13">
      <c r="A13" t="inlineStr">
        <is>
          <t>hh_wealthwall</t>
        </is>
      </c>
      <c r="B13" s="1" t="n">
        <v>12.8214111328125</v>
      </c>
      <c r="C13" s="2" t="n">
        <v>0.1519034772182254</v>
      </c>
      <c r="D13" s="1" t="n">
        <v>1.947616933918685</v>
      </c>
    </row>
    <row r="14">
      <c r="A14" t="inlineStr">
        <is>
          <t>hh_size</t>
        </is>
      </c>
      <c r="B14" s="1" t="n">
        <v>15.21184825897217</v>
      </c>
      <c r="C14" s="2" t="n">
        <v>0.5161121103117506</v>
      </c>
      <c r="D14" s="1" t="n">
        <v>7.851019106680256</v>
      </c>
    </row>
    <row r="15">
      <c r="A15" t="inlineStr">
        <is>
          <t>hh_reprwomen</t>
        </is>
      </c>
      <c r="B15" s="1" t="n">
        <v>19.31031036376953</v>
      </c>
      <c r="C15" s="2" t="n">
        <v>0.1519034772182254</v>
      </c>
      <c r="D15" s="1" t="n">
        <v>2.933303290419727</v>
      </c>
    </row>
    <row r="16">
      <c r="A16" t="inlineStr">
        <is>
          <t>income_main</t>
        </is>
      </c>
      <c r="B16" s="1" t="n">
        <v>36.92873382568359</v>
      </c>
      <c r="C16" s="2" t="n">
        <v>1</v>
      </c>
      <c r="D16" s="1" t="n">
        <v>36.92873382568359</v>
      </c>
    </row>
    <row r="17">
      <c r="A17" t="inlineStr">
        <is>
          <t>income_main_amount</t>
        </is>
      </c>
      <c r="B17" s="1" t="n">
        <v>40.04731750488281</v>
      </c>
      <c r="C17" s="2" t="n">
        <v>0.7554706235011991</v>
      </c>
      <c r="D17" s="1" t="n">
        <v>30.2545719249643</v>
      </c>
    </row>
    <row r="18">
      <c r="A18" t="inlineStr">
        <is>
          <t>income_main_amount_conf</t>
        </is>
      </c>
      <c r="B18" s="1" t="n">
        <v>3.687011003494263</v>
      </c>
      <c r="C18" s="2" t="n">
        <v>0.04788669064748202</v>
      </c>
      <c r="D18" s="1" t="n">
        <v>0.176558755338192</v>
      </c>
    </row>
    <row r="19">
      <c r="A19" t="inlineStr">
        <is>
          <t>income_main_comp</t>
        </is>
      </c>
      <c r="B19" s="1" t="n">
        <v>27.24216651916504</v>
      </c>
      <c r="C19" s="2" t="n">
        <v>0.9447691846522782</v>
      </c>
      <c r="D19" s="1" t="n">
        <v>25.73755945047315</v>
      </c>
    </row>
    <row r="20">
      <c r="A20" t="inlineStr">
        <is>
          <t>income_sec</t>
        </is>
      </c>
      <c r="B20" s="1" t="n">
        <v>25.30800437927246</v>
      </c>
      <c r="C20" s="2" t="n">
        <v>0.9447691846522782</v>
      </c>
      <c r="D20" s="1" t="n">
        <v>23.91022266258153</v>
      </c>
    </row>
    <row r="21">
      <c r="A21" t="inlineStr">
        <is>
          <t>income_sec_amount</t>
        </is>
      </c>
      <c r="B21" s="1" t="n">
        <v>30.82847023010254</v>
      </c>
      <c r="C21" s="2" t="n">
        <v>0.3390287769784173</v>
      </c>
      <c r="D21" s="1" t="n">
        <v>10.45173855822721</v>
      </c>
    </row>
    <row r="22">
      <c r="A22" t="inlineStr">
        <is>
          <t>income_sec_amount_conf</t>
        </is>
      </c>
      <c r="B22" s="1" t="n">
        <v>2.29411768913269</v>
      </c>
      <c r="C22" s="2" t="n">
        <v>0.0114658273381295</v>
      </c>
      <c r="D22" s="1" t="n">
        <v>0.02630395731694407</v>
      </c>
    </row>
    <row r="23">
      <c r="A23" t="inlineStr">
        <is>
          <t>income_sec_comp</t>
        </is>
      </c>
      <c r="B23" s="1" t="n">
        <v>21.19325637817383</v>
      </c>
      <c r="C23" s="2" t="n">
        <v>0.431205035971223</v>
      </c>
      <c r="D23" s="1" t="n">
        <v>9.138638878897797</v>
      </c>
    </row>
    <row r="24">
      <c r="A24" t="inlineStr">
        <is>
          <t>income_third</t>
        </is>
      </c>
      <c r="B24" s="1" t="n">
        <v>20.22992706298828</v>
      </c>
      <c r="C24" s="2" t="n">
        <v>0.431205035971223</v>
      </c>
      <c r="D24" s="1" t="n">
        <v>8.72324642689108</v>
      </c>
    </row>
    <row r="25">
      <c r="A25" t="inlineStr">
        <is>
          <t>income_third_amount</t>
        </is>
      </c>
      <c r="B25" s="1" t="n">
        <v>29.42983245849609</v>
      </c>
      <c r="C25" s="2" t="n">
        <v>0.07636390887290168</v>
      </c>
      <c r="D25" s="1" t="n">
        <v>2.24737704400536</v>
      </c>
    </row>
    <row r="26">
      <c r="A26" t="inlineStr">
        <is>
          <t>income_third_amount_conf</t>
        </is>
      </c>
      <c r="B26" s="1" t="n">
        <v>1.555555582046509</v>
      </c>
      <c r="C26" s="2" t="n">
        <v>0.002023381294964029</v>
      </c>
      <c r="D26" s="1" t="n">
        <v>0.003147482067989788</v>
      </c>
    </row>
    <row r="27">
      <c r="A27" t="inlineStr">
        <is>
          <t>income_third_comp</t>
        </is>
      </c>
      <c r="B27" s="1" t="n">
        <v>16.34839630126953</v>
      </c>
      <c r="C27" s="2" t="n">
        <v>0.1144334532374101</v>
      </c>
      <c r="D27" s="1" t="n">
        <v>1.870803443647975</v>
      </c>
    </row>
    <row r="28">
      <c r="A28" t="inlineStr">
        <is>
          <t>covid_policy</t>
        </is>
      </c>
      <c r="B28" s="1" t="n">
        <v>39.025390625</v>
      </c>
      <c r="C28" s="2" t="n">
        <v>0.7969124700239808</v>
      </c>
      <c r="D28" s="1" t="n">
        <v>31.09982043661945</v>
      </c>
    </row>
    <row r="29">
      <c r="A29" t="inlineStr">
        <is>
          <t>wagecompar</t>
        </is>
      </c>
      <c r="B29" s="1" t="n">
        <v>10.04008483886719</v>
      </c>
      <c r="C29" s="2" t="n">
        <v>0.03552158273381295</v>
      </c>
      <c r="D29" s="1" t="n">
        <v>0.3566397042583219</v>
      </c>
    </row>
    <row r="30">
      <c r="A30" t="inlineStr">
        <is>
          <t>hh_explanation</t>
        </is>
      </c>
      <c r="B30" s="1" t="n">
        <v>26.11878204345703</v>
      </c>
      <c r="C30" s="2" t="n">
        <v>0.3570893285371702</v>
      </c>
      <c r="D30" s="1" t="n">
        <v>9.32673834210677</v>
      </c>
    </row>
    <row r="31">
      <c r="A31" t="inlineStr">
        <is>
          <t>crp_main</t>
        </is>
      </c>
      <c r="B31" s="1" t="n">
        <v>27.05755233764648</v>
      </c>
      <c r="C31" s="2" t="n">
        <v>0.5065197841726619</v>
      </c>
      <c r="D31" s="1" t="n">
        <v>13.7051855703052</v>
      </c>
    </row>
    <row r="32">
      <c r="A32" t="inlineStr">
        <is>
          <t>crp_landsize</t>
        </is>
      </c>
      <c r="B32" s="1" t="n">
        <v>15.98350524902344</v>
      </c>
      <c r="C32" s="2" t="n">
        <v>0.3770983213429256</v>
      </c>
      <c r="D32" s="1" t="n">
        <v>6.027352998582579</v>
      </c>
    </row>
    <row r="33">
      <c r="A33" t="inlineStr">
        <is>
          <t>crp_landsmall</t>
        </is>
      </c>
      <c r="B33" s="1" t="n">
        <v>3.411157131195068</v>
      </c>
      <c r="C33" s="2" t="n">
        <v>0.03627098321342925</v>
      </c>
      <c r="D33" s="1" t="n">
        <v>0.1237260230439458</v>
      </c>
    </row>
    <row r="34">
      <c r="A34" t="inlineStr">
        <is>
          <t>crp_landmedium</t>
        </is>
      </c>
      <c r="B34" s="1" t="n">
        <v>5.63265323638916</v>
      </c>
      <c r="C34" s="2" t="n">
        <v>0.003672062350119904</v>
      </c>
      <c r="D34" s="1" t="n">
        <v>0.02068345388062566</v>
      </c>
    </row>
    <row r="35">
      <c r="A35" t="inlineStr">
        <is>
          <t>crp_irrigation</t>
        </is>
      </c>
      <c r="B35" s="1" t="n">
        <v>15.95429515838623</v>
      </c>
      <c r="C35" s="2" t="n">
        <v>0.2590677458033573</v>
      </c>
      <c r="D35" s="1" t="n">
        <v>4.133243282564539</v>
      </c>
    </row>
    <row r="36">
      <c r="A36" t="inlineStr">
        <is>
          <t>crp_seed_supply</t>
        </is>
      </c>
      <c r="B36" s="1" t="n">
        <v>17.92890930175781</v>
      </c>
      <c r="C36" s="2" t="n">
        <v>0.1423111510791367</v>
      </c>
      <c r="D36" s="1" t="n">
        <v>2.551483720326595</v>
      </c>
    </row>
    <row r="37">
      <c r="A37" t="inlineStr">
        <is>
          <t>crp_area_change</t>
        </is>
      </c>
      <c r="B37" s="1" t="n">
        <v>25.43687438964844</v>
      </c>
      <c r="C37" s="2" t="n">
        <v>0.4938549160671463</v>
      </c>
      <c r="D37" s="1" t="n">
        <v>12.56212546671037</v>
      </c>
    </row>
    <row r="38">
      <c r="A38" t="inlineStr">
        <is>
          <t>crp_harv_change</t>
        </is>
      </c>
      <c r="B38" s="1" t="n">
        <v>19.36494636535645</v>
      </c>
      <c r="C38" s="2" t="n">
        <v>0.4938549160671463</v>
      </c>
      <c r="D38" s="1" t="n">
        <v>9.563473961907896</v>
      </c>
    </row>
    <row r="39">
      <c r="A39" t="inlineStr">
        <is>
          <t>crp_proddif_1</t>
        </is>
      </c>
      <c r="B39" s="1" t="n">
        <v>13.45886421203613</v>
      </c>
      <c r="C39" s="2" t="n">
        <v>0.3880395683453237</v>
      </c>
      <c r="D39" s="1" t="n">
        <v>5.222571859256826</v>
      </c>
    </row>
    <row r="40">
      <c r="A40" t="inlineStr">
        <is>
          <t>crp_proddif_2</t>
        </is>
      </c>
      <c r="B40" s="1" t="n">
        <v>37.52328872680664</v>
      </c>
      <c r="C40" s="2" t="n">
        <v>0.3073291366906475</v>
      </c>
      <c r="D40" s="1" t="n">
        <v>11.53199993020339</v>
      </c>
    </row>
    <row r="41">
      <c r="A41" t="inlineStr">
        <is>
          <t>crp_salesdif_1</t>
        </is>
      </c>
      <c r="B41" s="1" t="n">
        <v>12.68148708343506</v>
      </c>
      <c r="C41" s="2" t="n">
        <v>0.2983363309352518</v>
      </c>
      <c r="D41" s="1" t="n">
        <v>3.783348327274803</v>
      </c>
    </row>
    <row r="42">
      <c r="A42" t="inlineStr">
        <is>
          <t>crp_salesdif_2</t>
        </is>
      </c>
      <c r="B42" s="1" t="n">
        <v>22.61360931396484</v>
      </c>
      <c r="C42" s="2" t="n">
        <v>0.1233513189448441</v>
      </c>
      <c r="D42" s="1" t="n">
        <v>2.789418534980975</v>
      </c>
    </row>
    <row r="43">
      <c r="A43" t="inlineStr">
        <is>
          <t>crp_salesprice</t>
        </is>
      </c>
      <c r="B43" s="1" t="n">
        <v>21.70190811157227</v>
      </c>
      <c r="C43" s="2" t="n">
        <v>0.3848920863309352</v>
      </c>
      <c r="D43" s="1" t="n">
        <v>8.352892690425296</v>
      </c>
    </row>
    <row r="44">
      <c r="A44" t="inlineStr">
        <is>
          <t>mrk_inno</t>
        </is>
      </c>
      <c r="B44" s="1" t="n">
        <v>12.12575531005859</v>
      </c>
      <c r="C44" s="2" t="n">
        <v>0.06197541966426859</v>
      </c>
      <c r="D44" s="1" t="n">
        <v>0.7514987740871146</v>
      </c>
    </row>
    <row r="45">
      <c r="A45" t="inlineStr">
        <is>
          <t>crp_proc</t>
        </is>
      </c>
      <c r="B45" s="1" t="n">
        <v>13.56026268005371</v>
      </c>
      <c r="C45" s="2" t="n">
        <v>0.1486061151079137</v>
      </c>
      <c r="D45" s="1" t="n">
        <v>2.015137956725607</v>
      </c>
    </row>
    <row r="46">
      <c r="A46" t="inlineStr">
        <is>
          <t>crp_proc_mach</t>
        </is>
      </c>
      <c r="B46" s="1" t="n">
        <v>14.0656566619873</v>
      </c>
      <c r="C46" s="2" t="n">
        <v>0.01483812949640288</v>
      </c>
      <c r="D46" s="1" t="n">
        <v>0.2087080350025095</v>
      </c>
    </row>
    <row r="47">
      <c r="A47" t="inlineStr">
        <is>
          <t>crp_proc_owner</t>
        </is>
      </c>
      <c r="B47" s="1" t="n">
        <v>11.01092910766602</v>
      </c>
      <c r="C47" s="2" t="n">
        <v>0.01371402877697842</v>
      </c>
      <c r="D47" s="1" t="n">
        <v>0.151004198643801</v>
      </c>
    </row>
    <row r="48">
      <c r="A48" t="inlineStr">
        <is>
          <t>crp_proc_state</t>
        </is>
      </c>
      <c r="B48" s="1" t="n">
        <v>4.896174907684326</v>
      </c>
      <c r="C48" s="2" t="n">
        <v>0.01371402877697842</v>
      </c>
      <c r="D48" s="1" t="n">
        <v>0.06714628358110249</v>
      </c>
    </row>
    <row r="49">
      <c r="A49" t="inlineStr">
        <is>
          <t>ls_main</t>
        </is>
      </c>
      <c r="B49" s="1" t="n">
        <v>20.2944221496582</v>
      </c>
      <c r="C49" s="2" t="n">
        <v>0.4057254196642686</v>
      </c>
      <c r="D49" s="1" t="n">
        <v>8.233962943513902</v>
      </c>
    </row>
    <row r="50">
      <c r="A50" t="inlineStr">
        <is>
          <t>ls_num_lastyr</t>
        </is>
      </c>
      <c r="B50" s="1" t="n">
        <v>18.53907775878906</v>
      </c>
      <c r="C50" s="2" t="n">
        <v>0.4027278177458034</v>
      </c>
      <c r="D50" s="1" t="n">
        <v>7.466202328816878</v>
      </c>
    </row>
    <row r="51">
      <c r="A51" t="inlineStr">
        <is>
          <t>ls_num_now</t>
        </is>
      </c>
      <c r="B51" s="1" t="n">
        <v>8.915891647338867</v>
      </c>
      <c r="C51" s="2" t="n">
        <v>0.4027278177458034</v>
      </c>
      <c r="D51" s="1" t="n">
        <v>3.590677586390818</v>
      </c>
    </row>
    <row r="52">
      <c r="A52" t="inlineStr">
        <is>
          <t>ls_num_change</t>
        </is>
      </c>
      <c r="B52" s="1" t="n">
        <v>25.81001091003418</v>
      </c>
      <c r="C52" s="2" t="n">
        <v>0.4027278177458034</v>
      </c>
      <c r="D52" s="1" t="n">
        <v>10.39440936979344</v>
      </c>
    </row>
    <row r="53">
      <c r="A53" t="inlineStr">
        <is>
          <t>ls_food_supply</t>
        </is>
      </c>
      <c r="B53" s="1" t="n">
        <v>19.55319786071777</v>
      </c>
      <c r="C53" s="2" t="n">
        <v>0.293015587529976</v>
      </c>
      <c r="D53" s="1" t="n">
        <v>5.729391759248089</v>
      </c>
    </row>
    <row r="54">
      <c r="A54" t="inlineStr">
        <is>
          <t>ls_proddif_1</t>
        </is>
      </c>
      <c r="B54" s="1" t="n">
        <v>13.61331653594971</v>
      </c>
      <c r="C54" s="2" t="n">
        <v>0.3038818944844125</v>
      </c>
      <c r="D54" s="1" t="n">
        <v>4.136840419160377</v>
      </c>
    </row>
    <row r="55">
      <c r="A55" t="inlineStr">
        <is>
          <t>ls_proddif_2</t>
        </is>
      </c>
      <c r="B55" s="1" t="n">
        <v>27.75464820861816</v>
      </c>
      <c r="C55" s="2" t="n">
        <v>0.205560551558753</v>
      </c>
      <c r="D55" s="1" t="n">
        <v>5.705260794082705</v>
      </c>
    </row>
    <row r="56">
      <c r="A56" t="inlineStr">
        <is>
          <t>ls_salesmain</t>
        </is>
      </c>
      <c r="B56" s="1" t="n">
        <v>13.99939060211182</v>
      </c>
      <c r="C56" s="2" t="n">
        <v>0.2460281774580336</v>
      </c>
      <c r="D56" s="1" t="n">
        <v>3.444244555360693</v>
      </c>
    </row>
    <row r="57">
      <c r="A57" t="inlineStr">
        <is>
          <t>ls_salesdif_1</t>
        </is>
      </c>
      <c r="B57" s="1" t="n">
        <v>10.25279426574707</v>
      </c>
      <c r="C57" s="2" t="n">
        <v>0.174310551558753</v>
      </c>
      <c r="D57" s="1" t="n">
        <v>1.787170223480792</v>
      </c>
    </row>
    <row r="58">
      <c r="A58" t="inlineStr">
        <is>
          <t>ls_salesdif_2</t>
        </is>
      </c>
      <c r="B58" s="1" t="n">
        <v>24.19434356689453</v>
      </c>
      <c r="C58" s="2" t="n">
        <v>0.1033423261390887</v>
      </c>
      <c r="D58" s="1" t="n">
        <v>2.500299743611178</v>
      </c>
    </row>
    <row r="59">
      <c r="A59" t="inlineStr">
        <is>
          <t>ls_salesprice</t>
        </is>
      </c>
      <c r="B59" s="1" t="n">
        <v>19.32173728942871</v>
      </c>
      <c r="C59" s="2" t="n">
        <v>0.234787170263789</v>
      </c>
      <c r="D59" s="1" t="n">
        <v>4.5364960227653</v>
      </c>
    </row>
    <row r="60">
      <c r="A60" t="inlineStr">
        <is>
          <t>ls_proc_1</t>
        </is>
      </c>
      <c r="B60" s="1" t="n">
        <v>6.094890594482422</v>
      </c>
      <c r="C60" s="2" t="n">
        <v>0.01026678657074341</v>
      </c>
      <c r="D60" s="1" t="n">
        <v>0.06257494090558242</v>
      </c>
    </row>
    <row r="61">
      <c r="A61" t="inlineStr">
        <is>
          <t>ls_proc_2</t>
        </is>
      </c>
      <c r="B61" s="1" t="n">
        <v>17.53424644470215</v>
      </c>
      <c r="C61" s="2" t="n">
        <v>0.01641187050359712</v>
      </c>
      <c r="D61" s="1" t="n">
        <v>0.2877697820286099</v>
      </c>
    </row>
    <row r="62">
      <c r="A62" t="inlineStr">
        <is>
          <t>ls_proc_fac</t>
        </is>
      </c>
      <c r="B62" s="1" t="n">
        <v>31.45833396911621</v>
      </c>
      <c r="C62" s="2" t="n">
        <v>0.001798561151079137</v>
      </c>
      <c r="D62" s="1" t="n">
        <v>0.05657973735452556</v>
      </c>
    </row>
    <row r="63">
      <c r="A63" t="inlineStr">
        <is>
          <t>ls_proc_fac_statedairyprocess</t>
        </is>
      </c>
      <c r="B63" s="1" t="n">
        <v>2.5</v>
      </c>
      <c r="C63" s="2" t="n">
        <v>0.0001498800959232614</v>
      </c>
      <c r="D63" s="1" t="n">
        <v>0.0003747002398081534</v>
      </c>
    </row>
    <row r="64">
      <c r="A64" t="inlineStr">
        <is>
          <t>ls_proc_fac_statecoldtranspor</t>
        </is>
      </c>
      <c r="B64" s="1" t="n">
        <v>5.75</v>
      </c>
      <c r="C64" s="2" t="n">
        <v>0.0002997601918465228</v>
      </c>
      <c r="D64" s="1" t="n">
        <v>0.001723621103117506</v>
      </c>
    </row>
    <row r="65">
      <c r="A65" t="inlineStr">
        <is>
          <t>ls_proc_fac_statedontknow</t>
        </is>
      </c>
      <c r="B65" s="1" t="n">
        <v>4.5</v>
      </c>
      <c r="C65" s="2" t="n">
        <v>0.0001498800959232614</v>
      </c>
      <c r="D65" s="1" t="n">
        <v>0.0006744604316546762</v>
      </c>
    </row>
    <row r="66">
      <c r="A66" t="inlineStr">
        <is>
          <t>cg</t>
        </is>
      </c>
      <c r="B66" s="1" t="n">
        <v>3</v>
      </c>
      <c r="C66" s="2" t="n">
        <v>7.494004796163069e-05</v>
      </c>
      <c r="D66" s="1" t="n">
        <v>0.0002248201438848921</v>
      </c>
    </row>
    <row r="67">
      <c r="A67" t="inlineStr">
        <is>
          <t>ls_proc_fac_statepurchasepriv</t>
        </is>
      </c>
      <c r="B67" s="1" t="n">
        <v>2</v>
      </c>
      <c r="C67" s="2" t="n">
        <v>7.494004796163069e-05</v>
      </c>
      <c r="D67" s="1" t="n">
        <v>0.0001498800959232614</v>
      </c>
    </row>
    <row r="68">
      <c r="A68" t="inlineStr">
        <is>
          <t>fish_main</t>
        </is>
      </c>
      <c r="B68" s="1" t="n">
        <v>19.09011650085449</v>
      </c>
      <c r="C68" s="2" t="n">
        <v>0.02577937649880096</v>
      </c>
      <c r="D68" s="1" t="n">
        <v>0.4921313006815007</v>
      </c>
    </row>
    <row r="69">
      <c r="A69" t="inlineStr">
        <is>
          <t>fish_change</t>
        </is>
      </c>
      <c r="B69" s="1" t="n">
        <v>17.6569766998291</v>
      </c>
      <c r="C69" s="2" t="n">
        <v>0.02577937649880096</v>
      </c>
      <c r="D69" s="1" t="n">
        <v>0.4551858501754504</v>
      </c>
    </row>
    <row r="70">
      <c r="A70" t="inlineStr">
        <is>
          <t>fish_proddif_1</t>
        </is>
      </c>
      <c r="B70" s="1" t="n">
        <v>8.764705657958984</v>
      </c>
      <c r="C70" s="2" t="n">
        <v>0.02420563549160671</v>
      </c>
      <c r="D70" s="1" t="n">
        <v>0.2121552703477782</v>
      </c>
    </row>
    <row r="71">
      <c r="A71" t="inlineStr">
        <is>
          <t>fish_proddif_2</t>
        </is>
      </c>
      <c r="B71" s="1" t="n">
        <v>27.9538459777832</v>
      </c>
      <c r="C71" s="2" t="n">
        <v>0.009742206235011991</v>
      </c>
      <c r="D71" s="1" t="n">
        <v>0.2723321325773244</v>
      </c>
    </row>
    <row r="72">
      <c r="A72" t="inlineStr">
        <is>
          <t>fish_inputdif</t>
        </is>
      </c>
      <c r="B72" s="1" t="n">
        <v>21.25</v>
      </c>
      <c r="C72" s="2" t="n">
        <v>0.001798561151079137</v>
      </c>
      <c r="D72" s="1" t="n">
        <v>0.03821942446043166</v>
      </c>
    </row>
    <row r="73">
      <c r="A73" t="inlineStr">
        <is>
          <t>fish_salesmain</t>
        </is>
      </c>
      <c r="B73" s="1" t="n">
        <v>14.38495540618896</v>
      </c>
      <c r="C73" s="2" t="n">
        <v>0.03387290167865707</v>
      </c>
      <c r="D73" s="1" t="n">
        <v>0.4872601801257053</v>
      </c>
    </row>
    <row r="74">
      <c r="A74" t="inlineStr">
        <is>
          <t>fish_salesdif_1</t>
        </is>
      </c>
      <c r="B74" s="1" t="n">
        <v>9.438053131103516</v>
      </c>
      <c r="C74" s="2" t="n">
        <v>0.03387290167865707</v>
      </c>
      <c r="D74" s="1" t="n">
        <v>0.3196942457478109</v>
      </c>
    </row>
    <row r="75">
      <c r="A75" t="inlineStr">
        <is>
          <t>fish_salesdif</t>
        </is>
      </c>
      <c r="B75" s="1" t="n">
        <v>27.76699066162109</v>
      </c>
      <c r="C75" s="2" t="n">
        <v>0.007718824940047961</v>
      </c>
      <c r="D75" s="1" t="n">
        <v>0.2143285400289997</v>
      </c>
    </row>
    <row r="76">
      <c r="A76" t="inlineStr">
        <is>
          <t>fish_salesprice</t>
        </is>
      </c>
      <c r="B76" s="1" t="n">
        <v>13.7057523727417</v>
      </c>
      <c r="C76" s="2" t="n">
        <v>0.03387290167865707</v>
      </c>
      <c r="D76" s="1" t="n">
        <v>0.4642536025539005</v>
      </c>
    </row>
    <row r="77">
      <c r="A77" t="inlineStr">
        <is>
          <t>fies</t>
        </is>
      </c>
      <c r="B77" s="1" t="n">
        <v>12.77690315246582</v>
      </c>
      <c r="C77" s="2" t="n">
        <v>1</v>
      </c>
      <c r="D77" s="1" t="n">
        <v>12.77690315246582</v>
      </c>
    </row>
    <row r="78">
      <c r="A78" t="inlineStr">
        <is>
          <t>fies_worried</t>
        </is>
      </c>
      <c r="B78" s="1" t="n">
        <v>21.39860534667969</v>
      </c>
      <c r="C78" s="2" t="n">
        <v>1</v>
      </c>
      <c r="D78" s="1" t="n">
        <v>21.39860534667969</v>
      </c>
    </row>
    <row r="79">
      <c r="A79" t="inlineStr">
        <is>
          <t>fies_healthy</t>
        </is>
      </c>
      <c r="B79" s="1" t="n">
        <v>14.98074054718018</v>
      </c>
      <c r="C79" s="2" t="n">
        <v>1</v>
      </c>
      <c r="D79" s="1" t="n">
        <v>14.98074054718018</v>
      </c>
    </row>
    <row r="80">
      <c r="A80" t="inlineStr">
        <is>
          <t>fies_fewfoods</t>
        </is>
      </c>
      <c r="B80" s="1" t="n">
        <v>13.72302150726318</v>
      </c>
      <c r="C80" s="2" t="n">
        <v>1</v>
      </c>
      <c r="D80" s="1" t="n">
        <v>13.72302150726318</v>
      </c>
    </row>
    <row r="81">
      <c r="A81" t="inlineStr">
        <is>
          <t>fies_skipped</t>
        </is>
      </c>
      <c r="B81" s="1" t="n">
        <v>13.06220054626465</v>
      </c>
      <c r="C81" s="2" t="n">
        <v>1</v>
      </c>
      <c r="D81" s="1" t="n">
        <v>13.06220054626465</v>
      </c>
    </row>
    <row r="82">
      <c r="A82" t="inlineStr">
        <is>
          <t>fies_ateless</t>
        </is>
      </c>
      <c r="B82" s="1" t="n">
        <v>13.09532356262207</v>
      </c>
      <c r="C82" s="2" t="n">
        <v>1</v>
      </c>
      <c r="D82" s="1" t="n">
        <v>13.09532356262207</v>
      </c>
    </row>
    <row r="83">
      <c r="A83" t="inlineStr">
        <is>
          <t>fies_ranout</t>
        </is>
      </c>
      <c r="B83" s="1" t="n">
        <v>16.10101918465228</v>
      </c>
      <c r="C83" s="2" t="n">
        <v>1</v>
      </c>
      <c r="D83" s="1" t="n">
        <v>16.10101918465228</v>
      </c>
    </row>
    <row r="84">
      <c r="A84" t="inlineStr">
        <is>
          <t>fies_ranout_hhs</t>
        </is>
      </c>
      <c r="B84" s="1" t="n">
        <v>11.76504325866699</v>
      </c>
      <c r="C84" s="2" t="n">
        <v>0.3262889688249401</v>
      </c>
      <c r="D84" s="1" t="n">
        <v>3.838803833051266</v>
      </c>
    </row>
    <row r="85">
      <c r="A85" t="inlineStr">
        <is>
          <t>fies_hungry</t>
        </is>
      </c>
      <c r="B85" s="1" t="n">
        <v>12.43247890472412</v>
      </c>
      <c r="C85" s="2" t="n">
        <v>1</v>
      </c>
      <c r="D85" s="1" t="n">
        <v>12.43247890472412</v>
      </c>
    </row>
    <row r="86">
      <c r="A86" t="inlineStr">
        <is>
          <t>fies_hungry_hhs</t>
        </is>
      </c>
      <c r="B86" s="1" t="n">
        <v>8.980183601379395</v>
      </c>
      <c r="C86" s="2" t="n">
        <v>0.2533723021582734</v>
      </c>
      <c r="D86" s="1" t="n">
        <v>2.275329792885472</v>
      </c>
    </row>
    <row r="87">
      <c r="A87" t="inlineStr">
        <is>
          <t>fies_whlday</t>
        </is>
      </c>
      <c r="B87" s="1" t="n">
        <v>11.08932876586914</v>
      </c>
      <c r="C87" s="2" t="n">
        <v>1</v>
      </c>
      <c r="D87" s="1" t="n">
        <v>11.08932876586914</v>
      </c>
    </row>
    <row r="88">
      <c r="A88" t="inlineStr">
        <is>
          <t>fies_whlday_hhs</t>
        </is>
      </c>
      <c r="B88" s="1" t="n">
        <v>8.06833553314209</v>
      </c>
      <c r="C88" s="2" t="n">
        <v>0.143660071942446</v>
      </c>
      <c r="D88" s="1" t="n">
        <v>1.159097663146986</v>
      </c>
    </row>
    <row r="89">
      <c r="A89" t="inlineStr">
        <is>
          <t>copingstrategies</t>
        </is>
      </c>
      <c r="B89" s="1" t="n">
        <v>5.711253643035889</v>
      </c>
      <c r="C89" s="2" t="n">
        <v>0.8050809352517986</v>
      </c>
      <c r="D89" s="1" t="n">
        <v>4.598021424395575</v>
      </c>
    </row>
    <row r="90">
      <c r="A90" t="inlineStr">
        <is>
          <t>cs_stress_hh_assets</t>
        </is>
      </c>
      <c r="B90" s="1" t="n">
        <v>19.85153007507324</v>
      </c>
      <c r="C90" s="2" t="n">
        <v>0.3109262589928057</v>
      </c>
      <c r="D90" s="1" t="n">
        <v>6.172361981525695</v>
      </c>
    </row>
    <row r="91">
      <c r="A91" t="inlineStr">
        <is>
          <t>cs_stress_spent_savings</t>
        </is>
      </c>
      <c r="B91" s="1" t="n">
        <v>15.43667125701904</v>
      </c>
      <c r="C91" s="2" t="n">
        <v>0.7969874100719424</v>
      </c>
      <c r="D91" s="1" t="n">
        <v>12.3028326452636</v>
      </c>
    </row>
    <row r="92">
      <c r="A92" t="inlineStr">
        <is>
          <t>cs_stress_credit</t>
        </is>
      </c>
      <c r="B92" s="1" t="n">
        <v>12.4080867767334</v>
      </c>
      <c r="C92" s="2" t="n">
        <v>0.7969874100719424</v>
      </c>
      <c r="D92" s="1" t="n">
        <v>9.889088944136667</v>
      </c>
    </row>
    <row r="93">
      <c r="A93" t="inlineStr">
        <is>
          <t>cs_stress_borrowed_money</t>
        </is>
      </c>
      <c r="B93" s="1" t="n">
        <v>9.289467811584473</v>
      </c>
      <c r="C93" s="2" t="n">
        <v>0.3109262589928057</v>
      </c>
      <c r="D93" s="1" t="n">
        <v>2.888339474690046</v>
      </c>
    </row>
    <row r="94">
      <c r="A94" t="inlineStr">
        <is>
          <t>cs_crisis_sold_productive_asset</t>
        </is>
      </c>
      <c r="B94" s="1" t="n">
        <v>15.05952072143555</v>
      </c>
      <c r="C94" s="2" t="n">
        <v>0.7969874100719424</v>
      </c>
      <c r="D94" s="1" t="n">
        <v>12.00224841670167</v>
      </c>
    </row>
    <row r="95">
      <c r="A95" t="inlineStr">
        <is>
          <t>cs_crisis_reduced_health_exp</t>
        </is>
      </c>
      <c r="B95" s="1" t="n">
        <v>15.54398632049561</v>
      </c>
      <c r="C95" s="2" t="n">
        <v>0.3109262589928057</v>
      </c>
      <c r="D95" s="1" t="n">
        <v>4.833033516467046</v>
      </c>
    </row>
    <row r="96">
      <c r="A96" t="inlineStr">
        <is>
          <t>cs_crisis_consumed_seed_stocks</t>
        </is>
      </c>
      <c r="B96" s="1" t="n">
        <v>12.99618148803711</v>
      </c>
      <c r="C96" s="2" t="n">
        <v>0.7850719424460432</v>
      </c>
      <c r="D96" s="1" t="n">
        <v>10.2029374451946</v>
      </c>
    </row>
    <row r="97">
      <c r="A97" t="inlineStr">
        <is>
          <t>cs_emergency_sold_house</t>
        </is>
      </c>
      <c r="B97" s="1" t="n">
        <v>10.66811275482178</v>
      </c>
      <c r="C97" s="2" t="n">
        <v>0.3109262589928057</v>
      </c>
      <c r="D97" s="1" t="n">
        <v>3.31699638937017</v>
      </c>
    </row>
    <row r="98">
      <c r="A98" t="inlineStr">
        <is>
          <t>cs_emergency_begged</t>
        </is>
      </c>
      <c r="B98" s="1" t="n">
        <v>9.716710090637207</v>
      </c>
      <c r="C98" s="2" t="n">
        <v>0.4327787769784173</v>
      </c>
      <c r="D98" s="1" t="n">
        <v>4.205185909279816</v>
      </c>
    </row>
    <row r="99">
      <c r="A99" t="inlineStr">
        <is>
          <t>cs_emergency_illegal</t>
        </is>
      </c>
      <c r="B99" s="1" t="n">
        <v>10.95336532592773</v>
      </c>
      <c r="C99" s="2" t="n">
        <v>0.6379646282973621</v>
      </c>
      <c r="D99" s="1" t="n">
        <v>6.987859638760701</v>
      </c>
    </row>
    <row r="100">
      <c r="A100" t="inlineStr">
        <is>
          <t>cs_emergency_sold_last_female</t>
        </is>
      </c>
      <c r="B100" s="1" t="n">
        <v>10.11413192749023</v>
      </c>
      <c r="C100" s="2" t="n">
        <v>0.2370353717026379</v>
      </c>
      <c r="D100" s="1" t="n">
        <v>2.397407020882165</v>
      </c>
    </row>
    <row r="101">
      <c r="A101" t="inlineStr">
        <is>
          <t>cs_emergency_sold_till</t>
        </is>
      </c>
      <c r="B101" s="1" t="n">
        <v>3.657512187957764</v>
      </c>
      <c r="C101" s="2" t="n">
        <v>0.0463878896882494</v>
      </c>
      <c r="D101" s="1" t="n">
        <v>0.1696642719084125</v>
      </c>
    </row>
    <row r="102">
      <c r="A102" t="inlineStr">
        <is>
          <t>cs_emergency_hh_migration</t>
        </is>
      </c>
      <c r="B102" s="1" t="n">
        <v>10.86770534515381</v>
      </c>
      <c r="C102" s="2" t="n">
        <v>0.7936151079136691</v>
      </c>
      <c r="D102" s="1" t="n">
        <v>8.624775150268198</v>
      </c>
    </row>
    <row r="103">
      <c r="A103" t="inlineStr">
        <is>
          <t>food_exp</t>
        </is>
      </c>
      <c r="B103" s="1" t="n">
        <v>21.53330039978027</v>
      </c>
      <c r="C103" s="2" t="n">
        <v>0.1519034772182254</v>
      </c>
      <c r="D103" s="1" t="n">
        <v>3.270983206711227</v>
      </c>
    </row>
    <row r="104">
      <c r="A104" t="inlineStr">
        <is>
          <t>hdds</t>
        </is>
      </c>
      <c r="B104" s="1" t="n">
        <v>72.29513549804688</v>
      </c>
      <c r="C104" s="2" t="n">
        <v>0.8409772182254197</v>
      </c>
      <c r="D104" s="1" t="n">
        <v>60.79856194237725</v>
      </c>
    </row>
    <row r="105">
      <c r="A105" t="inlineStr">
        <is>
          <t>hdds_confirmation</t>
        </is>
      </c>
      <c r="B105" s="1" t="n">
        <v>3.705221891403198</v>
      </c>
      <c r="C105" s="2" t="n">
        <v>0.8409772182254197</v>
      </c>
      <c r="D105" s="1" t="n">
        <v>3.11600719914019</v>
      </c>
    </row>
    <row r="106">
      <c r="A106" t="inlineStr">
        <is>
          <t>mdds_w</t>
        </is>
      </c>
      <c r="B106" s="1" t="n">
        <v>2.702905893325806</v>
      </c>
      <c r="C106" s="2" t="n">
        <v>0.1495803357314149</v>
      </c>
      <c r="D106" s="1" t="n">
        <v>0.4043015709740939</v>
      </c>
    </row>
    <row r="107">
      <c r="A107" t="inlineStr">
        <is>
          <t>mdds_w1</t>
        </is>
      </c>
      <c r="B107" s="1" t="n">
        <v>18.14660263061523</v>
      </c>
      <c r="C107" s="2" t="n">
        <v>0.06287470023980815</v>
      </c>
      <c r="D107" s="1" t="n">
        <v>1.140962200770847</v>
      </c>
    </row>
    <row r="108">
      <c r="A108" t="inlineStr">
        <is>
          <t>mdds_w2</t>
        </is>
      </c>
      <c r="B108" s="1" t="n">
        <v>14.3241138458252</v>
      </c>
      <c r="C108" s="2" t="n">
        <v>0.08670563549160672</v>
      </c>
      <c r="D108" s="1" t="n">
        <v>1.241981393856396</v>
      </c>
    </row>
    <row r="109">
      <c r="A109" t="inlineStr">
        <is>
          <t>mdds_w3</t>
        </is>
      </c>
      <c r="B109" s="1" t="n">
        <v>7.969749450683594</v>
      </c>
      <c r="C109" s="2" t="n">
        <v>0.08670563549160672</v>
      </c>
      <c r="D109" s="1" t="n">
        <v>0.6910221908304045</v>
      </c>
    </row>
    <row r="110">
      <c r="A110" t="inlineStr">
        <is>
          <t>mdds_w4</t>
        </is>
      </c>
      <c r="B110" s="1" t="n">
        <v>7.60927152633667</v>
      </c>
      <c r="C110" s="2" t="n">
        <v>0.0339478417266187</v>
      </c>
      <c r="D110" s="1" t="n">
        <v>0.2583183454309436</v>
      </c>
    </row>
    <row r="111">
      <c r="A111" t="inlineStr">
        <is>
          <t>mdds_w5</t>
        </is>
      </c>
      <c r="B111" s="1" t="n">
        <v>7.341614723205566</v>
      </c>
      <c r="C111" s="2" t="n">
        <v>0.01206534772182254</v>
      </c>
      <c r="D111" s="1" t="n">
        <v>0.08857913447512711</v>
      </c>
    </row>
    <row r="112">
      <c r="A112" t="inlineStr">
        <is>
          <t>mdds_w6</t>
        </is>
      </c>
      <c r="B112" s="1" t="n">
        <v>7.516666889190674</v>
      </c>
      <c r="C112" s="2" t="n">
        <v>0.004496402877697842</v>
      </c>
      <c r="D112" s="1" t="n">
        <v>0.03379796263125303</v>
      </c>
    </row>
    <row r="113">
      <c r="A113" t="inlineStr">
        <is>
          <t>mdds_w7</t>
        </is>
      </c>
      <c r="B113" s="1" t="n">
        <v>8.307692527770996</v>
      </c>
      <c r="C113" s="2" t="n">
        <v>0.001948441247002398</v>
      </c>
      <c r="D113" s="1" t="n">
        <v>0.01618705078852262</v>
      </c>
    </row>
    <row r="114">
      <c r="A114" t="inlineStr">
        <is>
          <t>mdds_w8</t>
        </is>
      </c>
      <c r="B114" s="1" t="n">
        <v>7.769230842590332</v>
      </c>
      <c r="C114" s="2" t="n">
        <v>0.0009742206235011991</v>
      </c>
      <c r="D114" s="1" t="n">
        <v>0.0075689449155931</v>
      </c>
    </row>
    <row r="115">
      <c r="A115" t="inlineStr">
        <is>
          <t>mdds_w9</t>
        </is>
      </c>
      <c r="B115" s="1" t="n">
        <v>9.333333015441895</v>
      </c>
      <c r="C115" s="2" t="n">
        <v>0.0004496402877697842</v>
      </c>
      <c r="D115" s="1" t="n">
        <v>0.004196642542914521</v>
      </c>
    </row>
    <row r="116">
      <c r="A116" t="inlineStr">
        <is>
          <t>mdds_w10</t>
        </is>
      </c>
      <c r="B116" s="1" t="n">
        <v>6.199999809265137</v>
      </c>
      <c r="C116" s="2" t="n">
        <v>0.0003747002398081535</v>
      </c>
      <c r="D116" s="1" t="n">
        <v>0.002323141415342153</v>
      </c>
    </row>
    <row r="117">
      <c r="A117" t="inlineStr">
        <is>
          <t>mdds_w11</t>
        </is>
      </c>
      <c r="B117" s="1" t="n">
        <v>15.66666698455811</v>
      </c>
      <c r="C117" s="2" t="n">
        <v>0.0002248201438848921</v>
      </c>
      <c r="D117" s="1" t="n">
        <v>0.003522182325665042</v>
      </c>
    </row>
    <row r="118">
      <c r="A118" t="inlineStr">
        <is>
          <t>need_1</t>
        </is>
      </c>
      <c r="B118" s="1" t="n">
        <v>19.82824516296387</v>
      </c>
      <c r="C118" s="2" t="n">
        <v>0.6309202637889688</v>
      </c>
      <c r="D118" s="1" t="n">
        <v>12.51004166868951</v>
      </c>
    </row>
    <row r="119">
      <c r="A119" t="inlineStr">
        <is>
          <t>need_2</t>
        </is>
      </c>
      <c r="B119" s="1" t="n">
        <v>49.52969360351562</v>
      </c>
      <c r="C119" s="2" t="n">
        <v>0.6738609112709832</v>
      </c>
      <c r="D119" s="1" t="n">
        <v>33.37612446663763</v>
      </c>
    </row>
    <row r="120">
      <c r="A120" t="inlineStr">
        <is>
          <t>info_needs</t>
        </is>
      </c>
      <c r="B120" s="1" t="n">
        <v>10.34935474395752</v>
      </c>
      <c r="C120" s="2" t="n">
        <v>0.06392386091127099</v>
      </c>
      <c r="D120" s="1" t="n">
        <v>0.6615707131741431</v>
      </c>
    </row>
    <row r="121">
      <c r="A121" t="inlineStr">
        <is>
          <t>info_needstype</t>
        </is>
      </c>
      <c r="B121" s="1" t="n">
        <v>9.912161827087402</v>
      </c>
      <c r="C121" s="2" t="n">
        <v>0.02218225419664269</v>
      </c>
      <c r="D121" s="1" t="n">
        <v>0.219874093286711</v>
      </c>
    </row>
    <row r="122">
      <c r="A122" t="inlineStr">
        <is>
          <t>info_needsmedium</t>
        </is>
      </c>
      <c r="B122" s="1" t="n">
        <v>12.81756782531738</v>
      </c>
      <c r="C122" s="2" t="n">
        <v>0.02218225419664269</v>
      </c>
      <c r="D122" s="1" t="n">
        <v>0.2843225476838988</v>
      </c>
    </row>
    <row r="123">
      <c r="A123" t="inlineStr">
        <is>
          <t>need_received</t>
        </is>
      </c>
      <c r="B123" s="1" t="n">
        <v>22.02975082397461</v>
      </c>
      <c r="C123" s="2" t="n">
        <v>1</v>
      </c>
      <c r="D123" s="1" t="n">
        <v>22.02975082397461</v>
      </c>
    </row>
    <row r="124">
      <c r="A124" t="inlineStr">
        <is>
          <t>callback</t>
        </is>
      </c>
      <c r="B124" s="1" t="n">
        <v>36.78304672241211</v>
      </c>
      <c r="C124" s="2" t="n">
        <v>1</v>
      </c>
      <c r="D124" s="1" t="n">
        <v>36.78304672241211</v>
      </c>
    </row>
    <row r="125">
      <c r="A125" t="inlineStr">
        <is>
          <t>hh_wealth_light</t>
        </is>
      </c>
      <c r="B125" s="1" t="n">
        <v>13.76013851165771</v>
      </c>
      <c r="C125" s="2" t="n">
        <v>0.2808752997601918</v>
      </c>
      <c r="D125" s="1" t="n">
        <v>3.86488302920362</v>
      </c>
    </row>
    <row r="126">
      <c r="A126" t="inlineStr">
        <is>
          <t>cs_stress_sold_more_animals</t>
        </is>
      </c>
      <c r="B126" s="1" t="n">
        <v>13.39993858337402</v>
      </c>
      <c r="C126" s="2" t="n">
        <v>0.4860611510791367</v>
      </c>
      <c r="D126" s="1" t="n">
        <v>6.513189572224514</v>
      </c>
    </row>
    <row r="127">
      <c r="A127" t="inlineStr">
        <is>
          <t>cs_stress_eat_elsewhere</t>
        </is>
      </c>
      <c r="B127" s="1" t="n">
        <v>14.62593364715576</v>
      </c>
      <c r="C127" s="2" t="n">
        <v>0.2808752997601918</v>
      </c>
      <c r="D127" s="1" t="n">
        <v>4.10806349741755</v>
      </c>
    </row>
    <row r="128">
      <c r="A128" t="inlineStr">
        <is>
          <t>cs_crisis_decr_agric_input_exp</t>
        </is>
      </c>
      <c r="B128" s="1" t="n">
        <v>14.75238990783691</v>
      </c>
      <c r="C128" s="2" t="n">
        <v>0.4860611510791367</v>
      </c>
      <c r="D128" s="1" t="n">
        <v>7.17056361977145</v>
      </c>
    </row>
    <row r="129">
      <c r="A129" t="inlineStr">
        <is>
          <t>covid_assistance</t>
        </is>
      </c>
      <c r="B129" s="1" t="n">
        <v>14.0825023651123</v>
      </c>
      <c r="C129" s="2" t="n">
        <v>0.1653177458033573</v>
      </c>
      <c r="D129" s="1" t="n">
        <v>2.328087546270814</v>
      </c>
    </row>
    <row r="130">
      <c r="A130" t="inlineStr">
        <is>
          <t>what_covid_assistance</t>
        </is>
      </c>
      <c r="B130" s="1" t="n">
        <v>15.48122882843018</v>
      </c>
      <c r="C130" s="2" t="n">
        <v>0.02195743405275779</v>
      </c>
      <c r="D130" s="1" t="n">
        <v>0.3399280610559084</v>
      </c>
    </row>
    <row r="131">
      <c r="A131" t="inlineStr">
        <is>
          <t>resp_language</t>
        </is>
      </c>
      <c r="B131" s="1" t="n">
        <v>3.062232494354248</v>
      </c>
      <c r="C131" s="2" t="n">
        <v>0.6827787769784173</v>
      </c>
      <c r="D131" s="1" t="n">
        <v>2.090827357318762</v>
      </c>
    </row>
    <row r="132">
      <c r="A132" t="inlineStr">
        <is>
          <t>ruralurban</t>
        </is>
      </c>
      <c r="B132" s="1" t="n">
        <v>10.03063106536865</v>
      </c>
      <c r="C132" s="2" t="n">
        <v>0.1590227817745803</v>
      </c>
      <c r="D132" s="1" t="n">
        <v>1.595098854969446</v>
      </c>
    </row>
    <row r="133">
      <c r="A133" t="inlineStr">
        <is>
          <t>formal_informal</t>
        </is>
      </c>
      <c r="B133" s="1" t="n">
        <v>11.38066482543945</v>
      </c>
      <c r="C133" s="2" t="n">
        <v>0.02480515587529976</v>
      </c>
      <c r="D133" s="1" t="n">
        <v>0.2822991649595668</v>
      </c>
    </row>
    <row r="134">
      <c r="A134" t="inlineStr">
        <is>
          <t>hh_residencetype</t>
        </is>
      </c>
      <c r="B134" s="1" t="n">
        <v>30.64618873596191</v>
      </c>
      <c r="C134" s="2" t="n">
        <v>0.5672212230215827</v>
      </c>
      <c r="D134" s="1" t="n">
        <v>17.38316865576257</v>
      </c>
    </row>
    <row r="135">
      <c r="A135" t="inlineStr">
        <is>
          <t>hhsize04</t>
        </is>
      </c>
      <c r="B135" s="1" t="n">
        <v>10.11262989044189</v>
      </c>
      <c r="C135" s="2" t="n">
        <v>0.1590227817745803</v>
      </c>
      <c r="D135" s="1" t="n">
        <v>1.60813853623484</v>
      </c>
    </row>
    <row r="136">
      <c r="A136" t="inlineStr">
        <is>
          <t>hhdisability</t>
        </is>
      </c>
      <c r="B136" s="1" t="n">
        <v>13.9000940322876</v>
      </c>
      <c r="C136" s="2" t="n">
        <v>0.1590227817745803</v>
      </c>
      <c r="D136" s="1" t="n">
        <v>2.210431619942617</v>
      </c>
    </row>
    <row r="137">
      <c r="A137" t="inlineStr">
        <is>
          <t>hh_age</t>
        </is>
      </c>
      <c r="B137" s="1" t="n">
        <v>8.228806495666504</v>
      </c>
      <c r="C137" s="2" t="n">
        <v>0.3642086330935252</v>
      </c>
      <c r="D137" s="1" t="n">
        <v>2.997002365777818</v>
      </c>
    </row>
    <row r="138">
      <c r="A138" t="inlineStr">
        <is>
          <t>hhincearners</t>
        </is>
      </c>
      <c r="B138" s="1" t="n">
        <v>32.26673126220703</v>
      </c>
      <c r="C138" s="2" t="n">
        <v>0.1590227817745803</v>
      </c>
      <c r="D138" s="1" t="n">
        <v>5.131145364088979</v>
      </c>
    </row>
    <row r="139">
      <c r="A139" t="inlineStr">
        <is>
          <t>incomechangereduced</t>
        </is>
      </c>
      <c r="B139" s="1" t="n">
        <v>11.01242256164551</v>
      </c>
      <c r="C139" s="2" t="n">
        <v>0.0844574340527578</v>
      </c>
      <c r="D139" s="1" t="n">
        <v>0.9300809522612775</v>
      </c>
    </row>
    <row r="140">
      <c r="A140" t="inlineStr">
        <is>
          <t>hhexptotal30d</t>
        </is>
      </c>
      <c r="B140" s="1" t="n">
        <v>59.44533538818359</v>
      </c>
      <c r="C140" s="2" t="n">
        <v>0.1590227817745803</v>
      </c>
      <c r="D140" s="1" t="n">
        <v>9.453162596951858</v>
      </c>
    </row>
    <row r="141">
      <c r="A141" t="inlineStr">
        <is>
          <t>expensefood30d</t>
        </is>
      </c>
      <c r="B141" s="1" t="n">
        <v>31.69651222229004</v>
      </c>
      <c r="C141" s="2" t="n">
        <v>0.1590227817745803</v>
      </c>
      <c r="D141" s="1" t="n">
        <v>5.040467546140547</v>
      </c>
    </row>
    <row r="142">
      <c r="A142" t="inlineStr">
        <is>
          <t>cropdifficultyunrest</t>
        </is>
      </c>
      <c r="B142" s="1" t="n">
        <v>18.78832054138184</v>
      </c>
      <c r="C142" s="2" t="n">
        <v>0.03080035971223022</v>
      </c>
      <c r="D142" s="1" t="n">
        <v>0.5786870310632445</v>
      </c>
    </row>
    <row r="143">
      <c r="A143" t="inlineStr">
        <is>
          <t>cropsalesdifficultyunrest</t>
        </is>
      </c>
      <c r="B143" s="1" t="n">
        <v>14.18000030517578</v>
      </c>
      <c r="C143" s="2" t="n">
        <v>0.0112410071942446</v>
      </c>
      <c r="D143" s="1" t="n">
        <v>0.1593974854448716</v>
      </c>
    </row>
    <row r="144">
      <c r="A144" t="inlineStr">
        <is>
          <t>lsdifficultyunrest</t>
        </is>
      </c>
      <c r="B144" s="1" t="n">
        <v>14.37356281280518</v>
      </c>
      <c r="C144" s="2" t="n">
        <v>0.01303956834532374</v>
      </c>
      <c r="D144" s="1" t="n">
        <v>0.1874250546633769</v>
      </c>
    </row>
    <row r="145">
      <c r="A145" t="inlineStr">
        <is>
          <t>ls_salesdifficultyunrest</t>
        </is>
      </c>
      <c r="B145" s="1" t="n">
        <v>13.63888931274414</v>
      </c>
      <c r="C145" s="2" t="n">
        <v>0.002697841726618705</v>
      </c>
      <c r="D145" s="1" t="n">
        <v>0.03679556469265505</v>
      </c>
    </row>
    <row r="146">
      <c r="A146" t="inlineStr">
        <is>
          <t>cs_crisis_no_school</t>
        </is>
      </c>
      <c r="B146" s="1" t="n">
        <v>15.40838527679443</v>
      </c>
      <c r="C146" s="2" t="n">
        <v>0.1447841726618705</v>
      </c>
      <c r="D146" s="1" t="n">
        <v>2.230890314356028</v>
      </c>
    </row>
    <row r="147">
      <c r="A147" t="inlineStr">
        <is>
          <t>cs_emergency_sold_last_drought</t>
        </is>
      </c>
      <c r="B147" s="1" t="n">
        <v>13.42893505096436</v>
      </c>
      <c r="C147" s="2" t="n">
        <v>0.1471073141486811</v>
      </c>
      <c r="D147" s="1" t="n">
        <v>1.975494567224448</v>
      </c>
    </row>
    <row r="148">
      <c r="A148" t="inlineStr">
        <is>
          <t>cs_emergency_hh_risk</t>
        </is>
      </c>
      <c r="B148" s="1" t="n">
        <v>16.11875534057617</v>
      </c>
      <c r="C148" s="2" t="n">
        <v>0.1590227817745803</v>
      </c>
      <c r="D148" s="1" t="n">
        <v>2.563249313002296</v>
      </c>
    </row>
    <row r="149">
      <c r="A149" t="inlineStr">
        <is>
          <t>wheremigration</t>
        </is>
      </c>
      <c r="B149" s="1" t="n">
        <v>24.20000076293945</v>
      </c>
      <c r="C149" s="2" t="n">
        <v>0.003372302158273381</v>
      </c>
      <c r="D149" s="1" t="n">
        <v>0.08160971480307819</v>
      </c>
    </row>
    <row r="150">
      <c r="A150" t="inlineStr">
        <is>
          <t>meals</t>
        </is>
      </c>
      <c r="B150" s="1" t="n">
        <v>15.13949108123779</v>
      </c>
      <c r="C150" s="2" t="n">
        <v>0.1590227817745803</v>
      </c>
      <c r="D150" s="1" t="n">
        <v>2.407523986389883</v>
      </c>
    </row>
    <row r="151">
      <c r="A151" t="inlineStr">
        <is>
          <t>fcsstap</t>
        </is>
      </c>
      <c r="B151" s="1" t="n">
        <v>17.90150833129883</v>
      </c>
      <c r="C151" s="2" t="n">
        <v>0.1590227817745803</v>
      </c>
      <c r="D151" s="1" t="n">
        <v>2.846747652803966</v>
      </c>
    </row>
    <row r="152">
      <c r="A152" t="inlineStr">
        <is>
          <t>fcspulse</t>
        </is>
      </c>
      <c r="B152" s="1" t="n">
        <v>27.1998119354248</v>
      </c>
      <c r="C152" s="2" t="n">
        <v>0.1590227817745803</v>
      </c>
      <c r="D152" s="1" t="n">
        <v>4.325389757716684</v>
      </c>
    </row>
    <row r="153">
      <c r="A153" t="inlineStr">
        <is>
          <t>fcsdairy</t>
        </is>
      </c>
      <c r="B153" s="1" t="n">
        <v>20.64844512939453</v>
      </c>
      <c r="C153" s="2" t="n">
        <v>0.1590227817745803</v>
      </c>
      <c r="D153" s="1" t="n">
        <v>3.283573183796103</v>
      </c>
    </row>
    <row r="154">
      <c r="A154" t="inlineStr">
        <is>
          <t>fcspr</t>
        </is>
      </c>
      <c r="B154" s="1" t="n">
        <v>55.30207443237305</v>
      </c>
      <c r="C154" s="2" t="n">
        <v>0.1590227817745803</v>
      </c>
      <c r="D154" s="1" t="n">
        <v>8.794289714140858</v>
      </c>
    </row>
    <row r="155">
      <c r="A155" t="inlineStr">
        <is>
          <t>fcsveg</t>
        </is>
      </c>
      <c r="B155" s="1" t="n">
        <v>24.5004711151123</v>
      </c>
      <c r="C155" s="2" t="n">
        <v>0.1590227817745803</v>
      </c>
      <c r="D155" s="1" t="n">
        <v>3.896133071512913</v>
      </c>
    </row>
    <row r="156">
      <c r="A156" t="inlineStr">
        <is>
          <t>fcsfruit</t>
        </is>
      </c>
      <c r="B156" s="1" t="n">
        <v>24.92459869384766</v>
      </c>
      <c r="C156" s="2" t="n">
        <v>0.1590227817745803</v>
      </c>
      <c r="D156" s="1" t="n">
        <v>3.963579018910726</v>
      </c>
    </row>
    <row r="157">
      <c r="A157" t="inlineStr">
        <is>
          <t>fcsfat</t>
        </is>
      </c>
      <c r="B157" s="1" t="n">
        <v>17.52591896057129</v>
      </c>
      <c r="C157" s="2" t="n">
        <v>0.1590227817745803</v>
      </c>
      <c r="D157" s="1" t="n">
        <v>2.787020386265908</v>
      </c>
    </row>
    <row r="158">
      <c r="A158" t="inlineStr">
        <is>
          <t>fcssugar</t>
        </is>
      </c>
      <c r="B158" s="1" t="n">
        <v>28.03440093994141</v>
      </c>
      <c r="C158" s="2" t="n">
        <v>0.1590227817745803</v>
      </c>
      <c r="D158" s="1" t="n">
        <v>4.458108422853392</v>
      </c>
    </row>
    <row r="159">
      <c r="A159" t="inlineStr">
        <is>
          <t>accessmarket</t>
        </is>
      </c>
      <c r="B159" s="1" t="n">
        <v>15.68897247314453</v>
      </c>
      <c r="C159" s="2" t="n">
        <v>0.1590227817745803</v>
      </c>
      <c r="D159" s="1" t="n">
        <v>2.494904045864261</v>
      </c>
    </row>
    <row r="160">
      <c r="A160" t="inlineStr">
        <is>
          <t>sourcewater</t>
        </is>
      </c>
      <c r="B160" s="1" t="n">
        <v>21.18803024291992</v>
      </c>
      <c r="C160" s="2" t="n">
        <v>0.1590227817745803</v>
      </c>
      <c r="D160" s="1" t="n">
        <v>3.369379509553063</v>
      </c>
    </row>
    <row r="161">
      <c r="A161" t="inlineStr">
        <is>
          <t>othersourcewater</t>
        </is>
      </c>
      <c r="B161" s="1" t="n">
        <v>10.56944465637207</v>
      </c>
      <c r="C161" s="2" t="n">
        <v>0.00539568345323741</v>
      </c>
      <c r="D161" s="1" t="n">
        <v>0.05702937764229535</v>
      </c>
    </row>
    <row r="162">
      <c r="A162" t="inlineStr">
        <is>
          <t>language2</t>
        </is>
      </c>
      <c r="B162" s="1" t="n">
        <v>17.50784683227539</v>
      </c>
      <c r="C162" s="2" t="n">
        <v>0.6827787769784173</v>
      </c>
      <c r="D162" s="1" t="n">
        <v>11.95398624766645</v>
      </c>
    </row>
    <row r="163">
      <c r="A163" t="inlineStr">
        <is>
          <t>resp_agree</t>
        </is>
      </c>
      <c r="B163" s="1" t="n">
        <v>4.624076843261719</v>
      </c>
      <c r="C163" s="2" t="n">
        <v>0.2029376498800959</v>
      </c>
      <c r="D163" s="1" t="n">
        <v>0.9383992874365058</v>
      </c>
    </row>
    <row r="164">
      <c r="A164" t="inlineStr">
        <is>
          <t>adm1_name</t>
        </is>
      </c>
      <c r="B164" s="1" t="n">
        <v>10.74381732940674</v>
      </c>
      <c r="C164" s="2" t="n">
        <v>0.2030125899280575</v>
      </c>
      <c r="D164" s="1" t="n">
        <v>2.181130181756808</v>
      </c>
    </row>
    <row r="165">
      <c r="A165" t="inlineStr">
        <is>
          <t>adm2_name</t>
        </is>
      </c>
      <c r="B165" s="1" t="n"/>
      <c r="C165" s="2" t="n">
        <v>0</v>
      </c>
      <c r="D165" s="1" t="n">
        <v>0</v>
      </c>
    </row>
    <row r="166">
      <c r="A166" t="inlineStr">
        <is>
          <t>covid</t>
        </is>
      </c>
      <c r="B166" s="1" t="n">
        <v>56.47102355957031</v>
      </c>
      <c r="C166" s="2" t="n">
        <v>0.2030125899280575</v>
      </c>
      <c r="D166" s="1" t="n">
        <v>11.46432874871672</v>
      </c>
    </row>
    <row r="167">
      <c r="A167" t="inlineStr">
        <is>
          <t>crp_landright</t>
        </is>
      </c>
      <c r="B167" s="1" t="n">
        <v>31</v>
      </c>
      <c r="C167" s="2" t="n">
        <v>0.004046762589928058</v>
      </c>
      <c r="D167" s="1" t="n">
        <v>0.1254496402877698</v>
      </c>
    </row>
    <row r="168">
      <c r="A168" t="inlineStr">
        <is>
          <t>crp_seed</t>
        </is>
      </c>
      <c r="B168" s="1" t="n">
        <v>30.83333396911621</v>
      </c>
      <c r="C168" s="2" t="n">
        <v>0.004046762589928058</v>
      </c>
      <c r="D168" s="1" t="n">
        <v>0.1247751824289775</v>
      </c>
    </row>
    <row r="169">
      <c r="A169" t="inlineStr">
        <is>
          <t>crp_proddif</t>
        </is>
      </c>
      <c r="B169" s="1" t="n">
        <v>16.88298606872559</v>
      </c>
      <c r="C169" s="2" t="n">
        <v>0.1184802158273381</v>
      </c>
      <c r="D169" s="1" t="n">
        <v>2.00029983323255</v>
      </c>
    </row>
    <row r="170">
      <c r="A170" t="inlineStr">
        <is>
          <t>crp_salesdif</t>
        </is>
      </c>
      <c r="B170" s="1" t="n">
        <v>16.82699012756348</v>
      </c>
      <c r="C170" s="2" t="n">
        <v>0.08663069544364509</v>
      </c>
      <c r="D170" s="1" t="n">
        <v>1.457733856974174</v>
      </c>
    </row>
    <row r="171">
      <c r="A171" t="inlineStr">
        <is>
          <t>crp_saledif_2</t>
        </is>
      </c>
      <c r="B171" s="1" t="n">
        <v>39.48687362670898</v>
      </c>
      <c r="C171" s="2" t="n">
        <v>0.03139988009592326</v>
      </c>
      <c r="D171" s="1" t="n">
        <v>1.239883097241537</v>
      </c>
    </row>
    <row r="172">
      <c r="A172" t="inlineStr">
        <is>
          <t>ls_proddif</t>
        </is>
      </c>
      <c r="B172" s="1" t="n">
        <v>15.9380989074707</v>
      </c>
      <c r="C172" s="2" t="n">
        <v>0.1016936450839329</v>
      </c>
      <c r="D172" s="1" t="n">
        <v>1.620803373608944</v>
      </c>
    </row>
    <row r="173">
      <c r="A173" t="inlineStr">
        <is>
          <t>ls_salesdif</t>
        </is>
      </c>
      <c r="B173" s="1" t="n">
        <v>13.33085536956787</v>
      </c>
      <c r="C173" s="2" t="n">
        <v>0.06047661870503597</v>
      </c>
      <c r="D173" s="1" t="n">
        <v>0.8062050571973375</v>
      </c>
    </row>
    <row r="174">
      <c r="A174" t="inlineStr">
        <is>
          <t>ls_proc</t>
        </is>
      </c>
      <c r="B174" s="1" t="n">
        <v>16.43765068054199</v>
      </c>
      <c r="C174" s="2" t="n">
        <v>0.0625</v>
      </c>
      <c r="D174" s="1" t="n">
        <v>1.027353167533875</v>
      </c>
    </row>
    <row r="175">
      <c r="A175" t="inlineStr">
        <is>
          <t>ls_proc_fac_state</t>
        </is>
      </c>
      <c r="B175" s="1" t="n">
        <v>8.666666984558105</v>
      </c>
      <c r="C175" s="2" t="n">
        <v>0.0006744604316546763</v>
      </c>
      <c r="D175" s="1" t="n">
        <v>0.005845323955412392</v>
      </c>
    </row>
    <row r="176">
      <c r="A176" t="inlineStr">
        <is>
          <t>fish_proddif</t>
        </is>
      </c>
      <c r="B176" s="1" t="n">
        <v>12.5238094329834</v>
      </c>
      <c r="C176" s="2" t="n">
        <v>0.001573741007194245</v>
      </c>
      <c r="D176" s="1" t="n">
        <v>0.01970923247097207</v>
      </c>
    </row>
    <row r="177">
      <c r="A177" t="inlineStr">
        <is>
          <t>cs_spentsavings</t>
        </is>
      </c>
      <c r="B177" s="1" t="n">
        <v>22.22018432617188</v>
      </c>
      <c r="C177" s="2" t="n">
        <v>0.008168465227817745</v>
      </c>
      <c r="D177" s="1" t="n">
        <v>0.1815048030240358</v>
      </c>
    </row>
    <row r="178">
      <c r="A178" t="inlineStr">
        <is>
          <t>cs_borrowmoney</t>
        </is>
      </c>
      <c r="B178" s="1" t="n">
        <v>12.88990783691406</v>
      </c>
      <c r="C178" s="2" t="n">
        <v>0.008168465227817745</v>
      </c>
      <c r="D178" s="1" t="n">
        <v>0.105290763955608</v>
      </c>
    </row>
    <row r="179">
      <c r="A179" t="inlineStr">
        <is>
          <t>cs_purchasedfoodcredit</t>
        </is>
      </c>
      <c r="B179" s="1" t="n">
        <v>14.84403705596924</v>
      </c>
      <c r="C179" s="2" t="n">
        <v>0.008168465227817745</v>
      </c>
      <c r="D179" s="1" t="n">
        <v>0.1212530005321228</v>
      </c>
    </row>
    <row r="180">
      <c r="A180" t="inlineStr">
        <is>
          <t>cs_soldhhassetsgoods</t>
        </is>
      </c>
      <c r="B180" s="1" t="n">
        <v>18.51376152038574</v>
      </c>
      <c r="C180" s="2" t="n">
        <v>0.008168465227817745</v>
      </c>
      <c r="D180" s="1" t="n">
        <v>0.1512290172153811</v>
      </c>
    </row>
    <row r="181">
      <c r="A181" t="inlineStr">
        <is>
          <t>cs_soldprodassets</t>
        </is>
      </c>
      <c r="B181" s="1" t="n">
        <v>16.88073348999023</v>
      </c>
      <c r="C181" s="2" t="n">
        <v>0.008168465227817745</v>
      </c>
      <c r="D181" s="1" t="n">
        <v>0.1378896845330437</v>
      </c>
    </row>
    <row r="182">
      <c r="A182" t="inlineStr">
        <is>
          <t>cs_eatplantingseeds</t>
        </is>
      </c>
      <c r="B182" s="1" t="n">
        <v>17.43119239807129</v>
      </c>
      <c r="C182" s="2" t="n">
        <v>0.008168465227817745</v>
      </c>
      <c r="D182" s="1" t="n">
        <v>0.1423860889830463</v>
      </c>
    </row>
    <row r="183">
      <c r="A183" t="inlineStr">
        <is>
          <t>cs_withdrewchild</t>
        </is>
      </c>
      <c r="B183" s="1" t="n">
        <v>14.11009216308594</v>
      </c>
      <c r="C183" s="2" t="n">
        <v>0.008168465227817745</v>
      </c>
      <c r="D183" s="1" t="n">
        <v>0.1152577971954712</v>
      </c>
    </row>
    <row r="184">
      <c r="A184" t="inlineStr">
        <is>
          <t>cs_soldlandhouse</t>
        </is>
      </c>
      <c r="B184" s="1" t="n">
        <v>15.25688076019287</v>
      </c>
      <c r="C184" s="2" t="n">
        <v>0.008168465227817745</v>
      </c>
      <c r="D184" s="1" t="n">
        <v>0.124625299974597</v>
      </c>
    </row>
    <row r="185">
      <c r="A185" t="inlineStr">
        <is>
          <t>cs_begging</t>
        </is>
      </c>
      <c r="B185" s="1" t="n">
        <v>12.28440380096436</v>
      </c>
      <c r="C185" s="2" t="n">
        <v>0.008168465227817745</v>
      </c>
      <c r="D185" s="1" t="n">
        <v>0.1003447252926495</v>
      </c>
    </row>
    <row r="186">
      <c r="A186" t="inlineStr">
        <is>
          <t>cs_soldfemanimals</t>
        </is>
      </c>
      <c r="B186" s="1" t="n">
        <v>12.57798194885254</v>
      </c>
      <c r="C186" s="2" t="n">
        <v>0.008168465227817745</v>
      </c>
      <c r="D186" s="1" t="n">
        <v>0.1027428081853212</v>
      </c>
    </row>
    <row r="187">
      <c r="A187" t="inlineStr">
        <is>
          <t>need</t>
        </is>
      </c>
      <c r="B187" s="1" t="n">
        <v>16.78225135803223</v>
      </c>
      <c r="C187" s="2" t="n">
        <v>0.1638189448441247</v>
      </c>
      <c r="D187" s="1" t="n">
        <v>2.749250709581718</v>
      </c>
    </row>
    <row r="188">
      <c r="A188" t="inlineStr">
        <is>
          <t>cs_stress_borrowed_or_helped</t>
        </is>
      </c>
      <c r="B188" s="1" t="n">
        <v>11.78780174255371</v>
      </c>
      <c r="C188" s="2" t="n">
        <v>0.2051858513189448</v>
      </c>
      <c r="D188" s="1" t="n">
        <v>2.418690135724824</v>
      </c>
    </row>
    <row r="189">
      <c r="A189" t="inlineStr">
        <is>
          <t>shock</t>
        </is>
      </c>
      <c r="B189" s="1" t="n">
        <v>46.24752807617188</v>
      </c>
      <c r="C189" s="2" t="n">
        <v>1</v>
      </c>
      <c r="D189" s="1" t="n">
        <v>46.24752807617188</v>
      </c>
    </row>
    <row r="190">
      <c r="A190" t="inlineStr">
        <is>
          <t>reasonsmigration</t>
        </is>
      </c>
      <c r="B190" s="1" t="n">
        <v>0.1537020355463028</v>
      </c>
      <c r="C190" s="2" t="n">
        <v>1</v>
      </c>
      <c r="D190" s="1" t="n">
        <v>0.1537020355463028</v>
      </c>
    </row>
    <row r="191">
      <c r="A191" t="inlineStr">
        <is>
          <t>need_received_agent</t>
        </is>
      </c>
      <c r="B191" s="1" t="n">
        <v>0.6796312928199768</v>
      </c>
      <c r="C191" s="2" t="n">
        <v>1</v>
      </c>
      <c r="D191" s="1" t="n">
        <v>0.6796312928199768</v>
      </c>
    </row>
    <row r="192">
      <c r="A192" t="inlineStr">
        <is>
          <t>crp_area_change_covid19</t>
        </is>
      </c>
      <c r="B192" s="1" t="n">
        <v>2.892535924911499</v>
      </c>
      <c r="C192" s="2" t="n">
        <v>1</v>
      </c>
      <c r="D192" s="1" t="n">
        <v>2.892535924911499</v>
      </c>
    </row>
    <row r="193">
      <c r="A193" t="inlineStr">
        <is>
          <t>ls_proddif_2_covid19</t>
        </is>
      </c>
      <c r="B193" s="1" t="n">
        <v>3.343824863433838</v>
      </c>
      <c r="C193" s="2" t="n">
        <v>1</v>
      </c>
      <c r="D193" s="1" t="n">
        <v>3.343824863433838</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92"/>
  <sheetViews>
    <sheetView workbookViewId="0">
      <selection activeCell="D14" sqref="D14"/>
    </sheetView>
  </sheetViews>
  <sheetFormatPr baseColWidth="8" defaultColWidth="8.7109375" defaultRowHeight="15" outlineLevelCol="0"/>
  <cols>
    <col width="22" bestFit="1" customWidth="1" min="1" max="1"/>
    <col width="15.140625" bestFit="1" customWidth="1" min="2" max="2"/>
    <col width="11.140625" bestFit="1" customWidth="1" min="3" max="3"/>
    <col width="17.28515625" bestFit="1" customWidth="1" min="4" max="4"/>
    <col width="11.140625" bestFit="1" customWidth="1" min="5" max="5"/>
    <col width="10.7109375" bestFit="1" customWidth="1" min="6" max="6"/>
    <col width="9.7109375" bestFit="1" customWidth="1" min="7" max="7"/>
  </cols>
  <sheetData>
    <row r="1">
      <c r="A1" s="55" t="inlineStr">
        <is>
          <t>adm2_name</t>
        </is>
      </c>
      <c r="B1" s="55" t="inlineStr">
        <is>
          <t>adm2_name_local</t>
        </is>
      </c>
      <c r="C1" s="55" t="inlineStr">
        <is>
          <t>adm2_pcode</t>
        </is>
      </c>
      <c r="D1" s="55" t="inlineStr">
        <is>
          <t>adm1_name</t>
        </is>
      </c>
      <c r="E1" s="55" t="inlineStr">
        <is>
          <t>adm1_pcode</t>
        </is>
      </c>
      <c r="F1" s="55" t="inlineStr">
        <is>
          <t>adm0_name</t>
        </is>
      </c>
      <c r="G1" s="55" t="inlineStr">
        <is>
          <t>adm0_ISO3</t>
        </is>
      </c>
    </row>
    <row r="2">
      <c r="A2" t="inlineStr">
        <is>
          <t>Beitbridge</t>
        </is>
      </c>
      <c r="B2" t="inlineStr">
        <is>
          <t xml:space="preserve"> </t>
        </is>
      </c>
      <c r="C2" t="inlineStr">
        <is>
          <t>ZW1601</t>
        </is>
      </c>
      <c r="D2" t="inlineStr">
        <is>
          <t>Matabeleland South</t>
        </is>
      </c>
      <c r="E2" t="inlineStr">
        <is>
          <t>ZW16</t>
        </is>
      </c>
      <c r="F2" t="inlineStr">
        <is>
          <t>Zimbabwe</t>
        </is>
      </c>
      <c r="G2" t="inlineStr">
        <is>
          <t>ZWE</t>
        </is>
      </c>
    </row>
    <row r="3">
      <c r="A3" t="inlineStr">
        <is>
          <t>Beitbridge Urban</t>
        </is>
      </c>
      <c r="B3" t="inlineStr">
        <is>
          <t xml:space="preserve"> </t>
        </is>
      </c>
      <c r="C3" t="inlineStr">
        <is>
          <t>ZW1622</t>
        </is>
      </c>
      <c r="D3" t="inlineStr">
        <is>
          <t>Matabeleland South</t>
        </is>
      </c>
      <c r="E3" t="inlineStr">
        <is>
          <t>ZW16</t>
        </is>
      </c>
      <c r="F3" t="inlineStr">
        <is>
          <t>Zimbabwe</t>
        </is>
      </c>
      <c r="G3" t="inlineStr">
        <is>
          <t>ZWE</t>
        </is>
      </c>
    </row>
    <row r="4">
      <c r="A4" t="inlineStr">
        <is>
          <t>Bikita</t>
        </is>
      </c>
      <c r="B4" t="inlineStr">
        <is>
          <t xml:space="preserve"> </t>
        </is>
      </c>
      <c r="C4" t="inlineStr">
        <is>
          <t>ZW1801</t>
        </is>
      </c>
      <c r="D4" t="inlineStr">
        <is>
          <t>Masvingo</t>
        </is>
      </c>
      <c r="E4" t="inlineStr">
        <is>
          <t>ZW18</t>
        </is>
      </c>
      <c r="F4" t="inlineStr">
        <is>
          <t>Zimbabwe</t>
        </is>
      </c>
      <c r="G4" t="inlineStr">
        <is>
          <t>ZWE</t>
        </is>
      </c>
    </row>
    <row r="5">
      <c r="A5" t="inlineStr">
        <is>
          <t>Bindura</t>
        </is>
      </c>
      <c r="B5" t="inlineStr">
        <is>
          <t xml:space="preserve"> </t>
        </is>
      </c>
      <c r="C5" t="inlineStr">
        <is>
          <t>ZW1201</t>
        </is>
      </c>
      <c r="D5" t="inlineStr">
        <is>
          <t>Mashonaland Central</t>
        </is>
      </c>
      <c r="E5" t="inlineStr">
        <is>
          <t>ZW12</t>
        </is>
      </c>
      <c r="F5" t="inlineStr">
        <is>
          <t>Zimbabwe</t>
        </is>
      </c>
      <c r="G5" t="inlineStr">
        <is>
          <t>ZWE</t>
        </is>
      </c>
    </row>
    <row r="6">
      <c r="A6" t="inlineStr">
        <is>
          <t>Bindura Urban</t>
        </is>
      </c>
      <c r="B6" t="inlineStr">
        <is>
          <t xml:space="preserve"> </t>
        </is>
      </c>
      <c r="C6" t="inlineStr">
        <is>
          <t>ZW1221</t>
        </is>
      </c>
      <c r="D6" t="inlineStr">
        <is>
          <t>Mashonaland Central</t>
        </is>
      </c>
      <c r="E6" t="inlineStr">
        <is>
          <t>ZW12</t>
        </is>
      </c>
      <c r="F6" t="inlineStr">
        <is>
          <t>Zimbabwe</t>
        </is>
      </c>
      <c r="G6" t="inlineStr">
        <is>
          <t>ZWE</t>
        </is>
      </c>
    </row>
    <row r="7">
      <c r="A7" t="inlineStr">
        <is>
          <t>Binga</t>
        </is>
      </c>
      <c r="B7" t="inlineStr">
        <is>
          <t xml:space="preserve"> </t>
        </is>
      </c>
      <c r="C7" t="inlineStr">
        <is>
          <t>ZW1501</t>
        </is>
      </c>
      <c r="D7" t="inlineStr">
        <is>
          <t>Matabeleland North</t>
        </is>
      </c>
      <c r="E7" t="inlineStr">
        <is>
          <t>ZW15</t>
        </is>
      </c>
      <c r="F7" t="inlineStr">
        <is>
          <t>Zimbabwe</t>
        </is>
      </c>
      <c r="G7" t="inlineStr">
        <is>
          <t>ZWE</t>
        </is>
      </c>
    </row>
    <row r="8">
      <c r="A8" t="inlineStr">
        <is>
          <t>Bubi</t>
        </is>
      </c>
      <c r="B8" t="inlineStr">
        <is>
          <t xml:space="preserve"> </t>
        </is>
      </c>
      <c r="C8" t="inlineStr">
        <is>
          <t>ZW1502</t>
        </is>
      </c>
      <c r="D8" t="inlineStr">
        <is>
          <t>Matabeleland North</t>
        </is>
      </c>
      <c r="E8" t="inlineStr">
        <is>
          <t>ZW15</t>
        </is>
      </c>
      <c r="F8" t="inlineStr">
        <is>
          <t>Zimbabwe</t>
        </is>
      </c>
      <c r="G8" t="inlineStr">
        <is>
          <t>ZWE</t>
        </is>
      </c>
    </row>
    <row r="9">
      <c r="A9" t="inlineStr">
        <is>
          <t>Buhera</t>
        </is>
      </c>
      <c r="B9" t="inlineStr">
        <is>
          <t xml:space="preserve"> </t>
        </is>
      </c>
      <c r="C9" t="inlineStr">
        <is>
          <t>ZW1101</t>
        </is>
      </c>
      <c r="D9" t="inlineStr">
        <is>
          <t>Manicaland</t>
        </is>
      </c>
      <c r="E9" t="inlineStr">
        <is>
          <t>ZW11</t>
        </is>
      </c>
      <c r="F9" t="inlineStr">
        <is>
          <t>Zimbabwe</t>
        </is>
      </c>
      <c r="G9" t="inlineStr">
        <is>
          <t>ZWE</t>
        </is>
      </c>
    </row>
    <row r="10">
      <c r="A10" t="inlineStr">
        <is>
          <t>Bulawayo</t>
        </is>
      </c>
      <c r="B10" t="inlineStr">
        <is>
          <t xml:space="preserve"> </t>
        </is>
      </c>
      <c r="C10" t="inlineStr">
        <is>
          <t>ZW1021</t>
        </is>
      </c>
      <c r="D10" t="inlineStr">
        <is>
          <t>Bulawayo</t>
        </is>
      </c>
      <c r="E10" t="inlineStr">
        <is>
          <t>ZW10</t>
        </is>
      </c>
      <c r="F10" t="inlineStr">
        <is>
          <t>Zimbabwe</t>
        </is>
      </c>
      <c r="G10" t="inlineStr">
        <is>
          <t>ZWE</t>
        </is>
      </c>
    </row>
    <row r="11">
      <c r="A11" t="inlineStr">
        <is>
          <t>Bulilima</t>
        </is>
      </c>
      <c r="B11" t="inlineStr">
        <is>
          <t xml:space="preserve"> </t>
        </is>
      </c>
      <c r="C11" t="inlineStr">
        <is>
          <t>ZW1602</t>
        </is>
      </c>
      <c r="D11" t="inlineStr">
        <is>
          <t>Matabeleland South</t>
        </is>
      </c>
      <c r="E11" t="inlineStr">
        <is>
          <t>ZW16</t>
        </is>
      </c>
      <c r="F11" t="inlineStr">
        <is>
          <t>Zimbabwe</t>
        </is>
      </c>
      <c r="G11" t="inlineStr">
        <is>
          <t>ZWE</t>
        </is>
      </c>
    </row>
    <row r="12">
      <c r="A12" t="inlineStr">
        <is>
          <t>Centenary/ Muzarabani</t>
        </is>
      </c>
      <c r="B12" t="inlineStr">
        <is>
          <t xml:space="preserve"> </t>
        </is>
      </c>
      <c r="C12" t="inlineStr">
        <is>
          <t>ZW1202</t>
        </is>
      </c>
      <c r="D12" t="inlineStr">
        <is>
          <t>Mashonaland Central</t>
        </is>
      </c>
      <c r="E12" t="inlineStr">
        <is>
          <t>ZW12</t>
        </is>
      </c>
      <c r="F12" t="inlineStr">
        <is>
          <t>Zimbabwe</t>
        </is>
      </c>
      <c r="G12" t="inlineStr">
        <is>
          <t>ZWE</t>
        </is>
      </c>
    </row>
    <row r="13">
      <c r="A13" t="inlineStr">
        <is>
          <t>Chegutu</t>
        </is>
      </c>
      <c r="B13" t="inlineStr">
        <is>
          <t xml:space="preserve"> </t>
        </is>
      </c>
      <c r="C13" t="inlineStr">
        <is>
          <t>ZW1401</t>
        </is>
      </c>
      <c r="D13" t="inlineStr">
        <is>
          <t>Mashonaland West</t>
        </is>
      </c>
      <c r="E13" t="inlineStr">
        <is>
          <t>ZW14</t>
        </is>
      </c>
      <c r="F13" t="inlineStr">
        <is>
          <t>Zimbabwe</t>
        </is>
      </c>
      <c r="G13" t="inlineStr">
        <is>
          <t>ZWE</t>
        </is>
      </c>
    </row>
    <row r="14">
      <c r="A14" t="inlineStr">
        <is>
          <t>Chegutu Urban</t>
        </is>
      </c>
      <c r="B14" t="inlineStr">
        <is>
          <t xml:space="preserve"> </t>
        </is>
      </c>
      <c r="C14" t="inlineStr">
        <is>
          <t>ZW1423</t>
        </is>
      </c>
      <c r="D14" t="inlineStr">
        <is>
          <t>Mashonaland West</t>
        </is>
      </c>
      <c r="E14" t="inlineStr">
        <is>
          <t>ZW14</t>
        </is>
      </c>
      <c r="F14" t="inlineStr">
        <is>
          <t>Zimbabwe</t>
        </is>
      </c>
      <c r="G14" t="inlineStr">
        <is>
          <t>ZWE</t>
        </is>
      </c>
    </row>
    <row r="15">
      <c r="A15" t="inlineStr">
        <is>
          <t>Chikomba</t>
        </is>
      </c>
      <c r="B15" t="inlineStr">
        <is>
          <t xml:space="preserve"> </t>
        </is>
      </c>
      <c r="C15" t="inlineStr">
        <is>
          <t>ZW1301</t>
        </is>
      </c>
      <c r="D15" t="inlineStr">
        <is>
          <t>Mashonaland East</t>
        </is>
      </c>
      <c r="E15" t="inlineStr">
        <is>
          <t>ZW13</t>
        </is>
      </c>
      <c r="F15" t="inlineStr">
        <is>
          <t>Zimbabwe</t>
        </is>
      </c>
      <c r="G15" t="inlineStr">
        <is>
          <t>ZWE</t>
        </is>
      </c>
    </row>
    <row r="16">
      <c r="A16" t="inlineStr">
        <is>
          <t>Chimanimani</t>
        </is>
      </c>
      <c r="B16" t="inlineStr">
        <is>
          <t xml:space="preserve"> </t>
        </is>
      </c>
      <c r="C16" t="inlineStr">
        <is>
          <t>ZW1102</t>
        </is>
      </c>
      <c r="D16" t="inlineStr">
        <is>
          <t>Manicaland</t>
        </is>
      </c>
      <c r="E16" t="inlineStr">
        <is>
          <t>ZW11</t>
        </is>
      </c>
      <c r="F16" t="inlineStr">
        <is>
          <t>Zimbabwe</t>
        </is>
      </c>
      <c r="G16" t="inlineStr">
        <is>
          <t>ZWE</t>
        </is>
      </c>
    </row>
    <row r="17">
      <c r="A17" t="inlineStr">
        <is>
          <t>Chinhoyi</t>
        </is>
      </c>
      <c r="B17" t="inlineStr">
        <is>
          <t xml:space="preserve"> </t>
        </is>
      </c>
      <c r="C17" t="inlineStr">
        <is>
          <t>ZW1421</t>
        </is>
      </c>
      <c r="D17" t="inlineStr">
        <is>
          <t>Mashonaland West</t>
        </is>
      </c>
      <c r="E17" t="inlineStr">
        <is>
          <t>ZW14</t>
        </is>
      </c>
      <c r="F17" t="inlineStr">
        <is>
          <t>Zimbabwe</t>
        </is>
      </c>
      <c r="G17" t="inlineStr">
        <is>
          <t>ZWE</t>
        </is>
      </c>
    </row>
    <row r="18">
      <c r="A18" t="inlineStr">
        <is>
          <t>Chipinge</t>
        </is>
      </c>
      <c r="B18" t="inlineStr">
        <is>
          <t xml:space="preserve"> </t>
        </is>
      </c>
      <c r="C18" t="inlineStr">
        <is>
          <t>ZW1103</t>
        </is>
      </c>
      <c r="D18" t="inlineStr">
        <is>
          <t>Manicaland</t>
        </is>
      </c>
      <c r="E18" t="inlineStr">
        <is>
          <t>ZW11</t>
        </is>
      </c>
      <c r="F18" t="inlineStr">
        <is>
          <t>Zimbabwe</t>
        </is>
      </c>
      <c r="G18" t="inlineStr">
        <is>
          <t>ZWE</t>
        </is>
      </c>
    </row>
    <row r="19">
      <c r="A19" t="inlineStr">
        <is>
          <t>Chipinge Urban</t>
        </is>
      </c>
      <c r="B19" t="inlineStr">
        <is>
          <t xml:space="preserve"> </t>
        </is>
      </c>
      <c r="C19" t="inlineStr">
        <is>
          <t>ZW1123</t>
        </is>
      </c>
      <c r="D19" t="inlineStr">
        <is>
          <t>Manicaland</t>
        </is>
      </c>
      <c r="E19" t="inlineStr">
        <is>
          <t>ZW11</t>
        </is>
      </c>
      <c r="F19" t="inlineStr">
        <is>
          <t>Zimbabwe</t>
        </is>
      </c>
      <c r="G19" t="inlineStr">
        <is>
          <t>ZWE</t>
        </is>
      </c>
    </row>
    <row r="20">
      <c r="A20" t="inlineStr">
        <is>
          <t>Chiredzi</t>
        </is>
      </c>
      <c r="B20" t="inlineStr">
        <is>
          <t xml:space="preserve"> </t>
        </is>
      </c>
      <c r="C20" t="inlineStr">
        <is>
          <t>ZW1802</t>
        </is>
      </c>
      <c r="D20" t="inlineStr">
        <is>
          <t>Masvingo</t>
        </is>
      </c>
      <c r="E20" t="inlineStr">
        <is>
          <t>ZW18</t>
        </is>
      </c>
      <c r="F20" t="inlineStr">
        <is>
          <t>Zimbabwe</t>
        </is>
      </c>
      <c r="G20" t="inlineStr">
        <is>
          <t>ZWE</t>
        </is>
      </c>
    </row>
    <row r="21">
      <c r="A21" t="inlineStr">
        <is>
          <t>Chiredzi Urban</t>
        </is>
      </c>
      <c r="B21" t="inlineStr">
        <is>
          <t xml:space="preserve"> </t>
        </is>
      </c>
      <c r="C21" t="inlineStr">
        <is>
          <t>ZW1822</t>
        </is>
      </c>
      <c r="D21" t="inlineStr">
        <is>
          <t>Masvingo</t>
        </is>
      </c>
      <c r="E21" t="inlineStr">
        <is>
          <t>ZW18</t>
        </is>
      </c>
      <c r="F21" t="inlineStr">
        <is>
          <t>Zimbabwe</t>
        </is>
      </c>
      <c r="G21" t="inlineStr">
        <is>
          <t>ZWE</t>
        </is>
      </c>
    </row>
    <row r="22">
      <c r="A22" t="inlineStr">
        <is>
          <t>Chirumhanzu</t>
        </is>
      </c>
      <c r="B22" t="inlineStr">
        <is>
          <t xml:space="preserve"> </t>
        </is>
      </c>
      <c r="C22" t="inlineStr">
        <is>
          <t>ZW1701</t>
        </is>
      </c>
      <c r="D22" t="inlineStr">
        <is>
          <t>Midlands</t>
        </is>
      </c>
      <c r="E22" t="inlineStr">
        <is>
          <t>ZW17</t>
        </is>
      </c>
      <c r="F22" t="inlineStr">
        <is>
          <t>Zimbabwe</t>
        </is>
      </c>
      <c r="G22" t="inlineStr">
        <is>
          <t>ZWE</t>
        </is>
      </c>
    </row>
    <row r="23">
      <c r="A23" t="inlineStr">
        <is>
          <t>Chitungwiza</t>
        </is>
      </c>
      <c r="B23" t="inlineStr">
        <is>
          <t xml:space="preserve"> </t>
        </is>
      </c>
      <c r="C23" t="inlineStr">
        <is>
          <t>ZW1922</t>
        </is>
      </c>
      <c r="D23" t="inlineStr">
        <is>
          <t>Harare</t>
        </is>
      </c>
      <c r="E23" t="inlineStr">
        <is>
          <t>ZW19</t>
        </is>
      </c>
      <c r="F23" t="inlineStr">
        <is>
          <t>Zimbabwe</t>
        </is>
      </c>
      <c r="G23" t="inlineStr">
        <is>
          <t>ZWE</t>
        </is>
      </c>
    </row>
    <row r="24">
      <c r="A24" t="inlineStr">
        <is>
          <t>Chivi</t>
        </is>
      </c>
      <c r="B24" t="inlineStr">
        <is>
          <t xml:space="preserve"> </t>
        </is>
      </c>
      <c r="C24" t="inlineStr">
        <is>
          <t>ZW1803</t>
        </is>
      </c>
      <c r="D24" t="inlineStr">
        <is>
          <t>Masvingo</t>
        </is>
      </c>
      <c r="E24" t="inlineStr">
        <is>
          <t>ZW18</t>
        </is>
      </c>
      <c r="F24" t="inlineStr">
        <is>
          <t>Zimbabwe</t>
        </is>
      </c>
      <c r="G24" t="inlineStr">
        <is>
          <t>ZWE</t>
        </is>
      </c>
    </row>
    <row r="25">
      <c r="A25" t="inlineStr">
        <is>
          <t>Epworth</t>
        </is>
      </c>
      <c r="B25" t="inlineStr">
        <is>
          <t xml:space="preserve"> </t>
        </is>
      </c>
      <c r="C25" t="inlineStr">
        <is>
          <t>ZW1923</t>
        </is>
      </c>
      <c r="D25" t="inlineStr">
        <is>
          <t>Harare</t>
        </is>
      </c>
      <c r="E25" t="inlineStr">
        <is>
          <t>ZW19</t>
        </is>
      </c>
      <c r="F25" t="inlineStr">
        <is>
          <t>Zimbabwe</t>
        </is>
      </c>
      <c r="G25" t="inlineStr">
        <is>
          <t>ZWE</t>
        </is>
      </c>
    </row>
    <row r="26">
      <c r="A26" t="inlineStr">
        <is>
          <t>Gokwe North</t>
        </is>
      </c>
      <c r="B26" t="inlineStr">
        <is>
          <t xml:space="preserve"> </t>
        </is>
      </c>
      <c r="C26" t="inlineStr">
        <is>
          <t>ZW1702</t>
        </is>
      </c>
      <c r="D26" t="inlineStr">
        <is>
          <t>Midlands</t>
        </is>
      </c>
      <c r="E26" t="inlineStr">
        <is>
          <t>ZW17</t>
        </is>
      </c>
      <c r="F26" t="inlineStr">
        <is>
          <t>Zimbabwe</t>
        </is>
      </c>
      <c r="G26" t="inlineStr">
        <is>
          <t>ZWE</t>
        </is>
      </c>
    </row>
    <row r="27">
      <c r="A27" t="inlineStr">
        <is>
          <t>Gokwe South</t>
        </is>
      </c>
      <c r="B27" t="inlineStr">
        <is>
          <t xml:space="preserve"> </t>
        </is>
      </c>
      <c r="C27" t="inlineStr">
        <is>
          <t>ZW1703</t>
        </is>
      </c>
      <c r="D27" t="inlineStr">
        <is>
          <t>Midlands</t>
        </is>
      </c>
      <c r="E27" t="inlineStr">
        <is>
          <t>ZW17</t>
        </is>
      </c>
      <c r="F27" t="inlineStr">
        <is>
          <t>Zimbabwe</t>
        </is>
      </c>
      <c r="G27" t="inlineStr">
        <is>
          <t>ZWE</t>
        </is>
      </c>
    </row>
    <row r="28">
      <c r="A28" t="inlineStr">
        <is>
          <t>Gokwe South Urban</t>
        </is>
      </c>
      <c r="B28" t="inlineStr">
        <is>
          <t xml:space="preserve"> </t>
        </is>
      </c>
      <c r="C28" t="inlineStr">
        <is>
          <t>ZW1729</t>
        </is>
      </c>
      <c r="D28" t="inlineStr">
        <is>
          <t>Midlands</t>
        </is>
      </c>
      <c r="E28" t="inlineStr">
        <is>
          <t>ZW17</t>
        </is>
      </c>
      <c r="F28" t="inlineStr">
        <is>
          <t>Zimbabwe</t>
        </is>
      </c>
      <c r="G28" t="inlineStr">
        <is>
          <t>ZWE</t>
        </is>
      </c>
    </row>
    <row r="29">
      <c r="A29" t="inlineStr">
        <is>
          <t>Goromonzi</t>
        </is>
      </c>
      <c r="B29" t="inlineStr">
        <is>
          <t xml:space="preserve"> </t>
        </is>
      </c>
      <c r="C29" t="inlineStr">
        <is>
          <t>ZW1302</t>
        </is>
      </c>
      <c r="D29" t="inlineStr">
        <is>
          <t>Mashonaland East</t>
        </is>
      </c>
      <c r="E29" t="inlineStr">
        <is>
          <t>ZW13</t>
        </is>
      </c>
      <c r="F29" t="inlineStr">
        <is>
          <t>Zimbabwe</t>
        </is>
      </c>
      <c r="G29" t="inlineStr">
        <is>
          <t>ZWE</t>
        </is>
      </c>
    </row>
    <row r="30">
      <c r="A30" t="inlineStr">
        <is>
          <t>Guruve</t>
        </is>
      </c>
      <c r="B30" t="inlineStr">
        <is>
          <t xml:space="preserve"> </t>
        </is>
      </c>
      <c r="C30" t="inlineStr">
        <is>
          <t>ZW1203</t>
        </is>
      </c>
      <c r="D30" t="inlineStr">
        <is>
          <t>Mashonaland Central</t>
        </is>
      </c>
      <c r="E30" t="inlineStr">
        <is>
          <t>ZW12</t>
        </is>
      </c>
      <c r="F30" t="inlineStr">
        <is>
          <t>Zimbabwe</t>
        </is>
      </c>
      <c r="G30" t="inlineStr">
        <is>
          <t>ZWE</t>
        </is>
      </c>
    </row>
    <row r="31">
      <c r="A31" t="inlineStr">
        <is>
          <t>Gutu</t>
        </is>
      </c>
      <c r="B31" t="inlineStr">
        <is>
          <t xml:space="preserve"> </t>
        </is>
      </c>
      <c r="C31" t="inlineStr">
        <is>
          <t>ZW1804</t>
        </is>
      </c>
      <c r="D31" t="inlineStr">
        <is>
          <t>Masvingo</t>
        </is>
      </c>
      <c r="E31" t="inlineStr">
        <is>
          <t>ZW18</t>
        </is>
      </c>
      <c r="F31" t="inlineStr">
        <is>
          <t>Zimbabwe</t>
        </is>
      </c>
      <c r="G31" t="inlineStr">
        <is>
          <t>ZWE</t>
        </is>
      </c>
    </row>
    <row r="32">
      <c r="A32" t="inlineStr">
        <is>
          <t>Gwanda</t>
        </is>
      </c>
      <c r="B32" t="inlineStr">
        <is>
          <t xml:space="preserve"> </t>
        </is>
      </c>
      <c r="C32" t="inlineStr">
        <is>
          <t>ZW1604</t>
        </is>
      </c>
      <c r="D32" t="inlineStr">
        <is>
          <t>Matabeleland South</t>
        </is>
      </c>
      <c r="E32" t="inlineStr">
        <is>
          <t>ZW16</t>
        </is>
      </c>
      <c r="F32" t="inlineStr">
        <is>
          <t>Zimbabwe</t>
        </is>
      </c>
      <c r="G32" t="inlineStr">
        <is>
          <t>ZWE</t>
        </is>
      </c>
    </row>
    <row r="33">
      <c r="A33" t="inlineStr">
        <is>
          <t>Gwanda Urban</t>
        </is>
      </c>
      <c r="B33" t="inlineStr">
        <is>
          <t xml:space="preserve"> </t>
        </is>
      </c>
      <c r="C33" t="inlineStr">
        <is>
          <t>ZW1621</t>
        </is>
      </c>
      <c r="D33" t="inlineStr">
        <is>
          <t>Matabeleland South</t>
        </is>
      </c>
      <c r="E33" t="inlineStr">
        <is>
          <t>ZW16</t>
        </is>
      </c>
      <c r="F33" t="inlineStr">
        <is>
          <t>Zimbabwe</t>
        </is>
      </c>
      <c r="G33" t="inlineStr">
        <is>
          <t>ZWE</t>
        </is>
      </c>
    </row>
    <row r="34">
      <c r="A34" t="inlineStr">
        <is>
          <t>Gweru</t>
        </is>
      </c>
      <c r="B34" t="inlineStr">
        <is>
          <t xml:space="preserve"> </t>
        </is>
      </c>
      <c r="C34" t="inlineStr">
        <is>
          <t>ZW1704</t>
        </is>
      </c>
      <c r="D34" t="inlineStr">
        <is>
          <t>Midlands</t>
        </is>
      </c>
      <c r="E34" t="inlineStr">
        <is>
          <t>ZW17</t>
        </is>
      </c>
      <c r="F34" t="inlineStr">
        <is>
          <t>Zimbabwe</t>
        </is>
      </c>
      <c r="G34" t="inlineStr">
        <is>
          <t>ZWE</t>
        </is>
      </c>
    </row>
    <row r="35">
      <c r="A35" t="inlineStr">
        <is>
          <t>Gweru Urban</t>
        </is>
      </c>
      <c r="B35" t="inlineStr">
        <is>
          <t xml:space="preserve"> </t>
        </is>
      </c>
      <c r="C35" t="inlineStr">
        <is>
          <t>ZW1721</t>
        </is>
      </c>
      <c r="D35" t="inlineStr">
        <is>
          <t>Midlands</t>
        </is>
      </c>
      <c r="E35" t="inlineStr">
        <is>
          <t>ZW17</t>
        </is>
      </c>
      <c r="F35" t="inlineStr">
        <is>
          <t>Zimbabwe</t>
        </is>
      </c>
      <c r="G35" t="inlineStr">
        <is>
          <t>ZWE</t>
        </is>
      </c>
    </row>
    <row r="36">
      <c r="A36" t="inlineStr">
        <is>
          <t>Harare</t>
        </is>
      </c>
      <c r="B36" t="inlineStr">
        <is>
          <t xml:space="preserve"> </t>
        </is>
      </c>
      <c r="C36" t="inlineStr">
        <is>
          <t>ZW1921</t>
        </is>
      </c>
      <c r="D36" t="inlineStr">
        <is>
          <t>Harare</t>
        </is>
      </c>
      <c r="E36" t="inlineStr">
        <is>
          <t>ZW19</t>
        </is>
      </c>
      <c r="F36" t="inlineStr">
        <is>
          <t>Zimbabwe</t>
        </is>
      </c>
      <c r="G36" t="inlineStr">
        <is>
          <t>ZWE</t>
        </is>
      </c>
    </row>
    <row r="37">
      <c r="A37" t="inlineStr">
        <is>
          <t>Harare Rural</t>
        </is>
      </c>
      <c r="B37" t="inlineStr">
        <is>
          <t xml:space="preserve"> </t>
        </is>
      </c>
      <c r="C37" t="inlineStr">
        <is>
          <t>ZW1924</t>
        </is>
      </c>
      <c r="D37" t="inlineStr">
        <is>
          <t>Harare</t>
        </is>
      </c>
      <c r="E37" t="inlineStr">
        <is>
          <t>ZW19</t>
        </is>
      </c>
      <c r="F37" t="inlineStr">
        <is>
          <t>Zimbabwe</t>
        </is>
      </c>
      <c r="G37" t="inlineStr">
        <is>
          <t>ZWE</t>
        </is>
      </c>
    </row>
    <row r="38">
      <c r="A38" t="inlineStr">
        <is>
          <t>Hurungwe</t>
        </is>
      </c>
      <c r="B38" t="inlineStr">
        <is>
          <t xml:space="preserve"> </t>
        </is>
      </c>
      <c r="C38" t="inlineStr">
        <is>
          <t>ZW1402</t>
        </is>
      </c>
      <c r="D38" t="inlineStr">
        <is>
          <t>Mashonaland West</t>
        </is>
      </c>
      <c r="E38" t="inlineStr">
        <is>
          <t>ZW14</t>
        </is>
      </c>
      <c r="F38" t="inlineStr">
        <is>
          <t>Zimbabwe</t>
        </is>
      </c>
      <c r="G38" t="inlineStr">
        <is>
          <t>ZWE</t>
        </is>
      </c>
    </row>
    <row r="39">
      <c r="A39" t="inlineStr">
        <is>
          <t>Hwange</t>
        </is>
      </c>
      <c r="B39" t="inlineStr">
        <is>
          <t xml:space="preserve"> </t>
        </is>
      </c>
      <c r="C39" t="inlineStr">
        <is>
          <t>ZW1503</t>
        </is>
      </c>
      <c r="D39" t="inlineStr">
        <is>
          <t>Matabeleland North</t>
        </is>
      </c>
      <c r="E39" t="inlineStr">
        <is>
          <t>ZW15</t>
        </is>
      </c>
      <c r="F39" t="inlineStr">
        <is>
          <t>Zimbabwe</t>
        </is>
      </c>
      <c r="G39" t="inlineStr">
        <is>
          <t>ZWE</t>
        </is>
      </c>
    </row>
    <row r="40">
      <c r="A40" t="inlineStr">
        <is>
          <t>Hwange Urban</t>
        </is>
      </c>
      <c r="B40" t="inlineStr">
        <is>
          <t xml:space="preserve"> </t>
        </is>
      </c>
      <c r="C40" t="inlineStr">
        <is>
          <t>ZW1521</t>
        </is>
      </c>
      <c r="D40" t="inlineStr">
        <is>
          <t>Matabeleland North</t>
        </is>
      </c>
      <c r="E40" t="inlineStr">
        <is>
          <t>ZW15</t>
        </is>
      </c>
      <c r="F40" t="inlineStr">
        <is>
          <t>Zimbabwe</t>
        </is>
      </c>
      <c r="G40" t="inlineStr">
        <is>
          <t>ZWE</t>
        </is>
      </c>
    </row>
    <row r="41">
      <c r="A41" t="inlineStr">
        <is>
          <t>Hwedza</t>
        </is>
      </c>
      <c r="B41" t="inlineStr">
        <is>
          <t xml:space="preserve"> </t>
        </is>
      </c>
      <c r="C41" t="inlineStr">
        <is>
          <t>ZW1303</t>
        </is>
      </c>
      <c r="D41" t="inlineStr">
        <is>
          <t>Mashonaland East</t>
        </is>
      </c>
      <c r="E41" t="inlineStr">
        <is>
          <t>ZW13</t>
        </is>
      </c>
      <c r="F41" t="inlineStr">
        <is>
          <t>Zimbabwe</t>
        </is>
      </c>
      <c r="G41" t="inlineStr">
        <is>
          <t>ZWE</t>
        </is>
      </c>
    </row>
    <row r="42">
      <c r="A42" t="inlineStr">
        <is>
          <t>Insiza</t>
        </is>
      </c>
      <c r="B42" t="inlineStr">
        <is>
          <t xml:space="preserve"> </t>
        </is>
      </c>
      <c r="C42" t="inlineStr">
        <is>
          <t>ZW1605</t>
        </is>
      </c>
      <c r="D42" t="inlineStr">
        <is>
          <t>Matabeleland South</t>
        </is>
      </c>
      <c r="E42" t="inlineStr">
        <is>
          <t>ZW16</t>
        </is>
      </c>
      <c r="F42" t="inlineStr">
        <is>
          <t>Zimbabwe</t>
        </is>
      </c>
      <c r="G42" t="inlineStr">
        <is>
          <t>ZWE</t>
        </is>
      </c>
    </row>
    <row r="43">
      <c r="A43" t="inlineStr">
        <is>
          <t>Kadoma Urban</t>
        </is>
      </c>
      <c r="B43" t="inlineStr">
        <is>
          <t xml:space="preserve"> </t>
        </is>
      </c>
      <c r="C43" t="inlineStr">
        <is>
          <t>ZW1403</t>
        </is>
      </c>
      <c r="D43" t="inlineStr">
        <is>
          <t>Mashonaland West</t>
        </is>
      </c>
      <c r="E43" t="inlineStr">
        <is>
          <t>ZW14</t>
        </is>
      </c>
      <c r="F43" t="inlineStr">
        <is>
          <t>Zimbabwe</t>
        </is>
      </c>
      <c r="G43" t="inlineStr">
        <is>
          <t>ZWE</t>
        </is>
      </c>
    </row>
    <row r="44">
      <c r="A44" t="inlineStr">
        <is>
          <t>Kariba</t>
        </is>
      </c>
      <c r="B44" t="inlineStr">
        <is>
          <t xml:space="preserve"> </t>
        </is>
      </c>
      <c r="C44" t="inlineStr">
        <is>
          <t>ZW1404</t>
        </is>
      </c>
      <c r="D44" t="inlineStr">
        <is>
          <t>Mashonaland West</t>
        </is>
      </c>
      <c r="E44" t="inlineStr">
        <is>
          <t>ZW14</t>
        </is>
      </c>
      <c r="F44" t="inlineStr">
        <is>
          <t>Zimbabwe</t>
        </is>
      </c>
      <c r="G44" t="inlineStr">
        <is>
          <t>ZWE</t>
        </is>
      </c>
    </row>
    <row r="45">
      <c r="A45" t="inlineStr">
        <is>
          <t>Kariba Urban</t>
        </is>
      </c>
      <c r="B45" t="inlineStr">
        <is>
          <t xml:space="preserve"> </t>
        </is>
      </c>
      <c r="C45" t="inlineStr">
        <is>
          <t>ZW1424</t>
        </is>
      </c>
      <c r="D45" t="inlineStr">
        <is>
          <t>Mashonaland West</t>
        </is>
      </c>
      <c r="E45" t="inlineStr">
        <is>
          <t>ZW14</t>
        </is>
      </c>
      <c r="F45" t="inlineStr">
        <is>
          <t>Zimbabwe</t>
        </is>
      </c>
      <c r="G45" t="inlineStr">
        <is>
          <t>ZWE</t>
        </is>
      </c>
    </row>
    <row r="46">
      <c r="A46" t="inlineStr">
        <is>
          <t>Karoi</t>
        </is>
      </c>
      <c r="B46" t="inlineStr">
        <is>
          <t xml:space="preserve"> </t>
        </is>
      </c>
      <c r="C46" t="inlineStr">
        <is>
          <t>ZW1426</t>
        </is>
      </c>
      <c r="D46" t="inlineStr">
        <is>
          <t>Mashonaland West</t>
        </is>
      </c>
      <c r="E46" t="inlineStr">
        <is>
          <t>ZW14</t>
        </is>
      </c>
      <c r="F46" t="inlineStr">
        <is>
          <t>Zimbabwe</t>
        </is>
      </c>
      <c r="G46" t="inlineStr">
        <is>
          <t>ZWE</t>
        </is>
      </c>
    </row>
    <row r="47">
      <c r="A47" t="inlineStr">
        <is>
          <t>Kwekwe</t>
        </is>
      </c>
      <c r="B47" t="inlineStr">
        <is>
          <t xml:space="preserve"> </t>
        </is>
      </c>
      <c r="C47" t="inlineStr">
        <is>
          <t>ZW1705</t>
        </is>
      </c>
      <c r="D47" t="inlineStr">
        <is>
          <t>Midlands</t>
        </is>
      </c>
      <c r="E47" t="inlineStr">
        <is>
          <t>ZW17</t>
        </is>
      </c>
      <c r="F47" t="inlineStr">
        <is>
          <t>Zimbabwe</t>
        </is>
      </c>
      <c r="G47" t="inlineStr">
        <is>
          <t>ZWE</t>
        </is>
      </c>
    </row>
    <row r="48">
      <c r="A48" t="inlineStr">
        <is>
          <t>Kwekwe Urban</t>
        </is>
      </c>
      <c r="B48" t="inlineStr">
        <is>
          <t xml:space="preserve"> </t>
        </is>
      </c>
      <c r="C48" t="inlineStr">
        <is>
          <t>ZW1722</t>
        </is>
      </c>
      <c r="D48" t="inlineStr">
        <is>
          <t>Midlands</t>
        </is>
      </c>
      <c r="E48" t="inlineStr">
        <is>
          <t>ZW17</t>
        </is>
      </c>
      <c r="F48" t="inlineStr">
        <is>
          <t>Zimbabwe</t>
        </is>
      </c>
      <c r="G48" t="inlineStr">
        <is>
          <t>ZWE</t>
        </is>
      </c>
    </row>
    <row r="49">
      <c r="A49" t="inlineStr">
        <is>
          <t>Lupane</t>
        </is>
      </c>
      <c r="B49" t="inlineStr">
        <is>
          <t xml:space="preserve"> </t>
        </is>
      </c>
      <c r="C49" t="inlineStr">
        <is>
          <t>ZW1504</t>
        </is>
      </c>
      <c r="D49" t="inlineStr">
        <is>
          <t>Matabeleland North</t>
        </is>
      </c>
      <c r="E49" t="inlineStr">
        <is>
          <t>ZW15</t>
        </is>
      </c>
      <c r="F49" t="inlineStr">
        <is>
          <t>Zimbabwe</t>
        </is>
      </c>
      <c r="G49" t="inlineStr">
        <is>
          <t>ZWE</t>
        </is>
      </c>
    </row>
    <row r="50">
      <c r="A50" t="inlineStr">
        <is>
          <t>Makonde</t>
        </is>
      </c>
      <c r="B50" t="inlineStr">
        <is>
          <t xml:space="preserve"> </t>
        </is>
      </c>
      <c r="C50" t="inlineStr">
        <is>
          <t>ZW1405</t>
        </is>
      </c>
      <c r="D50" t="inlineStr">
        <is>
          <t>Mashonaland West</t>
        </is>
      </c>
      <c r="E50" t="inlineStr">
        <is>
          <t>ZW14</t>
        </is>
      </c>
      <c r="F50" t="inlineStr">
        <is>
          <t>Zimbabwe</t>
        </is>
      </c>
      <c r="G50" t="inlineStr">
        <is>
          <t>ZWE</t>
        </is>
      </c>
    </row>
    <row r="51">
      <c r="A51" t="inlineStr">
        <is>
          <t>Makoni</t>
        </is>
      </c>
      <c r="B51" t="inlineStr">
        <is>
          <t xml:space="preserve"> </t>
        </is>
      </c>
      <c r="C51" t="inlineStr">
        <is>
          <t>ZW1104</t>
        </is>
      </c>
      <c r="D51" t="inlineStr">
        <is>
          <t>Manicaland</t>
        </is>
      </c>
      <c r="E51" t="inlineStr">
        <is>
          <t>ZW11</t>
        </is>
      </c>
      <c r="F51" t="inlineStr">
        <is>
          <t>Zimbabwe</t>
        </is>
      </c>
      <c r="G51" t="inlineStr">
        <is>
          <t>ZWE</t>
        </is>
      </c>
    </row>
    <row r="52">
      <c r="A52" t="inlineStr">
        <is>
          <t>Mangwe</t>
        </is>
      </c>
      <c r="B52" t="inlineStr">
        <is>
          <t xml:space="preserve"> </t>
        </is>
      </c>
      <c r="C52" t="inlineStr">
        <is>
          <t>ZW1603</t>
        </is>
      </c>
      <c r="D52" t="inlineStr">
        <is>
          <t>Matabeleland South</t>
        </is>
      </c>
      <c r="E52" t="inlineStr">
        <is>
          <t>ZW16</t>
        </is>
      </c>
      <c r="F52" t="inlineStr">
        <is>
          <t>Zimbabwe</t>
        </is>
      </c>
      <c r="G52" t="inlineStr">
        <is>
          <t>ZWE</t>
        </is>
      </c>
    </row>
    <row r="53">
      <c r="A53" t="inlineStr">
        <is>
          <t>Marondera</t>
        </is>
      </c>
      <c r="B53" t="inlineStr">
        <is>
          <t xml:space="preserve"> </t>
        </is>
      </c>
      <c r="C53" t="inlineStr">
        <is>
          <t>ZW1304</t>
        </is>
      </c>
      <c r="D53" t="inlineStr">
        <is>
          <t>Mashonaland East</t>
        </is>
      </c>
      <c r="E53" t="inlineStr">
        <is>
          <t>ZW13</t>
        </is>
      </c>
      <c r="F53" t="inlineStr">
        <is>
          <t>Zimbabwe</t>
        </is>
      </c>
      <c r="G53" t="inlineStr">
        <is>
          <t>ZWE</t>
        </is>
      </c>
    </row>
    <row r="54">
      <c r="A54" t="inlineStr">
        <is>
          <t>Marondera Urban</t>
        </is>
      </c>
      <c r="B54" t="inlineStr">
        <is>
          <t xml:space="preserve"> </t>
        </is>
      </c>
      <c r="C54" t="inlineStr">
        <is>
          <t>ZW1321</t>
        </is>
      </c>
      <c r="D54" t="inlineStr">
        <is>
          <t>Mashonaland East</t>
        </is>
      </c>
      <c r="E54" t="inlineStr">
        <is>
          <t>ZW13</t>
        </is>
      </c>
      <c r="F54" t="inlineStr">
        <is>
          <t>Zimbabwe</t>
        </is>
      </c>
      <c r="G54" t="inlineStr">
        <is>
          <t>ZWE</t>
        </is>
      </c>
    </row>
    <row r="55">
      <c r="A55" t="inlineStr">
        <is>
          <t>Masvingo</t>
        </is>
      </c>
      <c r="B55" t="inlineStr">
        <is>
          <t xml:space="preserve"> </t>
        </is>
      </c>
      <c r="C55" t="inlineStr">
        <is>
          <t>ZW1805</t>
        </is>
      </c>
      <c r="D55" t="inlineStr">
        <is>
          <t>Masvingo</t>
        </is>
      </c>
      <c r="E55" t="inlineStr">
        <is>
          <t>ZW18</t>
        </is>
      </c>
      <c r="F55" t="inlineStr">
        <is>
          <t>Zimbabwe</t>
        </is>
      </c>
      <c r="G55" t="inlineStr">
        <is>
          <t>ZWE</t>
        </is>
      </c>
    </row>
    <row r="56">
      <c r="A56" t="inlineStr">
        <is>
          <t>Masvingo Urban</t>
        </is>
      </c>
      <c r="B56" t="inlineStr">
        <is>
          <t xml:space="preserve"> </t>
        </is>
      </c>
      <c r="C56" t="inlineStr">
        <is>
          <t>ZW1821</t>
        </is>
      </c>
      <c r="D56" t="inlineStr">
        <is>
          <t>Masvingo</t>
        </is>
      </c>
      <c r="E56" t="inlineStr">
        <is>
          <t>ZW18</t>
        </is>
      </c>
      <c r="F56" t="inlineStr">
        <is>
          <t>Zimbabwe</t>
        </is>
      </c>
      <c r="G56" t="inlineStr">
        <is>
          <t>ZWE</t>
        </is>
      </c>
    </row>
    <row r="57">
      <c r="A57" t="inlineStr">
        <is>
          <t>Matobo</t>
        </is>
      </c>
      <c r="B57" t="inlineStr">
        <is>
          <t xml:space="preserve"> </t>
        </is>
      </c>
      <c r="C57" t="inlineStr">
        <is>
          <t>ZW1606</t>
        </is>
      </c>
      <c r="D57" t="inlineStr">
        <is>
          <t>Matabeleland South</t>
        </is>
      </c>
      <c r="E57" t="inlineStr">
        <is>
          <t>ZW16</t>
        </is>
      </c>
      <c r="F57" t="inlineStr">
        <is>
          <t>Zimbabwe</t>
        </is>
      </c>
      <c r="G57" t="inlineStr">
        <is>
          <t>ZWE</t>
        </is>
      </c>
    </row>
    <row r="58">
      <c r="A58" t="inlineStr">
        <is>
          <t>Mazowe</t>
        </is>
      </c>
      <c r="B58" t="inlineStr">
        <is>
          <t xml:space="preserve"> </t>
        </is>
      </c>
      <c r="C58" t="inlineStr">
        <is>
          <t>ZW1204</t>
        </is>
      </c>
      <c r="D58" t="inlineStr">
        <is>
          <t>Mashonaland Central</t>
        </is>
      </c>
      <c r="E58" t="inlineStr">
        <is>
          <t>ZW12</t>
        </is>
      </c>
      <c r="F58" t="inlineStr">
        <is>
          <t>Zimbabwe</t>
        </is>
      </c>
      <c r="G58" t="inlineStr">
        <is>
          <t>ZWE</t>
        </is>
      </c>
    </row>
    <row r="59">
      <c r="A59" t="inlineStr">
        <is>
          <t>Mberengwa</t>
        </is>
      </c>
      <c r="B59" t="inlineStr">
        <is>
          <t xml:space="preserve"> </t>
        </is>
      </c>
      <c r="C59" t="inlineStr">
        <is>
          <t>ZW1706</t>
        </is>
      </c>
      <c r="D59" t="inlineStr">
        <is>
          <t>Midlands</t>
        </is>
      </c>
      <c r="E59" t="inlineStr">
        <is>
          <t>ZW17</t>
        </is>
      </c>
      <c r="F59" t="inlineStr">
        <is>
          <t>Zimbabwe</t>
        </is>
      </c>
      <c r="G59" t="inlineStr">
        <is>
          <t>ZWE</t>
        </is>
      </c>
    </row>
    <row r="60">
      <c r="A60" t="inlineStr">
        <is>
          <t>Mbire</t>
        </is>
      </c>
      <c r="B60" t="inlineStr">
        <is>
          <t xml:space="preserve"> </t>
        </is>
      </c>
      <c r="C60" t="inlineStr">
        <is>
          <t>ZW1208</t>
        </is>
      </c>
      <c r="D60" t="inlineStr">
        <is>
          <t>Mashonaland Central</t>
        </is>
      </c>
      <c r="E60" t="inlineStr">
        <is>
          <t>ZW12</t>
        </is>
      </c>
      <c r="F60" t="inlineStr">
        <is>
          <t>Zimbabwe</t>
        </is>
      </c>
      <c r="G60" t="inlineStr">
        <is>
          <t>ZWE</t>
        </is>
      </c>
    </row>
    <row r="61">
      <c r="A61" t="inlineStr">
        <is>
          <t>Mhondoro-Ngezi</t>
        </is>
      </c>
      <c r="B61" t="inlineStr">
        <is>
          <t xml:space="preserve"> </t>
        </is>
      </c>
      <c r="C61" t="inlineStr">
        <is>
          <t>ZW1427</t>
        </is>
      </c>
      <c r="D61" t="inlineStr">
        <is>
          <t>Mashonaland West</t>
        </is>
      </c>
      <c r="E61" t="inlineStr">
        <is>
          <t>ZW14</t>
        </is>
      </c>
      <c r="F61" t="inlineStr">
        <is>
          <t>Zimbabwe</t>
        </is>
      </c>
      <c r="G61" t="inlineStr">
        <is>
          <t>ZWE</t>
        </is>
      </c>
    </row>
    <row r="62">
      <c r="A62" t="inlineStr">
        <is>
          <t>Mount Darwin</t>
        </is>
      </c>
      <c r="B62" t="inlineStr">
        <is>
          <t xml:space="preserve"> </t>
        </is>
      </c>
      <c r="C62" t="inlineStr">
        <is>
          <t>ZW1205</t>
        </is>
      </c>
      <c r="D62" t="inlineStr">
        <is>
          <t>Mashonaland Central</t>
        </is>
      </c>
      <c r="E62" t="inlineStr">
        <is>
          <t>ZW12</t>
        </is>
      </c>
      <c r="F62" t="inlineStr">
        <is>
          <t>Zimbabwe</t>
        </is>
      </c>
      <c r="G62" t="inlineStr">
        <is>
          <t>ZWE</t>
        </is>
      </c>
    </row>
    <row r="63">
      <c r="A63" t="inlineStr">
        <is>
          <t>Mudzi</t>
        </is>
      </c>
      <c r="B63" t="inlineStr">
        <is>
          <t xml:space="preserve"> </t>
        </is>
      </c>
      <c r="C63" t="inlineStr">
        <is>
          <t>ZW1305</t>
        </is>
      </c>
      <c r="D63" t="inlineStr">
        <is>
          <t>Mashonaland East</t>
        </is>
      </c>
      <c r="E63" t="inlineStr">
        <is>
          <t>ZW13</t>
        </is>
      </c>
      <c r="F63" t="inlineStr">
        <is>
          <t>Zimbabwe</t>
        </is>
      </c>
      <c r="G63" t="inlineStr">
        <is>
          <t>ZWE</t>
        </is>
      </c>
    </row>
    <row r="64">
      <c r="A64" t="inlineStr">
        <is>
          <t>Murehwa</t>
        </is>
      </c>
      <c r="B64" t="inlineStr">
        <is>
          <t xml:space="preserve"> </t>
        </is>
      </c>
      <c r="C64" t="inlineStr">
        <is>
          <t>ZW1306</t>
        </is>
      </c>
      <c r="D64" t="inlineStr">
        <is>
          <t>Mashonaland East</t>
        </is>
      </c>
      <c r="E64" t="inlineStr">
        <is>
          <t>ZW13</t>
        </is>
      </c>
      <c r="F64" t="inlineStr">
        <is>
          <t>Zimbabwe</t>
        </is>
      </c>
      <c r="G64" t="inlineStr">
        <is>
          <t>ZWE</t>
        </is>
      </c>
    </row>
    <row r="65">
      <c r="A65" t="inlineStr">
        <is>
          <t>Mutare</t>
        </is>
      </c>
      <c r="B65" t="inlineStr">
        <is>
          <t xml:space="preserve"> </t>
        </is>
      </c>
      <c r="C65" t="inlineStr">
        <is>
          <t>ZW1105</t>
        </is>
      </c>
      <c r="D65" t="inlineStr">
        <is>
          <t>Manicaland</t>
        </is>
      </c>
      <c r="E65" t="inlineStr">
        <is>
          <t>ZW11</t>
        </is>
      </c>
      <c r="F65" t="inlineStr">
        <is>
          <t>Zimbabwe</t>
        </is>
      </c>
      <c r="G65" t="inlineStr">
        <is>
          <t>ZWE</t>
        </is>
      </c>
    </row>
    <row r="66">
      <c r="A66" t="inlineStr">
        <is>
          <t>Mutare Urban</t>
        </is>
      </c>
      <c r="B66" t="inlineStr">
        <is>
          <t xml:space="preserve"> </t>
        </is>
      </c>
      <c r="C66" t="inlineStr">
        <is>
          <t>ZW1121</t>
        </is>
      </c>
      <c r="D66" t="inlineStr">
        <is>
          <t>Manicaland</t>
        </is>
      </c>
      <c r="E66" t="inlineStr">
        <is>
          <t>ZW11</t>
        </is>
      </c>
      <c r="F66" t="inlineStr">
        <is>
          <t>Zimbabwe</t>
        </is>
      </c>
      <c r="G66" t="inlineStr">
        <is>
          <t>ZWE</t>
        </is>
      </c>
    </row>
    <row r="67">
      <c r="A67" t="inlineStr">
        <is>
          <t>Mutasa</t>
        </is>
      </c>
      <c r="B67" t="inlineStr">
        <is>
          <t xml:space="preserve"> </t>
        </is>
      </c>
      <c r="C67" t="inlineStr">
        <is>
          <t>ZW1106</t>
        </is>
      </c>
      <c r="D67" t="inlineStr">
        <is>
          <t>Manicaland</t>
        </is>
      </c>
      <c r="E67" t="inlineStr">
        <is>
          <t>ZW11</t>
        </is>
      </c>
      <c r="F67" t="inlineStr">
        <is>
          <t>Zimbabwe</t>
        </is>
      </c>
      <c r="G67" t="inlineStr">
        <is>
          <t>ZWE</t>
        </is>
      </c>
    </row>
    <row r="68">
      <c r="A68" t="inlineStr">
        <is>
          <t>Mutoko</t>
        </is>
      </c>
      <c r="B68" t="inlineStr">
        <is>
          <t xml:space="preserve"> </t>
        </is>
      </c>
      <c r="C68" t="inlineStr">
        <is>
          <t>ZW1307</t>
        </is>
      </c>
      <c r="D68" t="inlineStr">
        <is>
          <t>Mashonaland East</t>
        </is>
      </c>
      <c r="E68" t="inlineStr">
        <is>
          <t>ZW13</t>
        </is>
      </c>
      <c r="F68" t="inlineStr">
        <is>
          <t>Zimbabwe</t>
        </is>
      </c>
      <c r="G68" t="inlineStr">
        <is>
          <t>ZWE</t>
        </is>
      </c>
    </row>
    <row r="69">
      <c r="A69" t="inlineStr">
        <is>
          <t>Mvurwi</t>
        </is>
      </c>
      <c r="B69" t="inlineStr">
        <is>
          <t xml:space="preserve"> </t>
        </is>
      </c>
      <c r="C69" t="inlineStr">
        <is>
          <t>ZW1209</t>
        </is>
      </c>
      <c r="D69" t="inlineStr">
        <is>
          <t>Mashonaland Central</t>
        </is>
      </c>
      <c r="E69" t="inlineStr">
        <is>
          <t>ZW12</t>
        </is>
      </c>
      <c r="F69" t="inlineStr">
        <is>
          <t>Zimbabwe</t>
        </is>
      </c>
      <c r="G69" t="inlineStr">
        <is>
          <t>ZWE</t>
        </is>
      </c>
    </row>
    <row r="70">
      <c r="A70" t="inlineStr">
        <is>
          <t>Mwenezi</t>
        </is>
      </c>
      <c r="B70" t="inlineStr">
        <is>
          <t xml:space="preserve"> </t>
        </is>
      </c>
      <c r="C70" t="inlineStr">
        <is>
          <t>ZW1806</t>
        </is>
      </c>
      <c r="D70" t="inlineStr">
        <is>
          <t>Masvingo</t>
        </is>
      </c>
      <c r="E70" t="inlineStr">
        <is>
          <t>ZW18</t>
        </is>
      </c>
      <c r="F70" t="inlineStr">
        <is>
          <t>Zimbabwe</t>
        </is>
      </c>
      <c r="G70" t="inlineStr">
        <is>
          <t>ZWE</t>
        </is>
      </c>
    </row>
    <row r="71">
      <c r="A71" t="inlineStr">
        <is>
          <t>Nkayi</t>
        </is>
      </c>
      <c r="B71" t="inlineStr">
        <is>
          <t xml:space="preserve"> </t>
        </is>
      </c>
      <c r="C71" t="inlineStr">
        <is>
          <t>ZW1505</t>
        </is>
      </c>
      <c r="D71" t="inlineStr">
        <is>
          <t>Matabeleland North</t>
        </is>
      </c>
      <c r="E71" t="inlineStr">
        <is>
          <t>ZW15</t>
        </is>
      </c>
      <c r="F71" t="inlineStr">
        <is>
          <t>Zimbabwe</t>
        </is>
      </c>
      <c r="G71" t="inlineStr">
        <is>
          <t>ZWE</t>
        </is>
      </c>
    </row>
    <row r="72">
      <c r="A72" t="inlineStr">
        <is>
          <t>Norton</t>
        </is>
      </c>
      <c r="B72" t="inlineStr">
        <is>
          <t xml:space="preserve"> </t>
        </is>
      </c>
      <c r="C72" t="inlineStr">
        <is>
          <t>ZW1425</t>
        </is>
      </c>
      <c r="D72" t="inlineStr">
        <is>
          <t>Mashonaland West</t>
        </is>
      </c>
      <c r="E72" t="inlineStr">
        <is>
          <t>ZW14</t>
        </is>
      </c>
      <c r="F72" t="inlineStr">
        <is>
          <t>Zimbabwe</t>
        </is>
      </c>
      <c r="G72" t="inlineStr">
        <is>
          <t>ZWE</t>
        </is>
      </c>
    </row>
    <row r="73">
      <c r="A73" t="inlineStr">
        <is>
          <t>Nyanga</t>
        </is>
      </c>
      <c r="B73" t="inlineStr">
        <is>
          <t xml:space="preserve"> </t>
        </is>
      </c>
      <c r="C73" t="inlineStr">
        <is>
          <t>ZW1107</t>
        </is>
      </c>
      <c r="D73" t="inlineStr">
        <is>
          <t>Manicaland</t>
        </is>
      </c>
      <c r="E73" t="inlineStr">
        <is>
          <t>ZW11</t>
        </is>
      </c>
      <c r="F73" t="inlineStr">
        <is>
          <t>Zimbabwe</t>
        </is>
      </c>
      <c r="G73" t="inlineStr">
        <is>
          <t>ZWE</t>
        </is>
      </c>
    </row>
    <row r="74">
      <c r="A74" t="inlineStr">
        <is>
          <t>Plumtree</t>
        </is>
      </c>
      <c r="B74" t="inlineStr">
        <is>
          <t xml:space="preserve"> </t>
        </is>
      </c>
      <c r="C74" t="inlineStr">
        <is>
          <t>ZW1623</t>
        </is>
      </c>
      <c r="D74" t="inlineStr">
        <is>
          <t>Matabeleland South</t>
        </is>
      </c>
      <c r="E74" t="inlineStr">
        <is>
          <t>ZW16</t>
        </is>
      </c>
      <c r="F74" t="inlineStr">
        <is>
          <t>Zimbabwe</t>
        </is>
      </c>
      <c r="G74" t="inlineStr">
        <is>
          <t>ZWE</t>
        </is>
      </c>
    </row>
    <row r="75">
      <c r="A75" t="inlineStr">
        <is>
          <t>Redcliff</t>
        </is>
      </c>
      <c r="B75" t="inlineStr">
        <is>
          <t xml:space="preserve"> </t>
        </is>
      </c>
      <c r="C75" t="inlineStr">
        <is>
          <t>ZW1723</t>
        </is>
      </c>
      <c r="D75" t="inlineStr">
        <is>
          <t>Midlands</t>
        </is>
      </c>
      <c r="E75" t="inlineStr">
        <is>
          <t>ZW17</t>
        </is>
      </c>
      <c r="F75" t="inlineStr">
        <is>
          <t>Zimbabwe</t>
        </is>
      </c>
      <c r="G75" t="inlineStr">
        <is>
          <t>ZWE</t>
        </is>
      </c>
    </row>
    <row r="76">
      <c r="A76" t="inlineStr">
        <is>
          <t>Rusape</t>
        </is>
      </c>
      <c r="B76" t="inlineStr">
        <is>
          <t xml:space="preserve"> </t>
        </is>
      </c>
      <c r="C76" t="inlineStr">
        <is>
          <t>ZW1122</t>
        </is>
      </c>
      <c r="D76" t="inlineStr">
        <is>
          <t>Manicaland</t>
        </is>
      </c>
      <c r="E76" t="inlineStr">
        <is>
          <t>ZW11</t>
        </is>
      </c>
      <c r="F76" t="inlineStr">
        <is>
          <t>Zimbabwe</t>
        </is>
      </c>
      <c r="G76" t="inlineStr">
        <is>
          <t>ZWE</t>
        </is>
      </c>
    </row>
    <row r="77">
      <c r="A77" t="inlineStr">
        <is>
          <t>Rushinga</t>
        </is>
      </c>
      <c r="B77" t="inlineStr">
        <is>
          <t xml:space="preserve"> </t>
        </is>
      </c>
      <c r="C77" t="inlineStr">
        <is>
          <t>ZW1206</t>
        </is>
      </c>
      <c r="D77" t="inlineStr">
        <is>
          <t>Mashonaland Central</t>
        </is>
      </c>
      <c r="E77" t="inlineStr">
        <is>
          <t>ZW12</t>
        </is>
      </c>
      <c r="F77" t="inlineStr">
        <is>
          <t>Zimbabwe</t>
        </is>
      </c>
      <c r="G77" t="inlineStr">
        <is>
          <t>ZWE</t>
        </is>
      </c>
    </row>
    <row r="78">
      <c r="A78" t="inlineStr">
        <is>
          <t>Ruwa</t>
        </is>
      </c>
      <c r="B78" t="inlineStr">
        <is>
          <t xml:space="preserve"> </t>
        </is>
      </c>
      <c r="C78" t="inlineStr">
        <is>
          <t>ZW1326</t>
        </is>
      </c>
      <c r="D78" t="inlineStr">
        <is>
          <t>Mashonaland East</t>
        </is>
      </c>
      <c r="E78" t="inlineStr">
        <is>
          <t>ZW13</t>
        </is>
      </c>
      <c r="F78" t="inlineStr">
        <is>
          <t>Zimbabwe</t>
        </is>
      </c>
      <c r="G78" t="inlineStr">
        <is>
          <t>ZWE</t>
        </is>
      </c>
    </row>
    <row r="79">
      <c r="A79" t="inlineStr">
        <is>
          <t>Sanyati</t>
        </is>
      </c>
      <c r="B79" t="inlineStr">
        <is>
          <t xml:space="preserve"> </t>
        </is>
      </c>
      <c r="C79" t="inlineStr">
        <is>
          <t>ZW1428</t>
        </is>
      </c>
      <c r="D79" t="inlineStr">
        <is>
          <t>Mashonaland West</t>
        </is>
      </c>
      <c r="E79" t="inlineStr">
        <is>
          <t>ZW14</t>
        </is>
      </c>
      <c r="F79" t="inlineStr">
        <is>
          <t>Zimbabwe</t>
        </is>
      </c>
      <c r="G79" t="inlineStr">
        <is>
          <t>ZWE</t>
        </is>
      </c>
    </row>
    <row r="80">
      <c r="A80" t="inlineStr">
        <is>
          <t>Seke</t>
        </is>
      </c>
      <c r="B80" t="inlineStr">
        <is>
          <t xml:space="preserve"> </t>
        </is>
      </c>
      <c r="C80" t="inlineStr">
        <is>
          <t>ZW1308</t>
        </is>
      </c>
      <c r="D80" t="inlineStr">
        <is>
          <t>Mashonaland East</t>
        </is>
      </c>
      <c r="E80" t="inlineStr">
        <is>
          <t>ZW13</t>
        </is>
      </c>
      <c r="F80" t="inlineStr">
        <is>
          <t>Zimbabwe</t>
        </is>
      </c>
      <c r="G80" t="inlineStr">
        <is>
          <t>ZWE</t>
        </is>
      </c>
    </row>
    <row r="81">
      <c r="A81" t="inlineStr">
        <is>
          <t>Shamva</t>
        </is>
      </c>
      <c r="B81" t="inlineStr">
        <is>
          <t xml:space="preserve"> </t>
        </is>
      </c>
      <c r="C81" t="inlineStr">
        <is>
          <t>ZW1207</t>
        </is>
      </c>
      <c r="D81" t="inlineStr">
        <is>
          <t>Mashonaland Central</t>
        </is>
      </c>
      <c r="E81" t="inlineStr">
        <is>
          <t>ZW12</t>
        </is>
      </c>
      <c r="F81" t="inlineStr">
        <is>
          <t>Zimbabwe</t>
        </is>
      </c>
      <c r="G81" t="inlineStr">
        <is>
          <t>ZWE</t>
        </is>
      </c>
    </row>
    <row r="82">
      <c r="A82" t="inlineStr">
        <is>
          <t>Shurugwi</t>
        </is>
      </c>
      <c r="B82" t="inlineStr">
        <is>
          <t xml:space="preserve"> </t>
        </is>
      </c>
      <c r="C82" t="inlineStr">
        <is>
          <t>ZW1707</t>
        </is>
      </c>
      <c r="D82" t="inlineStr">
        <is>
          <t>Midlands</t>
        </is>
      </c>
      <c r="E82" t="inlineStr">
        <is>
          <t>ZW17</t>
        </is>
      </c>
      <c r="F82" t="inlineStr">
        <is>
          <t>Zimbabwe</t>
        </is>
      </c>
      <c r="G82" t="inlineStr">
        <is>
          <t>ZWE</t>
        </is>
      </c>
    </row>
    <row r="83">
      <c r="A83" t="inlineStr">
        <is>
          <t>Shurugwi Town</t>
        </is>
      </c>
      <c r="B83" t="inlineStr">
        <is>
          <t xml:space="preserve"> </t>
        </is>
      </c>
      <c r="C83" t="inlineStr">
        <is>
          <t>ZW1728</t>
        </is>
      </c>
      <c r="D83" t="inlineStr">
        <is>
          <t>Midlands</t>
        </is>
      </c>
      <c r="E83" t="inlineStr">
        <is>
          <t>ZW17</t>
        </is>
      </c>
      <c r="F83" t="inlineStr">
        <is>
          <t>Zimbabwe</t>
        </is>
      </c>
      <c r="G83" t="inlineStr">
        <is>
          <t>ZWE</t>
        </is>
      </c>
    </row>
    <row r="84">
      <c r="A84" t="inlineStr">
        <is>
          <t>Tsholotsho</t>
        </is>
      </c>
      <c r="B84" t="inlineStr">
        <is>
          <t xml:space="preserve"> </t>
        </is>
      </c>
      <c r="C84" t="inlineStr">
        <is>
          <t>ZW1506</t>
        </is>
      </c>
      <c r="D84" t="inlineStr">
        <is>
          <t>Matabeleland North</t>
        </is>
      </c>
      <c r="E84" t="inlineStr">
        <is>
          <t>ZW15</t>
        </is>
      </c>
      <c r="F84" t="inlineStr">
        <is>
          <t>Zimbabwe</t>
        </is>
      </c>
      <c r="G84" t="inlineStr">
        <is>
          <t>ZWE</t>
        </is>
      </c>
    </row>
    <row r="85">
      <c r="A85" t="inlineStr">
        <is>
          <t>Umguza</t>
        </is>
      </c>
      <c r="B85" t="inlineStr">
        <is>
          <t xml:space="preserve"> </t>
        </is>
      </c>
      <c r="C85" t="inlineStr">
        <is>
          <t>ZW1507</t>
        </is>
      </c>
      <c r="D85" t="inlineStr">
        <is>
          <t>Matabeleland North</t>
        </is>
      </c>
      <c r="E85" t="inlineStr">
        <is>
          <t>ZW15</t>
        </is>
      </c>
      <c r="F85" t="inlineStr">
        <is>
          <t>Zimbabwe</t>
        </is>
      </c>
      <c r="G85" t="inlineStr">
        <is>
          <t>ZWE</t>
        </is>
      </c>
    </row>
    <row r="86">
      <c r="A86" t="inlineStr">
        <is>
          <t>Umzingwane</t>
        </is>
      </c>
      <c r="B86" t="inlineStr">
        <is>
          <t xml:space="preserve"> </t>
        </is>
      </c>
      <c r="C86" t="inlineStr">
        <is>
          <t>ZW1607</t>
        </is>
      </c>
      <c r="D86" t="inlineStr">
        <is>
          <t>Matabeleland South</t>
        </is>
      </c>
      <c r="E86" t="inlineStr">
        <is>
          <t>ZW16</t>
        </is>
      </c>
      <c r="F86" t="inlineStr">
        <is>
          <t>Zimbabwe</t>
        </is>
      </c>
      <c r="G86" t="inlineStr">
        <is>
          <t>ZWE</t>
        </is>
      </c>
    </row>
    <row r="87">
      <c r="A87" t="inlineStr">
        <is>
          <t>Uzumba Maramba Pfungwe</t>
        </is>
      </c>
      <c r="B87" t="inlineStr">
        <is>
          <t xml:space="preserve"> </t>
        </is>
      </c>
      <c r="C87" t="inlineStr">
        <is>
          <t>ZW1309</t>
        </is>
      </c>
      <c r="D87" t="inlineStr">
        <is>
          <t>Mashonaland East</t>
        </is>
      </c>
      <c r="E87" t="inlineStr">
        <is>
          <t>ZW13</t>
        </is>
      </c>
      <c r="F87" t="inlineStr">
        <is>
          <t>Zimbabwe</t>
        </is>
      </c>
      <c r="G87" t="inlineStr">
        <is>
          <t>ZWE</t>
        </is>
      </c>
    </row>
    <row r="88">
      <c r="A88" t="inlineStr">
        <is>
          <t>Victoria Falls</t>
        </is>
      </c>
      <c r="B88" t="inlineStr">
        <is>
          <t xml:space="preserve"> </t>
        </is>
      </c>
      <c r="C88" t="inlineStr">
        <is>
          <t>ZW1522</t>
        </is>
      </c>
      <c r="D88" t="inlineStr">
        <is>
          <t>Matabeleland North</t>
        </is>
      </c>
      <c r="E88" t="inlineStr">
        <is>
          <t>ZW15</t>
        </is>
      </c>
      <c r="F88" t="inlineStr">
        <is>
          <t>Zimbabwe</t>
        </is>
      </c>
      <c r="G88" t="inlineStr">
        <is>
          <t>ZWE</t>
        </is>
      </c>
    </row>
    <row r="89">
      <c r="A89" t="inlineStr">
        <is>
          <t>Zaka</t>
        </is>
      </c>
      <c r="B89" t="inlineStr">
        <is>
          <t xml:space="preserve"> </t>
        </is>
      </c>
      <c r="C89" t="inlineStr">
        <is>
          <t>ZW1807</t>
        </is>
      </c>
      <c r="D89" t="inlineStr">
        <is>
          <t>Masvingo</t>
        </is>
      </c>
      <c r="E89" t="inlineStr">
        <is>
          <t>ZW18</t>
        </is>
      </c>
      <c r="F89" t="inlineStr">
        <is>
          <t>Zimbabwe</t>
        </is>
      </c>
      <c r="G89" t="inlineStr">
        <is>
          <t>ZWE</t>
        </is>
      </c>
    </row>
    <row r="90">
      <c r="A90" t="inlineStr">
        <is>
          <t>Zvimba</t>
        </is>
      </c>
      <c r="B90" t="inlineStr">
        <is>
          <t xml:space="preserve"> </t>
        </is>
      </c>
      <c r="C90" t="inlineStr">
        <is>
          <t>ZW1406</t>
        </is>
      </c>
      <c r="D90" t="inlineStr">
        <is>
          <t>Mashonaland West</t>
        </is>
      </c>
      <c r="E90" t="inlineStr">
        <is>
          <t>ZW14</t>
        </is>
      </c>
      <c r="F90" t="inlineStr">
        <is>
          <t>Zimbabwe</t>
        </is>
      </c>
      <c r="G90" t="inlineStr">
        <is>
          <t>ZWE</t>
        </is>
      </c>
    </row>
    <row r="91">
      <c r="A91" t="inlineStr">
        <is>
          <t>Zvishavane</t>
        </is>
      </c>
      <c r="B91" t="inlineStr">
        <is>
          <t xml:space="preserve"> </t>
        </is>
      </c>
      <c r="C91" t="inlineStr">
        <is>
          <t>ZW1708</t>
        </is>
      </c>
      <c r="D91" t="inlineStr">
        <is>
          <t>Midlands</t>
        </is>
      </c>
      <c r="E91" t="inlineStr">
        <is>
          <t>ZW17</t>
        </is>
      </c>
      <c r="F91" t="inlineStr">
        <is>
          <t>Zimbabwe</t>
        </is>
      </c>
      <c r="G91" t="inlineStr">
        <is>
          <t>ZWE</t>
        </is>
      </c>
    </row>
    <row r="92">
      <c r="A92" t="inlineStr">
        <is>
          <t>Zvishavane Urban</t>
        </is>
      </c>
      <c r="B92" t="inlineStr">
        <is>
          <t xml:space="preserve"> </t>
        </is>
      </c>
      <c r="C92" t="inlineStr">
        <is>
          <t>ZW1725</t>
        </is>
      </c>
      <c r="D92" t="inlineStr">
        <is>
          <t>Midlands</t>
        </is>
      </c>
      <c r="E92" t="inlineStr">
        <is>
          <t>ZW17</t>
        </is>
      </c>
      <c r="F92" t="inlineStr">
        <is>
          <t>Zimbabwe</t>
        </is>
      </c>
      <c r="G92" t="inlineStr">
        <is>
          <t>ZWE</t>
        </is>
      </c>
    </row>
  </sheetData>
  <sheetProtection selectLockedCells="0" selectUnlockedCells="0" algorithmName="SHA-512" sheet="1" objects="1" insertRows="1" insertHyperlinks="1" autoFilter="1" scenarios="1" formatColumns="1" deleteColumns="1" insertColumns="1" pivotTables="1" deleteRows="1" formatCells="1" saltValue="WnIkT+jM74HuF4Xs+8bDhQ==" formatRows="1" sort="1" spinCount="100000" hashValue="CZEc/cIB+TIUh+n7tPeHdfyYXey2UCI7TDM9Xqs1lID/R9bBjuezIUCxXzYUvugJE2HBjuyBBKjYrKGRfopLo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2"/>
  <sheetViews>
    <sheetView workbookViewId="0">
      <selection activeCell="A1" sqref="A1"/>
    </sheetView>
  </sheetViews>
  <sheetFormatPr baseColWidth="8" defaultRowHeight="15"/>
  <sheetData>
    <row r="1">
      <c r="A1" s="588" t="inlineStr">
        <is>
          <t>adm2_name</t>
        </is>
      </c>
      <c r="B1" s="588" t="inlineStr">
        <is>
          <t>adm2_name_local</t>
        </is>
      </c>
      <c r="C1" s="588" t="inlineStr">
        <is>
          <t>adm2_pcode</t>
        </is>
      </c>
      <c r="D1" s="588" t="inlineStr">
        <is>
          <t>adm1_name</t>
        </is>
      </c>
      <c r="E1" s="588" t="inlineStr">
        <is>
          <t>adm1_pcode</t>
        </is>
      </c>
      <c r="F1" s="588" t="inlineStr">
        <is>
          <t>adm0_name</t>
        </is>
      </c>
      <c r="G1" s="588" t="inlineStr">
        <is>
          <t>adm0_ISO3</t>
        </is>
      </c>
    </row>
    <row r="2">
      <c r="A2" t="inlineStr">
        <is>
          <t>Zvishavane Urban</t>
        </is>
      </c>
      <c r="B2" t="inlineStr">
        <is>
          <t xml:space="preserve"> </t>
        </is>
      </c>
      <c r="C2" t="inlineStr">
        <is>
          <t>ZW1725</t>
        </is>
      </c>
      <c r="D2" t="inlineStr">
        <is>
          <t>Midlands</t>
        </is>
      </c>
      <c r="E2" t="inlineStr">
        <is>
          <t>ZW17</t>
        </is>
      </c>
      <c r="F2" t="inlineStr">
        <is>
          <t>Zimbabwe</t>
        </is>
      </c>
      <c r="G2" t="inlineStr">
        <is>
          <t>ZWE</t>
        </is>
      </c>
    </row>
    <row r="3">
      <c r="A3" t="inlineStr">
        <is>
          <t>Zvishavane</t>
        </is>
      </c>
      <c r="B3" t="inlineStr">
        <is>
          <t xml:space="preserve"> </t>
        </is>
      </c>
      <c r="C3" t="inlineStr">
        <is>
          <t>ZW1708</t>
        </is>
      </c>
      <c r="D3" t="inlineStr">
        <is>
          <t>Midlands</t>
        </is>
      </c>
      <c r="E3" t="inlineStr">
        <is>
          <t>ZW17</t>
        </is>
      </c>
      <c r="F3" t="inlineStr">
        <is>
          <t>Zimbabwe</t>
        </is>
      </c>
      <c r="G3" t="inlineStr">
        <is>
          <t>ZWE</t>
        </is>
      </c>
    </row>
    <row r="4">
      <c r="A4" t="inlineStr">
        <is>
          <t>Zvimba</t>
        </is>
      </c>
      <c r="B4" t="inlineStr">
        <is>
          <t xml:space="preserve"> </t>
        </is>
      </c>
      <c r="C4" t="inlineStr">
        <is>
          <t>ZW1406</t>
        </is>
      </c>
      <c r="D4" t="inlineStr">
        <is>
          <t>Mashonaland West</t>
        </is>
      </c>
      <c r="E4" t="inlineStr">
        <is>
          <t>ZW14</t>
        </is>
      </c>
      <c r="F4" t="inlineStr">
        <is>
          <t>Zimbabwe</t>
        </is>
      </c>
      <c r="G4" t="inlineStr">
        <is>
          <t>ZWE</t>
        </is>
      </c>
    </row>
    <row r="5">
      <c r="A5" t="inlineStr">
        <is>
          <t>Zaka</t>
        </is>
      </c>
      <c r="B5" t="inlineStr">
        <is>
          <t xml:space="preserve"> </t>
        </is>
      </c>
      <c r="C5" t="inlineStr">
        <is>
          <t>ZW1807</t>
        </is>
      </c>
      <c r="D5" t="inlineStr">
        <is>
          <t>Masvingo</t>
        </is>
      </c>
      <c r="E5" t="inlineStr">
        <is>
          <t>ZW18</t>
        </is>
      </c>
      <c r="F5" t="inlineStr">
        <is>
          <t>Zimbabwe</t>
        </is>
      </c>
      <c r="G5" t="inlineStr">
        <is>
          <t>ZWE</t>
        </is>
      </c>
    </row>
    <row r="6">
      <c r="A6" t="inlineStr">
        <is>
          <t>Victoria Falls</t>
        </is>
      </c>
      <c r="B6" t="inlineStr">
        <is>
          <t xml:space="preserve"> </t>
        </is>
      </c>
      <c r="C6" t="inlineStr">
        <is>
          <t>ZW1522</t>
        </is>
      </c>
      <c r="D6" t="inlineStr">
        <is>
          <t>Matabeleland North</t>
        </is>
      </c>
      <c r="E6" t="inlineStr">
        <is>
          <t>ZW15</t>
        </is>
      </c>
      <c r="F6" t="inlineStr">
        <is>
          <t>Zimbabwe</t>
        </is>
      </c>
      <c r="G6" t="inlineStr">
        <is>
          <t>ZWE</t>
        </is>
      </c>
    </row>
    <row r="7">
      <c r="A7" t="inlineStr">
        <is>
          <t>Uzumba Maramba Pfungwe</t>
        </is>
      </c>
      <c r="B7" t="inlineStr">
        <is>
          <t xml:space="preserve"> </t>
        </is>
      </c>
      <c r="C7" t="inlineStr">
        <is>
          <t>ZW1309</t>
        </is>
      </c>
      <c r="D7" t="inlineStr">
        <is>
          <t>Mashonaland East</t>
        </is>
      </c>
      <c r="E7" t="inlineStr">
        <is>
          <t>ZW13</t>
        </is>
      </c>
      <c r="F7" t="inlineStr">
        <is>
          <t>Zimbabwe</t>
        </is>
      </c>
      <c r="G7" t="inlineStr">
        <is>
          <t>ZWE</t>
        </is>
      </c>
    </row>
    <row r="8">
      <c r="A8" t="inlineStr">
        <is>
          <t>Umzingwane</t>
        </is>
      </c>
      <c r="B8" t="inlineStr">
        <is>
          <t xml:space="preserve"> </t>
        </is>
      </c>
      <c r="C8" t="inlineStr">
        <is>
          <t>ZW1607</t>
        </is>
      </c>
      <c r="D8" t="inlineStr">
        <is>
          <t>Matabeleland South</t>
        </is>
      </c>
      <c r="E8" t="inlineStr">
        <is>
          <t>ZW16</t>
        </is>
      </c>
      <c r="F8" t="inlineStr">
        <is>
          <t>Zimbabwe</t>
        </is>
      </c>
      <c r="G8" t="inlineStr">
        <is>
          <t>ZWE</t>
        </is>
      </c>
    </row>
    <row r="9">
      <c r="A9" t="inlineStr">
        <is>
          <t>Umguza</t>
        </is>
      </c>
      <c r="B9" t="inlineStr">
        <is>
          <t xml:space="preserve"> </t>
        </is>
      </c>
      <c r="C9" t="inlineStr">
        <is>
          <t>ZW1507</t>
        </is>
      </c>
      <c r="D9" t="inlineStr">
        <is>
          <t>Matabeleland North</t>
        </is>
      </c>
      <c r="E9" t="inlineStr">
        <is>
          <t>ZW15</t>
        </is>
      </c>
      <c r="F9" t="inlineStr">
        <is>
          <t>Zimbabwe</t>
        </is>
      </c>
      <c r="G9" t="inlineStr">
        <is>
          <t>ZWE</t>
        </is>
      </c>
    </row>
    <row r="10">
      <c r="A10" t="inlineStr">
        <is>
          <t>Tsholotsho</t>
        </is>
      </c>
      <c r="B10" t="inlineStr">
        <is>
          <t xml:space="preserve"> </t>
        </is>
      </c>
      <c r="C10" t="inlineStr">
        <is>
          <t>ZW1506</t>
        </is>
      </c>
      <c r="D10" t="inlineStr">
        <is>
          <t>Matabeleland North</t>
        </is>
      </c>
      <c r="E10" t="inlineStr">
        <is>
          <t>ZW15</t>
        </is>
      </c>
      <c r="F10" t="inlineStr">
        <is>
          <t>Zimbabwe</t>
        </is>
      </c>
      <c r="G10" t="inlineStr">
        <is>
          <t>ZWE</t>
        </is>
      </c>
    </row>
    <row r="11">
      <c r="A11" t="inlineStr">
        <is>
          <t>Shurugwi Town</t>
        </is>
      </c>
      <c r="B11" t="inlineStr">
        <is>
          <t xml:space="preserve"> </t>
        </is>
      </c>
      <c r="C11" t="inlineStr">
        <is>
          <t>ZW1728</t>
        </is>
      </c>
      <c r="D11" t="inlineStr">
        <is>
          <t>Midlands</t>
        </is>
      </c>
      <c r="E11" t="inlineStr">
        <is>
          <t>ZW17</t>
        </is>
      </c>
      <c r="F11" t="inlineStr">
        <is>
          <t>Zimbabwe</t>
        </is>
      </c>
      <c r="G11" t="inlineStr">
        <is>
          <t>ZWE</t>
        </is>
      </c>
    </row>
    <row r="12">
      <c r="A12" t="inlineStr">
        <is>
          <t>Redcliff</t>
        </is>
      </c>
      <c r="B12" t="inlineStr">
        <is>
          <t xml:space="preserve"> </t>
        </is>
      </c>
      <c r="C12" t="inlineStr">
        <is>
          <t>ZW1723</t>
        </is>
      </c>
      <c r="D12" t="inlineStr">
        <is>
          <t>Midlands</t>
        </is>
      </c>
      <c r="E12" t="inlineStr">
        <is>
          <t>ZW17</t>
        </is>
      </c>
      <c r="F12" t="inlineStr">
        <is>
          <t>Zimbabwe</t>
        </is>
      </c>
      <c r="G12" t="inlineStr">
        <is>
          <t>ZWE</t>
        </is>
      </c>
    </row>
    <row r="13">
      <c r="A13" t="inlineStr">
        <is>
          <t>Plumtree</t>
        </is>
      </c>
      <c r="B13" t="inlineStr">
        <is>
          <t xml:space="preserve"> </t>
        </is>
      </c>
      <c r="C13" t="inlineStr">
        <is>
          <t>ZW1623</t>
        </is>
      </c>
      <c r="D13" t="inlineStr">
        <is>
          <t>Matabeleland South</t>
        </is>
      </c>
      <c r="E13" t="inlineStr">
        <is>
          <t>ZW16</t>
        </is>
      </c>
      <c r="F13" t="inlineStr">
        <is>
          <t>Zimbabwe</t>
        </is>
      </c>
      <c r="G13" t="inlineStr">
        <is>
          <t>ZWE</t>
        </is>
      </c>
    </row>
    <row r="14">
      <c r="A14" t="inlineStr">
        <is>
          <t>Nyanga</t>
        </is>
      </c>
      <c r="B14" t="inlineStr">
        <is>
          <t xml:space="preserve"> </t>
        </is>
      </c>
      <c r="C14" t="inlineStr">
        <is>
          <t>ZW1107</t>
        </is>
      </c>
      <c r="D14" t="inlineStr">
        <is>
          <t>Manicaland</t>
        </is>
      </c>
      <c r="E14" t="inlineStr">
        <is>
          <t>ZW11</t>
        </is>
      </c>
      <c r="F14" t="inlineStr">
        <is>
          <t>Zimbabwe</t>
        </is>
      </c>
      <c r="G14" t="inlineStr">
        <is>
          <t>ZWE</t>
        </is>
      </c>
    </row>
    <row r="15">
      <c r="A15" t="inlineStr">
        <is>
          <t>Norton</t>
        </is>
      </c>
      <c r="B15" t="inlineStr">
        <is>
          <t xml:space="preserve"> </t>
        </is>
      </c>
      <c r="C15" t="inlineStr">
        <is>
          <t>ZW1425</t>
        </is>
      </c>
      <c r="D15" t="inlineStr">
        <is>
          <t>Mashonaland West</t>
        </is>
      </c>
      <c r="E15" t="inlineStr">
        <is>
          <t>ZW14</t>
        </is>
      </c>
      <c r="F15" t="inlineStr">
        <is>
          <t>Zimbabwe</t>
        </is>
      </c>
      <c r="G15" t="inlineStr">
        <is>
          <t>ZWE</t>
        </is>
      </c>
    </row>
    <row r="16">
      <c r="A16" t="inlineStr">
        <is>
          <t>Nkayi</t>
        </is>
      </c>
      <c r="B16" t="inlineStr">
        <is>
          <t xml:space="preserve"> </t>
        </is>
      </c>
      <c r="C16" t="inlineStr">
        <is>
          <t>ZW1505</t>
        </is>
      </c>
      <c r="D16" t="inlineStr">
        <is>
          <t>Matabeleland North</t>
        </is>
      </c>
      <c r="E16" t="inlineStr">
        <is>
          <t>ZW15</t>
        </is>
      </c>
      <c r="F16" t="inlineStr">
        <is>
          <t>Zimbabwe</t>
        </is>
      </c>
      <c r="G16" t="inlineStr">
        <is>
          <t>ZWE</t>
        </is>
      </c>
    </row>
    <row r="17">
      <c r="A17" t="inlineStr">
        <is>
          <t>Mwenezi</t>
        </is>
      </c>
      <c r="B17" t="inlineStr">
        <is>
          <t xml:space="preserve"> </t>
        </is>
      </c>
      <c r="C17" t="inlineStr">
        <is>
          <t>ZW1806</t>
        </is>
      </c>
      <c r="D17" t="inlineStr">
        <is>
          <t>Masvingo</t>
        </is>
      </c>
      <c r="E17" t="inlineStr">
        <is>
          <t>ZW18</t>
        </is>
      </c>
      <c r="F17" t="inlineStr">
        <is>
          <t>Zimbabwe</t>
        </is>
      </c>
      <c r="G17" t="inlineStr">
        <is>
          <t>ZWE</t>
        </is>
      </c>
    </row>
    <row r="18">
      <c r="A18" t="inlineStr">
        <is>
          <t>Mvurwi</t>
        </is>
      </c>
      <c r="B18" t="inlineStr">
        <is>
          <t xml:space="preserve"> </t>
        </is>
      </c>
      <c r="C18" t="inlineStr">
        <is>
          <t>ZW1209</t>
        </is>
      </c>
      <c r="D18" t="inlineStr">
        <is>
          <t>Mashonaland Central</t>
        </is>
      </c>
      <c r="E18" t="inlineStr">
        <is>
          <t>ZW12</t>
        </is>
      </c>
      <c r="F18" t="inlineStr">
        <is>
          <t>Zimbabwe</t>
        </is>
      </c>
      <c r="G18" t="inlineStr">
        <is>
          <t>ZWE</t>
        </is>
      </c>
    </row>
    <row r="19">
      <c r="A19" t="inlineStr">
        <is>
          <t>Mutoko</t>
        </is>
      </c>
      <c r="B19" t="inlineStr">
        <is>
          <t xml:space="preserve"> </t>
        </is>
      </c>
      <c r="C19" t="inlineStr">
        <is>
          <t>ZW1307</t>
        </is>
      </c>
      <c r="D19" t="inlineStr">
        <is>
          <t>Mashonaland East</t>
        </is>
      </c>
      <c r="E19" t="inlineStr">
        <is>
          <t>ZW13</t>
        </is>
      </c>
      <c r="F19" t="inlineStr">
        <is>
          <t>Zimbabwe</t>
        </is>
      </c>
      <c r="G19" t="inlineStr">
        <is>
          <t>ZWE</t>
        </is>
      </c>
    </row>
    <row r="20">
      <c r="A20" t="inlineStr">
        <is>
          <t>Mutasa</t>
        </is>
      </c>
      <c r="B20" t="inlineStr">
        <is>
          <t xml:space="preserve"> </t>
        </is>
      </c>
      <c r="C20" t="inlineStr">
        <is>
          <t>ZW1106</t>
        </is>
      </c>
      <c r="D20" t="inlineStr">
        <is>
          <t>Manicaland</t>
        </is>
      </c>
      <c r="E20" t="inlineStr">
        <is>
          <t>ZW11</t>
        </is>
      </c>
      <c r="F20" t="inlineStr">
        <is>
          <t>Zimbabwe</t>
        </is>
      </c>
      <c r="G20" t="inlineStr">
        <is>
          <t>ZWE</t>
        </is>
      </c>
    </row>
    <row r="21">
      <c r="A21" t="inlineStr">
        <is>
          <t>Mutare Urban</t>
        </is>
      </c>
      <c r="B21" t="inlineStr">
        <is>
          <t xml:space="preserve"> </t>
        </is>
      </c>
      <c r="C21" t="inlineStr">
        <is>
          <t>ZW1121</t>
        </is>
      </c>
      <c r="D21" t="inlineStr">
        <is>
          <t>Manicaland</t>
        </is>
      </c>
      <c r="E21" t="inlineStr">
        <is>
          <t>ZW11</t>
        </is>
      </c>
      <c r="F21" t="inlineStr">
        <is>
          <t>Zimbabwe</t>
        </is>
      </c>
      <c r="G21" t="inlineStr">
        <is>
          <t>ZWE</t>
        </is>
      </c>
    </row>
    <row r="22">
      <c r="A22" t="inlineStr">
        <is>
          <t>Mutare</t>
        </is>
      </c>
      <c r="B22" t="inlineStr">
        <is>
          <t xml:space="preserve"> </t>
        </is>
      </c>
      <c r="C22" t="inlineStr">
        <is>
          <t>ZW1105</t>
        </is>
      </c>
      <c r="D22" t="inlineStr">
        <is>
          <t>Manicaland</t>
        </is>
      </c>
      <c r="E22" t="inlineStr">
        <is>
          <t>ZW11</t>
        </is>
      </c>
      <c r="F22" t="inlineStr">
        <is>
          <t>Zimbabwe</t>
        </is>
      </c>
      <c r="G22" t="inlineStr">
        <is>
          <t>ZWE</t>
        </is>
      </c>
    </row>
    <row r="23">
      <c r="A23" t="inlineStr">
        <is>
          <t>Murehwa</t>
        </is>
      </c>
      <c r="B23" t="inlineStr">
        <is>
          <t xml:space="preserve"> </t>
        </is>
      </c>
      <c r="C23" t="inlineStr">
        <is>
          <t>ZW1306</t>
        </is>
      </c>
      <c r="D23" t="inlineStr">
        <is>
          <t>Mashonaland East</t>
        </is>
      </c>
      <c r="E23" t="inlineStr">
        <is>
          <t>ZW13</t>
        </is>
      </c>
      <c r="F23" t="inlineStr">
        <is>
          <t>Zimbabwe</t>
        </is>
      </c>
      <c r="G23" t="inlineStr">
        <is>
          <t>ZWE</t>
        </is>
      </c>
    </row>
    <row r="24">
      <c r="A24" t="inlineStr">
        <is>
          <t>Mudzi</t>
        </is>
      </c>
      <c r="B24" t="inlineStr">
        <is>
          <t xml:space="preserve"> </t>
        </is>
      </c>
      <c r="C24" t="inlineStr">
        <is>
          <t>ZW1305</t>
        </is>
      </c>
      <c r="D24" t="inlineStr">
        <is>
          <t>Mashonaland East</t>
        </is>
      </c>
      <c r="E24" t="inlineStr">
        <is>
          <t>ZW13</t>
        </is>
      </c>
      <c r="F24" t="inlineStr">
        <is>
          <t>Zimbabwe</t>
        </is>
      </c>
      <c r="G24" t="inlineStr">
        <is>
          <t>ZWE</t>
        </is>
      </c>
    </row>
    <row r="25">
      <c r="A25" t="inlineStr">
        <is>
          <t>Mount Darwin</t>
        </is>
      </c>
      <c r="B25" t="inlineStr">
        <is>
          <t xml:space="preserve"> </t>
        </is>
      </c>
      <c r="C25" t="inlineStr">
        <is>
          <t>ZW1205</t>
        </is>
      </c>
      <c r="D25" t="inlineStr">
        <is>
          <t>Mashonaland Central</t>
        </is>
      </c>
      <c r="E25" t="inlineStr">
        <is>
          <t>ZW12</t>
        </is>
      </c>
      <c r="F25" t="inlineStr">
        <is>
          <t>Zimbabwe</t>
        </is>
      </c>
      <c r="G25" t="inlineStr">
        <is>
          <t>ZWE</t>
        </is>
      </c>
    </row>
    <row r="26">
      <c r="A26" t="inlineStr">
        <is>
          <t>Mhondoro-Ngezi</t>
        </is>
      </c>
      <c r="B26" t="inlineStr">
        <is>
          <t xml:space="preserve"> </t>
        </is>
      </c>
      <c r="C26" t="inlineStr">
        <is>
          <t>ZW1427</t>
        </is>
      </c>
      <c r="D26" t="inlineStr">
        <is>
          <t>Mashonaland West</t>
        </is>
      </c>
      <c r="E26" t="inlineStr">
        <is>
          <t>ZW14</t>
        </is>
      </c>
      <c r="F26" t="inlineStr">
        <is>
          <t>Zimbabwe</t>
        </is>
      </c>
      <c r="G26" t="inlineStr">
        <is>
          <t>ZWE</t>
        </is>
      </c>
    </row>
    <row r="27">
      <c r="A27" t="inlineStr">
        <is>
          <t>Mbire</t>
        </is>
      </c>
      <c r="B27" t="inlineStr">
        <is>
          <t xml:space="preserve"> </t>
        </is>
      </c>
      <c r="C27" t="inlineStr">
        <is>
          <t>ZW1208</t>
        </is>
      </c>
      <c r="D27" t="inlineStr">
        <is>
          <t>Mashonaland Central</t>
        </is>
      </c>
      <c r="E27" t="inlineStr">
        <is>
          <t>ZW12</t>
        </is>
      </c>
      <c r="F27" t="inlineStr">
        <is>
          <t>Zimbabwe</t>
        </is>
      </c>
      <c r="G27" t="inlineStr">
        <is>
          <t>ZWE</t>
        </is>
      </c>
    </row>
    <row r="28">
      <c r="A28" t="inlineStr">
        <is>
          <t>Mberengwa</t>
        </is>
      </c>
      <c r="B28" t="inlineStr">
        <is>
          <t xml:space="preserve"> </t>
        </is>
      </c>
      <c r="C28" t="inlineStr">
        <is>
          <t>ZW1706</t>
        </is>
      </c>
      <c r="D28" t="inlineStr">
        <is>
          <t>Midlands</t>
        </is>
      </c>
      <c r="E28" t="inlineStr">
        <is>
          <t>ZW17</t>
        </is>
      </c>
      <c r="F28" t="inlineStr">
        <is>
          <t>Zimbabwe</t>
        </is>
      </c>
      <c r="G28" t="inlineStr">
        <is>
          <t>ZWE</t>
        </is>
      </c>
    </row>
    <row r="29">
      <c r="A29" t="inlineStr">
        <is>
          <t>Mazowe</t>
        </is>
      </c>
      <c r="B29" t="inlineStr">
        <is>
          <t xml:space="preserve"> </t>
        </is>
      </c>
      <c r="C29" t="inlineStr">
        <is>
          <t>ZW1204</t>
        </is>
      </c>
      <c r="D29" t="inlineStr">
        <is>
          <t>Mashonaland Central</t>
        </is>
      </c>
      <c r="E29" t="inlineStr">
        <is>
          <t>ZW12</t>
        </is>
      </c>
      <c r="F29" t="inlineStr">
        <is>
          <t>Zimbabwe</t>
        </is>
      </c>
      <c r="G29" t="inlineStr">
        <is>
          <t>ZWE</t>
        </is>
      </c>
    </row>
    <row r="30">
      <c r="A30" t="inlineStr">
        <is>
          <t>Matobo</t>
        </is>
      </c>
      <c r="B30" t="inlineStr">
        <is>
          <t xml:space="preserve"> </t>
        </is>
      </c>
      <c r="C30" t="inlineStr">
        <is>
          <t>ZW1606</t>
        </is>
      </c>
      <c r="D30" t="inlineStr">
        <is>
          <t>Matabeleland South</t>
        </is>
      </c>
      <c r="E30" t="inlineStr">
        <is>
          <t>ZW16</t>
        </is>
      </c>
      <c r="F30" t="inlineStr">
        <is>
          <t>Zimbabwe</t>
        </is>
      </c>
      <c r="G30" t="inlineStr">
        <is>
          <t>ZWE</t>
        </is>
      </c>
    </row>
    <row r="31">
      <c r="A31" t="inlineStr">
        <is>
          <t>Masvingo Urban</t>
        </is>
      </c>
      <c r="B31" t="inlineStr">
        <is>
          <t xml:space="preserve"> </t>
        </is>
      </c>
      <c r="C31" t="inlineStr">
        <is>
          <t>ZW1821</t>
        </is>
      </c>
      <c r="D31" t="inlineStr">
        <is>
          <t>Masvingo</t>
        </is>
      </c>
      <c r="E31" t="inlineStr">
        <is>
          <t>ZW18</t>
        </is>
      </c>
      <c r="F31" t="inlineStr">
        <is>
          <t>Zimbabwe</t>
        </is>
      </c>
      <c r="G31" t="inlineStr">
        <is>
          <t>ZWE</t>
        </is>
      </c>
    </row>
    <row r="32">
      <c r="A32" t="inlineStr">
        <is>
          <t>Masvingo</t>
        </is>
      </c>
      <c r="B32" t="inlineStr">
        <is>
          <t xml:space="preserve"> </t>
        </is>
      </c>
      <c r="C32" t="inlineStr">
        <is>
          <t>ZW1805</t>
        </is>
      </c>
      <c r="D32" t="inlineStr">
        <is>
          <t>Masvingo</t>
        </is>
      </c>
      <c r="E32" t="inlineStr">
        <is>
          <t>ZW18</t>
        </is>
      </c>
      <c r="F32" t="inlineStr">
        <is>
          <t>Zimbabwe</t>
        </is>
      </c>
      <c r="G32" t="inlineStr">
        <is>
          <t>ZWE</t>
        </is>
      </c>
    </row>
    <row r="33">
      <c r="A33" t="inlineStr">
        <is>
          <t>Marondera Urban</t>
        </is>
      </c>
      <c r="B33" t="inlineStr">
        <is>
          <t xml:space="preserve"> </t>
        </is>
      </c>
      <c r="C33" t="inlineStr">
        <is>
          <t>ZW1321</t>
        </is>
      </c>
      <c r="D33" t="inlineStr">
        <is>
          <t>Mashonaland East</t>
        </is>
      </c>
      <c r="E33" t="inlineStr">
        <is>
          <t>ZW13</t>
        </is>
      </c>
      <c r="F33" t="inlineStr">
        <is>
          <t>Zimbabwe</t>
        </is>
      </c>
      <c r="G33" t="inlineStr">
        <is>
          <t>ZWE</t>
        </is>
      </c>
    </row>
    <row r="34">
      <c r="A34" t="inlineStr">
        <is>
          <t>Marondera</t>
        </is>
      </c>
      <c r="B34" t="inlineStr">
        <is>
          <t xml:space="preserve"> </t>
        </is>
      </c>
      <c r="C34" t="inlineStr">
        <is>
          <t>ZW1304</t>
        </is>
      </c>
      <c r="D34" t="inlineStr">
        <is>
          <t>Mashonaland East</t>
        </is>
      </c>
      <c r="E34" t="inlineStr">
        <is>
          <t>ZW13</t>
        </is>
      </c>
      <c r="F34" t="inlineStr">
        <is>
          <t>Zimbabwe</t>
        </is>
      </c>
      <c r="G34" t="inlineStr">
        <is>
          <t>ZWE</t>
        </is>
      </c>
    </row>
    <row r="35">
      <c r="A35" t="inlineStr">
        <is>
          <t>Mangwe</t>
        </is>
      </c>
      <c r="B35" t="inlineStr">
        <is>
          <t xml:space="preserve"> </t>
        </is>
      </c>
      <c r="C35" t="inlineStr">
        <is>
          <t>ZW1603</t>
        </is>
      </c>
      <c r="D35" t="inlineStr">
        <is>
          <t>Matabeleland South</t>
        </is>
      </c>
      <c r="E35" t="inlineStr">
        <is>
          <t>ZW16</t>
        </is>
      </c>
      <c r="F35" t="inlineStr">
        <is>
          <t>Zimbabwe</t>
        </is>
      </c>
      <c r="G35" t="inlineStr">
        <is>
          <t>ZWE</t>
        </is>
      </c>
    </row>
    <row r="36">
      <c r="A36" t="inlineStr">
        <is>
          <t>Makoni</t>
        </is>
      </c>
      <c r="B36" t="inlineStr">
        <is>
          <t xml:space="preserve"> </t>
        </is>
      </c>
      <c r="C36" t="inlineStr">
        <is>
          <t>ZW1104</t>
        </is>
      </c>
      <c r="D36" t="inlineStr">
        <is>
          <t>Manicaland</t>
        </is>
      </c>
      <c r="E36" t="inlineStr">
        <is>
          <t>ZW11</t>
        </is>
      </c>
      <c r="F36" t="inlineStr">
        <is>
          <t>Zimbabwe</t>
        </is>
      </c>
      <c r="G36" t="inlineStr">
        <is>
          <t>ZWE</t>
        </is>
      </c>
    </row>
    <row r="37">
      <c r="A37" t="inlineStr">
        <is>
          <t>Makonde</t>
        </is>
      </c>
      <c r="B37" t="inlineStr">
        <is>
          <t xml:space="preserve"> </t>
        </is>
      </c>
      <c r="C37" t="inlineStr">
        <is>
          <t>ZW1405</t>
        </is>
      </c>
      <c r="D37" t="inlineStr">
        <is>
          <t>Mashonaland West</t>
        </is>
      </c>
      <c r="E37" t="inlineStr">
        <is>
          <t>ZW14</t>
        </is>
      </c>
      <c r="F37" t="inlineStr">
        <is>
          <t>Zimbabwe</t>
        </is>
      </c>
      <c r="G37" t="inlineStr">
        <is>
          <t>ZWE</t>
        </is>
      </c>
    </row>
    <row r="38">
      <c r="A38" t="inlineStr">
        <is>
          <t>Lupane</t>
        </is>
      </c>
      <c r="B38" t="inlineStr">
        <is>
          <t xml:space="preserve"> </t>
        </is>
      </c>
      <c r="C38" t="inlineStr">
        <is>
          <t>ZW1504</t>
        </is>
      </c>
      <c r="D38" t="inlineStr">
        <is>
          <t>Matabeleland North</t>
        </is>
      </c>
      <c r="E38" t="inlineStr">
        <is>
          <t>ZW15</t>
        </is>
      </c>
      <c r="F38" t="inlineStr">
        <is>
          <t>Zimbabwe</t>
        </is>
      </c>
      <c r="G38" t="inlineStr">
        <is>
          <t>ZWE</t>
        </is>
      </c>
    </row>
    <row r="39">
      <c r="A39" t="inlineStr">
        <is>
          <t>Kwekwe Urban</t>
        </is>
      </c>
      <c r="B39" t="inlineStr">
        <is>
          <t xml:space="preserve"> </t>
        </is>
      </c>
      <c r="C39" t="inlineStr">
        <is>
          <t>ZW1722</t>
        </is>
      </c>
      <c r="D39" t="inlineStr">
        <is>
          <t>Midlands</t>
        </is>
      </c>
      <c r="E39" t="inlineStr">
        <is>
          <t>ZW17</t>
        </is>
      </c>
      <c r="F39" t="inlineStr">
        <is>
          <t>Zimbabwe</t>
        </is>
      </c>
      <c r="G39" t="inlineStr">
        <is>
          <t>ZWE</t>
        </is>
      </c>
    </row>
    <row r="40">
      <c r="A40" t="inlineStr">
        <is>
          <t>Kwekwe</t>
        </is>
      </c>
      <c r="B40" t="inlineStr">
        <is>
          <t xml:space="preserve"> </t>
        </is>
      </c>
      <c r="C40" t="inlineStr">
        <is>
          <t>ZW1705</t>
        </is>
      </c>
      <c r="D40" t="inlineStr">
        <is>
          <t>Midlands</t>
        </is>
      </c>
      <c r="E40" t="inlineStr">
        <is>
          <t>ZW17</t>
        </is>
      </c>
      <c r="F40" t="inlineStr">
        <is>
          <t>Zimbabwe</t>
        </is>
      </c>
      <c r="G40" t="inlineStr">
        <is>
          <t>ZWE</t>
        </is>
      </c>
    </row>
    <row r="41">
      <c r="A41" t="inlineStr">
        <is>
          <t>Karoi</t>
        </is>
      </c>
      <c r="B41" t="inlineStr">
        <is>
          <t xml:space="preserve"> </t>
        </is>
      </c>
      <c r="C41" t="inlineStr">
        <is>
          <t>ZW1426</t>
        </is>
      </c>
      <c r="D41" t="inlineStr">
        <is>
          <t>Mashonaland West</t>
        </is>
      </c>
      <c r="E41" t="inlineStr">
        <is>
          <t>ZW14</t>
        </is>
      </c>
      <c r="F41" t="inlineStr">
        <is>
          <t>Zimbabwe</t>
        </is>
      </c>
      <c r="G41" t="inlineStr">
        <is>
          <t>ZWE</t>
        </is>
      </c>
    </row>
    <row r="42">
      <c r="A42" t="inlineStr">
        <is>
          <t>Kariba Urban</t>
        </is>
      </c>
      <c r="B42" t="inlineStr">
        <is>
          <t xml:space="preserve"> </t>
        </is>
      </c>
      <c r="C42" t="inlineStr">
        <is>
          <t>ZW1424</t>
        </is>
      </c>
      <c r="D42" t="inlineStr">
        <is>
          <t>Mashonaland West</t>
        </is>
      </c>
      <c r="E42" t="inlineStr">
        <is>
          <t>ZW14</t>
        </is>
      </c>
      <c r="F42" t="inlineStr">
        <is>
          <t>Zimbabwe</t>
        </is>
      </c>
      <c r="G42" t="inlineStr">
        <is>
          <t>ZWE</t>
        </is>
      </c>
    </row>
    <row r="43">
      <c r="A43" t="inlineStr">
        <is>
          <t>Kariba</t>
        </is>
      </c>
      <c r="B43" t="inlineStr">
        <is>
          <t xml:space="preserve"> </t>
        </is>
      </c>
      <c r="C43" t="inlineStr">
        <is>
          <t>ZW1404</t>
        </is>
      </c>
      <c r="D43" t="inlineStr">
        <is>
          <t>Mashonaland West</t>
        </is>
      </c>
      <c r="E43" t="inlineStr">
        <is>
          <t>ZW14</t>
        </is>
      </c>
      <c r="F43" t="inlineStr">
        <is>
          <t>Zimbabwe</t>
        </is>
      </c>
      <c r="G43" t="inlineStr">
        <is>
          <t>ZWE</t>
        </is>
      </c>
    </row>
    <row r="44">
      <c r="A44" t="inlineStr">
        <is>
          <t>Kadoma Urban</t>
        </is>
      </c>
      <c r="B44" t="inlineStr">
        <is>
          <t xml:space="preserve"> </t>
        </is>
      </c>
      <c r="C44" t="inlineStr">
        <is>
          <t>ZW1403</t>
        </is>
      </c>
      <c r="D44" t="inlineStr">
        <is>
          <t>Mashonaland West</t>
        </is>
      </c>
      <c r="E44" t="inlineStr">
        <is>
          <t>ZW14</t>
        </is>
      </c>
      <c r="F44" t="inlineStr">
        <is>
          <t>Zimbabwe</t>
        </is>
      </c>
      <c r="G44" t="inlineStr">
        <is>
          <t>ZWE</t>
        </is>
      </c>
    </row>
    <row r="45">
      <c r="A45" t="inlineStr">
        <is>
          <t>Insiza</t>
        </is>
      </c>
      <c r="B45" t="inlineStr">
        <is>
          <t xml:space="preserve"> </t>
        </is>
      </c>
      <c r="C45" t="inlineStr">
        <is>
          <t>ZW1605</t>
        </is>
      </c>
      <c r="D45" t="inlineStr">
        <is>
          <t>Matabeleland South</t>
        </is>
      </c>
      <c r="E45" t="inlineStr">
        <is>
          <t>ZW16</t>
        </is>
      </c>
      <c r="F45" t="inlineStr">
        <is>
          <t>Zimbabwe</t>
        </is>
      </c>
      <c r="G45" t="inlineStr">
        <is>
          <t>ZWE</t>
        </is>
      </c>
    </row>
    <row r="46">
      <c r="A46" t="inlineStr">
        <is>
          <t>Hwedza</t>
        </is>
      </c>
      <c r="B46" t="inlineStr">
        <is>
          <t xml:space="preserve"> </t>
        </is>
      </c>
      <c r="C46" t="inlineStr">
        <is>
          <t>ZW1303</t>
        </is>
      </c>
      <c r="D46" t="inlineStr">
        <is>
          <t>Mashonaland East</t>
        </is>
      </c>
      <c r="E46" t="inlineStr">
        <is>
          <t>ZW13</t>
        </is>
      </c>
      <c r="F46" t="inlineStr">
        <is>
          <t>Zimbabwe</t>
        </is>
      </c>
      <c r="G46" t="inlineStr">
        <is>
          <t>ZWE</t>
        </is>
      </c>
    </row>
    <row r="47">
      <c r="A47" t="inlineStr">
        <is>
          <t>Hwange Urban</t>
        </is>
      </c>
      <c r="B47" t="inlineStr">
        <is>
          <t xml:space="preserve"> </t>
        </is>
      </c>
      <c r="C47" t="inlineStr">
        <is>
          <t>ZW1521</t>
        </is>
      </c>
      <c r="D47" t="inlineStr">
        <is>
          <t>Matabeleland North</t>
        </is>
      </c>
      <c r="E47" t="inlineStr">
        <is>
          <t>ZW15</t>
        </is>
      </c>
      <c r="F47" t="inlineStr">
        <is>
          <t>Zimbabwe</t>
        </is>
      </c>
      <c r="G47" t="inlineStr">
        <is>
          <t>ZWE</t>
        </is>
      </c>
    </row>
    <row r="48">
      <c r="A48" t="inlineStr">
        <is>
          <t>Hwange</t>
        </is>
      </c>
      <c r="B48" t="inlineStr">
        <is>
          <t xml:space="preserve"> </t>
        </is>
      </c>
      <c r="C48" t="inlineStr">
        <is>
          <t>ZW1503</t>
        </is>
      </c>
      <c r="D48" t="inlineStr">
        <is>
          <t>Matabeleland North</t>
        </is>
      </c>
      <c r="E48" t="inlineStr">
        <is>
          <t>ZW15</t>
        </is>
      </c>
      <c r="F48" t="inlineStr">
        <is>
          <t>Zimbabwe</t>
        </is>
      </c>
      <c r="G48" t="inlineStr">
        <is>
          <t>ZWE</t>
        </is>
      </c>
    </row>
    <row r="49">
      <c r="A49" t="inlineStr">
        <is>
          <t>Hurungwe</t>
        </is>
      </c>
      <c r="B49" t="inlineStr">
        <is>
          <t xml:space="preserve"> </t>
        </is>
      </c>
      <c r="C49" t="inlineStr">
        <is>
          <t>ZW1402</t>
        </is>
      </c>
      <c r="D49" t="inlineStr">
        <is>
          <t>Mashonaland West</t>
        </is>
      </c>
      <c r="E49" t="inlineStr">
        <is>
          <t>ZW14</t>
        </is>
      </c>
      <c r="F49" t="inlineStr">
        <is>
          <t>Zimbabwe</t>
        </is>
      </c>
      <c r="G49" t="inlineStr">
        <is>
          <t>ZWE</t>
        </is>
      </c>
    </row>
    <row r="50">
      <c r="A50" t="inlineStr">
        <is>
          <t>Harare Rural</t>
        </is>
      </c>
      <c r="B50" t="inlineStr">
        <is>
          <t xml:space="preserve"> </t>
        </is>
      </c>
      <c r="C50" t="inlineStr">
        <is>
          <t>ZW1924</t>
        </is>
      </c>
      <c r="D50" t="inlineStr">
        <is>
          <t>Harare</t>
        </is>
      </c>
      <c r="E50" t="inlineStr">
        <is>
          <t>ZW19</t>
        </is>
      </c>
      <c r="F50" t="inlineStr">
        <is>
          <t>Zimbabwe</t>
        </is>
      </c>
      <c r="G50" t="inlineStr">
        <is>
          <t>ZWE</t>
        </is>
      </c>
    </row>
    <row r="51">
      <c r="A51" t="inlineStr">
        <is>
          <t>Harare</t>
        </is>
      </c>
      <c r="B51" t="inlineStr">
        <is>
          <t xml:space="preserve"> </t>
        </is>
      </c>
      <c r="C51" t="inlineStr">
        <is>
          <t>ZW1921</t>
        </is>
      </c>
      <c r="D51" t="inlineStr">
        <is>
          <t>Harare</t>
        </is>
      </c>
      <c r="E51" t="inlineStr">
        <is>
          <t>ZW19</t>
        </is>
      </c>
      <c r="F51" t="inlineStr">
        <is>
          <t>Zimbabwe</t>
        </is>
      </c>
      <c r="G51" t="inlineStr">
        <is>
          <t>ZWE</t>
        </is>
      </c>
    </row>
    <row r="52">
      <c r="A52" t="inlineStr">
        <is>
          <t>Gweru Urban</t>
        </is>
      </c>
      <c r="B52" t="inlineStr">
        <is>
          <t xml:space="preserve"> </t>
        </is>
      </c>
      <c r="C52" t="inlineStr">
        <is>
          <t>ZW1721</t>
        </is>
      </c>
      <c r="D52" t="inlineStr">
        <is>
          <t>Midlands</t>
        </is>
      </c>
      <c r="E52" t="inlineStr">
        <is>
          <t>ZW17</t>
        </is>
      </c>
      <c r="F52" t="inlineStr">
        <is>
          <t>Zimbabwe</t>
        </is>
      </c>
      <c r="G52" t="inlineStr">
        <is>
          <t>ZWE</t>
        </is>
      </c>
    </row>
    <row r="53">
      <c r="A53" t="inlineStr">
        <is>
          <t>Gweru</t>
        </is>
      </c>
      <c r="B53" t="inlineStr">
        <is>
          <t xml:space="preserve"> </t>
        </is>
      </c>
      <c r="C53" t="inlineStr">
        <is>
          <t>ZW1704</t>
        </is>
      </c>
      <c r="D53" t="inlineStr">
        <is>
          <t>Midlands</t>
        </is>
      </c>
      <c r="E53" t="inlineStr">
        <is>
          <t>ZW17</t>
        </is>
      </c>
      <c r="F53" t="inlineStr">
        <is>
          <t>Zimbabwe</t>
        </is>
      </c>
      <c r="G53" t="inlineStr">
        <is>
          <t>ZWE</t>
        </is>
      </c>
    </row>
    <row r="54">
      <c r="A54" t="inlineStr">
        <is>
          <t>Gwanda Urban</t>
        </is>
      </c>
      <c r="B54" t="inlineStr">
        <is>
          <t xml:space="preserve"> </t>
        </is>
      </c>
      <c r="C54" t="inlineStr">
        <is>
          <t>ZW1621</t>
        </is>
      </c>
      <c r="D54" t="inlineStr">
        <is>
          <t>Matabeleland South</t>
        </is>
      </c>
      <c r="E54" t="inlineStr">
        <is>
          <t>ZW16</t>
        </is>
      </c>
      <c r="F54" t="inlineStr">
        <is>
          <t>Zimbabwe</t>
        </is>
      </c>
      <c r="G54" t="inlineStr">
        <is>
          <t>ZWE</t>
        </is>
      </c>
    </row>
    <row r="55">
      <c r="A55" t="inlineStr">
        <is>
          <t>Gwanda</t>
        </is>
      </c>
      <c r="B55" t="inlineStr">
        <is>
          <t xml:space="preserve"> </t>
        </is>
      </c>
      <c r="C55" t="inlineStr">
        <is>
          <t>ZW1604</t>
        </is>
      </c>
      <c r="D55" t="inlineStr">
        <is>
          <t>Matabeleland South</t>
        </is>
      </c>
      <c r="E55" t="inlineStr">
        <is>
          <t>ZW16</t>
        </is>
      </c>
      <c r="F55" t="inlineStr">
        <is>
          <t>Zimbabwe</t>
        </is>
      </c>
      <c r="G55" t="inlineStr">
        <is>
          <t>ZWE</t>
        </is>
      </c>
    </row>
    <row r="56">
      <c r="A56" t="inlineStr">
        <is>
          <t>Gutu</t>
        </is>
      </c>
      <c r="B56" t="inlineStr">
        <is>
          <t xml:space="preserve"> </t>
        </is>
      </c>
      <c r="C56" t="inlineStr">
        <is>
          <t>ZW1804</t>
        </is>
      </c>
      <c r="D56" t="inlineStr">
        <is>
          <t>Masvingo</t>
        </is>
      </c>
      <c r="E56" t="inlineStr">
        <is>
          <t>ZW18</t>
        </is>
      </c>
      <c r="F56" t="inlineStr">
        <is>
          <t>Zimbabwe</t>
        </is>
      </c>
      <c r="G56" t="inlineStr">
        <is>
          <t>ZWE</t>
        </is>
      </c>
    </row>
    <row r="57">
      <c r="A57" t="inlineStr">
        <is>
          <t>Guruve</t>
        </is>
      </c>
      <c r="B57" t="inlineStr">
        <is>
          <t xml:space="preserve"> </t>
        </is>
      </c>
      <c r="C57" t="inlineStr">
        <is>
          <t>ZW1203</t>
        </is>
      </c>
      <c r="D57" t="inlineStr">
        <is>
          <t>Mashonaland Central</t>
        </is>
      </c>
      <c r="E57" t="inlineStr">
        <is>
          <t>ZW12</t>
        </is>
      </c>
      <c r="F57" t="inlineStr">
        <is>
          <t>Zimbabwe</t>
        </is>
      </c>
      <c r="G57" t="inlineStr">
        <is>
          <t>ZWE</t>
        </is>
      </c>
    </row>
    <row r="58">
      <c r="A58" t="inlineStr">
        <is>
          <t>Goromonzi</t>
        </is>
      </c>
      <c r="B58" t="inlineStr">
        <is>
          <t xml:space="preserve"> </t>
        </is>
      </c>
      <c r="C58" t="inlineStr">
        <is>
          <t>ZW1302</t>
        </is>
      </c>
      <c r="D58" t="inlineStr">
        <is>
          <t>Mashonaland East</t>
        </is>
      </c>
      <c r="E58" t="inlineStr">
        <is>
          <t>ZW13</t>
        </is>
      </c>
      <c r="F58" t="inlineStr">
        <is>
          <t>Zimbabwe</t>
        </is>
      </c>
      <c r="G58" t="inlineStr">
        <is>
          <t>ZWE</t>
        </is>
      </c>
    </row>
    <row r="59">
      <c r="A59" t="inlineStr">
        <is>
          <t>Gokwe South Urban</t>
        </is>
      </c>
      <c r="B59" t="inlineStr">
        <is>
          <t xml:space="preserve"> </t>
        </is>
      </c>
      <c r="C59" t="inlineStr">
        <is>
          <t>ZW1729</t>
        </is>
      </c>
      <c r="D59" t="inlineStr">
        <is>
          <t>Midlands</t>
        </is>
      </c>
      <c r="E59" t="inlineStr">
        <is>
          <t>ZW17</t>
        </is>
      </c>
      <c r="F59" t="inlineStr">
        <is>
          <t>Zimbabwe</t>
        </is>
      </c>
      <c r="G59" t="inlineStr">
        <is>
          <t>ZWE</t>
        </is>
      </c>
    </row>
    <row r="60">
      <c r="A60" t="inlineStr">
        <is>
          <t>Gokwe South</t>
        </is>
      </c>
      <c r="B60" t="inlineStr">
        <is>
          <t xml:space="preserve"> </t>
        </is>
      </c>
      <c r="C60" t="inlineStr">
        <is>
          <t>ZW1703</t>
        </is>
      </c>
      <c r="D60" t="inlineStr">
        <is>
          <t>Midlands</t>
        </is>
      </c>
      <c r="E60" t="inlineStr">
        <is>
          <t>ZW17</t>
        </is>
      </c>
      <c r="F60" t="inlineStr">
        <is>
          <t>Zimbabwe</t>
        </is>
      </c>
      <c r="G60" t="inlineStr">
        <is>
          <t>ZWE</t>
        </is>
      </c>
    </row>
    <row r="61">
      <c r="A61" t="inlineStr">
        <is>
          <t>Gokwe North</t>
        </is>
      </c>
      <c r="B61" t="inlineStr">
        <is>
          <t xml:space="preserve"> </t>
        </is>
      </c>
      <c r="C61" t="inlineStr">
        <is>
          <t>ZW1702</t>
        </is>
      </c>
      <c r="D61" t="inlineStr">
        <is>
          <t>Midlands</t>
        </is>
      </c>
      <c r="E61" t="inlineStr">
        <is>
          <t>ZW17</t>
        </is>
      </c>
      <c r="F61" t="inlineStr">
        <is>
          <t>Zimbabwe</t>
        </is>
      </c>
      <c r="G61" t="inlineStr">
        <is>
          <t>ZWE</t>
        </is>
      </c>
    </row>
    <row r="62">
      <c r="A62" t="inlineStr">
        <is>
          <t>Epworth</t>
        </is>
      </c>
      <c r="B62" t="inlineStr">
        <is>
          <t xml:space="preserve"> </t>
        </is>
      </c>
      <c r="C62" t="inlineStr">
        <is>
          <t>ZW1923</t>
        </is>
      </c>
      <c r="D62" t="inlineStr">
        <is>
          <t>Harare</t>
        </is>
      </c>
      <c r="E62" t="inlineStr">
        <is>
          <t>ZW19</t>
        </is>
      </c>
      <c r="F62" t="inlineStr">
        <is>
          <t>Zimbabwe</t>
        </is>
      </c>
      <c r="G62" t="inlineStr">
        <is>
          <t>ZWE</t>
        </is>
      </c>
    </row>
    <row r="63">
      <c r="A63" t="inlineStr">
        <is>
          <t>Chivi</t>
        </is>
      </c>
      <c r="B63" t="inlineStr">
        <is>
          <t xml:space="preserve"> </t>
        </is>
      </c>
      <c r="C63" t="inlineStr">
        <is>
          <t>ZW1803</t>
        </is>
      </c>
      <c r="D63" t="inlineStr">
        <is>
          <t>Masvingo</t>
        </is>
      </c>
      <c r="E63" t="inlineStr">
        <is>
          <t>ZW18</t>
        </is>
      </c>
      <c r="F63" t="inlineStr">
        <is>
          <t>Zimbabwe</t>
        </is>
      </c>
      <c r="G63" t="inlineStr">
        <is>
          <t>ZWE</t>
        </is>
      </c>
    </row>
    <row r="64">
      <c r="A64" t="inlineStr">
        <is>
          <t>Chitungwiza</t>
        </is>
      </c>
      <c r="B64" t="inlineStr">
        <is>
          <t xml:space="preserve"> </t>
        </is>
      </c>
      <c r="C64" t="inlineStr">
        <is>
          <t>ZW1922</t>
        </is>
      </c>
      <c r="D64" t="inlineStr">
        <is>
          <t>Harare</t>
        </is>
      </c>
      <c r="E64" t="inlineStr">
        <is>
          <t>ZW19</t>
        </is>
      </c>
      <c r="F64" t="inlineStr">
        <is>
          <t>Zimbabwe</t>
        </is>
      </c>
      <c r="G64" t="inlineStr">
        <is>
          <t>ZWE</t>
        </is>
      </c>
    </row>
    <row r="65">
      <c r="A65" t="inlineStr">
        <is>
          <t>Chirumhanzu</t>
        </is>
      </c>
      <c r="B65" t="inlineStr">
        <is>
          <t xml:space="preserve"> </t>
        </is>
      </c>
      <c r="C65" t="inlineStr">
        <is>
          <t>ZW1701</t>
        </is>
      </c>
      <c r="D65" t="inlineStr">
        <is>
          <t>Midlands</t>
        </is>
      </c>
      <c r="E65" t="inlineStr">
        <is>
          <t>ZW17</t>
        </is>
      </c>
      <c r="F65" t="inlineStr">
        <is>
          <t>Zimbabwe</t>
        </is>
      </c>
      <c r="G65" t="inlineStr">
        <is>
          <t>ZWE</t>
        </is>
      </c>
    </row>
    <row r="66">
      <c r="A66" t="inlineStr">
        <is>
          <t>Chiredzi Urban</t>
        </is>
      </c>
      <c r="B66" t="inlineStr">
        <is>
          <t xml:space="preserve"> </t>
        </is>
      </c>
      <c r="C66" t="inlineStr">
        <is>
          <t>ZW1822</t>
        </is>
      </c>
      <c r="D66" t="inlineStr">
        <is>
          <t>Masvingo</t>
        </is>
      </c>
      <c r="E66" t="inlineStr">
        <is>
          <t>ZW18</t>
        </is>
      </c>
      <c r="F66" t="inlineStr">
        <is>
          <t>Zimbabwe</t>
        </is>
      </c>
      <c r="G66" t="inlineStr">
        <is>
          <t>ZWE</t>
        </is>
      </c>
    </row>
    <row r="67">
      <c r="A67" t="inlineStr">
        <is>
          <t>Chiredzi</t>
        </is>
      </c>
      <c r="B67" t="inlineStr">
        <is>
          <t xml:space="preserve"> </t>
        </is>
      </c>
      <c r="C67" t="inlineStr">
        <is>
          <t>ZW1802</t>
        </is>
      </c>
      <c r="D67" t="inlineStr">
        <is>
          <t>Masvingo</t>
        </is>
      </c>
      <c r="E67" t="inlineStr">
        <is>
          <t>ZW18</t>
        </is>
      </c>
      <c r="F67" t="inlineStr">
        <is>
          <t>Zimbabwe</t>
        </is>
      </c>
      <c r="G67" t="inlineStr">
        <is>
          <t>ZWE</t>
        </is>
      </c>
    </row>
    <row r="68">
      <c r="A68" t="inlineStr">
        <is>
          <t>Chipinge Urban</t>
        </is>
      </c>
      <c r="B68" t="inlineStr">
        <is>
          <t xml:space="preserve"> </t>
        </is>
      </c>
      <c r="C68" t="inlineStr">
        <is>
          <t>ZW1123</t>
        </is>
      </c>
      <c r="D68" t="inlineStr">
        <is>
          <t>Manicaland</t>
        </is>
      </c>
      <c r="E68" t="inlineStr">
        <is>
          <t>ZW11</t>
        </is>
      </c>
      <c r="F68" t="inlineStr">
        <is>
          <t>Zimbabwe</t>
        </is>
      </c>
      <c r="G68" t="inlineStr">
        <is>
          <t>ZWE</t>
        </is>
      </c>
    </row>
    <row r="69">
      <c r="A69" t="inlineStr">
        <is>
          <t>Chipinge</t>
        </is>
      </c>
      <c r="B69" t="inlineStr">
        <is>
          <t xml:space="preserve"> </t>
        </is>
      </c>
      <c r="C69" t="inlineStr">
        <is>
          <t>ZW1103</t>
        </is>
      </c>
      <c r="D69" t="inlineStr">
        <is>
          <t>Manicaland</t>
        </is>
      </c>
      <c r="E69" t="inlineStr">
        <is>
          <t>ZW11</t>
        </is>
      </c>
      <c r="F69" t="inlineStr">
        <is>
          <t>Zimbabwe</t>
        </is>
      </c>
      <c r="G69" t="inlineStr">
        <is>
          <t>ZWE</t>
        </is>
      </c>
    </row>
    <row r="70">
      <c r="A70" t="inlineStr">
        <is>
          <t>Chinhoyi</t>
        </is>
      </c>
      <c r="B70" t="inlineStr">
        <is>
          <t xml:space="preserve"> </t>
        </is>
      </c>
      <c r="C70" t="inlineStr">
        <is>
          <t>ZW1421</t>
        </is>
      </c>
      <c r="D70" t="inlineStr">
        <is>
          <t>Mashonaland West</t>
        </is>
      </c>
      <c r="E70" t="inlineStr">
        <is>
          <t>ZW14</t>
        </is>
      </c>
      <c r="F70" t="inlineStr">
        <is>
          <t>Zimbabwe</t>
        </is>
      </c>
      <c r="G70" t="inlineStr">
        <is>
          <t>ZWE</t>
        </is>
      </c>
    </row>
    <row r="71">
      <c r="A71" t="inlineStr">
        <is>
          <t>Chimanimani</t>
        </is>
      </c>
      <c r="B71" t="inlineStr">
        <is>
          <t xml:space="preserve"> </t>
        </is>
      </c>
      <c r="C71" t="inlineStr">
        <is>
          <t>ZW1102</t>
        </is>
      </c>
      <c r="D71" t="inlineStr">
        <is>
          <t>Manicaland</t>
        </is>
      </c>
      <c r="E71" t="inlineStr">
        <is>
          <t>ZW11</t>
        </is>
      </c>
      <c r="F71" t="inlineStr">
        <is>
          <t>Zimbabwe</t>
        </is>
      </c>
      <c r="G71" t="inlineStr">
        <is>
          <t>ZWE</t>
        </is>
      </c>
    </row>
    <row r="72">
      <c r="A72" t="inlineStr">
        <is>
          <t>Chikomba</t>
        </is>
      </c>
      <c r="B72" t="inlineStr">
        <is>
          <t xml:space="preserve"> </t>
        </is>
      </c>
      <c r="C72" t="inlineStr">
        <is>
          <t>ZW1301</t>
        </is>
      </c>
      <c r="D72" t="inlineStr">
        <is>
          <t>Mashonaland East</t>
        </is>
      </c>
      <c r="E72" t="inlineStr">
        <is>
          <t>ZW13</t>
        </is>
      </c>
      <c r="F72" t="inlineStr">
        <is>
          <t>Zimbabwe</t>
        </is>
      </c>
      <c r="G72" t="inlineStr">
        <is>
          <t>ZWE</t>
        </is>
      </c>
    </row>
    <row r="73">
      <c r="A73" t="inlineStr">
        <is>
          <t>Chegutu Urban</t>
        </is>
      </c>
      <c r="B73" t="inlineStr">
        <is>
          <t xml:space="preserve"> </t>
        </is>
      </c>
      <c r="C73" t="inlineStr">
        <is>
          <t>ZW1423</t>
        </is>
      </c>
      <c r="D73" t="inlineStr">
        <is>
          <t>Mashonaland West</t>
        </is>
      </c>
      <c r="E73" t="inlineStr">
        <is>
          <t>ZW14</t>
        </is>
      </c>
      <c r="F73" t="inlineStr">
        <is>
          <t>Zimbabwe</t>
        </is>
      </c>
      <c r="G73" t="inlineStr">
        <is>
          <t>ZWE</t>
        </is>
      </c>
    </row>
    <row r="74">
      <c r="A74" t="inlineStr">
        <is>
          <t>Chegutu</t>
        </is>
      </c>
      <c r="B74" t="inlineStr">
        <is>
          <t xml:space="preserve"> </t>
        </is>
      </c>
      <c r="C74" t="inlineStr">
        <is>
          <t>ZW1401</t>
        </is>
      </c>
      <c r="D74" t="inlineStr">
        <is>
          <t>Mashonaland West</t>
        </is>
      </c>
      <c r="E74" t="inlineStr">
        <is>
          <t>ZW14</t>
        </is>
      </c>
      <c r="F74" t="inlineStr">
        <is>
          <t>Zimbabwe</t>
        </is>
      </c>
      <c r="G74" t="inlineStr">
        <is>
          <t>ZWE</t>
        </is>
      </c>
    </row>
    <row r="75">
      <c r="A75" t="inlineStr">
        <is>
          <t>Centenary/ Muzarabani</t>
        </is>
      </c>
      <c r="B75" t="inlineStr">
        <is>
          <t xml:space="preserve"> </t>
        </is>
      </c>
      <c r="C75" t="inlineStr">
        <is>
          <t>ZW1202</t>
        </is>
      </c>
      <c r="D75" t="inlineStr">
        <is>
          <t>Mashonaland Central</t>
        </is>
      </c>
      <c r="E75" t="inlineStr">
        <is>
          <t>ZW12</t>
        </is>
      </c>
      <c r="F75" t="inlineStr">
        <is>
          <t>Zimbabwe</t>
        </is>
      </c>
      <c r="G75" t="inlineStr">
        <is>
          <t>ZWE</t>
        </is>
      </c>
    </row>
    <row r="76">
      <c r="A76" t="inlineStr">
        <is>
          <t>Bulilima</t>
        </is>
      </c>
      <c r="B76" t="inlineStr">
        <is>
          <t xml:space="preserve"> </t>
        </is>
      </c>
      <c r="C76" t="inlineStr">
        <is>
          <t>ZW1602</t>
        </is>
      </c>
      <c r="D76" t="inlineStr">
        <is>
          <t>Matabeleland South</t>
        </is>
      </c>
      <c r="E76" t="inlineStr">
        <is>
          <t>ZW16</t>
        </is>
      </c>
      <c r="F76" t="inlineStr">
        <is>
          <t>Zimbabwe</t>
        </is>
      </c>
      <c r="G76" t="inlineStr">
        <is>
          <t>ZWE</t>
        </is>
      </c>
    </row>
    <row r="77">
      <c r="A77" t="inlineStr">
        <is>
          <t>Bulawayo</t>
        </is>
      </c>
      <c r="B77" t="inlineStr">
        <is>
          <t xml:space="preserve"> </t>
        </is>
      </c>
      <c r="C77" t="inlineStr">
        <is>
          <t>ZW1021</t>
        </is>
      </c>
      <c r="D77" t="inlineStr">
        <is>
          <t>Bulawayo</t>
        </is>
      </c>
      <c r="E77" t="inlineStr">
        <is>
          <t>ZW10</t>
        </is>
      </c>
      <c r="F77" t="inlineStr">
        <is>
          <t>Zimbabwe</t>
        </is>
      </c>
      <c r="G77" t="inlineStr">
        <is>
          <t>ZWE</t>
        </is>
      </c>
    </row>
    <row r="78">
      <c r="A78" t="inlineStr">
        <is>
          <t>Buhera</t>
        </is>
      </c>
      <c r="B78" t="inlineStr">
        <is>
          <t xml:space="preserve"> </t>
        </is>
      </c>
      <c r="C78" t="inlineStr">
        <is>
          <t>ZW1101</t>
        </is>
      </c>
      <c r="D78" t="inlineStr">
        <is>
          <t>Manicaland</t>
        </is>
      </c>
      <c r="E78" t="inlineStr">
        <is>
          <t>ZW11</t>
        </is>
      </c>
      <c r="F78" t="inlineStr">
        <is>
          <t>Zimbabwe</t>
        </is>
      </c>
      <c r="G78" t="inlineStr">
        <is>
          <t>ZWE</t>
        </is>
      </c>
    </row>
    <row r="79">
      <c r="A79" t="inlineStr">
        <is>
          <t>Bubi</t>
        </is>
      </c>
      <c r="B79" t="inlineStr">
        <is>
          <t xml:space="preserve"> </t>
        </is>
      </c>
      <c r="C79" t="inlineStr">
        <is>
          <t>ZW1502</t>
        </is>
      </c>
      <c r="D79" t="inlineStr">
        <is>
          <t>Matabeleland North</t>
        </is>
      </c>
      <c r="E79" t="inlineStr">
        <is>
          <t>ZW15</t>
        </is>
      </c>
      <c r="F79" t="inlineStr">
        <is>
          <t>Zimbabwe</t>
        </is>
      </c>
      <c r="G79" t="inlineStr">
        <is>
          <t>ZWE</t>
        </is>
      </c>
    </row>
    <row r="80">
      <c r="A80" t="inlineStr">
        <is>
          <t>Binga</t>
        </is>
      </c>
      <c r="B80" t="inlineStr">
        <is>
          <t xml:space="preserve"> </t>
        </is>
      </c>
      <c r="C80" t="inlineStr">
        <is>
          <t>ZW1501</t>
        </is>
      </c>
      <c r="D80" t="inlineStr">
        <is>
          <t>Matabeleland North</t>
        </is>
      </c>
      <c r="E80" t="inlineStr">
        <is>
          <t>ZW15</t>
        </is>
      </c>
      <c r="F80" t="inlineStr">
        <is>
          <t>Zimbabwe</t>
        </is>
      </c>
      <c r="G80" t="inlineStr">
        <is>
          <t>ZWE</t>
        </is>
      </c>
    </row>
    <row r="81">
      <c r="A81" t="inlineStr">
        <is>
          <t>Bindura Urban</t>
        </is>
      </c>
      <c r="B81" t="inlineStr">
        <is>
          <t xml:space="preserve"> </t>
        </is>
      </c>
      <c r="C81" t="inlineStr">
        <is>
          <t>ZW1221</t>
        </is>
      </c>
      <c r="D81" t="inlineStr">
        <is>
          <t>Mashonaland Central</t>
        </is>
      </c>
      <c r="E81" t="inlineStr">
        <is>
          <t>ZW12</t>
        </is>
      </c>
      <c r="F81" t="inlineStr">
        <is>
          <t>Zimbabwe</t>
        </is>
      </c>
      <c r="G81" t="inlineStr">
        <is>
          <t>ZWE</t>
        </is>
      </c>
    </row>
    <row r="82">
      <c r="A82" t="inlineStr">
        <is>
          <t>Bindura</t>
        </is>
      </c>
      <c r="B82" t="inlineStr">
        <is>
          <t xml:space="preserve"> </t>
        </is>
      </c>
      <c r="C82" t="inlineStr">
        <is>
          <t>ZW1201</t>
        </is>
      </c>
      <c r="D82" t="inlineStr">
        <is>
          <t>Mashonaland Central</t>
        </is>
      </c>
      <c r="E82" t="inlineStr">
        <is>
          <t>ZW12</t>
        </is>
      </c>
      <c r="F82" t="inlineStr">
        <is>
          <t>Zimbabwe</t>
        </is>
      </c>
      <c r="G82" t="inlineStr">
        <is>
          <t>ZWE</t>
        </is>
      </c>
    </row>
    <row r="83">
      <c r="A83" t="inlineStr">
        <is>
          <t>Bikita</t>
        </is>
      </c>
      <c r="B83" t="inlineStr">
        <is>
          <t xml:space="preserve"> </t>
        </is>
      </c>
      <c r="C83" t="inlineStr">
        <is>
          <t>ZW1801</t>
        </is>
      </c>
      <c r="D83" t="inlineStr">
        <is>
          <t>Masvingo</t>
        </is>
      </c>
      <c r="E83" t="inlineStr">
        <is>
          <t>ZW18</t>
        </is>
      </c>
      <c r="F83" t="inlineStr">
        <is>
          <t>Zimbabwe</t>
        </is>
      </c>
      <c r="G83" t="inlineStr">
        <is>
          <t>ZWE</t>
        </is>
      </c>
    </row>
    <row r="84">
      <c r="A84" t="inlineStr">
        <is>
          <t>Beitbridge Urban</t>
        </is>
      </c>
      <c r="B84" t="inlineStr">
        <is>
          <t xml:space="preserve"> </t>
        </is>
      </c>
      <c r="C84" t="inlineStr">
        <is>
          <t>ZW1622</t>
        </is>
      </c>
      <c r="D84" t="inlineStr">
        <is>
          <t>Matabeleland South</t>
        </is>
      </c>
      <c r="E84" t="inlineStr">
        <is>
          <t>ZW16</t>
        </is>
      </c>
      <c r="F84" t="inlineStr">
        <is>
          <t>Zimbabwe</t>
        </is>
      </c>
      <c r="G84" t="inlineStr">
        <is>
          <t>ZWE</t>
        </is>
      </c>
    </row>
    <row r="85">
      <c r="A85" t="inlineStr">
        <is>
          <t>Beitbridge</t>
        </is>
      </c>
      <c r="B85" t="inlineStr">
        <is>
          <t xml:space="preserve"> </t>
        </is>
      </c>
      <c r="C85" t="inlineStr">
        <is>
          <t>ZW1601</t>
        </is>
      </c>
      <c r="D85" t="inlineStr">
        <is>
          <t>Matabeleland South</t>
        </is>
      </c>
      <c r="E85" t="inlineStr">
        <is>
          <t>ZW16</t>
        </is>
      </c>
      <c r="F85" t="inlineStr">
        <is>
          <t>Zimbabwe</t>
        </is>
      </c>
      <c r="G85" t="inlineStr">
        <is>
          <t>ZWE</t>
        </is>
      </c>
    </row>
    <row r="86">
      <c r="A86" t="inlineStr">
        <is>
          <t>Shurugwi</t>
        </is>
      </c>
      <c r="B86" t="inlineStr">
        <is>
          <t xml:space="preserve"> </t>
        </is>
      </c>
      <c r="C86" t="inlineStr">
        <is>
          <t>ZW1707</t>
        </is>
      </c>
      <c r="D86" t="inlineStr">
        <is>
          <t>Midlands</t>
        </is>
      </c>
      <c r="E86" t="inlineStr">
        <is>
          <t>ZW17</t>
        </is>
      </c>
      <c r="F86" t="inlineStr">
        <is>
          <t>Zimbabwe</t>
        </is>
      </c>
      <c r="G86" t="inlineStr">
        <is>
          <t>ZWE</t>
        </is>
      </c>
    </row>
    <row r="87">
      <c r="A87" t="inlineStr">
        <is>
          <t>Shamva</t>
        </is>
      </c>
      <c r="B87" t="inlineStr">
        <is>
          <t xml:space="preserve"> </t>
        </is>
      </c>
      <c r="C87" t="inlineStr">
        <is>
          <t>ZW1207</t>
        </is>
      </c>
      <c r="D87" t="inlineStr">
        <is>
          <t>Mashonaland Central</t>
        </is>
      </c>
      <c r="E87" t="inlineStr">
        <is>
          <t>ZW12</t>
        </is>
      </c>
      <c r="F87" t="inlineStr">
        <is>
          <t>Zimbabwe</t>
        </is>
      </c>
      <c r="G87" t="inlineStr">
        <is>
          <t>ZWE</t>
        </is>
      </c>
    </row>
    <row r="88">
      <c r="A88" t="inlineStr">
        <is>
          <t>Seke</t>
        </is>
      </c>
      <c r="B88" t="inlineStr">
        <is>
          <t xml:space="preserve"> </t>
        </is>
      </c>
      <c r="C88" t="inlineStr">
        <is>
          <t>ZW1308</t>
        </is>
      </c>
      <c r="D88" t="inlineStr">
        <is>
          <t>Mashonaland East</t>
        </is>
      </c>
      <c r="E88" t="inlineStr">
        <is>
          <t>ZW13</t>
        </is>
      </c>
      <c r="F88" t="inlineStr">
        <is>
          <t>Zimbabwe</t>
        </is>
      </c>
      <c r="G88" t="inlineStr">
        <is>
          <t>ZWE</t>
        </is>
      </c>
    </row>
    <row r="89">
      <c r="A89" t="inlineStr">
        <is>
          <t>Sanyati</t>
        </is>
      </c>
      <c r="B89" t="inlineStr">
        <is>
          <t xml:space="preserve"> </t>
        </is>
      </c>
      <c r="C89" t="inlineStr">
        <is>
          <t>ZW1428</t>
        </is>
      </c>
      <c r="D89" t="inlineStr">
        <is>
          <t>Mashonaland West</t>
        </is>
      </c>
      <c r="E89" t="inlineStr">
        <is>
          <t>ZW14</t>
        </is>
      </c>
      <c r="F89" t="inlineStr">
        <is>
          <t>Zimbabwe</t>
        </is>
      </c>
      <c r="G89" t="inlineStr">
        <is>
          <t>ZWE</t>
        </is>
      </c>
    </row>
    <row r="90">
      <c r="A90" t="inlineStr">
        <is>
          <t>Ruwa</t>
        </is>
      </c>
      <c r="B90" t="inlineStr">
        <is>
          <t xml:space="preserve"> </t>
        </is>
      </c>
      <c r="C90" t="inlineStr">
        <is>
          <t>ZW1326</t>
        </is>
      </c>
      <c r="D90" t="inlineStr">
        <is>
          <t>Mashonaland East</t>
        </is>
      </c>
      <c r="E90" t="inlineStr">
        <is>
          <t>ZW13</t>
        </is>
      </c>
      <c r="F90" t="inlineStr">
        <is>
          <t>Zimbabwe</t>
        </is>
      </c>
      <c r="G90" t="inlineStr">
        <is>
          <t>ZWE</t>
        </is>
      </c>
    </row>
    <row r="91">
      <c r="A91" t="inlineStr">
        <is>
          <t>Rushinga</t>
        </is>
      </c>
      <c r="B91" t="inlineStr">
        <is>
          <t xml:space="preserve"> </t>
        </is>
      </c>
      <c r="C91" t="inlineStr">
        <is>
          <t>ZW1206</t>
        </is>
      </c>
      <c r="D91" t="inlineStr">
        <is>
          <t>Mashonaland Central</t>
        </is>
      </c>
      <c r="E91" t="inlineStr">
        <is>
          <t>ZW12</t>
        </is>
      </c>
      <c r="F91" t="inlineStr">
        <is>
          <t>Zimbabwe</t>
        </is>
      </c>
      <c r="G91" t="inlineStr">
        <is>
          <t>ZWE</t>
        </is>
      </c>
    </row>
    <row r="92">
      <c r="A92" t="inlineStr">
        <is>
          <t>Rusape</t>
        </is>
      </c>
      <c r="B92" t="inlineStr">
        <is>
          <t xml:space="preserve"> </t>
        </is>
      </c>
      <c r="C92" t="inlineStr">
        <is>
          <t>ZW1122</t>
        </is>
      </c>
      <c r="D92" t="inlineStr">
        <is>
          <t>Manicaland</t>
        </is>
      </c>
      <c r="E92" t="inlineStr">
        <is>
          <t>ZW11</t>
        </is>
      </c>
      <c r="F92" t="inlineStr">
        <is>
          <t>Zimbabwe</t>
        </is>
      </c>
      <c r="G92" t="inlineStr">
        <is>
          <t>ZWE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Lawi Analo</dc:creator>
  <dcterms:created xmlns:dcterms="http://purl.org/dc/terms/" xmlns:xsi="http://www.w3.org/2001/XMLSchema-instance" xsi:type="dcterms:W3CDTF">2020-12-10T15:46:11Z</dcterms:created>
  <dcterms:modified xmlns:dcterms="http://purl.org/dc/terms/" xmlns:xsi="http://www.w3.org/2001/XMLSchema-instance" xsi:type="dcterms:W3CDTF">2022-11-14T05:54:09Z</dcterms:modified>
  <cp:lastModifiedBy>Lawi Analo</cp:lastModifiedBy>
</cp:coreProperties>
</file>