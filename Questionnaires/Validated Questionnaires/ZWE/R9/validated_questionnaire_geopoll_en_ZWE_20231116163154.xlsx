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lanalo\Geopoll Dropbox\Account Management - ops\FAO\COVID agricultural livelihoods modules\Zimbabwe\Needs Assessments\Household\Questionnaires\HH Questionnaire\Round 9\"/>
    </mc:Choice>
  </mc:AlternateContent>
  <xr:revisionPtr revIDLastSave="0" documentId="8_{760ED798-E288-46B0-9912-463656AD35C9}" xr6:coauthVersionLast="47" xr6:coauthVersionMax="47" xr10:uidLastSave="{00000000-0000-0000-0000-000000000000}"/>
  <bookViews>
    <workbookView xWindow="-120" yWindow="-120" windowWidth="29040" windowHeight="18240" xr2:uid="{00000000-000D-0000-FFFF-FFFF00000000}"/>
  </bookViews>
  <sheets>
    <sheet name="survey" sheetId="1" r:id="rId1"/>
    <sheet name="Crop list" sheetId="9" r:id="rId2"/>
    <sheet name="Additional information" sheetId="10" r:id="rId3"/>
    <sheet name="New Durations" sheetId="2" state="hidden" r:id="rId4"/>
  </sheets>
  <externalReferences>
    <externalReference r:id="rId5"/>
  </externalReferences>
  <definedNames>
    <definedName name="_xlnm._FilterDatabase" localSheetId="0" hidden="1">survey!$A$3:$O$197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7" i="1" l="1"/>
  <c r="G196" i="1"/>
  <c r="G195" i="1"/>
  <c r="G194" i="1"/>
  <c r="G193" i="1"/>
  <c r="A188" i="1" l="1"/>
  <c r="I192" i="1"/>
  <c r="G192" i="1"/>
  <c r="E192" i="1"/>
  <c r="I191" i="1"/>
  <c r="G191" i="1"/>
  <c r="E191" i="1"/>
  <c r="I190" i="1"/>
  <c r="G190" i="1"/>
  <c r="E190" i="1"/>
  <c r="E120" i="1" l="1"/>
  <c r="E117" i="1"/>
  <c r="E116" i="1"/>
  <c r="E115" i="1"/>
  <c r="E96" i="1"/>
  <c r="E95" i="1"/>
  <c r="E94" i="1"/>
  <c r="V45" i="1"/>
  <c r="W45" i="1" s="1"/>
  <c r="I45" i="1"/>
  <c r="G45" i="1"/>
  <c r="E45" i="1"/>
  <c r="D4" i="9" l="1" a="1"/>
  <c r="D4" i="9" s="1"/>
  <c r="I197" i="1" l="1"/>
  <c r="I196" i="1"/>
  <c r="I195" i="1"/>
  <c r="I194" i="1"/>
  <c r="I193" i="1"/>
  <c r="I189" i="1"/>
  <c r="I188" i="1"/>
  <c r="I187" i="1"/>
  <c r="I185" i="1"/>
  <c r="I184" i="1"/>
  <c r="I183" i="1"/>
  <c r="I182" i="1"/>
  <c r="I181"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7" i="1"/>
  <c r="I136" i="1"/>
  <c r="I135" i="1"/>
  <c r="I134" i="1"/>
  <c r="I132" i="1"/>
  <c r="I131" i="1"/>
  <c r="I130" i="1"/>
  <c r="I129" i="1"/>
  <c r="I128" i="1"/>
  <c r="I127" i="1"/>
  <c r="I125" i="1"/>
  <c r="I124" i="1"/>
  <c r="I123" i="1"/>
  <c r="I122" i="1"/>
  <c r="I119" i="1"/>
  <c r="I118" i="1"/>
  <c r="I114" i="1"/>
  <c r="I113" i="1"/>
  <c r="I112" i="1"/>
  <c r="I111" i="1"/>
  <c r="I110" i="1"/>
  <c r="I109" i="1"/>
  <c r="I107" i="1"/>
  <c r="I106" i="1"/>
  <c r="I105" i="1"/>
  <c r="I104" i="1"/>
  <c r="I102" i="1"/>
  <c r="I101" i="1"/>
  <c r="I100" i="1"/>
  <c r="I99" i="1"/>
  <c r="I98" i="1"/>
  <c r="I97" i="1"/>
  <c r="I93" i="1"/>
  <c r="I92" i="1"/>
  <c r="I91" i="1"/>
  <c r="I90" i="1"/>
  <c r="I89" i="1"/>
  <c r="I88" i="1"/>
  <c r="I87"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5" i="1"/>
  <c r="I54" i="1"/>
  <c r="I53" i="1"/>
  <c r="I52" i="1"/>
  <c r="I51" i="1"/>
  <c r="I50" i="1"/>
  <c r="I49" i="1"/>
  <c r="I48" i="1"/>
  <c r="I47" i="1"/>
  <c r="I44" i="1"/>
  <c r="I43" i="1"/>
  <c r="I42" i="1"/>
  <c r="I41" i="1"/>
  <c r="I40" i="1"/>
  <c r="I39" i="1"/>
  <c r="I38" i="1"/>
  <c r="I37" i="1"/>
  <c r="I36" i="1"/>
  <c r="I35" i="1"/>
  <c r="I34" i="1"/>
  <c r="I33" i="1"/>
  <c r="I32" i="1"/>
  <c r="I31" i="1"/>
  <c r="I30" i="1"/>
  <c r="I29" i="1"/>
  <c r="I28" i="1"/>
  <c r="I27" i="1"/>
  <c r="I26" i="1"/>
  <c r="I25" i="1"/>
  <c r="I24" i="1"/>
  <c r="I23" i="1"/>
  <c r="I22" i="1"/>
  <c r="I20" i="1"/>
  <c r="I19" i="1"/>
  <c r="I18" i="1"/>
  <c r="I17" i="1"/>
  <c r="I16" i="1"/>
  <c r="I15" i="1"/>
  <c r="I14" i="1"/>
  <c r="I13" i="1"/>
  <c r="I12" i="1"/>
  <c r="I11" i="1"/>
  <c r="I10" i="1"/>
  <c r="I9" i="1"/>
  <c r="I8" i="1"/>
  <c r="I7" i="1"/>
  <c r="I6" i="1"/>
  <c r="I5" i="1"/>
  <c r="G189" i="1"/>
  <c r="G188" i="1"/>
  <c r="G187" i="1"/>
  <c r="G185" i="1"/>
  <c r="G184" i="1"/>
  <c r="G183" i="1"/>
  <c r="G182" i="1"/>
  <c r="G181"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7" i="1"/>
  <c r="G136" i="1"/>
  <c r="G135" i="1"/>
  <c r="G134" i="1"/>
  <c r="G132" i="1"/>
  <c r="G131" i="1"/>
  <c r="G130" i="1"/>
  <c r="G129" i="1"/>
  <c r="G128" i="1"/>
  <c r="G127" i="1"/>
  <c r="G125" i="1"/>
  <c r="G124" i="1"/>
  <c r="G123" i="1"/>
  <c r="G122" i="1"/>
  <c r="G119" i="1"/>
  <c r="G118" i="1"/>
  <c r="G114" i="1"/>
  <c r="G113" i="1"/>
  <c r="G112" i="1"/>
  <c r="G111" i="1"/>
  <c r="G110" i="1"/>
  <c r="G109" i="1"/>
  <c r="G107" i="1"/>
  <c r="G106" i="1"/>
  <c r="G105" i="1"/>
  <c r="G104" i="1"/>
  <c r="G102" i="1"/>
  <c r="G101" i="1"/>
  <c r="G100" i="1"/>
  <c r="G99" i="1"/>
  <c r="G98" i="1"/>
  <c r="G97" i="1"/>
  <c r="G93" i="1"/>
  <c r="G92" i="1"/>
  <c r="G91" i="1"/>
  <c r="G90" i="1"/>
  <c r="G89" i="1"/>
  <c r="G88" i="1"/>
  <c r="G87"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5" i="1"/>
  <c r="G54" i="1"/>
  <c r="G53" i="1"/>
  <c r="G52" i="1"/>
  <c r="G51" i="1"/>
  <c r="G50" i="1"/>
  <c r="G49" i="1"/>
  <c r="G48" i="1"/>
  <c r="G47" i="1"/>
  <c r="G44" i="1"/>
  <c r="G43" i="1"/>
  <c r="G42" i="1"/>
  <c r="G41" i="1"/>
  <c r="G40" i="1"/>
  <c r="G39" i="1"/>
  <c r="G38" i="1"/>
  <c r="G37" i="1"/>
  <c r="G36" i="1"/>
  <c r="G35" i="1"/>
  <c r="G34" i="1"/>
  <c r="G33" i="1"/>
  <c r="G32" i="1"/>
  <c r="G31" i="1"/>
  <c r="G30" i="1"/>
  <c r="G29" i="1"/>
  <c r="G28" i="1"/>
  <c r="G27" i="1"/>
  <c r="G26" i="1"/>
  <c r="G25" i="1"/>
  <c r="G24" i="1"/>
  <c r="G23" i="1"/>
  <c r="G22" i="1"/>
  <c r="G20" i="1"/>
  <c r="G19" i="1"/>
  <c r="G18" i="1"/>
  <c r="G17" i="1"/>
  <c r="G16" i="1"/>
  <c r="G15" i="1"/>
  <c r="G14" i="1"/>
  <c r="G13" i="1"/>
  <c r="G12" i="1"/>
  <c r="G11" i="1"/>
  <c r="G10" i="1"/>
  <c r="G9" i="1"/>
  <c r="G8" i="1"/>
  <c r="G7" i="1"/>
  <c r="G6" i="1"/>
  <c r="G5" i="1"/>
  <c r="E161" i="1" l="1"/>
  <c r="E158" i="1"/>
  <c r="E102" i="1"/>
  <c r="E101" i="1"/>
  <c r="E85" i="1"/>
  <c r="E15" i="1" l="1"/>
  <c r="E19" i="1" l="1"/>
  <c r="E13" i="1"/>
  <c r="E185" i="1"/>
  <c r="E184" i="1" l="1"/>
  <c r="E183" i="1"/>
  <c r="E178" i="1"/>
  <c r="E179" i="1"/>
  <c r="E175" i="1"/>
  <c r="E176" i="1"/>
  <c r="E177" i="1"/>
  <c r="E174" i="1"/>
  <c r="E172" i="1"/>
  <c r="E173" i="1"/>
  <c r="E170" i="1"/>
  <c r="E171" i="1"/>
  <c r="E167" i="1"/>
  <c r="E168" i="1"/>
  <c r="E169" i="1"/>
  <c r="E164" i="1"/>
  <c r="E165" i="1"/>
  <c r="E166" i="1"/>
  <c r="E160" i="1"/>
  <c r="E159" i="1"/>
  <c r="E156" i="1"/>
  <c r="E157" i="1"/>
  <c r="E155" i="1"/>
  <c r="E153" i="1"/>
  <c r="E154" i="1"/>
  <c r="E151" i="1"/>
  <c r="E152" i="1"/>
  <c r="E83" i="1"/>
  <c r="E81" i="1"/>
  <c r="E82" i="1"/>
  <c r="E60" i="1"/>
  <c r="E61" i="1"/>
  <c r="E62" i="1"/>
  <c r="E63" i="1"/>
  <c r="E64" i="1"/>
  <c r="E69" i="1"/>
  <c r="E70" i="1"/>
  <c r="E71" i="1"/>
  <c r="E72" i="1"/>
  <c r="E73" i="1"/>
  <c r="E79" i="1"/>
  <c r="E80" i="1"/>
  <c r="E84" i="1" l="1"/>
  <c r="W5" i="1" l="1"/>
  <c r="W6" i="1"/>
  <c r="W7" i="1"/>
  <c r="W8" i="1"/>
  <c r="W9" i="1"/>
  <c r="W10" i="1"/>
  <c r="W11" i="1"/>
  <c r="W12" i="1"/>
  <c r="W13" i="1"/>
  <c r="W14" i="1"/>
  <c r="W16" i="1"/>
  <c r="W17" i="1"/>
  <c r="W18" i="1"/>
  <c r="W19" i="1"/>
  <c r="W20" i="1"/>
  <c r="V22" i="1"/>
  <c r="W22" i="1" s="1"/>
  <c r="V23" i="1"/>
  <c r="W23" i="1" s="1"/>
  <c r="V24" i="1"/>
  <c r="W24" i="1" s="1"/>
  <c r="V25" i="1"/>
  <c r="W25" i="1" s="1"/>
  <c r="V26" i="1"/>
  <c r="W26" i="1" s="1"/>
  <c r="V27" i="1"/>
  <c r="W27" i="1" s="1"/>
  <c r="V28" i="1"/>
  <c r="W28" i="1" s="1"/>
  <c r="V29" i="1"/>
  <c r="W29" i="1" s="1"/>
  <c r="V30" i="1"/>
  <c r="W30" i="1" s="1"/>
  <c r="V31" i="1"/>
  <c r="W31" i="1" s="1"/>
  <c r="V32" i="1"/>
  <c r="W32" i="1" s="1"/>
  <c r="V33" i="1"/>
  <c r="W33" i="1" s="1"/>
  <c r="V34" i="1"/>
  <c r="W34" i="1" s="1"/>
  <c r="V43" i="1"/>
  <c r="W43" i="1" s="1"/>
  <c r="V44" i="1"/>
  <c r="W44" i="1" s="1"/>
  <c r="V48" i="1"/>
  <c r="W48" i="1" s="1"/>
  <c r="V49" i="1"/>
  <c r="W49" i="1" s="1"/>
  <c r="V50" i="1"/>
  <c r="W50" i="1" s="1"/>
  <c r="V51" i="1"/>
  <c r="W51" i="1" s="1"/>
  <c r="V52" i="1"/>
  <c r="W52" i="1" s="1"/>
  <c r="V53" i="1"/>
  <c r="W53" i="1" s="1"/>
  <c r="V54" i="1"/>
  <c r="W54" i="1" s="1"/>
  <c r="V55" i="1"/>
  <c r="W55" i="1" s="1"/>
  <c r="V57" i="1"/>
  <c r="W57" i="1" s="1"/>
  <c r="V58" i="1"/>
  <c r="W58" i="1" s="1"/>
  <c r="V59" i="1"/>
  <c r="W59" i="1" s="1"/>
  <c r="V60" i="1"/>
  <c r="W60" i="1" s="1"/>
  <c r="V61" i="1"/>
  <c r="W61" i="1" s="1"/>
  <c r="V62" i="1"/>
  <c r="W62" i="1" s="1"/>
  <c r="V63" i="1"/>
  <c r="W63" i="1" s="1"/>
  <c r="V65" i="1"/>
  <c r="W65" i="1" s="1"/>
  <c r="V66" i="1"/>
  <c r="W66" i="1" s="1"/>
  <c r="V67" i="1"/>
  <c r="W67" i="1" s="1"/>
  <c r="V68" i="1"/>
  <c r="W68" i="1" s="1"/>
  <c r="V69" i="1"/>
  <c r="W69" i="1" s="1"/>
  <c r="V72" i="1"/>
  <c r="W72" i="1" s="1"/>
  <c r="V74" i="1"/>
  <c r="W74" i="1" s="1"/>
  <c r="V75" i="1"/>
  <c r="W75" i="1" s="1"/>
  <c r="V76" i="1"/>
  <c r="W76" i="1" s="1"/>
  <c r="V77" i="1"/>
  <c r="W77" i="1" s="1"/>
  <c r="V78" i="1"/>
  <c r="W78" i="1" s="1"/>
  <c r="V79" i="1"/>
  <c r="W79" i="1" s="1"/>
  <c r="V80" i="1"/>
  <c r="W80" i="1" s="1"/>
  <c r="V83" i="1"/>
  <c r="W83" i="1" s="1"/>
  <c r="V84" i="1"/>
  <c r="W84" i="1" s="1"/>
  <c r="V87" i="1"/>
  <c r="W87" i="1" s="1"/>
  <c r="V89" i="1"/>
  <c r="W89" i="1" s="1"/>
  <c r="V90" i="1"/>
  <c r="W90" i="1" s="1"/>
  <c r="V91" i="1"/>
  <c r="W91" i="1" s="1"/>
  <c r="V92" i="1"/>
  <c r="W92" i="1" s="1"/>
  <c r="V97" i="1"/>
  <c r="W97" i="1" s="1"/>
  <c r="V98" i="1"/>
  <c r="W98" i="1" s="1"/>
  <c r="V99" i="1"/>
  <c r="W99" i="1" s="1"/>
  <c r="V100" i="1"/>
  <c r="W100" i="1" s="1"/>
  <c r="V104" i="1"/>
  <c r="W104" i="1" s="1"/>
  <c r="V105" i="1"/>
  <c r="W105" i="1" s="1"/>
  <c r="V106" i="1"/>
  <c r="W106" i="1" s="1"/>
  <c r="V107" i="1"/>
  <c r="W107" i="1" s="1"/>
  <c r="V109" i="1"/>
  <c r="W109" i="1" s="1"/>
  <c r="V110" i="1"/>
  <c r="W110" i="1" s="1"/>
  <c r="V111" i="1"/>
  <c r="W111" i="1" s="1"/>
  <c r="V112" i="1"/>
  <c r="W112" i="1" s="1"/>
  <c r="V113" i="1"/>
  <c r="W113" i="1" s="1"/>
  <c r="V114" i="1"/>
  <c r="W114" i="1" s="1"/>
  <c r="V118" i="1"/>
  <c r="W118" i="1" s="1"/>
  <c r="V119" i="1"/>
  <c r="W119" i="1" s="1"/>
  <c r="V122" i="1"/>
  <c r="W122" i="1" s="1"/>
  <c r="V123" i="1"/>
  <c r="W123" i="1" s="1"/>
  <c r="V124" i="1"/>
  <c r="W124" i="1" s="1"/>
  <c r="V125" i="1"/>
  <c r="W125" i="1" s="1"/>
  <c r="V127" i="1"/>
  <c r="W127" i="1" s="1"/>
  <c r="V128" i="1"/>
  <c r="W128" i="1" s="1"/>
  <c r="V129" i="1"/>
  <c r="W129" i="1" s="1"/>
  <c r="V130" i="1"/>
  <c r="W130" i="1" s="1"/>
  <c r="V131" i="1"/>
  <c r="W131" i="1" s="1"/>
  <c r="V132" i="1"/>
  <c r="W132" i="1" s="1"/>
  <c r="V134" i="1"/>
  <c r="W134" i="1" s="1"/>
  <c r="V135" i="1"/>
  <c r="W135" i="1" s="1"/>
  <c r="V136" i="1"/>
  <c r="W136" i="1" s="1"/>
  <c r="V137" i="1"/>
  <c r="W137" i="1" s="1"/>
  <c r="W139" i="1"/>
  <c r="W140" i="1"/>
  <c r="W141" i="1"/>
  <c r="W142" i="1"/>
  <c r="W143" i="1"/>
  <c r="W144" i="1"/>
  <c r="W145" i="1"/>
  <c r="W146" i="1"/>
  <c r="W147" i="1"/>
  <c r="W148" i="1"/>
  <c r="W149" i="1"/>
  <c r="W150" i="1"/>
  <c r="W151" i="1"/>
  <c r="W152" i="1"/>
  <c r="W153" i="1"/>
  <c r="W154" i="1"/>
  <c r="W155" i="1"/>
  <c r="W156" i="1"/>
  <c r="W157" i="1"/>
  <c r="W159" i="1"/>
  <c r="W160" i="1"/>
  <c r="W162" i="1"/>
  <c r="W163" i="1"/>
  <c r="W164" i="1"/>
  <c r="W165" i="1"/>
  <c r="W166" i="1"/>
  <c r="W167" i="1"/>
  <c r="W168" i="1"/>
  <c r="W169" i="1"/>
  <c r="W170" i="1"/>
  <c r="W171" i="1"/>
  <c r="W172" i="1"/>
  <c r="W173" i="1"/>
  <c r="W174" i="1"/>
  <c r="W175" i="1"/>
  <c r="W176" i="1"/>
  <c r="W177" i="1"/>
  <c r="W178" i="1"/>
  <c r="W179" i="1"/>
  <c r="W181" i="1"/>
  <c r="W182" i="1"/>
  <c r="W183" i="1"/>
  <c r="W184" i="1"/>
  <c r="W187" i="1"/>
  <c r="W188" i="1"/>
  <c r="W189" i="1"/>
  <c r="W193" i="1"/>
  <c r="W194" i="1"/>
  <c r="W195" i="1"/>
  <c r="W196" i="1"/>
  <c r="W197" i="1"/>
  <c r="E93" i="1"/>
  <c r="W199" i="1" l="1"/>
  <c r="W200" i="1"/>
  <c r="W201" i="1"/>
  <c r="E57" i="1" l="1"/>
  <c r="E47" i="1" l="1"/>
  <c r="E50" i="1" l="1"/>
  <c r="E92" i="1" l="1"/>
  <c r="E88" i="1"/>
  <c r="E197" i="1" l="1"/>
  <c r="E196" i="1"/>
  <c r="E195" i="1"/>
  <c r="E125" i="1"/>
  <c r="E36" i="1" l="1"/>
  <c r="E37" i="1"/>
  <c r="E38" i="1"/>
  <c r="E39" i="1"/>
  <c r="E40" i="1"/>
  <c r="E41" i="1"/>
  <c r="E42" i="1"/>
  <c r="E35" i="1"/>
  <c r="A13" i="1" l="1"/>
  <c r="A14" i="1" s="1"/>
  <c r="E194" i="1"/>
  <c r="E193" i="1"/>
  <c r="E189" i="1"/>
  <c r="E188" i="1"/>
  <c r="E187" i="1"/>
  <c r="E182" i="1"/>
  <c r="E181" i="1"/>
  <c r="E163" i="1"/>
  <c r="E162" i="1"/>
  <c r="E150" i="1"/>
  <c r="E149" i="1"/>
  <c r="E148" i="1"/>
  <c r="E147" i="1"/>
  <c r="E146" i="1"/>
  <c r="E145" i="1"/>
  <c r="E144" i="1"/>
  <c r="E143" i="1"/>
  <c r="E142" i="1"/>
  <c r="E141" i="1"/>
  <c r="E140" i="1"/>
  <c r="E139" i="1"/>
  <c r="E137" i="1"/>
  <c r="E136" i="1"/>
  <c r="E135" i="1"/>
  <c r="E134" i="1"/>
  <c r="E132" i="1"/>
  <c r="E131" i="1"/>
  <c r="E130" i="1"/>
  <c r="E129" i="1"/>
  <c r="E128" i="1"/>
  <c r="E127" i="1"/>
  <c r="E124" i="1"/>
  <c r="E123" i="1"/>
  <c r="E122" i="1"/>
  <c r="E119" i="1"/>
  <c r="E118" i="1"/>
  <c r="E114" i="1"/>
  <c r="E113" i="1"/>
  <c r="E112" i="1"/>
  <c r="E111" i="1"/>
  <c r="E110" i="1"/>
  <c r="E109" i="1"/>
  <c r="E107" i="1"/>
  <c r="E106" i="1"/>
  <c r="E105" i="1"/>
  <c r="E104" i="1"/>
  <c r="E100" i="1"/>
  <c r="E99" i="1"/>
  <c r="E98" i="1"/>
  <c r="E97" i="1"/>
  <c r="E91" i="1"/>
  <c r="E90" i="1"/>
  <c r="E89" i="1"/>
  <c r="E87" i="1"/>
  <c r="E78" i="1"/>
  <c r="E77" i="1"/>
  <c r="E76" i="1"/>
  <c r="E75" i="1"/>
  <c r="E74" i="1"/>
  <c r="E68" i="1"/>
  <c r="E67" i="1"/>
  <c r="E66" i="1"/>
  <c r="E65" i="1"/>
  <c r="E59" i="1"/>
  <c r="E58" i="1"/>
  <c r="E55" i="1"/>
  <c r="E54" i="1"/>
  <c r="E53" i="1"/>
  <c r="E52" i="1"/>
  <c r="E51" i="1"/>
  <c r="E49" i="1"/>
  <c r="E48" i="1"/>
  <c r="E44" i="1"/>
  <c r="E43" i="1"/>
  <c r="E34" i="1"/>
  <c r="E33" i="1"/>
  <c r="E32" i="1"/>
  <c r="E31" i="1"/>
  <c r="E30" i="1"/>
  <c r="E29" i="1"/>
  <c r="E28" i="1"/>
  <c r="E27" i="1"/>
  <c r="E26" i="1"/>
  <c r="E25" i="1"/>
  <c r="E24" i="1"/>
  <c r="E23" i="1"/>
  <c r="E22" i="1"/>
  <c r="E20" i="1"/>
  <c r="E18" i="1"/>
  <c r="E17" i="1"/>
  <c r="E16" i="1"/>
  <c r="E14" i="1"/>
  <c r="E12" i="1"/>
  <c r="E11" i="1"/>
  <c r="E10" i="1"/>
  <c r="E9" i="1"/>
  <c r="E8" i="1"/>
  <c r="E7" i="1"/>
  <c r="E6" i="1"/>
  <c r="E5" i="1"/>
  <c r="A15" i="1" l="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7" i="1" l="1"/>
  <c r="A48" i="1" s="1"/>
  <c r="A49" i="1" s="1"/>
  <c r="A50" i="1" s="1"/>
  <c r="A51" i="1" s="1"/>
  <c r="A52" i="1" s="1"/>
  <c r="A53" i="1" s="1"/>
  <c r="A54" i="1" s="1"/>
  <c r="A55" i="1" s="1"/>
  <c r="A45" i="1"/>
  <c r="A57" i="1" l="1"/>
  <c r="A58" i="1" s="1"/>
  <c r="A59" i="1" s="1"/>
  <c r="A60" i="1" s="1"/>
  <c r="A61" i="1" s="1"/>
  <c r="A62" i="1" s="1"/>
  <c r="A63" i="1" s="1"/>
  <c r="A64" i="1" s="1"/>
  <c r="A65" i="1" s="1"/>
  <c r="A66" i="1" s="1"/>
  <c r="A67" i="1" s="1"/>
  <c r="A68" i="1" s="1"/>
  <c r="A69" i="1" s="1"/>
  <c r="A70" i="1" l="1"/>
  <c r="A71" i="1" s="1"/>
  <c r="A72" i="1" s="1"/>
  <c r="A73" i="1" s="1"/>
  <c r="A74" i="1" s="1"/>
  <c r="A75" i="1" s="1"/>
  <c r="A76" i="1" l="1"/>
  <c r="A77" i="1" s="1"/>
  <c r="A78" i="1" s="1"/>
  <c r="A79" i="1" s="1"/>
  <c r="A80" i="1" s="1"/>
  <c r="A81" i="1" l="1"/>
  <c r="A82" i="1" s="1"/>
  <c r="A83" i="1" s="1"/>
  <c r="A84" i="1" l="1"/>
  <c r="A85" i="1" s="1"/>
  <c r="A87" i="1" s="1"/>
  <c r="A88" i="1" l="1"/>
  <c r="A89" i="1" s="1"/>
  <c r="A90" i="1" s="1"/>
  <c r="A91" i="1" s="1"/>
  <c r="A92" i="1" s="1"/>
  <c r="A93" i="1" l="1"/>
  <c r="A94" i="1" s="1"/>
  <c r="A95" i="1" s="1"/>
  <c r="A96" i="1" s="1"/>
  <c r="A97" i="1" s="1"/>
  <c r="A98" i="1" l="1"/>
  <c r="A99" i="1" s="1"/>
  <c r="A100" i="1" l="1"/>
  <c r="A101" i="1" l="1"/>
  <c r="A102" i="1" s="1"/>
  <c r="A104" i="1" s="1"/>
  <c r="A105" i="1" s="1"/>
  <c r="A106" i="1" l="1"/>
  <c r="A107" i="1" s="1"/>
  <c r="A109" i="1" s="1"/>
  <c r="A110" i="1" s="1"/>
  <c r="A111" i="1" s="1"/>
  <c r="A112" i="1" s="1"/>
  <c r="A113" i="1" s="1"/>
  <c r="A114" i="1" s="1"/>
  <c r="A115" i="1" l="1"/>
  <c r="A116" i="1" s="1"/>
  <c r="A117" i="1" s="1"/>
  <c r="A118" i="1" s="1"/>
  <c r="A119" i="1" s="1"/>
  <c r="A120" i="1" s="1"/>
  <c r="A122" i="1" s="1"/>
  <c r="A123" i="1" s="1"/>
  <c r="A124" i="1" s="1"/>
  <c r="A125" i="1" s="1"/>
  <c r="A127" i="1" s="1"/>
  <c r="A128" i="1" s="1"/>
  <c r="A129" i="1" s="1"/>
  <c r="A130" i="1" s="1"/>
  <c r="A131" i="1" s="1"/>
  <c r="A132" i="1" s="1"/>
  <c r="A134" i="1" s="1"/>
  <c r="A135" i="1" s="1"/>
  <c r="A136" i="1" s="1"/>
  <c r="A137"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l="1"/>
  <c r="A159" i="1" s="1"/>
  <c r="A160" i="1" s="1"/>
  <c r="A161" i="1" l="1"/>
  <c r="A162" i="1" s="1"/>
  <c r="A163" i="1" s="1"/>
  <c r="A164" i="1" s="1"/>
  <c r="A165" i="1" s="1"/>
  <c r="A166" i="1" s="1"/>
  <c r="A167" i="1" s="1"/>
  <c r="A168" i="1" s="1"/>
  <c r="A169" i="1" s="1"/>
  <c r="A170" i="1" s="1"/>
  <c r="A171" i="1" s="1"/>
  <c r="A172" i="1" s="1"/>
  <c r="A173" i="1" s="1"/>
  <c r="A174" i="1" s="1"/>
  <c r="A175" i="1" s="1"/>
  <c r="A176" i="1" s="1"/>
  <c r="A177" i="1" s="1"/>
  <c r="A178" i="1" s="1"/>
  <c r="A179" i="1" s="1"/>
  <c r="A181" i="1" s="1"/>
  <c r="A182" i="1" s="1"/>
  <c r="A183" i="1" s="1"/>
  <c r="A184" i="1" s="1"/>
  <c r="A185" i="1" s="1"/>
  <c r="A187" i="1" s="1"/>
  <c r="A189" i="1" s="1"/>
  <c r="A190" i="1" s="1"/>
  <c r="A191" i="1" s="1"/>
  <c r="A19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tc={DE0ED6B7-AC3E-2540-AFBE-024CC17F5D56}</author>
  </authors>
  <commentList>
    <comment ref="F66" authorId="0" shapeId="0" xr:uid="{DE0ED6B7-AC3E-2540-AFBE-024CC17F5D56}">
      <text>
        <t>[Threaded comment]
Your version of Excel allows you to read this threaded comment; however, any edits to it will get removed if the file is opened in a newer version of Excel. Learn more: https://go.microsoft.com/fwlink/?linkid=870924
Comment:
    8) Ketenga nekutengesa zvirimwa zvamusingarimi imi [zviri pamutemo kana zviziripamutemo] - they key word is that they are not the producers of the products they are trading</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<sst xmlns="http://schemas.openxmlformats.org/spreadsheetml/2006/main" count="3099" uniqueCount="1649">
  <si>
    <t>GeoPoll Submission Form</t>
  </si>
  <si>
    <t xml:space="preserve">Change made </t>
  </si>
  <si>
    <t>Additional notes</t>
  </si>
  <si>
    <t>Q #</t>
  </si>
  <si>
    <t>Q Name</t>
  </si>
  <si>
    <t>Suggested Qname</t>
  </si>
  <si>
    <t>English</t>
  </si>
  <si>
    <t>Length</t>
  </si>
  <si>
    <t>sn_Shona</t>
  </si>
  <si>
    <t>nd_Ndebele</t>
  </si>
  <si>
    <t>Q Type</t>
  </si>
  <si>
    <t>Randomize</t>
  </si>
  <si>
    <t>Conditional</t>
  </si>
  <si>
    <t>Programming Instructions</t>
  </si>
  <si>
    <t>Codes</t>
  </si>
  <si>
    <t>Skip Pattern</t>
  </si>
  <si>
    <t xml:space="preserve">Default skip patterns &amp; conditional </t>
  </si>
  <si>
    <t>Specify skip pattern variable [from blue text]</t>
  </si>
  <si>
    <t>UNIVERSE</t>
  </si>
  <si>
    <t>Duration average [sec]</t>
  </si>
  <si>
    <t>Estimated percentage of repondents</t>
  </si>
  <si>
    <t>Weighted Duration</t>
  </si>
  <si>
    <t>Mandatory</t>
  </si>
  <si>
    <t>A. PRESENTATION OF THE SURVEY AND ELIGIBILITY CRITERIA SELECTION</t>
  </si>
  <si>
    <t>no</t>
  </si>
  <si>
    <t>NA</t>
  </si>
  <si>
    <t>Optin</t>
  </si>
  <si>
    <t>Open Ended</t>
  </si>
  <si>
    <t>Form Type - TextBox</t>
  </si>
  <si>
    <t>Any Response = phone_number</t>
  </si>
  <si>
    <t>ALL</t>
  </si>
  <si>
    <t>phone_number</t>
  </si>
  <si>
    <t xml:space="preserve">Input the phone number that you are contacting: </t>
  </si>
  <si>
    <t xml:space="preserve">Isa nhamba dzefoni dzauri kuda kufonera: </t>
  </si>
  <si>
    <t xml:space="preserve">Faka inombolo zocingo ozixhumayo: </t>
  </si>
  <si>
    <t>yes</t>
  </si>
  <si>
    <t>New question</t>
  </si>
  <si>
    <t>Any Response = calldispo</t>
  </si>
  <si>
    <t>calldispo</t>
  </si>
  <si>
    <t>Phone number: #CATI_MOBILENUMBER#
1)Someone answers
2)Answering machine
3)No answer
4)Hang up or refusal
5)Call back
6)Under review
7)Disconnected</t>
  </si>
  <si>
    <t>Nhamba dzefoni: #CATI_MOBILENUMBER#
1)Pane adaira
2)Muchina unodaira runhare
3)Hapana adaira
4)Yadimburirwa kana kuti aramba
5)Fona zvakare
6)Iri kuongororwa
7)Yadambuka</t>
  </si>
  <si>
    <t>Inombolo zocingo: #CATI_MOBILENUMBER#
1)Kulomuntu odobha ucingo
2)Umtshina ophendulayo
3)Akula odobha ucingo
4)Ubeke phansi ucingo/Walile
5)Ufonile
6)Kusakhangelisiswa
7)Luqanyuliwe ucingo</t>
  </si>
  <si>
    <t>Single Choice</t>
  </si>
  <si>
    <t>Form Type - Buttons</t>
  </si>
  <si>
    <t>1 = resp_language
2 = AnsweringMachine
3 = NoAnswer
4 = Refusal
5 = WhenCallBack
6 = UnderReview
7 = Disconnected</t>
  </si>
  <si>
    <t>AnsweringMachine</t>
  </si>
  <si>
    <t>calldispo_answeringmachine</t>
  </si>
  <si>
    <t>Reached an answering machine.</t>
  </si>
  <si>
    <t>Yasvikira pamuchina unodaira runhare.</t>
  </si>
  <si>
    <t>Ucingo lwaphendulwa ngumtshina ophendulayo.</t>
  </si>
  <si>
    <t>End Poll AnsweringMachine</t>
  </si>
  <si>
    <t>calldispo = 2</t>
  </si>
  <si>
    <t>NoAnswer</t>
  </si>
  <si>
    <t>calldispo_noanswer</t>
  </si>
  <si>
    <t>Phone rang and no one answered.</t>
  </si>
  <si>
    <t>Runhare rwarira asi hapana adaira.</t>
  </si>
  <si>
    <t>Ucingo lwakhala njalo akulamuntu owaludobhayo.</t>
  </si>
  <si>
    <t>End Poll NoAnswer</t>
  </si>
  <si>
    <t>calldispo = 3</t>
  </si>
  <si>
    <t>UnderReview</t>
  </si>
  <si>
    <t>calldispo_underreview</t>
  </si>
  <si>
    <t>Case needs review by a supervisor.</t>
  </si>
  <si>
    <t>Nyaya inoda kuongororwa nemukuru webasa.</t>
  </si>
  <si>
    <t>Udaba lwakhona ludingakala ukuthi lukhangelisiswe ngumhloli.</t>
  </si>
  <si>
    <t>End Poll UnderReview</t>
  </si>
  <si>
    <t>calldispo = 6</t>
  </si>
  <si>
    <t>Disconnected</t>
  </si>
  <si>
    <t>calldispo_disconnected</t>
  </si>
  <si>
    <t>Phone was disconnected or out of service.</t>
  </si>
  <si>
    <t>Runhare rwadambuka kana kuti harusi kushanda.</t>
  </si>
  <si>
    <t>Ucingo lwaqanyulwa kumbe lwalungasebenzi.</t>
  </si>
  <si>
    <t>End Poll Disconnected</t>
  </si>
  <si>
    <t>calldispo = 7</t>
  </si>
  <si>
    <t>resp_language</t>
  </si>
  <si>
    <t>Which language do you wish to proceed with?
[OPERATOR: READ ANSWER CHOICES. SINGLE RESPONSE.]
1)English
2)Shona
3)Ndebele</t>
  </si>
  <si>
    <t>1 = introduction [English]
2 = introduction [Shona]
3 = introduction [Ndebele]</t>
  </si>
  <si>
    <t>For any response, go to introduction</t>
  </si>
  <si>
    <t>Shona, Ndebele, Tonga</t>
  </si>
  <si>
    <t>introduction</t>
  </si>
  <si>
    <t>1 = Agree</t>
  </si>
  <si>
    <t>For any response, go to Agree</t>
  </si>
  <si>
    <t>Agree</t>
  </si>
  <si>
    <t>resp_agree</t>
  </si>
  <si>
    <t>Are you interested in participating in this survey?
[OPERATOR: SINGLE RESPONSE]
1)Yes
2)Not now but another time in the week
3)No</t>
  </si>
  <si>
    <t>StartRecording</t>
  </si>
  <si>
    <t>1 = id_panel
2 = WhenCallBack
3 = resp_refusalwhy</t>
  </si>
  <si>
    <t>id_panel</t>
  </si>
  <si>
    <t>Have you or any member of your household received a call on behalf of FAO regarding this topic in the past two years?
[OPERATOR: SINGLE RESPONSE.]
1)YES
2)NO
3)DON'T KNOW</t>
  </si>
  <si>
    <t>1-3 = resp_firstname</t>
  </si>
  <si>
    <t>resp_refusalwhy</t>
  </si>
  <si>
    <t>Please let us know why you have REFUSED to take the survey.
[OPERATOR: SINGLE RESPONSE]
1)Not interested
2)Do not want to be recorded
3)Other [specify]</t>
  </si>
  <si>
    <t>Open Ended-Single Choice</t>
  </si>
  <si>
    <t>Form Type - RadioList</t>
  </si>
  <si>
    <t>1-3 = Refusal</t>
  </si>
  <si>
    <t>resp_agree = 3</t>
  </si>
  <si>
    <t>WhenCallBack</t>
  </si>
  <si>
    <t>resp_whencallback</t>
  </si>
  <si>
    <t>When would it be a good time to call you back?
[RECORD HH/MM/DD/MM OF CALLBACK]</t>
  </si>
  <si>
    <t>Ndeipi nguva yakanaka yekuti tizokufonera zvakare?
[NYORA PASI AWA/MINITSI/ZUVA/MWEDZI WEKUZOFONA ZVAKARE]</t>
  </si>
  <si>
    <t>Yisiphi isikhathi esilungileyo ukuthi sikufonele futhi? 
[REKHODA IHOLA/UMZUZU/ILANGA/INYANGA YOKUFONELA]</t>
  </si>
  <si>
    <t>Form Type - TextBox
IsDemographic</t>
  </si>
  <si>
    <t>Any Response = CallbackMessageEN</t>
  </si>
  <si>
    <t>resp_agree = 2</t>
  </si>
  <si>
    <t>CallbackMessageEN</t>
  </si>
  <si>
    <t>callbackmessage_en</t>
  </si>
  <si>
    <t>Thank you, we will call you back at {WhenCallBack} you requested. Thank you again and have a great day!
[OPERATOR: ENTER CALL NOTES BELOW, WHO YOU SPOKE TO AND WHAT THEY SAID]</t>
  </si>
  <si>
    <t>Tinotenda, tichakufonera zvakare musi wa {WhenCallBack} sekukumbira kwavaita. Tinoti vaita basa zvakare uve nezuva rakanaka!
[ARI KUITISA ONGORORO: NYORA PASI MANOTSI EZVAKURUKURWA PARUNHARE, WAVAKURUKURA NAYE UYE ZVAATAURA]</t>
  </si>
  <si>
    <t>Siyabonga, sizakufonela futhi ngo {WhenCallBack} osicelileyo. Siphinde sibonge futhi njalo ube lelanga elihle!
[OQHUBAYO: FAKA AMANOTHI OCINGO NGAPHANSI, LO OKHULUME LAYE KANYE LOKUTHI UTHENI]</t>
  </si>
  <si>
    <t>Any Response = End poll callback</t>
  </si>
  <si>
    <t>Ineligible</t>
  </si>
  <si>
    <t>You are ineligible for this survey. Thank you for your time and please look out for future GeoPoll surveys! For more information visit GeoPoll.com</t>
  </si>
  <si>
    <t>Hauna kukodzera kuti uite tsvakurudzo ino. Tinokutenda nenguva yako uye tapota tarisira dzimwe tsvakurudzo dzeGeoPoll dzemune ramangwana! Kuti uwane mashoko azere enda pawebhusaiti inoti GeoPoll.com</t>
  </si>
  <si>
    <t>Kawufanelanga ukuphatheka kuncwayisiso le. Siyabonga ngesikhathi sakho njalo kangelela ezinye incwayisiso ezilandelayo zeGeoPoll! Ukuze uthole olunye ulwazi vakatshela iwebhusayithi ethi GeoPoll.com</t>
  </si>
  <si>
    <t>End Poll Ineligible</t>
  </si>
  <si>
    <t>Refusal</t>
  </si>
  <si>
    <t>Thank you for your time, you will be removed from today's survey.</t>
  </si>
  <si>
    <t>Tinotenda nenguva yako, uchabviswa pakuitwa kwetsvakurudzo yanhasi.</t>
  </si>
  <si>
    <t>Siyabonga ngesikhathi sakho, uzasuswa kuncwayisiso yalamuhla.</t>
  </si>
  <si>
    <t>End poll declined</t>
  </si>
  <si>
    <t>calldispo = 4</t>
  </si>
  <si>
    <t>B. GENERAL INFORMATION &amp; ELIGIBILITY CRITERIA</t>
  </si>
  <si>
    <t>resp_firstname</t>
  </si>
  <si>
    <t>What is your first name?
[OPERATOR: RECORD THE RESPONDENT'S FIRST NAME. ENTER 999 FOR REFUSED.]</t>
  </si>
  <si>
    <t>Zita rako rekutanga ndiani?
[ARI KUITISA ONGORORO: NYORA PASI ZITA REKUTANGA REARI KUPINDURA. ISA 999 KANA ARAMBA.]</t>
  </si>
  <si>
    <t>Ibizo lakho ngubani?
[OQHUBAYO: BHALA IBIZO LIKAMAPHENDULA. FAKA 999 NXA EYALILE]</t>
  </si>
  <si>
    <t>Any Response = resp_lastname</t>
  </si>
  <si>
    <t>resp_agree = 1</t>
  </si>
  <si>
    <t>new question</t>
  </si>
  <si>
    <t>resp_lastname</t>
  </si>
  <si>
    <t>What is your last name? 
[OPERATOR: RECORD THE RESPONDENT'S LAST NAME. ENTER 999 FOR REFUSED.]</t>
  </si>
  <si>
    <t>Zita rako remhuri ndiani?
[ARI KUITISA ONGORORO: NYORA PASI ZITA REMHURI REARI KUPINDURA. ISA 999 KANA ARAMBA.]</t>
  </si>
  <si>
    <t>Ibizo lakho lesibili ngubani? 
[OQHUBAYO: BHALA IBIZO LESIBILI LIKAMAPHENDULA. FAKA 999 NXA EYALILE.]</t>
  </si>
  <si>
    <t>Any Response = resp_age</t>
  </si>
  <si>
    <t>resp_age</t>
  </si>
  <si>
    <t>How old are you? 
[OPERATOR: RECORD AGE IN NUMBER OF YEARS. ROUND UP TO NEAREST WHOLE NUMBER. IF THE RESPONDENT GIVES BIRTH YEAR, REPEAT THE QUESTION. ENTER 00 FOR DON'T KNOW]</t>
  </si>
  <si>
    <t>Une makore mangani ekuzvarwa? 
[ARI KUITISA ONGORORO: NYORA PASI NHAMBA YEMAKORE. ISA NHAMBA YAKAZARA IRI PEDYO NEYATAURWA KANA IINE CHIDIMBU. KANA ARI KUPINDURA AKAPA GORE REKUZVARWA, DZOKORORA MUBVUNZO. ISA 00 KANA ASINGAZIVE]</t>
  </si>
  <si>
    <t>Uleminyaka emingaki?
[OQHUBAYO: REKHODA IMINYAKA YAKHE. BHALA INOMBOLO YEMINYAKA EPHELELEYO ESEDUZANE. NXA OPHENDULAYO ESIPHA UMNYAKA WOKUZALWA, PHINDA FUTHI UMBUZO. FAKA U-00 NXA ENGAZI]</t>
  </si>
  <si>
    <t>Range</t>
  </si>
  <si>
    <t>0-17 = Ineligible
18-100 = resp_gender
00 = Ineligible</t>
  </si>
  <si>
    <t>resp_gender</t>
  </si>
  <si>
    <t>1-4 = phone_number_conf</t>
  </si>
  <si>
    <t>resp_agree = 1 
resp_age = 18-100</t>
  </si>
  <si>
    <t>phone_number_conf</t>
  </si>
  <si>
    <t>Is the phone number I am calling you on yours or a household member's?
[OPERATOR: SINGLE RESPONSE.]
1)YES
2)NO
3)DON'T KNOW
4)REFUSED</t>
  </si>
  <si>
    <t>Nhamba yenhare yandiri kukufonera ndeyako here kana kuti ndeye mumwe wemumhuri?
[ARI KUITISA ONGORORO: MHINDURO IMWE CHETE.]
1)HONGU
2)KWETE
3)HANDIZIVI
4)ARAMBA</t>
  </si>
  <si>
    <t>Inombolo zocingo engizifonelayo zingabe zingezakho kumbe ngezelunga lomuzi?
[OQHUBAYO: IMPENDULO EYODWA.]
1)YEBO
2)HATSHI
3)KAZI
4)WALILE</t>
  </si>
  <si>
    <t>1 = contact_2
2 = phone_number_personal
3-4 = contact_2</t>
  </si>
  <si>
    <t>yes - panel</t>
  </si>
  <si>
    <t>phone_number_personal</t>
  </si>
  <si>
    <t>phone_number_pers</t>
  </si>
  <si>
    <t>What is your phone number?
[OPERATOR: RECORD THE PHONE NUMBER GIVEN. ENTER 99 FOR REFUSED]</t>
  </si>
  <si>
    <t>Nhamba yako yenhare inoti chii?
[ARI KUITISA ONGORORO: NYORA PASI NHAMBA YENHARE YATAURWA. ISA 99 KANA ARAMBA]</t>
  </si>
  <si>
    <t>Inombolo zakho zocingo zithini?
[OQHUBAYO: BHALA INOMBOLO EPHIWEYO. FAKA U-99 NXA EYALILE]</t>
  </si>
  <si>
    <t>Any Response = contact_2</t>
  </si>
  <si>
    <t>For any response, go to contact_2</t>
  </si>
  <si>
    <t>resp_agree = 1 
resp_age = 18-100
phone_number_conf = 2</t>
  </si>
  <si>
    <t>contact_2</t>
  </si>
  <si>
    <t>Ndinokumbirawo imwe nhamba yenhare yako, yehama kana yeshamwari yatinogona kukubata pairi?
[ARI KUITISA ONGORORO: MHINDURO IMWE CHETE.]
1) HONGU - yangu
2)HONGU-yeumwe wemumhuri medu
3)HONGU-yeshamwari kana yehama [isiri yemumhuri mumwe]
4)KWETE
5)HANDIZIVI
6)ARAMBA</t>
  </si>
  <si>
    <t>1-3= phone_number_2
4-6 = hh_admin1</t>
  </si>
  <si>
    <t>phone_number_2</t>
  </si>
  <si>
    <t>What is the additional phone number?
[OPERATOR: RECORD THE PHONE NUMBER GIVEN. ENTER 99 FOR REFUSED]</t>
  </si>
  <si>
    <t>Imwe nhamba yacho inoti kudii?
[ARI KUITISA ONGORORO: NYORA PASI NHAMBA YENHARE YATAURWA. ISA 99 KANA ARAMBA]</t>
  </si>
  <si>
    <t>Yiziphi ezinye inombolo zocingo?
[OQHUBAYO: BHALA INOMBOLO EPHIWEYO. FAKA U-99 NXA EYALILE]</t>
  </si>
  <si>
    <t>Any Response = contact_2_name</t>
  </si>
  <si>
    <t>For any response, go to contact_2_name</t>
  </si>
  <si>
    <t>resp_agree = 1 
resp_age = 18-100
contact_2 = 1 | 2</t>
  </si>
  <si>
    <t>contact_2_name</t>
  </si>
  <si>
    <t>What is the name of the contact?
[OPERATOR: RECORD THE NAME GIVEN. ENTER 99 FOR REFUSED]</t>
  </si>
  <si>
    <t>Zita remuridzi wenhamba yacho ndiani?
[ARI KUITISA ONGORORO: NYORA PASI ZITA RATAURWA. ISA 99 KANA ARAMBA]</t>
  </si>
  <si>
    <t>Ibizo lenombolo zokuxhuma ngubani?
[OQHUBAYO: BHALA IBIZO ELIPHIWEYO. FAKA U-99 NXA EYALILE]</t>
  </si>
  <si>
    <t>Send if "contact_2" "Equals" "YES - other household member" Or "contact_2" "Equals" "YES - friend or relative [non-household member]" if not satisfied go to "contact_3"</t>
  </si>
  <si>
    <t>Any Response = contact_3</t>
  </si>
  <si>
    <t>resp_agree = 1 
resp_age = 18-100
contact_2 = 2</t>
  </si>
  <si>
    <t>contact_3</t>
  </si>
  <si>
    <t>1-3= phone_number_3
4-6 = hh_admin1</t>
  </si>
  <si>
    <t>if contact_3 = 1-3, go to phone_number_3
if contact_3 = 4-6, go to hh_admin1</t>
  </si>
  <si>
    <t>phone_number_3</t>
  </si>
  <si>
    <t>Any Response = contact_3_name</t>
  </si>
  <si>
    <t>For any response, go to contact_3_name</t>
  </si>
  <si>
    <t>resp_agree = 1 
resp_age = 18-100
contact_3 = 1 | 2</t>
  </si>
  <si>
    <t>contact_3_name</t>
  </si>
  <si>
    <t>phone_number_3_name</t>
  </si>
  <si>
    <t>Send if "contact_3" "Equals" "YES - other household member" Or "contact_3" "Equals" "YES - friend or relative [non-household member]" if not satisfied go to "hh_admin1"</t>
  </si>
  <si>
    <t>Any Response = hh_admin1</t>
  </si>
  <si>
    <t>resp_agree = 1 
resp_age = 18-100
contact_3 = 2</t>
  </si>
  <si>
    <t>hh_admin1</t>
  </si>
  <si>
    <t>Parizvino, mhuri yenyu iri kugara muPurovhinzi ipi?
[ARI KUITISA ONGORORO: SARUDZO IMWE CHETE.]
[ZVEKUYEUKA: MHURI INOBATANIDZA NHENGO DZOSE DZINENGE DZICHIGARA PAMWE CHETE, DZICHITSIGIRANA PANE ZVEKURARAMA NAZVO UYE DZICHIDYIRA MUNDIRO IMWE.]
1)BULAWAYO
2)HARARE
3)MANICALAND
4)MASHONALAND CENTRAL
5)MASHONALAND EAST
6)MASHONALAND WEST
7)MASVINGO
8)MATABELELAND NORTH
9)MATABELELAND SOUTH
10)MIDLANDS
11)HANDIZIVI
12)ARAMBA</t>
  </si>
  <si>
    <t>Okwamanje, kukusiphi isabelo abomuzi wakho abahlala kiso?
[OQHUBAYO: IMPENDULO EYODWA.]
[ISIPHAKAMISO: UMUZI UGOQELA WONKE AMALUNGA AHLALA NDAWONYE, EYABELANA INSIZAKUSEBENZA LOKUDLA MBIZANYE.]
1)BULAWAYO
2)HARARE
3)MANICALAND
4)MASHONALAND CENTRAL
5)MASHONALAND EAST
6)MASHONALAND WEST
7)MASVINGO
8)MATABELELAND NORTH
9)MATABELELAND SOUTH
10)MIDLANDS
11)KAZI
12)WALILE</t>
  </si>
  <si>
    <t>Form Type - Dropdown
IsDemographic - ADM1</t>
  </si>
  <si>
    <t>1 = Ineligible
2 = Ineligible
3 = hh_admin2_3
4 = hh_admin2_4
5 = hh_admin2_5
6 = hh_admin2_6
7 = hh_admin2_7
8 = hh_admin2_8
9 = hh_admin2_9
10 = hh_admin2_10
11,12 = Ineligible</t>
  </si>
  <si>
    <t xml:space="preserve">The administrative information will be updated by GeoPoll based on the sample design document and the administrative boundaries provided by the dashboard team after the questionnaire validation. </t>
  </si>
  <si>
    <t>hh_admin2_3</t>
  </si>
  <si>
    <t>Currently, in which District does your household reside?
[OPERATOR: SINGLE RESPONSE.]
1)BUHERA
2)CHIMANIMANI
3)CHIPINGE
4)CHIPINGE URBAN
5)MAKONI
6)MUTARE
7)MUTARE URBAN
8)MUTASA
9)NYANGA
10)RUSAPE
11)DON'T KNOW
12)REFUSED</t>
  </si>
  <si>
    <t>Parizvino, mhuri yenyu iri kugara muDunhu ripi?
[ARI KUITISA ONGORORO: MHINDURO IMWE CHETE.]
1)BUHERA
2)CHIMANIMANI
3)CHIPINGE
4)CHIPINGE URBAN
5)MAKONI
6)MUTARE
7)MUTARE URBAN
8)MUTASA
9)NYANGA
10)RUSAPE
11)HANDIZIVI
12)ARAMBA</t>
  </si>
  <si>
    <t>Okwamanje, kukusiphi isigaba abomuzi wakho abahlala kiso?
[OQHUBAYO: IMPENDULO EYODWA.]
1)BUHERA
2)CHIMANIMANI
3)CHIPINGE
4)CHIPINGE URBAN
5)MAKONI
6)MUTARE
7)MUTARE URBAN
8)MUTASA
9)NYANGA
10)RUSAPE
11)KAZI
12)WALILE</t>
  </si>
  <si>
    <t>Form Type - Dropdown
IsDemographic - ADM2</t>
  </si>
  <si>
    <t>1-10 = quotareached
11,12 = Ineligible</t>
  </si>
  <si>
    <t>hh_admin2_4</t>
  </si>
  <si>
    <t>Currently, in which District does your household reside?
[OPERATOR: SINGLE RESPONSE.]
1)BINDURA
2)BINDURA URBAN
3)CENTENARY/ MUZARABANI
4)GURUVE
5)MAZOWE
6)MBIRE
7)MOUNT DARWIN
8)MVURWI
9)RUSHINGA
10)SHAMVA
11)DON'T KNOW
12)REFUSED</t>
  </si>
  <si>
    <t>Parizvino, mhuri yenyu iri kugara muDunhu ripi?
[ARI KUITISA ONGORORO: MHINDURO IMWE CHETE.]
1)BINDURA
2)BINDURA URBAN
3)CENTENARY/ MUZARABANI
4)GURUVE
5)MAZOWE
6)MBIRE
7)MOUNT DARWIN
8)MVURWI
9)RUSHINGA
10)SHAMVA
11)HANDIZIVI
12)ARAMBA</t>
  </si>
  <si>
    <t>Okwamanje, kukusiphi isigaba abomuzi wakho abahlala kiso?
[OQHUBAYO: IMPENDULO EYODWA.]
1)BINDURA
2)BINDURA URBAN
3)CENTENARY/ MUZARABANI
4)GURUVE
5)MAZOWE
6)MBIRE
7)MOUNT DARWIN
8)MVURWI
9)RUSHINGA
10)SHAMVA
11)KAZI
12)WALILE</t>
  </si>
  <si>
    <t>hh_admin2_5</t>
  </si>
  <si>
    <t>Currently, in which District does your household reside?
[OPERATOR: SINGLE RESPONSE.]
1)CHIKOMBA
2)GOROMONZI
3)HWEDZA
4)MARONDERA
5)MARONDERA URBAN
6)MUDZI
7)MUREHWA
8)MUTOKO
9)RUWA
10)SEKE
11)UZUMBA MARAMBA PFUNGWE
12)DON'T KNOW
13)REFUSED</t>
  </si>
  <si>
    <t>Parizvino, mhuri yenyu iri kugara muDunhu ripi?
[ARI KUITISA ONGORORO: MHINDURO IMWE CHETE.]
1)CHIKOMBA
2)GOROMONZI
3)HWEDZA
4)MARONDERA
5)MARONDERA URBAN
6)MUDZI
7)MUREHWA
8)MUTOKO
9)RUWA
10)SEKE
11)UZUMBA MARAMBA PFUNGWE
12)HANDIZIVI
13)ARAMBA</t>
  </si>
  <si>
    <t>Okwamanje, kukusiphi isigaba abomuzi wakho abahlala kiso?
[OQHUBAYO: IMPENDULO EYODWA.]
1)CHIKOMBA
2)GOROMONZI
3)HWEDZA
4)MARONDERA
5)MARONDERA URBAN
6)MUDZI
7)MUREHWA
8)MUTOKO
9)RUWA
10)SEKE
11)UZUMBA MARAMBA PFUNGWE
12)KAZI
13)WALILE</t>
  </si>
  <si>
    <t>1-11 = quotareached
12,13 = Ineligible</t>
  </si>
  <si>
    <t>hh_admin2_6</t>
  </si>
  <si>
    <t>Currently, in which District does your household reside?
[OPERATOR: SINGLE RESPONSE.]
1)CHEGUTU
2)CHEGUTU URBAN
3)CHINHOYI
4)HURUNGWE
5)KADOMA URBAN
6)KARIBA
7)KARIBA URBAN
8)KAROI
9)MAKONDE
10)MHONDORO-NGEZI
11)NORTON
12)SANYATI
13)ZVIMBA
14)DON'T KNOW
15)REFUSED</t>
  </si>
  <si>
    <t>Parizvino, mhuri yenyu iri kugara muDunhu ripi?
[ARI KUITISA ONGORORO: MHINDURO IMWE CHETE.]
1)CHEGUTU
2)CHEGUTU URBAN
3)CHINHOYI
4)HURUNGWE
5)KADOMA URBAN
6)KARIBA
7)KARIBA URBAN
8)KAROI
9)MAKONDE
10)MHONDORO-NGEZI
11)NORTON
12)SANYATI
13)ZVIMBA
14)HANDIZIVI
15)ARAMBA</t>
  </si>
  <si>
    <t>Okwamanje, kukusiphi isigaba abomuzi wakho abahlala kiso?
[OQHUBAYO: IMPENDULO EYODWA.]
1)CHEGUTU
2)CHEGUTU URBAN
3)CHINHOYI
4)HURUNGWE
5)KADOMA URBAN
6)KARIBA
7)KARIBA URBAN
8)KAROI
9)MAKONDE
10)MHONDORO-NGEZI
11)NORTON
12)SANYATI
13)ZVIMBA
14)KAZI
15)WALILE</t>
  </si>
  <si>
    <t>1-13 = quotareached
14,15 = Ineligible</t>
  </si>
  <si>
    <t>hh_admin2_7</t>
  </si>
  <si>
    <t>Currently, in which District does your household reside?
[OPERATOR: SINGLE RESPONSE.]
1)BIKITA
2)CHIREDZI
3)CHIREDZI URBAN
4)CHIVI
5)GUTU
6)MASVINGO
7)MASVINGO URBAN
8)MWENEZI
9)ZAKA
10)DON'T KNOW
11)REFUSED</t>
  </si>
  <si>
    <t>Parizvino, mhuri yenyu iri kugara muDunhu ripi?
[ARI KUITISA ONGORORO: MHINDURO IMWE CHETE.]
1)BIKITA
2)CHIREDZI
3)CHIREDZI URBAN
4)CHIVI
5)GUTU
6)MASVINGO
7)MASVINGO URBAN
8)MWENEZI
9)ZAKA
10)HANDIZIVI
11)ARAMBA</t>
  </si>
  <si>
    <t>Okwamanje, kukusiphi isigaba abomuzi wakho abahlala kiso?
[OQHUBAYO: IMPENDULO EYODWA.]
1)BIKITA
2)CHIREDZI
3)CHIREDZI URBAN
4)CHIVI
5)GUTU
6)MASVINGO
7)MASVINGO URBAN
8)MWENEZI
9)ZAKA
10)KAZI
11)WALILE</t>
  </si>
  <si>
    <t>1-9 = quotareached
10,11 = Ineligible</t>
  </si>
  <si>
    <t>hh_admin2_8</t>
  </si>
  <si>
    <t>Currently, in which District does your household reside?
[OPERATOR: SINGLE RESPONSE.]
1)BINGA
2)BUBI
3)HWANGE
4)HWANGE URBAN
5)LUPANE
6)NKAYI
7)TSHOLOTSHO
8)UMGUZA
9)VICTORIA FALLS
10)DON'T KNOW
11)REFUSED</t>
  </si>
  <si>
    <t>Parizvino, mhuri yenyu iri kugara muDunhu ripi?
[ARI KUITISA ONGORORO: MHINDURO IMWE CHETE.]
1)BINGA
2)BUBI
3)HWANGE
4)HWANGE URBAN
5)LUPANE
6)NKAYI
7)TSHOLOTSHO
8)UMGUZA
9)VICTORIA FALLS
10)HANDIZIVI
11)ARAMBA</t>
  </si>
  <si>
    <t>Okwamanje, kukusiphi isigaba abomuzi wakho abahlala kiso?
[OQHUBAYO: IMPENDULO EYODWA.]
1)BINGA
2)BUBI
3)HWANGE
4)HWANGE URBAN
5)LUPANE
6)NKAYI
7)TSHOLOTSHO
8)UMGUZA
9)VICTORIA FALLS
10)KAZI
11)WALILE</t>
  </si>
  <si>
    <t>hh_admin2_9</t>
  </si>
  <si>
    <t>Currently, in which District does your household reside?
[OPERATOR: SINGLE RESPONSE.]
1)BEITBRIDGE
2)BEITBRIDGE URBAN
3)BULILIMA
4)GWANDA
5)GWANDA URBAN
6)INSIZA
7)MANGWE
8)MATOBO
9)PLUMTREE
10)UMZINGWANE 
11)DON'T KNOW
12)REFUSED</t>
  </si>
  <si>
    <t>Parizvino, mhuri yenyu iri kugara muDunhu ripi?
[ARI KUITISA ONGORORO: MHINDURO IMWE CHETE.]
1)BEITBRIDGE
2)BEITBRIDGE URBAN
3)BULILIMA
4)GWANDA
5)GWANDA URBAN
6)INSIZA
7)MANGWE
8)MATOBO
9)PLUMTREE
10)UMZINGWANE 
11)HANDIZIVI
12)ARAMBA</t>
  </si>
  <si>
    <t>Okwamanje, kukusiphi isigaba abomuzi wakho abahlala kiso?
[OQHUBAYO: IMPENDULO EYODWA.]
1)BEITBRIDGE
2)BEITBRIDGE URBAN
3)BULILIMA
4)GWANDA
5)GWANDA URBAN
6)INSIZA
7)MANGWE
8)MATOBO
9)PLUMTREE
10)UMZINGWANE 
11)KAZI
12)WALILE</t>
  </si>
  <si>
    <t>hh_admin2_10</t>
  </si>
  <si>
    <t>Currently, in which District does your household reside?
[OPERATOR: SINGLE RESPONSE.]
1)CHIRUMHANZU
2)GOKWE NORTH
3)GOKWE SOUTH
4)GOKWE SOUTH URBAN
5)GWERU
6)GWERU URBAN
7)KWEKWE
8)KWEKWE URBAN
9)MBERENGWA
10)REDCLIFF
11)SHURUGWI
12)SHURUGWI TOWN
13)ZVISHAVANE
14)ZVISHAVANE URBAN
15)DON'T KNOW
16)REFUSED</t>
  </si>
  <si>
    <t>Parizvino, mhuri yenyu iri kugara muDunhu ripi?
[ARI KUITISA ONGORORO: MHINDURO IMWE CHETE.]
1)CHIRUMHANZU
2)GOKWE NORTH
3)GOKWE SOUTH
4)GOKWE SOUTH URBAN
5)GWERU
6)GWERU URBAN
7)KWEKWE
8)KWEKWE URBAN
9)MBERENGWA
10)REDCLIFF
11)SHURUGWI
12)SHURUGWI TOWN
13)ZVISHAVANE
14)ZVISHAVANE URBAN
15)HANDIZIVI
16)ARAMBA</t>
  </si>
  <si>
    <t>Okwamanje, kukusiphi isigaba abomuzi wakho abahlala kiso?
[OQHUBAYO: IMPENDULO EYODWA.]
1)CHIRUMHANZU
2)GOKWE NORTH
3)GOKWE SOUTH
4)GOKWE SOUTH URBAN
5)GWERU
6)GWERU URBAN
7)KWEKWE
8)KWEKWE URBAN
9)MBERENGWA
10)REDCLIFF
11)SHURUGWI
12)SHURUGWI TOWN
13)ZVISHAVANE
14)ZVISHAVANE URBAN
15)KAZI
16)WALILE</t>
  </si>
  <si>
    <t>1-14 = quotareached
15,16 = Ineligible</t>
  </si>
  <si>
    <t>quotareached</t>
  </si>
  <si>
    <t>[OPERATOR: DO NOT READ. ANSWER QUESTION BELOW.]
THIS RESPONDENT REPORTED THEY LIVE IN:
{ADM1}
{ADM2}
1)THE GOAL FOR THIS LOCATION HAS BEEN ACHIEVED - END SURVEY
2)THE GOAL FOR THIS LOCATION IS OPEN - CONTINUE SURVEY</t>
  </si>
  <si>
    <t>[ARI KUITISA ONGORORO: USAVERENGA. INGOPINDURA MUBVUNZO URI NECHEPASI.]
ARI KUPINDURA UYU ATI ANOGARA MU:
{ADM1}
{ADM2}
1)CHINANGWA CHENZVIMBO IYI CHAKAZADZISWA- PETA UMISE TSVAKURUDZO
2)CHINANGWA CHENZVIMBO IYI HACHISATI CHAZADZISWA - ENDERERA MBERI NETSVAKURUDZO</t>
  </si>
  <si>
    <t>[OQHUBAYO: UNGABALI. PHENDULA UMBUZO OPHANSI.]
UMAPHENDULA LO WABIKA UKUTHI UYAHLALA E:
{ADM1}
{ADM2}
1)INJONGO YENDAWO LE IFEZIWE - PHETHA INCWAYISISO
2)INJONGO YENDAWO LE IVULEKILE - QHUBEKA NGENCWAYISISO</t>
  </si>
  <si>
    <t>1 = End Poll Quota Reached
2 = hh_agricactivity</t>
  </si>
  <si>
    <t>If the quota has not been reached, continue the questionnaire. If it has, end of survey.</t>
  </si>
  <si>
    <t>hh_agricactivity</t>
  </si>
  <si>
    <t xml:space="preserve">resp_agree = 1 
resp_age = 18-100
quotareached = 2 </t>
  </si>
  <si>
    <t>resp_id</t>
  </si>
  <si>
    <t>Are you the head of household? 
[OPERATOR: SINGLE RESPONSE.]
1)YES
2)NO
3)DON'T KNOW
4)REFUSED</t>
  </si>
  <si>
    <t>Ndimi here musoro wemhuri? 
[ARI KUITISA ONGORORO: MHINDURO IMWE CHETE.]
1)HONGU
2)KWETE
3)HANDIZIVI
4)ARAMBA</t>
  </si>
  <si>
    <t>Ungabe unguwe inhloko yomuzi? 
[OQHUBAYO: IMPENDULO EYODWA.]
1)YEBO
2)HATSHI
3)KAZI
4)WALILE</t>
  </si>
  <si>
    <t>1 = hh_education
2-4 = hh_gender</t>
  </si>
  <si>
    <t>hh_gender</t>
  </si>
  <si>
    <t>Is the head of your household male or female?
[OPERATOR: SINGLE RESPONSE.]
1)Male 
2)Female
3)DON'T KNOW
4)REFUSED</t>
  </si>
  <si>
    <t>Musoro wemhuri yenyu murume here kana kuti mukadzi?
[ARI KUITISA ONGORORO: MHINDURO IMWE CHETE.]
1)Murume
2)Mukadzi
3)HANDIZIVI
4)ARAMBA</t>
  </si>
  <si>
    <t>Inhloko yomuzi wakho ngowesilisa kumbe ngowesifazana?
[OQHUBAYO: IMPENDULO EYODWA.]
1)Ngowesilisa
2)Ngowesifazana
3)KAZI
4)WALILE</t>
  </si>
  <si>
    <t>1-4 = hh_education</t>
  </si>
  <si>
    <t>resp_age = 18-100
hh_agricactivity = 1 | 2 | 3 | 4
quotareached = 2</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</si>
  <si>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</si>
  <si>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</si>
  <si>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Musoro wemhuri yenyu akadzidza kusvika pamwero wakakura zvakadii?
[ARI KUITISA ONGORORO: MHINDURO IMWE CHETE.]
1)Haana kana kuti haana kupedza zvidzidzo zvepurayimari
2)Akapedza zvidzidzo zvepurayimari
3)Akapedza zvidzidzo zvesekondari
4)Akapedza zvedzidzo zvepamusoro zvedhigirii re [Yunivhesiti / Koreji]
5)Akangoitawo zvidzidzo zvechitendero kana kuti zvimwewo 
6)HANDIZIVI
7)ARAMBA</t>
  </si>
  <si>
    <t>Yiliphi izinga lezemfundo elayenzwa yinhloko yomuzi?
[OQHUBAYO: IMPENDULO EYODWA.]
1)Akula kumbe kaphutshanga izifundo zaphansi
2)Waphutsha izinga lezifundo zaphansi
3)Waphutsha izinga lezifundo seSecondary
4)Waphutsha izifundo zezinga lokuqeqetsha [Nyuvesi/iKolitshi]i-degree
5)Izifundo zenkolokumbe ezingekho emthethweni
6)KAZI
7)WALILE</t>
  </si>
  <si>
    <t>1-7 = hh_wealth_light</t>
  </si>
  <si>
    <t>Changed answer option 5</t>
  </si>
  <si>
    <t>hh_wealth_light</t>
  </si>
  <si>
    <t>Chii chamunoshandisa kuti muwane mwenje pamunogara?
[ARI KUITISA ONGORORO: MHINDURO IMWE CHETE.]
1)Magetsi [kubva kujenareta kana kuti kutambo dzemagetsi]
2)Kenduru
3)Parafini kana rambe rePeturu
4)Tochi
5)KuSolar
6)Zvimwewo [hapana kwatinowana magetsi pamba]
7)HANDIZIVI
8)ARAMBA</t>
  </si>
  <si>
    <t>Lapho ohlala khona yikuphi okusetshenziswayo ukukhanyisa?
[OQHUBAYO: IMPENDULO EYODWA.]
1)Amagetsi [aphuma kujenaretha kumbe lapho okulungiswa khona amagetsi]
2)Ikhandlela
3)Isibane samafutha epharafini kumbe iphethulo
4)Isibane esisebenzisa amabhathiri
5)Isola
6)Okunye [akulamagetsi asetshenziswa endlini]
7)KAZI
8)WALILE</t>
  </si>
  <si>
    <t>1-8= hh_residencetype</t>
  </si>
  <si>
    <t xml:space="preserve">Change in question text + answer option 1 </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</si>
  <si>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</si>
  <si>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</si>
  <si>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Yikhuphi kokokuhlala lokhu okuchaza ngcono ukuhlala kwakho?
[OQHUBAYO: BALELA PHEZULU IMPENDULO. IMPENDULO EYODWA]
[ISIPHAKAMISO: NXA OPHENDULAYO ENGEKHO EMUZINI OKWESIKHATHI ESITHILE (PHANSI KWENYANGA EZINGU 6)KUMBE ENGOHAMBA ESIYA ENDAWENI EZITHILE NGESIKHATHI ESITHILE, QINISEKA UKUTHI UYAGCIZELELA EMUZINI WAKHE LAPHO OYABE EHLALA KHONA.]
1)Uhlala khona- uhlala esabelweni/kudolobho lakho okweminyaka eyedlula emibili njalo lapha yikho ohlala khona
2)Osanda kufika esuka lapho abanjwa ngamandla ukusuka-ubuhlala endaweni lapho ohlala khona okweminyaka ephansi kwemibili njalo wafika lapho ngokuzikhethela ukuzosebenza/imuli kumbe ezinye izizatho ezangasozokungezwani kumbe ezokubhijiswa kwemvelo
3)Umaphenduka-uphenduke lapha ohlala khona kuminyaka emibili edluleyo ngemva kokubanjwa ngamandla ukusuka usiya kwelinye izwe ubalekela ezokulwa kumbe umonakalo wemvelo [nxa ukuphenduka kungemva kweminyaka emibili umaphendula ubizwa njengomhlali walapho]
4)Umuntu okhitshwe endaweni yokuhlala - wabanjwa ngamandla ukubaleka esabelweni kumbe edolobheni obuhlala kilo ngenxa yokulwa kumbe umonakalo wemvelo njalo sungumuntu okhitshwe endaweni yokuhlala yakho lapho osuhlala khona.
5)Isiphepheli- wabanjwa ngamandla ukubaleka ezweni lakho ngenxa yokulwa kumbe umonakalo wemvelo njalo ungusiphepheli lapho osuhlala khona
6)KAZI
7)WALILE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</si>
  <si>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</si>
  <si>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</si>
  <si>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Muri vangani mumhuri menyu?
[ZANO: KUTI MUNZI MHURI IMWE, MUNOFANIRA KUNGE MUCHIGARA PAMUSHA MUMWE CHETE, MUCHISHANDISA ZVINHU ZVIMWE CHETE UYE MUCHIDYIRA MUNDIRO IMWE.]</t>
  </si>
  <si>
    <t>Bangaki abantu abayingxenye yomuzi wakho?
[ICEBO: UKUBA YINGXENYE YOMUZI OFANAYO, AMALUNGA KUMELE AHLALE ENDLINI EFANAYO, BEYABELANE INSIZAKUSEBENZA EZIFANAYO NJALO BAPHEKE MBIZANYE.]</t>
  </si>
  <si>
    <t>1-50 = hh_asset_prod
88-88 = hh_asset_prod
99-99 = hh_asset_prod</t>
  </si>
  <si>
    <t>hh_asset_prod</t>
  </si>
  <si>
    <t>hh_asset_prod_
1) hh_asset_prod_process
2) hh_asset_prod_farmmach
3) hh_asset_prod_sewing
4) hh_asset_prod_taxi
5) hh_asset_prod_truck
6) hh_asset_prod_other
7) hh_asset_prod_none
8) hh_asset_prod_dk
9) hh_asset_prod_ref</t>
  </si>
  <si>
    <t>Mhuri yenyu ine here chero chimwe pamidziyo yebasa inotevera? 
[ARI KUITISA ONGORORO: PANOGONA KUPIWA MHINDURO DZAKAWANDA. VERENGA MHINDURO DZIRIPO ZVINONZWIKA.]
1)Michina [yakadai sezvigayo/michina inopwanya zvinhu neinosvina mafuta]
2)Michina yekurimisa [yakadai setarakita/gejo/yekuchekesa zvirimwa nemimwewo]
3)Muchina wekusonesa kana wekurukisa 
4)Tekisi
5)Rori
6)Mimwewo michina yebasa kana midziyo
7)Hapana michina yebasa kana midziyo
8)HANDIZIVI
9)ARAMBA</t>
  </si>
  <si>
    <t>Kungabe abomuzi wakho belempahla zokulungisa ezilandelayo? 
[OQHUBAYO: IMPENDULO EZINENGI ZINGAPHIWA. BALELA PHEZULU IMPENDULO EZIKHETHWAYO.]
1)Impahla zokulungisa [isibonelo. umtshina wokugaya/wokupatshaza/isigayo/umtshina wamafutha]
2)Imtshina yepulazini [isibonelo. ithalakitha/ikhuba lokulima/isikela lokunye]
3)Umtshina wokuthunga kumbe ithuluzi lokweluka 
4)Ithekisi
5)Imota enkulu
6)Eminye imitshina yokulungisa kumbe impahla
7)Akulamitshina/impahla zokulungisa
8)KAZI
9)WALILE</t>
  </si>
  <si>
    <t>Select All That Apply</t>
  </si>
  <si>
    <t>Form Type - Checklist
7,8,9 = IsNone</t>
  </si>
  <si>
    <t>1) hh_asset_prod_process
2) hh_asset_prod_farmmach
3) hh_asset_prod_sewing
4) hh_asset_prod_taxi
5) hh_asset_prod_truck
6) hh_asset_prod_other
7) hh_asset_prod_none
8) hh_asset_prod_dk
9) hh_asset_prod_ref</t>
  </si>
  <si>
    <t xml:space="preserve">This wealth indicator may be useful to Identify poor households in middle income countries. It could be interesting for F2F surveys, to be used as baseline reference for follow-up surveys. </t>
  </si>
  <si>
    <t>hh_maritalstat</t>
  </si>
  <si>
    <t xml:space="preserve">What is the head of household’s current marital status? 
[OPERATOR: SINGLE RESPONSE.]
1)Single / never married 
2)Married
3)Separated
4)Divorced
5)Widowed
6)DON’T KNOW
7)REFUSED </t>
  </si>
  <si>
    <t>Musoro wemhuri akamira sei panyaya yewanano pari zvino? 
[ARI KUITISA ONGORORO: MHINDURO IMWE CHETE.]
1)Haasi muwanano/ haana kumbobvira apinda muwanano 
2)Ari muwanano
3)Akaparadzana nevaaiva akaroorana naye
4)Akarambana nevaaiva akaroorana naye
5)Akafirwa nevaaiva akaroorana naye
6)HANDIZIVI
7)ARAMBA</t>
  </si>
  <si>
    <t>Inhloko yomuzi isimo sayo sezomtshado sime njani? 
[OQHUBAYO: IMPENDULO EYODWA.]
1)Uyedwa/kazake atshade 
2)Utshadile
3)Behlukene okwesikhathi esithile
4)Behlukana
5)Umfelokazi
6)KAZI
7)WALILE</t>
  </si>
  <si>
    <t>1-7 = hh_age</t>
  </si>
  <si>
    <t>hh_age</t>
  </si>
  <si>
    <t>How old is the head of household? 
[OPERATOR: SINGLE RESPONSE.]
1)Under 18
2)18 to 40
3)41 to 65 
4)Over 65
5)DON'T KNOW
6)REFUSED</t>
  </si>
  <si>
    <t>Musoro wemhuri ane makore mangani? 
[ARI KUITISA ONGORORO: MHINDURO IMWE CHETE.]
1)Pasi pe18
2)Pakati pe18 ne40
3)Pakati pe41 ne65 
4)Apfuura 65
5)HANDIZIVI
6)ARAMBA</t>
  </si>
  <si>
    <t>Inhloko yomuzi ileminyaka emingaki? 
[OQHUBAYO: IMPENDULO EYODWA.]
1)Ngaphansi kwengu-18
2)Engu-18 kusiya kwengu-40
3)Engu-41 kusiya kwengu-65 
4)Ephezu kwengu-65
5)KAZI
6)WALILE</t>
  </si>
  <si>
    <t>1-6 = income_main</t>
  </si>
  <si>
    <t>C. INCOME SOURCES, LIVELIHOOD AND SHOCKS</t>
  </si>
  <si>
    <t>income_main</t>
  </si>
  <si>
    <t>Yiwuphi umthombo wesibili womuzi wakho wokuthola imali kunyanga ezintathu ezidlulileyo?
[OQHUBAYO: IMPENDULO EYODWA. IMPENDULO ETHI YALILE KUMELE IBALEKELWE KAKHULU.]
1)Ukulinywa lokuthengiswa kwezilimo ezilinywa kakhulu njalo ngabanengi
2)Ukulinywa lokuthengiswa kwemibhida kumbe izithelo
3)Ukulinywa lokuthengiswa kwezilimo ezithengiswayo
4)Ukufuywa lokuthengiswa kwezifuyo kanye lokuvela ezifuyweni
5)Ukufuywa lokuthengiswa koluju kanye lokuvela elujwini
6)Ukufuywa lokuthengiswa kwenhlanzi 
7)Ukuqoqwa lokuthengiswa kwezihlahla kumbe okuvela ezigangeni
8)Ukuthengiselana ezilinywayo OKUNGAGOQELI abalungisayo [okusemthethweni kumbe okungekho emthethweni]
9)Umholo wansukuzonke emapulazini kanye leminye imisebenzi-nje kugatsha lwezokulima 
10)Umsebenzi ogxilileyo kugatsha lwezokulima
11)Ukuzisebenzela okungekho kugatsha lwezokulima kumbe umsebenzi wenkululeko/udokotela/umdwebi wezakhiwo/ igwetha/kugoqela indawo zokudlela
12)Imholo evela kumsebenzi ongekho kwezokulima kanye leminye-nje imisebenzi engekho kugatsha lwezokulima
13)Umsebenzi ogxilileyo ongekho kugatsha lwezokulima
14)Umsebenzi kugatsha likahulumende 
15)Imali engatholwa emsebenzini/eyokuphiwa ngabalomusa
16)Imali engatholwa emsebenzini/imali ephiwa ukuziphilisa/ipentsheni/uncedo lokunikela ngokuzithandela
17)Imali engatholwa emsebenzini/ ethunyelwa ivela kwamanye amazwe
18)Imali engatholwa emsebenzini/imali evela kwezokurenta
19)Akulandawo yokuthola imali kunyanga ezintathu ezidlulileyo njalo kwasetshenziswa kakhulu imali egciniweyo/isikwelede
20)WALILE</t>
  </si>
  <si>
    <t>1-3 = income_main_crop_check
4 = income_main_ls_check
5 = income_main_amount
6 = income_main_fish_check
7-18 = income_main_amount
19-20 = shock</t>
  </si>
  <si>
    <t>Change in skip pattern (col J)
Change in answer option #1</t>
  </si>
  <si>
    <t>income_main_crop_check</t>
  </si>
  <si>
    <t>Kungabe izilimo ozithengisayo zilinywa nguwe kumbe omunye womuzi wakho?
[OQHUBAYO: IMPENDULO EYODWA.]
1)YEBO  
2)HATSHI
3)KAZI
4)WALILE</t>
  </si>
  <si>
    <t>1-4 = income_main_amount</t>
  </si>
  <si>
    <t>resp_age = 18-100
hh_agricactivity = 1 | 2 | 3 | 4
quotareached = 2
income_main = 1 | 2 | 3</t>
  </si>
  <si>
    <t>income_main_ls_check</t>
  </si>
  <si>
    <t>Zvipfuyo zvamunotengesa zvinochengetwa nemi here kana kuti mumwe wemumhuri menyu?
[ARI KUITISA ONGORORO: MHINDURO IMWE CHETE.]
1)HONGU 
2)KWETE
3)HANDIZIVI
4)ARAMBA</t>
  </si>
  <si>
    <t>Kungabe izifuyo kanye lokuvela ezifuyweni okuthengisayo kulungiswa nguwe kumbe omunye womuzi wakho? 
[OQHUBAYO: IMPENDULO EYODWA.]
1)YEBO  
2)HATSHI
3)KAZI
4)WALILE</t>
  </si>
  <si>
    <t>resp_age = 18-100
hh_agricactivity = 1 | 2 | 3 | 4
quotareached = 2
income_main = 4</t>
  </si>
  <si>
    <t>income_main_fish_check</t>
  </si>
  <si>
    <t>Kungabe inhlanzi ozithengisayo zilungiswe nguwe kumbe omunye emuzini wakho?
[OQHUBAYO: IMPENDULO EYODWA.]
1)YEBO  
2)HATSHI
3)KAZI
4)WALILE</t>
  </si>
  <si>
    <t>resp_age = 18-100
hh_agricactivity = 1 | 2 | 3 | 4
quotareached = 2
income_main = 5</t>
  </si>
  <si>
    <t>income_main_amount</t>
  </si>
  <si>
    <t>Imarii yakawanikwa [muMadhora ekuAmerika] kubva kwamunonyanya kuwana mari, {income_main}, mumwedzi 3 yapfuura?
[ARI KUITISA ONGORORO: NYATSOONGORORA PANE YAKASIYANA UYE UVE NECHOKWADI CHEKUTI MARI YANYORWA IRI MUMHANDO IRI KUTARISIRWA. ISA 8888888 KANA ASINGAZIVE UYE 9999999 KANA ARAMBA.]</t>
  </si>
  <si>
    <t>Wahola malini ngamadola emelika [USD] lapho othola khona imali enengi yesibili, {income_main}, kunyanga ezintathu ezidlulileyo ?
[OQHUBAYO: KHANGELA KABILI OKWAHLUKENEYO UBE SUQINISEKISA UKUTHI ULWAZI LUREKHODIWE NGEMALI EQONDILEYO. FAKA U 8888888 NXA UNGAZI LO 9999999 NXA WALILE.]</t>
  </si>
  <si>
    <t>resp_age = 18-100
hh_agricactivity = 1 | 2 | 3 | 4
quotareached = 2
income_main = 1-18</t>
  </si>
  <si>
    <t>We recommend using this pair of questions together.</t>
  </si>
  <si>
    <t>Change in question text (col D)</t>
  </si>
  <si>
    <t>income_main_amount_conf</t>
  </si>
  <si>
    <t>1 = income_main_gender</t>
  </si>
  <si>
    <t>income_main_gender</t>
  </si>
  <si>
    <t>What is the gender of the household member[s] generating income from {income_main} ? 
[OPERATOR: SINGLE RESPONSE.]
1)Male 
2)Female
3)Joint [both male &amp; female]
4)DON'T KNOW
5)REFUSED</t>
  </si>
  <si>
    <t>Vanowana kana kuti anowana mari mumhuri kubva mune {income_main} munhurume here kana kuti munhukadzi? 
[ARI KUITISA ONGORORO: MHINDURO IMWE CHETE.]
1)Murume
2)Mukadzi
3)Vakasangana [munhurume nemunhukadzi]
4)HANDIZIVI
5)ARAMBA</t>
  </si>
  <si>
    <t>Ubulili bama[be]lunga omuzi abathola imali evela {income_main}  yibuphi ? 
[OQHUBAYO: IMPENDULO EYODWA.]
1)Ngowesilisa
2)Ngowesifazana
3)Bahlangene [bobabili isilisa lesifazane]
4)KAZI
5)WALILE</t>
  </si>
  <si>
    <t>1-5 = income_main_control</t>
  </si>
  <si>
    <t>resp_age = 18-100
hh_agricactivity = 1 | 2 | 3 | 4
quotareached = 2
income_main =  1-18</t>
  </si>
  <si>
    <t>income_main_control</t>
  </si>
  <si>
    <t>Who controls the revenue that is earned from {income_main} ? 
[OPERATOR: SINGLE RESPONSE.]
1)Male household member[s]
2)Female household member[s]
3)Joint household members [both female &amp; male]
4)DON'T KNOW
5)REFUSED</t>
  </si>
  <si>
    <t>Ndiani anotarisira nhau dzemari inowanikwa kubva mune {income_main} ? 
[ARI KUITISA ONGORORO: MHINDURO IMWE CHETE.]
1)Munhurume kana vanhurume vari mumhuri
2)Munhukadzi kana vanhukadzi vari mumhuri
3)Vakasangana [vose vakadzi nevarume]
4)HANDIZIVI
5)ARAMBA</t>
  </si>
  <si>
    <t>Ngubani olawula imali etholwa ivela {income_main}? 
[OQHUBAYO: IMPENDULO EYODWA]
1)Ama[i]lunga omuzi awesilisa
2)Ama[i]lunga omuzi awesifazane
3)Amalunga omuzi ayahlanganisa [bobabili abesifazane labesilisa]
4)KAZI
5)WALILE</t>
  </si>
  <si>
    <t>1-5 = income_main_comp</t>
  </si>
  <si>
    <t>income_main_comp</t>
  </si>
  <si>
    <t>1-7= income_sec</t>
  </si>
  <si>
    <t>Change in options #2,4 + question formulation (col D) + hint</t>
  </si>
  <si>
    <t>income_sec</t>
  </si>
  <si>
    <t>income_sec_crop_check</t>
  </si>
  <si>
    <t>1-4 = income_sec_amount</t>
  </si>
  <si>
    <t>resp_age = 18-100
hh_agricactivity = 1 | 2 | 3 | 4
quotareached = 2
income_sec = 1 | 2 | 3</t>
  </si>
  <si>
    <t>income_sec_ls_check</t>
  </si>
  <si>
    <t>resp_age = 18-100
hh_agricactivity = 1 | 2 | 3 | 4
quotareached = 2
income_sec = 4</t>
  </si>
  <si>
    <t>income_sec_fish_check</t>
  </si>
  <si>
    <t>1-4 =income_sec_amount</t>
  </si>
  <si>
    <t>resp_age = 18-100
hh_agricactivity = 1 | 2 | 3 | 4
quotareached = 2
income_sec = 5</t>
  </si>
  <si>
    <t>income_sec_amount</t>
  </si>
  <si>
    <t>Imarii yakawanikwa [muMadhora ekuAmerika] kubva kwamunonyanya kuwana mari kwechipiri, {income_sec}, mumwedzi 3 yapfuura?
[ARI KUITISA ONGORORO: NYATSOONGORORA PANE YAKASIYANA UYE UVE NECHOKWADI CHEKUTI MARI YANYORWA IRI MUMHANDO IRI KUTARISIRWA. ISA 8888888 KANA ASINGAZIVE UYE 9999999 KANA ARAMBA.]</t>
  </si>
  <si>
    <t>Yimalini eyatholwayo ngamadola emelika [USD]  iphuma kumthombo wakho wemali wesibili, {income_sec}, kunyanga ezintathu ezidlulileyo?
[OQHUBAYO: KHANGELA KABILI OKWAHLUKENEYO UBE SUQINISEKISA UKUTHI ULWAZI LUREKHODIWE NGEMALI EQONDILEYO. FAKA U 8888888 NXA UNGAZI LO 9999999 NXA WALILE.]</t>
  </si>
  <si>
    <t>income_sec_amount_conf</t>
  </si>
  <si>
    <t>1 = income_sec_gender</t>
  </si>
  <si>
    <t>income_sec_gender</t>
  </si>
  <si>
    <t>What is the gender of the household member[s] generating income from {income_sec} ? 
[OPERATOR: SINGLE RESPONSE.]
1)Male 
2)Female
3)Joint [both male &amp; female]
4)DON'T KNOW
5)REFUSED</t>
  </si>
  <si>
    <t>Vanowana kana kuti anowana mari mumhuri kubva mune {income_sec} munhurume here kana kuti munhukadzi? 
[ARI KUITISA ONGORORO: MHINDURO IMWE CHETE.]
1)Murume
2)Mukadzi
3)Vakasangana [munhurume nemunhukadzi]
4)HANDIZIVI
5)ARAMBA</t>
  </si>
  <si>
    <t>Ubulili bama[be]lunga omuzi abathola imali evela {income_sec} yibuphi ? 
[OQHUBAYO: IMPENDULO EYODWA.]
1)Ngowesilisa
2)Ngowesifazana
3)Bahlangene [bobabili isilisa lesifazane]
4)KAZI
5)WALILE</t>
  </si>
  <si>
    <t>1-5 = income_sec_control</t>
  </si>
  <si>
    <t>resp_age = 18-100
hh_agricactivity = 1 | 2 | 3 | 4
quotareached = 2
income_sec =  1-18</t>
  </si>
  <si>
    <t>income_sec_control</t>
  </si>
  <si>
    <t>Who controls the revenue that is earned from {income_sec} ? 
[OPERATOR: SINGLE RESPONSE.]
1)Male household member[s]
2)Female household member[s]
3)Joint household members [both female &amp; male]
4)DON'T KNOW
5)REFUSED</t>
  </si>
  <si>
    <t>Ndiani anotarisira nhau dzemari inowanikwa kubva mune {income_sec} ? 
[ARI KUITISA ONGORORO: MHINDURO IMWE CHETE.]
1)Munhurume kana vanhurume vari mumhuri
2)Munhukadzi kana vanhukadzi vari mumhuri
3)Vakasangana [vose vakadzi nevarume]
4)HANDIZIVI
5)ARAMBA</t>
  </si>
  <si>
    <t>Ngubani olawula imali etholwa ivela {income_sec} ? 
[OQHUBAYO: IMPENDULO EYODWA]
1)Ama[i]lunga omuzi awesilisa
2)Ama[i]lunga omuzi awesifazane
3)Amalunga omuzi ayahlanganisa [bobabili abesifazane labesilisa]
4)KAZI
5)WALILE</t>
  </si>
  <si>
    <t>1-5 = income_sec_comp</t>
  </si>
  <si>
    <t>income_sec_comp</t>
  </si>
  <si>
    <t>Mari yakawanikwa nemhuri kubva kwamunonyanya kuwana mari {income_sec} yakachinja here mukati memwedzi 3 yapfuura kana muchienzanisa neyamakawana panguva yakafanana gore rapfuura?
[ARI KUITISA ONGORORO: MHINDURO IMWE CHETE.]
1)Yakawedzera zvikuru [yakawedzera nechikamu chinopfuura 50 muzana]
2)Yakawedzera zvishoma
3)Yakangofanana
4)Yakadzikira zvishoma
5)Yakadzikira zvikuru [iri pasi zvikuru pechidimbu]
6)HANDIZIVI
7)ARAMBA</t>
  </si>
  <si>
    <t>Kungabe imali etholwa ngabomuzi wakho {income_sec} yatshintsha kunyanga ezintathu ezidlulileyo nxa kuqathyaniswa lasikhathi esifanayo ngomnyaka ophelileyo?
[OQHUBAYO: IMPENDULO EYODWA.]
1)Kanengi kakhulu [yengezeleka ngokunengi kulamaphesenti angu- 50%]
2)Kanengi mbijana
3)ngokufanana
4)Kancane mbijana
5)Kancane kakhulu [ngokulutshwana okwedlula ingxenye yakho]
6)KAZI
7)WALILE</t>
  </si>
  <si>
    <t>1-7= income_third</t>
  </si>
  <si>
    <t>resp_age = 18-100
hh_agricactivity = 1 | 2 | 3 | 4
quotareached = 2
income_main = 1-18
income_sec = 1-18</t>
  </si>
  <si>
    <t xml:space="preserve">Change in options #2,4 + question formulation (col D) </t>
  </si>
  <si>
    <t>income_third</t>
  </si>
  <si>
    <t>income_third_crop_check</t>
  </si>
  <si>
    <t>1-4 = income_third_amount</t>
  </si>
  <si>
    <t>resp_age = 18-100
hh_agricactivity = 1 | 2 | 3 | 4
quotareached = 2
income_third = 1 | 2 | 3</t>
  </si>
  <si>
    <t>income_third_ls_check</t>
  </si>
  <si>
    <t>resp_age = 18-100
hh_agricactivity = 1 | 2 | 3 | 4
quotareached = 2
income_third = 4</t>
  </si>
  <si>
    <t>income_third_fish_check</t>
  </si>
  <si>
    <t>resp_age = 18-100
hh_agricactivity = 1 | 2 | 3 | 4
quotareached = 2
income_third = 5</t>
  </si>
  <si>
    <t>income_third_amount</t>
  </si>
  <si>
    <t>Imarii yakawanikwa [muMadhora ekuAmerika] kubva kwamunonyanya kuwana mari kwechitatu, {income_third}, mumwedzi 3 yapfuura?
[ARI KUITISA ONGORORO: NYATSOONGORORA PANE YAKASIYANA UYE UVE NECHOKWADI CHEKUTI MARI YANYORWA IRI MUMHANDO IRI KUTARISIRWA. ISA 8888888 KANA ASINGAZIVE UYE 9999999 KANA ARAMBA.]</t>
  </si>
  <si>
    <t>Yimalini eyatholwayo ngamadola emelika [USD] kumthombo wakho wesithathu {income_third} kunyanga ezintathu ezidlulileyo ?
[OQHUBAYO: KHANGELA KABILI OKWAHLUKENEYO UBE SUQINISEKISA UKUTHI ULWAZI LUREKHODIWE NGEMALI EQONDILEYO. FAKA U 8888888 NXA UNGAZI LO 9999999 NXA WALILE.]</t>
  </si>
  <si>
    <t>resp_age = 18-100
hh_agricactivity = 1 | 2 | 3 | 4
quotareached = 2
income_main = 1-18
income_sec = 1-18
income_third = 1-18</t>
  </si>
  <si>
    <t>income_third_amount_conf</t>
  </si>
  <si>
    <t>1 = income_third_gender</t>
  </si>
  <si>
    <t>income_third_gender</t>
  </si>
  <si>
    <t>What is the gender of the household member[s] generating income from {income_third} ? 
[OPERATOR: SINGLE RESPONSE.]
1)Male 
2)Female
3)Joint [both male &amp; female]
4)DON'T KNOW
5)REFUSED</t>
  </si>
  <si>
    <t>Vanowana kana kuti anowana mari mumhuri kubva mune {income_third} munhurume here kana kuti munhukadzi? 
[ARI KUITISA ONGORORO: MHINDURO IMWE CHETE.]
1)Murume
2)Mukadzi
3)Vakasangana [munhurume nemunhukadzi]
4)HANDIZIVI
5)ARAMBA</t>
  </si>
  <si>
    <t>Ubulili bama[be]lunga omuzi abathola imali evela {income_third} yibuphi ? 
[OQHUBAYO: IMPENDULO EYODWA.]
1)Ngowesilisa
2)Ngowesifazana
3)Bahlangene [bobabili isilisa lesifazane]
4)KAZI
5)WALILE</t>
  </si>
  <si>
    <t>1-5 = income_third_control</t>
  </si>
  <si>
    <t>income_third_control</t>
  </si>
  <si>
    <t>Who controls the revenue that is earned from {income_third} ? 
[OPERATOR: SINGLE RESPONSE.]
1)Male household member[s]
2)Female household member[s]
3)Joint household members [both female &amp; male]
4)DON'T KNOW
5)REFUSED</t>
  </si>
  <si>
    <t>Ndiani anotarisira nhau dzemari inowanikwa kubva mune {income_third} ? 
[ARI KUITISA ONGORORO: MHINDURO IMWE CHETE.]
1)Munhurume kana vanhurume vari mumhuri
2)Munhukadzi kana vanhukadzi vari mumhuri
3)Vakasangana [vose vakadzi nevarume]
4)HANDIZIVI
5)ARAMBA</t>
  </si>
  <si>
    <t>Ngubani olawula imali etholwa ivela  {income_third} ? 
[OQHUBAYO: IMPENDULO EYODWA]
1)Ama[i]lunga omuzi awesilisa
2)Ama[i]lunga omuzi awesifazane
3)Amalunga omuzi ayahlanganisa [bobabili abesifazane labesilisa]
4)KAZI
5)WALILE</t>
  </si>
  <si>
    <t>1-5 = income_third_comp</t>
  </si>
  <si>
    <t>income_third_comp</t>
  </si>
  <si>
    <t>Mari yakawanikwa nemhuri kubva kwamunonyanya kuwana mari {income_third} yakachinja here mukati memwedzi 3 yapfuura kana muchienzanisa neyamakawana panguva yakafanana gore rapfuura?
[ARI KUITISA ONGORORO: MHINDURO IMWE CHETE.]
1)Yakawedzera zvikuru [yakawedzera nechikamu chinopfuura 50 muzana]
2)Yakawedzera zvishoma
3)Yakangofanana
4)Yakadzikira zvishoma
5)Yakadzikira zvikuru [iri pasi zvikuru pechidimbu]
6)HANDIZIVI
7)ARAMBA</t>
  </si>
  <si>
    <t>Kungabe imali etholwa ngabomuzi wakho {income_third} yatshintsha kunyanga ezintathu ezidlulileyo nxa kuqathyaniswa lasikhathi esifanayo ngomnyaka ophelileyo?
[OQHUBAYO: IMPENDULO EYODWA.]
1)Kanengi kakhulu [yengezeleka ngokunengi kulamaphesenti angu- 50%]
2)Kanengi mbijana
3)ngokufanana
4)Kancane mbijana
5)Kancane kakhulu [ngokulutshwana okwedlula ingxenye yakho]
6)KAZI
7)WALILE</t>
  </si>
  <si>
    <t>1-7=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</si>
  <si>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</si>
  <si>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</si>
  <si>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Kungabe abomuzi wakho kumbe umphakathi bahlangana lokubhidlizeka kumbe uhlupho olwaphambanisa ukwenelisa komuzi wakho ukuthola imali kanye/kumbe ukuthola ezokudla kunyanga ezintathu ezidlulileyo, njalo nxa kunjalo, yikuphi?
[OQHUBAYO: KHETHA UKWETHUKA OKUFANELEYO ABAKUZWAYO ABEMULINI. IMPENDULO EZINENGI ZINGAKHETHWA. KHULUMA NGOKWETHUKA NGEZOMNOTHO, EZEZILIMO LEZIFUYO, EZENDLINI, INGOZI ZEMVELO KANYE LEZIBANGELWA NGABANTU]
1)Akula kwethuswa
2)Ukugula kumbe ingozi kumbe ukufa kwe[ama]lunga omuzi [ukugula kwalowo onguye osebenzayo/indleko zokwelatshwa ezinengi kakhulu/ indleko zokungcwaba/ukufa kwalowo onguye osebenzayo]
3)Ukulahlekelwa ngamathuba okuqhatshwa kumbe okusebenza [hatshi ngenxa yokugula/ingozi]
4)Okunye ukwethuswa phakathi komuzi
5)Intengo zokudla ephezulu okungavamanga
6)Intengo zamafutha emota kumbe ezokuhambisa ezingavamanga
7)Ukuvalelwa kwezokuhamba kwabantu [isibonelo; ngenxa yomkhuhlane omkhulu kumbe ukubhidlizwa kwezakhiwo]
8)Okunye ukwethuswa kwezonotho 
9)Ukuhlaselwa yizibungwana
10)Izifo zezilimo
11)Imikhuhlane yezifuyo [eyaphambanisa izifuyo ezinengi] kumbe ukuthi zife
12)Ukuswelakala kokufinyelela amadlelo yizifuyo
13)Okunye ukwethuswa kwezilimo kumbe izifuyo
14)Umkhathi oqandayo kumbe izulu lenkobe
15)Isikhukhula/ukuhuguleka kwenhlabathi ezifuleni
16)I-Hurricane / i-cyclone / i-tornado
17)Ukuwoma kakhulu komhlabathi/uhlupho lokutshisa
18)Ukuzamazama komhlaba
19)Ukutshelela komhlabathi
20)Ukuqhamuka komlilo
21)Ezinye ingozi ezizenzakelayo
22)Udlakame lokungaphephi/ingxabano
23)Ukutshontshwa kwempahla zokulungisisa [umhlabathi/izifuyo/amathuluzi/lokunye]
24)Umlilo oqhamuka kungozi ebangelwa ngabantu
25)Ezinye ingozi ezibangelwa ngabantu
26)KAZI
27)WALILE</t>
  </si>
  <si>
    <t>Form Type - Checklist
1, 26, 27 = IsNone</t>
  </si>
  <si>
    <t>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</si>
  <si>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Changes in options #2, 6, 11, 15, 16, 17
Change in skip pattern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</si>
  <si>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</si>
  <si>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</si>
  <si>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Any Response = crp_intro</t>
  </si>
  <si>
    <t>D. CROP PRODUCTION</t>
  </si>
  <si>
    <t>crp_intro</t>
  </si>
  <si>
    <t>We will now ask you some questions about crop production which apply to you and anyone in your household that is involved in crop production or sales. All questions refer to the crops grown during the ongoing season.
1)CONTINUE</t>
  </si>
  <si>
    <t>Kathesi sizakubuza imbuzo mayelana lokulinywa kwezilimo khona okuqhutshwa nguwe kanye laloba ngubani emuzini wakho oqhuba ezokulima kumbe ukuthengisa. Yonke imibuzo ngeyezilimo ezalinywa ngesikhathi esikiso.
1)QHUBEKA</t>
  </si>
  <si>
    <t>Send if "fish_proddif_2" "Contains" "Access to other fishing or culture inputs [prices higher or not available]" if not satisfied go to "fish_salesmain"</t>
  </si>
  <si>
    <t>1 = crp_landsize_num</t>
  </si>
  <si>
    <t>resp_age = 18-100
(hh_agricactivity = 1 | 3) | (income_main_cropcheck = 1) | (income_sec_cropcheck = 1) | (income_third_cropcheck = 1) 
quotareached = 2</t>
  </si>
  <si>
    <t xml:space="preserve">New question + change in conditional for this section </t>
  </si>
  <si>
    <t>crp_landsize_num</t>
  </si>
  <si>
    <t>What is the total size of the land you can cultivate?
[OPERATOR: RECORD THE TOTAL LAND SIZE PROVIDED BY THE RESPONDENT. WRITE 8888888 FOR DON'T KNOW AND 9999999 FOR REFUSED. MEASUREMENT UNIT WILL BE SPECIFIED IN THE FOLLOWING QUESTION.]</t>
  </si>
  <si>
    <t>Munda wamunorima wakakura sei?
[ARI KUITISA ONGORORO: NYORA PASI KUKURA KWENZVIMBO KWATAURWA NEARIKUPINDURA. NYORA 8888888 KANA ASINGAZIVE UYE 9999999 KANA ARAMBA. NZIRA YEKUYERA NAYO KUKURA ICHATSANANGURWA PAMUBVUNZO UNOTEVERA.]</t>
  </si>
  <si>
    <t>Umhlabathi ongalimela kiwo uyisilinganiso esinganani?
[OQHUBAYO: BHALA PHANSI INANI LOBUKHULU BOMHLABATHI ELIKHULUNYWE NGUMAPHENDULA. BHALA 8888888 NXA ENGAZI LO 9999999 NXA EYALILE. INDLELA YOKUKALA IZACACISWA KUMBUZO OLANDELAYO.]</t>
  </si>
  <si>
    <t>0-1000000 = crp_landsize_unit
8888888-8888888 = crp_main
9999999-9999999 = crp_main</t>
  </si>
  <si>
    <t>crp_landsize_unit</t>
  </si>
  <si>
    <t>if crp_landsize_unit = 1-5, go to crp_main</t>
  </si>
  <si>
    <t>crp_main</t>
  </si>
  <si>
    <t>Yisiphi isilimo esiyiso esikade silinywa emuzini wakho ukuthi lidle kanye lokuthola imali kusikhathi sokulima esikiso, nxa sikhona?
[OQHUBAYO: IMPENDULO EYODWA. " AKULAKULUNGISWA KWEZILIMO" YIMPENDULO YOKUCINA ESEKUCINENI.] 
1)Inyawuthi
2)Amabele
3)Umumbu
4)Imbambayila
5)Indumba
6)Ikhabitshi
7)Amatamatisi
8)Ithanga
9)Amahanyanisi
10)Indlubu/amazambane
11)Izambane leBambara 
12)iSunflower
13)Ilayisi
14)Ingqoloyo
15)Ibhali
16)Okunye okungama Cereal
17)iCassava
18)Amagwili
19)Amadumbe
20)Ikherothi
21)iCocoyam
22)Okunye okudliwa impande zakho
23)amaLentils
24)iPeas
25)iSoybeans
26)iChickpeas
27)iFava beans
28)iBroad beans
29)Okunye okuzindumba
30)iCauliflower
31)iLettuce
32)iSpinach-Amaranth
33)amahlamvu eCassava 
34)Amahlamvu amagwili
35)iMoringa
36)iSorrel Hibiscus / Rosselle
37)Okokufaka kusaladi eluhlaza [thyme/parsley/mint/rocca/okunye]
38)Ezinye izilimo ezilinywayo ezilamahlamvu
39)iGreen peas
40)iFava beans green
41)iCucumber
42)iEggplant/aubergine
43)iZucchini
44)idelele lentanga
45)iBell pepper
46)iHaricot
47)Okunye okulinywayo okungelamahlamvu
48)Iwonlintshi
49)iLemon
50)iGrapefruit
51)iMandarins/clementines
52)Ezinye izithelo ezilinywayo
53)iSweet Banana
54)iFigs
55)iGrapes
56)iOlives
57)i-aphula
58)iApricot
59)iCherries
60)impintshisi
61)amaStrawberries
62)Okungamakhabe [Cantaloupe]
63)amaPlantain
64)amaPapaya
65)iMengo
66)iGuava
67)iPineapple
68)iAvocado
69)ikhabe
70)amaDate
71)Ezinye izithelo
72)amaCoconut
73)amazambane eCashew 
74)amazambane eKola 
75)iSesame
76)iAlmond
77)iWalnut
78)Okunye okungamazambane avela ezihlahleni
79)iCocoa
80)ikhofi
81)itiye
82)Imfe
83)Okunye okuyizilimo ezithengiswayo
84)Utshinda
85)iRubber
86)iJute
87)Ukudla kwezifuyo
88)Ugwayi
89)iQat
90)Okunye okulinywayo okungasokudla
91)Akula zilimo ezilinywayo
92)KAZI
93)WALILE</t>
  </si>
  <si>
    <t>1-90 = crp_irrig_source
91 = crp_main_check
92-93 = crp_salesmain</t>
  </si>
  <si>
    <t>Change in column H, J &amp; D</t>
  </si>
  <si>
    <t>crp_main_check</t>
  </si>
  <si>
    <t>Why did you not produce any crops in the ongoing season?
[OPERATOR: SINGLE RESPONSE.] 
1)Don’t usually produce during this season 
2)Wasn't able to produce [e.g. due to difficulties]</t>
  </si>
  <si>
    <t>Nemhaka yei musina kurima chero chirimwa  mumwaka uno uripo?
[ARI KUITISA ONGORORO: USAVERENGA. MHINDURO IMWE CHETE.]
1)Hatiwanzowani zvirimwa mumwaka uyu 
2)Takakundikana kurima [somuenzaniso nekuda kwezvinetso]</t>
  </si>
  <si>
    <t>Yindaba lingazange lilime izilimo kusikhathi sokulima esikiso?
[OQHUBAYO: IMPENDULO EYODWA.]
1)Kasandisanga ukulima ngesikhathi lesi
2)Ukungenelisi ukulima [ngesibonelo ngenxa yobunzima]</t>
  </si>
  <si>
    <t>1 = crp_salesmain
2 = crp_proddif</t>
  </si>
  <si>
    <t>resp_age = 18-100
(hh_agricactivity = 1 | 3) | (income_main_cropcheck = 1) | (income_sec_cropcheck = 1) | (income_third_cropcheck = 1) 
quotareached = 2
crp_main = 91</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</si>
  <si>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</si>
  <si>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</si>
  <si>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Munowanzowana kupi mvura yamunoshandisa pamabasa enyu ekurima {crp_main}? 
[ARI KUITISA ONGORORO:MHINDURO IMWE CHETE]
1)Mvura inonaya
2)Mvura yepasi
3)Mvura inowanikwa pamusoro pevhu [nzizi / gungwa / karukova / pondi / nezvakada kudaro]
4)Nzvimbo dzakavakirwa kubata mvura [migero / dhamu / nedzakana kudaro]
5)Mvura yeveruzhinji [somuenzaniso mvura yemupombi]
6)Imwewo [ratidza]
7)HANDIZIVI
8)ARAMBA</t>
  </si>
  <si>
    <t>Kungaphi lapho elivame njalo okuyikho elithola khona amanzi okuthelela {crp_main}? 
[OQHUBAYO: UNGABALI. IMPENDULO EYODWA]
1)Amanzi avela nxa izulu lisina
2)Amanzi adonswa phansi
3)Amanzi atholakala kuzakhiwo zemvelo ngokunjalo [ichibi/umfula/lokunye]
4)Indawo yamanzi eyakhiweyo [impompi/idamu/okunye]
5)Indawo etholisa umphakathi amanzi [isibonelo/ amanzi aphuma empompini]
6)Okunye [caca]
7)KAZI
8)WALILE</t>
  </si>
  <si>
    <t>for any response, go to o_crp_irrig_system</t>
  </si>
  <si>
    <t>crp_seed_supply</t>
  </si>
  <si>
    <t>crp_seed_supply
1) crp_seed_ownprod
2) crp_seed_market
3) crp_seed_company
4) crp_seed_ngo
5) crp_seed_organized_community
6) crp_seed_gov
7) crp_seed_relatives_friends
8) crp_seed_other
9) crp_seed_dk
10) crp_seed_ref</t>
  </si>
  <si>
    <t>Where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</si>
  <si>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Unowanzotenga mbeu yaunoshandisa kupi? 
[ARI KUITISA ONGORORO: PANOGONA KUPIWA MHINDURO DZAKAWANDA.]
1)Kuzvigadzirira pachangu
2)Musika uri pedyo kana chitoro chinotengesa zvekurimisa/anoita zvekutengesa
3)Kambani inotengesa mbeu yakazvimirira
4)Masangano anopa rubatsiro [NGO]
5)Matura embeu emudunhu / kudyidzana kwevarimi / masangano evarimi / nezvakada kudaro
6)Hurumende [somuenzaniso MoA]
7)Hama neshamwari
8)Kumwewo
9)HANDIZIVI
10)ARAMBA</t>
  </si>
  <si>
    <t>Wandise ukuthola ngaphi inhlanyelo? 
[OQHUBAYO: IMPENDULO EZINENGI ZINGAPHIWA.]
1)Ukuzilungiselela
2)Indawo okuthengiswa khona kumbe isitolo sezokulima/umthengisi
3)Inkampani ezimeleyo ethengisa inhlanyelo
4)Inhlanganiso ezizimeleyo [NGO]
5)Amabhanga omphakathi agcina inhlanyelo/ukuhlanganyelana kwabalimi/inhlanganiso zabalimi/lokunye.
6)Uhulumende [isibonelo. MoA]
7)Izihlobo kumbe abangane
8)Okunye
9)KAZI
10)WALILE</t>
  </si>
  <si>
    <t xml:space="preserve">Select All That Apply </t>
  </si>
  <si>
    <t>Form Type - Checklist
9,10 = IsNone</t>
  </si>
  <si>
    <t>1) crp_seed_ownprod
2) crp_seed_market
3) crp_seed_company
4) crp_seed_ngo
5) crp_seed_organized_community
6) crp_seed_gov
7) crp_seed_relatives_friends
8) crp_seed_other
9) crp_seed_dk
10) crp_seed_ref</t>
  </si>
  <si>
    <t>crp_area_change</t>
  </si>
  <si>
    <t>How did the area planted for {crp_main} from the on-going season compare to a normal year?
[OPERATOR: SINGLE RESPONSE.]
1)A lot more [increased by more than 50%]
2)Slightly more
3)Same
4)Slightly less
5)A lot less [less than half as much]
6)DON'T KNOW
7)REFUSED</t>
  </si>
  <si>
    <t>Nzvimbo yamakadyara {crp_main} mwaka uno iri sei kana muchiienzanisa neyamunodyara mugore rinenge rakanaka?
[ARI KUITISA ONGORORO: MHINDURO IMWE CHETE.]
1)Wakawedzera zvikuru [wakakwira nezvikamu 50 kubva muzana]
2)Wakawedzera zvishoma
3)Hauna kuchinja
4)Wakadzika zvishoma
5)Wakadzika zvikuru [zviri pasi zvikuru nechidimbu]
6)HANDIZIVI
7)ARAMBA</t>
  </si>
  <si>
    <t>Indawo eyalinyelwa {crp_main} ngesikhathi sokulima esikiso yaqathaniseka njani lesikhathi somnyaka ojwayelekileyo?
[OQHUBAYO: IMPENDULO EYODWA.]
1)Kakhulu [ikhuphuke ngenani eledluala amaphesenti angu50%]
2)Kakhulu mbijana
3)Ngokufanana
4)Kancane mbijana
5)Kancane mbijana [Ngokulutshwana okwedlula ingxenye]
6)KAZI
7)WALILE</t>
  </si>
  <si>
    <t>1-7 = crp_harv_change</t>
  </si>
  <si>
    <t>resp_age = 18-100
(hh_agricactivity = 1 | 3) | (income_main_cropcheck = 1) | (income_sec_cropcheck = 1) | (income_third_cropcheck = 1) 
quotareached = 2
crp_main = 1-90</t>
  </si>
  <si>
    <t xml:space="preserve">Change question formulation +&amp; in options #2, 4 (col D) </t>
  </si>
  <si>
    <t>crp_harv_change</t>
  </si>
  <si>
    <t>How does the  harvest of {crp_main} in the on-going season compare to a normal year? 
[OPERATOR: SINGLE RESPONSE.]
1)A lot more [increased by more than 50%]
2)Slightly more
3)Same
4)Slightly less
5)A lot less [less than half as much]
6)DON'T KNOW
7)REFUSED</t>
  </si>
  <si>
    <t>Ukuvunwa {crp_main} kwesikhathi sokulima esikiso kuqathaniseka njani lokomnyaka ojwayelekileyo? 
[OQHUBAYO: IMPENDULO EYODWA.]
1)Kakhulu [ikhuphuke ngenani eledluala amaphesenti angu50%]
2)Kakhulu mbijana
3)Ngokufanana
4)Kancane mbijana
5)Kancane mbijana [Ngokulutshwana okwedlula ingxenye]
6)KAZI
7)WALILE</t>
  </si>
  <si>
    <t xml:space="preserve">Change in question formulation &amp; options #2, 4 (col D) + col J </t>
  </si>
  <si>
    <t>crp_proddif</t>
  </si>
  <si>
    <t>Has your household faced any significant difficulty in terms of crop production in the on-going season?
[OPERATOR: SINGLE RESPONSE.]
1)YES
2)NO
3)DON'T KNOW
4)REFUSED</t>
  </si>
  <si>
    <t>Mhuri yenyu yakasangana nechero dambudziko guru here panyaya yekurima zvirimwa mwaka uno?
[ARI KUITISA ONGORORO: MHINDURO IMWE CHETE.]
1)HONGU 
2)KWETE
3)HANDIZIVI
4)ARAMBA</t>
  </si>
  <si>
    <t>Kungabe abomuzi wakho behlangane lobunzima obukhulu nxa kukhangelwa ukulinywa kwezilimo kusikhathi esikiso?
[OQHUBAYO: IMPENDULO EYODWA.]
1)YEBO
2)HATSHI
3)KAZI
4)WALILE</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</si>
  <si>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</si>
  <si>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</si>
  <si>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the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machinery/tools or animals for ploughing
11)Access to fuel or electricity to power agricultural equipment
12)Soil erosion
13)Not enough irrigation / rainfall water
14)Too much irrigation / water
15)Access to credit
16)Other
17)DON'T KNOW
18)REFUSED</t>
  </si>
  <si>
    <t>Idambudziko ripi iro mhuri yenyu yakasangana naro pakurima zvirimwa mwaka uno?
[ARI KUITISA ONGORORO: MHINDURO DZAKAWANDA DZINOGONA KUPIWA. SARUDZA MHIDZURO DZINONYATSOENDERANA NEMASHOKO ATAURWA NEVARI KUPINDURA.]
1)Zvirwere zvezvirimwa 
2)Kuwanda kwezvipembenene [kusanganisira shiri]
3)Kudyiwa nezvipfuyo zvinongosaidzirwa
4)Kushaiwa a nzvimbo yekurima
5)Kushaiwa  mafetereza [kusawanika mumisika kana kuti kukwira kwemitengo]
6)Kushaiwa mbeu yakanaka
7)Kushaiwa mbeu yakakwana [kusawanika mumisika kana kuti kukwira kwemitengo]
8)Kushaiwa a mishonga yezvipembenene
9)Kushaiwa vashandi
10)Kushaiwa michina/maturusi kana mombe dzekurimisa
11)Kushaiwa a mafuta edzimota kana magetsi zvekushandisa pamichina yekurimisa
12)Kukukurwa kwevhu
13)Kusadiridzira zvakakwana / mvura yekunaya
14)Kudiridzira zvakapfurikidza mwero / mvura yakawandisa
15)Kushaiwa zvikwereti
16)Zvimwewo
17)HANDIZIVI
18)ARAMBA</t>
  </si>
  <si>
    <t>Yibuphi ubunzima abomuzi wakho abahlangana labo kwezokulima kusikhathi esikiso?                                                                                                                 
                                                                                                                                                                                                                                                                                              [OQHUBAYO: IMPENDULO EZINENGI ZINGAPHIWA. KHETHA IMPENDULO EZIFANELE ULWAZI OLUTHOLISWE NGOMAPHENDULA]
1)Imikhuhlane yezilimo 
2)Ukuhlaselwa yizibungwana [kugoqela inyoni]
3)Ukudliwa kwezilimo lezinyamazana okungalawulwanga
4)Ukufinyelela umhlabathi
5)Ukufinyelela ifethalayiza [ingatholakali emakethe kumbe intengo iphezulu kakhulu]
6)Ukufinyelela inhlanyelo elohlonzi
7)Ukufinyelela inhlanyelo eyaneleyo [ingatholakali emakethe kumbe intengo iphezulu kakhulu]
8)Ukufinyelela imithi yokubulala izibungwana
9)Ukufinyelela abantu abasebenzayo
10)Ukufinyelela imitshina/amathuluzi kumbe izifuyo zokulimisa
11)Ukufinyelela amafutha kumbe amagetsi okuthela emitshineni yokulimisa
12)Ukukhukhuleka kwenhlabathi
13)Ukungabi lendlela zokudonsa amanzi okuthelela ezaneleyo/izulu elinayo
14)Ukuthelela izilimo okudlulisa amalawulo/amanzi amanengi
15)Ukufinyelela imali yokukweleda
16)Okunye
17)KAZI
18)WALILE</t>
  </si>
  <si>
    <t>Form Type - Checklist
17,18 = IsNone</t>
  </si>
  <si>
    <t>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</si>
  <si>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resp_age = 18-100
(hh_agricactivity = 1 | 3) | (income_main_cropcheck = 1) | (income_sec_cropcheck = 1) | (income_third_cropcheck = 1) 
quotareached = 2
crp_proddif_1 =  1</t>
  </si>
  <si>
    <t>Change in options #3, 9
Change skip pattern according to new question</t>
  </si>
  <si>
    <t>crp_storage</t>
  </si>
  <si>
    <t>Last year, what proportion of your {crp_main} stock did you lose [to pests, rotting, mould, etc.] after the harvest?
[OPERATOR: SINGLE RESPONSE.]
1)None
2)A little
3)An important part of it - but less than half
4)Most of it [half or more]
5)Almost everything 
6)Everything
7)DON'T KNOW
8)REFUSED</t>
  </si>
  <si>
    <t>1-8 = crp_all</t>
  </si>
  <si>
    <t>crp_all</t>
  </si>
  <si>
    <t>crp_all_[name of crop as per crop list]</t>
  </si>
  <si>
    <t>Do you cultivate any other crops aside from {crp_main}, and if so which ones?
[OPERATOR: "No other crop" APPEARS AT THE END OF THE LIST OF OPTIONS. SELECT ALL CROPS LISTED BY THE RESPONDENT.]
1)No other crops
2)DON'T KNOW
3)REFUSED</t>
  </si>
  <si>
    <t>Form Type - Checklist
Included unselected "crp_main"
1,2,3= IsNone</t>
  </si>
  <si>
    <t>Dynamic = crp_salesmain
1-3 = crp_salesmain</t>
  </si>
  <si>
    <t>D. CROP MARKETING</t>
  </si>
  <si>
    <t>crp_salesmain</t>
  </si>
  <si>
    <t>Ndechipi chirimwa chamakanyanya kutengesa mukati memwedzi 3 yapfuura?
[ARI KUITISA ONGORORO: MHINDURO YEKUTI "hapana chirimwa chakatengeswa mumwedzi 3 yapfuura" IRI PEKUPEDZISIRA. SARUDZA ZVIRIMWA ZVOSE ZVATAURWA NEARI KUPINDURA.]
1)Mhunga
2)Mapfunde
3)Chibage
4)Mbambaira
5)Bhinzi
6)Kabheji
7)Matomasi
8)Manhanga
9)Hanyanisi
10)Nzungu
11)Nyimo
12)Masanifurawa
13)Mupunga
14)Gorosi
15)Bhari
16)Zvimwewo zvakaita sechibage
17)Mufarinya
18)Mbatatisi
19)Gogoya
20)Karotsi
21)Kokoyamu
22)Zvimwewo zvakaita sehanyanisi
23)Lentils
24)Pizi
25)Soyabhinzi
26)Chickpeas
27)Bhinzi dzefavha
28)Bhinzi dzakapamhamha
29)Dzimwewo mhando dzebhinzi
30)Korifurawa
31)Lettuce
32)Spinach-Amaranth
33)Mashizha ekasavha
34)Mashizha embatatisi
35)Moringa
36)Sorrel Hibiscus / Rosselle
37)Green salad herbs [thyme/parsley/mint/rocca/zvimwewo]
38)Mimwewo miriwo ine mashizha
39)Pizi nyoro
40)Bhinzi dzefavha nyoro
41)Magaka
42)Eggplant/aubergine
43)Zucchini
44)Derere
45)Bell pepper
46)Harikoti
47)Mimwewo miriwo isina mashizha
48)Orenji
49)Mandimi
50)Grapefruit
51)Mandarins/clementines
52)Mimwewo michero yakaita semaorenji
53)Mabhanana anotapira
54)Muonde
55)Magirepisi
56)Miorivhi
57)Epuro
58)Apurikoti
59)Macheri
60)Pichisi/nectarine
61)Ma-strawberry
62)Mwiwa [Cantaloupe]
63)Ma-plantains
64)Mapopo
65)Mango
66)Gwavha
67)Zvihenge
68)Avhokadho
69)Manwiwa
70)Ma-dates
71)Mimwewo michero
72)Kokonati
73)Cashew Nut
74)Kola Nut
75)Runinga
76)Arumondi
77)Walnut
78)Dzimwewo mhando dzenzungu
79)Kokoa
80)Kofi
81)Tiyi
82)Nzimbe
83)Zvimwewo zvirimwa zvekudya uye kutengesa
84)Donje
85)Rabha
86)Jute
87)Chikafu chezvipfuyo
88)Fodya
89)Qat
90)Zvimwewo zvirimwa zvisiri zvekudya asi zviri zvekutengesa
91)Hapana zvirimwa zvakarimwa
92)HANDIZIVI
93)ARAMBA</t>
  </si>
  <si>
    <t>Yisiphi isilimo esiyiso osithengisileyo kunyanga ezintathu ezidluleyo?
[OQHUBAYO: "akula silimo esathengiswa kunyanga ezintathu ezidluleyo" KUVELA EKUCINENI KWEZIMPENDULO. KHETHA ZONKE IZILIMO EZIFAKWE NGUMAPHENDULA.]
1)Inyawuthi
2)Amabele
3)Umumbu
4)Imbambayila
5)Indumba
6)Ikhabitshi
7)Amatamatisi
8)Ithanga
9)Amahanyanisi
10)Indlubu/amazambane
11)Izambane leBambara 
12)iSunflower
13)Ilayisi
14)Ingqoloyo
15)Ibhali
16)Okunye okungama Cereal
17)iCassava
18)Amagwili
19)Amadumbe
20)Ikherothi
21)iCocoyam
22)Okunye okudliwa impande zakho
23)amaLentils
24)iPeas
25)iSoybeans
26)iChickpeas
27)iFava beans
28)iBroad beans
29)Okunye okuzindumba
30)iCauliflower
31)iLettuce
32)iSpinach-Amaranth
33)amahlamvu eCassava 
34)Amahlamvu amagwili
35)iMoringa
36)iSorrel Hibiscus / Rosselle
37)Okokufaka kusaladi eluhlaza [thyme/parsley/mint/rocca/okunye]
38)Ezinye izilimo ezilinywayo ezilamahlamvu
39)iGreen peas
40)iFava beans green
41)iCucumber
42)iEggplant/aubergine
43)iZucchini
44)idelele lentanga
45)iBell pepper
46)iHaricot
47)Okunye okulinywayo okungelamahlamvu
48)Iwonlintshi
49)iLemon
50)iGrapefruit
51)iMandarins/clementines
52)Ezinye izithelo ezilinywayo
53)iSweet Banana
54)iFigs
55)iGrapes
56)iOlives
57)i-aphula
58)iApricot
59)iCherries
60)impintshisi
61)amaStrawberries
62)Okungamakhabe [Cantaloupe]
63)amaPlantain
64)amaPapaya
65)iMengo
66)iGuava
67)iPineapple
68)iAvocado
69)ikhabe
70)amaDate
71)Ezinye izithelo
72)amaCoconut
73)amazambane eCashew 
74)amazambane eKola 
75)iSesame
76)iAlmond
77)iWalnut
78)Okunye okungamazambane avela ezihlahleni
79)iCocoa
80)ikhofi
81)itiye
82)Imfe
83)Okunye okuyizilimo ezithengiswayo
84)Utshinda
85)iRubber
86)iJute
87)Ukudla kwezifuyo
88)Ugwayi
89)iQat
90)Okunye okulinywayo okungasokudla
91)Akula zilimo ezilinywayo
92)KAZI
93)WALILE</t>
  </si>
  <si>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</si>
  <si>
    <t>resp_age = 18-100
hh_agricactivity = 1 | 2 | 3 | 4
(income_main = 1 | 2 | 3) | (income_sec = 1 | 2 | 3) | (income_third =  1 | 2 | 3) 
quotareached = 2</t>
  </si>
  <si>
    <t>crp_salesdif</t>
  </si>
  <si>
    <t>Mhuri yenyu yakatarisana here nechero dambudziko mumwedzi 3 yapfuura pakutengesa chirimwa chenyu che {crp_salesmain}?
[ARI KUITISA ONGORORO: MHINDURO IMWE CHETE.]
1)HONGU 
2)KWETE
3)HANDIZIVI
4)ARAMBA</t>
  </si>
  <si>
    <t>Kungabe abomuzi wakho bahlangana lobunzima kunyanga ezintathu ezidlulileyo ekuthengiseni {crp_salesmain}?
[OQHUBAYO: IMPENDULO EYODWA.]
1)YEBO
2)HATSHI
3)KAZI
4)WALILE</t>
  </si>
  <si>
    <t>1 = crp_salesdif_2
2-4 = crp_salesprice</t>
  </si>
  <si>
    <t>resp_age = 18-100
hh_agricactivity = 1 | 2 | 3 | 4
(income_main = 1 | 2 | 3) | (income_sec = 1 | 2 | 3) | (income_third =  1 | 2 | 3) 
quotareached = 2
crp_salesmain = 1-90</t>
  </si>
  <si>
    <t>col H conditional</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</si>
  <si>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</si>
  <si>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</si>
  <si>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Idambudziko ripi iro mhuri yenyu yakasangana naro mumwedzi 3 yapfuura pakutengesa chirimwa chenyu che {crp_salesmain}?
[ARI KUITISA ONGORORO: PANOGONA KUPIWA MHINDURO DZAKAWANDA. SARUDZA MHINDURO DZINONYATSOENDERANA NEMASHOKO ATAURWA NEARI KUPINDURA.]
1)Mitengo yakakwira yekutakurisa zvinhu uye yekushambadzira
2)Kurasikirwa nekuda kwekushaya pekuchengetera uye/kana kuti kutadza kusvika kumusika [somuenzaniso nekuda kwekusachengeteka/zvivakwa zvisina kunaka/ nezvakada kudaro]
3)Vagara vaisimbotitengera havachatengi
4)Kunonoka kubhadharwa nevatengi
5)Kuderera kwemitengo yekutengesa nayo [somuenzaniso kana zvichienzaniswa newekutenga nawo / kupera simba kwemari]
6)Kutadza kugadzira zvinhu [kushomeka kwezvokushandisa / michina / nezvakada kudaro]
7)Kuzarisa kwezvinhu mumusika
8)Zvimwewo
9)HANDIZIVI
10)ARAMBA</t>
  </si>
  <si>
    <t>Yibuphi ubunzima abomzini wakho abahlangana labo kunyanga ezintathu ezidluleyo ekuthengiseni{crp_salesmain} sakho}?
[OQHUBAYO: IMPENDULO EZINENGI ZINGAPHIWA. KHETHA IMPENDULO EZIFANELE ULWAZI OLUTHOLISWE NGUMAPHENDULA.]                                                                                    
1)Indleko zokuhambisa eziphezulu kumbe ezinye zezokuthengisa
2)Ukubhidlizeka kanye lokulahlekelwa ngenxa yobunzima bokugcinela kanye/ kumbe ubunzima bokufinyelela indawo zokuthengiselana [ isibonelo. ukungaphephi/izakhiwo ezingalunganga/lokunye.]
3)Ukuswelakala kokudingakala kwabathengisayo kumbe abathengayo abajwayelekileyo
4)Ukuphuza ukubhadala kwabathengisayo/abathengayo.
5)Intengo zokuthengisa eziphansi [isibonelo. kuqathaniswa lentengo zokusetshenziswa ukulungisa/isisindo semali siyehla]
6)Ubunzima ekulungiseni impahala [ukuswelakala kwezinto ezisetshenziswayo/imitshina/lokunye]
7)Indawo zokuthengisela zigcwele impahla
8)Okunye
9)KAZI
10)WALILE</t>
  </si>
  <si>
    <t>1) crp_saledif_marketing_cost
2) crp_saledif_damage_losses
3) crp_saledif_low_demand
4) crp_saledif_pay_delay
5) crp_saledif_low_price
6) crp_saledif_processing
7) crp_saledif_competition
8) crp_saledif_other
9) crp_saledif_dk
10) crp_saledif_ref</t>
  </si>
  <si>
    <t>1-10 = crp_salesprice</t>
  </si>
  <si>
    <t>resp_age = 18-100
hh_agricactivity = 1 | 2 | 3 | 4
(income_main = 1 | 2 | 3) | (income_sec = 1 | 2 | 3) | (income_third =  1 | 2 | 3) 
quotareached = 2
crp_salesmain = 1-90
crp_salesdif = 1</t>
  </si>
  <si>
    <t>Change in options #1, 2, 3, 4 (col D)</t>
  </si>
  <si>
    <t>crp_salesprice</t>
  </si>
  <si>
    <t>Mutengo uripo izvozvi wechirimwa chenyu {crp_salesmain} uri sei kana muchienzanisa nevaivanzovepo munguva yakafanana mugore rakaringana?
[ARI KUITISA ONGORORO: MHINDURO IMWE CHETE. SIMBISIRA PACHIRIMWA CHIKURU CHATAURWA.]
1)Wakawedzera zvikuru [wakakwira nezvikamu 50 kubva muzana]
2)Wakawedzera zvishoma
3)Hauna kuchinja
4)Wakadzika zvishoma
5)Wakadzika zvikuru [zviri pasi zvikuru nechidimbu]
6)HANDIZIVI
7)ARAMBA</t>
  </si>
  <si>
    <t>Intengo yakathesi {crp_salesmain} iqathaniseka njani lentengo elingeneyo ngesikhathi esifanayo kumnyaka ojwayelekileyo? 
[OQHUBAYO: IMPENDULO EYODWA. GXILA KUMPAHLA EYIYO EKHULUNYIWEYO.]
1)Kakhulu [ikhuphuke ngenani eledluala amaphesenti angu50%]
2)Kakhulu mbijana
3)Ngokufanana
4)Kancane mbijana
5)Kancane mbijana [Ngokulutshwana okwedlula ingxenye]
6)KAZI
7)WALILE</t>
  </si>
  <si>
    <t xml:space="preserve">1-7 = ls_intro </t>
  </si>
  <si>
    <t xml:space="preserve">Change in options #2, 4 (col D) </t>
  </si>
  <si>
    <t>E. LIVESTOCK PRODUCTION</t>
  </si>
  <si>
    <t>ls_intro</t>
  </si>
  <si>
    <t>We will now ask you some questions about livestock production which apply to you and anyone in your household that is involved in livestock production or sales. 
1)CONTINUE</t>
  </si>
  <si>
    <t>Tave kuda kukubvunza mibvunzo iri pamusoro pezvipfuyo izvo iwe uye munhu wese ari mumhuri yenyu akachengeta uye kutengesa.
1)ENDERERA MBERI</t>
  </si>
  <si>
    <t>Kathesi sizabuza imbuzo mayela lokufuywa kwezifuyo khona okungena komunye emuzini wakho oqhuba ezokufuya izifuyo kumbe othengisayo.
1)QHUBEKA</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</si>
  <si>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</si>
  <si>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</si>
  <si>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resp_age = 18-100
(hh_agricactivity = 1 | 3) | (income_main_lscheck = 1) | (income_sec_lscheck = 1) | (income_third_lscheck = 1) 
quotareached = 2</t>
  </si>
  <si>
    <t>ls_main</t>
  </si>
  <si>
    <t>Ndechipi chipfuyo icho mhuri yenyu yakanyanya kuchengeta kuti iwane zvekudya uye kutengesa mumwedzi 12 yapfuura?
[ARI KUITISA ONGORORO: MHINDURO IMWE CHETE. BVUNZA NEZVECHIPFUYO CHAKANYANYOKOSHA CHETE.] [ZVEKUYEUKA: USAKANGANWE KUBVUNZA NEZVEKUENDA KURE NEZVIPFUYO VACHINOTSVAKA MAFURO - KUFAMBA NEZVIPFUYO KUBVA KUNE MAMWE MAFURO UCHIENDA KUNE MAMWE.]
1)Mombe [mhou / nyama yemombe / nyama yemhuru / mombe ine mvere / nyati]
2)Mbudzi
3)Hwai
4)Nguruve [nguruve hadzi / mukono wenguruve / nguruve yemusango / nezvakada kudaro]
5)Zvakaita semabhiza [dhongi / bhiza / nezvakada kudaro]
6)Tumhuka twuduku twekupfuya [tsuro / tsindi / mbira / nezvakada kudaro]
7)Zvakaita sehuku [huku / hanga / dhakisi/ zvihuta / toki / zvakada kudaro]
8)Ngamera
9)Zvimwewo
10)HANDIZIVI
11)ARAMBA</t>
  </si>
  <si>
    <t>Yisiphi isifuyo abamuli yakho abagxile kiso ukusifuyela ukudla kanye lokuthola imali kunyanga ezilitshumi lambili ezindlulileyo?
[OQHUBAYO: IMPENDULO EYODWA. BUZA MAYELANA LESIFUYO ESIYISO ESIMQOKA KUPHELA]. [UNGAKHOHLWA UKUBUZA MAYELANA LOKUHAMBISA IZIFUYO EMADLELWAENI AKHATSHANA.]
1)Inkomo/inyama/inyama yenkonyane/yak/ inyathi]
2)Imbuzi
3)Imvu
4)Ingulube
5)Ubabhemi/ibhiza/okunye]
6)Izinyamazana ezincane ezifuywayo[ undlegu/umvundla/ihotshi/okunye
7)Ezilempiko[inkukhu/isikhwehle/idada/okunye]
8)Ikamela
9)Okunye
10)KAZI
11)WALILE</t>
  </si>
  <si>
    <t>Change in option #7 (col D)</t>
  </si>
  <si>
    <t>ls_num_lastyr</t>
  </si>
  <si>
    <t>How many {ls_main} did you have at the same time last year?
[OPERATOR: RECORD THE NUMBER OF ANIMALS. ENTER 88888 FOR DON'T KNOW AND 99999 FOR REFUSED.]</t>
  </si>
  <si>
    <t>Kungaki {ls_main} owaba lakho ngesikhathi lesi kumnyaka ophelileyo?
[OQHUBAYO: REKHODA INANI LENYAMAZANA. FAKA U 88888 NXA ENGAZI KANYE LO 99999 NXA EYALILE.]</t>
  </si>
  <si>
    <t>0-10000 = ls_num_now
88888-88888 = ls_num_now
99999-99999 = ls_num_now</t>
  </si>
  <si>
    <t>resp_age = 18-100
(hh_agricactivity = 1 | 3) | (income_main_lscheck = 1) | (income_sec_lscheck = 1) | (income_third_lscheck = 1) 
quotareached = 2
ls_main = 1-9</t>
  </si>
  <si>
    <t>ls_num_now</t>
  </si>
  <si>
    <t>How many {ls_main} do you have now?
[OPERATOR: RECORD THE NUMBER OF ANIMALS. ENTER 88888 FOR DON'T KNOW AND 99999 FOR REFUSED.]</t>
  </si>
  <si>
    <t>Parizvino mune {ls_main} zvakawanda sei?
[ARI KUITISA ONGORORO: NYORA PASI NHAMBA YEZVIPFUYO. ISA 88888 KANA ASINGAZIVI UYE 99999 KANA ARAMBA.</t>
  </si>
  <si>
    <t>Kungaki {ls_main} olakho kathesi?
[OQHUBAYO: REKHODA INANI LENYAMAZANA. FAKA U 88888 NXA ENGAZI KANYE LO 99999 NXA EYALILE.]</t>
  </si>
  <si>
    <t>0-10000 = ls_num_change
88888-88888 = ls_num_change
99999-99999 = ls_num_change</t>
  </si>
  <si>
    <t>ls_num_change</t>
  </si>
  <si>
    <t>ls_num_
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</si>
  <si>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malnutrition/drought/lack of feed
7)Animal death due to other factors [e.g. diseases/parasites/injury]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</si>
  <si>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Nemhaka yei huwandu hwezvipfuyo hwakachinja?
[ARI KUITISA ONGORORO: PANOGONA KUPIWA MHINDURO DZAKAWANDA.]
1)Hapana kuchinja kukuru pahuwandu hwezvipfuyo
2)Hatina kutengesa zvakawanda
3)Zvizhinji zvakaberekwa
4)Takatenga kana kuti kuchinjanisa zvipfuyo zvakawanda gore rino
5)Takapiwa zvipfuyo zvemahara [kukudza danga / chipo]
6)Kufa kwezvipfuyo nekuda kwekushaya chikafu/kusanaya kwemvura/kushomeka kwechikafu
7)Kufa kwezvipfuyo nekuda kwezvimwewo zvikonzero [somuenzaniso zvirwere /zvipembenene/kukuvara]
8)Takatengesa zvakawanda kupfuura kare nekuti mutengo waive wakanaka
9)Takatengesa zvakawanda kupfuura kare nekuda kwekuomerwa [kushaya chikafu chezvipfuyo / kudikanwa kwemari nekukasira kunyange zvazvo mutengo waive pasi zvikuru]
10)Zvipfuyo zvakatiza kana kuti kubiwa
11)Takauraya kana kupa zvipfuyo zvakawanda kupfuura kare kuti tiwane zvekudya zvemhuri kana kuti nekuda kwemhemberero [michato / ndufu / nezvakada kudaro]
12)Zvimwe
13)HANDIZIVI
14)ARAMBA</t>
  </si>
  <si>
    <t>Yindaba inani lezifuyo latshintsha?
[OQHUBAYO: IMPENDULO EZINENGI ZINGAPHIWA.]
1)Akulatshintsho olukhulu kunani lezifuyo
2)Akuthengiswanga ezinengi
3)Ezinengi zazalwa
4)Ngathenga kumbe ngatshintsha izifuyo ezinengi ngomnyaka lo
5)Wamukela izifuyo mahala [ukwengezela/isipho]
6)Ukufa kwezifuyo ngenxa yokungatholi ukudla okwaneleyo/ukoma/ukuswelakala kokudla
7)Ukufa kwezifuyo ngenxa yezinye izizatho [isibonelo. imikhuhlane/imikhaza lokunye okumunyayo/ukulimala]
8)Wathengisa ezinengi kulenani elijwayelekileyo ngenxa yentengo enhle
9)Wathengisa ezinengi kulenani elijwayelekileyo ngenxa yokuthengisa ngodubo [ukungenelisi ukupha isifuyo ukudla/kudingakala imali ngokuphuthuma yezidingo zendlini ezimqoka loba intengo yakho yayingancedi]
10)Izifuyo zabaleka kumbe zatshontshwa
11)Kwabulawa kumbe kwaphiwa izifuyo ezinengi okwedlula ezijwayelekileyo ukuthi zidliwe ngabendlini kumbe ukuqhuba imicimbi [umtshado/imngcwabo/lokunye]
12)Okunye
13)KAZI
14)WALILE</t>
  </si>
  <si>
    <t>Form Type - Checklist
1,13,14 = IsNone</t>
  </si>
  <si>
    <t>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</si>
  <si>
    <t>1-14 = ls_feed</t>
  </si>
  <si>
    <t>Check if programming change with GP 
Change in option #1</t>
  </si>
  <si>
    <t>ls_feed</t>
  </si>
  <si>
    <t>ls_feed
1) ls_feed_open_pasture
2) ls_feed_common_pasture
3) ls_feed_self_produced
4) ls_feed_purchased
5) ls_feed_free_dist
6) ls_feed_other
7) ls_feed_dk
8) ls_feed_ref</t>
  </si>
  <si>
    <t>Form Type - Checklist
7,8 = IsNone</t>
  </si>
  <si>
    <t>1) ls_feed_open_pasture
2) ls_feed_common_pasture
3) ls_feed_self_produced
4) ls_feed_purchased
5) ls_feed_free_dist
6) ls_feed_other
7) ls_feed_dk
8) ls_feed_ref</t>
  </si>
  <si>
    <t>ls_proddif</t>
  </si>
  <si>
    <t>Has your household faced any significant difficulty with livestock production over the last 3 months?
[OPERATOR: SINGLE RESPONSE.]
1)YES 
2)NO
3)DON'T KNOW
4)REFUSED</t>
  </si>
  <si>
    <t>Mhuri yenyu yakasangana nechero dambudziko guru here panyaya yekupfuya zvipfuyo mumwedzi 3 yapfuura?
[ARI KUITISA ONGORORO: MHINDURO IMWE CHETE.]
1)HONGU 
2)KWETE
3)HANDIZIVI
4)ARAMBA</t>
  </si>
  <si>
    <t>Kungabe abomuzi wakho bahlangana lobunzima obukhulu ekufuyeni izifuyo kunyanga ezintathu ezidluleyo?
[OQHUBAYO: IMPENDULO EYODWA.]
1)YEBO
2)HATSHI
3)KAZI
4)WALILE</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</si>
  <si>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</si>
  <si>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</si>
  <si>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Yibuphi ubunzima abemuli yakho abahlangana labo ekufuyeni izifuyo kunyanga ezintathu ezidlulileyo?
[OQHUBAYO: IMPENDULO EZINENGI ZINGAKHETHWA. KHETHA IMPENDULO EFANELE ULWAZI OLUTHOLISWA NGOMAPHENDULA.]
1)Ubunzima bokuthenga ukudla [intengo kumbe ukufinyelela emakethe]
2)Ukungafinyeleli kuhle amadlelo
3)Ukungafinyeleli kuhle amanzi
4)Ukufinyelela ezoncedo zokwelapha inyamazana [ukuhlatshiswa/ukwelatshwa/ukufakwa imithi/ukucetshiswa lokunye.]
5)Ubunzima bokufinyelela imithi yenyamazana/amathulusi ezempilakahle zenyamazana/okunye]
6)Imikhuhlane yezifuyo kumbe ukulimala
7)Ukutshontshelwa izifuyo kumbe ukungavikeleki
8)Ukungafinyeleli kuhle indawo zokuthenga izifuyo ezincane
9)Ukungafinyeleli imali yokukweleda
10)Ukufinyelela izisebenzi
11)Okunye 
12)KAZI
13)WALILE</t>
  </si>
  <si>
    <t>Form Type - Checklist
12,13 = IsNone</t>
  </si>
  <si>
    <t>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</si>
  <si>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resp_age = 18-100
(hh_agricactivity = 1 | 3) | (income_main_lscheck = 1) | (income_sec_lscheck = 1) | (income_third_lscheck = 1) 
quotareached = 2
ls_proddif = 1</t>
  </si>
  <si>
    <t>Change in option #6 (col D)</t>
  </si>
  <si>
    <t>E. LIVESTOCK MARKETING</t>
  </si>
  <si>
    <t>ls_salesmain</t>
  </si>
  <si>
    <t>Chipfuyo chipi kana kuti zvinowanikwa pazvipfuyo zvakanyanya kutengeswa nemhuri yenyu mumwedzi 3 yapfuura?
[ARI KUITISA ONGORORO: MHINDURO IMWE CHETE. SIMBISIRA KUTI CHAKATENGESWA ZVAKANYANYA.]
1)Mombe [mhou / nyama yemombe / nyama yemhuru / mombe ine mvere / nyati]
2)Mbudzi
3)Hwai
4)Nguruve  [nguruve hadzi / nguruve hono / nguruve yemusango/ nezvakada kudaro]
5)Zvakaita semabhiza [dhongi / bhiza / nezvakada kudaro]
6)Tumhuka twuduku twunopfuyiwa [tsuro / tsindi / mbira / nezvakada kudaro]
7)Zvakaita sehuku [huku / hanga / dhadha / zvihuta / mateki / nezvakada kudaro]
8)Ngamera
9)Mazai
10)Mukaka kana zvinogadzirwa nemukaka
11)Ganda kana chikumba kana shinda
12)HANDIZIVI
13)ARAMBA</t>
  </si>
  <si>
    <t>Yisiphi isifuyo kumbe okuvela esifuyweni abemuli yakho abagxile kiso ukusifuyela ukusithengisa kunyanga ezilitshumi lambili ezindlulileyo?
[OQHUBAYO: IMPENDULO EYODWA. KHULUMA NGESIFUYO ABAGXILE KISO]
1)Inkomo/inyama/inyama yenkonyane/yakhi/ inyathi]
2)Imbuzi
3)Imvu
4)Ingulube [ingulube efazi/ingulube esilisa/ eyeganga/ okunye]
5)Ubabhemi/ ibhiza / okunye]
6)Izinyamazana ezincane ezifuywayo[ undlegu/umvundla/ihotshi/okunye
7)Ezilempiko[inkukhu/isikhwehle/idada/izigwaca/ itokhi/okunye]
8)Ikamela
9)Amaqanda
10)Uchago kumbe okunye okuvela echagweni                                                      
11)Isikhumba kumbe tshani
12)KAZI
13)WALILE</t>
  </si>
  <si>
    <t>resp_age = 18-100
hh_agricactivity = 1 | 2 | 3 | 4
(income_main = 4 | income_sec = 4 | income_third = 4)
quotareached = 2</t>
  </si>
  <si>
    <t>Col H + col J</t>
  </si>
  <si>
    <t>ls_salesdif</t>
  </si>
  <si>
    <t>Mhuri yenyu yakasangana nechero dambudziko here pakutengesa {ls_salesmain} mumwedzi 3 yapfuura?
[ARI KUITISA ONGORORO: MHINDURO IMWE CHETE.]
1)HONGU 
2)KWETE
3)HANDIZIVI
4)ARAMBA</t>
  </si>
  <si>
    <t>Kungabe abomuzi wakho bahlangana lobunzima kunyanga ezintathu ezidlulileyo ekuthengiseni {ls_salesmain} senu?
[OQHUBAYO: IMPENDULO EYODWA.]
1)YEBO
2)HATSHI
3)KAZI
4)WALILE</t>
  </si>
  <si>
    <t>1 = ls_salesdif_2
2-4 = ls_salesprice</t>
  </si>
  <si>
    <t>resp_age = 18-100
hh_agricactivity = 1 | 2 | 3 | 4
(income_main = 4 | income_sec = 4 | income_third = 4)
quotareached = 2
ls_salesmain = 1-11</t>
  </si>
  <si>
    <t>ls_salesdif_2</t>
  </si>
  <si>
    <t>ls_salesdif_
1) ls_salesdif_marketing_cost
2) ls_salesdif_damage_losses
3) ls_salesdif_low_demand
4)ls_salesdif_pay_delay
5) ls_salesdif_low_price
6)  ls_salesdif_slaughterhouse
7) ls_salesdif_processing
8) ls_salesdif_competition
9) ls_salesdif_other
10) ls_salesdif_dk
11) ls_salesdif_ref</t>
  </si>
  <si>
    <t>Matambudziko api ayo mhuri yenyu yakatarisana nayo pakutengesa {ls_salesmain} mumwedzi 3 yapfuura?
[ARI KUITISA ONGORORO: PANOGONA KUPIWA MHINDURO DZAKAWANDA. SARUDZA MHINDURO DZINONYATSOENDERANA NEZVATAURWA NEVARI KUPINDURA.]
1)Mitengo yakakwira yekutakurisa zvinhu uye yekushambadzira
2)Kuparara uye kurasikirwa nekuda kwekushaya pekuchengetera uye/kana kuti kutadza kusvika kumusika [somuenzaniso nekuda kwekusachengeteka/zvivakwa zvisina kunaka/ nezvakada kudaro]
3)Vagara vaisimbotitengera havachatengi
4)Kunonoka kubhadharwa nevatengi
5)Kuderera kwemitengo yekutengesa nayo [somuenzaniso kana zvichienzaniswa newekutenga nawo / kupera simba kwemari]
6)Kuvharwa kwenzvimbo dzekuurayira zvipfuyo kana kuti kutadza kusvika kwadziri
7)Kutadza kugadzira zvinhu zvisinei nekuvharwa kwenzvimbo dzekuurayira zvipfuyo [kutadza kuwana zvekushandisa / michina / nezvakada kudaro
8)Kuzara kwezvinhu pamusika
9)Zvimwewo
10)HANDIZIVI
11)ARAMBA</t>
  </si>
  <si>
    <t>Yibuphi ubunzima abemuli yakho abahlangana labo ekuthengiseni {ls_salesmain} kunyanga ezintathu ezidlulileyo?
[OQHUBAYO: IMPENDULO EZINENGI ZINGAKHETHWA. KHETHA IMPENDULO EFANELE ULWAZI OLUTHOLISWA NGOMAPHENDULA]
1)Indleko zezokuhambisa eziphezulu kumbe ezokuthengisa
2)Ukubhidlizwa lokulahlekelwa ngesikhathi kuhanjiswa kumbe ubunzima ukufinyelela indawo zokuthengisela
3)Ukuswelakala kokudingakala kubathengisi kumbe abathengi abajwayelekileyo  
4)Ukuphuza ukubhadala kuvela kubathengisi/abathengi
5)Intengo zokuthengisa ephansi [isibonelo; kuqathaniswa lentengo zalokho okusetshenziswayo/ukwehla kwesisindo semali]
6)Ukuvalwa kwendawo zokuhlinzelwa kumbe ubunzima ukufinyelela indawo zokuhlinzela
7)Ubunzima bokulungisa impahla kulokuvalwa kwendawo zokuhlinzela [ukuswelakala indlela zokufinyelela impahla zokulungisisa/imitshina/lokunye]
8)Indawo zokuthengisela zigcwele impahla
9)Okunye
10)KAZI
11)WALILE</t>
  </si>
  <si>
    <t>Form Type - Checklist
10,11 = IsNone</t>
  </si>
  <si>
    <t>1) ls_salesdif_marketing_cost
2) ls_salesdif_damage_losses
3) ls_salesdif_low_demand
4)ls_salesdif_pay_delay
5) ls_salesdif_low_price
6)  ls_salesdif_slaughterhouse
7) ls_salesdif_processing
8) ls_salesdif_competition
9) ls_salesdif_other
10) ls_salesdif_dk
11) ls_salesdif_ref</t>
  </si>
  <si>
    <t>1-11 = ls_salesprice</t>
  </si>
  <si>
    <t>resp_age = 18-100
hh_agricactivity = 1 | 2 | 3 | 4
(income_main = 4 | income_sec = 4 | income_third = 4)
quotareached = 2
ls_salesmain = 1-11
ls_salesdif = 1</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</si>
  <si>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</si>
  <si>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</si>
  <si>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Mutengo uripo izvozvi wezvipfuyo zvenyu {ls_salesmain} uri sei kana muchienzanisa nevaivanzovepo munguva yakafanana mugore rakaringana?
[ARI KUITISA ONGORORO: MHINDURO IMWE CHETE. SIMBISIRA KUTI CHAKATENGESWA ZVAKANYANYA.]
1)Wakawedzera zvikuru [wakakwira nezvikamu 50 kubva muzana]
2)Wakawedzera zvishoma
3)Hauna kuchinja
4)Wakadzika zvishoma
5)Wakadzika zvikuru [zviri pasi zvikuru nechidimbu]
6)HANDIZIVI
7)ARAMBA</t>
  </si>
  <si>
    <t>Intengo yakathesi {ls_salesmain} emuzini wakho iqathaniseka njani lentengo elingeneyo ngesikhathi esifanayo kumnyaka ojwayelekileyo?
[OQHUBAYO: IMPENDULO EYODWA. GXILA KUMPAHLA EYIYO EKHULUNYIWEYO.]
1)Kakhulu [ikhuphuke ngenani eledluala amaphesenti angu50%]
2)Kakhulu mbijana
3)Ngokufanana
4)Kancane mbijana
5)Kancane mbijana [Ngokulutshwana okwedlula ingxenye]
6)KAZI
7)WALILE</t>
  </si>
  <si>
    <t>1-7 = fish_intro</t>
  </si>
  <si>
    <t>Change in options #2, 4 (col D) 
+ col J</t>
  </si>
  <si>
    <t>F. FISHERIES PRODUCTION</t>
  </si>
  <si>
    <t>fish_intro</t>
  </si>
  <si>
    <t>Tave kuda kukubvunzai mibvunzo iri pamusoro pekuredza hove uye mabasa ekuchengeta hove anoitwa nemi kana kuti mumwe munhu ari mumhuri yenyu anoita zvekubata, kuchengeta, kugadzira kana kuti kutengesa hove.
1)ENDERERA MBERI</t>
  </si>
  <si>
    <t>Kathesi sizakubuza imibuzo mayelana lokuthiya inhlanzi kanye lokufuya okuhlala emanzini yona eqondene lawe kumbe loba nguwuphi umuntu emuzini wakho oqhuba ekuthiyeni, isiko, ukulungiswa kumbe ukuthengiswa kwenhlanzi.
1)QHUBEKA</t>
  </si>
  <si>
    <t>1 = fish_main</t>
  </si>
  <si>
    <t>resp_age = 18-100
hh_agricactivity = 1| 2 | 3 | 4
(income_main_fishcheck = 1) | (income_sec_fishcheck = 1) | (income_third_fishcheck = 1) 
quotareached = 2</t>
  </si>
  <si>
    <t>fish_main</t>
  </si>
  <si>
    <t>fish_main_
1) fish_main_coastal
2) fish_main_offshore_sea
3)fish_main_freshwater
4) fish_main_aquaculture
5) fish_main_dk
6) fish_main_ref</t>
  </si>
  <si>
    <t>What type of fishing activity does your household generally practice?
[OPERATOR: MULTIPLE RESPONSES POSSIBLE.]
1)Near coastal/ delta/lagoon fishing
2)Offshore sea fishing
3)Freshwater fishing [in lakes/reservoirs/ponds/ rivers or wetlands]
4)Aquaculture
5)DON'T KNOW
6)REFUSED</t>
  </si>
  <si>
    <t>Inzira ipi yekuredza hove inowanzoshandiswa nemhuri yenyu?
[ARI KUITISA ONGORORO: PANOGONA KUPIWA MHINDURO DZAKAWANDA.]
1)Kuredza pedyo nemahombekombe/pachitsuwa /munzvimbo dzisina mvura yakanyanya
2)Kuredza kumahombekombe kwenyanza
3)Kuredza muvhura [mugungwa/mudziva/mupondi/ nzizi kana mumachakwi]
4)Kuchengeta hove
5)HANDIZIVI
6)ARAMBA</t>
  </si>
  <si>
    <t>Yiwuphi umhlobo wezokuthiya inhlanzi abendlini yakho abawuqhubayo?
[OQHUBAYO: IMPENDULO EZINENGI ZINGAPHIWA.]
1)Ukuthiya duzane lolwandle/ekhunjini/ichibi
2)Ukuthiya ngaphandle kolwandle
3)Ukuthiya emanzini amatsha [emifuleni/amachibi/amanzi agciniweyo/amadamu kumbe indawo ezilamanzi]
4)Ukugcina inhlanzi kanye lezilimo zemanzini
5)KAZI
6)WALILE</t>
  </si>
  <si>
    <t>Form Type - Checklist
5,6 = IsNone</t>
  </si>
  <si>
    <t>1) fish_main_coastal
2) fish_main_offshore_sea
3)fish_main_freshwater
4) fish_main_aquaculture
5) fish_main_dk
6) fish_main_ref</t>
  </si>
  <si>
    <t>1-6 = fish_change</t>
  </si>
  <si>
    <t>Change in option #3 (col D)
Change in col. H</t>
  </si>
  <si>
    <t>fish_change</t>
  </si>
  <si>
    <t>Hove dzamakabata [hove dzakabatwa] mumwedzi 3 yapfuura [kana pakubata kwamakaita pakupedzisira] dzange dzakawanda sei kana muchidzienzanisa nedzenguva yakafanana [dzamakabata] gore rakapfuura?
[ARI KUITISA ONGORORO: MHINDURO IMWE CHETE.]
1)Wakawedzera zvikuru [wakakwira nezvikamu 50 kubva muzana]
2)Wakawedzera zvishoma
3)Hauna kuchinja
4)Wakadzika zvishoma
5)Wakadzika zvikuru [zviri pasi zvikuru nechidimbu]
6)HANDIZIVI
7)ARAMBA</t>
  </si>
  <si>
    <t>Ukubamba kwakho inhlanzi [inhlanzi ezibanjiweyo] kunyanga ezintathu ezidlulileyo [kumbe ukuthiya kwakucina] kuqathaniseka njani lesikhathi esifanayo [sokubamba] ngomnyaka ophelileyo?
[OQHUBAYO: IMPENDULO EYODWA]
1)Kakhulu [ikhuphuke ngenani eledluala amaphesenti angu50%]
2)Kakhulu mbijana
3)Ngokufanana
4)Kancane mbijana
5)Kancane mbijana [Ngokulutshwana okwedlula ingxenye]
6)KAZI
7)WALILE</t>
  </si>
  <si>
    <t>1-7 = fish_proddif</t>
  </si>
  <si>
    <t xml:space="preserve">Change in options 2 and 4 wording (col D) </t>
  </si>
  <si>
    <t>fish_proddif</t>
  </si>
  <si>
    <t>Mhuri yenyu yakambosangana here nechero dambudziko guru pabasa rekubata/kana kuti kuredza hove mumwedzi 3 yapfuura?
[ARI KUITISA ONGORORO: MHINDURO IMWE CHETE.]
1)HONGU 
2)KWETE
3)HANDIZIVI
4)ARAMBA</t>
  </si>
  <si>
    <t>Kungabe abomuzi wakho bahlangana lobunzima obukhulu ekuthiyeni kanye/kumbe ukugola inhlanzi kunyanga ezintathu ezedluleyo?
[OQHUBAYO: IMPENDULO EYODWA.]
1)YEBO
2)HATSHI
3)KAZI
4)WALILE</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</si>
  <si>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</si>
  <si>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</si>
  <si>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Matambudziko api ayo mhuri yenyu yakasangana nayo pakubata/ kana kuti kuredza hove mumwedzi 3 yapfuura?
[ARI KUITISA ONGORORO: PANOGONA KUVE NEMHINDURO DZAKAWANDA. SARUDZA MHIDZURO DZINONYATSOENDERANA NEMASHOKO ATAURWA NEVARI KUPINDURA.]
1)Hove dzave kunetsa kuwana kupfuura zvadzaiita mumakore akapfuura mumwaka wakafanana [kuredza]
2)Zvipembenene nezvirwere zvehove [kuchengeta hove]
3)Kutadza kuredza kana kuti kuwana nzvimbo yekuchengetera hove [somuenzaniso nekuda kwemamiriro ekunze kana kuchengeteka]
4)Kutadza kuwana mafuta emichina [mitengo yakakwira kana kuti kusawanika]
5)Kutadza kuwana zvimwe zvekushandisa pakuredza kana kuchengeta hove [mitengo yakakwira kana kuti kusawanika]
6)Kutadza kuwana vashandi [mitengo yakakwira kana kuti kusawanika]
7)Kuparara kana kuti kuparadzwa kwezvivakwa [mapondi/makeji/zviteshi zvechikepe/nzvimbo dzakaoma]
8)Kuparara kana kuti kuparadzwa kwezvikepe kana kuti zvekushandisa
9)Zvimwewo
10)HANDIZIVI
11)ARAMBA</t>
  </si>
  <si>
    <t>1) fish_proddif_find_fish
2) fish_proddif_pests
3) fish_proddif_access_area
4) fish_proddif_fuel
5) fish_proddif_input_access
6) fish_proddif_labour
7) fish_proddif_infrastructure
8) fish_proddif_damage_equip
9) fish_proddif_other
10) fish_proddif_dk
11) fish_proddif_ref</t>
  </si>
  <si>
    <t>1-11 = fish_inputdif</t>
  </si>
  <si>
    <t>resp_age = 18-100
hh_agricactivity = 1| 2 | 3 | 4
(income_main_fishcheck = 1) | (income_sec_fishcheck = 1) | (income_third_fishcheck = 1) 
quotareached = 2
fish_proddif_1 = 1</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</si>
  <si>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</si>
  <si>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</si>
  <si>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rods/hooks/nets]
4)Ice
5)Fuel
6)Equipment repairs [including boats] or spare parts
7)Labour
8)Other [specify]
9)DON'T KNOW
10)REFUSED</t>
  </si>
  <si>
    <t>Ndechekushandisa pakuredza [kuchengeta] hove chipi icho mhuri yenyu yakaita dambudziko kuti ichiwane mumwedzi 3 yapfuura?
[ARI KUITISA ONGORORO: PANOGONA KUPIWA MHINDURO DZAKAWANDA.]
1)Zvekuposhesa kana kuti kukwezvesa hove
2)Imwe mhando yehove
3)Zvekuredzesa hove [somuenzaniso zvirauro/mambure]
4)Ayizi
5)Mafuta yemichina
6)Zvekugadzirisa zvinhu [kusanganisira zvikepe] nemapatsi ekutsiva anenge afa
7)Vashandi
8)Zvimwewo [ratidza]
9)HANDIZIVI
10)ARAMBA</t>
  </si>
  <si>
    <t>Yikuphi okusetshenziswa kwezokuthiya inhlanzi [isiko] abomuzi wakho ababalohlupho lokukufinyelela kunyanga ezintathu ezidluleyo?
[OQHUBAYO: IMPENDULO EZINENGI ZINGAPHIWA.]
1)Ukudla kumbe okokuhuga
2)Inhlanzi encane
3)Amathuluzi okuthiya [isibonelo. isigodo/ihuka/umambule]
4)i-Ice
5)iFuweli
6)Ukulungiswa kwamathuluzi [kugoqela izikepe] kumbe ingxenye zesikepe
7)Izisebenzi
8)Okunye [caca]
9)KAZI
10)WALILE</t>
  </si>
  <si>
    <t xml:space="preserve">Open Ended-Select All That Apply </t>
  </si>
  <si>
    <t>1) fish_inputdif_bait_feed
2)fish_inputdif_fingerling
3) fish_inputdif_gear
4) fish_inputdif_ice
5) fish_inputdif_fuel
6) fish_inputdif_repairs
7) fish_inputdif_labour
8) fish_inputdif_other 
9)fish_inputdif_dk
10) fish_inputdif_ref</t>
  </si>
  <si>
    <t>1-10 = fish_salesmain</t>
  </si>
  <si>
    <t>resp_age = 18-100
hh_agricactivity = 1| 2 | 3 | 4
(income_main_fishcheck = 1) | (income_sec_fishcheck = 1) | (income_third_fishcheck = 1) 
quotareached = 2
fish_proddif_1 = 1
fish_proddif_2 = 4</t>
  </si>
  <si>
    <t>F. FISHERIES MARKETING</t>
  </si>
  <si>
    <t>fish_salesmain</t>
  </si>
  <si>
    <t>Ihove dzakaita sei idzo mhuri yenyu yakanyanya kutengesa mumwedzi 3 yapfuura?
[ARI KUITISA ONGORORO: MHINDURO IMWE CHETE.]
1)Hove nyoro [chero mhando - kusanganisira dzine musana]
2)Hove dzakagadzirwa [kusanganisira dzakaomeswa/dzakapfungaidzwa/dzakaviriswa/dzakaiswa munyu]
3)Hove dzakaomeswa nechando
4)Hove dzemugaba
5)Dzimwewo [ratidza]
6)HANDIZIVI
7)ARAMBA</t>
  </si>
  <si>
    <t>Yiwuphi umhlobo wenhlanzi oyiwo othengiswa ngabomuzi wakho kunyanga ezintathu ezidlulileyo?
[OQHUBAYO: IMPENDULO EYODWA.]
1)Inhlanzi ezintsha [loba yiwuphi umhlobo -kugoqela ezilamathambo]
2)Inhlanzi ezigciniweyo [kugoqela ezonyisiweyo/ezitshisiweyo/ ezixhwathisweyo/ezifakwe isawudo]
3)Inhlanzi eziqandisiweyo
4)Inhlanzi ezigcinwa emagabheni
5)Okunye [caca]
6)KAZI
7)WALILE</t>
  </si>
  <si>
    <t>resp_age = 18-100
hh_agricactivity = 1 | 2 | 3 | 4
quotareached = 2
(income_main = 5 | income_sec = 5 | income_third = 5)</t>
  </si>
  <si>
    <t>fish_salesdif</t>
  </si>
  <si>
    <t>Has your household faced any significant difficulty marketing / selling your {fish_salesmain} in the last 3 months?
[OPERATOR: SINGLE RESPONSE]
1)YES
2)NO
3)DON'T KNOW
4)REFUSED</t>
  </si>
  <si>
    <t>Mhuri yenyu yakasangana nechero dambudziko guru here panyaya yekushambadza / kutengesa hove {fish_salesmain} mumwedzi 3 yapfuura?
[ARI KUITISA ONGORORO: MHINDURO IMWE CHETE.]
1)HONGU 
2)KWETE
3)HANDIZIVI
4)ARAMBA</t>
  </si>
  <si>
    <t>Kungabe abomuzi wakho bahlangana lobunzima ekuthengiseni inhlanzi zenu  {fish_salesmain} kunyanga ezintathu ezedluleyo?
[OQHUBAYO: IMPENDULO EYODWA.]
1)YEBO
2)HATSHI
3)KAZI
4)WALILE</t>
  </si>
  <si>
    <t>fish_salesdif_2</t>
  </si>
  <si>
    <t xml:space="preserve">fish_saledif_2
1) fish_saledif_marketing_cost
2) fish_saledif_damage_losses
3) fish_saledif_low_demand
4)fish_saledif_pay_delay
5) fish_saledif_low_prices
6) fish_saledif_processing
7) fish_saledif_competition
8) fish_saledif_other
9) fish_saledif_dk
10) fish_saledif_ref
</t>
  </si>
  <si>
    <t>Matambudziko api ayo mhuri yenyu yakatarisana nayo pakutengesa {fish_salesmain} mumwedzi 3 yapfuura?
[ARI KUITISA ONGORORO: PANOGONA KUPIWA MHINDURO DZAKAWANDA. SARUDZA MHIDZURO DZINONYATSOENDERANA NEZVATAURWA NEVARI KUPINDURA]
1)Mitengo yakakwira yekutakurisa zvinhu uye yekushambadzira
2)Kuparara uye kurasikirwa nekuda kwekushaya pekuchengetera uye/kana kuti kutadza kusvika kumusika [somuenzaniso nekuda kwekusachengeteka/zvivakwa zvisina kunaka/ nezvakada kudaro]
3)Vagara vaisimbotitengera havachatengi
4)Kunonoka kubhadharwa nevatengi
5)Kuderera kwemitengo yekutengesa nayo [somuenzaniso kana zvichienzaniswa newekutenga nawo / kupera simba kwemari]
6)Kutadza kugadzira zvinhu [kushomeka kwezvokushandisa pakugadzira zvinhu / michina / nezvakada kudaro]
7)Kuzarisa kwezvinhu mumusika
8)Zvimwewo
9)HANDIZIVI
10)ARAMBA</t>
  </si>
  <si>
    <t>Yibuphi ubunzima abomuzi wakho abahlangana labo kunyanga ezintathu ezidlulileyo ekuthengiseni {fish_salesmain}?
[OQHUBAYO: IMPENDULO EZINENGI ZINGAKHETHWA. KHETHA IMPENDULO EZIFANELE ULWAZI OLUTHOLISWE NGOMAPHENDULA]
1)Indleko zezokuhambisa kumbe ezinye zezokuthengisa
2)Ukwehla kanye lokulahlekelwa ngenxa yobunzima bokugcinisa kumbe ukuphuza kumbe ukungenelisi ukufinyelela indawo zokuthengisela.
3)Ukuswelakala kokudingakala kuphuma kubathengisi/abathengi abajwayelekileyo
4)Ukuphuza ukubhadala kwabathengisi/abathengi
5)Intengo zokuthengisa eziphansi [isibonelo. kuqathaniswa lentengo zokusetshenziswa ukulungisa/ukwehla kwesisindo semali]
6)Ubunzima bokulungisa impahla [ukuswelakala kwendlela zokufinyelela okusetshenziswayo/imitshina/lokunye]
7)Indawo zokuthengisela zigcwele impahla
8)Okunye
9)KAZI
10)WALILE</t>
  </si>
  <si>
    <t>1) fish_saledif_marketing_cost
2) fish_saledif_damage_losses
3) fish_saledif_low_demand
4)fish_saledif_pay_delay
5) fish_saledif_low_prices
6) fish_saledif_processing
7) fish_saledif_competition
8) fish_saledif_other
9) fish_saledif_dk
10) fish_saledif_ref</t>
  </si>
  <si>
    <t>1-10 = fish_salesprice</t>
  </si>
  <si>
    <t>resp_age = 18-100
hh_agricactivity = 1 | 2 | 3 | 4
quotareached = 2
(income_main = 5 | income_sec = 5 | income_third = 5)
fish_salesdif_1 = 1</t>
  </si>
  <si>
    <t>Change in option 2</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</si>
  <si>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</si>
  <si>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</si>
  <si>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Mutengo uripo we {fish_salesmain} uyo mhuri yenyu yakatengesa nawo uri sei kana muchienzanisa nevamaiwanzotengesa nawo munguva/goho rakafanana mugore apo zvinhu zvainge zvakanaka?  
[ARI KUITISA ONGORORO: MHINDURO IMWE CHETE. SIMBISIRA KUTI CHAKATENGESWA ZVAKANYANYA.]
1)Wakawedzera zvikuru [wakakwira nezvikamu 50 kubva muzana]
2)Wakawedzera zvishoma
3)Hauna kuchinja
4)Wakadzika zvishoma
5)Wakadzika zvikuru [zviri pasi zvikuru nechidimbu]
6)HANDIZIVI
7)ARAMBA</t>
  </si>
  <si>
    <t xml:space="preserve"> Intengo yakathesi yomuzi wakho ye {fish_salesmain} iqathaniseka njani lentengo ephakathi ngesikhathi esifanayo sokuthiya ngomnyaka ojwayelekileyo?
[OQHUBAYO: IMPENDULO EYODWA. GXILA KUMPAHLA EYIYO EKHULUNYIWEYO.]
1)Kakhulu [ikhuphuke ngenani eledluala amaphesenti angu50%]
2)Kakhulu mbijana
3)Ngokufanana
4)Kancane mbijana
5)Kancane mbijana [Ngokulutshwana okwedlula ingxenye]
6)KAZI
7)WALILE</t>
  </si>
  <si>
    <t>1-7 =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</si>
  <si>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</si>
  <si>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</si>
  <si>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1)NEXT</t>
  </si>
  <si>
    <t>Parizvino ndave kuda kukubvunza pamusoro pekudyiwa kwezvekudya, kushandiswa kwezvekudya uye nzira dzekurarama nadzo munguva dzakaoma. Ivai nechokwadi chekuti muri kutaura zvakaitika panguva chaiyo pachikamu chimwe nechimwe chemibvunzo. Chikamu chekutanga chemibvunzo chiri pamusoro pezvavakasangana nazvo kana kuti zvakasangana nachero wemumhuri menyu mukati memazuva 30 apfuura. 
1)ENDERERA MBERI</t>
  </si>
  <si>
    <t>Kathesi sizakubuza imbuzo mayelana lezokudla, ukusetshenziswa kokudla kanye lendlela zokubhekana. Qiniseka ukuthi ukhulume ngesikhathi esiqondileyo ngemibuzo ethile. Imbuzo yakuqala itsho lokho owadlula kikho lamalunga omuzi wakho kumalanga angu-30 adlulileyo. 
1)QHUBEKA</t>
  </si>
  <si>
    <t>1 =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</si>
  <si>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</si>
  <si>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</si>
  <si>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</si>
  <si>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Mukati memazuva 30 apfuura, pane nguva here apo iwe kana mumwe wemumhuri menyu akanetseka nekuti ashaya zvekudya zvakakwana nekuda kwekushaya mari kana zvimwe zvekushandisa?
[ARI KUITISA ONGORORO: MHINDURO IMWE CHETE.]
1)HONGU 
2)KWETE
3)HANDIZIVI
4)ARAMBA</t>
  </si>
  <si>
    <t>Kumalanga angu-30 adlulileyo, kwake kwaba lesikhathi lapho wena kumbe abanye endlini yakho abakhathazeka ngokungabi lokudla okwaneleyo ngenxa yokuswela imali kumbe ezinye insizakusebenza?
[OQHUBAYO: IMPENDULO EYODWA.]
1)YEBO
2)HATSHI
3)KAZI
4)WALILE</t>
  </si>
  <si>
    <t>1-4 = fies_healthy</t>
  </si>
  <si>
    <t>fies_healthy</t>
  </si>
  <si>
    <t>During the last 30 days, was there a time when you or others in your household were unable to eat healthy and nutritious food because of lack of money or other resources?
[OPERATOR: SINGLE RESPONSE]
1)YES
2)NO
3)DON'T KNOW
4)REFUSED</t>
  </si>
  <si>
    <t>Mukati memazuva 30 apfuura, pane nguva here apo iwe kana mumwe wemumhuri menyu akatadza kudya zvekudya zvinopa utano nekuda  kwekushaya mari kana zvimwe zvekushandisa?
[ARI KUITISA ONGORORO: MHINDURO IMWE CHETE.]
1)HONGU 
2)KWETE
3)HANDIZIVI
4)ARAMBA</t>
  </si>
  <si>
    <t>Kumalanga angu-30 adlulileyo, kwake kwaba lesikhathi lapho wena kumbe abanye bendlini yakho ababengenelisi ukudla okwakha umzimba ngenxa yokuswela imali kumbe ezinye insizakusebenza?
[OQHUBAYO: IMPENDULO EYODWA.]
1)YEBO
2)HATSHI
3)KAZI
4)WALILE</t>
  </si>
  <si>
    <t>1-4 = fies_fewfoods</t>
  </si>
  <si>
    <t>fies_fewfoods</t>
  </si>
  <si>
    <t>During the last 30 days, was there a time when you or others in your household ate only a few kinds of foods because of lack of money or other resources?
[OPERATOR: SINGLE RESPONSE]
1)YES
2)NO
3)DON'T KNOW
4)REFUSED</t>
  </si>
  <si>
    <t>Mukati memazuva 30 apfuura, pane nguva here apo iwe kana mumwe wemumhuri menyu akadya mhando shomanana dzezvekudya nekuda  kwekushaya mari kana zvimwe zvekushandisa?
[ARI KUITISA ONGORORO: MHINDURO IMWE CHETE.]
1)HONGU 
2)KWETE
3)HANDIZIVI
4)ARAMBA</t>
  </si>
  <si>
    <t>Kumalanga angu-30 adlulileyo, kwake kwaba lesikhathi lapho wena kumbe abanye endlini yakho abadla imihlobo emilutshwana yokudla ngenxa yokuswela imali kumbe ezinye insizakusebenza?
[OQHUBAYO: IMPENDULO EYODWA.]
1)YEBO
2)HATSHI
3)KAZI
4)WALILE</t>
  </si>
  <si>
    <t>1-4 = fies_skipped</t>
  </si>
  <si>
    <t>fies_skipped</t>
  </si>
  <si>
    <t>During the last 30 days, was there a time when you or others in your household had to skip a meal because of lack of money or other resources to get food?
[OPERATOR: SINGLE RESPONSE]
1)YES
2)NO
3)DON'T KNOW
4)REFUSED</t>
  </si>
  <si>
    <t>Mukati memazuva 30 apfuura, pane nguva here apo iwe kana mumwe wemumhuri menyu asina kudya panguva yaaifanira kudya nekuda  kwekushaya mari kana zvimwe zvekushandisa?
[ARI KUITISA ONGORORO: MHINDURO IMWE CHETE.]
1)HONGU 
2)KWETE
3)HANDIZIVI
4)ARAMBA</t>
  </si>
  <si>
    <t>Kumalanga angu-30 adlulileyo, kwake kwaba lesikhathi lapho wena kumbe abanye endlini yakho abeqisa ukudla ngenxa yokuswela imali kumbe ezinye insizakusebenza zokuthola ukudla?
[OQHUBAYO: IMPENDULO EYODWA.]
1)YEBO
2)HATSHI
3)KAZI
4)WALILE</t>
  </si>
  <si>
    <t>1-4 = fies_ateless</t>
  </si>
  <si>
    <t>fies_ateless</t>
  </si>
  <si>
    <t>During the last 30 days, was there a time when you or others in your household ate less than you thought you should because of lack of money or other resources?
[OPERATOR: SINGLE RESPONSE]
1)YES
2)NO
3)DON'T KNOW
4)REFUSED</t>
  </si>
  <si>
    <t>Mukati memazuva 30 apfuura, pane nguva here apo iwe kana mumwe wemumhuri menyu akadya zvekudya zvishoma kupfuura zvaaifunga kuti aifanira adya nekuda  kwekushaya mari kana zvimwe zvekushandisa
[ARI KUITISA ONGORORO: MHINDURO IMWE CHETE.]
1)HONGU 
2)KWETE
3)HANDIZIVI
4)ARAMBA</t>
  </si>
  <si>
    <t>Kumalanga angu-30 adlulileyo, kwake kwaba lesikhathi lapho wena kumbe abanye endlini yakho abadla okulutshwana kulalokho owawucabanga ukuthi kumele badle ngenxa yokuswela imali kumbe ezinye insizakusebenza?
[OQHUBAYO: IMPENDULO EYODWA.]
1)YEBO
2)HATSHI
3)KAZI
4)WALILE</t>
  </si>
  <si>
    <t>1-4 = fies_ranout</t>
  </si>
  <si>
    <t>fies_ranout</t>
  </si>
  <si>
    <t>In the past 30 days, was there ever no food to eat of any kind in your house because of lack of resources to get food?
[OPERATOR: SINGLE RESPONSE]
1)YES
2)NO
3)DON'T KNOW
4)REFUSED</t>
  </si>
  <si>
    <t>Mukati memazuva 30 apfuura, pakambove here nenguva apo paisambove nezvekudya chero zverudzi rwupi mumhuri yenyu nekuda  kwekushaya zvekushandisa kuti muwane zvekudya?
[ARI KUITISA ONGORORO: MHINDURO IMWE CHETE.]
1)HONGU 
2)KWETE
3)HANDIZIVI
4)ARAMBA</t>
  </si>
  <si>
    <t>Kumalanga angu-30 adlulileyo, kwake kwaswelakala ukudla kohlobo loba yiluphi endlini yakho ngenxa yokusweleka kwensizakusebenza zokuthola ukudla?
[OQHUBAYO: IMPENDULO EYODWA.]
1)YEBO
2)HATSHI
3)KAZI
4)WALILE</t>
  </si>
  <si>
    <t>1 = fies_ranout_hhs
2-4 = fies_hungry</t>
  </si>
  <si>
    <t>Change question text</t>
  </si>
  <si>
    <t>fies_ranout_hhs</t>
  </si>
  <si>
    <t>How often did this happen?
[OPERATOR: SINGLE RESPONSE]
1)Rarely [1-2 times in the past 30 days]
2)Sometimes [3-10 times in the past 30 days]
3)Often [more than 10 times in the last 30 days]
4)DON'T KNOW
5)REFUSED</t>
  </si>
  <si>
    <t>Izvi zvakaitika kakawanda sei?
[ARI KUITISA ONGORORO: MHINDURO IMWE CHETE.]
1)Kashoma zvikuru [kamwe chete kana kaviri mumazuva 30 apfuura]
2)Dzimwe nguva [katatu kusvika kukagumi mumazuva 30 apfuura]
3)Nguva zhinji [kanopfuura kagumi mumazuva 30 apfuura]
4)HANDIZIVI
5)ARAMBA</t>
  </si>
  <si>
    <t>Kwenzakala kangaki lokhu?
[OQHUBAYO: IMPENDULO EYODWA.]
1)Akuvamanga [kanye kumbe kabili kumalanga angu-30 adlulileyo]
2)Kwezinye izikhathi [kathathu kusiya kutshumi kumalanga angu-30 aldulileyo]
3)Ngezikhathi ezinengi [okwedlula izikhathi ezilitshumi kumalanga angu-30 adlulileyo]
4)KAZI
5)WALILE</t>
  </si>
  <si>
    <t xml:space="preserve">1-5 = fies_hungry </t>
  </si>
  <si>
    <t xml:space="preserve">resp_age = 18-100
hh_agricactivity = 1 | 2 | 3 | 4
quotareached = 2
fies_ranout = 1 </t>
  </si>
  <si>
    <t>Change options 1-3</t>
  </si>
  <si>
    <t>fies_hungry</t>
  </si>
  <si>
    <t>In the past 30 days, did you or any household member ever go to sleep at night hungry because there was not enough food?
[OPERATOR: SINGLE RESPONSE]
1)YES
2)NO
3)DON'T KNOW
4)REFUSED</t>
  </si>
  <si>
    <t>Mumazuva 30 apfuura, pane here apo iwe kana mumwe wemumhuri menyu akarara asina kudya nekuti paisava nezvokudya zvakakwana?
[ARI KUITISA ONGORORO: MHINDURO IMWE CHETE.]
1)HONGU 
2)KWETE
3)HANDIZIVI
4)ARAMBA</t>
  </si>
  <si>
    <t>Kumalanga angu-30 adlulileyo, kungabe wena kumbe ilunga lomuzi wakho lalala ebusuku lilambile ngoba kungela kudla okwaneleyo?
[OQHUBAYO: IMPENDULO EYODWA.]
1)YEBO
2)HATSHI
3)KAZI
4)WALILE</t>
  </si>
  <si>
    <t>1 = fies_hungry_hhs
2-4 = fies_whlday</t>
  </si>
  <si>
    <t>fies_hungry_hhs</t>
  </si>
  <si>
    <t>1-5 = fies_whlday</t>
  </si>
  <si>
    <t xml:space="preserve">resp_age = 18-100
hh_agricactivity = 1 | 2 | 3 | 4
quotareached = 2
fies_hungry = 1 </t>
  </si>
  <si>
    <t>fies_whlday</t>
  </si>
  <si>
    <t>In the past 30 days, did you or any household member ever go a whole day and night without eating anything at all because there was not enough food?
[OPERATOR: SINGLE RESPONSE]
1)YES
2)NO
3)DON'T KNOW
4)REFUSED</t>
  </si>
  <si>
    <t>Mumazuva 30 apfuura, pane here apo iwe kana mumwe wemumhuri menyu aswera zuva rose ndokurara asina kudya chero chinhu nekuti paisava nezvokudya zvakakwana?
[ARI KUITISA ONGORORO: MHINDURO IMWE CHETE.]
1)HONGU 
2)KWETE
3)HANDIZIVI
4)ARAMBA</t>
  </si>
  <si>
    <t>Kumalanga angu-30 adluleyo, kungabe wena kumbe elinye ilunga lomuzi wakho latshona ilanga lonke lingadlanga lutho ngoba kungela kudla okwaneleyo?
[OQHUBAYO: IMPENDULO EYODWA.]
1)YEBO
2)HATSHI
3)KAZI
4)WALILE</t>
  </si>
  <si>
    <t>1 = fies_whlday_hhs
2-4 = lcsi_intro</t>
  </si>
  <si>
    <t>fies_whlday_hhs</t>
  </si>
  <si>
    <t>1-5 = lcsi_intro</t>
  </si>
  <si>
    <t xml:space="preserve">resp_age = 18-100
hh_agricactivity = 1 | 2 | 3 | 4
quotareached = 2
fies_whlday = 1 </t>
  </si>
  <si>
    <t>lcsi_intro</t>
  </si>
  <si>
    <t>Now I would like to ask you another set of questions on coping strategies, referring to the past 30 days.
1)NEXT</t>
  </si>
  <si>
    <t>Parizvino ndave kuda kukubvunzai chimwe chikamu chemibvnzo chiri maringe nemazano amakashandisa pakurwisana nezvinetso, takanangana nemazuva 30 apfuura.
1)ENDERERA MBERI</t>
  </si>
  <si>
    <t>Kathesi ngizathanda ukukubuza imbuzo mayelana lamaqhinga okubhekana lezimo, ngisitsho kumalanga angamatshumi amathathu adluleyo.
1)QHUBEKA</t>
  </si>
  <si>
    <t>1 = cs_stress_hh_assets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</si>
  <si>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</si>
  <si>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</si>
  <si>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</si>
  <si>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</si>
  <si>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Mumazuva 30 apfuura, mumwe munhu ari mumhuri yenyu aitofanira here kutengesa mudziyo kana zvinhu zvemumba [redhiyo, fenicha, terevhizheni, zvishongo, nezvakada kudaro]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</si>
  <si>
    <t>Kumalanga angu-30 adlulileyo, kungabe omunye wendlini yakho wathengisa impahla zendlini [isigxingimazwi, umabonakude, ubucwebe, okunye] ngoba kungela kudla kumbe imali?
[OQHUBAYO: IMPENDULO EYODWA.]
1)Yebo
2)Hatshi - ngoba kwakungadingakali
3)Hatshi - ngoba wawusuvele suzithengisile impahla lezo kumbe wenza lokhu ngenyanga ezilitshumi lambili njalo kawusenelisi ukuqhubeka ukwenza
4)Akungeni
5)KAZI
6)WALILE</t>
  </si>
  <si>
    <t>1-6 = cs_stress_sold_more_animals</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</si>
  <si>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</si>
  <si>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</si>
  <si>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Mumazuva 30 apfuura, mumwe munhu ari mumhuri yenyu aitofanira kutengesa here zvipfuyo zvakawanda [zvisina basa] kupfuura zvinosiitwa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</si>
  <si>
    <t>Kumalanga angu-30 adlulileyo, kungabe kulomuntu endlini yakho owathengisa izifuyo ezinengi [ezingatholisi lutho] okwedlula injwayelo ngenxa yokuswela ukudla kumbe imali?
[OQHUBAYO: IMPENDULO EYODWA.]
1)Yebo
2)Hatshi - ngoba kwakungadingakali
3)Hatshi - ngoba wawusuvele suzithengisile impahla lezo kumbe wenza lokhu ngenyanga ezilitshumi lambili njalo kawusenelisi ukuqhubeka ukwenza
4)Akungeni
5)KAZI
6)WALILE</t>
  </si>
  <si>
    <t>1-6 = cs_stress_credit</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</si>
  <si>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</si>
  <si>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</si>
  <si>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Mumazuva 30 apfuura, mumwe munhu ari mumhuri yenyu aitofanira kutenga here zvekudya nechikwerete kana kukwereta zvekudya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</si>
  <si>
    <t>Kumalanga angu-30 adlulileyo, kungabe kulomuntu endlini yakho owathenga ukudla ngesikwelede kumbe waboleka ukudla ngenxa yokuswela ukudla kumbe imali?
[OQHUBAYO: IMPENDULO EYODWA.]
1)Yebo
2)Hatshi - ngoba kwakungadingakali
3)Hatshi - ngoba wawusuvele suzithengisile impahla lezo kumbe wenza lokhu ngenyanga ezilitshumi lambili njalo kawusenelisi ukuqhubeka ukwenza
4)Akungeni
5)KAZI
6)WALILE</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</si>
  <si>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</si>
  <si>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</si>
  <si>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</si>
  <si>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Mumazuva 30 apfuura, mumwe munhu ari mumhuri yenyu aitofanira here kukwereta mari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</si>
  <si>
    <t>Kumalanga angu-30 adlulileyo, kungabe kulomuntu wendlini yakho okwakumele aboleke imali ngenxa yokuswela ukudla kumbe imali?
[OQHUBAYO: IMPENDULO EYODWA.]
1)Yebo
2)Hatshi - ngoba kwakungadingakali
3)Hatshi - ngoba wawusuvele suzithengisile impahla lezo kumbe wenza lokhu ngenyanga ezilitshumi lambili njalo kawusenelisi ukuqhubeka ukwenza
4)Akungeni
5)KAZI
6)WALILE</t>
  </si>
  <si>
    <t>1-6 = cs_crisis_sold_prod_assets</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</si>
  <si>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</si>
  <si>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</si>
  <si>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Mumazuva 30 apfuura, mumwe munhu ari mumhuri yenyu aitofanira here kutengesa midziyo yebasa kana chekufambisa [michina yekusonesa, bhara, bhasikoro, mota, nezvakada kudaro]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</si>
  <si>
    <t>Kumalanga angu-30 adlulileyo, kungabe kulomuntu endlini yakho owathengisa impahla ezincedayo kumbe okokuhambisa [umtshina wokuthunga, ibhala, ibhayisikili, imota, okunye] ngenxa yokuswela ukudla kumbe imali?
[OQHUBAYO: IMPENDULO EYODWA.]
1)Yebo
2)Hatshi - ngoba kwakungadingakali
3)Hatshi - ngoba wawusuvele suzithengisile impahla lezo kumbe wenza lokhu ngenyanga ezilitshumi lambili njalo kawusenelisi ukuqhubeka ukwenza
4)Akungeni
5)KAZI
6)WALILE</t>
  </si>
  <si>
    <t>1-6 =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</si>
  <si>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</si>
  <si>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</si>
  <si>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Mumazuva 30 apfuura, mumwe munhu ari mumhuri yenyu aitofanira here kumbomisa vana kuti vasaende kuchikoro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</si>
  <si>
    <t>Kumalanga angu-30 adlulileyo, kungabe omunye endlini yakho wakhipha abantwana esikolo ngenxa yokuswela ukudla kumbe imali?
[OQHUBAYO: IMPENDULO EYODWA.]
1)Yebo
2)Hatshi - ngoba kwakungadingakali
3)Hatshi - ngoba wawusuvele suzithengisile impahla lezo kumbe wenza lokhu ngenyanga ezilitshumi lambili njalo kawusenelisi ukuqhubeka ukwenza
4)Akungeni
5)KAZI
6)WALILE</t>
  </si>
  <si>
    <t>cs_crisis_harv_immature_crops</t>
  </si>
  <si>
    <t>1-6 = cs_emergency_begged</t>
  </si>
  <si>
    <t>cs_crisis_decrease_input_exp</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</si>
  <si>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</si>
  <si>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</si>
  <si>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Mumazuva 30 apfuura, mumwe munhu ari mumhuri yenyu aitofanira here kupemha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</si>
  <si>
    <t>Kumalanga angu-30 adlulileyo, kungabe kulomuntu endlini yakho owacina secela ngenxa yokuswela ukudla kumbe imali?
[OQHUBAYO: IMPENDULO EYODWA.]
1)Yebo
2)Hatshi - ngoba kwakungadingakali
3)Hatshi - ngoba wawusuvele suzithengisile impahla lezo kumbe wenza lokhu ngenyanga ezilitshumi lambili njalo kawusenelisi ukuqhubeka ukwenza
4)Akungeni
5)KAZI
6)WALILE</t>
  </si>
  <si>
    <t>1-6 = cs_emergency_illegal</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</si>
  <si>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</si>
  <si>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</si>
  <si>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Mumazuva 30 apfuura, mumwe munhu ari mumhuri yenyu aitofanira here kuita mabasa isiri pamutemo kana anozvidzisa [kuba, hupfambi] nekuda kwekushaya zvekudya kana mari?
[ARI KUITISA ONGORORO: MHINDURO IMWE CHETE.]
1)Hongu
2)Kwete - nekuti paisava nechikonzero chekuti tidaro
3)Kwete - nekuti midziyo iyi yakatotengeswa nechekare kana kuti vakatoita izvi mumwedzi 12 yapfuura uye haungarambe uchizviita
4)Hazvishandi
5)HANDIZIVI
6)ARAMBA</t>
  </si>
  <si>
    <t>Kumalanga angu-30 adlulileyo, kungabe kulomuntu endlini yakho owacina seqhuba imisebenzi engekho emthethweni kumbe imisebenzi yokuthola imali eyehlisa isithunzi [ukutshontsha, ukuthengisa umzimba] ngenxa yokuswela ukudla kumbe imali?
[OQHUBAYO: IMPENDULO EYODWA.]
1)Yebo
2)Hatshi - ngoba kwakungadingakali
3)Hatshi - ngoba wawusuvele suzithengisile impahla lezo kumbe wenza lokhu ngenyanga ezilitshumi lambili njalo kawusenelisi ukuqhubeka ukwenza
4)Akungeni
5)KAZI
6)WALILE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</si>
  <si>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</si>
  <si>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</si>
  <si>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1-6 = hdds</t>
  </si>
  <si>
    <t>cs_emergency_hh_migration</t>
  </si>
  <si>
    <t>hdds</t>
  </si>
  <si>
    <t>hdds
1) hdds_cereals
2) hdds_rootstubers
3) hdds_vegetables
4) hdds_fruits
5) hdds_meat
6) hdds_eggs
7) hdds_fish
8) hdds_legumes
9) hdds_milkdairy
10) hdds_oils
11)hdds_sugar
12) hdds_condiments</t>
  </si>
  <si>
    <t>Okwamanje ngizathanda ukukubuza mayelana lomhlobo wesithathu wemibuzo mayelana lokudla ukudla, ngisitsho kumahola angamatshumi amabili lane ayizolo. Sicela uchaze ukudla konke wena kumbe lelinye ilunga lendlini elikudlileyo kumbe elikunathileyo endlini izolo [kumahola angamatshumi amabili lane ayizolo: okwekuseni, okwemini, okwantambama kanye lokuncane ukudla okokuhlafuhlafuna.]
[OQHUBAYO: KHETHA YONKE IMIHLOBO YOKUDLA EDLIWEYO KUMAHOLA ANGAMATSHUMI AMABILI LANE AYIZOLO NJENGOKUPHENDULA KUKAMAPHENDULA. IMPENDULO EZINENGI ZINGAKHETHWA]
1)Okulilambazi [amabele / uphoko / umumbu / ingqoloyi/ ilayisi / isinkwa kumbe okunye okulinywa lapho]
2)Okudliwa impande [imbambayila emhlphe /imbambayila / i-yam / i-cassava kumbe okunye okudliwa amajodo akhona]
3)Imibhida [yonke]
4)Izithelo [zonke]
5)Inyama [eyenkukhu lokwangaphakathi / inyama / eyengululube / eyembuzi / eyomvundla / ezingelwayo / inkukhu / idada / isibindi / izinswa / inhliziyo / kumbe enye inyama ]
6)Amaqanda
7)Inhlanzi ezilesikhumba esiqinileyo kumbe inhlanzi [ esanda kuthiywa kumbe eziwonyisiweyo]
8)Imihlobo yendumba kanye lamazambane [indumba / peas / amazambana / lentil / almond / lamanye amazambane]
9)Uchago lokunye ukudla okwenziwa ngochago [uchago olunathwayo/amasi/i-yogurt/ itshizi / lokunye okwenziwa ngochago]
10)Amafutha lokokuchochombisa [awokupheka / bhatha / i-majalini/ ngeminye imihlobo yamafutha]
11)Itshukela kumbe ukudla okunambithekayo [uluju / ijemu / dognuts / iziwiji / itshokholethi / amabhisikiti /okubhakwayo / amakhekhe kanye lokunye ukudla okunambithekayo]
12)Okokufaka ekudleni [cocoa /isawudo / i-garlic / okokwenza isitshebo sibe mnandi / okokukhukhumeza isinkwa / i-tomato sauce / tamatisi / inyama kumbe inhlanzi] kanye lekhofi / tiye</t>
  </si>
  <si>
    <t>Form Type - Checklist</t>
  </si>
  <si>
    <t>1) hdds_cereals
2) hdds_rootstubers
3) hdds_vegetables
4) hdds_fruits
5) hdds_meat
6) hdds_eggs
7) hdds_fish
8) hdds_legumes
9) hdds_milkdairy
10) hdds_oils
11)hdds_sugar
12) hdds_condiments</t>
  </si>
  <si>
    <t>1-12 =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</si>
  <si>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</si>
  <si>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</si>
  <si>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[ARI KUITISA ONGORORO: YEUKA KUBVUNZISISA NEZVE ZVOKUTSENGERERA-TSENGERERA, ZVEKUDYA ZVINOPIWA VANA KANA VAKADZI VAKAZVITAKURA, ZVEKUBIKISA MUZVEKUDYA ZVAKASANGANISWA. PAKUPEDZISIRA, BVUNZISISA NEZVE ZVIMWE ZVIKWATA ZVEZVOKUDYA ZVISINA KUTAURWA. 
KANA WATOBVUNZA NECHEKARE, DZVANYA PAKANZI ENDERERA MBERI. KANA ZVISINA KUDARO, DZOKERA KUMASHURE OVA NECHOKWADI KUTI ZVEKUDYA ZVOSE ZVKADYIWA MUMAAWA 24 NEZURO ZVASARUDZWA.]
1)ENDERERA MBERI</t>
  </si>
  <si>
    <t xml:space="preserve"> OQHUBAYO: KHUMBULA UKUDINGISISA NGAMA-SNACKS, UKUDLA OKUKHETHEKILEYOOKUPHIWA ABANTWANA KUMBE ABAFAZI ABAZITHWELEYO, OKOKUDLA OKUHLANGANISIWEYO. EKUCINENI, DINGISISA  AMAQEMBU OKUDLA ANGAKHULUNYWANGA.
NXA USUVELE WADINGISISA, FITHIZELA QHUBEKA. KUNGASENJALO, BUYELA EMUVA UKUYAQINISEKA UKUTHI IMIHLOBO YONKE YAMAQEMBU OKUDLA ADLIWE KUMAHOLA ANGU 24 ADLULILEYO AYIZOLO AKHETHIWE]
1)QHUBEKA</t>
  </si>
  <si>
    <t>1 = fcs_intro</t>
  </si>
  <si>
    <t>fcs_intro</t>
  </si>
  <si>
    <t xml:space="preserve">Now I would like to ask you about the foods and drinks your household ate or drank in the last 7 days during the day and at night [breakfast, lunch, dinner, snacks]
1)CONTINUE
</t>
  </si>
  <si>
    <t>Parizvino ndave kuda kukubvunza nezve zvokudya nezvokumwa izvo mhuri yenyu yakadya kana kunwa mumazuva 7 apfuura munguva dzemasikati uye manheru [zvekudya zvekuseni, zvekudya zvemasikati, zvekudya zvemanheru, zvekutsengerera-tsengerera]
1)ENDERERA MBERI</t>
  </si>
  <si>
    <t xml:space="preserve">Kathesi ngizathanda ukubuza mayelana lezokudla lezokunatha abomuzi wakho abakudlileyo kumbe abakunathileyo kumalanga angu7 adluleyo phakathi kwelanga lantambama [ukudla kwekuseni, emini, lokwakusihlwa, okohlafuhlafuna]
1)QHUBEKA
</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</si>
  <si>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</si>
  <si>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</si>
  <si>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</si>
  <si>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</si>
  <si>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Mazuva mangani pamazuva 7 apfuura, apo nhengo dzemhuri yenyu dzakadya zvekudya zvinopa simba, nezvinoberekerwa muvhu zvakadai semupunga , chibage, pasta, chingwa, mhunga, zviyo, mbatatisi, yamu, kasavha, mbambaira?
[ARI KUITISA ONGORORO: NYORA PASI KUTI MAZUVA MANGANI KUBVA PA-0 KUSVIKA PA-7]
[ZANO: KANA ZVAKADYIWA ZVINGORI MUHUSHOMA, USAZVIISE.]</t>
  </si>
  <si>
    <t>Ngamalanga amangaki kumalanga angu 7 adluleyo, amalunga omuzi wakho adla khona isitatshi, okuzipande okufana lelayisi, umumbu, isinkwa, i-pasta, amabele, uphoko, amagwili, i-yam, i-cassava, lembambayila emhlophe?
[OQHUBAYO: BHALA INANI LAMALANGA 0-7]
[ICEBO: NXA KUDLIWA KULINANI ELINCANE, UNGAGOQELI.]</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</si>
  <si>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</si>
  <si>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</si>
  <si>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</si>
  <si>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</si>
  <si>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Mazuva mangani pamazuva 7 apfuura, apo nhengo dzemhuri yenyu dzakadya zvakaita sebhinzi uye nzungu zvakadai sebhinzi, lentils, cowpeas, soyabhinzi, pigion peas uye nzungu nezvakada kudaro?
[ARI KUITISA ONGORORO: NYORA PASI KUTI MAZUVA MANGANI KUBVA PA-0 KUSVIKA PA-7]
[ZANO: KANA ZVAKADYIWA ZVINGORI MUHUSHOMA, USAZVIISE.]</t>
  </si>
  <si>
    <t>Ngamalanga amangaki kumalanga angu 7 adluleyo lapho amalunga omuzi wakho adla khona okuhlutshwayo lamazambane okufana lendumba, lentili, cowpeas, soybean, pigeon peas lamazambane kumbe eminye imihlobo yamazambane?
[OQHUBAYO: BHALA INANI LAMALANGA 0-7]
[ICEBO: NXA KUDLIWA KULINANI ELINCANE, UNGAGOQELI.]</t>
  </si>
  <si>
    <t>0-7 = fcs_vegetables_days</t>
  </si>
  <si>
    <t>fcs_vegetables_days</t>
  </si>
  <si>
    <t>How many days over the last 7 days, did members of your household eat vegetables or leaves such as Tsunga, Okra and/or other leaves/vegetables?
[OPERATOR: RECORD NUMBER OF DAYS 0 - 7]
[HINT: IF CONSUMED ONLY IN SMALL QUANTITY, DO NOT INCLUDE.]</t>
  </si>
  <si>
    <t>Mazuva mangani mumazuva 7 apfuura, apo nhengo dzemhuri yenyu dzakadya miriwo kana mamwe mashizha akadai seTsunga, Derere uye/kana kuti mamwe mashizha/miriwo?
[ARI KUITISA ONGORORO: NYORA PASI KUTI MAZUVA MANGANI KUBVA PA-0 KUSVIKA PA-7]
[ZANO: KANA ZVAKADYIWA ZVINGORI MUHUSHOMA, USAZVIISE.]</t>
  </si>
  <si>
    <t>Ngamalanga amangaki kumalanga adluleyo ayisikhombisa, lapho amalunga omuzi wakho adle ezemibhida kumbe ezamahlamvu ezifana leTsunga, Idelele lentanga/kumbe okunye okungamahlamvu?
[OQHUBAYO: BHALA INANI LAMALANGA 0-7]
[ICEBO: NXA KUDLIWA KULINANI ELINCANE, UNGAGOQELI.]</t>
  </si>
  <si>
    <t>0-7 = fcs_fruit_days</t>
  </si>
  <si>
    <t>For any response, go to fcs_fruit_days</t>
  </si>
  <si>
    <t>fcs_fruit_days</t>
  </si>
  <si>
    <t>How many days over the last 7 days, did members of your household eat fruit such as Mazhanje (Wild Loquat), Masau and/or other fruits?
[OPERATOR: RECORD NUMBER OF DAYS 0 - 7]
[HINT: IF CONSUMED ONLY IN SMALL QUANTITY, DO NOT INCLUDE.]</t>
  </si>
  <si>
    <t>Mazuva mangani mumazuva 7 apfuura, apo nhengo dzemhuri yenyu dzakadya michero yakadai seMazhanje (Wild Loquat), Masau uye/ kana kuti mimwe michero?
[ARI KUITISA ONGORORO: NYORA PASI KUTI MAZUVA MANGANI KUBVA PA-0 KUSVIKA PA-7]
[ZANO: KANA ZVAKADYIWA ZVINGORI MUHUSHOMA, USAZVIISE.]</t>
  </si>
  <si>
    <t>Ngamalanga amangaki kumalanga ayisikhombisa adluleyo, lapho amalunga omuzi wakho adle isithelo esifana laMazhanje (Wild Loquat), Masau kanye/kumbe ezinye izithelo?
[OQHUBAYO: BHALA INANI LAMALANGA 0-7]
[ICEBO: NXA KUDLIWA KULINANI ELINCANE, UNGAGOQELI.]</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</si>
  <si>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</si>
  <si>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</si>
  <si>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</si>
  <si>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</si>
  <si>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Mazuva mangani pamazuva 7 apfuura, apo nhengo dzemhuri yenyu dzakadya nyama, mazai kana kuti hove [chero mhando yenyama kana hove kusanganisira tupukanana, shiri, nyama yemusango, kudya kunowanikwa mumvura, kana dzimwewo nhengo]?
[ARI KUITISA ONGORORO: NYORA PASI KUTI MAZUVA MANGANI KUBVA PA-0 KUSVIKA PA-7]
[ZANO: KANA ZVAKADYIWA ZVINGORI MUHUSHOMA, USAZVIISE.]</t>
  </si>
  <si>
    <t>Ngamalanga amangaki kumalanga angu 7 adluleyo, lapho amalunga emuli yakho adla inyama, amaqanda, kumbe inhlanzi [zohlobo loba luphi lwenyama kumbe inhlanzi lugoqela izibungu, inyoni, inyama yeganga, okuhlala kulwandle, kumbe izitho]?
[OQHUBAYO: BHALA INANI LAMALANGA 0-7]
[ICEBO: NXA KUDLIWA KULINANI ELINCANE, UNGAGOQELI.]</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</si>
  <si>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</si>
  <si>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</si>
  <si>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</si>
  <si>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</si>
  <si>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 xml:space="preserve">Mazuva mangani pamazuva 7 apfuura, apo nhengo dzemhuri yenyu dzakadya mukaka mutete, mukaka wakakora, yogati, chizi, kana kumwe kudya kunogadzirwa nemukaka? [Kusiya kwemajarini/bhata kana twumukaka twushoma twetiyi/kofi]
[ARI KUITISA ONGORORO: NYORA PASI KUTI MAZUVA MANGANI KUBVA PA-0 KUSVIKA PA-7]
[ZANO: KANA ZVAKADYIWA ZVINGORI MUHUSHOMA, USAZVIISE.]
</t>
  </si>
  <si>
    <t>Ngamalanga amangaki kumalanga angu 7 adluleyo, lapho amalunga emuli yakho adla kona uchago olungaphekwanga, amasi, iyogathi, itshizi kumbe okunye okuphuma ezifuyweni okuluchago? [Kungakhangelwa i-majalini/ bhatha kumbe itiye/ ikhofi encane]
[OQHUBAYO: BHALA INANI LAMALANGA 0-7]
[ICEBO: NXA KUDLIWA KULINANI ELINCANE, UNGAGOQELI.]</t>
  </si>
  <si>
    <t>0-7 = fcs_sugar_days</t>
  </si>
  <si>
    <t>For any response, go to fcs_sugar_days</t>
  </si>
  <si>
    <t>fcs_sugar_days</t>
  </si>
  <si>
    <t>Mazuva mangani pamazuva 7 apfuura, apo nhengo dzemhuri yenyu dzakadya tsvigiri kana zvekudya zvinotapira zvakadai setsvigiri, huchi, jamu, makeke, zvekubheka nezvimwe zviwitsi uye zvimwiwa zvinotapira?
[ARI KUITISA ONGORORO: NYORA PASI KUTI MAZUVA MANGANI KUBVA PA-0 KUSVIKA PA-7]
[ZANO: KANA ZVAKADYIWA ZVINGORI MUHUSHOMA, USAZVIISE.]</t>
  </si>
  <si>
    <t>Ngamalanga amangaki kumalanga angu 7 adluleyo, lapho amalunga omuzi wakho adla khona itshukela kumbe okunambithekayo okufana letshukela, uluju, ijemu,iziwiji, amakhekhe, amabhisikiti, okubhakwayo, amakhekhe kanye lokunathwayo okunambithekayo?
[OQHUBAYO: BHALA INANI LAMALANGA 0-7]
[ICEBO: NXA KUDLIWA KULINANI ELINCANE, UNGAGOQELI.]</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</si>
  <si>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</si>
  <si>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</si>
  <si>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</si>
  <si>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</si>
  <si>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Ngamalanga amangaki kumalanga angu 7 adluleyo, lapho amalunga omuzi wakho adla khona amafutha/ibhatha okufana lamafutha athengwayo, ipalm oil, amafutha amazambane, majalini / lokunye okungamafutha?
[OQHUBAYO: BHALA INANI LAMALANGA 0-7]
[ICEBO: NXA KUDLIWA KULINANI ELINCANE, UNGAGOQELI.]</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</si>
  <si>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</si>
  <si>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</si>
  <si>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</si>
  <si>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
[HINT: IF CONSUMED ONLY IN SMALL QUANTITY, DO NOT INCLUDE.]</t>
  </si>
  <si>
    <t>Mazuva mangani mumazuva 7 apfuura, apo nhengo dzemhuri yenyu dzakadya zvekudya zvakadai setiyi, kofi, kokoa, munyu, gariki, zvekukaringisa, mbiriso, nyama kana hove sezvekukaringisa kana kuti zvikamu zvishoma zvemukaka wetiyi kana kofi?
[ARI KUITISA ONGORORO: NYORA PASI KUTI MAZUVA MANGANI KUBVA PA-0 KUSVIKA PA-7]
[ZANO: KANA ZVAKADYIWA ZVINGORI MUHUSHOMA, USAZVIISE.]</t>
  </si>
  <si>
    <t>Ngamalanga amangaki kumalanga ayisikhombisa adluleyo, lapho amalunga omuzi wakho adle ama-spice kumbe okufakwa ekudleni okufana letiye, ikhofi, icocoa, sawudo, galikhi, i-spice, okokukhukhumeza isinkwa, inyama inhlanzi kulabilisa ukudla kumbe uchago oluncane etiyeni kumbe ekhofini?
[OQHUBAYO: BHALA INANI LAMALANGA 0-7]
[ICEBO: NXA KUDLIWA KULINANI ELINCANE, UNGAGOQELI.]</t>
  </si>
  <si>
    <t>0-7 = rcsi_intro</t>
  </si>
  <si>
    <t>rcsi_intro</t>
  </si>
  <si>
    <t>Now I will ask you about the number of days, in the last 7 days, during which the household has done some of the actions that I will mention to cope with the lack of food or money to buy food.
1)CONTINUE</t>
  </si>
  <si>
    <t>Parizvino ndichakubvunza nezvehuwandu hwemazuva, mumazuva 7 apfuura, umo mhuri yenyu yakaita zvimwe zvezvandichataura kuti igadzirise dambudziko rekushaya zvekudya kana mari yekutenga zvekudya.
1)ENDERERA MBERI</t>
  </si>
  <si>
    <t>Okwamanje ngizakubuza mayelana lokuthi malanga amangaki, kumalanga angu 7 adluleyo, lapho abomuzi bakho bakwenza okuthile engizalitshelayo ukuze libhekane lesimo sokuswelakala kokudla kumbe imali yokuthenga ukudla.
1)QHUBEKA</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</si>
  <si>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</si>
  <si>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</si>
  <si>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</si>
  <si>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</si>
  <si>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Mumazuva 7 apfuura, mazuva mangani apo mhuri yenyu yakararama nezvekudya zvisinganyanyi kudiwa kana kuti zvakachipa nekuda kwekushaya zvekudya kana mari?  
[ARI KUITISA ONGORORO: NYORA PASI KUTI MAZUVA MANGANI KUBVA PA-0 KUSVIKA PA-7]</t>
  </si>
  <si>
    <t>Ngamalanga amangaki kumalanga angu7 adluleyo, lapho abomuzi wakho abathembela ekudleni abangakukhethiyo kumbe okungaduli kakhulu ngenxa yokuswela ukudla/imali?   
[OQHUBAYO: BHALA INANI LAMALANGA 0-7]</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</si>
  <si>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</si>
  <si>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</si>
  <si>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</si>
  <si>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</si>
  <si>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Mumazuva 7 apfuura, mazuva mangani apo mhuri yenyu yakakwereta zvekudya kana kuti kupiwa rubatsiro neshamwari kana hama nekuda kwekushaya zvekudya kana mari? 
[ARI KUITISA ONGORORO: NYORA PASI KUTI MAZUVA MANGANI KUBVA PA-0 KUSVIKA PA-7]</t>
  </si>
  <si>
    <t>Kumalanga angu7 adluleyo,ngamalanga amangaki lapho abomuzi wakho ababoleka khona ukudla, kumbe bethembele ekuncedweni ngumngane kumbe isihlobo ngenxa yokuswela ukudla kumbe imali yokuthenga ukudla?
[OQHUBAYO: BHALA INANI LAMALANGA 0-7]</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</si>
  <si>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</si>
  <si>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</si>
  <si>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</si>
  <si>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</si>
  <si>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Mumazuva 7 apfuura, mazuva mangani apo mhuri yenyu yakaderedza nguva dzaifanira kudyiwa pazuva nekuda kwekushaya zvekudya kana mari?
[ARI KUITISA ONGORORO: NYORA PASI KUTI MAZUVA MANGANI KUBVA PA-0 KUSVIKA PA-7]</t>
  </si>
  <si>
    <t>Kumalanga angu7 adluleyo,ngamalanga amangaki lapho abomuzi wakho abehlisa khona inani lokudla okudliwa ngelanga ngenxa yokuswela ukudla kumbe imali yokuthenga ukudla?
[OQHUBAYO: BHALA INANI LAMALANGA 0-7]</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</si>
  <si>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</si>
  <si>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</si>
  <si>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</si>
  <si>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</si>
  <si>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Mumazuva 7 apfuura, mazuva mangani apo mhuri yenyu yakadzikisa huwandu zvezvekudya panguva yekudya nekuda kwekushaya zvekudya kana mari?
[ARI KUITISA ONGORORO: NYORA PASI KUTI MAZUVA MANGANI KUBVA PA-0 KUSVIKA PA-7]</t>
  </si>
  <si>
    <t>Kumalanga angu7 adluleyo,ngamalanga amangaki lapho abomuzi wakho abehlisa ubunengi bokudla ngesikhathi sokudla ngenxa yokuswela ukudla kumbe imali yokuthenga ukudla?
[OQHUBAYO: BHALA INANI LAMALANGA 0-7]</t>
  </si>
  <si>
    <t>0-7 = rcsi_restrict_adult_consumpt</t>
  </si>
  <si>
    <t>rcsi_restrict_adult_consumpt</t>
  </si>
  <si>
    <t>rcsi_restrict_adult_consumption</t>
  </si>
  <si>
    <t>In the past 7 days, how many days did your household restrict consumption by adults so children could eat, due to lack of food or money to buy food?
[OPERATOR: RECORD NUMBER OF DAYS 0 - 7 ]</t>
  </si>
  <si>
    <t>Mumazuva 7 apfuura, mazuva mangani apo mhuri yenyu yakati vakuru vambomira kudya kuitira kuti vana vadye nekuda kwekushaya zvekudya kana mari?
[ARI KUITISA ONGORORO: NYORA PASI KUTI MAZUVA MANGANI KUBVA PA-0 KUSVIKA PA-7]</t>
  </si>
  <si>
    <t>Kumalanga angu7 adluleyo,ngamalanga amangaki lapho abomuzi wakho abadala abangadlanga khona abantwana bayadla ngenxa yokuswela ukudla kumbe imali yokuthenga ukudla?
[OQHUBAYO: BHALA INANI LAMALANGA 0-7]</t>
  </si>
  <si>
    <t>0-7 = need</t>
  </si>
  <si>
    <t>H. NEEDS ASSISTANCE</t>
  </si>
  <si>
    <t>need</t>
  </si>
  <si>
    <t>Does your household need assistance for agricultural activities [including crop, livestock and fisheries/aquaculture activities] over the next 3 to 6 months?
[OPERATOR: SINGLE RESPONSE.]
1)YES
2)NO
3)DON'T KNOW
4)REFUSED</t>
  </si>
  <si>
    <t>Mhuri yenyu ingada here rubatsiro mumwedzi 3 kusvika ku6 inotevera mumabasa ekurima [kusanganisira zvirimwa, kupfuya zvipfuyo uye hove/mabasa ekuchengeta hove]?
[ARI KUITISA ONGORORO: MHINDURO IMWE CHETE.]
1)HONGU 
2)KWETE
3)HANDIZIVI
4)ARAMBA</t>
  </si>
  <si>
    <t>Kungabe umuzi wakho udinga uncedo kwezemisebenzi yokulima [kugoqela imisebenzi yezilimo, izifuyo kanye lezenhlanzi/okuhlala emanzini] kunyanga ezintathu kusiya kweziyisithupha ezizayo?
[OQHUBAYO: IMPENDULO EYODWA.]
1)YEBO
2)HATSHI
3)KAZI
4)WALILE</t>
  </si>
  <si>
    <t>1 = need_2
2-4=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</si>
  <si>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</si>
  <si>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</si>
  <si>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Ndezvipi izvo mhuri yenyu inganyanya kuda kubatsirwa mumabasa ekurima mumwedzi 3 kusvika ku6 inotevera [kusanganisira zvirimwa, kupfuya zvipfuyo uye hove/mabasa ekuchengeta hove]?
[ARI KUITISA ONGORORO: MHINDURO DZAKAWANDA. USAVERENGA MHINDURO KANA ZVICHIITA.]
1)Zvekudya
2)Mari
3)Mavhocha kana kuti kuratidzirwa zvinhu zvekushandisa nevatengesi
4)Zvekushandisa pazvirimwa uye/kana kuti pakurima miriwo [somuenzaniso mbeu/fetereza/maturusi]
5)Zvivakwa zvemabasa ekurima zvirimwa/kana miriwio [somuenzaniso madiridziro/kugadziriswa kwemigero/mapambu]
6)Kudzidziswa uye kupiwa ruzivo rwekushandisa michina/mazano pakurima zvirimwa
7)Chikafu chezvipfuyo [zvekudya kana zvekuwedzeresa hutano hwezvipfuyo]
8)Zvine chokuita nehutano hwezvipfuyo [somuenzaniso kubayisa majekiseni/kudhibhisa/kuuraya mahwemusi]
9)Zvivakwa zvemabasa ekupfuya zvipfuyo [somuenzaniso pekumwira mvura/mikoto yekuendesa kumafuro/matanga/nzvimbo dzezveutano]
10)Kudzidziswa uye kupiwa ruzivo rwekushandisa michina/mazano pakupfuya zvipfuyo
11)Zvekushandisa pakuredza kana kuti kuchengeta hove
12)Zvivakwa zvemabasa ekuchengeta hove [somuenzaniso kugadziriswa kwemapoti/mapondi]
13)Kudzidziswa uye kupiwa ruzivo rwekushandisa michina/mazano pakuchengeta hove
14)Kugadziriswa kwemunharaunda uye kwezvivakwa [mudunhu rose]
15)Nzvimbo dzekuchengetera nyama dzinotonhora
16)Kubatsirwa pakushambadza kana kuti kutengesa [somuenzaniso kutengesera hurumende]
17)Zvimwewo [ratidza]
18)HANDIZIVI
19)ARAMBA</t>
  </si>
  <si>
    <t>Yikuphi okudingakala kakhulu emuzini wakho okwemisebenzi yezokulima [kugoqela imisebenzi yezilimo/izifuyo kanye lezenhlanzi/okuhlala emanzini] kunyanga ezintathu kusiya kweziyisithupha ezizayo?
[OQHUBAYO: IMPENDULO EZINENGI. UNGABALELI PHEZULU IMPENDULO NXA KUSENZA]
1)Ukudla
2)Imali
3)Ama-voucher kumbe inhlelo zokuthengiselana izinto zokusebenzisa
4)Okusetshenziswa ukulima izilimo kanye lokulima ezemibhida [isibonelo. inhlanyelo/ifethalayiza/amathuluzi]
5)Izakhiwo zokulima izilimo kanye/kumbe ezemibhida [isibonelo. ukuthelela/ukulungiswa kwezimpompi/impompi zokupompa amanzi]
6)Ulwazi lokufundiswa ukusebenzisa imitshina/izicebiso zokulima izilimo
7)Ukudla kwezifuyo [utshani kumbe okunye okuncedisayo okokudla]
8)Uncedo lokwelatshwa kwezifuyo [isibonelo. ukuhlatshiswa/ukudijiswa/ukukhitshwa amawemusi]
9)Izakhiwo zezifuyo [isibonelo. indawo zamanzi/indawo zamadlelo ezikhatshana/izibaya/indawo zezempilakahle]
10)Ulwazi lokufundiswa ukusebenzisa imitshina/izicebiso zokulima izilimo
11)Okusetshenzisa ukufuya inhlanzi kumbe okuhlala emanzini
12)Izakhiwo zezenhlanzi kumbe ukulungiswa kwalokho okuhlala emanzini [isibonelo. ukulungisiswa  kwemkhumbi/ukulungiswa kwendawo zokugcinela inhlanzi]
13)Ulwazi lokufundiswa ukusebenzisa imitshina/izicebiso zezokuthiya kumbe ezihlala emanzini
14)Ukulungisiswa kwemvelo kumbe izakhiwo [umphakathi wonke]
15)Indawo zokugcinela eziqandelelayo
16)Usekelo lokwazisa kumbe lokuthengisa [isibonelo. kwezomphakathi lehulumende]
17)Okunye [caca]
18)KAZI
19)WALILE</t>
  </si>
  <si>
    <t>Form Type - Checklist
18,19  = IsNone</t>
  </si>
  <si>
    <t>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</si>
  <si>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1-19 = need_received</t>
  </si>
  <si>
    <t>resp_age = 18-100
hh_agricactivity = 1 | 2 | 3 | 4
quotareached = 2
need = 1</t>
  </si>
  <si>
    <t>Answer option #21, 22 (col 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</si>
  <si>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</si>
  <si>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</si>
  <si>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READ OUT ANSWER OPTIONS. MULTIPLE RESPONSE POSSIBLE.]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</si>
  <si>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Mhuri yenyu yakawana here chero rubatsiro mumwedzi 3 yapfuura, uye kana yakawana, rwaiva rwei?
[ARI KUITISA ONGORORO: VERENGA MHINDURO DZIRIPO. MHINDURO DZAKAWANDA DZINOGONA KUPIWA.]
1)Zvekudya
2)Mari
3)Mavhocha/kuratidzirwa zvinhu zvekushandisa nevatengesi
4)Rubatsiro pakurima zvirimwa uye/kana kuti miriwo
5)Rubatsiro rwezvipfuyo
6)Rubatsiro pakuredza hove uye/kana kuti kuchengeta hove
7)Kugadziriswa kwemunharaunda uye kwezvivakwa [mudunhu rose]
8)Kubatsirwa pakushambadza kana kuti kutengesa [somuenzaniso kutengesera hurumende]
9)Zvimwewo [ratidza]
10)Hapana rubatsiro rwatakawana
11)HANDIZIVI
12)ARAMBA</t>
  </si>
  <si>
    <t>Kungabe abomuzi wakho bamukela uncedo kunyanga ezintathu ezidlulileyo, nxa kunjalo, ngolunjani?
[OQHUBAYO: BALELA PHEZULU IMPENDULOIMPENDULO EZINENGI EZINGAKHETHWA. ]
1)Ukudla
2)Imali
3)Ama-voucher kumbe inhlelo zokuthengiselana izinto zokusebenzisa
4)Uncedo lokulima izilimo kanye/kumbe ezemibhida
5)Uncedo kwezezifuyo
6)Uncedo kwezokuthiya inhlanzi kanye/kumbe uncedo kwezezilimo zamanzi
7)Ukulungisiswa kwemvelo kumbe izakhiwo [umphakathi wonke]
8)Usekelo lokwazisa kumbe ukuthengisa [isibonelo; kumphakathi]
9)Okunye [caca]
10)Akula ncedo olwamukelwayo
11)KAZI
12)WALILE</t>
  </si>
  <si>
    <t>Form Type - Checklist
10,11,12 = IsNone</t>
  </si>
  <si>
    <t>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</si>
  <si>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1-9 = assistance_quality
10-12 = callback</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</si>
  <si>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</si>
  <si>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</si>
  <si>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Makagutsikana here nekunaka kwerubatsiro rwamakapiwa? 
[ARI KUITISA ONGORORO: MHINDUURO IMWE CHHETE. KUNAKA KWERUBATSIRO PANYAYA YEKUTI RUBATSIRO RWAINGE RWAKAKWANA PAKUKUNDA MATAMBUDZIKO PAMABASA EKURIMA KANA EKUTENGESA.]
1)Hongu
2)Kwete - haruna kupiwa nenguva
3)Kwete - hapana zvarakabatsira
4)Kwete - rwaive rwushoma
5)Kwete - paive nedambudziko neaibatsira
6)Kwete - zvakabatsirwa nazvo zvaisashanda zvakanaka [somuenzaniso michina yemhando yepasi]
7)HANDIZIVI
8)ARAMBA</t>
  </si>
  <si>
    <t>Usuthisekile ngezinga loncedo olutholisiweyo? 
[OQHUBAYO: IMPENDULO EYODWA. IZINGA LONCEDO NXA KUKHANGELWA UNCEDO OLWANELEYO EKULUNGISENI UBUNZIMA BEZOKULIMA KUMBE BEZOKUTHENGISA OKUMELE BUQEDWE.]
1)Yebo
2)Hatshi - akwamukelwanga ngesikhathi
3)Hatshi - akuhlanganyelananga lezidingo zami
4)Hatshi- ubunengi kade bungeneli
5)Hatshi -bekulohlupho lomatholisa
6)Hatshi -kube lokuphambaniseka lohlobo loncedo olutholisiweyo [isibonelo. amathulizi ezinga eliphansi]
7)KAZI
8)WALILE</t>
  </si>
  <si>
    <t>1-8 = assistance_provider</t>
  </si>
  <si>
    <t xml:space="preserve">new question </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</si>
  <si>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</si>
  <si>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</si>
  <si>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</si>
  <si>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Ndiani akapa mhuri yenyu rubatsiro urwu?
[ARI KUITISA ONGORORO: MHINDURO DZAKAWANDA.]
1)FAO
2)WFP
3)Mamwe maajenzi eUN
4)Hurumende
5)Masangano akazvimirira ega/masangano emunharaunda
6)HANDIZIVI
7)ARAMBA</t>
  </si>
  <si>
    <t>Ngubani otholise umuzi wakho uncedo lolu?
[OQHUBAYO: IMPENDULO EZINENGI.]
1)i-FAO
2)i-WFP
3)Ezinye inhlanganiso zeUN
4)Uhulumende
5)Inhlanganiso ezizimeleyo/inhlanganiso zalapho
6)KAZI
7)WALILE</t>
  </si>
  <si>
    <t>Form Type - Checklist
6,7 = IsNone</t>
  </si>
  <si>
    <t>1) assistance_fao
2) assistance_wfp
3) assistance_otherun
4) assistance_gov
5) assistance_ngo
6) assistance_dk
7) assistance_ref</t>
  </si>
  <si>
    <t>1-7 = callback</t>
  </si>
  <si>
    <t>I. CLOSING</t>
  </si>
  <si>
    <t>callback</t>
  </si>
  <si>
    <t>Your answers will help us to understand and respond to your community needs. May we call you back again in a few months?
[OPERATOR: SINGLE RESPONSE.]
1)YES
2)NO</t>
  </si>
  <si>
    <t>Mhinduro dzenyu dzinotibatsira kuti tinzwisise uye tipe rubatsiro pane zviri kudiwa nevagari vemunzvimbo yenyu. Tinokwania here kuzokufonerai mumwedzi mishoma inotevera?
[ARI KUITISA ONGORORO: MHINDURO IMWE CHETE.]
1)HONGU 
2)KWETE</t>
  </si>
  <si>
    <t>Impendulo zakho zizasinceda ukuthi sizwisise lokuphendula izidingo zomphakathi wakho. Singakutshayela ucingo futhi ngenyanga ezimbalwa ezizayo?
[OQHUBAYO: IMPENDULO EYODWA.]
1)YEBO
2)HATSHI</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</si>
  <si>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</si>
  <si>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</si>
  <si>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</si>
  <si>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Pahurukuro dzeramangwana, izuva ripi kana mazuva andinogona kuzokufonerai?
[ARI KUITISA ONGORORO: PANOGONA KUPIWA MHINDURO DZAKAWANDA.]
1)Muvhuro
2)Chipiri
3)Chitatu
4)China
5)Chishanu
6)Mugovera
7)Svondo</t>
  </si>
  <si>
    <t>Kungxoxo kwelakusasa, ngokutshayela ucingo ngaliphi ilanga kumbe amalanga?
[OQHUBAYO: IMPENDULO EZINENGI ZINGAPHIWA.]
1)Ngomvulo
2)Ngolwesibili
3)Ngolwesithathu
4)Ngolwesine
5)Ngolwesine
6)Ngomgqibelo
7)Ngesonto</t>
  </si>
  <si>
    <t>1) future_int_day_mon
2) future_int_day_tues
3) future_int_day_wed
4) future_int_day_thurs
5) future_int_day_fri
6) future_int_day_sat
7) future_int_day_sun</t>
  </si>
  <si>
    <t>1-7 = future_int_time</t>
  </si>
  <si>
    <t>future_int_time</t>
  </si>
  <si>
    <t>future_int_time_ 
1) future_int_time_morn
2) future_int_time_aft
3) future_int_time_eve</t>
  </si>
  <si>
    <t>For future interviews, at what time[s] can I call you?
[OPERATOR: MULTIPLE ANSWERS POSSIBLE.]
1)Mornings
2)Afternoons
3)Evenings</t>
  </si>
  <si>
    <t>Pahurukuro dzeramangwana, inguva dzipi dzandinogona kuzokufonerai?
[ARI KUITISA ONGORORO: PANOGONA KUPIWA MHINDURO DZAKAWANDA.]
1)Mangwanani
2)Masikati
3)Manheru</t>
  </si>
  <si>
    <t>Kungxoxo kwelakusasa, ngikufonele sikhathi bani kumbe ngaziphi izikhathi?
[OQHUBAYO: IMPENDULO EZINENGI ZINGAPHIWA.]
1)Ekuseni
2)Emini
3)Ntambama</t>
  </si>
  <si>
    <t>1) future_int_time_morn
2) future_int_time_aft
3) future_int_time_eve</t>
  </si>
  <si>
    <t>language2</t>
  </si>
  <si>
    <t>Select the language that was mostly used to complete the interview.
[OPERATOR: SINGLE RESPONSE.]
1)English
2)Shona
3)Ndebele</t>
  </si>
  <si>
    <t>1-3 = closeout</t>
  </si>
  <si>
    <t>closeout</t>
  </si>
  <si>
    <t>Thank you for your time. The interview has come to an end. You will receive your #TOPUP# airtime credit on this phone within the next 2 days.</t>
  </si>
  <si>
    <t>End poll callback</t>
  </si>
  <si>
    <t>Call back set</t>
  </si>
  <si>
    <t>CallBack-Introduction</t>
  </si>
  <si>
    <t>Introduction</t>
  </si>
  <si>
    <t>CallBack-Confirmation</t>
  </si>
  <si>
    <t>Confirmation</t>
  </si>
  <si>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</si>
  <si>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</si>
  <si>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</si>
  <si>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</si>
  <si>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</si>
  <si>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</si>
  <si>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</si>
  <si>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</si>
  <si>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</si>
  <si>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hh_wealth_water</t>
  </si>
  <si>
    <t>hh_wealth_toilet</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</si>
  <si>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</si>
  <si>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</si>
  <si>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</si>
  <si>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</si>
  <si>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</si>
  <si>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</si>
  <si>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</si>
  <si>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</si>
  <si>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</si>
  <si>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</si>
  <si>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</si>
  <si>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</si>
  <si>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</si>
  <si>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</si>
  <si>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</si>
  <si>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</si>
  <si>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</si>
  <si>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</si>
  <si>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</si>
  <si>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</si>
  <si>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</si>
  <si>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</si>
  <si>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</si>
  <si>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</si>
  <si>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</si>
  <si>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</si>
  <si>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</si>
  <si>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</si>
  <si>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</si>
  <si>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</si>
  <si>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cs_stress_spent_savings</t>
  </si>
  <si>
    <t>cs_crisis_sold_productive_asset</t>
  </si>
  <si>
    <t>cs_crisis_reduced_health_exp</t>
  </si>
  <si>
    <t>cs_crisis_consumed_seed_stocks</t>
  </si>
  <si>
    <t>cs_emergency_sold_house</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</si>
  <si>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</si>
  <si>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</si>
  <si>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</si>
  <si>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</si>
  <si>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</si>
  <si>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</si>
  <si>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</si>
  <si>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</si>
  <si>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</si>
  <si>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</si>
  <si>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</si>
  <si>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</si>
  <si>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</si>
  <si>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</si>
  <si>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</si>
  <si>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</si>
  <si>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</si>
  <si>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</si>
  <si>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</si>
  <si>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</si>
  <si>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</si>
  <si>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</si>
  <si>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</si>
  <si>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</si>
  <si>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</si>
  <si>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</si>
  <si>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</si>
  <si>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</si>
  <si>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</si>
  <si>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</si>
  <si>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</si>
  <si>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</si>
  <si>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</si>
  <si>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</si>
  <si>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</si>
  <si>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</si>
  <si>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</si>
  <si>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</si>
  <si>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</si>
  <si>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</si>
  <si>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</si>
  <si>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</si>
  <si>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</si>
  <si>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</si>
  <si>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</si>
  <si>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</si>
  <si>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</si>
  <si>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</si>
  <si>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</si>
  <si>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</si>
  <si>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</si>
  <si>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</si>
  <si>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</si>
  <si>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</si>
  <si>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</si>
  <si>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</si>
  <si>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</si>
  <si>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</si>
  <si>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</si>
  <si>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</si>
  <si>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</si>
  <si>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</si>
  <si>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</si>
  <si>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</si>
  <si>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</si>
  <si>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</si>
  <si>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</si>
  <si>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cs_stress_borrowed_or_helped</t>
  </si>
  <si>
    <t>reasonsmigration</t>
  </si>
  <si>
    <t>need_received_agent</t>
  </si>
  <si>
    <t>crp_area_change_covid19</t>
  </si>
  <si>
    <t>ls_proddif_2_covid19</t>
  </si>
  <si>
    <t>Kana mhuri yakakanganiswa nenjodzi huru ichangobva kuitika sezvakaratidzwa muongororo ino [somuenzaniso, kudengenyeka kwenyika], mumashoko enyu pachenyu, zvakava nemugumisiro yei [yakatooneka kare kana kuti ari kutarisirwa kuitika] kumhuri yenyu?
[ARI KUITISA ONGORORO: NYORA PASI MUMASHOKO MASHOMA MUGUMISIRO MUKURU WENJODZI DZICHANGOBVA KUITIKA. ISA 88 KANA ASINGAZIVE UYE 99 KANA ARAMBA.]</t>
  </si>
  <si>
    <t>Nxa umuzi waphanjaniswa yikubhidlizeka okukhulu njengoba kuveziwe ekuhlolweni lokhu [njengesibonelo, ukuzamazama komhlaba], kuyini oku [okuvele kutshengisiwe kumbe okukhangelelweyo] impumela emuzini wakho, ngamazwi akho?
[OQHUBAYO: BHALA NGAMAZWI AMAFITSHANE IMPUMELO EYIYO YOKUBHIDLIZEKA OKWENZAKALE EMADUZANENI. FAKA 88 NXA ENGAZI KANYE LO 99 NXA EYALILE.]</t>
  </si>
  <si>
    <r>
      <t>1-</t>
    </r>
    <r>
      <rPr>
        <b/>
        <sz val="14"/>
        <rFont val="Calibri"/>
        <family val="2"/>
        <scheme val="minor"/>
      </rPr>
      <t>7</t>
    </r>
    <r>
      <rPr>
        <sz val="14"/>
        <rFont val="Calibri"/>
        <family val="2"/>
        <scheme val="minor"/>
      </rPr>
      <t xml:space="preserve"> = hh_size</t>
    </r>
  </si>
  <si>
    <t>Gore rapera,  makarasikirwa nechikamu chakakura zvakadii chegoho renyu re {crp_main} nekuda [kwezvipembenene, kuora, kupindwa nehunyoro, nezvakada kudaro] pashure pekunge makohwa?
[ARI KUITISA ONGORORO: MHINDURO IMWE CHETE.]
1)Hapana
2)Zvishomanana
3)Chikamu chakakura - asi chiri pasi pehafu
4)Chikamu chikuru [chinosvika hafu kana kupfuura]
5)Chinenge chose zvacho 
6)Chose
7)HANDIZIVI
8)ARAMBA</t>
  </si>
  <si>
    <t>Kumnyaka ophelileyo, ngokunganani { crp_main} okugciniweyo okwalahlekayo [ngokudliwa yizibungu, ukubola, ukukhunta, lokunye], ngemva kokuvuna?
[OQHUBAYO: IMPENDULO EYODWA.]
1)Akula
2)Okulutshwana
3)Ingxenye ebalulekileyo- kodwa okulutshwana kulengxenye
4)Inengi lakho [ ingxenye kumbe okwedlulayo]
5)Okuphose kube konke
6)Konke
7)KAZI
8)WALILE</t>
  </si>
  <si>
    <t>Kunze kwe {crp_main}, munorima here chimwe chirimwa uye kana zvakadaro munorima chirimwa chipi?
[ARI KUITISA ONGORORO: MHINDURO YEKUTI "Hapana chimwe chirimwa" IRI NECHEKWEKUPEDZISIRA KWEMHINDURO DZIRIPO. SARUDZA ZVIRIMWA ZVOSE ZVATAURWA NEARI KUPINDURA.]
1)Hapana zvimwe zvirimwa
2)HANDIZIVI
3)ARAMBA</t>
  </si>
  <si>
    <t>Ungabe ulima ezinye izilimo ngaphandle kwe {crp_main}, njalo nxa kunjalo yiziphi?
[OQHUBAYO: "Akula ezinye izilimo" UKHANYA EKUCINENI KWEMPENDULO EZIKHONA. KHETHA ZONKE IZILIMO EZIQANJWE NGUMAPHENDULA.]
1)Akula ezinye izilimo
2)KAZI
3)WALILE</t>
  </si>
  <si>
    <t>Mumazuva 30 apfuura, pane here wemunhuri yenyu aifanira kutengesa zvipfuyo zvinobereka nekuda kwekuti zvekudya kana kuti mari yaive shoma?
[ARI KUITISA ONGORORO: MHINDURO IMWE CHETE]
1)Hongu
2)Kwete - nekuti paisava nechikonzero chekudaro
3)Kwete - nekuti makatotengesa kare midziyo iyoyo kana kuti makatoita izvi mumwedzi 12 yapfuura uye hamungarambi muchizviita
4)Hazvishandi kwandiri
5)HANDIZIVI 
6)ARAMBA</t>
  </si>
  <si>
    <t>Kumalanga ngamatshumi amathathu adluleyo, kungabe omunye emuzini wakho kwakumele athengise izifuyo zakho ezinsikazi zokucina ngenxa yokuswela ukudla kumbe imali?
[OQHUBAYO: IMPENDULO EYODWA]
1)Yebo
2)Hatshi - ngoba kwakungadingakali
3)Hatshi - ngoba wawusuvele uthengisile lezo mphahla kumbe sukwenzile lokhu kunyanga ezilitshumi lambili njalo awungeke waqhubeka ukwenza lokhu
4)Akungeni
5)KAZI
6)WALILE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</si>
  <si>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</si>
  <si>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Original</t>
  </si>
  <si>
    <t>Replacement</t>
  </si>
  <si>
    <t>Comment</t>
  </si>
  <si>
    <t>Examples</t>
  </si>
  <si>
    <t>ADMIN1</t>
  </si>
  <si>
    <t>Province</t>
  </si>
  <si>
    <t>The first subdivision of the country, after national level; region; province; governorate; etc.</t>
  </si>
  <si>
    <t>region</t>
  </si>
  <si>
    <t>ADMIN2</t>
  </si>
  <si>
    <t>The second subdivision of the country; district; municipality; LGA; etc.</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</si>
  <si>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</si>
  <si>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</si>
  <si>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</si>
  <si>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</si>
  <si>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</si>
  <si>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Ongoing</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</si>
  <si>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</si>
  <si>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</si>
  <si>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</si>
  <si>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Harvesting</t>
  </si>
  <si>
    <t>local measurement unit</t>
  </si>
  <si>
    <t>Jeribs</t>
  </si>
  <si>
    <t>local measurement unit conversion</t>
  </si>
  <si>
    <t>currency</t>
  </si>
  <si>
    <t>USD</t>
  </si>
  <si>
    <t xml:space="preserve">The name of the main currency used nationally; USD; Naira; Rial; Pesos; etc. </t>
  </si>
  <si>
    <t>Naira</t>
  </si>
  <si>
    <t>MIN AMOUNT</t>
  </si>
  <si>
    <t>MAX AMOUNT</t>
  </si>
  <si>
    <t>THRESHOLD</t>
  </si>
  <si>
    <t>local vegetables</t>
  </si>
  <si>
    <t>Tsunga, Okra</t>
  </si>
  <si>
    <t>Input some common local vegetables [to be used as examples in the food consumption score indicator].</t>
  </si>
  <si>
    <t>eggplants, zucchini, cauliflower</t>
  </si>
  <si>
    <t>local fruits</t>
  </si>
  <si>
    <t>Mazhanje (Wild Loquat), Masau</t>
  </si>
  <si>
    <t>Input some common local fruits [to be used as examples in the food consumption score indicator].</t>
  </si>
  <si>
    <t>apples, bananas, oranges</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</si>
  <si>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</si>
  <si>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</si>
  <si>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</si>
  <si>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</si>
  <si>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</si>
  <si>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</si>
  <si>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Select top 10 crops </t>
  </si>
  <si>
    <t>GeoPoll code</t>
  </si>
  <si>
    <t>Dataset code</t>
  </si>
  <si>
    <t>Label (EN)</t>
  </si>
  <si>
    <t>1.1</t>
  </si>
  <si>
    <t>Rice</t>
  </si>
  <si>
    <t>1.2</t>
  </si>
  <si>
    <t>Wheat</t>
  </si>
  <si>
    <t>x</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</si>
  <si>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</si>
  <si>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</si>
  <si>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</si>
  <si>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</si>
  <si>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</si>
  <si>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</si>
  <si>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</si>
  <si>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</si>
  <si>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</si>
  <si>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</si>
  <si>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</si>
  <si>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</si>
  <si>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</si>
  <si>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</si>
  <si>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</si>
  <si>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</si>
  <si>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</si>
  <si>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</si>
  <si>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</si>
  <si>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</si>
  <si>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</si>
  <si>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</si>
  <si>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</si>
  <si>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</si>
  <si>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</si>
  <si>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</si>
  <si>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</si>
  <si>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</si>
  <si>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</si>
  <si>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</si>
  <si>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</si>
  <si>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</si>
  <si>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</si>
  <si>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</si>
  <si>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</si>
  <si>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</si>
  <si>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</si>
  <si>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</si>
  <si>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</si>
  <si>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</si>
  <si>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</si>
  <si>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</si>
  <si>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</si>
  <si>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</si>
  <si>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</si>
  <si>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</si>
  <si>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</si>
  <si>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</si>
  <si>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</si>
  <si>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</si>
  <si>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</si>
  <si>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</si>
  <si>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</si>
  <si>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</si>
  <si>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</si>
  <si>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</si>
  <si>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</si>
  <si>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</si>
  <si>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</si>
  <si>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</si>
  <si>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</si>
  <si>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</si>
  <si>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</si>
  <si>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</si>
  <si>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</si>
  <si>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</si>
  <si>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</si>
  <si>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</si>
  <si>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</si>
  <si>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</si>
  <si>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</si>
  <si>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</si>
  <si>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</si>
  <si>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</si>
  <si>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</si>
  <si>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</si>
  <si>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</si>
  <si>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</si>
  <si>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</si>
  <si>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</si>
  <si>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</si>
  <si>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</si>
  <si>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</si>
  <si>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</si>
  <si>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</si>
  <si>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</si>
  <si>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</si>
  <si>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</si>
  <si>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</si>
  <si>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</si>
  <si>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</si>
  <si>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</si>
  <si>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</si>
  <si>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</si>
  <si>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</si>
  <si>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</si>
  <si>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</si>
  <si>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</si>
  <si>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</si>
  <si>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</si>
  <si>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</si>
  <si>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</si>
  <si>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</si>
  <si>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</si>
  <si>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</si>
  <si>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</si>
  <si>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</si>
  <si>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</si>
  <si>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</si>
  <si>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</si>
  <si>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</si>
  <si>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</si>
  <si>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</si>
  <si>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</si>
  <si>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</si>
  <si>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</si>
  <si>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</si>
  <si>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</si>
  <si>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</si>
  <si>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</si>
  <si>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</si>
  <si>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</si>
  <si>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</si>
  <si>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</si>
  <si>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</si>
  <si>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</si>
  <si>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</si>
  <si>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</si>
  <si>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</si>
  <si>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</si>
  <si>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</si>
  <si>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</si>
  <si>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</si>
  <si>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</si>
  <si>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</si>
  <si>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</si>
  <si>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</si>
  <si>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</si>
  <si>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</si>
  <si>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</si>
  <si>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</si>
  <si>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</si>
  <si>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</si>
  <si>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</si>
  <si>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</si>
  <si>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</si>
  <si>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</si>
  <si>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</si>
  <si>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</si>
  <si>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</si>
  <si>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</si>
  <si>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</si>
  <si>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</si>
  <si>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</si>
  <si>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</si>
  <si>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</si>
  <si>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</si>
  <si>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</si>
  <si>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</si>
  <si>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</si>
  <si>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</si>
  <si>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</si>
  <si>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</si>
  <si>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</si>
  <si>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</si>
  <si>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</si>
  <si>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</si>
  <si>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</si>
  <si>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</si>
  <si>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</si>
  <si>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</si>
  <si>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</si>
  <si>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</si>
  <si>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</si>
  <si>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</si>
  <si>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</si>
  <si>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Set the amount of incentive here, if any.
MB: Remove highlighted and strikedthrough sentence</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</si>
  <si>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</si>
  <si>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Distrct</t>
  </si>
  <si>
    <t>Planting</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</si>
  <si>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</si>
  <si>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</si>
  <si>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</si>
  <si>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</si>
  <si>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</si>
  <si>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</si>
  <si>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</si>
  <si>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 xml:space="preserve">FILL OUT FOR QUESTIONNAIRE DURATION ESTIMATION    </t>
    </r>
    <r>
      <rPr>
        <sz val="12"/>
        <color theme="0"/>
        <rFont val="Calibri"/>
        <family val="2"/>
        <scheme val="minor"/>
      </rPr>
      <t>.</t>
    </r>
  </si>
  <si>
    <t>1-9 = hh_maritalstat</t>
  </si>
  <si>
    <t>Hove kana kuti zvinogadzirwa nehove zvamunotengesa ndimi munozviita here kana kuti zvinoitwa nemumwe munhu ari mumhuri menyu?
[ARI KUITISA ONGORORO: MHINDURO IMWE CHETE.]
1)HONGU 
2)KWETE
3)HANDIZIVI
4)ARAMBA</t>
  </si>
  <si>
    <t>Inhlanzi /okwenziwa ngenhlanzi okuthengisayo nguwe okwenzayo yini kumbe kwenziwa ngomunye osemuzini wakho?
[OQHUBAYO: IMPENDULO EYODWA.]
1)YEBO  
2)HATSHI
3)KAZI
4)WALILE</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</si>
  <si>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</si>
  <si>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Mari yakawanikwa nemhuri kubva kwamunonyanya kuwana mari {income_main} yakachinja here mukati memwedzi 3 yapfuura kana muchienzanisa neyamunowana mugore rinenge rakanaka?
[ARI KUITISA ONGORORO: MHINDURO IMWE CHETE.]
1)Yakawedzera zvikuru [yakawedzera nechikamu chinopfuura 50 muzana]
2)Yakawedzera zvishoma
3)Yakangofanana
4)Yakadzikira zvishoma
5)Yakadzikira zvikuru [iri pasi zvikuru pechidimbu]
6)HANDIZIVI
7)ARAMBA</t>
  </si>
  <si>
    <t>Kungabe imali etholwa ngabomuzi wakho {income_main} yatshintsha kunyanga ezintathu ezidlulileyo nxa kuqathaniswa lasikhathi esifanayo ngomnyaka ojwayelekileyo?
[OQHUBAYO: IMPENDULO EYODWA.]
1)Kanengi kakhulu [yengezeleka ngokunengi kulamaphesenti angu- 50%]
2)Kanengi mbijana
3)ngokufanana
4)Kancane mbijana
5)Kancane kakhulu [ngokulutshwana okwedlula ingxenye yakho]
6)KAZI
7)WALILE</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</si>
  <si>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</si>
  <si>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</si>
  <si>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1-27 = hh_explanation</t>
  </si>
  <si>
    <t>1-18 = crp_storage</t>
  </si>
  <si>
    <t>1-90 = crp_salesdif
91-93 = ls_intro</t>
  </si>
  <si>
    <t>1-9 = ls_num_lastyr
10-11 = ls_proddif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</si>
  <si>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</si>
  <si>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Munowanzowana kupi chikafu che {ls_main} dzenyu?   
[ARI KUITISA ONGORORO: PANOGONA KUPIWA MHINDURO DZAKAWANDA.]
1)Mafuro everuzhinji
2)Nzvimbo yemafuro emunharaunda inotarisirwa
3)Nzvimbo ine muridzi kana kuti yekurenda kana chikafu chezvipfuyo chekuzvigadzirira wega
4)Kutenga chikafu chezvipfuyo kumusika
5)Kupiwa mahara
6)Zvimwewo
7)HANDIZIVI
8)ARAMBA</t>
  </si>
  <si>
    <t>Wandise ukuthola ngaphi ukudla kwe {ls_main}yakho?  
[OQHUBAYO: IMPENDULO EZINENGI ZINGAPHIWA.]
1)Amadlelo kazulu wonke
2)Umhlabathi wamadlelo ophathwa ngumphakathi 
3)Amasimu alomnikazi kumbe abhadalelwayo kumbe ukudla kwezifuyo abazilungisela khona
4)Ukuthenga ukudla kumbe ukudla kwezifuyo emakethe
5)Ukuphiwa mahala
6)Okunye
7)KAZI
8)WALILE</t>
  </si>
  <si>
    <t>1-11 = ls_salesdif
12-13 = fish_intro</t>
  </si>
  <si>
    <t>Yibuphi ubunzima abomuzi wakho abahlangana labo ekuthiyeni kanye/kumbe ekugoleni inhlanzi kunyanga ezintathu ezedluleyo?
[OQHUBAYO: IMPENDULO EZINENGI ZINGAKHETHWA. KHETHA IMPENDULO EFANELE ULWAZI OLUTHOLISWA NGOMAPHENDULA.]
1)]Inhlanzi zinzima ukuthola nxa kukhangelwa kuminyaka edlulileyo ngesikhathi esifanayo [ukuthiya inhlanzi]
2)Izibungwana lemikhuhlane yenhlanzi
3)Ukufinyelela indawo zokuthiya kumbe ezenhlanzi lezilimo zamanzi [isibonelo- ngenxa yomkhathi kumbe ukuphepha]
4)Ukufinyelela ifuweli [intengo ziphezulu kumbe kayitholakali]
5)Ukufinyelela ezinye izinto zokuthiya inhlanzi kumbe ezokuthiya [intengo iphezulu kumbe kakutholakali]
6)Ukufinyelela izisebenzi [intengo ziphezulu kumbe abatholakali]
7)Ukubhidlizwa kumbe ukubulawa kwezakhiwo [amachibi/amakheji/indawo zokufikela]
8)Ukubhidlizeka lokubulawa kwezikepe kumbe okusetshenziswa ezikepeni
9)Okunye
10)KAZI
11)WALILE</t>
  </si>
  <si>
    <t>1-5 = fish_salesdif
6-7 = fies_intro</t>
  </si>
  <si>
    <t>1 = fish_salesdif_2
2-4 = fish_salesprice</t>
  </si>
  <si>
    <t>1-6 = cs_emergency_sold_last_female</t>
  </si>
  <si>
    <t>Sicela usazise isizatho sakho SOKWALA ukuqhuba incwayisiso.
[OQHUBAYO: IMPENDULO EYODWA]
1)Kangithakazeleli
2)Kangifuni ukurekhodwa
3)Okunye [caca]</t>
  </si>
  <si>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</si>
  <si>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</si>
  <si>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1-2 = resp_id
3-4 = Ineligible</t>
  </si>
  <si>
    <t>1-4 = hh_fish
5-6 = Ineligible</t>
  </si>
  <si>
    <t>1-9 = o_crp_fertilizer_availability</t>
  </si>
  <si>
    <t>1)crp_fert_market
2)crp_fert_company
3)crp_fert_ngo
4)crp_fert_organized_community
5)crp_fert_gov
6)crp_fert_relatives_friends
7)crp_fert_other
8)crp_fert_dk
9)crp_fert_ref</t>
  </si>
  <si>
    <t>ls_pasture</t>
  </si>
  <si>
    <t>ls_cond</t>
  </si>
  <si>
    <t>What is the current condition of livestock {ls_main}?  
[OPERATOR: SINGLE RESPONSES.] 
1)Very poor
2)Poor
3)Fair
4)Good
5)Other
6)DON'T KNOW
7)REFUSED</t>
  </si>
  <si>
    <t>ls_water</t>
  </si>
  <si>
    <t>What is the current situation with the availability of drinking water for your livestock {ls_main}?  
[OPERATOR: SINGLE RESPONSES.] 
1)Poor
2)Fair
3)Good
4)Other
5)DON'T KNOW
6)REFUSED</t>
  </si>
  <si>
    <t>1-7 = o_ls_cond</t>
  </si>
  <si>
    <t>1-7 = o_ls_water</t>
  </si>
  <si>
    <t xml:space="preserve">For any response, go to o_ls_cond </t>
  </si>
  <si>
    <t xml:space="preserve">For any response, go to o_ls_water </t>
  </si>
  <si>
    <t xml:space="preserve">For any response, go to o_ls_proddif </t>
  </si>
  <si>
    <t>1= o_ls_pasture
2-8 = ls_proddif</t>
  </si>
  <si>
    <t>o_ls_mortality</t>
  </si>
  <si>
    <t>0-10000 = ls_salesmain
88888-88888 = ls_salesmain
99999-99999 = ls_salesmain</t>
  </si>
  <si>
    <r>
      <rPr>
        <sz val="12"/>
        <rFont val="Calibri"/>
        <family val="2"/>
        <scheme val="minor"/>
      </rPr>
      <t xml:space="preserve">For any response to ls_all, go to </t>
    </r>
    <r>
      <rPr>
        <b/>
        <i/>
        <sz val="12"/>
        <color theme="4"/>
        <rFont val="Calibri"/>
        <family val="2"/>
        <scheme val="minor"/>
      </rPr>
      <t>ls_salesmain</t>
    </r>
  </si>
  <si>
    <t>1-13 = o_ls_mortality</t>
  </si>
  <si>
    <t>1=ls_proddif_2
2-4= o_ls_mortality</t>
  </si>
  <si>
    <t>1-6 = cs_crisis_decrease_input_exp</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</si>
  <si>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</si>
  <si>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r>
      <t xml:space="preserve">What is the gender of the respondent?
</t>
    </r>
    <r>
      <rPr>
        <sz val="14"/>
        <color rgb="FF0070C0"/>
        <rFont val="Calibri"/>
        <family val="2"/>
        <scheme val="minor"/>
      </rPr>
      <t>[OPERATOR: DO NOT ASK THIS QUESTION OUT LOUD. LISTEN TO THE VOICE AND SELECT THE GENDER.]</t>
    </r>
    <r>
      <rPr>
        <sz val="14"/>
        <rFont val="Calibri"/>
        <family val="2"/>
        <scheme val="minor"/>
      </rPr>
      <t xml:space="preserve">
1)Male
2)Female
3)DON'T KNOW
4)REFUSED</t>
    </r>
  </si>
  <si>
    <r>
      <rPr>
        <sz val="14"/>
        <color rgb="FF0070C0"/>
        <rFont val="Calibri"/>
        <family val="2"/>
        <scheme val="minor"/>
      </rPr>
      <t>Has anybody in your household produced crops or livestock for household consumption or for sale in the past 12 months, including household members currently away for transhumance?</t>
    </r>
    <r>
      <rPr>
        <sz val="14"/>
        <color theme="1"/>
        <rFont val="Calibri"/>
        <family val="2"/>
        <scheme val="minor"/>
      </rPr>
      <t xml:space="preserv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r>
  </si>
  <si>
    <r>
      <t xml:space="preserve">What is the main source of light in your dwelling?
[OPERATOR: SINGLE RESPONSE.]
1)Electricity [from generator or electrical grid]
2)Candle
</t>
    </r>
    <r>
      <rPr>
        <sz val="14"/>
        <color rgb="FF0070C0"/>
        <rFont val="Calibri"/>
        <family val="2"/>
        <scheme val="minor"/>
      </rPr>
      <t>3)Petrol lamp</t>
    </r>
    <r>
      <rPr>
        <sz val="14"/>
        <color theme="1"/>
        <rFont val="Calibri"/>
        <family val="2"/>
        <scheme val="minor"/>
      </rPr>
      <t xml:space="preserve">
4)Lamp with batteries
5)Solar panel
6)Other [no electric supply to the house]
7)DON'T KNOW
8)REFUSED</t>
    </r>
  </si>
  <si>
    <r>
      <t xml:space="preserve">Does your household own any of the following productive assets?
[OPERATOR: MULTIPLE RESPONSES POSSIBLE. READ ANSWER OPTIONS OUT LOUD.]
</t>
    </r>
    <r>
      <rPr>
        <sz val="14"/>
        <color rgb="FF0070C0"/>
        <rFont val="Calibri"/>
        <family val="2"/>
        <scheme val="minor"/>
      </rPr>
      <t xml:space="preserve">1)Processing assets [e.g. grinding/crushing machine/ mill/ oil press/ fish tanks]
2)Farm or fishing machinery [e.g. tractor/ plough/ sickle/ boats/ engines]
</t>
    </r>
    <r>
      <rPr>
        <sz val="14"/>
        <color theme="1"/>
        <rFont val="Calibri"/>
        <family val="2"/>
        <scheme val="minor"/>
      </rPr>
      <t>3)Sewing machine or weaving tool 
4)Taxi
5)Truck
6)Other productive machines or assets
7)No productive machines or assets
8)DON'T KNOW
9)REFUSED</t>
    </r>
  </si>
  <si>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</si>
  <si>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r>
      <rPr>
        <sz val="14"/>
        <color rgb="FF0070C0"/>
        <rFont val="Calibri"/>
        <family val="2"/>
        <scheme val="minor"/>
      </rPr>
      <t>Are the crops sold also produced by you or anyone in your household?</t>
    </r>
    <r>
      <rPr>
        <sz val="14"/>
        <color theme="1"/>
        <rFont val="Calibri"/>
        <family val="2"/>
        <scheme val="minor"/>
      </rPr>
      <t xml:space="preserve">
[OPERATOR: SINGLE RESPONSE.]
1)YES
2)NO
3)DON'T KNOW
4)REFUSED</t>
    </r>
  </si>
  <si>
    <r>
      <rPr>
        <sz val="14"/>
        <color rgb="FF0070C0"/>
        <rFont val="Calibri"/>
        <family val="2"/>
        <scheme val="minor"/>
      </rPr>
      <t>Are the livestock or livestock products sold also produced by you or anyone in your household?</t>
    </r>
    <r>
      <rPr>
        <sz val="14"/>
        <color theme="1"/>
        <rFont val="Calibri"/>
        <family val="2"/>
        <scheme val="minor"/>
      </rPr>
      <t xml:space="preserve">
[OPERATOR: SINGLE RESPONSE.]
1)YES
2)NO
3)DON'T KNOW
4)REFUSED</t>
    </r>
  </si>
  <si>
    <r>
      <rPr>
        <sz val="14"/>
        <color rgb="FF0070C0"/>
        <rFont val="Calibri"/>
        <family val="2"/>
        <scheme val="minor"/>
      </rPr>
      <t>Are the fish or aquatic products sold also captured/harvested by you or anyone in your household?</t>
    </r>
    <r>
      <rPr>
        <sz val="14"/>
        <rFont val="Calibri"/>
        <family val="2"/>
        <scheme val="minor"/>
      </rPr>
      <t xml:space="preserve">
[OPERATOR: SINGLE RESPONSE.]
1)YES
2)NO
3)DON'T KNOW
4)REFUSED</t>
    </r>
  </si>
  <si>
    <t>Can you confirm the amount of income you just stated is correct?
[OPERATOR: IF THE AMOUNT EARNED FROM THIS INCOME SOURCE OVER THE PAST 3 MONTH IS INDEED OVER 100000, CLICK ON CONTINUE. OTHERWISE, GO BACK AND CHANGE THE AMOUNT ENTERED.]
1)CONTINUE</t>
  </si>
  <si>
    <t>Munokwanisa kusimbisira here kuti muve nechokwadi chekuti mari yamataura ndiyo chaiyo?
[ARI KUITISA ONGORORO: KANA MARI YAKAWANIKWA ICHIPFUURA 100000, DZVANYA PAKANZI ENDERERA MBERI. ZVICHIDA, PANGADA KUTI UDZOKERE KUTI UCHINJE MARI YAISWA.]
1)ENDERERA MBERI</t>
  </si>
  <si>
    <t>Ungavuma inani lemali osanda kuyitsho ukuthi liqondile?
[OQHUBAYO: NXA INANI LEMALI EHOLWE LAPHA KUNYANGA EZINTATHU EZIDLULILEYO LEDLULA ISILINGANISO SE 100000, FITHIZELA KU-QHUBEKA, KUNGENJALO, BUYELA EMUVA UYETSHINTSHA INANI ELIFAKIWEYO]
1)QHUBEKA</t>
  </si>
  <si>
    <t>Yiwuphi umthombo wesibili womuzi wakho wokuthola imali kunyanga ezintathu ezidlulileyo?
[OQHUBAYO: IMPENDULO EYODWA. IMPENDULO EZIYALIWEYO KUMELE ZIBALEKELWE KAKHULU.]
1)Ukulinywa lokuthengiswa kwezilimo ezilinywa kakhulu njalo ngabanengi
2)Ukulinywa lokuthengiswa kwemibhida kumbe izithelo
3)Ukulinywa lokuthengiswa kwezilimo ezithengiswayo
4)Ukufuywa lokuthengiswa kwezifuyo kanye lokuvela ezifuyweni
5)Ukufuywa lokuthengiswa koluju kanye lokuvela elujwini
6)Ukufuywa lokuthengiswa kwenhlanzi 
7)Ukuqoqwa lokuthengiswa kwezihlahla kumbe okuvela ezigangeni
8)Ukuthengiselana ezilinywayo OKUNGAGOQELI abalungisayo [okusemthethweni kumbe okungekho emthethweni]
9)Umholo wansukuzonke emapulazini kanye leminye imisebenzi-nje kugatsha lwezokulima 
10)Umsebenzi ogxilileyo kugatsha lwezokulima
11)Ukuzisebenzela okungekho kugatsha lwezokulima kumbe umsebenzi wenkululeko/udokotela/umdwebi wezakhiwo/ igwetha/kugoqela indawo zokudlela
12)Imholo evela kumsebenzi ongekho kwezokulima kanye leminye-nje imisebenzi engekho kugatsha lwezokulima
13)Umsebenzi ogxilileyo ongekho kugatsha lwezokulima
14)Umsebenzi kugatsha likahulumende 
15)Imali engatholwa emsebenzini/eyokuphiwa ngabalomusa
16)Imali engatholwa emsebenzini/imali ephiwa ukuziphilisa/ipentsheni/uncedo lokunikela ngokuzithandela
17)Imali engatholwa emsebenzini/ ethunyelwa ivela kwamanye amazwe
18)Imali engatholwa emsebenzini/imali evela kwezokurenta
19)Akulandawo yokuthola imali kunyanga ezintathu ezidlulileyo njalo kwasetshenziswa kakhulu imali egciniweyo/isikwelede
20)KAZI
21)WALILE</t>
  </si>
  <si>
    <r>
      <rPr>
        <sz val="14"/>
        <color rgb="FF0070C0"/>
        <rFont val="Calibri"/>
        <family val="2"/>
        <scheme val="minor"/>
      </rPr>
      <t xml:space="preserve">Are the livestock or livestock products sold also produced by you or anyone in your household?
</t>
    </r>
    <r>
      <rPr>
        <sz val="14"/>
        <color theme="1"/>
        <rFont val="Calibri"/>
        <family val="2"/>
        <scheme val="minor"/>
      </rPr>
      <t xml:space="preserve">
[OPERATOR: SINGLE RESPONSE.]
1)YES
2)NO
3)DON'T KNOW
4)REFUSED</t>
    </r>
  </si>
  <si>
    <r>
      <t xml:space="preserve">Yiwuphi umthombo wesithathu womuzi wakho wokuthola imali oqakathekileyo kunyanga ezintathu ezidlulileyo?
[OQHUBAYO: IMPENDULO EYODWA. IMPENDULO ZOKUNGAZI LOKWALA AKUMELANGA ZIBALEKELWE KAKHULU.]
1)Ukulinywa lokuthengiswa kwezilimo ezilinywa kakhulu njalo ngabanengi
2)Ukulinywa lokuthengiswa kwemibhida kumbe izithelo
3)Ukulinywa lokuthengiswa kwezilimo ezithengiswayo
4)Ukufuywa lokuthengiswa kwezifuyo kanye lokuvela ezifuyweni
5)Ukufuywa lokuthengiswa koluju kanye lokuvela elujwini
6)Ukufuywa lokuthengiswa kwenhlanzi 
7)Ukuqoqwa lokuthengiswa kwezihlahla kumbe okuvela ezigangeni
8)Ukuthengiselana ezilinywayo OKUNGAGOQELI abalungisayo [okusemthethweni kumbe okungekho emthethweni]
9)Umholo wansukuzonke emapulazini kanye leminye imisebenzi-nje kugatsha lwezokulima 
10)Umsebenzi ogxilileyo kugatsha lwezokulima
11)Ukuzisebenzela okungekho kugatsha lwezokulima kumbe umsebenzi wenkululeko/udokotela/umdwebi wezakhiwo/ igwetha/kugoqela indawo zokudlela
12)Imholo evela kumsebenzi ongekho kwezokulima kanye leminye-nje imisebenzi engekho kugatsha lwezokulima
13)Umsebenzi ogxilileyo ongekho kugatsha lwezokulima
14)Umsebenzi kugatsha likahulumende 
15)Imali engatholwa emsebenzini/eyokuphiwa ngabalomusa
16)Imali engatholwa emsebenzini/imali ephiwa ukuziphilisa/ipentsheni/uncedo lokunikela ngokuzithandela
17)Imali engatholwa emsebenzini/ ethunyelwa ivela kwamanye amazwe
18)Imali engatholwa emsebenzini/imali evela kwezokurenta
19)Akulandawo yokuthola imali kunyanga ezintathu ezidlulileyo njalo kwasetshenziswa kakhulu imali egciniweyo/isikwelede
</t>
    </r>
    <r>
      <rPr>
        <sz val="14"/>
        <color rgb="FF0070C0"/>
        <rFont val="Calibri"/>
        <family val="2"/>
        <scheme val="minor"/>
      </rPr>
      <t>20)KAZI
21)WALILE</t>
    </r>
  </si>
  <si>
    <t>1-3 = income_third_crop_check
4 = income_third_ls_check
5 = income_third_amount
6 = income_third_fish_check
7-18 = income_third_amount
19-21 = shock</t>
  </si>
  <si>
    <r>
      <rPr>
        <sz val="14"/>
        <color rgb="FF0070C0"/>
        <rFont val="Calibri"/>
        <family val="2"/>
        <scheme val="minor"/>
      </rPr>
      <t>What was your household's second most important source of income in the past 3 months?</t>
    </r>
    <r>
      <rPr>
        <sz val="14"/>
        <color theme="1"/>
        <rFont val="Calibri"/>
        <family val="2"/>
        <scheme val="minor"/>
      </rPr>
      <t xml:space="preserve">
[OPERATOR: SINGLE RESPONSE. DON'T KNOW AND REFUSED OPTIONS SHOULD BE AVOIDED AS MUCH AS POSSIBLE.]
1)Production and sale of staple crops
2)Production and sale of vegetables or fruit 
3)Production and sale of cashcrops
4)</t>
    </r>
    <r>
      <rPr>
        <sz val="14"/>
        <color rgb="FF0070C0"/>
        <rFont val="Calibri"/>
        <family val="2"/>
        <scheme val="minor"/>
      </rPr>
      <t>Production and sale of livestock or livestock products</t>
    </r>
    <r>
      <rPr>
        <sz val="14"/>
        <color theme="1"/>
        <rFont val="Calibri"/>
        <family val="2"/>
        <scheme val="minor"/>
      </rPr>
      <t xml:space="preserve">
5)Production and sale of honey or bee products
6)</t>
    </r>
    <r>
      <rPr>
        <sz val="14"/>
        <color rgb="FF0070C0"/>
        <rFont val="Calibri"/>
        <family val="2"/>
        <scheme val="minor"/>
      </rPr>
      <t>Production and sale of fish or aquatic products</t>
    </r>
    <r>
      <rPr>
        <sz val="14"/>
        <color theme="1"/>
        <rFont val="Calibri"/>
        <family val="2"/>
        <scheme val="minor"/>
      </rPr>
      <t xml:space="preserve">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t>
    </r>
    <r>
      <rPr>
        <sz val="14"/>
        <color rgb="FF0070C0"/>
        <rFont val="Calibri"/>
        <family val="2"/>
        <scheme val="minor"/>
      </rPr>
      <t>No second most important source of income</t>
    </r>
    <r>
      <rPr>
        <sz val="14"/>
        <color theme="1"/>
        <rFont val="Calibri"/>
        <family val="2"/>
        <scheme val="minor"/>
      </rPr>
      <t xml:space="preserve">
20)DON'T KNOW
21)REFUSED</t>
    </r>
  </si>
  <si>
    <r>
      <t xml:space="preserve">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t>
    </r>
    <r>
      <rPr>
        <sz val="14"/>
        <color rgb="FF0070C0"/>
        <rFont val="Calibri"/>
        <family val="2"/>
        <scheme val="minor"/>
      </rPr>
      <t>HUMAN-INDUCED HAZARDS.</t>
    </r>
    <r>
      <rPr>
        <sz val="14"/>
        <rFont val="Calibri"/>
        <family val="2"/>
        <scheme val="minor"/>
      </rPr>
      <t>]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</si>
  <si>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r>
      <t>Unit of measurement for land size: 
[OPERATOR: DO NOT READ. SINGLE RESPONSE.]
1)Acres
2)Hectares
3)Square meters
4)Square feet
5)</t>
    </r>
    <r>
      <rPr>
        <sz val="14"/>
        <color rgb="FF0070C0"/>
        <rFont val="Calibri"/>
        <family val="2"/>
        <scheme val="minor"/>
      </rPr>
      <t>Jeribs</t>
    </r>
  </si>
  <si>
    <t>1-5 = crp_main</t>
  </si>
  <si>
    <t>GeoPoll Comments</t>
  </si>
  <si>
    <r>
      <rPr>
        <sz val="14"/>
        <color rgb="FF0070C0"/>
        <rFont val="Calibri"/>
        <family val="2"/>
        <scheme val="minor"/>
      </rPr>
      <t xml:space="preserve">What is the main crop that your household grows for food or income generation in the ongoing season, if any?
[OPERATOR: SINGLE RESPONSE. "NO CROP PRODUCTION" APPEARS AT THE END OF THE LIST OF OPTIONS.]
</t>
    </r>
    <r>
      <rPr>
        <sz val="14"/>
        <rFont val="Calibri"/>
        <family val="2"/>
        <scheme val="minor"/>
      </rPr>
      <t xml:space="preserve"> 
</t>
    </r>
    <r>
      <rPr>
        <sz val="14"/>
        <color rgb="FF0070C0"/>
        <rFont val="Calibri"/>
        <family val="2"/>
        <scheme val="minor"/>
      </rPr>
      <t xml:space="preserve">1)Millet
2)Sorghum
3)Maize
4)Sweet Potatoes
5)Beans
6)Soybeans
7)Tomatoes
8)Sweet Banana
9)Mango
10)Groundnut/peanut
11)Rice
12)Wheat
13)Barley
14)Other Cereal
15)Cassava
16)Potatoe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37)Cucumber
38)Pumpkin
39)Eggplant/aubergine
40)Zucchini
41)Okra
42)Bell pepper
43)Onions
44)Haricot
45)Green peas
46)Fava beans green
47)Other non leafy vegs
48)Orange
49)Lemon
50)Grapefruit
51)Mandarins/clementines
52)Other citrus fruit
53)Plantains
54)Papaya
55)Guava
56)Pineapple
57)Avocado
58)Water Melon
59)Dates
60)Figs
61)Grapes
62)Olives
63)Apple
64)Apricot
65)Cherries
66)Peach/nectarine
67)Strawberries
68)Melon [Cantaloupe]
69)Other fruit
70)Coconuts
71)Cashew Nut
72)Kola Nut
73)Sesame
74)Bambara nut
75)Almond
76)Walnut
77)Other nuts
78)Cocoa
79)Coffee
80)Tea
81)Sugarcane
82)Sunflower
83)Other food cash crop
84)Cotton
85)Rubber
86)Jute
87)Fodder
88)Tobacco
89)Qat
90)Other non-food cash crop
</t>
    </r>
    <r>
      <rPr>
        <sz val="14"/>
        <rFont val="Calibri"/>
        <family val="2"/>
        <scheme val="minor"/>
      </rPr>
      <t>91)No crop production
92)DON'T KNOW
93)REFUSED</t>
    </r>
  </si>
  <si>
    <t>1)1.3
2)1.4
3)1.5
4)2.3
5)3.1
6)3.4
7)5.1
8)7.1
9)7.4
10)8.2
11)1.1
12)1.2
13)1.6
14)1.99
15)2.1
16)2.2
17)2.4
18)2.5
19)2.6
20)2.99
21)3.2
22)3.3
23)3.5
24)3.6
25)3.7
26)3.99
27)4.1
28)4.2
29)4.3
30)4.4
31)4.5
32)4.6
33)4.7
34)4.9
35)4.101
36)4.99
37)5.2
38)5.3
39)5.4
40)5.5
41)5.6
42)5.7
43)5.8
44)5.9
45)5.101
46)5.11
47)5.99
48)6.1
49)6.2
50)6.3
51)6.4
52)6.99
53)7.2
54)7.3
55)7.5
56)7.6
57)7.7
58)7.8
59)7.9
60)7.101
61)7.11
62)7.12
63)7.13
64)7.14
65)7.15
66)7.16
67)7.17
68)7.18
69)7.99
70)8.1
71)8.3
72)8.4
73)8.5
74)8.6
75)8.7
76)8.8
77)8.99
78)9.1
79)9.2
80)9.3
81)9.4
82)9.5
83)9.99
84)10.1
85)10.2
86)10.3
87)10.4
88)10.5
89)10.6
90)10.99</t>
  </si>
  <si>
    <t>1-7 = crp_proddif</t>
  </si>
  <si>
    <t>What was the main crop that you sold over the last 3 months?
[OPERATOR: SINGLE RESPONSE. "No crop sold over the last 3 months" APPEARS AT THE END OF THE LIST OF OPTIONS.]
1)Millet
2)Sorghum
3)Maize
4)Sweet Potatoes
5)Beans
6)Soybeans
7)Tomatoes
8)Sweet Banana
9)Mango
10)Groundnut/peanut
11)Rice
12)Wheat
13)Barley
14)Other Cereal
15)Cassava
16)Potatoe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37)Cucumber
38)Pumpkin
39)Eggplant/aubergine
40)Zucchini
41)Okra
42)Bell pepper
43)Onions
44)Haricot
45)Green peas
46)Fava beans green
47)Other non leafy vegs
48)Orange
49)Lemon
50)Grapefruit
51)Mandarins/clementines
52)Other citrus fruit
53)Plantains
54)Papaya
55)Guava
56)Pineapple
57)Avocado
58)Water Melon
59)Dates
60)Figs
61)Grapes
62)Olives
63)Apple
64)Apricot
65)Cherries
66)Peach/nectarine
67)Strawberries
68)Melon [Cantaloupe]
69)Other fruit
70)Coconuts
71)Cashew Nut
72)Kola Nut
73)Sesame
74)Bambara nut
75)Almond
76)Walnut
77)Other nuts
78)Cocoa
79)Coffee
80)Tea
81)Sugarcane
82)Sunflower
83)Other food cash crop
84)Cotton
85)Rubber
86)Jute
87)Fodder
88)Tobacco
89)Qat
90)Other non-food cash crop
91)No crop sold over the last 3 months
92)DON'T KNOW
93)REFUSED</t>
  </si>
  <si>
    <r>
      <rPr>
        <sz val="14"/>
        <color rgb="FF0070C0"/>
        <rFont val="Calibri"/>
        <family val="2"/>
        <scheme val="minor"/>
      </rPr>
      <t>Has your household faced any significant difficulty in the last 3 months selling your {crp_salesmain}?</t>
    </r>
    <r>
      <rPr>
        <sz val="14"/>
        <rFont val="Calibri"/>
        <family val="2"/>
        <scheme val="minor"/>
      </rPr>
      <t xml:space="preserve">
[OPERATOR: SINGLE RESPONSE.]
1)YES
2)NO
3)DON'T KNOW
4)REFUSED</t>
    </r>
  </si>
  <si>
    <r>
      <rPr>
        <sz val="14"/>
        <color rgb="FF0070C0"/>
        <rFont val="Calibri"/>
        <family val="2"/>
        <scheme val="minor"/>
      </rPr>
      <t>Which difficulties has your household faced in the last 3 months selling your {crp_salesmain}?</t>
    </r>
    <r>
      <rPr>
        <sz val="14"/>
        <color theme="1"/>
        <rFont val="Calibri"/>
        <family val="2"/>
        <scheme val="minor"/>
      </rPr>
      <t xml:space="preserve">
[OPERATOR: MULTIPLE RESPONSES POSSIBLE. SELECT OPTION(S) THAT BEST FIT THE INFORMATION PROVIDED BY THE RESPONDENTS.]
1)High transportation or other marketing costs
2)Damages and losses due to storage difficulties and/or difficulty accessing the market [e.g. insecurity/poor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r>
  </si>
  <si>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</si>
  <si>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r>
      <rPr>
        <sz val="14"/>
        <color rgb="FF0070C0"/>
        <rFont val="Calibri"/>
        <family val="2"/>
        <scheme val="minor"/>
      </rPr>
      <t>What was the main animal raised by your household for food or income generation in the last 12 months?</t>
    </r>
    <r>
      <rPr>
        <sz val="14"/>
        <rFont val="Calibri"/>
        <family val="2"/>
        <scheme val="minor"/>
      </rPr>
      <t xml:space="preserve">
[OPERATOR: SINGLE RESPONSE. ASK ABOUT THE MOST IMPORTANT ANIMAL ONLY.] [HINT: DON'T FORGET TO PROBE ABOUT TRANSHUMANCE - MOVING LIVESTOCK FROM ONE GRAZING GROUND TO ANOTHER.]
1)Cattle [cow / beef / veal / yak / buffalo]
2)Goats
3)Sheep
4)Swine [pig / boar / hog / etc]
5)Equine [donkey / horse / etc]
6)Small domesticated mammals [rabbits / minks / guinea pigs / etc]
7)Poultry [chicken / guineafowl / duck / quail / turkey / etc]
8)Camelids
9)Other
10)DON'T KNOW
11)REFUSED</t>
    </r>
  </si>
  <si>
    <r>
      <t>Which difficulties has your household faced with livestock production in the last 3 months?
[OPERATOR: MULTIPLE RESPONSES POSSIBLE. SELECT OPTION(S) THAT BEST FIT THE INFORMATION PROVIDED BY THE RESPONDENTS.]
1)Difficulty to purchase feed [</t>
    </r>
    <r>
      <rPr>
        <sz val="14"/>
        <color rgb="FF0070C0"/>
        <rFont val="Calibri"/>
        <family val="2"/>
        <scheme val="minor"/>
      </rPr>
      <t>e.g</t>
    </r>
    <r>
      <rPr>
        <sz val="14"/>
        <rFont val="Calibri"/>
        <family val="2"/>
        <scheme val="minor"/>
      </rPr>
      <t>. prices or access to market]
2)Access to pasture
3)Access to water
4)Access to veterinary services [vaccinations/treatments/spraying/advisory. etc]
5)Access to veterinary inputs [medicine for animals / tools for animal health / etc]
6)Livestock diseases or injury
7)Livestock theft
8)Access to livestock market to buy young animals
9)Access to credit
10)Access to manpower labour
11)Other
12)DON'T KNOW
13)REFUSED</t>
    </r>
  </si>
  <si>
    <r>
      <rPr>
        <sz val="14"/>
        <color rgb="FF0070C0"/>
        <rFont val="Calibri"/>
        <family val="2"/>
        <scheme val="minor"/>
      </rPr>
      <t>What was the main livestock or livestock product sold by your household in the last 3 months?</t>
    </r>
    <r>
      <rPr>
        <sz val="14"/>
        <rFont val="Calibri"/>
        <family val="2"/>
        <scheme val="minor"/>
      </rPr>
      <t xml:space="preserve">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r>
  </si>
  <si>
    <r>
      <rPr>
        <sz val="14"/>
        <color rgb="FF0070C0"/>
        <rFont val="Calibri"/>
        <family val="2"/>
        <scheme val="minor"/>
      </rPr>
      <t>Has your household faced any significant difficulty in the last 3 months selling your {ls_salesmain}?</t>
    </r>
    <r>
      <rPr>
        <sz val="14"/>
        <rFont val="Calibri"/>
        <family val="2"/>
        <scheme val="minor"/>
      </rPr>
      <t xml:space="preserve">
[OPERATOR: SINGLE RESPONSE.]
1)YES
2)NO
3)DON'T KNOW
4)REFUSED</t>
    </r>
  </si>
  <si>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</si>
  <si>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r>
      <rPr>
        <sz val="14"/>
        <color rgb="FF0070C0"/>
        <rFont val="Calibri"/>
        <family val="2"/>
        <scheme val="minor"/>
      </rPr>
      <t>We will now ask you some questions about fishing and aquaculture production which apply to you and anyone in your household that is involved in the capture, culture, or harvest of fish and aquatic products.</t>
    </r>
    <r>
      <rPr>
        <sz val="14"/>
        <rFont val="Calibri"/>
        <family val="2"/>
        <scheme val="minor"/>
      </rPr>
      <t xml:space="preserve">
1)CONTINUE</t>
    </r>
  </si>
  <si>
    <r>
      <rPr>
        <sz val="14"/>
        <color rgb="FF0070C0"/>
        <rFont val="Calibri"/>
        <family val="2"/>
        <scheme val="minor"/>
      </rPr>
      <t>How does your fish catch [farmed] in the last 3 months [last harvest] compare to the same period [harvest] last year?</t>
    </r>
    <r>
      <rPr>
        <sz val="14"/>
        <color theme="1"/>
        <rFont val="Calibri"/>
        <family val="2"/>
        <scheme val="minor"/>
      </rPr>
      <t xml:space="preserve">
[OPERATOR: SINGLE RESPONSE.]
1)A lot more [increased by more than 50%]
2)Slightly more
3)Same
4)Slightly less
5)A lot less [less than half as much]
6)DON'T KNOW
7)REFUSED</t>
    </r>
  </si>
  <si>
    <r>
      <rPr>
        <sz val="14"/>
        <color rgb="FF0070C0"/>
        <rFont val="Calibri"/>
        <family val="2"/>
        <scheme val="minor"/>
      </rPr>
      <t>Has your household faced any significant difficulty with fish catch / harvest / farming in the last 3 months?</t>
    </r>
    <r>
      <rPr>
        <sz val="14"/>
        <rFont val="Calibri"/>
        <family val="2"/>
        <scheme val="minor"/>
      </rPr>
      <t xml:space="preserve">
[OPERATOR: SINGLE RESPONSE.]
1)YES
2)NO
3)DON'T KNOW
4)REFUSED</t>
    </r>
  </si>
  <si>
    <r>
      <rPr>
        <sz val="14"/>
        <color rgb="FF0070C0"/>
        <rFont val="Calibri"/>
        <family val="2"/>
        <scheme val="minor"/>
      </rPr>
      <t xml:space="preserve">Which difficulties has your household faced with fish catch / harvest / farming in the last 3 months?
</t>
    </r>
    <r>
      <rPr>
        <sz val="14"/>
        <rFont val="Calibri"/>
        <family val="2"/>
        <scheme val="minor"/>
      </rPr>
      <t xml:space="preserve">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[ponds/cages/ports/landing sites]
8)Damage or destruction of boats or gears
9)Other
10)DON'T KNOW
11)REFUSED</t>
    </r>
  </si>
  <si>
    <r>
      <rPr>
        <sz val="14"/>
        <color rgb="FF0070C0"/>
        <rFont val="Calibri"/>
        <family val="2"/>
        <scheme val="minor"/>
      </rPr>
      <t xml:space="preserve">What was the main fish or aquatic product sold by your household in the last 3 months?
</t>
    </r>
    <r>
      <rPr>
        <sz val="14"/>
        <rFont val="Calibri"/>
        <family val="2"/>
        <scheme val="minor"/>
      </rPr>
      <t>[OPERATOR: SINGLE RESPONSE.]</t>
    </r>
    <r>
      <rPr>
        <sz val="14"/>
        <color rgb="FF0070C0"/>
        <rFont val="Calibri"/>
        <family val="2"/>
        <scheme val="minor"/>
      </rPr>
      <t xml:space="preserve">
1)Fresh product [any kind/ including invertebrates]
2)Preserved product [including dry/ smoked/ fermented/ salted]
3)Frozen product
4)Canned product
</t>
    </r>
    <r>
      <rPr>
        <sz val="14"/>
        <color theme="1"/>
        <rFont val="Calibri"/>
        <family val="2"/>
        <scheme val="minor"/>
      </rPr>
      <t>5)Other [specify]
6)DON'T KNOW
7)REFUSED</t>
    </r>
  </si>
  <si>
    <r>
      <rPr>
        <sz val="14"/>
        <color rgb="FF0070C0"/>
        <rFont val="Calibri"/>
        <family val="2"/>
        <scheme val="minor"/>
      </rPr>
      <t>Which difficulties has your household faced in the last 3 months selling your {fish_salesmain}?</t>
    </r>
    <r>
      <rPr>
        <sz val="14"/>
        <color theme="1"/>
        <rFont val="Calibri"/>
        <family val="2"/>
        <scheme val="minor"/>
      </rPr>
      <t xml:space="preserve">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r>
  </si>
  <si>
    <r>
      <rPr>
        <sz val="14"/>
        <color rgb="FF0070C0"/>
        <rFont val="Calibri"/>
        <family val="2"/>
        <scheme val="minor"/>
      </rPr>
      <t>Now I would like to ask you a set of questions on food consumption, referring to the 24 hours of yesterday. Please describe the foods [meals and snacks] that you or any household member ate or drank at home yesterday [in the 24 hours of yesterday: breakfast, lunch, dinner and snacks].</t>
    </r>
    <r>
      <rPr>
        <sz val="14"/>
        <color theme="1"/>
        <rFont val="Calibri"/>
        <family val="2"/>
        <scheme val="minor"/>
      </rPr>
      <t xml:space="preserve">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4)Fruits [all]
5)Meat / poultry and offal [beef / pork / lamb / goat / rabbit / wild game / chicken / duck / liver / kidney / heart / or other organ meats]
6)Eggs
7)Fish or shellfish [fresh or dried fish / shellfish]
8)Legumes /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</si>
  <si>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</si>
  <si>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r>
      <t xml:space="preserve">What are your household's greatest needs for assistance for agricultural activities [including crop, livestock or fisheries/aquaculture activities] over the next 3 to 6 months?
[OPERATOR: MULTIPLE RESPONSE. </t>
    </r>
    <r>
      <rPr>
        <sz val="14"/>
        <color rgb="FF0070C0"/>
        <rFont val="Calibri"/>
        <family val="2"/>
        <scheme val="minor"/>
      </rPr>
      <t>DO NOT READ THE OPTIONS</t>
    </r>
    <r>
      <rPr>
        <sz val="14"/>
        <color theme="1"/>
        <rFont val="Calibri"/>
        <family val="2"/>
        <scheme val="minor"/>
      </rPr>
      <t>]
1)Food
2)Cash
3)Vouchers or input trade fairs
4)Inputs for crop and/or vegetable production [e.g. seeds/fertilizer/tools]
5)Infrastructure for crop and/or vegetable production [e.g. irrigation/canal rehabilitation/pumps]
6)Training &amp; technical knowledge/advice for crop production
7)Livestock feed [fodder or supplementary feed]
8)Veterinary services [e.g. vaccination/dips/deworming]
9)Infrastructure for livestock [e.g. water points/transhumance corridors/shelter/health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r>
  </si>
  <si>
    <t>Send if "crp_main" "Equals" "Millet" Or "crp_main" "Equals" "Sorghum" Or "crp_main" "Equals" "Maize" Or "crp_main" "Equals" "Sweet Potatoes" Or "crp_main" "Equals" "Beans" Or "crp_main" "Equals" "Soybeans" Or "crp_main" "Equals" "Tomatoes" Or "crp_main" "Equals" "Sweet Banana" Or "crp_main" "Equals" "Mango" Or "crp_main" "Equals" "Groundnut/peanut" Or "crp_main" "Equals" "Rice" Or "crp_main" "Equals" "Wheat" Or "crp_main" "Equals" "Barley" Or "crp_main" "Equals" "Other Cereal" Or "crp_main" "Equals" "Cassava" Or "crp_main" "Equals" "Potatoe" Or "crp_main" "Equals" "Yams" Or "crp_main" "Equals" "Carrots" Or "crp_main" "Equals" "Cocoyam" Or "crp_main" "Equals" "Other tubers" Or "crp_main" "Equals" "Lentils" Or "crp_main" "Equals" "Peas"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"Plantains" Or "crp_main" "Equals" "Papaya"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</si>
  <si>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r>
      <rPr>
        <sz val="14"/>
        <color rgb="FF0070C0"/>
        <rFont val="Calibri"/>
        <family val="2"/>
        <scheme val="minor"/>
      </rPr>
      <t>What was your household's main source of income in the past 3 months?</t>
    </r>
    <r>
      <rPr>
        <sz val="14"/>
        <color theme="1"/>
        <rFont val="Calibri"/>
        <family val="2"/>
        <scheme val="minor"/>
      </rPr>
      <t xml:space="preserve">
[OPERATOR: SINGLE RESPONSE. REFUSED OPTION SHOULD BE AVOIDED AS MUCH AS POSSIBLE.]
1)Production and sale of staple crops
2)Production and sale of vegetables or fruit
3)Production and sale of cashcrops
4)</t>
    </r>
    <r>
      <rPr>
        <sz val="14"/>
        <color rgb="FF0070C0"/>
        <rFont val="Calibri"/>
        <family val="2"/>
        <scheme val="minor"/>
      </rPr>
      <t>Production and sale of livestock or livestock products</t>
    </r>
    <r>
      <rPr>
        <sz val="14"/>
        <color theme="1"/>
        <rFont val="Calibri"/>
        <family val="2"/>
        <scheme val="minor"/>
      </rPr>
      <t xml:space="preserve">
5)Production and sale of honey or bee products
6)</t>
    </r>
    <r>
      <rPr>
        <sz val="14"/>
        <color rgb="FF0070C0"/>
        <rFont val="Calibri"/>
        <family val="2"/>
        <scheme val="minor"/>
      </rPr>
      <t>Production and sale of fish or aquatic products</t>
    </r>
    <r>
      <rPr>
        <sz val="14"/>
        <color theme="1"/>
        <rFont val="Calibri"/>
        <family val="2"/>
        <scheme val="minor"/>
      </rPr>
      <t xml:space="preserve">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19)No income source in the last 3 months and used exclusively savings / debt
20)REFUSED</t>
    </r>
  </si>
  <si>
    <t>Send if "income_main_fish_check" "Equals" "YES" Or "income_sec_fish_check" "Equals" "YES" Or "income_third_fish_check" "Equals" "YES" Or "hh_fish" "Equals" "YES" if not satisfied go to "fies_intro"</t>
  </si>
  <si>
    <t>Send if "income_main" "Equals" "Production and sale of fish or aquatic products" Or "income_sec" "Equals" "Production and sale of fish or aquatic products" Or "income_third" "Equals" "Production and sale of fish or aquatic products" if not satisfied go to "fies_intro"</t>
  </si>
  <si>
    <r>
      <rPr>
        <sz val="14"/>
        <color rgb="FF0070C0"/>
        <rFont val="Calibri"/>
        <family val="2"/>
        <scheme val="minor"/>
      </rPr>
      <t>What was your household's third most important source of income in the past 3 months?</t>
    </r>
    <r>
      <rPr>
        <sz val="14"/>
        <color theme="1"/>
        <rFont val="Calibri"/>
        <family val="2"/>
        <scheme val="minor"/>
      </rPr>
      <t xml:space="preserve">
[OPERATOR: SINGLE RESPONSE. DON'T KNOW AND REFUSED OPTIONS SHOULD RARELY/NOT AVOIDED AS MUCH AS POSSIBLE.]
1)Production and sale of staple crops
2)Production and sale of vegetables or fruit 
3)Production and sale of cashcrops
4)</t>
    </r>
    <r>
      <rPr>
        <sz val="14"/>
        <color rgb="FF0070C0"/>
        <rFont val="Calibri"/>
        <family val="2"/>
        <scheme val="minor"/>
      </rPr>
      <t xml:space="preserve">Production and sale of livestock or livestock products
</t>
    </r>
    <r>
      <rPr>
        <sz val="14"/>
        <color theme="1"/>
        <rFont val="Calibri"/>
        <family val="2"/>
        <scheme val="minor"/>
      </rPr>
      <t>5)Production and sale of honey or bee products
6)</t>
    </r>
    <r>
      <rPr>
        <sz val="14"/>
        <color rgb="FF0070C0"/>
        <rFont val="Calibri"/>
        <family val="2"/>
        <scheme val="minor"/>
      </rPr>
      <t>Production and sale of fish or aquatic products</t>
    </r>
    <r>
      <rPr>
        <sz val="14"/>
        <color theme="1"/>
        <rFont val="Calibri"/>
        <family val="2"/>
        <scheme val="minor"/>
      </rPr>
      <t xml:space="preserve">
7)Collection and sale of forestry or bush products 
8)Agricultural trade EXCLUDING produc</t>
    </r>
    <r>
      <rPr>
        <sz val="14"/>
        <rFont val="Calibri"/>
        <family val="2"/>
        <scheme val="minor"/>
      </rPr>
      <t>ers [formal or informal</t>
    </r>
    <r>
      <rPr>
        <sz val="14"/>
        <color theme="1"/>
        <rFont val="Calibri"/>
        <family val="2"/>
        <scheme val="minor"/>
      </rPr>
      <t>]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transfer/pension/humanitarian aid
17)Income not derived from work / Remittances
18)Income not derived from work / Income from other rents
19)</t>
    </r>
    <r>
      <rPr>
        <sz val="14"/>
        <color rgb="FF0070C0"/>
        <rFont val="Calibri"/>
        <family val="2"/>
        <scheme val="minor"/>
      </rPr>
      <t>No third most important source of income</t>
    </r>
    <r>
      <rPr>
        <sz val="14"/>
        <color theme="1"/>
        <rFont val="Calibri"/>
        <family val="2"/>
        <scheme val="minor"/>
      </rPr>
      <t xml:space="preserve">
20)DON'T KNOW
21)REFUSED</t>
    </r>
  </si>
  <si>
    <r>
      <t xml:space="preserve">Over the </t>
    </r>
    <r>
      <rPr>
        <b/>
        <sz val="14"/>
        <color rgb="FF0070C0"/>
        <rFont val="Calibri"/>
        <family val="2"/>
        <scheme val="minor"/>
      </rPr>
      <t>past 30 days</t>
    </r>
    <r>
      <rPr>
        <sz val="14"/>
        <color rgb="FF0070C0"/>
        <rFont val="Calibri"/>
        <family val="2"/>
        <scheme val="minor"/>
      </rPr>
      <t xml:space="preserve">, did anyone in your household have to </t>
    </r>
    <r>
      <rPr>
        <u/>
        <sz val="14"/>
        <color rgb="FF0070C0"/>
        <rFont val="Calibri"/>
        <family val="2"/>
        <scheme val="minor"/>
      </rPr>
      <t>decrease expenditures on fertilizer, pesticide, fodder, animal feed, veterinary care, etc.</t>
    </r>
    <r>
      <rPr>
        <sz val="14"/>
        <color rgb="FF0070C0"/>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</si>
  <si>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</si>
  <si>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Form Type - TextBox
IsCallBackDemographic</t>
  </si>
  <si>
    <t>1-100000 = income_main_gender
100001 - 500000 = income_main_amount_conf
888888-888888 =income_main_gender
999999-999999 = income_main_gender</t>
  </si>
  <si>
    <r>
      <t xml:space="preserve">How much was earned [in USD] from your main income source, {income_main}, in the past 3 months ?
[OPERATOR: </t>
    </r>
    <r>
      <rPr>
        <sz val="14"/>
        <color rgb="FF0070C0"/>
        <rFont val="Calibri"/>
        <family val="2"/>
        <scheme val="minor"/>
      </rPr>
      <t>MAKE SURE THE INFORMATION IS RECORDED IN THE CORRECT CURRENCY</t>
    </r>
    <r>
      <rPr>
        <sz val="14"/>
        <color theme="1"/>
        <rFont val="Calibri"/>
        <family val="2"/>
        <scheme val="minor"/>
      </rPr>
      <t>. ENTER 888888 FOR DON'T KNOW AND 999999 FOR REFUSED.]</t>
    </r>
  </si>
  <si>
    <r>
      <t xml:space="preserve">How much was earned [in USD] from your second main income source, {income_sec}, in the past 3 months ?
[OPERATOR: </t>
    </r>
    <r>
      <rPr>
        <sz val="14"/>
        <color rgb="FF0070C0"/>
        <rFont val="Calibri"/>
        <family val="2"/>
        <scheme val="minor"/>
      </rPr>
      <t>MAKE SURE THE INFORMATION IS RECORDED IN THE CORRECT CURRENCY</t>
    </r>
    <r>
      <rPr>
        <sz val="14"/>
        <color theme="1"/>
        <rFont val="Calibri"/>
        <family val="2"/>
        <scheme val="minor"/>
      </rPr>
      <t>. ENTER 888888 FOR DON'T KNOW AND 999999 FOR REFUSED.]</t>
    </r>
  </si>
  <si>
    <t>1-100000 = income_third_gender
100001-500000 = income_third_amount_conf
888888-888888 = income_third_gender
999999-999999 =income_third_gender</t>
  </si>
  <si>
    <r>
      <t xml:space="preserve">How much was earned [in USD] from your third main source of income, {income_third}, in the past 3 months ?
[OPERATOR: </t>
    </r>
    <r>
      <rPr>
        <sz val="14"/>
        <color rgb="FF0070C0"/>
        <rFont val="Calibri"/>
        <family val="2"/>
        <scheme val="minor"/>
      </rPr>
      <t>MAKE SURE THE INFORMATION IS RECORDED IN THE CORRECT CURRENCY</t>
    </r>
    <r>
      <rPr>
        <sz val="14"/>
        <color theme="1"/>
        <rFont val="Calibri"/>
        <family val="2"/>
        <scheme val="minor"/>
      </rPr>
      <t>. ENTER 888888 FOR DON'T KNOW AND 999999 FOR REFUSED.]</t>
    </r>
  </si>
  <si>
    <t>1-8 = crp_seed_supply</t>
  </si>
  <si>
    <t>1-10 = o_crp_seed_availability</t>
  </si>
  <si>
    <t>1 = crp_proddif_2
2-4 = crp_storage</t>
  </si>
  <si>
    <t>1=fish_proddif_2
2-4= fish_inputdif</t>
  </si>
  <si>
    <t>1 = future_int_day
2 = language2</t>
  </si>
  <si>
    <r>
      <t xml:space="preserve">For any response, go to </t>
    </r>
    <r>
      <rPr>
        <i/>
        <sz val="12"/>
        <rFont val="Calibri"/>
        <family val="2"/>
        <scheme val="minor"/>
      </rPr>
      <t>resp_firstname</t>
    </r>
  </si>
  <si>
    <r>
      <t xml:space="preserve">For any response, go to </t>
    </r>
    <r>
      <rPr>
        <i/>
        <sz val="12"/>
        <rFont val="Calibri"/>
        <family val="2"/>
        <scheme val="minor"/>
      </rPr>
      <t>Refusal</t>
    </r>
  </si>
  <si>
    <r>
      <t xml:space="preserve">For any response, go to </t>
    </r>
    <r>
      <rPr>
        <i/>
        <sz val="12"/>
        <rFont val="Calibri"/>
        <family val="2"/>
        <scheme val="minor"/>
      </rPr>
      <t>CallbackMessageEN</t>
    </r>
  </si>
  <si>
    <r>
      <t xml:space="preserve">For any response, go to </t>
    </r>
    <r>
      <rPr>
        <i/>
        <sz val="12"/>
        <rFont val="Calibri"/>
        <family val="2"/>
        <scheme val="minor"/>
      </rPr>
      <t>resp_lastname</t>
    </r>
  </si>
  <si>
    <r>
      <t xml:space="preserve">For any response, go to </t>
    </r>
    <r>
      <rPr>
        <i/>
        <sz val="12"/>
        <rFont val="Calibri"/>
        <family val="2"/>
        <scheme val="minor"/>
      </rPr>
      <t>resp_age</t>
    </r>
  </si>
  <si>
    <t>Only respondents from 18-100 will be eligible for the survey.</t>
  </si>
  <si>
    <r>
      <t xml:space="preserve">For any response, go to </t>
    </r>
    <r>
      <rPr>
        <i/>
        <sz val="12"/>
        <rFont val="Calibri"/>
        <family val="2"/>
        <scheme val="minor"/>
      </rPr>
      <t>phone_number_conf</t>
    </r>
  </si>
  <si>
    <t>if contact_2 = 1-3, go to phone_number_2
if contact_2 = 4-6, go to contact_3</t>
  </si>
  <si>
    <t>Asked if response to contact_2 was "YES - other household member" or "YES - friend or relative [non-household member]". Otherwise, it skips to "contact_3".
For any response, go to contact_3</t>
  </si>
  <si>
    <t>Asked if response to contact_3 was "YES - other household member" or "YES - friend or relative [non-household member]". Otherwise, it skips to "hh_admin1".
For any response, go to hh_admin1</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</si>
  <si>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</si>
  <si>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</si>
  <si>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r>
      <t>For any response, go to</t>
    </r>
    <r>
      <rPr>
        <sz val="12"/>
        <color theme="4"/>
        <rFont val="Calibri"/>
        <family val="2"/>
        <scheme val="minor"/>
      </rPr>
      <t xml:space="preserve"> [income_main OR other optional question]</t>
    </r>
  </si>
  <si>
    <r>
      <t>For any response, go to</t>
    </r>
    <r>
      <rPr>
        <sz val="12"/>
        <color theme="4"/>
        <rFont val="Calibri"/>
        <family val="2"/>
        <scheme val="minor"/>
      </rPr>
      <t xml:space="preserve"> [next question]</t>
    </r>
  </si>
  <si>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</si>
  <si>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</si>
  <si>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</si>
  <si>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For any response, go to crp_landsize_unit. Range is between 0 and 1000000. For "Don't know" and "Refused", go to crp_main.</t>
  </si>
  <si>
    <t>if crp_main_check = 1, go to crp_salesmain
if crp_main_check = 2, go to crp_proddif</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</si>
  <si>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</si>
  <si>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r>
      <t>if crp_harv_change = 1-7, go to</t>
    </r>
    <r>
      <rPr>
        <sz val="12"/>
        <color theme="4"/>
        <rFont val="Calibri"/>
        <family val="2"/>
        <scheme val="minor"/>
      </rPr>
      <t xml:space="preserve"> [crp_proddif or crp_harv_vol]</t>
    </r>
  </si>
  <si>
    <r>
      <t>if crp_proddif = 1, go to crp_proddif_2 ; 
if crp_proddif = 2-4, go to [</t>
    </r>
    <r>
      <rPr>
        <sz val="12"/>
        <color theme="4"/>
        <rFont val="Calibri"/>
        <family val="2"/>
        <scheme val="minor"/>
      </rPr>
      <t>crp_salesmain or optional question]</t>
    </r>
  </si>
  <si>
    <r>
      <t>if crp_proddif_2 = 1-18, go to</t>
    </r>
    <r>
      <rPr>
        <sz val="12"/>
        <color theme="4"/>
        <rFont val="Calibri"/>
        <family val="2"/>
        <scheme val="minor"/>
      </rPr>
      <t xml:space="preserve"> [crp_salesmain OR optional question]</t>
    </r>
  </si>
  <si>
    <r>
      <rPr>
        <sz val="12"/>
        <rFont val="Calibri"/>
        <family val="2"/>
        <scheme val="minor"/>
      </rPr>
      <t xml:space="preserve">For any response to crp_all, go to </t>
    </r>
    <r>
      <rPr>
        <b/>
        <i/>
        <sz val="12"/>
        <color theme="4"/>
        <rFont val="Calibri"/>
        <family val="2"/>
        <scheme val="minor"/>
      </rPr>
      <t>crp_salesmain</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</si>
  <si>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</si>
  <si>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</si>
  <si>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</si>
  <si>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</si>
  <si>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r>
      <t xml:space="preserve">answers can range from 0-10000; any response goes to </t>
    </r>
    <r>
      <rPr>
        <i/>
        <sz val="12"/>
        <rFont val="Calibri"/>
        <family val="2"/>
        <scheme val="minor"/>
      </rPr>
      <t>ls_num_now</t>
    </r>
  </si>
  <si>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</si>
  <si>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r>
      <t>For options #1-7, go to</t>
    </r>
    <r>
      <rPr>
        <sz val="12"/>
        <color theme="4"/>
        <rFont val="Calibri"/>
        <family val="2"/>
        <scheme val="minor"/>
      </rPr>
      <t xml:space="preserve"> fish_intro</t>
    </r>
  </si>
  <si>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</si>
  <si>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</si>
  <si>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r>
      <t xml:space="preserve">if fish_proddif = 1, go to fish_proddif_2 ; 
if fish_proddif = 2-4, go to </t>
    </r>
    <r>
      <rPr>
        <sz val="12"/>
        <color theme="4"/>
        <rFont val="Calibri"/>
        <family val="2"/>
        <scheme val="minor"/>
      </rPr>
      <t>fish_salesmain OR optional question</t>
    </r>
  </si>
  <si>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</si>
  <si>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</si>
  <si>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</si>
  <si>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</si>
  <si>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</si>
  <si>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</si>
  <si>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</si>
  <si>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</si>
  <si>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</si>
  <si>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</si>
  <si>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r>
      <t>if fies_whlday = 1, go to fies_whlday_hhs. Otherwise, go to</t>
    </r>
    <r>
      <rPr>
        <sz val="12"/>
        <color theme="4"/>
        <rFont val="Calibri"/>
        <family val="2"/>
        <scheme val="minor"/>
      </rPr>
      <t xml:space="preserve"> lcsi_intro OR hdds</t>
    </r>
  </si>
  <si>
    <r>
      <t>if fies_whlday_hhs = 1-5, go to</t>
    </r>
    <r>
      <rPr>
        <sz val="12"/>
        <color theme="4"/>
        <rFont val="Calibri"/>
        <family val="2"/>
        <scheme val="minor"/>
      </rPr>
      <t xml:space="preserve"> lcsi_intro OR hdds</t>
    </r>
  </si>
  <si>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</si>
  <si>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For any response, go to fcs_vegetables_days</t>
  </si>
  <si>
    <t>For any response, go to rcsi_intro</t>
  </si>
  <si>
    <t>For any response, go to rcsi_restrict_adult_consumpt</t>
  </si>
  <si>
    <r>
      <t>if assistance_quality = 1-8, go to</t>
    </r>
    <r>
      <rPr>
        <b/>
        <sz val="12"/>
        <rFont val="Calibri"/>
        <family val="2"/>
        <scheme val="minor"/>
      </rPr>
      <t xml:space="preserve"> </t>
    </r>
    <r>
      <rPr>
        <b/>
        <sz val="12"/>
        <color rgb="FF4472C4"/>
        <rFont val="Calibri"/>
        <family val="2"/>
        <scheme val="minor"/>
      </rPr>
      <t>callback or assistance_provider</t>
    </r>
  </si>
  <si>
    <r>
      <t xml:space="preserve">if assistance_provider = 1-7, go to </t>
    </r>
    <r>
      <rPr>
        <sz val="12"/>
        <color theme="4"/>
        <rFont val="Calibri"/>
        <family val="2"/>
        <scheme val="minor"/>
      </rPr>
      <t xml:space="preserve">callback </t>
    </r>
  </si>
  <si>
    <r>
      <t>If the income amount is over the threshold set in "Additional information", the respondent will be asked to confirm with income_sec_amount_conf. Otherwise, go to</t>
    </r>
    <r>
      <rPr>
        <i/>
        <sz val="12"/>
        <color rgb="FFFF0000"/>
        <rFont val="Calibri"/>
        <family val="2"/>
        <scheme val="minor"/>
      </rPr>
      <t>income_sec_gender</t>
    </r>
    <r>
      <rPr>
        <i/>
        <sz val="12"/>
        <rFont val="Calibri"/>
        <family val="2"/>
        <scheme val="minor"/>
      </rPr>
      <t>.</t>
    </r>
  </si>
  <si>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</si>
  <si>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r>
      <t xml:space="preserve">answers can range from 0-10000; any response goes to </t>
    </r>
    <r>
      <rPr>
        <i/>
        <sz val="12"/>
        <rFont val="Calibri"/>
        <family val="2"/>
        <scheme val="minor"/>
      </rPr>
      <t>ls_num_change</t>
    </r>
  </si>
  <si>
    <t>if ls_feed = 1, go to o_ls_pasture ; 
If ls_feed = 2-8, go to ls_proddif</t>
  </si>
  <si>
    <t>The range of animals should be the same as for ls_num_now and ls_num_lastyr</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</si>
  <si>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</si>
  <si>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</si>
  <si>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r>
      <t xml:space="preserve">1 = </t>
    </r>
    <r>
      <rPr>
        <b/>
        <sz val="12"/>
        <color rgb="FFFF0000"/>
        <rFont val="Calibri"/>
        <family val="2"/>
        <scheme val="minor"/>
      </rPr>
      <t>[next question]</t>
    </r>
  </si>
  <si>
    <r>
      <t xml:space="preserve">1-6 = </t>
    </r>
    <r>
      <rPr>
        <b/>
        <sz val="12"/>
        <color rgb="FFFF0000"/>
        <rFont val="Calibri"/>
        <family val="2"/>
        <scheme val="minor"/>
      </rPr>
      <t>[next question]</t>
    </r>
  </si>
  <si>
    <r>
      <t xml:space="preserve">if </t>
    </r>
    <r>
      <rPr>
        <i/>
        <sz val="12"/>
        <rFont val="Calibri"/>
        <family val="2"/>
        <scheme val="minor"/>
      </rPr>
      <t xml:space="preserve">hdds_confirmation </t>
    </r>
    <r>
      <rPr>
        <sz val="12"/>
        <rFont val="Calibri"/>
        <family val="2"/>
        <scheme val="minor"/>
      </rPr>
      <t xml:space="preserve">= 1, go to </t>
    </r>
    <r>
      <rPr>
        <b/>
        <sz val="12"/>
        <color rgb="FFFF0000"/>
        <rFont val="Calibri"/>
        <family val="2"/>
        <scheme val="minor"/>
      </rPr>
      <t>fcs_intro</t>
    </r>
  </si>
  <si>
    <t>Makadii henyu, Ndinonzi #OPERATOR#, uye ndiri kufona ndiri kuGeoPoll Polling Agency ndakamiririra sangano reFood and Agriculture Organization of the United Nations [FAO]. Tiri kuita tsvakurudzo iri pamusoro pemararamiro edzimhuri uye mawanikiro ezvokudya munzvimbo yenyu.Ndiri kuda kukubvunzai mibvunzo pamusoro pemhuri yenyu.
Tsvakurudzo iyi inowanzotora maminitsi 20/30  kuti ipere. Chero mashoko amuchapa haazoudzwi chero ani, achangoshandiswa nekuda kwechinangwa chetsvakurudzo uye haazoratidzwa kune vamwe vanhu. Kubatanidzwa kwako kwekuzvidira pane zvichabuda muhurukuro ino HAKUNA CHERO NEPADIKI POSE kubatana nemukana wako wekuwana chero rubatsiro. Uri kuita izvi uchizvidira uye unogona kusarudza kusapindura chero mubvunzo kana kuti mibvunzo yose kana uchida. Zvisinei, tine tarisiro yekuti uchabatanidzwa sezvo maonero ako akakosha.  
Uchagamuchira #TOPUP#! yemari yekuti vaita kurukurirano sechipo chekuita kuti uve nechido chekubatanidzwa mutsvakurudzo iyi.
Tapota ziva kuti hurukuro yatichaita parunhare inogona kurekodhwa kuti zvibude zvakanaka.
Ungava uine chero mubvunzo?
[ARI KUITISA ONGORORO: PINDURA MIBVUNZO YEARI KUPINDURA, KANA IRIPO]
1)ENDERERA MBERI</t>
  </si>
  <si>
    <t>Sakubona mnumzana/nkosazana, ibizo lami ngu #OPERATOR#, njalo ngikutshayela ucingo ngikunhlanganiso yeGeoPoll Polling Agency ngimele inhlanganiso ebona ngezokudla lezokulima eye-Food and Agriculture Organization of the United Nations [FAO]. Siqhuba incwayisiso ngezokuziphilisa ezindlini kanye lokwenelisa ukufinyelela ukudla endaweni ohlala kiyo. Ngizathanda ukukubuza imbuzo mayelana lomuzi wakho.
Incwayisio ivame ukuthatha imizuzu engu 20/30 ukuthi iphethe. Ulwazi osipha lona luzagcinwa ngemfihlo, lusetshenziswa kuphela kuncwayisiso le njalo kalusoke lutshengiswe abanye abantu. Ukuzikhethela ukuphatheka kwakho kokuzaphuma kungxoxo le akuSOKE KUXHUMANE NGITSHO lethuba lakho lokutholiswa uncedo. Lokhu yikuzikhethela njalo ungakhetha ukungaphenduli eminye imibuzo kumbe yonke imibuzo. Kodwa, silethemba lokuthi uzaphatheka njengoba imibono yakho imqoka.  
Uzamukela i#TOPUP# yemali yokuxhumana lawe njengesikhuthazo sokuphatheka kuncwayisiso.
Sicela unanzelele ukuthi ucingo lolu lungarekhodwa kusenzelwa ukujula.
Ungabe ulemibuzo?
[OQHUBAYO: PHENDULA IMIBUZO KAMAPHENDULA, NXA IKHONA]
1)QHUBEKA</t>
  </si>
  <si>
    <t>1-2 = quotareached
3-12 = Ineligible</t>
  </si>
  <si>
    <t>1-3 = Ineligible
4 = quotareached
5-12 = Ineligible</t>
  </si>
  <si>
    <t>FAO - Household Questionnaire - EM</t>
  </si>
  <si>
    <t>1-3 = income_sec_crop_check
4 = income_sec_ls_check
5 = income_sec_amount
6 = income_sec_fish_check
7-18 = income_sec_amount
19-21 = shock</t>
  </si>
  <si>
    <t xml:space="preserve">Currently, in which Province does your household reside?
[OPERATOR: SINGLE SELECTION.]
[HINT: HOUSEHOLD CONSISTS OF ALL MEMBERS LIVING TOGETHER, SHARING RESOURCES &amp; EATING FROM THE SAME POT.]
1)BULAWAYO
2)HARARE
3)MANICALAND
4)MASHONALAND CENTRAL
5)MASHONALAND EAST
6)MASHONALAND WEST
7)MASVINGO
8)MATABELELAND NORTH
9)MATABELELAND SOUTH
10)MIDLANDS
11)DON'T KNOW
12)REFUSED </t>
  </si>
  <si>
    <r>
      <t>if Agree = 1, go to</t>
    </r>
    <r>
      <rPr>
        <b/>
        <i/>
        <sz val="12"/>
        <color theme="4"/>
        <rFont val="Calibri"/>
        <family val="2"/>
        <scheme val="minor"/>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</si>
  <si>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r>
      <t xml:space="preserve">if Agree = 1, go to </t>
    </r>
    <r>
      <rPr>
        <sz val="12"/>
        <color rgb="FFFF0000"/>
        <rFont val="Calibri"/>
        <family val="2"/>
        <scheme val="minor"/>
      </rPr>
      <t>id_panel</t>
    </r>
    <r>
      <rPr>
        <sz val="12"/>
        <rFont val="Calibri"/>
        <family val="2"/>
        <scheme val="minor"/>
      </rPr>
      <t xml:space="preserve">
if Agree = 2, go to WhenCallBack
if Agree = 3, go to resp_refusalwhy</t>
    </r>
  </si>
  <si>
    <r>
      <t>if</t>
    </r>
    <r>
      <rPr>
        <i/>
        <sz val="12"/>
        <color theme="9" tint="-0.499984740745262"/>
        <rFont val="Calibri"/>
        <family val="2"/>
        <scheme val="minor"/>
      </rPr>
      <t xml:space="preserve"> phone_number_conf </t>
    </r>
    <r>
      <rPr>
        <sz val="12"/>
        <color theme="9" tint="-0.499984740745262"/>
        <rFont val="Calibri"/>
        <family val="2"/>
        <scheme val="minor"/>
      </rPr>
      <t xml:space="preserve">= 1, go to </t>
    </r>
    <r>
      <rPr>
        <i/>
        <sz val="12"/>
        <color theme="9" tint="-0.499984740745262"/>
        <rFont val="Calibri"/>
        <family val="2"/>
        <scheme val="minor"/>
      </rPr>
      <t>contact_2</t>
    </r>
    <r>
      <rPr>
        <sz val="12"/>
        <color theme="9" tint="-0.499984740745262"/>
        <rFont val="Calibri"/>
        <family val="2"/>
        <scheme val="minor"/>
      </rPr>
      <t xml:space="preserve">
if </t>
    </r>
    <r>
      <rPr>
        <i/>
        <sz val="12"/>
        <color theme="9" tint="-0.499984740745262"/>
        <rFont val="Calibri"/>
        <family val="2"/>
        <scheme val="minor"/>
      </rPr>
      <t xml:space="preserve">phone_number_conf </t>
    </r>
    <r>
      <rPr>
        <sz val="12"/>
        <color theme="9" tint="-0.499984740745262"/>
        <rFont val="Calibri"/>
        <family val="2"/>
        <scheme val="minor"/>
      </rPr>
      <t xml:space="preserve">= 2, go to </t>
    </r>
    <r>
      <rPr>
        <i/>
        <sz val="12"/>
        <color theme="9" tint="-0.499984740745262"/>
        <rFont val="Calibri"/>
        <family val="2"/>
        <scheme val="minor"/>
      </rPr>
      <t>phone_number_personal</t>
    </r>
    <r>
      <rPr>
        <sz val="12"/>
        <color theme="9" tint="-0.499984740745262"/>
        <rFont val="Calibri"/>
        <family val="2"/>
        <scheme val="minor"/>
      </rPr>
      <t xml:space="preserve">
if </t>
    </r>
    <r>
      <rPr>
        <i/>
        <sz val="12"/>
        <color theme="9" tint="-0.499984740745262"/>
        <rFont val="Calibri"/>
        <family val="2"/>
        <scheme val="minor"/>
      </rPr>
      <t xml:space="preserve">phone_number_conf </t>
    </r>
    <r>
      <rPr>
        <sz val="12"/>
        <color theme="9" tint="-0.499984740745262"/>
        <rFont val="Calibri"/>
        <family val="2"/>
        <scheme val="minor"/>
      </rPr>
      <t xml:space="preserve">= 3-4, go to </t>
    </r>
    <r>
      <rPr>
        <i/>
        <sz val="12"/>
        <color theme="9" tint="-0.499984740745262"/>
        <rFont val="Calibri"/>
        <family val="2"/>
        <scheme val="minor"/>
      </rPr>
      <t>contact_2</t>
    </r>
  </si>
  <si>
    <r>
      <rPr>
        <sz val="14"/>
        <color rgb="FF0070C0"/>
        <rFont val="Calibri"/>
        <family val="2"/>
        <scheme val="minor"/>
      </rPr>
      <t xml:space="preserve">Can you give me an additional phone number belonging to you, another household member or a close relative living outside of the household at which you can be reached?
</t>
    </r>
    <r>
      <rPr>
        <sz val="14"/>
        <rFont val="Calibri"/>
        <family val="2"/>
        <scheme val="minor"/>
      </rPr>
      <t xml:space="preserve">
[OPERATOR: SINGLE RESPONSE.]
1)YES - mine 
2)YES - other household member
3)YES - friend or relative [non-household member]
4)NO
5)DON'T KNOW
6)REFUSED</t>
    </r>
  </si>
  <si>
    <r>
      <rPr>
        <sz val="14"/>
        <color rgb="FF0070C0"/>
        <rFont val="Calibri"/>
        <family val="2"/>
        <scheme val="minor"/>
      </rPr>
      <t>Can you give me an additional phone number belonging to you, another household member or a close relative living outside of the household at which you can be reached?</t>
    </r>
    <r>
      <rPr>
        <sz val="14"/>
        <rFont val="Calibri"/>
        <family val="2"/>
        <scheme val="minor"/>
      </rPr>
      <t xml:space="preserve">
[OPERATOR: SINGLE RESPONSE.]
1)YES - mine
2)YES - other household member
3)YES - friend or relative [non-household member]
4)NO
5)DON'T KNOW
6)REFUSED</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</si>
  <si>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family val="2"/>
        <scheme val="minor"/>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</si>
  <si>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r>
      <t xml:space="preserve">if hh_agricactivity = 1-4, go to </t>
    </r>
    <r>
      <rPr>
        <sz val="12"/>
        <color rgb="FFFF0000"/>
        <rFont val="Calibri"/>
        <family val="2"/>
        <scheme val="minor"/>
      </rPr>
      <t>hh_fish</t>
    </r>
    <r>
      <rPr>
        <sz val="12"/>
        <rFont val="Calibri"/>
        <family val="2"/>
        <scheme val="minor"/>
      </rPr>
      <t xml:space="preserve">. Otherwise, the respondent is ineligible. </t>
    </r>
  </si>
  <si>
    <r>
      <t xml:space="preserve">if </t>
    </r>
    <r>
      <rPr>
        <i/>
        <sz val="12"/>
        <rFont val="Calibri"/>
        <family val="2"/>
        <scheme val="minor"/>
      </rPr>
      <t>hh_fish</t>
    </r>
    <r>
      <rPr>
        <sz val="12"/>
        <rFont val="Calibri"/>
        <family val="2"/>
        <scheme val="minor"/>
      </rPr>
      <t xml:space="preserve"> = 1-2, go to resp_id. Otherwise, the respondent is ineligible. </t>
    </r>
  </si>
  <si>
    <r>
      <t xml:space="preserve">if </t>
    </r>
    <r>
      <rPr>
        <i/>
        <sz val="12"/>
        <rFont val="Calibri"/>
        <family val="2"/>
        <scheme val="minor"/>
      </rPr>
      <t>resp_id</t>
    </r>
    <r>
      <rPr>
        <sz val="12"/>
        <rFont val="Calibri"/>
        <family val="2"/>
        <scheme val="minor"/>
      </rPr>
      <t xml:space="preserve"> = 1, go to </t>
    </r>
    <r>
      <rPr>
        <i/>
        <sz val="12"/>
        <rFont val="Calibri"/>
        <family val="2"/>
        <scheme val="minor"/>
      </rPr>
      <t>hh_education</t>
    </r>
    <r>
      <rPr>
        <sz val="12"/>
        <rFont val="Calibri"/>
        <family val="2"/>
        <scheme val="minor"/>
      </rPr>
      <t>. 
Otherwise, go to hh_gender.</t>
    </r>
  </si>
  <si>
    <r>
      <t>For any response, go to</t>
    </r>
    <r>
      <rPr>
        <sz val="12"/>
        <color theme="4"/>
        <rFont val="Calibri"/>
        <family val="2"/>
        <scheme val="minor"/>
      </rPr>
      <t xml:space="preserve"> </t>
    </r>
    <r>
      <rPr>
        <sz val="12"/>
        <color rgb="FFFF0000"/>
        <rFont val="Calibri"/>
        <family val="2"/>
        <scheme val="minor"/>
      </rPr>
      <t>hh_residencetype</t>
    </r>
  </si>
  <si>
    <r>
      <t xml:space="preserve">For any response, go to </t>
    </r>
    <r>
      <rPr>
        <sz val="12"/>
        <color rgb="FFFF0000"/>
        <rFont val="Calibri"/>
        <family val="2"/>
        <scheme val="minor"/>
      </rPr>
      <t>hh_size</t>
    </r>
  </si>
  <si>
    <r>
      <t>For any response, go to</t>
    </r>
    <r>
      <rPr>
        <sz val="12"/>
        <color theme="4"/>
        <rFont val="Calibri"/>
        <family val="2"/>
        <scheme val="minor"/>
      </rPr>
      <t xml:space="preserve"> </t>
    </r>
    <r>
      <rPr>
        <sz val="12"/>
        <color rgb="FFFF0000"/>
        <rFont val="Calibri"/>
        <family val="2"/>
        <scheme val="minor"/>
      </rPr>
      <t>hh_asset_prod</t>
    </r>
  </si>
  <si>
    <r>
      <t>For any response, go to</t>
    </r>
    <r>
      <rPr>
        <sz val="12"/>
        <color theme="4"/>
        <rFont val="Calibri"/>
        <family val="2"/>
        <scheme val="minor"/>
      </rPr>
      <t xml:space="preserve"> </t>
    </r>
    <r>
      <rPr>
        <sz val="12"/>
        <color rgb="FFFF0000"/>
        <rFont val="Calibri"/>
        <family val="2"/>
        <scheme val="minor"/>
      </rPr>
      <t>hh_martialstat</t>
    </r>
  </si>
  <si>
    <r>
      <t>For any response, go to</t>
    </r>
    <r>
      <rPr>
        <sz val="12"/>
        <color theme="4"/>
        <rFont val="Calibri"/>
        <family val="2"/>
        <scheme val="minor"/>
      </rPr>
      <t xml:space="preserve"> </t>
    </r>
    <r>
      <rPr>
        <sz val="12"/>
        <color rgb="FFFF0000"/>
        <rFont val="Calibri"/>
        <family val="2"/>
        <scheme val="minor"/>
      </rPr>
      <t>hh_age</t>
    </r>
  </si>
  <si>
    <r>
      <t>For any response, go to</t>
    </r>
    <r>
      <rPr>
        <sz val="12"/>
        <color theme="4"/>
        <rFont val="Calibri"/>
        <family val="2"/>
        <scheme val="minor"/>
      </rPr>
      <t xml:space="preserve"> </t>
    </r>
    <r>
      <rPr>
        <sz val="12"/>
        <color rgb="FFFF0000"/>
        <rFont val="Calibri"/>
        <family val="2"/>
        <scheme val="minor"/>
      </rPr>
      <t>income_main</t>
    </r>
  </si>
  <si>
    <r>
      <t xml:space="preserve">if options #1-3 selected, go to income_main_crop_check
if options #4 selected, go to income_main_ls_check
if options #6 selected, go to income_main_fish_check </t>
    </r>
    <r>
      <rPr>
        <sz val="12"/>
        <color rgb="FFFF0000"/>
        <rFont val="Calibri"/>
        <family val="2"/>
        <scheme val="minor"/>
      </rPr>
      <t xml:space="preserve">
</t>
    </r>
    <r>
      <rPr>
        <sz val="12"/>
        <rFont val="Calibri"/>
        <family val="2"/>
        <scheme val="minor"/>
      </rPr>
      <t xml:space="preserve">
if options #5, 7-18 selected, go to </t>
    </r>
    <r>
      <rPr>
        <sz val="12"/>
        <color theme="4"/>
        <rFont val="Calibri"/>
        <family val="2"/>
        <scheme val="minor"/>
      </rPr>
      <t>[income_main_comp OR optional question]</t>
    </r>
    <r>
      <rPr>
        <sz val="12"/>
        <rFont val="Calibri"/>
        <family val="2"/>
        <scheme val="minor"/>
      </rPr>
      <t xml:space="preserve">
if options #19-21 selected, go to shock</t>
    </r>
  </si>
  <si>
    <r>
      <t xml:space="preserve">if options #1-3 selected, go to income_main_crop_check
if options #4 selected, go to income_main_ls_check
if options #6 selected, go to income_main_fish_check </t>
    </r>
    <r>
      <rPr>
        <sz val="12"/>
        <color rgb="FFFF0000"/>
        <rFont val="Calibri"/>
        <family val="2"/>
        <scheme val="minor"/>
      </rPr>
      <t xml:space="preserve">
</t>
    </r>
    <r>
      <rPr>
        <sz val="12"/>
        <rFont val="Calibri"/>
        <family val="2"/>
        <scheme val="minor"/>
      </rPr>
      <t xml:space="preserve">
if options #5, 7-18 selected, go to </t>
    </r>
    <r>
      <rPr>
        <sz val="12"/>
        <color rgb="FFFF0000"/>
        <rFont val="Calibri"/>
        <family val="2"/>
        <scheme val="minor"/>
      </rPr>
      <t>income_main_amount</t>
    </r>
    <r>
      <rPr>
        <sz val="12"/>
        <rFont val="Calibri"/>
        <family val="2"/>
        <scheme val="minor"/>
      </rPr>
      <t xml:space="preserve">
if options #19-21 selected, go to shock</t>
    </r>
  </si>
  <si>
    <r>
      <t xml:space="preserve">if income_main_crop_check = 1-4, go to </t>
    </r>
    <r>
      <rPr>
        <sz val="12"/>
        <color theme="4"/>
        <rFont val="Calibri"/>
        <family val="2"/>
        <scheme val="minor"/>
      </rPr>
      <t>[income_main_comp OR optional question]</t>
    </r>
  </si>
  <si>
    <r>
      <t xml:space="preserve">if income_main_crop_check = 1-4, go to </t>
    </r>
    <r>
      <rPr>
        <sz val="12"/>
        <color rgb="FFFF0000"/>
        <rFont val="Calibri"/>
        <family val="2"/>
        <scheme val="minor"/>
      </rPr>
      <t>income_main_amount</t>
    </r>
  </si>
  <si>
    <r>
      <t xml:space="preserve">if income_main_ls_check = 1-4, go to </t>
    </r>
    <r>
      <rPr>
        <sz val="12"/>
        <color theme="4"/>
        <rFont val="Calibri"/>
        <family val="2"/>
        <scheme val="minor"/>
      </rPr>
      <t>[income_main_comp OR optional question]</t>
    </r>
  </si>
  <si>
    <r>
      <t xml:space="preserve">if income_main_ls_check = 1-4, go to </t>
    </r>
    <r>
      <rPr>
        <sz val="12"/>
        <color rgb="FFFF0000"/>
        <rFont val="Calibri"/>
        <family val="2"/>
        <scheme val="minor"/>
      </rPr>
      <t>income_main_amount</t>
    </r>
  </si>
  <si>
    <r>
      <t xml:space="preserve">if income_main_fish_check = 1-4, go to </t>
    </r>
    <r>
      <rPr>
        <sz val="12"/>
        <color theme="4"/>
        <rFont val="Calibri"/>
        <family val="2"/>
        <scheme val="minor"/>
      </rPr>
      <t>[income_main_comp OR optional question]</t>
    </r>
  </si>
  <si>
    <r>
      <t xml:space="preserve">if income_main_fish_check = 1-4, go to </t>
    </r>
    <r>
      <rPr>
        <sz val="12"/>
        <color rgb="FFFF0000"/>
        <rFont val="Calibri"/>
        <family val="2"/>
        <scheme val="minor"/>
      </rPr>
      <t>income_main_amount</t>
    </r>
  </si>
  <si>
    <r>
      <t>If the income amount is over the threshold set in "Additional information", the respondent will be asked to confirm with income_main_amount_conf. Otherwise, go to</t>
    </r>
    <r>
      <rPr>
        <i/>
        <sz val="12"/>
        <color theme="4"/>
        <rFont val="Calibri"/>
        <family val="2"/>
        <scheme val="minor"/>
      </rPr>
      <t xml:space="preserve"> income_main_comp or optional question.</t>
    </r>
  </si>
  <si>
    <r>
      <t>If the income amount is over the threshold set in "Additional information", the respondent will be asked to confirm with income_main_amount_conf. Otherwise, go to</t>
    </r>
    <r>
      <rPr>
        <i/>
        <sz val="12"/>
        <color theme="4"/>
        <rFont val="Calibri"/>
        <family val="2"/>
        <scheme val="minor"/>
      </rPr>
      <t xml:space="preserve"> </t>
    </r>
    <r>
      <rPr>
        <i/>
        <sz val="12"/>
        <color rgb="FFFF0000"/>
        <rFont val="Calibri"/>
        <family val="2"/>
        <scheme val="minor"/>
      </rPr>
      <t xml:space="preserve">income_main_amount </t>
    </r>
  </si>
  <si>
    <r>
      <t xml:space="preserve">if </t>
    </r>
    <r>
      <rPr>
        <i/>
        <sz val="12"/>
        <rFont val="Calibri"/>
        <family val="2"/>
        <scheme val="minor"/>
      </rPr>
      <t>income_main_amount_conf</t>
    </r>
    <r>
      <rPr>
        <sz val="12"/>
        <rFont val="Calibri"/>
        <family val="2"/>
        <scheme val="minor"/>
      </rPr>
      <t xml:space="preserve"> = 1, go to </t>
    </r>
    <r>
      <rPr>
        <i/>
        <sz val="12"/>
        <color theme="4"/>
        <rFont val="Calibri"/>
        <family val="2"/>
        <scheme val="minor"/>
      </rPr>
      <t>income_main_comp</t>
    </r>
    <r>
      <rPr>
        <sz val="12"/>
        <color theme="4"/>
        <rFont val="Calibri"/>
        <family val="2"/>
        <scheme val="minor"/>
      </rPr>
      <t xml:space="preserve"> or optional question</t>
    </r>
  </si>
  <si>
    <r>
      <t xml:space="preserve">if </t>
    </r>
    <r>
      <rPr>
        <i/>
        <sz val="12"/>
        <rFont val="Calibri"/>
        <family val="2"/>
        <scheme val="minor"/>
      </rPr>
      <t>income_main_amount_conf</t>
    </r>
    <r>
      <rPr>
        <sz val="12"/>
        <rFont val="Calibri"/>
        <family val="2"/>
        <scheme val="minor"/>
      </rPr>
      <t xml:space="preserve"> = 1, go to </t>
    </r>
    <r>
      <rPr>
        <i/>
        <sz val="12"/>
        <color rgb="FFFF0000"/>
        <rFont val="Calibri"/>
        <family val="2"/>
        <scheme val="minor"/>
      </rPr>
      <t>income_main_gender</t>
    </r>
  </si>
  <si>
    <r>
      <t xml:space="preserve">if </t>
    </r>
    <r>
      <rPr>
        <i/>
        <sz val="12"/>
        <rFont val="Calibri"/>
        <family val="2"/>
        <scheme val="minor"/>
      </rPr>
      <t>income_main_gender</t>
    </r>
    <r>
      <rPr>
        <sz val="12"/>
        <rFont val="Calibri"/>
        <family val="2"/>
        <scheme val="minor"/>
      </rPr>
      <t xml:space="preserve"> = 1-5, go to </t>
    </r>
    <r>
      <rPr>
        <sz val="12"/>
        <color theme="4"/>
        <rFont val="Calibri"/>
        <family val="2"/>
        <scheme val="minor"/>
      </rPr>
      <t>income_main_comp or optional question</t>
    </r>
  </si>
  <si>
    <r>
      <t xml:space="preserve">if </t>
    </r>
    <r>
      <rPr>
        <i/>
        <sz val="12"/>
        <rFont val="Calibri"/>
        <family val="2"/>
        <scheme val="minor"/>
      </rPr>
      <t>income_main_gender</t>
    </r>
    <r>
      <rPr>
        <sz val="12"/>
        <rFont val="Calibri"/>
        <family val="2"/>
        <scheme val="minor"/>
      </rPr>
      <t xml:space="preserve"> = 1-5, go to </t>
    </r>
    <r>
      <rPr>
        <sz val="12"/>
        <color rgb="FFFF0000"/>
        <rFont val="Calibri"/>
        <family val="2"/>
        <scheme val="minor"/>
      </rPr>
      <t>income_main_control</t>
    </r>
  </si>
  <si>
    <r>
      <t xml:space="preserve">if </t>
    </r>
    <r>
      <rPr>
        <i/>
        <sz val="12"/>
        <rFont val="Calibri"/>
        <family val="2"/>
        <scheme val="minor"/>
      </rPr>
      <t xml:space="preserve">income_main_control </t>
    </r>
    <r>
      <rPr>
        <sz val="12"/>
        <rFont val="Calibri"/>
        <family val="2"/>
        <scheme val="minor"/>
      </rPr>
      <t xml:space="preserve">= 1-5, go to </t>
    </r>
    <r>
      <rPr>
        <i/>
        <sz val="12"/>
        <color theme="4"/>
        <rFont val="Calibri"/>
        <family val="2"/>
        <scheme val="minor"/>
      </rPr>
      <t xml:space="preserve">income_main_comp </t>
    </r>
    <r>
      <rPr>
        <sz val="12"/>
        <color theme="4"/>
        <rFont val="Calibri"/>
        <family val="2"/>
        <scheme val="minor"/>
      </rPr>
      <t>or optional question</t>
    </r>
  </si>
  <si>
    <r>
      <t xml:space="preserve">if </t>
    </r>
    <r>
      <rPr>
        <i/>
        <sz val="12"/>
        <rFont val="Calibri"/>
        <family val="2"/>
        <scheme val="minor"/>
      </rPr>
      <t xml:space="preserve">income_main_control </t>
    </r>
    <r>
      <rPr>
        <sz val="12"/>
        <rFont val="Calibri"/>
        <family val="2"/>
        <scheme val="minor"/>
      </rPr>
      <t xml:space="preserve">= 1-5, go to </t>
    </r>
    <r>
      <rPr>
        <i/>
        <sz val="12"/>
        <color rgb="FFFF0000"/>
        <rFont val="Calibri"/>
        <family val="2"/>
        <scheme val="minor"/>
      </rPr>
      <t>income_main_comp</t>
    </r>
  </si>
  <si>
    <r>
      <t xml:space="preserve">if income_main_comp = 1-7, go to </t>
    </r>
    <r>
      <rPr>
        <i/>
        <sz val="12"/>
        <rFont val="Calibri"/>
        <family val="2"/>
        <scheme val="minor"/>
      </rPr>
      <t>income_sec</t>
    </r>
  </si>
  <si>
    <t>Ndekupi kumwe kwechipiri kwakakosha uko mhuri yenyu yakawana mari mumwedzi 3 yapfuura?
[ARI KUITISA ONGORORO: MHINDURO IMWE CHETE. MHINDURO DZEKUTI HANDIZIVI UYE ARAMBA DZINOFANIRA KUDZIVISWA SEZVINGABVIRA.]
1)Kurima nekutengesa zvirimwa zvinonyanya kudyiwa
2)Kurima nekutengesa miriwo nemichhero 
3)Kurima nekutengesa zvirimwa zvisiri zvekudya
4)Kuchengeta nekutengesa zvipfuyo nezvinowanikwa kuzvipfuyo 
5)Kuchengeta nyuchi nekutengesa huchi nezvigadzirwa zvehuchi
6)Kuchengeta nekutengesa hove 
7)Kuunganidza nekutengesa zvinowanikwa musango 
8)Ketenga nekutengesa zvirimwa zvamusingarimi imi [zviri pamutemo kana zviziripamutemo]
9)Muhoro wepazuva pamabasa ekurima kana emaricho muchikamu chezvekurima
10)Basa renguva dzose muchikamu chezvekurima 
11)Kuzvishandira musiri muchikamu chezvekurima / chiremba / kugadzira mapurani edzimba / gweta / kusanganisira maresitorendi
12)Muhoro wepazuva kubva kumaricho asiri muchikamu chezvekurima
13)Basa renguva dzose risiri muchikamu chezvekurima
14)Basa muchikamu chehurumende 
15)Mari isiri yekushandira / yeZvipo
16)Mari isiri yekushandira / Mari yeWerofeya/yepenjeni/yerubatsiro
17)Mari isiri yekushandira / Yekutumirwa kubva kunze
18)Mari isiri yekushandira / Mari kubva kumamwe marendi
19)Hapana kwakabva mari mukati memwedzi 3 yapfuura uye taingoshandisa yagara yakachengetwa / yezvikwereti
20)HANDIZIVI
21)ARAMBA</t>
  </si>
  <si>
    <r>
      <t xml:space="preserve">if options #1-3 selected, go to income_sec_crop_check
if options #4 selected, go to income_sec_ls_check
if options #6 selected, go to income_sec_fish_check 
if options #5, 718 selected, go to </t>
    </r>
    <r>
      <rPr>
        <sz val="12"/>
        <color theme="4"/>
        <rFont val="Calibri"/>
        <family val="2"/>
        <scheme val="minor"/>
      </rPr>
      <t>[income_sec_comp OR optional question]</t>
    </r>
    <r>
      <rPr>
        <sz val="12"/>
        <rFont val="Calibri"/>
        <family val="2"/>
        <scheme val="minor"/>
      </rPr>
      <t xml:space="preserve">
if options #19-21 selected, go to shock</t>
    </r>
  </si>
  <si>
    <r>
      <t xml:space="preserve">if options #1-3 selected, go to income_sec_crop_check
if options #4 selected, go to income_sec_ls_check
if options #6 selected, go to income_sec_fish_check 
if options #5, 718 selected, go to </t>
    </r>
    <r>
      <rPr>
        <sz val="12"/>
        <color rgb="FFFF0000"/>
        <rFont val="Calibri"/>
        <family val="2"/>
        <scheme val="minor"/>
      </rPr>
      <t xml:space="preserve">income_sec_amount
</t>
    </r>
    <r>
      <rPr>
        <sz val="12"/>
        <rFont val="Calibri"/>
        <family val="2"/>
        <scheme val="minor"/>
      </rPr>
      <t>if options #19-21 selected, go to shock</t>
    </r>
  </si>
  <si>
    <t>Zvirimwa zvamunotengesa zvinorimwa nemi here kana kuti nemumwe  wemumhuri menyu? 
[ARI KUITISA ONGORORO: MHINDURO IMWE CHETE.]
1)HONGU 
2)KWETE
3)HANDIZIVI
4)ARAMBA</t>
  </si>
  <si>
    <r>
      <t>if income_sec_crop_check = 1-4, go to</t>
    </r>
    <r>
      <rPr>
        <sz val="12"/>
        <color theme="4"/>
        <rFont val="Calibri"/>
        <family val="2"/>
        <scheme val="minor"/>
      </rPr>
      <t xml:space="preserve"> [income_sec_comp OR optional question]</t>
    </r>
  </si>
  <si>
    <r>
      <t>if income_sec_crop_check = 1-4, go to</t>
    </r>
    <r>
      <rPr>
        <sz val="12"/>
        <color theme="4"/>
        <rFont val="Calibri"/>
        <family val="2"/>
        <scheme val="minor"/>
      </rPr>
      <t xml:space="preserve"> </t>
    </r>
    <r>
      <rPr>
        <sz val="12"/>
        <color rgb="FFFF0000"/>
        <rFont val="Calibri"/>
        <family val="2"/>
        <scheme val="minor"/>
      </rPr>
      <t>income_sec_amount</t>
    </r>
  </si>
  <si>
    <t>Zvipfuyo zvamunotengesa zvinochengetwa nemi here kana kuti nemumwe wemumhuri menyu?
[ARI KUITISA ONGORORO: MHINDURO IMWE CHETE.]
1)HONGU 
2)KWETE
3)HANDIZIVI
4)ARAMBA</t>
  </si>
  <si>
    <r>
      <t xml:space="preserve">if income_sec_ls_check = 1-4, go to </t>
    </r>
    <r>
      <rPr>
        <sz val="12"/>
        <color theme="4"/>
        <rFont val="Calibri"/>
        <family val="2"/>
        <scheme val="minor"/>
      </rPr>
      <t>[income_sec_comp OR optional question]</t>
    </r>
  </si>
  <si>
    <r>
      <t xml:space="preserve">if income_sec_ls_check = 1-4, go to </t>
    </r>
    <r>
      <rPr>
        <sz val="12"/>
        <color rgb="FFFF0000"/>
        <rFont val="Calibri"/>
        <family val="2"/>
        <scheme val="minor"/>
      </rPr>
      <t>income_sec_amount</t>
    </r>
  </si>
  <si>
    <t>Hove dzamunotengesa dzinochengetwa nemi here kana kuti nemumwe wemumhuri menyu? 
[ARI KUITISA ONGORORO: MHINDURO IMWE CHETE.]
1)HONGU 
2)KWETE
3)HANDIZIVI
4)ARAMBA</t>
  </si>
  <si>
    <r>
      <t xml:space="preserve">if income_sec_fish_check = 1-4, go to </t>
    </r>
    <r>
      <rPr>
        <sz val="12"/>
        <color theme="4"/>
        <rFont val="Calibri"/>
        <family val="2"/>
        <scheme val="minor"/>
      </rPr>
      <t>[income_sec_comp OR optional question]</t>
    </r>
  </si>
  <si>
    <r>
      <t xml:space="preserve">if income_sec_fish_check = 1-4, go to </t>
    </r>
    <r>
      <rPr>
        <sz val="12"/>
        <color rgb="FFFF0000"/>
        <rFont val="Calibri"/>
        <family val="2"/>
        <scheme val="minor"/>
      </rPr>
      <t>income_sec_amount</t>
    </r>
  </si>
  <si>
    <r>
      <t xml:space="preserve">If the income amount is over the threshold set in "Additional information", the respondent will be asked to confirm with income_sec_amount_conf. Otherwise, go to </t>
    </r>
    <r>
      <rPr>
        <i/>
        <sz val="12"/>
        <color theme="4"/>
        <rFont val="Calibri"/>
        <family val="2"/>
        <scheme val="minor"/>
      </rPr>
      <t>income_sec_comp</t>
    </r>
    <r>
      <rPr>
        <i/>
        <sz val="12"/>
        <rFont val="Calibri"/>
        <family val="2"/>
        <scheme val="minor"/>
      </rPr>
      <t>.</t>
    </r>
  </si>
  <si>
    <r>
      <t xml:space="preserve">if </t>
    </r>
    <r>
      <rPr>
        <i/>
        <sz val="12"/>
        <rFont val="Calibri"/>
        <family val="2"/>
        <scheme val="minor"/>
      </rPr>
      <t>income_sec_amount_conf</t>
    </r>
    <r>
      <rPr>
        <sz val="12"/>
        <rFont val="Calibri"/>
        <family val="2"/>
        <scheme val="minor"/>
      </rPr>
      <t xml:space="preserve"> = 1, go to </t>
    </r>
    <r>
      <rPr>
        <i/>
        <sz val="12"/>
        <color theme="4"/>
        <rFont val="Calibri"/>
        <family val="2"/>
        <scheme val="minor"/>
      </rPr>
      <t>income_sec_comp</t>
    </r>
  </si>
  <si>
    <r>
      <t xml:space="preserve">if </t>
    </r>
    <r>
      <rPr>
        <i/>
        <sz val="12"/>
        <rFont val="Calibri"/>
        <family val="2"/>
        <scheme val="minor"/>
      </rPr>
      <t>income_sec_amount_conf</t>
    </r>
    <r>
      <rPr>
        <sz val="12"/>
        <rFont val="Calibri"/>
        <family val="2"/>
        <scheme val="minor"/>
      </rPr>
      <t xml:space="preserve"> = 1, go to </t>
    </r>
    <r>
      <rPr>
        <i/>
        <sz val="12"/>
        <color rgb="FFFF0000"/>
        <rFont val="Calibri"/>
        <family val="2"/>
        <scheme val="minor"/>
      </rPr>
      <t>income_sec_gender</t>
    </r>
  </si>
  <si>
    <r>
      <t>if income_sec_gender = 1-5, go to</t>
    </r>
    <r>
      <rPr>
        <sz val="12"/>
        <color rgb="FFFF0000"/>
        <rFont val="Calibri"/>
        <family val="2"/>
        <scheme val="minor"/>
      </rPr>
      <t xml:space="preserve"> </t>
    </r>
    <r>
      <rPr>
        <sz val="12"/>
        <color theme="4"/>
        <rFont val="Calibri"/>
        <family val="2"/>
        <scheme val="minor"/>
      </rPr>
      <t>income_sec_comp or optional question</t>
    </r>
  </si>
  <si>
    <r>
      <t>if income_sec_gender = 1-5, go to</t>
    </r>
    <r>
      <rPr>
        <sz val="12"/>
        <color rgb="FFFF0000"/>
        <rFont val="Calibri"/>
        <family val="2"/>
        <scheme val="minor"/>
      </rPr>
      <t xml:space="preserve"> income_sec_control</t>
    </r>
  </si>
  <si>
    <r>
      <rPr>
        <sz val="12"/>
        <rFont val="Calibri"/>
        <family val="2"/>
        <scheme val="minor"/>
      </rPr>
      <t>if income_sec_control =  1-5, go to</t>
    </r>
    <r>
      <rPr>
        <sz val="12"/>
        <color rgb="FFFF0000"/>
        <rFont val="Calibri"/>
        <family val="2"/>
        <scheme val="minor"/>
      </rPr>
      <t xml:space="preserve"> </t>
    </r>
    <r>
      <rPr>
        <i/>
        <sz val="12"/>
        <color theme="4"/>
        <rFont val="Calibri"/>
        <family val="2"/>
        <scheme val="minor"/>
      </rPr>
      <t xml:space="preserve">income_sec_comp </t>
    </r>
    <r>
      <rPr>
        <sz val="12"/>
        <color theme="4"/>
        <rFont val="Calibri"/>
        <family val="2"/>
        <scheme val="minor"/>
      </rPr>
      <t>or optional question</t>
    </r>
  </si>
  <si>
    <r>
      <rPr>
        <sz val="12"/>
        <rFont val="Calibri"/>
        <family val="2"/>
        <scheme val="minor"/>
      </rPr>
      <t>if income_sec_control =  1-5, go to</t>
    </r>
    <r>
      <rPr>
        <sz val="12"/>
        <color rgb="FFFF0000"/>
        <rFont val="Calibri"/>
        <family val="2"/>
        <scheme val="minor"/>
      </rPr>
      <t xml:space="preserve"> </t>
    </r>
    <r>
      <rPr>
        <i/>
        <sz val="12"/>
        <color rgb="FFFF0000"/>
        <rFont val="Calibri"/>
        <family val="2"/>
        <scheme val="minor"/>
      </rPr>
      <t>income_sec_comp</t>
    </r>
  </si>
  <si>
    <r>
      <t xml:space="preserve">Ndekupi kumwe kwechitatu kwakakosha uko mhuri yenyu yakawana mari mumwedzi 3 yapfuura?
[ARI KUITISA ONGORORO: MHINDURO IMWE CHETE. MHINDURO DZEKUTI HANDIZIVI UYE ARAMBA DZINOGONA KUSADZIVISWA SEZVINGABVIRA.]
1)Kurima nekutengesa zvirimwa zvinonyanya kudyiwa
2)Kurima nekutengesa miriwo nemichhero 
3)Kurima nekutengesa zvirimwa zvisiri zvekudya
4)Kuchengeta nekutengesa zvipfuyo nezvinowanikwa kuzvipfuyo 
5)Kuchengeta nyuchi nekutengesa huchi nezvigadzirwa zvehuchi
6)Kuchengeta nekutengesa hove 
7)Kuunganidza nekutengesa zvinowanikwa musango 
8)Ketenga nekutengesa zvirimwa zvamusingarimi imi [zviri pamutemo kana zviziripamutemo]
9)Muhoro wepazuva pamabasa ekurima kana emaricho muchikamu chezvekurima
10)Basa renguva dzose muchikamu chezvekurima 
11)Kuzvishandira musiri muchikamu chezvekurima / chiremba / kugadzira mapurani edzimba / gweta / kusanganisira maresitorendi
12)Muhoro wepazuva kubva kumaricho asiri muchikamu chezvekurima
13)Basa renguva dzose risiri muchikamu chezvekurima
14)Basa muchikamu chehurumende 
15)Mari isiri yekushandira / yeZvipo
16)Mari isiri yekushandira / Mari yeWerofeya/yepenjeni/yerubatsiro
17)Mari isiri yekushandira / Yekutumirwa kubva kunze
18)Mari isiri yekushandira / Mari kubva kumamwe marendi
19)Hapana kwakabva mari mukati memwedzi 3 yapfuura uye taingoshandisa yagara yakachengetwa / yezvikwereti
</t>
    </r>
    <r>
      <rPr>
        <sz val="14"/>
        <color rgb="FF0070C0"/>
        <rFont val="Calibri"/>
        <family val="2"/>
        <scheme val="minor"/>
      </rPr>
      <t>20)HANDIZIVI
21)ARAMBA</t>
    </r>
  </si>
  <si>
    <r>
      <t xml:space="preserve">if options #1-3 selected, go to income_third_crop_check
if options #4 selected, go to income_third_ls_check
if option #6 selected, go to income_third_fish_check </t>
    </r>
    <r>
      <rPr>
        <sz val="12"/>
        <color rgb="FFFF0000"/>
        <rFont val="Calibri"/>
        <family val="2"/>
        <scheme val="minor"/>
      </rPr>
      <t xml:space="preserve">
</t>
    </r>
    <r>
      <rPr>
        <sz val="12"/>
        <rFont val="Calibri"/>
        <family val="2"/>
        <scheme val="minor"/>
      </rPr>
      <t xml:space="preserve">
if options</t>
    </r>
    <r>
      <rPr>
        <sz val="12"/>
        <color rgb="FFFF0000"/>
        <rFont val="Calibri"/>
        <family val="2"/>
        <scheme val="minor"/>
      </rPr>
      <t xml:space="preserve"> </t>
    </r>
    <r>
      <rPr>
        <sz val="12"/>
        <rFont val="Calibri"/>
        <family val="2"/>
        <scheme val="minor"/>
      </rPr>
      <t xml:space="preserve">#5, 7-18 selected, go to </t>
    </r>
    <r>
      <rPr>
        <sz val="12"/>
        <color theme="4"/>
        <rFont val="Calibri"/>
        <family val="2"/>
        <scheme val="minor"/>
      </rPr>
      <t xml:space="preserve">[income_third_comp OR optional question] </t>
    </r>
    <r>
      <rPr>
        <sz val="12"/>
        <rFont val="Calibri"/>
        <family val="2"/>
        <scheme val="minor"/>
      </rPr>
      <t xml:space="preserve">
if options #19-21 selected, go to shock</t>
    </r>
  </si>
  <si>
    <r>
      <t xml:space="preserve">if options #1-3 selected, go to income_third_crop_check
if options #4 selected, go to income_third_ls_check
if option #6 selected, go to income_third_fish_check </t>
    </r>
    <r>
      <rPr>
        <sz val="12"/>
        <color rgb="FFFF0000"/>
        <rFont val="Calibri"/>
        <family val="2"/>
        <scheme val="minor"/>
      </rPr>
      <t xml:space="preserve">
</t>
    </r>
    <r>
      <rPr>
        <sz val="12"/>
        <rFont val="Calibri"/>
        <family val="2"/>
        <scheme val="minor"/>
      </rPr>
      <t xml:space="preserve">
if options</t>
    </r>
    <r>
      <rPr>
        <sz val="12"/>
        <color rgb="FFFF0000"/>
        <rFont val="Calibri"/>
        <family val="2"/>
        <scheme val="minor"/>
      </rPr>
      <t xml:space="preserve"> </t>
    </r>
    <r>
      <rPr>
        <sz val="12"/>
        <rFont val="Calibri"/>
        <family val="2"/>
        <scheme val="minor"/>
      </rPr>
      <t xml:space="preserve">#5, 7-18 selected, go to </t>
    </r>
    <r>
      <rPr>
        <sz val="12"/>
        <color rgb="FFFF0000"/>
        <rFont val="Calibri"/>
        <family val="2"/>
        <scheme val="minor"/>
      </rPr>
      <t xml:space="preserve">income_third_amount
</t>
    </r>
    <r>
      <rPr>
        <sz val="12"/>
        <rFont val="Calibri"/>
        <family val="2"/>
        <scheme val="minor"/>
      </rPr>
      <t xml:space="preserve">
if options #19-21 selected, go to shock</t>
    </r>
  </si>
  <si>
    <r>
      <t xml:space="preserve">if income_third_crop_check = 1-4, go to </t>
    </r>
    <r>
      <rPr>
        <sz val="12"/>
        <color theme="4"/>
        <rFont val="Calibri"/>
        <family val="2"/>
        <scheme val="minor"/>
      </rPr>
      <t>[income_third_comp OR optional question]</t>
    </r>
  </si>
  <si>
    <r>
      <t xml:space="preserve">if income_third_crop_check = 1-4, go to </t>
    </r>
    <r>
      <rPr>
        <sz val="12"/>
        <color rgb="FFFF0000"/>
        <rFont val="Calibri"/>
        <family val="2"/>
        <scheme val="minor"/>
      </rPr>
      <t>income_third_amount</t>
    </r>
  </si>
  <si>
    <r>
      <t xml:space="preserve">if income_third_ls_check = 1-4, go to </t>
    </r>
    <r>
      <rPr>
        <sz val="12"/>
        <color theme="4"/>
        <rFont val="Calibri"/>
        <family val="2"/>
        <scheme val="minor"/>
      </rPr>
      <t>[income_third_comp OR optional question]</t>
    </r>
  </si>
  <si>
    <r>
      <t xml:space="preserve">if income_third_ls_check = 1-4, go to </t>
    </r>
    <r>
      <rPr>
        <sz val="12"/>
        <color rgb="FFFF0000"/>
        <rFont val="Calibri"/>
        <family val="2"/>
        <scheme val="minor"/>
      </rPr>
      <t>income_third_amount</t>
    </r>
  </si>
  <si>
    <t>Hove dzamunotengesa dzinochengetwa nemi here kana kuti nemumwe wemumhuri menyu? 
[ARI KUITISA ONGORORO: MHINDURO IMWE CHETE.]
1)HONGU
2)KWETE
3)HANDIZIVI
4)ARAMBA</t>
  </si>
  <si>
    <r>
      <t xml:space="preserve">if income_third_fish_check = 1-4, go to </t>
    </r>
    <r>
      <rPr>
        <sz val="12"/>
        <color theme="4"/>
        <rFont val="Calibri"/>
        <family val="2"/>
        <scheme val="minor"/>
      </rPr>
      <t>[income_third_comp OR optional question]</t>
    </r>
  </si>
  <si>
    <r>
      <t xml:space="preserve">if income_third_fish_check = 1-4, go to </t>
    </r>
    <r>
      <rPr>
        <sz val="12"/>
        <color rgb="FFFF0000"/>
        <rFont val="Calibri"/>
        <family val="2"/>
        <scheme val="minor"/>
      </rPr>
      <t>income_third_amount</t>
    </r>
  </si>
  <si>
    <r>
      <t xml:space="preserve">If the income amount is over the threshold set in "Additional information", the respondent will be asked to confirm with income_third_amount_conf. Otherwise, go to </t>
    </r>
    <r>
      <rPr>
        <i/>
        <sz val="12"/>
        <color theme="4"/>
        <rFont val="Calibri"/>
        <family val="2"/>
        <scheme val="minor"/>
      </rPr>
      <t>income_third_comp or optional question</t>
    </r>
    <r>
      <rPr>
        <i/>
        <sz val="12"/>
        <rFont val="Calibri"/>
        <family val="2"/>
        <scheme val="minor"/>
      </rPr>
      <t>.</t>
    </r>
  </si>
  <si>
    <r>
      <t xml:space="preserve">If the income amount is over the threshold set in "Additional information", the respondent will be asked to confirm with income_third_amount_conf. Otherwise, go to </t>
    </r>
    <r>
      <rPr>
        <i/>
        <sz val="12"/>
        <color rgb="FFFF0000"/>
        <rFont val="Calibri"/>
        <family val="2"/>
        <scheme val="minor"/>
      </rPr>
      <t>income_third_gender</t>
    </r>
  </si>
  <si>
    <r>
      <t xml:space="preserve">if </t>
    </r>
    <r>
      <rPr>
        <i/>
        <sz val="12"/>
        <rFont val="Calibri"/>
        <family val="2"/>
        <scheme val="minor"/>
      </rPr>
      <t>income_third_amount_conf</t>
    </r>
    <r>
      <rPr>
        <sz val="12"/>
        <rFont val="Calibri"/>
        <family val="2"/>
        <scheme val="minor"/>
      </rPr>
      <t xml:space="preserve"> = 1, go to </t>
    </r>
    <r>
      <rPr>
        <i/>
        <sz val="12"/>
        <color theme="4"/>
        <rFont val="Calibri"/>
        <family val="2"/>
        <scheme val="minor"/>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</si>
  <si>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rgb="FFFF0000"/>
        <rFont val="Calibri"/>
        <family val="2"/>
        <scheme val="minor"/>
      </rPr>
      <t>income_third_gender</t>
    </r>
  </si>
  <si>
    <r>
      <t xml:space="preserve">if income_third_gender = 1-5, go to </t>
    </r>
    <r>
      <rPr>
        <sz val="12"/>
        <color theme="4"/>
        <rFont val="Calibri"/>
        <family val="2"/>
        <scheme val="minor"/>
      </rPr>
      <t>[income_third_comp or optional question]</t>
    </r>
  </si>
  <si>
    <r>
      <t xml:space="preserve">if income_third_gender = 1-5, go to </t>
    </r>
    <r>
      <rPr>
        <sz val="12"/>
        <color rgb="FFFF0000"/>
        <rFont val="Calibri"/>
        <family val="2"/>
        <scheme val="minor"/>
      </rPr>
      <t>income_third_control</t>
    </r>
  </si>
  <si>
    <r>
      <rPr>
        <sz val="12"/>
        <rFont val="Calibri"/>
        <family val="2"/>
        <scheme val="minor"/>
      </rPr>
      <t>if income_third_control = 1-5, go to</t>
    </r>
    <r>
      <rPr>
        <sz val="12"/>
        <color rgb="FFFF0000"/>
        <rFont val="Calibri"/>
        <family val="2"/>
        <scheme val="minor"/>
      </rPr>
      <t xml:space="preserve"> </t>
    </r>
    <r>
      <rPr>
        <i/>
        <sz val="12"/>
        <color theme="4"/>
        <rFont val="Calibri"/>
        <family val="2"/>
        <scheme val="minor"/>
      </rPr>
      <t xml:space="preserve">income_third_comp </t>
    </r>
    <r>
      <rPr>
        <sz val="12"/>
        <color theme="4"/>
        <rFont val="Calibri"/>
        <family val="2"/>
        <scheme val="minor"/>
      </rPr>
      <t>or optional question</t>
    </r>
  </si>
  <si>
    <r>
      <rPr>
        <sz val="12"/>
        <rFont val="Calibri"/>
        <family val="2"/>
        <scheme val="minor"/>
      </rPr>
      <t>if income_third_control = 1-5, go to</t>
    </r>
    <r>
      <rPr>
        <sz val="12"/>
        <color rgb="FFFF0000"/>
        <rFont val="Calibri"/>
        <family val="2"/>
        <scheme val="minor"/>
      </rPr>
      <t xml:space="preserve"> </t>
    </r>
    <r>
      <rPr>
        <i/>
        <sz val="12"/>
        <color rgb="FFFF0000"/>
        <rFont val="Calibri"/>
        <family val="2"/>
        <scheme val="minor"/>
      </rPr>
      <t xml:space="preserve">income_third_comp </t>
    </r>
  </si>
  <si>
    <t>Mhuri yenyu kana dunhu rakambosangana here nechero njodzi kana dambudziko iro rakavhiringidza nzira yenyu yekuwana nayo mari kana kurima zvirimwa zvekudya kana zvekutengesa mukati memwedzi 3 yapfuura, uye kana zvakadaro, yaive njodzi kana dambudziko rakaita sei?
[ARI KUITISA ONGORORO: SARUDZA ZVINETSO CHAIZVO ZVAKAWIRA MHURI. PANOGONA KUVE NEMHINDURO DZAKAWANDA. TAURA NEZVEZVINETSO ZVEUPFUMI, ZVEKURIMA NEKUCHENGETA ZVIPFUYO, ZVEMUMHURI, NJODZI DZINONGOITIKA DZOGA UYE DZINOKONZERWA NEVANHU.]
1)Hapana dambudziko ratakasangana naro
2)Hurwere kana tsaona kana rufu rwenhengo yemhuri [hurwere hweanotarisira mhuri / kukwira kwemitengo yezveutano kupfuura kare / mari yekushandisa parufu / rufu rweanotarisira mhuri]
3)Kurasikirwa nebasa kana mikana yekushanda [kwete nekuda kwehurwere/tsaona]
4)Mamwewo matambudziko emumhuri
5)Kukwira kwemitengo yezvokudya kupfuura kare
6)Kukwira kwemitengo yemafuta edzimota kana yemichovha kupfuura kare
7)Mitemo inodzivisa kufamba kwevanhu [zvichida nekuda kwedenda kana kuparara kwezvivakwa]
8)Mamwewo matambudziko ezveupfumi 
9)Kuwanda kwezvipembenene
10)Zvirwere zvezvirimwa
11)Zvirwere zvezvipfuyo [kwakabata zvipfuyo zvakawanda] kana kuuraya
12)Kutadza kusvika kumafuro 
13)Mamwewo matambudziko ezvirimwa nezvipfuyo
14)Kutonhora kwakananya kana chivhuramabwe
15)Mafashamo / kukukurwa kwemicheto yenzizi
16)Dutu rakasangana nemvura / dutu rine simba / tonadho
17)Kusanaya kwemvura / kupisa zvakanyanya
18)Kudengenyeka kwenyika
19)Chikukura
20)Moto kubva kunjodzi inongoitika yoga
21)Imwewo njodzi inongoitika yoga
22)Mhirizhonga uye kusagadzikana / kurwisana
23)Kubiwa kwemidziyo yebasza [munda / zvipfuyo / maturusi / nezvimwewo]
24)Moto kubva kunjodzi yakakonzerwa nevanhu
25)Imwewo njodzi yakakonzerwa nevanhu
26)HANDIZIVI
27)ARAMBA</t>
  </si>
  <si>
    <r>
      <t>if shock = 1-27, go to [</t>
    </r>
    <r>
      <rPr>
        <i/>
        <sz val="12"/>
        <color theme="4"/>
        <rFont val="Calibri"/>
        <family val="2"/>
        <scheme val="minor"/>
      </rPr>
      <t xml:space="preserve">crp_intro </t>
    </r>
    <r>
      <rPr>
        <sz val="12"/>
        <rFont val="Calibri"/>
        <family val="2"/>
        <scheme val="minor"/>
      </rPr>
      <t>or</t>
    </r>
    <r>
      <rPr>
        <i/>
        <sz val="12"/>
        <color theme="4"/>
        <rFont val="Calibri"/>
        <family val="2"/>
        <scheme val="minor"/>
      </rPr>
      <t xml:space="preserve"> optional question</t>
    </r>
    <r>
      <rPr>
        <sz val="12"/>
        <rFont val="Calibri"/>
        <family val="2"/>
        <scheme val="minor"/>
      </rPr>
      <t>]</t>
    </r>
  </si>
  <si>
    <r>
      <t xml:space="preserve">if shock = 1-27, go to </t>
    </r>
    <r>
      <rPr>
        <sz val="12"/>
        <color rgb="FFFF0000"/>
        <rFont val="Calibri"/>
        <family val="2"/>
        <scheme val="minor"/>
      </rPr>
      <t>hh_explanation</t>
    </r>
  </si>
  <si>
    <r>
      <t xml:space="preserve">For any response to </t>
    </r>
    <r>
      <rPr>
        <i/>
        <sz val="12"/>
        <rFont val="Calibri"/>
        <family val="2"/>
        <scheme val="minor"/>
      </rPr>
      <t>hh_explanation</t>
    </r>
    <r>
      <rPr>
        <sz val="12"/>
        <rFont val="Calibri"/>
        <family val="2"/>
        <scheme val="minor"/>
      </rPr>
      <t xml:space="preserve">, go to </t>
    </r>
    <r>
      <rPr>
        <i/>
        <sz val="12"/>
        <color rgb="FFFF0000"/>
        <rFont val="Calibri"/>
        <family val="2"/>
        <scheme val="minor"/>
      </rPr>
      <t>crp_intro</t>
    </r>
    <r>
      <rPr>
        <i/>
        <sz val="12"/>
        <color theme="4"/>
        <rFont val="Calibri"/>
        <family val="2"/>
        <scheme val="minor"/>
      </rPr>
      <t>.</t>
    </r>
  </si>
  <si>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family val="2"/>
        <scheme val="minor"/>
      </rPr>
      <t>crp_landsize_num</t>
    </r>
  </si>
  <si>
    <t>Chirimwa chipi icho mhuri yenyu yakarima kuti iwane zvekudya uye mari mumwaka uno uripo, kana chiripo?
[ARI KUITISA ONGORORO: MHINDURO IMWE CHETE. MHINDURO YAKANZI "HAPANA CHIRIMWA CHAKARIMWA" IRI KOKUPEDZISIRA.] 
1)Mhunga
2)Mapfunde
3)Chibage
4)Mbambaira
5)Bhinzi
6)Kabheji
7)Matomasi
8)Manhanga
9)Hanyanisi
10)Nzungu
11)Nyimo
12)Masanifurawa
13)Mupunga
14)Gorosi
15)Bhari
16)Zvimwewo zvakaita sechibage
17)Mufarinya
18)Mbatatisi
19)Gogoya
20)Karotsi
21)Kokoyamu
22)Zvimwewo zvakaita sehanyanisi
23)Lentils
24)Pizi
25)Soyabhinzi
26)Chickpeas
27)Bhinzi dzefavha
28)Bhinzi dzakapamhamha
29)Dzimwewo mhando dzebhinzi
30)Korifurawa
31)Lettuce
32)Spinach-Amaranth
33)Mashizha ekasavha
34)Mashizha embatatisi
35)Moringa
36)Sorrel Hibiscus / Rosselle
37)Green salad herbs [thyme/parsley/mint/rocca/zvimwewo]
38)Mimwewo miriwo ine mashizha
39)Pizi nyoro
40)Bhinzi dzefavha nyoro
41)Magaka
42)Eggplant/aubergine
43)Zucchini
44)Derere
45)Bell pepper
46)Harikoti
47)Mimwewo miriwo isina mashizha
48)Orenji
49)Mandimi
50)Grapefruit
51)Mandarins/clementines
52)Mimwewo michero yakaita semaorenji
53)Mabhanana anotapira
54)Muonde
55)Magirepisi
56)Miorivhi
57)Epuro
58)Apurikoti
59)Macheri
60)Pichisi/nectarine
61)Ma-strawberry
62)Mwiwa [Cantaloupe]
63)Ma-plantains
64)Mapopo
65)Mango
66)Gwavha
67)Zvihenge
68)Avhokadho
69)Manwiwa
70)Ma-dates
71)Mimwewo michero
72)Kokonati
73)Cashew Nut
74)Kola Nut
75)Runinga
76)Arumondi
77)Walnut
78)Dzimwewo mhando dzenzungu
79)Kokoa
80)Kofi
81)Tiyi
82)Nzimbe
83)Zvimwewo zvirimwa zvekudya uye kutengesa
84)Donje
85)Rabha
86)Jute
87)Chikafu chezvipfuyo
88)Fodya
89)Qat
90)Zvimwewo zvirimwa zvisiri zvekudya asi zviri zvekutengesa
91)Hapana zvirimwa zvakarimwa
92)HANDIZIVI
93)ARAMBA</t>
  </si>
  <si>
    <t>if crp_main = any type of crop, go to crp_irrig_source;
if crp_main = "No crop production", go to crp_main_check
if crp_main = "Don't know" or "Refused", go to crp_salesmain</t>
  </si>
  <si>
    <r>
      <rPr>
        <sz val="11"/>
        <rFont val="Calibri"/>
        <family val="2"/>
        <scheme val="minor"/>
      </rPr>
      <t xml:space="preserve">if crp_irrig_source = 1-8, </t>
    </r>
    <r>
      <rPr>
        <sz val="11"/>
        <color theme="1"/>
        <rFont val="Calibri"/>
        <family val="2"/>
        <scheme val="minor"/>
      </rPr>
      <t>go to</t>
    </r>
    <r>
      <rPr>
        <sz val="11"/>
        <color theme="4"/>
        <rFont val="Calibri"/>
        <family val="2"/>
        <scheme val="minor"/>
      </rPr>
      <t xml:space="preserve"> [crp_area_change or optional question]</t>
    </r>
  </si>
  <si>
    <r>
      <rPr>
        <sz val="11"/>
        <rFont val="Calibri"/>
        <family val="2"/>
        <scheme val="minor"/>
      </rPr>
      <t xml:space="preserve">if crp_irrig_source = 1-8, </t>
    </r>
    <r>
      <rPr>
        <sz val="11"/>
        <color theme="1"/>
        <rFont val="Calibri"/>
        <family val="2"/>
        <scheme val="minor"/>
      </rPr>
      <t>go to</t>
    </r>
    <r>
      <rPr>
        <sz val="11"/>
        <color theme="4"/>
        <rFont val="Calibri"/>
        <family val="2"/>
        <scheme val="minor"/>
      </rPr>
      <t xml:space="preserve"> </t>
    </r>
    <r>
      <rPr>
        <sz val="11"/>
        <color rgb="FFFF0000"/>
        <rFont val="Calibri"/>
        <family val="2"/>
        <scheme val="minor"/>
      </rPr>
      <t>crp_seed_supply</t>
    </r>
  </si>
  <si>
    <r>
      <t xml:space="preserve">if crp_seed_supply = 1-10, go to </t>
    </r>
    <r>
      <rPr>
        <i/>
        <sz val="12"/>
        <color rgb="FFFF0000"/>
        <rFont val="Calibri"/>
        <family val="2"/>
        <scheme val="minor"/>
      </rPr>
      <t>o_</t>
    </r>
    <r>
      <rPr>
        <i/>
        <sz val="12"/>
        <color theme="4"/>
        <rFont val="Calibri"/>
        <family val="2"/>
        <scheme val="minor"/>
      </rPr>
      <t>crp_seed_availability</t>
    </r>
  </si>
  <si>
    <r>
      <t xml:space="preserve">if crp_seed_supply = 1-10, go to </t>
    </r>
    <r>
      <rPr>
        <i/>
        <sz val="12"/>
        <color rgb="FFFF0000"/>
        <rFont val="Calibri"/>
        <family val="2"/>
        <scheme val="minor"/>
      </rPr>
      <t>o_crp_seed_availability</t>
    </r>
  </si>
  <si>
    <t>o_crp_seed_availability</t>
  </si>
  <si>
    <t>Are seeds readly available from your usual source? 
[OPERATOR: SINGLE RESPONSE.]
1)Readly Available
2)Moderately Available
3)Not Available
4)Other
5)DON'T KNOW
6)REFUSED</t>
  </si>
  <si>
    <t>1-6 = o_crp_fertilizer_supply</t>
  </si>
  <si>
    <r>
      <t xml:space="preserve">if crp_seed_supply = 1-6, go to </t>
    </r>
    <r>
      <rPr>
        <i/>
        <sz val="12"/>
        <color rgb="FFFF0000"/>
        <rFont val="Calibri"/>
        <family val="2"/>
        <scheme val="minor"/>
      </rPr>
      <t>o_</t>
    </r>
    <r>
      <rPr>
        <i/>
        <sz val="12"/>
        <color theme="4"/>
        <rFont val="Calibri"/>
        <family val="2"/>
        <scheme val="minor"/>
      </rPr>
      <t>crp_fertilizer_supply</t>
    </r>
  </si>
  <si>
    <t>if crp_seed_supply = 1-6, go to o_crp_fertilizer_supply</t>
  </si>
  <si>
    <t>o_crp_fertilizer_supply</t>
  </si>
  <si>
    <t>o_crp_fertilizer_supply
1) crp_fert_market
2) crp_fert_company
3) crp_fert_ngo
4) crp_fert_organized_community
5) crp_fert_gov
6) crp_fert_relatives_friends
7) crp_fert_other
8) crp_fert_dk
9) crp_fert_ref</t>
  </si>
  <si>
    <t>Form Type - Checklist
8,9 = IsNone</t>
  </si>
  <si>
    <r>
      <t xml:space="preserve">if crp_seed_supply = 1-9, go to </t>
    </r>
    <r>
      <rPr>
        <i/>
        <sz val="12"/>
        <color rgb="FFFF0000"/>
        <rFont val="Calibri"/>
        <family val="2"/>
        <scheme val="minor"/>
      </rPr>
      <t>o_</t>
    </r>
    <r>
      <rPr>
        <i/>
        <sz val="12"/>
        <color theme="4"/>
        <rFont val="Calibri"/>
        <family val="2"/>
        <scheme val="minor"/>
      </rPr>
      <t>crp_fertilizer_availability</t>
    </r>
  </si>
  <si>
    <t>if crp_seed_supply = 1-9, go to o_crp_fertilizer_availability</t>
  </si>
  <si>
    <t>o_crp_fertilizer_availability</t>
  </si>
  <si>
    <t>Are fertilizers readly available from your usual source? 
[OPERATOR: SINGLE RESPONSE.]
1)Readly Available
2)Moderately Available
3)Not Available
4)Other
5)DON'T KNOW
6)REFUSED</t>
  </si>
  <si>
    <t>1-6 = crp_area_change</t>
  </si>
  <si>
    <r>
      <t xml:space="preserve">if crp_seed_supply = 1-6, go to </t>
    </r>
    <r>
      <rPr>
        <i/>
        <sz val="12"/>
        <color theme="4"/>
        <rFont val="Calibri"/>
        <family val="2"/>
        <scheme val="minor"/>
      </rPr>
      <t>crp_area_change</t>
    </r>
  </si>
  <si>
    <t>if crp_seed_supply = 1-6, go to crp_area_change</t>
  </si>
  <si>
    <t>Goho ramakawana re {crp_main} mwaka uno riri  sei kana muchirienzanisa neramunowana mugore rinenge rakanaka?
[ARI KUITISA ONGORORO: MHINDURO IMWE CHETE.]
1)Wakawedzera zvikuru [wakakwira nezvikamu 50 kubva muzana]
2)Wakawedzera zvishoma
3)Hauna kuchinja
4)Wakadzika zvishoma
5)Wakadzika zvikuru [zviri pasi zvikuru nechidimbu]
6)HANDIZIVI
7)ARAMBA</t>
  </si>
  <si>
    <r>
      <t>if crp_harv_change = 1-7, go to</t>
    </r>
    <r>
      <rPr>
        <sz val="12"/>
        <color theme="4"/>
        <rFont val="Calibri"/>
        <family val="2"/>
        <scheme val="minor"/>
      </rPr>
      <t xml:space="preserve"> </t>
    </r>
    <r>
      <rPr>
        <sz val="12"/>
        <color rgb="FFFF0000"/>
        <rFont val="Calibri"/>
        <family val="2"/>
        <scheme val="minor"/>
      </rPr>
      <t>crp_proddif</t>
    </r>
  </si>
  <si>
    <r>
      <t>if crp_proddif = 1, go to crp_proddif_2 ; 
if crp_proddif = 2-4, go to</t>
    </r>
    <r>
      <rPr>
        <sz val="12"/>
        <color rgb="FFFF0000"/>
        <rFont val="Calibri"/>
        <family val="2"/>
        <scheme val="minor"/>
      </rPr>
      <t xml:space="preserve"> crp_storage</t>
    </r>
  </si>
  <si>
    <r>
      <t>if crp_proddif_2 = 1-18, go to</t>
    </r>
    <r>
      <rPr>
        <sz val="12"/>
        <color rgb="FFFF0000"/>
        <rFont val="Calibri"/>
        <family val="2"/>
        <scheme val="minor"/>
      </rPr>
      <t xml:space="preserve"> crp_storage</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</si>
  <si>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crp_salesmain or 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</si>
  <si>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rgb="FFFF0000"/>
        <rFont val="Calibri"/>
        <family val="2"/>
        <scheme val="minor"/>
      </rPr>
      <t>crp_all</t>
    </r>
  </si>
  <si>
    <r>
      <t xml:space="preserve">if </t>
    </r>
    <r>
      <rPr>
        <i/>
        <sz val="12"/>
        <rFont val="Calibri"/>
        <family val="2"/>
        <scheme val="minor"/>
      </rPr>
      <t>crp_salesdif_2</t>
    </r>
    <r>
      <rPr>
        <sz val="12"/>
        <rFont val="Calibri"/>
        <family val="2"/>
        <scheme val="minor"/>
      </rPr>
      <t xml:space="preserve"> = 1-10, go to </t>
    </r>
    <r>
      <rPr>
        <i/>
        <sz val="12"/>
        <rFont val="Calibri"/>
        <family val="2"/>
        <scheme val="minor"/>
      </rPr>
      <t>crp_salesprice</t>
    </r>
  </si>
  <si>
    <t>Maive ne {ls_main} dzakawanda sei panguva yakafanana neino gore rapfuura?
[ARI KUITISA ONGORORO: NYORA PASI NHAMBA YEZVIPFUYO. ISA 88888 KANA ASINGAZIVI UYE 99999 KANA ARAMBA.]</t>
  </si>
  <si>
    <r>
      <t xml:space="preserve">If ls_num_change 1-14 </t>
    </r>
    <r>
      <rPr>
        <sz val="12"/>
        <color theme="9" tint="-0.499984740745262"/>
        <rFont val="Calibri"/>
        <family val="2"/>
        <scheme val="minor"/>
      </rPr>
      <t>=</t>
    </r>
    <r>
      <rPr>
        <sz val="12"/>
        <color theme="4"/>
        <rFont val="Calibri"/>
        <family val="2"/>
        <scheme val="minor"/>
      </rPr>
      <t xml:space="preserve"> [ls_proddif OR optional question]</t>
    </r>
  </si>
  <si>
    <r>
      <t xml:space="preserve">If ls_num_change 1-14 </t>
    </r>
    <r>
      <rPr>
        <sz val="12"/>
        <color theme="9" tint="-0.499984740745262"/>
        <rFont val="Calibri"/>
        <family val="2"/>
        <scheme val="minor"/>
      </rPr>
      <t>=</t>
    </r>
    <r>
      <rPr>
        <sz val="12"/>
        <color theme="4"/>
        <rFont val="Calibri"/>
        <family val="2"/>
        <scheme val="minor"/>
      </rPr>
      <t xml:space="preserve"> </t>
    </r>
    <r>
      <rPr>
        <sz val="12"/>
        <color rgb="FFFF0000"/>
        <rFont val="Calibri"/>
        <family val="2"/>
        <scheme val="minor"/>
      </rPr>
      <t>ls_feed</t>
    </r>
  </si>
  <si>
    <r>
      <t xml:space="preserve">if ls_feed = 1, go to </t>
    </r>
    <r>
      <rPr>
        <sz val="12"/>
        <color rgb="FFFF0000"/>
        <rFont val="Calibri"/>
        <family val="2"/>
        <scheme val="minor"/>
      </rPr>
      <t>o_</t>
    </r>
    <r>
      <rPr>
        <sz val="12"/>
        <rFont val="Calibri"/>
        <family val="2"/>
        <scheme val="minor"/>
      </rPr>
      <t>ls_pasture ; 
If ls_feed = 2-8, go to ls_proddif</t>
    </r>
  </si>
  <si>
    <t>o_ls_pasture</t>
  </si>
  <si>
    <t>What is the current condition of pastures {ls_main}?  
[OPERATOR: SINGLE RESPONSES.] 
1)Very poor
2)Poor
3)Fair
4)Good
5)Other
6)DON'T KNOW
7)REFUSED</t>
  </si>
  <si>
    <r>
      <rPr>
        <i/>
        <sz val="12"/>
        <rFont val="Calibri"/>
        <family val="2"/>
        <scheme val="minor"/>
      </rPr>
      <t xml:space="preserve">if the respondent has listed pasture as a main source of feed, they will be administered this question. If not, they will be sent to the ls_proddif question. 
</t>
    </r>
    <r>
      <rPr>
        <sz val="12"/>
        <rFont val="Calibri"/>
        <family val="2"/>
        <scheme val="minor"/>
      </rPr>
      <t xml:space="preserve">
For any response, go to o_ls_cond </t>
    </r>
  </si>
  <si>
    <t>o_ls_cond</t>
  </si>
  <si>
    <t>o_ls_water</t>
  </si>
  <si>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theme="4"/>
        <rFont val="Calibri"/>
        <family val="2"/>
        <scheme val="minor"/>
      </rPr>
      <t xml:space="preserve">ls_salesmain </t>
    </r>
    <r>
      <rPr>
        <sz val="12"/>
        <color theme="4"/>
        <rFont val="Calibri"/>
        <family val="2"/>
        <scheme val="minor"/>
      </rPr>
      <t xml:space="preserve">OR </t>
    </r>
    <r>
      <rPr>
        <i/>
        <sz val="12"/>
        <color theme="4"/>
        <rFont val="Calibri"/>
        <family val="2"/>
        <scheme val="minor"/>
      </rPr>
      <t>optional question</t>
    </r>
    <r>
      <rPr>
        <sz val="12"/>
        <rFont val="Calibri"/>
        <family val="2"/>
        <scheme val="minor"/>
      </rPr>
      <t>]</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</si>
  <si>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rgb="FFFF0000"/>
        <rFont val="Calibri"/>
        <family val="2"/>
        <scheme val="minor"/>
      </rPr>
      <t>o_ls_mortality</t>
    </r>
  </si>
  <si>
    <t>Ndeapi matambudziko ayo mhuri yenyu yakasangana nawo pakuchengeta zvipfuyo mumwedzi 3 yapfuura?
[ARI KUITISA ONGORORO: PANOGONA KUVE NEMHINDURO DZAKAWANDA. SARUDZA MHIDZURO DZINONYATSOENDERANA NEMASHOKO ATAURWA NEVARI KUPINDURA.]
1)Dambudziko rekutenga chikafu [mitengo kana kuti masvikiro ekumisika]
2)Kuwana mafuro
3)Kuwana mvura
4)Kuwana rubatsiro rwemishonga yezvipfuyo [kubayiwa jekiseni/kurapwa/kufiritwa/mazano nezvakada kudaro]
5)Kuwana zvekushandisa pakuchengeta zvipfuyo [mishonga yezvipfuyo / maturusi ekuti mhuka dzive nehutano / nezvakada kudaro]
6)Zvirwere zvezvipfuyo kana kuti kukuvara
7)Kubiwa kwezvipfuyo
8)Kutadza kusvika kumisika yezvipfuyo kuti patengwe vana vezvipfuyo
9)Kuwana zvikwereti
10)Kuwana vashandi
11)Zvimwewo
12)HANDIZIVI
13)ARAMBA</t>
  </si>
  <si>
    <r>
      <t xml:space="preserve">if </t>
    </r>
    <r>
      <rPr>
        <i/>
        <sz val="12"/>
        <rFont val="Calibri"/>
        <family val="2"/>
        <scheme val="minor"/>
      </rPr>
      <t>ls_proddif_2</t>
    </r>
    <r>
      <rPr>
        <sz val="12"/>
        <rFont val="Calibri"/>
        <family val="2"/>
        <scheme val="minor"/>
      </rPr>
      <t xml:space="preserve"> = 1-13, go to </t>
    </r>
    <r>
      <rPr>
        <i/>
        <sz val="12"/>
        <color theme="4"/>
        <rFont val="Calibri"/>
        <family val="2"/>
        <scheme val="minor"/>
      </rPr>
      <t>ls_salesmain</t>
    </r>
    <r>
      <rPr>
        <sz val="12"/>
        <color theme="4"/>
        <rFont val="Calibri"/>
        <family val="2"/>
        <scheme val="minor"/>
      </rPr>
      <t xml:space="preserve"> OR optional question</t>
    </r>
  </si>
  <si>
    <r>
      <t xml:space="preserve">if </t>
    </r>
    <r>
      <rPr>
        <i/>
        <sz val="12"/>
        <rFont val="Calibri"/>
        <family val="2"/>
        <scheme val="minor"/>
      </rPr>
      <t>ls_proddif_2</t>
    </r>
    <r>
      <rPr>
        <sz val="12"/>
        <rFont val="Calibri"/>
        <family val="2"/>
        <scheme val="minor"/>
      </rPr>
      <t xml:space="preserve"> = 1-13, go to </t>
    </r>
    <r>
      <rPr>
        <i/>
        <sz val="12"/>
        <color rgb="FFFF0000"/>
        <rFont val="Calibri"/>
        <family val="2"/>
        <scheme val="minor"/>
      </rPr>
      <t>o_ls_mortality</t>
    </r>
  </si>
  <si>
    <t>How many animals {ls_main} died in the last 3 months?
[OPERATOR: RECORD THE NUMBER OF ANIMALS THAT DIED. ENTER 88888 FOR DON'T KNOW AND 99999 FOR REFUSED.]</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</si>
  <si>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or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rFont val="Calibri"/>
        <family val="2"/>
        <scheme val="minor"/>
      </rPr>
      <t xml:space="preserve"> fish_intro</t>
    </r>
  </si>
  <si>
    <r>
      <t xml:space="preserve">if </t>
    </r>
    <r>
      <rPr>
        <i/>
        <sz val="12"/>
        <rFont val="Calibri"/>
        <family val="2"/>
        <scheme val="minor"/>
      </rPr>
      <t>ls_salesdif_2</t>
    </r>
    <r>
      <rPr>
        <sz val="12"/>
        <rFont val="Calibri"/>
        <family val="2"/>
        <scheme val="minor"/>
      </rPr>
      <t xml:space="preserve"> = 1-11, go to </t>
    </r>
    <r>
      <rPr>
        <i/>
        <sz val="12"/>
        <rFont val="Calibri"/>
        <family val="2"/>
        <scheme val="minor"/>
      </rPr>
      <t>ls_salesprice</t>
    </r>
  </si>
  <si>
    <r>
      <t>If the respondent reported production and sales of fish in one of the three main income sources and confirmed that they are involved in production,</t>
    </r>
    <r>
      <rPr>
        <b/>
        <sz val="14"/>
        <color theme="4"/>
        <rFont val="Calibri"/>
        <family val="2"/>
        <scheme val="minor"/>
      </rPr>
      <t xml:space="preserve"> or if they indicated being involved involved in fishing or aquaculture activities in the past 12 months in </t>
    </r>
    <r>
      <rPr>
        <b/>
        <i/>
        <sz val="14"/>
        <color theme="4"/>
        <rFont val="Calibri"/>
        <family val="2"/>
        <scheme val="minor"/>
      </rPr>
      <t>hh_fish</t>
    </r>
    <r>
      <rPr>
        <sz val="14"/>
        <rFont val="Calibri"/>
        <family val="2"/>
        <scheme val="minor"/>
      </rPr>
      <t xml:space="preserve">, then this section will be administered to respondents. Otherwise, skip to </t>
    </r>
    <r>
      <rPr>
        <i/>
        <sz val="14"/>
        <rFont val="Calibri"/>
        <family val="2"/>
        <scheme val="minor"/>
      </rPr>
      <t>fies</t>
    </r>
  </si>
  <si>
    <r>
      <t xml:space="preserve">if fish_proddif = 1, go to fish_proddif_2 ; 
if fish_proddif = 2-4, go to </t>
    </r>
    <r>
      <rPr>
        <sz val="12"/>
        <color rgb="FFFF0000"/>
        <rFont val="Calibri"/>
        <family val="2"/>
        <scheme val="minor"/>
      </rPr>
      <t>fish_inputdif</t>
    </r>
  </si>
  <si>
    <r>
      <t xml:space="preserve">If fish_proddif_2 = 1-11, go to </t>
    </r>
    <r>
      <rPr>
        <sz val="12"/>
        <color theme="4"/>
        <rFont val="Calibri"/>
        <family val="2"/>
        <scheme val="minor"/>
      </rPr>
      <t>fish_salesmain OR optional question</t>
    </r>
  </si>
  <si>
    <r>
      <t xml:space="preserve">If fish_proddif_2 = 1-11, go to </t>
    </r>
    <r>
      <rPr>
        <sz val="12"/>
        <color rgb="FFFF0000"/>
        <rFont val="Calibri"/>
        <family val="2"/>
        <scheme val="minor"/>
      </rPr>
      <t>fish_inputdif</t>
    </r>
  </si>
  <si>
    <r>
      <t>Asked only to respondents that answered fish_proddif_2 = 4.
if fish_inputdif = 1-10, go to</t>
    </r>
    <r>
      <rPr>
        <sz val="12"/>
        <color theme="4"/>
        <rFont val="Calibri"/>
        <family val="2"/>
        <scheme val="minor"/>
      </rPr>
      <t xml:space="preserve"> fish_salesmain</t>
    </r>
  </si>
  <si>
    <r>
      <t xml:space="preserve">If either income_main or income_sec or income_third = "Production and sale of fish or aquatic products", then this section will be asked to respondents.
Otherwise, skip to fies.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</si>
  <si>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r>
      <t xml:space="preserve">if </t>
    </r>
    <r>
      <rPr>
        <i/>
        <sz val="12"/>
        <rFont val="Calibri"/>
        <family val="2"/>
        <scheme val="minor"/>
      </rPr>
      <t>fish_salesdif</t>
    </r>
    <r>
      <rPr>
        <sz val="12"/>
        <rFont val="Calibri"/>
        <family val="2"/>
        <scheme val="minor"/>
      </rPr>
      <t xml:space="preserve"> = 1-10, go to </t>
    </r>
    <r>
      <rPr>
        <i/>
        <sz val="12"/>
        <rFont val="Calibri"/>
        <family val="2"/>
        <scheme val="minor"/>
      </rPr>
      <t>fish_salesprice</t>
    </r>
  </si>
  <si>
    <r>
      <t>if fies_whlday = 1, go to fies_whlday_hhs. Otherwise, go to</t>
    </r>
    <r>
      <rPr>
        <sz val="12"/>
        <color theme="4"/>
        <rFont val="Calibri"/>
        <family val="2"/>
        <scheme val="minor"/>
      </rPr>
      <t xml:space="preserve"> </t>
    </r>
    <r>
      <rPr>
        <sz val="12"/>
        <color rgb="FFFF0000"/>
        <rFont val="Calibri"/>
        <family val="2"/>
        <scheme val="minor"/>
      </rPr>
      <t>lcsi_intro</t>
    </r>
    <r>
      <rPr>
        <sz val="12"/>
        <color theme="4"/>
        <rFont val="Calibri"/>
        <family val="2"/>
        <scheme val="minor"/>
      </rPr>
      <t>.</t>
    </r>
  </si>
  <si>
    <r>
      <t>if fies_whlday_hhs = 1-5, go to</t>
    </r>
    <r>
      <rPr>
        <sz val="12"/>
        <color theme="4"/>
        <rFont val="Calibri"/>
        <family val="2"/>
        <scheme val="minor"/>
      </rPr>
      <t xml:space="preserve"> </t>
    </r>
    <r>
      <rPr>
        <sz val="12"/>
        <color rgb="FFFF0000"/>
        <rFont val="Calibri"/>
        <family val="2"/>
        <scheme val="minor"/>
      </rPr>
      <t>lcsi_intro</t>
    </r>
  </si>
  <si>
    <t>Parizvino ndave kuda kukubvunza nezvemibvunzo yechikamu chechitatu iri pamusoro pezvekudya zvakadyiwa, tichitarisa mumaawa 24 anezuro. Tapota tsanangura zvekudya [zvinobata dumbu kana kuti zvekutsengerera-tsengerera] izvo iwe kana wemumhuri yenyu vakadya kana kunwa pamba nezuro [mumaawa 24 anezuro: kudya kwemakuseni, kudya kwemasikati, kudya kwemanheru uye zvekutsengerera-tsengera].
[ARI KUITISA ONGORORO: SARUDZA ZVIKWATA ZVOSE ZVEZVOKUDYA IZVO ZVAKADYIWA MUMAAWA 24 ANEZURO PAMHINDURO DZEARI KUPINDURA. MHINDURO DZAKAWANDA DZINOGONA KUPIWA.]
1)Zvakaita sechibage [mhunga / mapfunde / chibage / gorosi / mupunga / sipageti / chingwa kana kuti isa chimwe chirimwa chinowanika munzvimbo]
2)Zvinoberekera muvhu [mbambaira / mbatatisi / madhumbe / mufarinya kana zvakada kudaro]
3)Miriwo [yose]
4)Michero [yose]
5)Nyama / huku uye zvemukati mehuku [nyama yemombe / nyama yenguruve / nyama yehwai / mbudzi / tsuro / mhuka dzemupaki / huku / dhakisi/ chitaka / itsvo / moyo / kana dzimwewo nhengo dzenyama]
6)Mazai
7)Hove nezvimwe zvinobatwa mumvura [hove nyoro kana dzakaomeswa / gakanje]
8)Zvakaita sebhinzi / nzungu nemhodzi [bhinzi / pizi / dovi/ lentils / arumondi / dzimwewo nzungu]
9)Mukaka nezvimwe zvinogadzirwa nemukaka [mukaka mutete / mukaka wakakora / yogati/ chizi / chimwewo chikafu chinogadzirwa nemukaka]
10)Mafuta [ekubikisa / bhata / majarini / mafuta emhuka/ mafuta / dzimwewo mhando dzemafuta]
11)Tsvigiri kana zvimwewo zvinotapira [huchi / jamu / madhonanzi / kendi / chokoreti / mabhisvo / zvakabhekwa / makeke nezvimwewo zvinotapira]
12)Zvekukaringisa [cocoa / munyu / gariki / zvekukaringisa / mbiriso / mbiriso yekubhekesa / matomasi kana muto wematomati / nyama nehove sezvekukaringisa] uye kofi / tiyi</t>
  </si>
  <si>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need</t>
    </r>
    <r>
      <rPr>
        <b/>
        <i/>
        <sz val="12"/>
        <color theme="4"/>
        <rFont val="Calibri"/>
        <family val="2"/>
        <scheme val="minor"/>
      </rPr>
      <t xml:space="preserve"> </t>
    </r>
    <r>
      <rPr>
        <b/>
        <sz val="12"/>
        <color theme="4"/>
        <rFont val="Calibri"/>
        <family val="2"/>
        <scheme val="minor"/>
      </rPr>
      <t>or optional question</t>
    </r>
  </si>
  <si>
    <t>Mazuva mangani pamazuva 7 apfuura, apo nhengo dzemhuri yenyu dzakadya mafuta/bhata zvakaita semafuta emiriwo, emupalm, enzungu, majarini, mamwewo mafuta?
[ARI KUITISA ONGORORO: NYORA PASI KUTI MAZUVA MANGANI KUBVA PA-0 KUSVIKA PA-7]
[ZANO: KANA ZVAKADYIWA ZVINGORI MUHUSHOMA, USAZVIISE.]</t>
  </si>
  <si>
    <r>
      <t xml:space="preserve">For any response, go to </t>
    </r>
    <r>
      <rPr>
        <b/>
        <sz val="12"/>
        <color theme="4"/>
        <rFont val="Calibri"/>
        <family val="2"/>
        <scheme val="minor"/>
      </rPr>
      <t>need</t>
    </r>
  </si>
  <si>
    <r>
      <rPr>
        <i/>
        <sz val="12"/>
        <rFont val="Calibri"/>
        <family val="2"/>
        <scheme val="minor"/>
      </rPr>
      <t>Only administered to households involved in agricultural production [crop, livestock and/or fish]. Otherwise, go to "</t>
    </r>
    <r>
      <rPr>
        <b/>
        <i/>
        <sz val="12"/>
        <color theme="4"/>
        <rFont val="Calibri"/>
        <family val="2"/>
        <scheme val="minor"/>
      </rPr>
      <t>callback</t>
    </r>
    <r>
      <rPr>
        <i/>
        <sz val="12"/>
        <rFont val="Calibri"/>
        <family val="2"/>
        <scheme val="minor"/>
      </rPr>
      <t xml:space="preserve">". </t>
    </r>
    <r>
      <rPr>
        <sz val="12"/>
        <rFont val="Calibri"/>
        <family val="2"/>
        <scheme val="minor"/>
      </rPr>
      <t xml:space="preserve">
if need = 1, go to need_2
if need = 2-4, go to </t>
    </r>
    <r>
      <rPr>
        <b/>
        <sz val="12"/>
        <color theme="4"/>
        <rFont val="Calibri"/>
        <family val="2"/>
        <scheme val="minor"/>
      </rPr>
      <t>need_received</t>
    </r>
  </si>
  <si>
    <r>
      <t xml:space="preserve">if </t>
    </r>
    <r>
      <rPr>
        <i/>
        <sz val="12"/>
        <rFont val="Calibri"/>
        <family val="2"/>
        <scheme val="minor"/>
      </rPr>
      <t>need_2</t>
    </r>
    <r>
      <rPr>
        <sz val="12"/>
        <rFont val="Calibri"/>
        <family val="2"/>
        <scheme val="minor"/>
      </rPr>
      <t xml:space="preserve"> = 1-19, go to </t>
    </r>
    <r>
      <rPr>
        <b/>
        <sz val="12"/>
        <color theme="4"/>
        <rFont val="Calibri"/>
        <family val="2"/>
        <scheme val="minor"/>
      </rPr>
      <t>need_received</t>
    </r>
  </si>
  <si>
    <r>
      <t xml:space="preserve">if need_received = 1-9, go to assistance_quality.
Otherwise, go to </t>
    </r>
    <r>
      <rPr>
        <b/>
        <sz val="12"/>
        <color theme="4"/>
        <rFont val="Calibri"/>
        <family val="2"/>
        <scheme val="minor"/>
      </rPr>
      <t>callback</t>
    </r>
    <r>
      <rPr>
        <sz val="12"/>
        <rFont val="Calibri"/>
        <family val="2"/>
        <scheme val="minor"/>
      </rPr>
      <t xml:space="preserve">. </t>
    </r>
  </si>
  <si>
    <r>
      <t>if assistance_quality = 1-8, go to</t>
    </r>
    <r>
      <rPr>
        <b/>
        <sz val="12"/>
        <rFont val="Calibri"/>
        <family val="2"/>
        <scheme val="minor"/>
      </rPr>
      <t xml:space="preserve"> </t>
    </r>
    <r>
      <rPr>
        <b/>
        <sz val="12"/>
        <color rgb="FFFF0000"/>
        <rFont val="Calibri"/>
        <family val="2"/>
        <scheme val="minor"/>
      </rPr>
      <t>assistance_provider</t>
    </r>
  </si>
  <si>
    <r>
      <t xml:space="preserve">if </t>
    </r>
    <r>
      <rPr>
        <i/>
        <sz val="12"/>
        <rFont val="Calibri"/>
        <family val="2"/>
        <scheme val="minor"/>
      </rPr>
      <t>callback</t>
    </r>
    <r>
      <rPr>
        <sz val="12"/>
        <rFont val="Calibri"/>
        <family val="2"/>
        <scheme val="minor"/>
      </rPr>
      <t xml:space="preserve"> = 1, go to </t>
    </r>
    <r>
      <rPr>
        <sz val="12"/>
        <color rgb="FFFF0000"/>
        <rFont val="Calibri"/>
        <family val="2"/>
        <scheme val="minor"/>
      </rPr>
      <t>future_int_day</t>
    </r>
    <r>
      <rPr>
        <sz val="12"/>
        <rFont val="Calibri"/>
        <family val="2"/>
        <scheme val="minor"/>
      </rPr>
      <t xml:space="preserve">
if 2, go to </t>
    </r>
    <r>
      <rPr>
        <i/>
        <sz val="12"/>
        <rFont val="Calibri"/>
        <family val="2"/>
        <scheme val="minor"/>
      </rPr>
      <t>language2</t>
    </r>
  </si>
  <si>
    <r>
      <t xml:space="preserve">if </t>
    </r>
    <r>
      <rPr>
        <i/>
        <sz val="12"/>
        <color theme="9" tint="-0.499984740745262"/>
        <rFont val="Calibri"/>
        <family val="2"/>
        <scheme val="minor"/>
      </rPr>
      <t xml:space="preserve">l_future_int_day </t>
    </r>
    <r>
      <rPr>
        <sz val="12"/>
        <color theme="9" tint="-0.499984740745262"/>
        <rFont val="Calibri"/>
        <family val="2"/>
        <scheme val="minor"/>
      </rPr>
      <t xml:space="preserve">= 1-7, go to </t>
    </r>
    <r>
      <rPr>
        <i/>
        <sz val="12"/>
        <color theme="9" tint="-0.499984740745262"/>
        <rFont val="Calibri"/>
        <family val="2"/>
        <scheme val="minor"/>
      </rPr>
      <t>future_int_time</t>
    </r>
  </si>
  <si>
    <r>
      <t xml:space="preserve">if </t>
    </r>
    <r>
      <rPr>
        <i/>
        <sz val="12"/>
        <color theme="9" tint="-0.499984740745262"/>
        <rFont val="Calibri"/>
        <family val="2"/>
        <scheme val="minor"/>
      </rPr>
      <t xml:space="preserve">future_int_time </t>
    </r>
    <r>
      <rPr>
        <sz val="12"/>
        <color theme="9" tint="-0.499984740745262"/>
        <rFont val="Calibri"/>
        <family val="2"/>
        <scheme val="minor"/>
      </rPr>
      <t xml:space="preserve">= 1-3, go to </t>
    </r>
    <r>
      <rPr>
        <i/>
        <sz val="12"/>
        <color theme="9" tint="-0.499984740745262"/>
        <rFont val="Calibri"/>
        <family val="2"/>
        <scheme val="minor"/>
      </rPr>
      <t>language2</t>
    </r>
  </si>
  <si>
    <r>
      <t xml:space="preserve">GeoPoll [2/11]: The quota table indicates only Chiredzi should proceed here, please confirm if this also includes Chidredzi urban.
</t>
    </r>
    <r>
      <rPr>
        <b/>
        <sz val="14"/>
        <color rgb="FFFF0000"/>
        <rFont val="Calibri"/>
        <family val="2"/>
        <scheme val="minor"/>
      </rPr>
      <t xml:space="preserve">SN: This is only for Chiredzi and notChidredzi urban </t>
    </r>
    <r>
      <rPr>
        <b/>
        <sz val="14"/>
        <color rgb="FF00B050"/>
        <rFont val="Calibri"/>
        <family val="2"/>
        <scheme val="minor"/>
      </rPr>
      <t xml:space="preserve">
</t>
    </r>
    <r>
      <rPr>
        <b/>
        <sz val="14"/>
        <color rgb="FF7030A0"/>
        <rFont val="Calibri"/>
        <family val="2"/>
        <scheme val="minor"/>
      </rPr>
      <t>GeoPoll [2/11]: Noted and updated</t>
    </r>
  </si>
  <si>
    <r>
      <t xml:space="preserve">1 = Ineligible
</t>
    </r>
    <r>
      <rPr>
        <b/>
        <sz val="14"/>
        <color rgb="FF7030A0"/>
        <rFont val="Calibri"/>
        <family val="2"/>
        <scheme val="minor"/>
      </rPr>
      <t xml:space="preserve">2 = quotareached
3 = Ineligible
4 = quotareached
</t>
    </r>
    <r>
      <rPr>
        <sz val="14"/>
        <rFont val="Calibri"/>
        <family val="2"/>
        <scheme val="minor"/>
      </rPr>
      <t>5-8 = Ineligible
9 = quotareached
10,11 = Ineligible</t>
    </r>
  </si>
  <si>
    <r>
      <t xml:space="preserve">GeoPoll: Confirm if we should add the additional unit "Jeribs"
</t>
    </r>
    <r>
      <rPr>
        <b/>
        <sz val="14"/>
        <color rgb="FFFF0000"/>
        <rFont val="Calibri"/>
        <family val="2"/>
        <scheme val="minor"/>
      </rPr>
      <t>SN: This is fine for now and we will confirm the same with the team in the training</t>
    </r>
    <r>
      <rPr>
        <b/>
        <sz val="14"/>
        <color rgb="FF0070C0"/>
        <rFont val="Calibri"/>
        <family val="2"/>
        <scheme val="minor"/>
      </rPr>
      <t xml:space="preserve">
</t>
    </r>
    <r>
      <rPr>
        <b/>
        <sz val="14"/>
        <color rgb="FF7030A0"/>
        <rFont val="Calibri"/>
        <family val="2"/>
        <scheme val="minor"/>
      </rPr>
      <t>GeoPoll [2/11]: Noted.</t>
    </r>
  </si>
  <si>
    <t>Form Type - Dropdown
IsDemographic - crp_main</t>
  </si>
  <si>
    <r>
      <t xml:space="preserve">GeoPoll: $expected or nothing$ - Confirm the appropriate word to use in the question text before the word harvest, not clearly explained in "Additional information" tab.
</t>
    </r>
    <r>
      <rPr>
        <b/>
        <sz val="14"/>
        <color rgb="FFFF0000"/>
        <rFont val="Calibri"/>
        <family val="2"/>
        <scheme val="minor"/>
      </rPr>
      <t>SN: it is fine, asked the way it is, which is the same as last round</t>
    </r>
    <r>
      <rPr>
        <b/>
        <sz val="14"/>
        <color rgb="FF0070C0"/>
        <rFont val="Calibri"/>
        <family val="2"/>
        <scheme val="minor"/>
      </rPr>
      <t xml:space="preserve">
</t>
    </r>
    <r>
      <rPr>
        <b/>
        <sz val="14"/>
        <color rgb="FF7030A0"/>
        <rFont val="Calibri"/>
        <family val="2"/>
        <scheme val="minor"/>
      </rPr>
      <t>GeoPoll [2/11]: Noted</t>
    </r>
  </si>
  <si>
    <t>Form Type - Buttons
IsDemographic - crp_salesmain</t>
  </si>
  <si>
    <t>Form Type - Buttons
IsDemographic - ls_main</t>
  </si>
  <si>
    <t>Form Type - Buttons
IsDemographic - ls_salesmain</t>
  </si>
  <si>
    <t>Form Type - RadioList
IsDemographic - fish_salesmain</t>
  </si>
  <si>
    <t>1-100000 = income_sec_gender
100001 - 500000 = income_sec_amount_conf
888888-888888 = income_sec_gender
999999-999999 = income_sec_gender</t>
  </si>
  <si>
    <t>Form Type - Buttons
IsDemographic - income_main</t>
  </si>
  <si>
    <t>Form Type - Buttons
exclude selected "income_main"
IsDemographic - income_sec</t>
  </si>
  <si>
    <t>Form Type - Buttons
exclude selected "income_main"
exclude selected "income_sec"
IsDemographic - income_third</t>
  </si>
  <si>
    <t>Pane here mumwe  wemumhuri yenyu aka rima  kana kuchengeta zvipfuyo zvekuti mhuri idye kana kuti itengese mukati mumwedzi 12 yapfuura here, kusanganisira nhengo dzemhuri dziri kure kumafuro nezvipfuyo panguva ino?
[ARI KUITISA ONGORORO: MHINDURO IMWE CHETE. UYU NDIWO MUBVUNZO MUKURU PAKUSARUDZA AKAKODZERA.]
[ZVAUNOGONA KUBVUNZA: Munorima zvirimwa zvekutengesa here kana kuti zvekudya? Munopfuya zvipfuyo nechinangwa chekutengesa here kana kuti chekudya kana kuti chekuwana zvinhu zvakadai senyama, mukaka, shinda, kana matehwe? Pane here mumwe wemunhuri yenyu ari kugara kure kumafuro nezvipfuyo?]
1)Hongu - kurima zvirimwa
2)Hongu - kuchengeta zvipfuyo
3)Hongu - zvose kurima zvirimwa nekuchengeta zvipfuyo
4)Kwete
5)HANDIZIVI
6)ARAMBA</t>
  </si>
  <si>
    <t>Ndeapi mashoko pane anotevera anonyatsotsanangura mhando yamagariro amunoita?
[ARI KUITISA ONGORORO: VERENGA MHINDURO DZIRIPO. MHINDURO IMWE CHETE.]
[ZVEKUYEUKA: KANA ARIKUPINDURA ANGORI KURE NEMHURI KWEKANGUVA NEKUDA KWEBASA (KWEMWEDZI IRI PASI PE-6)KANA ARI KURE KUMAFURO NEZVIPFUYO, IVA NECHOKWADI CHEKUTI URI KUREVA MAGARIRO EMHURI YAKE KUMUSHA KWAANOBVA.]
1)Mugari wenguva dzose -  wange uri kugara mudungu kana kuti muguta kwenguva inopfuura makore maviri uye iyi ndiyo nzvimbo yaunoti ndoyaunogara nguva dzose
2)Uchangobva kutama zvisiri zvekumanikidzirwa - wange uri kugara munzvimbo iyi kwenguva iri pasi pemakore maviri uye vakatamirako nekuzvidira nekuda kwebasa kana mhuri kana zvimwewo zvikonzero zvisiri zvemhirizhonga kana zvenjodzi dzinongoitika dzoga
3)Akadzoka - wakadzoka kunzvimbo iyi mukati memakore maviri apfuura mushure mekunge wamanikidzirwa kubvamo uchinogara kumwe uchitiza mhirizhonga kana njodzi dzinongoitika dzoga [kana akadzoka munzvimbo iyi kwenguva inopfuura makore 2 anenge ava kuonekwa semugari wenguva dzose]
4)Mugari Akamanikidzirwa Kutiza Kwaaiva - vakamanikidzirwa kutiza kubva mudunhu kana kuti guta ravaigara nekuda kwemhirizhonga kana kuti njodzi dzinongoitika dzoga uye iko zvino wave kugara semunhu akamanikidzirwa kutiza kwaaiva
5)Mupoteri - vakamanikidzirwa kutiza nyika yavaigara nekuda kwemhirizhonga kana kuti njodzi dzinongoitika dzoga uye iko zvino wave kugara semupoteri munzvimbo yauri
6)HANDIZIVI
7)ARAMBA</t>
  </si>
  <si>
    <t>Mhuri yenyu yainyanya kuwana mari kubva kupi mumwedzi 3 yapfuura?
[ARI KUITISA ONGORORO: MHINDURO IMWE CHETE. MHINDURO YEKUTI ARAMBA INOFANIRA KUDZIVISWA SEZVINGABVIRA.]
1)Kurima nekutengesa zvirimwa zvinonyanya kudyiwa
2)Kurima nekutengesa miriwo nemichero 
3)Kurima nekutengesa zvirimwa zvisiri zvekudya
4)Kuchengeta nekutengesa zvipfuyo nezvinowanikwa kuzvipfuyo 
5)Kuchengeta nyuchi nekutengesa huchi nezvigadzirwa zvehuchi
6)Kuchengeta nekutengesa hove 
7)Kuunganidza nekutengesa zvinowanikwa musango 
8)Kutengesa zvekurimisa KWETE kuvanogadzira zvinhu [zviri pamutemo kana zvisiri]
9)Muhoro wepazuva pamabasa ekurima kana emaricho muchikamu chezvekurima
10)Basa renguva dzose muchikamu chezvekurima 
11)Kuzvishandira musiri muchikamu chezvekurima / chiremba / kugadzira mapurani edzimba / gweta / kusanganisira maresitorendi
12)Muhoro wepazuva kubva kumaricho asiri muchikamu chezvekurima
13)Basa renguva dzose risiri muchikamu chezvekurima
14)Basa muchikamu chehurumende 
15)Mari isiri yekushandira / yeZvipo
16)Mari isiri yekushandira / Mari yeWerofeya/yepenjeni/yerubatsiro
17)Mari isiri yekushandira / Yekutumirwa kubva kunze
18)Mari isiri yekushandira / Mari kubva kumamwe marendi
19)Hapana kwakabva mari mukati memwedzi 3 yapfuura uye taingoshandisa yagara yakachengetwa / yezvikwereti
20)ARAMBA</t>
  </si>
  <si>
    <t>Parizvino tichakubvunzai mibvunzo iri maringe nekurimwa kwezvirimwa kwaunoita kana kunoitwa nemumwe ari mumhuri yenyu anoita zvekurima kana Kutengesa zvirimwa. Mibvunzo yose yakanangana nezvirimwa zvakarimwa mukati memwaka uno.
1)ENDERERA MBERI</t>
  </si>
  <si>
    <t xml:space="preserve">Kunyanga edlulileyo ,kungabe kulomunye yini emuzini wakho owehlise inani leferilizer , umuthi wezibungu ,ukudla kwezifuyo,kumbe ukwelaphisa izifiyo ngenxa yokuswelakala kokudla loba imali?                                                                                           
[OQHUBAYO: IMPENDULO EYODWA.]
1)Yebo
2)Hatshi - ngoba kwakungadingakali
3)Hatshi - ngoba wawusuvele suzithengisile impahla lezo kumbe wenza lokhu ngenyanga ezilitshumi lambili njalo kawusenelisi ukuqhubeka ukwenza
4)Akungeni
5)KAZI
6)WALILE                                                                                                 </t>
  </si>
  <si>
    <t>o_physical_visit</t>
  </si>
  <si>
    <t>Would you be willing to receive a physical visit in the future to discuss this further?
[OPERATOR: SINGLE RESPONSE.]
1)YES
2)NO</t>
  </si>
  <si>
    <t>1-2 = o_ward_number</t>
  </si>
  <si>
    <t>o_ward_number</t>
  </si>
  <si>
    <t>In which Ward (number) do you reside?
[OPERATOR: RECORD THE WARD NUMBER GIVEN]</t>
  </si>
  <si>
    <t>o_village_name</t>
  </si>
  <si>
    <t>Name of village in which you reside?
[OPERATOR: RECORD THE NAME GIVEN]</t>
  </si>
  <si>
    <t>Any Response = language2</t>
  </si>
  <si>
    <r>
      <t xml:space="preserve">1-3 = </t>
    </r>
    <r>
      <rPr>
        <b/>
        <sz val="14"/>
        <color rgb="FFFF0000"/>
        <rFont val="Calibri"/>
        <family val="2"/>
        <scheme val="minor"/>
      </rPr>
      <t>o_physical_visit</t>
    </r>
  </si>
  <si>
    <t>Muri kugara muward nhamba ani?
[OPERATOR: RECORD THE WARD NUMBER GIVEN]</t>
  </si>
  <si>
    <t>Muri kugara muvillage inonzi chii?
[OPERATOR: RECORD THE NAME GIVEN]</t>
  </si>
  <si>
    <t>Lihlala kuward iphi?
[OPERATOR: RECORD THE WARD NUMBER GIVEN]</t>
  </si>
  <si>
    <t>Uhlala evilejini ipi?
[OPERATOR: RECORD THE NAME GIVEN]</t>
  </si>
  <si>
    <t>Pane here mumwe wemumhuri yenyu akambova mune zvekuchengeta hove dzekudya semhuri kana kutengesa mumwedzi 12 yapfuura?
[OPERATOR: SINGLE RESPONSE.]
[HINT FOR PROBING: It should not include sports fishing. It should be about production of aquatic products [fish catch or aquaculture farming] for household consumption or sales.]
1)Hongu
2)kwete
3)Handizivi
4)Aramba</t>
  </si>
  <si>
    <t>Kungabe kulomunye yini emuzini wakho owenza umsebenzi wezenhlazi(okugoqela ukuthiya inhlazi kumbe okunye okuhlala emanzini) esenzela okokudla kumbe ukuthengisa kunyanga ezilitshumi lambili ezedlulileyo? 
[OPERATOR: SINGLE RESPONSE.]
[HINT FOR PROBING: It should not include sports fishing. It should be about production of aquatic products [fish catch or aquaculture farming] for household consumption or sales.]
1)Yebo
2)Hatshi
3)Angazi
4)Uyalile</t>
  </si>
  <si>
    <t>Kulomuntu wendlini yakho ubelima izilimo kumbe efuya izifuyo khona kuyasetshenziswa ngabendlini kumbe ukuthengisa kunyanga ezilitshumi lambili ezidlulileyo, kugoqela amalunga emuli angekho kathesi ahambise izifuyo kwamanye amadlelo?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1)Yebo- Ukulima izilimo 
2)Yebo-Ukufuya izifuyo
3)Yebo- Konke ukulima izilimo lokufuya izifuyo
4)Hatshi
5)Angazi
6)Uyalile</t>
  </si>
  <si>
    <t>Ungangipha ezinye inombolo zocingo zakho, zesihlobo kumbe umngane lapho ongafinyelelwa khona?
[OPERATOR:SINGLE RESPONSE]
1)YEBO - ezami
2)YEBO- eyelinye ilungu lekhaya
3)YEBO-ezomngane kumbe isihlobo
4)HATSHI
5)KAZI
6)WALILE</t>
  </si>
  <si>
    <t>Umaphendula uyibuphi ubulili?
[OPERATOR: DO NOT ASK THIS QUESTION OUT LOUD. LISTEN TO THE VOICE AND SELECT THE GENDER.]
1)Ngowesilisa
2)Ngowesifazana
3)KAZI
4)WALILE</t>
  </si>
  <si>
    <t>Ari kupindura murume here kana kuti mukadzi?
[OPERATOR: DO NOT ASK THIS QUESTION OUT LOUD. LISTEN TO THE VOICE AND SELECT THE GENDER.]
1)Murume
2)Mukadzi
3)HANDIZIVI
4)ARAMBA</t>
  </si>
  <si>
    <t>Parizvino mafuro akamira sei {ls_main}?  
[ARI KUITISA ONGORORO:MHINDURO IMWE CHETE]
1)Hakuna zvachose
2)Hakuna
3)Ari naniwo
4)Akanaka
5)Zvimwewo
6)HANDIZIVI
7)ARAMBA</t>
  </si>
  <si>
    <t>Okwakhathesi umumo wezilimo unjani? {ls_main}?  
[OQHUBAYO:IMPENDULO EYODWA] 
1)Kubi kakhulu 
2)Kubi 
3)Kungcono 
4)Kuhle 
5)OKUNYE
6)KAZI
7)WALILE</t>
  </si>
  <si>
    <t>Parizvino zvipfuyo zvakamira sei{ls_main}?  
[ARI KUITISA ONGORORO:MHINDURO IMWE CHET] 
1)Hazvina kumira mushe zvachose
2)Hazvina kumira mushe
3)Zviri naniwo
4)Zvakanaka
5)Zvimwewo
6)HANDIZIVI
7)ARAMBA</t>
  </si>
  <si>
    <t>Mvura yekunwa yezvipfuyo zvenyu yakamira sei pari zvino {ls_main}?  
[ARI KUITISA ONGORORO:MHINDURO IMWE CHETE.] 
1)Hazvina kumira mushe zvachose
2)Hazvina kumira mushe
3)Iri naniwo
4)Zvimwewo
5)HANDIZIVI
6)ARAMBA</t>
  </si>
  <si>
    <t xml:space="preserve"> Isimo sezifuyo sinjani okwakhathesi{ls_main}?  
[.OQHUBAYO:IMPENDULO EYODWA] 
1)Kubi kakhulu
2)Kubi
3)Kungcono
4)Kuhle
5)OKUNYE
6)KAZI
7)WALILE</t>
  </si>
  <si>
    <t>Zvipfuyo zvingani {ls_main} zvakafa mumwedzi mitatu yapfuura?
[OPERATOR: RECORD THE NUMBER OF ANIMALS THAT DIED. ENTER 88888 FOR DON'T KNOW AND 99999 FOR REFUSED.]</t>
  </si>
  <si>
    <t xml:space="preserve"> Ngezingaki izifuyo{ls_main} ezafayo kunyanga ezintathu ezedlulileyo?
[OPERATOR: RECORD THE NUMBER OF ANIMALS THAT DIED. ENTER 88888 FOR DON'T KNOW AND 99999 FOR REFUSED.]</t>
  </si>
  <si>
    <t>Mumazuva 30  apfuura mumwe wemumhuri yenyu aitofanira here kuderedza mari yekushandisa pakutenga fetiraiza , mishonga ,chikafu chezvipfuwo,kurapwa kwezvipfuwo?
[ARI KUITISA ONGORORO:MHINDURO IMWE CHETE]
1)Hongu
2)Kwete-nekuti paisava nechikonzero chekuti tidaro
3)kwete-nekuti midziyo iyi yakatotengeswa nechekare kana kuti vakatoita izvi mumwedzi 12 yapfuura uye haungarambe uchizviita
4)Hazvishande
5)HANDIZIVI 
6)ARAMBA</t>
  </si>
  <si>
    <t>Mungada here kushanyirwa munguva inotevera tichiita hurukuro idzi?
[ARI KUITA ONGORORO: MHINDURO IMWE CHETE]
1)Hongu
2)Kwete</t>
  </si>
  <si>
    <t>Likhululekile yini ukuthi silivakatshele ngesikhathi esizayo ukuthi sizoxoxa kabanzi?
[OQHUBAYO: IMPENDULO EYODWA]
1)Yebo
2)Hatshi</t>
  </si>
  <si>
    <t>Iwe kana chero nhengo yeimba yako yakagamuchira runhare wakamiririra FAO maererano nenyaya iyi mumakore maviri apfuura?
[ARI KUITISA ONGORORO: MHINDURO IMWE CHETE]
1)HONGU
2)KWETE
3)HANDIZIVI</t>
  </si>
  <si>
    <t>Tapota tiudze chikonzero chaita kuti URAMBE kubatanidzwa mutsvakurudzo.
[ARI KUITISA ONGORORO: MHINDURO IMWE CHETE]
1)Kusangoda
2)Kusada kurekodhwa
3)Chimwewo [ratidza]</t>
  </si>
  <si>
    <t>Uri kuda here kubatanidzwa mukuitwa kwetsvakurudzo iyi?
[ARI KUITISA ONGORORO: MHINDURO IMWE CHETE]
1)Hongu
2)Kwete parizvino asi pane imwewo nguva mukati mevhiki
3)Kwete</t>
  </si>
  <si>
    <t>Ungathakazelela ukuphatheka kuncwayisiso le?
[OQHUBAYO: IMPENDULO EYODWA]
1)Yebo
2)Hatshi kathesi mhlawumbe ngesinye isikhathi phakathi kweviki
3)Hatshi</t>
  </si>
  <si>
    <t>Unoda kuti tishandise mutauro upi?
[ARI KUITISA ONGORORO:VERENGA MHINDURO DZIRIPO.MHINDURO IMWE CHETE]
1)Chirungu
2)ChiShona
3)ChiNdebele</t>
  </si>
  <si>
    <t>Ungafuna ukuthi ingxoxo le iqhutshwe kusetshenziswa luphi ulimi?
[OQHUBAYO:BALELA PHEZULU IMPENDULO EZIKHETHWAYO.IMPENDULO EYODWA]
1)IsiNgisi
2)ChiShona
3)IsiNdebele</t>
  </si>
  <si>
    <t>Ungabe khumbe khulomunye olilunga langekhaya owakhe wasabela ucingo emelela ilunga LeFAO khupindela indaba kweminyaka emivili edlulileyo?
[OQHUBAYO: IMPENDULO EYODWA]
1)Yebo
2)Hatshi
3)Kazi</t>
  </si>
  <si>
    <t>Mbeu iri kuwanikwa nyore here kubva kwamusiiwana? 
[KUITISA ONGORORO: MHINDURO IMWE CHETE]
1)Iri kuwanikwa nguva dzose
2)Iri kuwanikwa dzimw nguva
3)Haisi kuwanikwa
4)Zvimwewo
5)HANDIZIVI
6)ARAMBA</t>
  </si>
  <si>
    <t xml:space="preserve">Mafetiraiza ari kuwanikwa here nguva dzose kwamunosiwana?? 
[KUITISA ONGORORO: MHINDURO IMWE CHETE]
1)Iri kuwanikwa nguva dzose
2)Iri kuwanikwa dzimw nguva
3)Haisi kuwanikwa
4)Zvimwewo
5)HANDIZIVI
6)ARAMBA
</t>
  </si>
  <si>
    <t>Sarudza mutauro wanyanya kushandiswa pakupedza hurukuro ino.
[ARI KUITISA ONGORORO: MHINDURO IMWE CHETE.]
1)Chirungu
2)ChiShona
3)ChiNdebele</t>
  </si>
  <si>
    <t>Khetha ulimi olusetshenziswe kakhulu ekuqhubeni ingxoxo le.
[OQHUBAYO: IMPENDULO EYODWA.]
1)IsiNgisi
2)IsiShona
3)IsiNdebele</t>
  </si>
  <si>
    <t>Tinotenda nenguva yako. Hurukuro ino yaperera pano. Uchawana #TOPUP# yemari yekufonesa panhare iyi mumazuva 2 anotevera.</t>
  </si>
  <si>
    <t>Siyabonga ngesikhathi sakho. Ingxoxo sifike emaphethelweni. Uzamukela I #TOPUP# yomakhalekhukhwini lo ngamalanga amabili abuyayo.</t>
  </si>
  <si>
    <t>1-50 = o_village_name</t>
  </si>
  <si>
    <t xml:space="preserve">Uyithega ngaphi ifertilizer yakho? 
[OQHUBAYO: IMPENDULO EZINENGI]
1)Emakethi eseduzane kumbe laba abathengisa ezokulima    
2)Inkampani ethengisa ama fertilizer kuphela     
3)Ama organisation angasiwo Kahulumende (NGOs] 
4)Enhlanganisweni yompakathi ebona ngezokulima/yabalimisi/inkampani zaba limisi/e.t.c  
5)kuHulumende [okunje MoA]    
6)  lzihlobo kumbe abangane    
7)Okunye     
8)Akakwazi  
9)Walile       
</t>
  </si>
  <si>
    <t>Mwero wekuyera kukura kwemunda: 
[ARI KUITISA ONGORORO: USAVERENGA. MHINDURO IMWE CHETE.]
1)Mayeka
2)Mahekitara
3)Masikweya mita
4)Masikweya fiti
5)Jeribs</t>
  </si>
  <si>
    <t>Indlela yokubala ubukhulu bomhlabathi: 
[OQHUBAYO: UNGABALI. IMPENDULO EYODWA.]
1)Ama-acres
2)Ama0Hectares
3)Ama-Square meters
4)Ama-Square feet
5)Jeribs</t>
  </si>
  <si>
    <r>
      <t>Where do you normally procure your fertilizers from? 
[OPERATOR: MULTIPLE RESPONSES POSSIBLE.]
1)Local market or agro-input shop/dealer
2)Private fertilizer company
3)NGOs
4)Community seed input schemes / farmer networks / farmers' association / etc.
5)Government [e.g. MoA]</t>
    </r>
    <r>
      <rPr>
        <strike/>
        <sz val="14"/>
        <rFont val="Calibri"/>
        <family val="2"/>
        <scheme val="minor"/>
      </rPr>
      <t xml:space="preserve">
</t>
    </r>
    <r>
      <rPr>
        <sz val="14"/>
        <rFont val="Calibri"/>
        <family val="2"/>
        <scheme val="minor"/>
      </rPr>
      <t>6)Relatives or friends
7)Other
8)DON'T KNOW
9)REFUSED</t>
    </r>
  </si>
  <si>
    <t xml:space="preserve">Inhlanyelo itholakala isikhathi sonke yini lapho ohlala uthenga khona? 
[OQHUBAYO:UNGABALI.IMPENDULO EYODWA]
1)Ayatholakala isikhathi sonke
2)Ayatholakala okuphakathi laphakathi
3)Kayitholakali 
4)Okunye
5)Kakwazi 
6)Walile
</t>
  </si>
  <si>
    <t xml:space="preserve">Amafertilizer ayatholakala yini isikhathi sonke lapho ohlala uthenga khona?? 
[OQHUBAYO :IMPENDULO EYODWA]
1)Ayatholakala isikhathi sonke
2)Ayatholakala okuphakathi laphakathi
3)Kayitholakali 
4)Okunye
5)Kakwazi 
6)Walile
</t>
  </si>
  <si>
    <t xml:space="preserve">Okwakhathesi isimo sokubakhona kwamanzi wokunatha ezifuyo zakho sinjani? {ls_main}?  
[OQHUBAYO:IMPENDULO EYODWA] 
1)Kubi 
2)Kungcono  
3)Kuhle
4)Okunye
5)Kazi
6)Walile
</t>
  </si>
  <si>
    <r>
      <t xml:space="preserve">Munowanzo wana kupi mafetiraiza? 
[ARI KUITISA ONGORORO:MHINDURO ZHINJI]
1)Misika iri pedyo kana zvitoro zvinotengesa zvekurimisa
2)Makambani akazvimirira anoita zvekutengesa fetiraiza
3)NGOs
</t>
    </r>
    <r>
      <rPr>
        <b/>
        <sz val="14"/>
        <color rgb="FFFF0000"/>
        <rFont val="Calibri"/>
        <family val="2"/>
        <scheme val="minor"/>
      </rPr>
      <t>4)Mbeu dzinobva kumapandiko enharaunda / madandemutande evarimi / mibatanidzwa yevarimi</t>
    </r>
    <r>
      <rPr>
        <sz val="14"/>
        <rFont val="Calibri"/>
        <family val="2"/>
        <scheme val="minor"/>
      </rPr>
      <t xml:space="preserve">
5)Hurumende [e.g MoA]</t>
    </r>
    <r>
      <rPr>
        <strike/>
        <sz val="14"/>
        <rFont val="Calibri"/>
        <family val="2"/>
        <scheme val="minor"/>
      </rPr>
      <t xml:space="preserve">
</t>
    </r>
    <r>
      <rPr>
        <sz val="14"/>
        <rFont val="Calibri"/>
        <family val="2"/>
        <scheme val="minor"/>
      </rPr>
      <t>6)Hama kana Shamwari
7)Zvimwewo
8)HANDIZIVI
9)ARAMBA</t>
    </r>
  </si>
  <si>
    <t>1-6 = ls_proddif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</si>
</sst>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7">
    <font>
      <sz val="11"/>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b/>
      <sz val="11"/>
      <name val="Calibri"/>
      <family val="2"/>
    </font>
    <font>
      <sz val="8"/>
      <name val="Calibri"/>
      <family val="2"/>
      <scheme val="minor"/>
    </font>
    <font>
      <b/>
      <sz val="16"/>
      <name val="Calibri"/>
      <family val="2"/>
      <scheme val="minor"/>
    </font>
    <font>
      <sz val="16"/>
      <name val="Calibri"/>
      <family val="2"/>
      <scheme val="minor"/>
    </font>
    <font>
      <sz val="16"/>
      <name val="Calibri"/>
      <family val="2"/>
    </font>
    <font>
      <b/>
      <sz val="16"/>
      <name val="Calibri"/>
      <family val="2"/>
    </font>
    <font>
      <sz val="16"/>
      <color theme="1"/>
      <name val="Calibri"/>
      <family val="2"/>
      <scheme val="minor"/>
    </font>
    <font>
      <sz val="16"/>
      <color rgb="FFFF0000"/>
      <name val="Calibri"/>
      <family val="2"/>
      <scheme val="minor"/>
    </font>
    <font>
      <sz val="16"/>
      <color theme="9" tint="-0.499984740745262"/>
      <name val="Calibri (Body)"/>
    </font>
    <font>
      <b/>
      <sz val="16"/>
      <color theme="9" tint="-0.499984740745262"/>
      <name val="Calibri (Body)"/>
    </font>
    <font>
      <sz val="16"/>
      <name val="Calibri (Body)"/>
    </font>
    <font>
      <b/>
      <sz val="16"/>
      <name val="Calibri (Body)"/>
    </font>
    <font>
      <sz val="14"/>
      <color theme="0" tint="-4.9989318521683403E-2"/>
      <name val="Calibri"/>
      <family val="2"/>
      <scheme val="minor"/>
    </font>
    <font>
      <b/>
      <sz val="14"/>
      <name val="Calibri"/>
      <family val="2"/>
      <scheme val="minor"/>
    </font>
    <font>
      <sz val="14"/>
      <name val="Calibri"/>
      <family val="2"/>
      <scheme val="minor"/>
    </font>
    <font>
      <b/>
      <sz val="14"/>
      <color theme="0" tint="-4.9989318521683403E-2"/>
      <name val="Calibri"/>
      <family val="2"/>
      <scheme val="minor"/>
    </font>
    <font>
      <b/>
      <sz val="14"/>
      <color theme="1"/>
      <name val="Calibri"/>
      <family val="2"/>
      <scheme val="minor"/>
    </font>
    <font>
      <sz val="14"/>
      <color theme="1"/>
      <name val="Calibri"/>
      <family val="2"/>
      <scheme val="minor"/>
    </font>
    <font>
      <sz val="14"/>
      <color rgb="FFFF0000"/>
      <name val="Calibri"/>
      <family val="2"/>
      <scheme val="minor"/>
    </font>
    <font>
      <i/>
      <sz val="14"/>
      <name val="Calibri"/>
      <family val="2"/>
      <scheme val="minor"/>
    </font>
    <font>
      <b/>
      <i/>
      <sz val="14"/>
      <name val="Calibri"/>
      <family val="2"/>
      <scheme val="minor"/>
    </font>
    <font>
      <b/>
      <sz val="14"/>
      <color rgb="FF0070C0"/>
      <name val="Calibri"/>
      <family val="2"/>
      <scheme val="minor"/>
    </font>
    <font>
      <b/>
      <sz val="14"/>
      <color rgb="FFFF0000"/>
      <name val="Calibri"/>
      <family val="2"/>
      <scheme val="minor"/>
    </font>
    <font>
      <sz val="14"/>
      <color theme="9" tint="-0.499984740745262"/>
      <name val="Calibri"/>
      <family val="2"/>
      <scheme val="minor"/>
    </font>
    <font>
      <b/>
      <sz val="11"/>
      <color theme="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1"/>
      <name val="Calibri"/>
      <family val="2"/>
      <scheme val="minor"/>
    </font>
    <font>
      <b/>
      <sz val="11"/>
      <name val="Calibri"/>
      <family val="2"/>
      <scheme val="minor"/>
    </font>
    <font>
      <b/>
      <sz val="12"/>
      <name val="Calibri"/>
      <family val="2"/>
      <scheme val="minor"/>
    </font>
    <font>
      <b/>
      <sz val="12"/>
      <color theme="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name val="Calibri"/>
      <family val="2"/>
      <scheme val="minor"/>
    </font>
    <font>
      <b/>
      <sz val="12"/>
      <color rgb="FFFF0000"/>
      <name val="Calibri"/>
      <family val="2"/>
      <scheme val="minor"/>
    </font>
    <font>
      <sz val="12"/>
      <color rgb="FFFF0000"/>
      <name val="Calibri"/>
      <family val="2"/>
      <scheme val="minor"/>
    </font>
    <font>
      <sz val="12"/>
      <color theme="4"/>
      <name val="Calibri"/>
      <family val="2"/>
      <scheme val="minor"/>
    </font>
    <font>
      <i/>
      <sz val="12"/>
      <name val="Calibri"/>
      <family val="2"/>
      <scheme val="minor"/>
    </font>
    <font>
      <b/>
      <i/>
      <sz val="12"/>
      <name val="Calibri"/>
      <family val="2"/>
      <scheme val="minor"/>
    </font>
    <font>
      <b/>
      <i/>
      <sz val="12"/>
      <color theme="4"/>
      <name val="Calibri"/>
      <family val="2"/>
      <scheme val="minor"/>
    </font>
    <font>
      <u/>
      <sz val="12"/>
      <name val="Calibri"/>
      <family val="2"/>
      <scheme val="minor"/>
    </font>
    <font>
      <sz val="14"/>
      <color rgb="FF0070C0"/>
      <name val="Calibri"/>
      <family val="2"/>
      <scheme val="minor"/>
    </font>
    <font>
      <u/>
      <sz val="14"/>
      <color rgb="FF0070C0"/>
      <name val="Calibri"/>
      <family val="2"/>
      <scheme val="minor"/>
    </font>
    <font>
      <sz val="12"/>
      <color theme="9" tint="-0.499984740745262"/>
      <name val="Calibri"/>
      <family val="2"/>
      <scheme val="minor"/>
    </font>
    <font>
      <i/>
      <sz val="12"/>
      <color theme="4"/>
      <name val="Calibri"/>
      <family val="2"/>
      <scheme val="minor"/>
    </font>
    <font>
      <sz val="11"/>
      <color theme="4"/>
      <name val="Calibri"/>
      <family val="2"/>
      <scheme val="minor"/>
    </font>
    <font>
      <sz val="12"/>
      <color rgb="FF000000"/>
      <name val="Calibri"/>
      <family val="2"/>
      <scheme val="minor"/>
    </font>
    <font>
      <b/>
      <sz val="12"/>
      <color theme="4"/>
      <name val="Calibri"/>
      <family val="2"/>
      <scheme val="minor"/>
    </font>
    <font>
      <b/>
      <sz val="12"/>
      <color rgb="FF4472C4"/>
      <name val="Calibri"/>
      <family val="2"/>
      <scheme val="minor"/>
    </font>
    <font>
      <i/>
      <sz val="12"/>
      <color rgb="FFFF0000"/>
      <name val="Calibri"/>
      <family val="2"/>
      <scheme val="minor"/>
    </font>
    <font>
      <b/>
      <i/>
      <sz val="12"/>
      <color rgb="FFFF0000"/>
      <name val="Calibri"/>
      <family val="2"/>
      <scheme val="minor"/>
    </font>
    <font>
      <b/>
      <sz val="14"/>
      <color rgb="FF00B050"/>
      <name val="Calibri"/>
      <family val="2"/>
      <scheme val="minor"/>
    </font>
    <font>
      <sz val="11"/>
      <color rgb="FFFF0000"/>
      <name val="Calibri"/>
      <family val="2"/>
      <scheme val="minor"/>
    </font>
    <font>
      <i/>
      <sz val="12"/>
      <color theme="9" tint="-0.499984740745262"/>
      <name val="Calibri"/>
      <family val="2"/>
      <scheme val="minor"/>
    </font>
    <font>
      <b/>
      <sz val="14"/>
      <color theme="4"/>
      <name val="Calibri"/>
      <family val="2"/>
      <scheme val="minor"/>
    </font>
    <font>
      <b/>
      <i/>
      <sz val="14"/>
      <color theme="4"/>
      <name val="Calibri"/>
      <family val="2"/>
      <scheme val="minor"/>
    </font>
    <font>
      <b/>
      <sz val="14"/>
      <color rgb="FF7030A0"/>
      <name val="Calibri"/>
      <family val="2"/>
      <scheme val="minor"/>
    </font>
    <font>
      <strike/>
      <sz val="14"/>
      <name val="Calibri"/>
      <family val="2"/>
      <scheme val="minor"/>
    </font>
  </fonts>
  <fills count="20">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rgb="FFF6DFDC"/>
        <bgColor indexed="64"/>
      </patternFill>
    </fill>
    <fill>
      <patternFill patternType="solid">
        <fgColor rgb="FFFFFF00"/>
        <bgColor indexed="64"/>
      </patternFill>
    </fill>
    <fill>
      <patternFill patternType="solid">
        <fgColor theme="7"/>
        <bgColor indexed="64"/>
      </patternFill>
    </fill>
    <fill>
      <patternFill patternType="solid">
        <fgColor rgb="FF0099CC"/>
        <bgColor indexed="64"/>
      </patternFill>
    </fill>
    <fill>
      <patternFill patternType="solid">
        <fgColor rgb="FF92D050"/>
        <bgColor indexed="64"/>
      </patternFill>
    </fill>
    <fill>
      <patternFill patternType="solid">
        <fgColor theme="0"/>
        <bgColor rgb="FF000000"/>
      </patternFill>
    </fill>
    <fill>
      <patternFill patternType="solid">
        <fgColor rgb="FF00B050"/>
        <bgColor indexed="64"/>
      </patternFill>
    </fill>
    <fill>
      <patternFill patternType="solid">
        <fgColor theme="5" tint="0.39997558519241921"/>
        <bgColor indexed="64"/>
      </patternFill>
    </fill>
    <fill>
      <patternFill patternType="solid">
        <fgColor rgb="FFFFFF00"/>
        <bgColor rgb="FF000000"/>
      </patternFill>
    </fill>
    <fill>
      <patternFill patternType="solid">
        <fgColor rgb="FFA5A5A5"/>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rgb="FFD9D9D9"/>
        <bgColor rgb="FF000000"/>
      </patternFill>
    </fill>
    <fill>
      <patternFill patternType="solid">
        <fgColor theme="7" tint="0.79998168889431442"/>
        <bgColor indexed="64"/>
      </patternFill>
    </fill>
  </fills>
  <borders count="7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indexed="64"/>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theme="1"/>
      </left>
      <right style="thin">
        <color auto="1"/>
      </right>
      <top style="thin">
        <color auto="1"/>
      </top>
      <bottom style="thin">
        <color indexed="64"/>
      </bottom>
      <diagonal/>
    </border>
    <border>
      <left style="medium">
        <color indexed="64"/>
      </left>
      <right style="thin">
        <color auto="1"/>
      </right>
      <top/>
      <bottom style="medium">
        <color indexed="64"/>
      </bottom>
      <diagonal/>
    </border>
    <border>
      <left/>
      <right/>
      <top/>
      <bottom style="thin">
        <color indexed="64"/>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thin">
        <color auto="1"/>
      </right>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style="thin">
        <color auto="1"/>
      </right>
      <top style="medium">
        <color indexed="64"/>
      </top>
      <bottom style="medium">
        <color indexed="64"/>
      </bottom>
      <diagonal/>
    </border>
    <border>
      <left style="thin">
        <color auto="1"/>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theme="1"/>
      </left>
      <right style="thin">
        <color theme="1"/>
      </right>
      <top style="thin">
        <color theme="1"/>
      </top>
      <bottom/>
      <diagonal/>
    </border>
    <border>
      <left style="thin">
        <color auto="1"/>
      </left>
      <right style="medium">
        <color indexed="64"/>
      </right>
      <top/>
      <bottom/>
      <diagonal/>
    </border>
    <border>
      <left style="thin">
        <color theme="1"/>
      </left>
      <right style="thin">
        <color theme="1"/>
      </right>
      <top/>
      <bottom style="thin">
        <color theme="1"/>
      </bottom>
      <diagonal/>
    </border>
    <border>
      <left style="medium">
        <color indexed="64"/>
      </left>
      <right style="thin">
        <color auto="1"/>
      </right>
      <top/>
      <bottom/>
      <diagonal/>
    </border>
    <border>
      <left style="thin">
        <color theme="1"/>
      </left>
      <right style="thin">
        <color theme="1"/>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right style="thin">
        <color theme="0"/>
      </right>
      <top style="thin">
        <color theme="0"/>
      </top>
      <bottom style="thin">
        <color theme="0"/>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bottom/>
      <diagonal/>
    </border>
    <border>
      <left style="thin">
        <color auto="1"/>
      </left>
      <right style="thin">
        <color theme="1"/>
      </right>
      <top style="thin">
        <color auto="1"/>
      </top>
      <bottom style="thin">
        <color auto="1"/>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theme="0"/>
      </left>
      <right style="thin">
        <color theme="0"/>
      </right>
      <top/>
      <bottom style="thin">
        <color theme="0"/>
      </bottom>
      <diagonal/>
    </border>
    <border>
      <left style="thin">
        <color auto="1"/>
      </left>
      <right style="thin">
        <color theme="1"/>
      </right>
      <top style="thin">
        <color auto="1"/>
      </top>
      <bottom style="medium">
        <color indexed="64"/>
      </bottom>
      <diagonal/>
    </border>
    <border>
      <left/>
      <right style="medium">
        <color indexed="64"/>
      </right>
      <top style="thin">
        <color auto="1"/>
      </top>
      <bottom style="medium">
        <color indexed="64"/>
      </bottom>
      <diagonal/>
    </border>
    <border>
      <left/>
      <right style="medium">
        <color indexed="64"/>
      </right>
      <top style="thin">
        <color auto="1"/>
      </top>
      <bottom/>
      <diagonal/>
    </border>
    <border>
      <left style="thin">
        <color rgb="FF000000"/>
      </left>
      <right style="thin">
        <color rgb="FF000000"/>
      </right>
      <top style="thin">
        <color rgb="FF000000"/>
      </top>
      <bottom/>
      <diagonal/>
    </border>
    <border>
      <left style="thin">
        <color auto="1"/>
      </left>
      <right/>
      <top style="medium">
        <color indexed="64"/>
      </top>
      <bottom style="thin">
        <color indexed="64"/>
      </bottom>
      <diagonal/>
    </border>
    <border>
      <left/>
      <right style="thin">
        <color theme="1"/>
      </right>
      <top style="thin">
        <color theme="1"/>
      </top>
      <bottom style="thin">
        <color theme="1"/>
      </bottom>
      <diagonal/>
    </border>
  </borders>
  <cellStyleXfs count="17">
    <xf numFmtId="0" fontId="0" fillId="0" borderId="0"/>
    <xf numFmtId="0" fontId="2" fillId="0" borderId="0"/>
    <xf numFmtId="0" fontId="3"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1" fillId="0" borderId="0"/>
    <xf numFmtId="0" fontId="28" fillId="14" borderId="54" applyNumberFormat="0" applyAlignment="0" applyProtection="0"/>
  </cellStyleXfs>
  <cellXfs count="642">
    <xf numFmtId="0" fontId="0" fillId="0" borderId="0" xfId="0"/>
    <xf numFmtId="1" fontId="0" fillId="0" borderId="0" xfId="0" applyNumberFormat="1"/>
    <xf numFmtId="9" fontId="0" fillId="0" borderId="0" xfId="10" applyFont="1"/>
    <xf numFmtId="0" fontId="6" fillId="0" borderId="24" xfId="0" applyFont="1" applyBorder="1" applyProtection="1">
      <protection locked="0"/>
    </xf>
    <xf numFmtId="0" fontId="7" fillId="0" borderId="0" xfId="0" applyFont="1" applyAlignment="1" applyProtection="1">
      <alignment horizontal="center" vertical="center"/>
      <protection locked="0"/>
    </xf>
    <xf numFmtId="0" fontId="7" fillId="0" borderId="0" xfId="0" applyFont="1" applyProtection="1">
      <protection locked="0"/>
    </xf>
    <xf numFmtId="0" fontId="6"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0" fontId="7" fillId="0" borderId="0" xfId="0" applyFont="1" applyAlignment="1" applyProtection="1">
      <alignment vertical="center"/>
      <protection locked="0"/>
    </xf>
    <xf numFmtId="0" fontId="6" fillId="4" borderId="0" xfId="0" applyFont="1" applyFill="1" applyAlignment="1" applyProtection="1">
      <alignment horizontal="center" vertical="center" wrapText="1"/>
      <protection locked="0"/>
    </xf>
    <xf numFmtId="0" fontId="6" fillId="4" borderId="0" xfId="0" applyFont="1" applyFill="1" applyProtection="1">
      <protection locked="0"/>
    </xf>
    <xf numFmtId="0" fontId="6" fillId="4" borderId="21" xfId="0" applyFont="1" applyFill="1" applyBorder="1" applyAlignment="1" applyProtection="1">
      <alignment horizontal="center" vertical="center" wrapText="1"/>
      <protection locked="0"/>
    </xf>
    <xf numFmtId="0" fontId="6" fillId="4" borderId="0" xfId="0" applyFont="1" applyFill="1" applyAlignment="1" applyProtection="1">
      <alignment vertical="center"/>
      <protection locked="0"/>
    </xf>
    <xf numFmtId="0" fontId="7" fillId="0" borderId="0" xfId="0" applyFont="1" applyAlignment="1" applyProtection="1">
      <alignment vertical="center" wrapText="1"/>
      <protection locked="0"/>
    </xf>
    <xf numFmtId="0" fontId="7" fillId="0" borderId="0" xfId="3" applyFont="1" applyProtection="1">
      <protection locked="0"/>
    </xf>
    <xf numFmtId="0" fontId="7" fillId="0" borderId="0" xfId="3" applyFont="1" applyAlignment="1" applyProtection="1">
      <alignment vertical="center"/>
      <protection locked="0"/>
    </xf>
    <xf numFmtId="0" fontId="6" fillId="0" borderId="0" xfId="3"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0" xfId="3" applyFont="1" applyProtection="1">
      <protection locked="0"/>
    </xf>
    <xf numFmtId="0" fontId="13" fillId="0" borderId="0" xfId="3" applyFont="1" applyAlignment="1" applyProtection="1">
      <alignment horizontal="center" vertical="center" wrapText="1"/>
      <protection locked="0"/>
    </xf>
    <xf numFmtId="0" fontId="12" fillId="0" borderId="0" xfId="0" applyFont="1" applyProtection="1">
      <protection locked="0"/>
    </xf>
    <xf numFmtId="0" fontId="12" fillId="0" borderId="0" xfId="3" applyFont="1" applyAlignment="1" applyProtection="1">
      <alignment vertical="center"/>
      <protection locked="0"/>
    </xf>
    <xf numFmtId="0" fontId="14" fillId="0" borderId="0" xfId="0" applyFont="1" applyAlignment="1" applyProtection="1">
      <alignment horizontal="center" vertical="center"/>
      <protection locked="0"/>
    </xf>
    <xf numFmtId="0" fontId="14" fillId="0" borderId="0" xfId="3" applyFont="1" applyProtection="1">
      <protection locked="0"/>
    </xf>
    <xf numFmtId="0" fontId="15" fillId="0" borderId="0" xfId="3" applyFont="1" applyAlignment="1" applyProtection="1">
      <alignment horizontal="center" vertical="center" wrapText="1"/>
      <protection locked="0"/>
    </xf>
    <xf numFmtId="0" fontId="14" fillId="0" borderId="0" xfId="0" applyFont="1" applyProtection="1">
      <protection locked="0"/>
    </xf>
    <xf numFmtId="0" fontId="14" fillId="0" borderId="0" xfId="3" applyFont="1" applyAlignment="1" applyProtection="1">
      <alignment vertical="center"/>
      <protection locked="0"/>
    </xf>
    <xf numFmtId="0" fontId="7" fillId="0" borderId="0" xfId="3" applyFont="1" applyAlignment="1" applyProtection="1">
      <alignment vertical="center" wrapText="1"/>
      <protection locked="0"/>
    </xf>
    <xf numFmtId="0" fontId="11" fillId="0" borderId="0" xfId="3" applyFont="1" applyProtection="1">
      <protection locked="0"/>
    </xf>
    <xf numFmtId="0" fontId="7" fillId="0" borderId="0" xfId="3" applyFont="1" applyAlignment="1" applyProtection="1">
      <alignment horizontal="left" vertical="center"/>
      <protection locked="0"/>
    </xf>
    <xf numFmtId="0" fontId="6" fillId="0" borderId="0" xfId="3" applyFont="1" applyProtection="1">
      <protection locked="0"/>
    </xf>
    <xf numFmtId="0" fontId="10" fillId="0" borderId="0" xfId="0" applyFont="1" applyProtection="1">
      <protection locked="0"/>
    </xf>
    <xf numFmtId="0" fontId="7" fillId="0" borderId="0" xfId="0" applyFont="1" applyAlignment="1" applyProtection="1">
      <alignment horizontal="center" vertical="center" wrapText="1"/>
      <protection locked="0"/>
    </xf>
    <xf numFmtId="0" fontId="7" fillId="0" borderId="0" xfId="3" applyFont="1" applyAlignment="1" applyProtection="1">
      <alignment wrapText="1"/>
      <protection locked="0"/>
    </xf>
    <xf numFmtId="0" fontId="6" fillId="0" borderId="0" xfId="3" applyFont="1" applyAlignment="1" applyProtection="1">
      <alignment horizontal="center" vertical="center" wrapText="1"/>
      <protection locked="0"/>
    </xf>
    <xf numFmtId="0" fontId="7" fillId="0" borderId="0" xfId="0" applyFont="1" applyAlignment="1" applyProtection="1">
      <alignment wrapText="1"/>
      <protection locked="0"/>
    </xf>
    <xf numFmtId="0" fontId="12" fillId="0" borderId="0" xfId="0" applyFont="1" applyAlignment="1" applyProtection="1">
      <alignment vertical="center"/>
      <protection locked="0"/>
    </xf>
    <xf numFmtId="0" fontId="6" fillId="0" borderId="0" xfId="0" applyFont="1" applyProtection="1">
      <protection locked="0"/>
    </xf>
    <xf numFmtId="0" fontId="7" fillId="0" borderId="0" xfId="0" applyFont="1" applyAlignment="1" applyProtection="1">
      <alignment horizontal="center"/>
      <protection locked="0"/>
    </xf>
    <xf numFmtId="0" fontId="7" fillId="4" borderId="0" xfId="0" applyFont="1" applyFill="1" applyProtection="1">
      <protection locked="0"/>
    </xf>
    <xf numFmtId="0" fontId="7" fillId="0" borderId="0" xfId="0" applyFont="1" applyAlignment="1" applyProtection="1">
      <alignment horizontal="left"/>
      <protection locked="0"/>
    </xf>
    <xf numFmtId="0" fontId="8" fillId="0" borderId="0" xfId="0" applyFont="1" applyAlignment="1" applyProtection="1">
      <alignment horizontal="right" vertical="center"/>
      <protection locked="0"/>
    </xf>
    <xf numFmtId="9" fontId="8" fillId="0" borderId="0" xfId="10" applyFont="1" applyAlignment="1" applyProtection="1">
      <alignment horizontal="right" vertical="center"/>
      <protection locked="0"/>
    </xf>
    <xf numFmtId="0" fontId="6" fillId="0" borderId="23" xfId="0" applyFont="1" applyBorder="1" applyAlignment="1" applyProtection="1">
      <alignment wrapText="1"/>
      <protection locked="0"/>
    </xf>
    <xf numFmtId="0" fontId="6" fillId="4" borderId="24" xfId="0" applyFont="1" applyFill="1" applyBorder="1" applyProtection="1">
      <protection locked="0"/>
    </xf>
    <xf numFmtId="0" fontId="6" fillId="0" borderId="24" xfId="0" applyFont="1" applyBorder="1" applyAlignment="1" applyProtection="1">
      <alignment horizontal="left"/>
      <protection locked="0"/>
    </xf>
    <xf numFmtId="0" fontId="9" fillId="0" borderId="24" xfId="0" applyFont="1" applyBorder="1" applyAlignment="1" applyProtection="1">
      <alignment horizontal="right" vertical="center"/>
      <protection locked="0"/>
    </xf>
    <xf numFmtId="9" fontId="9" fillId="0" borderId="24" xfId="10" applyFont="1" applyBorder="1" applyAlignment="1" applyProtection="1">
      <alignment horizontal="right" vertical="center"/>
      <protection locked="0"/>
    </xf>
    <xf numFmtId="2" fontId="9" fillId="7" borderId="25" xfId="0" applyNumberFormat="1" applyFont="1" applyFill="1" applyBorder="1" applyAlignment="1" applyProtection="1">
      <alignment horizontal="right" vertical="center"/>
      <protection locked="0"/>
    </xf>
    <xf numFmtId="0" fontId="6" fillId="0" borderId="42" xfId="0" applyFont="1" applyBorder="1" applyAlignment="1" applyProtection="1">
      <alignment wrapText="1"/>
      <protection locked="0"/>
    </xf>
    <xf numFmtId="0" fontId="6" fillId="4" borderId="41" xfId="0" applyFont="1" applyFill="1" applyBorder="1" applyProtection="1">
      <protection locked="0"/>
    </xf>
    <xf numFmtId="0" fontId="6" fillId="0" borderId="41" xfId="0" applyFont="1" applyBorder="1" applyAlignment="1" applyProtection="1">
      <alignment horizontal="left"/>
      <protection locked="0"/>
    </xf>
    <xf numFmtId="0" fontId="6" fillId="0" borderId="41" xfId="0" applyFont="1" applyBorder="1" applyProtection="1">
      <protection locked="0"/>
    </xf>
    <xf numFmtId="0" fontId="9" fillId="0" borderId="41" xfId="0" applyFont="1" applyBorder="1" applyAlignment="1" applyProtection="1">
      <alignment horizontal="right" vertical="center"/>
      <protection locked="0"/>
    </xf>
    <xf numFmtId="9" fontId="9" fillId="0" borderId="41" xfId="10" applyFont="1" applyBorder="1" applyAlignment="1" applyProtection="1">
      <alignment horizontal="right" vertical="center"/>
      <protection locked="0"/>
    </xf>
    <xf numFmtId="2" fontId="9" fillId="7" borderId="40" xfId="0" applyNumberFormat="1" applyFont="1" applyFill="1" applyBorder="1" applyAlignment="1" applyProtection="1">
      <alignment horizontal="right" vertical="center"/>
      <protection locked="0"/>
    </xf>
    <xf numFmtId="2" fontId="9" fillId="7" borderId="12" xfId="0" applyNumberFormat="1" applyFont="1" applyFill="1" applyBorder="1" applyAlignment="1" applyProtection="1">
      <alignment horizontal="right" vertical="center"/>
      <protection locked="0"/>
    </xf>
    <xf numFmtId="0" fontId="17" fillId="4" borderId="43" xfId="2" applyFont="1" applyFill="1" applyBorder="1" applyAlignment="1">
      <alignment horizontal="center" vertical="center" wrapText="1"/>
    </xf>
    <xf numFmtId="0" fontId="17" fillId="4" borderId="18" xfId="2" applyFont="1" applyFill="1" applyBorder="1" applyAlignment="1">
      <alignment horizontal="center" vertical="center" wrapText="1"/>
    </xf>
    <xf numFmtId="0" fontId="17" fillId="4" borderId="11" xfId="2" applyFont="1" applyFill="1" applyBorder="1" applyAlignment="1">
      <alignment horizontal="center" vertical="center" wrapText="1"/>
    </xf>
    <xf numFmtId="0" fontId="17" fillId="0" borderId="2" xfId="13" applyFont="1" applyBorder="1" applyAlignment="1">
      <alignment horizontal="center" vertical="center" wrapText="1"/>
    </xf>
    <xf numFmtId="0" fontId="18" fillId="0" borderId="2" xfId="13" applyFont="1" applyBorder="1" applyAlignment="1">
      <alignment horizontal="center" vertical="center" wrapText="1"/>
    </xf>
    <xf numFmtId="0" fontId="18" fillId="0" borderId="2" xfId="3" applyFont="1" applyBorder="1" applyAlignment="1">
      <alignment horizontal="left" vertical="center" wrapText="1"/>
    </xf>
    <xf numFmtId="0" fontId="18" fillId="4" borderId="2" xfId="2" applyFont="1" applyFill="1" applyBorder="1" applyAlignment="1">
      <alignment horizontal="center" vertical="center" wrapText="1"/>
    </xf>
    <xf numFmtId="0" fontId="18" fillId="0" borderId="2" xfId="2" applyFont="1" applyBorder="1" applyAlignment="1">
      <alignment horizontal="center" vertical="center" wrapText="1"/>
    </xf>
    <xf numFmtId="0" fontId="18" fillId="0" borderId="16" xfId="2" applyFont="1" applyBorder="1" applyAlignment="1">
      <alignment horizontal="center" vertical="center" wrapText="1"/>
    </xf>
    <xf numFmtId="0" fontId="18" fillId="0" borderId="16" xfId="3" applyFont="1" applyBorder="1" applyAlignment="1">
      <alignment horizontal="left" vertical="center" wrapText="1"/>
    </xf>
    <xf numFmtId="0" fontId="18" fillId="4" borderId="16" xfId="3" applyFont="1" applyFill="1" applyBorder="1" applyAlignment="1">
      <alignment horizontal="center" vertical="center" wrapText="1"/>
    </xf>
    <xf numFmtId="0" fontId="18" fillId="4" borderId="16" xfId="3" applyFont="1" applyFill="1" applyBorder="1" applyAlignment="1" applyProtection="1">
      <alignment horizontal="center" vertical="center" wrapText="1"/>
      <protection locked="0"/>
    </xf>
    <xf numFmtId="0" fontId="18" fillId="0" borderId="11" xfId="3" applyFont="1" applyBorder="1" applyAlignment="1" applyProtection="1">
      <alignment horizontal="left" vertical="center" wrapText="1"/>
      <protection locked="0"/>
    </xf>
    <xf numFmtId="0" fontId="18" fillId="0" borderId="27" xfId="3" applyFont="1" applyBorder="1" applyAlignment="1" applyProtection="1">
      <alignment horizontal="left" vertical="center" wrapText="1"/>
      <protection locked="0"/>
    </xf>
    <xf numFmtId="0" fontId="18" fillId="0" borderId="2" xfId="0" applyFont="1" applyBorder="1" applyAlignment="1">
      <alignment horizontal="center" vertical="center" wrapText="1"/>
    </xf>
    <xf numFmtId="0" fontId="18" fillId="0" borderId="45" xfId="3" applyFont="1" applyBorder="1" applyAlignment="1">
      <alignment horizontal="left" vertical="center" wrapText="1"/>
    </xf>
    <xf numFmtId="0" fontId="18" fillId="0" borderId="36" xfId="3" applyFont="1" applyBorder="1" applyAlignment="1" applyProtection="1">
      <alignment horizontal="left" vertical="center" wrapText="1"/>
      <protection locked="0"/>
    </xf>
    <xf numFmtId="0" fontId="17" fillId="0" borderId="45" xfId="13" applyFont="1" applyBorder="1" applyAlignment="1">
      <alignment horizontal="center" vertical="center" wrapText="1"/>
    </xf>
    <xf numFmtId="0" fontId="18" fillId="4" borderId="45" xfId="2" applyFont="1" applyFill="1" applyBorder="1" applyAlignment="1">
      <alignment horizontal="center" vertical="center" wrapText="1"/>
    </xf>
    <xf numFmtId="0" fontId="18" fillId="0" borderId="45" xfId="0" applyFont="1" applyBorder="1" applyAlignment="1">
      <alignment horizontal="left" vertical="center" wrapText="1"/>
    </xf>
    <xf numFmtId="0" fontId="18" fillId="0" borderId="45" xfId="3" applyFont="1" applyBorder="1" applyAlignment="1">
      <alignment horizontal="center" vertical="center" wrapText="1"/>
    </xf>
    <xf numFmtId="0" fontId="18" fillId="0" borderId="45" xfId="2" applyFont="1" applyBorder="1" applyAlignment="1">
      <alignment horizontal="center" vertical="center" wrapText="1"/>
    </xf>
    <xf numFmtId="0" fontId="18" fillId="0" borderId="14" xfId="3" applyFont="1" applyBorder="1" applyAlignment="1">
      <alignment horizontal="left" vertical="center" wrapText="1"/>
    </xf>
    <xf numFmtId="0" fontId="18" fillId="4" borderId="14" xfId="3" applyFont="1" applyFill="1" applyBorder="1" applyAlignment="1">
      <alignment horizontal="center" vertical="center" wrapText="1"/>
    </xf>
    <xf numFmtId="0" fontId="18" fillId="4" borderId="14" xfId="3" applyFont="1" applyFill="1" applyBorder="1" applyAlignment="1" applyProtection="1">
      <alignment horizontal="center" vertical="center" wrapText="1"/>
      <protection locked="0"/>
    </xf>
    <xf numFmtId="0" fontId="18" fillId="0" borderId="9" xfId="3" applyFont="1" applyBorder="1" applyAlignment="1" applyProtection="1">
      <alignment horizontal="left" vertical="center" wrapText="1"/>
      <protection locked="0"/>
    </xf>
    <xf numFmtId="0" fontId="18" fillId="0" borderId="28" xfId="3" applyFont="1" applyBorder="1" applyAlignment="1" applyProtection="1">
      <alignment horizontal="left" vertical="center" wrapText="1"/>
      <protection locked="0"/>
    </xf>
    <xf numFmtId="0" fontId="18" fillId="0" borderId="45" xfId="5" applyFont="1" applyBorder="1" applyAlignment="1">
      <alignment horizontal="left" vertical="center" wrapText="1"/>
    </xf>
    <xf numFmtId="0" fontId="18" fillId="0" borderId="14" xfId="5" applyFont="1" applyBorder="1" applyAlignment="1">
      <alignment horizontal="left" vertical="center" wrapText="1"/>
    </xf>
    <xf numFmtId="0" fontId="18" fillId="4" borderId="14" xfId="5" applyFont="1" applyFill="1" applyBorder="1" applyAlignment="1">
      <alignment horizontal="center" vertical="center" wrapText="1"/>
    </xf>
    <xf numFmtId="0" fontId="18" fillId="4" borderId="14" xfId="5" applyFont="1" applyFill="1" applyBorder="1" applyAlignment="1" applyProtection="1">
      <alignment horizontal="center" vertical="center" wrapText="1"/>
      <protection locked="0"/>
    </xf>
    <xf numFmtId="0" fontId="18" fillId="0" borderId="9" xfId="5" applyFont="1" applyBorder="1" applyAlignment="1" applyProtection="1">
      <alignment horizontal="left" vertical="center" wrapText="1"/>
      <protection locked="0"/>
    </xf>
    <xf numFmtId="0" fontId="18" fillId="0" borderId="28" xfId="5" applyFont="1" applyBorder="1" applyAlignment="1" applyProtection="1">
      <alignment horizontal="left" vertical="center" wrapText="1"/>
      <protection locked="0"/>
    </xf>
    <xf numFmtId="0" fontId="18" fillId="0" borderId="35" xfId="3" applyFont="1" applyBorder="1" applyAlignment="1">
      <alignment horizontal="left" vertical="center" wrapText="1"/>
    </xf>
    <xf numFmtId="0" fontId="23" fillId="4" borderId="14" xfId="3" applyFont="1" applyFill="1" applyBorder="1" applyAlignment="1">
      <alignment horizontal="left" vertical="center" wrapText="1"/>
    </xf>
    <xf numFmtId="0" fontId="23" fillId="4" borderId="14" xfId="3" applyFont="1" applyFill="1" applyBorder="1" applyAlignment="1" applyProtection="1">
      <alignment horizontal="left" vertical="center" wrapText="1"/>
      <protection locked="0"/>
    </xf>
    <xf numFmtId="0" fontId="23" fillId="5" borderId="28" xfId="3" applyFont="1" applyFill="1" applyBorder="1" applyAlignment="1" applyProtection="1">
      <alignment horizontal="left" vertical="center" wrapText="1"/>
      <protection locked="0"/>
    </xf>
    <xf numFmtId="0" fontId="18" fillId="0" borderId="45" xfId="0" applyFont="1" applyBorder="1" applyAlignment="1" applyProtection="1">
      <alignment horizontal="left" vertical="center" wrapText="1"/>
      <protection locked="0"/>
    </xf>
    <xf numFmtId="0" fontId="21" fillId="4" borderId="45" xfId="2" applyFont="1" applyFill="1" applyBorder="1" applyAlignment="1">
      <alignment horizontal="center" vertical="center" wrapText="1"/>
    </xf>
    <xf numFmtId="0" fontId="21" fillId="4" borderId="45" xfId="0" applyFont="1" applyFill="1" applyBorder="1" applyAlignment="1" applyProtection="1">
      <alignment horizontal="left" vertical="center" wrapText="1"/>
      <protection locked="0"/>
    </xf>
    <xf numFmtId="0" fontId="21" fillId="4" borderId="45" xfId="3" applyFont="1" applyFill="1" applyBorder="1" applyAlignment="1">
      <alignment horizontal="center" vertical="center" wrapText="1"/>
    </xf>
    <xf numFmtId="0" fontId="18" fillId="4" borderId="14" xfId="3" applyFont="1" applyFill="1" applyBorder="1" applyAlignment="1" applyProtection="1">
      <alignment horizontal="left" vertical="center" wrapText="1"/>
      <protection locked="0"/>
    </xf>
    <xf numFmtId="0" fontId="17" fillId="0" borderId="45" xfId="13" applyFont="1" applyBorder="1" applyAlignment="1" applyProtection="1">
      <alignment horizontal="center" vertical="center" wrapText="1"/>
      <protection locked="0"/>
    </xf>
    <xf numFmtId="0" fontId="18" fillId="0" borderId="2" xfId="0" applyFont="1" applyBorder="1" applyAlignment="1" applyProtection="1">
      <alignment horizontal="center" vertical="center" wrapText="1"/>
      <protection locked="0"/>
    </xf>
    <xf numFmtId="0" fontId="18" fillId="0" borderId="45" xfId="3" applyFont="1" applyBorder="1" applyAlignment="1" applyProtection="1">
      <alignment horizontal="left" vertical="center" wrapText="1"/>
      <protection locked="0"/>
    </xf>
    <xf numFmtId="0" fontId="18" fillId="0" borderId="45" xfId="2" applyFont="1" applyBorder="1" applyAlignment="1" applyProtection="1">
      <alignment horizontal="center" vertical="center" wrapText="1"/>
      <protection locked="0"/>
    </xf>
    <xf numFmtId="0" fontId="18" fillId="0" borderId="45" xfId="3" applyFont="1" applyBorder="1" applyAlignment="1" applyProtection="1">
      <alignment horizontal="center" vertical="center" wrapText="1"/>
      <protection locked="0"/>
    </xf>
    <xf numFmtId="0" fontId="18" fillId="0" borderId="14" xfId="3" applyFont="1" applyBorder="1" applyAlignment="1" applyProtection="1">
      <alignment horizontal="center" vertical="center" wrapText="1"/>
      <protection locked="0"/>
    </xf>
    <xf numFmtId="0" fontId="18" fillId="0" borderId="14" xfId="3" applyFont="1" applyBorder="1" applyAlignment="1" applyProtection="1">
      <alignment horizontal="left" vertical="center" wrapText="1"/>
      <protection locked="0"/>
    </xf>
    <xf numFmtId="0" fontId="17" fillId="0" borderId="10" xfId="13" applyFont="1" applyBorder="1" applyAlignment="1">
      <alignment horizontal="center" vertical="center" wrapText="1"/>
    </xf>
    <xf numFmtId="0" fontId="18" fillId="0" borderId="13" xfId="0" applyFont="1" applyBorder="1" applyAlignment="1">
      <alignment horizontal="center" vertical="center" wrapText="1"/>
    </xf>
    <xf numFmtId="0" fontId="18" fillId="0" borderId="10" xfId="3" applyFont="1" applyBorder="1" applyAlignment="1">
      <alignment horizontal="left" vertical="center" wrapText="1"/>
    </xf>
    <xf numFmtId="0" fontId="18" fillId="4" borderId="10" xfId="2" applyFont="1" applyFill="1" applyBorder="1" applyAlignment="1">
      <alignment horizontal="center" vertical="center" wrapText="1"/>
    </xf>
    <xf numFmtId="0" fontId="18" fillId="0" borderId="10" xfId="3" applyFont="1" applyBorder="1" applyAlignment="1">
      <alignment horizontal="center" vertical="center" wrapText="1"/>
    </xf>
    <xf numFmtId="0" fontId="18" fillId="0" borderId="10" xfId="2" applyFont="1" applyBorder="1" applyAlignment="1">
      <alignment horizontal="center" vertical="center" wrapText="1"/>
    </xf>
    <xf numFmtId="0" fontId="18" fillId="0" borderId="17" xfId="3" applyFont="1" applyBorder="1" applyAlignment="1">
      <alignment horizontal="left" vertical="center" wrapText="1"/>
    </xf>
    <xf numFmtId="0" fontId="18" fillId="4" borderId="15" xfId="3" applyFont="1" applyFill="1" applyBorder="1" applyAlignment="1" applyProtection="1">
      <alignment horizontal="center" vertical="center" wrapText="1"/>
      <protection locked="0"/>
    </xf>
    <xf numFmtId="0" fontId="18" fillId="0" borderId="19" xfId="3" applyFont="1" applyBorder="1" applyAlignment="1" applyProtection="1">
      <alignment horizontal="left" vertical="center" wrapText="1"/>
      <protection locked="0"/>
    </xf>
    <xf numFmtId="0" fontId="18" fillId="0" borderId="29" xfId="3" applyFont="1" applyBorder="1" applyAlignment="1" applyProtection="1">
      <alignment horizontal="left" vertical="center" wrapText="1"/>
      <protection locked="0"/>
    </xf>
    <xf numFmtId="0" fontId="17" fillId="0" borderId="2" xfId="2" applyFont="1" applyBorder="1" applyAlignment="1">
      <alignment horizontal="center" vertical="center"/>
    </xf>
    <xf numFmtId="0" fontId="18" fillId="0" borderId="2" xfId="2" applyFont="1" applyBorder="1" applyAlignment="1">
      <alignment horizontal="center" vertical="center"/>
    </xf>
    <xf numFmtId="0" fontId="18" fillId="0" borderId="2" xfId="2" applyFont="1" applyBorder="1" applyAlignment="1">
      <alignment horizontal="left" vertical="center" wrapText="1"/>
    </xf>
    <xf numFmtId="0" fontId="18" fillId="4" borderId="45" xfId="2" applyFont="1" applyFill="1" applyBorder="1" applyAlignment="1">
      <alignment horizontal="center" vertical="center"/>
    </xf>
    <xf numFmtId="0" fontId="18" fillId="0" borderId="45" xfId="3" applyFont="1" applyBorder="1" applyAlignment="1">
      <alignment horizontal="center" vertical="center"/>
    </xf>
    <xf numFmtId="0" fontId="18" fillId="0" borderId="45" xfId="2" applyFont="1" applyBorder="1" applyAlignment="1">
      <alignment horizontal="center" vertical="center"/>
    </xf>
    <xf numFmtId="0" fontId="18" fillId="0" borderId="16" xfId="2" applyFont="1" applyBorder="1" applyAlignment="1">
      <alignment horizontal="center" vertical="center"/>
    </xf>
    <xf numFmtId="0" fontId="18" fillId="0" borderId="16" xfId="2" applyFont="1" applyBorder="1" applyAlignment="1">
      <alignment horizontal="left" vertical="center"/>
    </xf>
    <xf numFmtId="0" fontId="18" fillId="4" borderId="16" xfId="2" applyFont="1" applyFill="1" applyBorder="1" applyAlignment="1" applyProtection="1">
      <alignment horizontal="left" vertical="center"/>
      <protection locked="0"/>
    </xf>
    <xf numFmtId="0" fontId="18" fillId="0" borderId="11" xfId="3" applyFont="1" applyBorder="1" applyAlignment="1" applyProtection="1">
      <alignment horizontal="left" vertical="center"/>
      <protection locked="0"/>
    </xf>
    <xf numFmtId="0" fontId="18" fillId="0" borderId="36" xfId="3" applyFont="1" applyBorder="1" applyAlignment="1" applyProtection="1">
      <alignment horizontal="left" vertical="center"/>
      <protection locked="0"/>
    </xf>
    <xf numFmtId="0" fontId="17" fillId="0" borderId="2" xfId="13" applyFont="1" applyBorder="1" applyAlignment="1">
      <alignment horizontal="center" vertical="center"/>
    </xf>
    <xf numFmtId="0" fontId="18" fillId="0" borderId="2" xfId="0" applyFont="1" applyBorder="1" applyAlignment="1">
      <alignment horizontal="center" vertical="center"/>
    </xf>
    <xf numFmtId="0" fontId="18" fillId="4" borderId="2" xfId="2" applyFont="1" applyFill="1" applyBorder="1" applyAlignment="1">
      <alignment horizontal="center" vertical="center"/>
    </xf>
    <xf numFmtId="0" fontId="23" fillId="4" borderId="16" xfId="3" applyFont="1" applyFill="1" applyBorder="1" applyAlignment="1" applyProtection="1">
      <alignment horizontal="left" vertical="center"/>
      <protection locked="0"/>
    </xf>
    <xf numFmtId="0" fontId="18" fillId="4" borderId="16" xfId="3" applyFont="1" applyFill="1" applyBorder="1" applyAlignment="1">
      <alignment horizontal="left" vertical="center" wrapText="1"/>
    </xf>
    <xf numFmtId="0" fontId="18" fillId="4" borderId="16" xfId="3" applyFont="1" applyFill="1" applyBorder="1" applyAlignment="1" applyProtection="1">
      <alignment horizontal="left" vertical="center" wrapText="1"/>
      <protection locked="0"/>
    </xf>
    <xf numFmtId="0" fontId="18" fillId="0" borderId="45" xfId="13" applyFont="1" applyBorder="1" applyAlignment="1">
      <alignment horizontal="center" vertical="center" wrapText="1"/>
    </xf>
    <xf numFmtId="49" fontId="21" fillId="0" borderId="45" xfId="0" applyNumberFormat="1" applyFont="1" applyBorder="1" applyAlignment="1">
      <alignment vertical="center" wrapText="1"/>
    </xf>
    <xf numFmtId="0" fontId="21" fillId="0" borderId="45" xfId="2" applyFont="1" applyBorder="1" applyAlignment="1">
      <alignment horizontal="center" vertical="center" wrapText="1"/>
    </xf>
    <xf numFmtId="49" fontId="18" fillId="0" borderId="45" xfId="0" applyNumberFormat="1" applyFont="1" applyBorder="1" applyAlignment="1">
      <alignment vertical="center" wrapText="1"/>
    </xf>
    <xf numFmtId="0" fontId="18" fillId="0" borderId="2" xfId="3" applyFont="1" applyBorder="1" applyAlignment="1">
      <alignment horizontal="center" vertical="center" wrapText="1"/>
    </xf>
    <xf numFmtId="0" fontId="23" fillId="4" borderId="1" xfId="3" applyFont="1" applyFill="1" applyBorder="1" applyAlignment="1">
      <alignment horizontal="center" vertical="center" wrapText="1"/>
    </xf>
    <xf numFmtId="0" fontId="18" fillId="4" borderId="44" xfId="3" applyFont="1" applyFill="1" applyBorder="1" applyAlignment="1" applyProtection="1">
      <alignment horizontal="left" vertical="center" wrapText="1"/>
      <protection locked="0"/>
    </xf>
    <xf numFmtId="0" fontId="18" fillId="0" borderId="1" xfId="0" applyFont="1" applyBorder="1" applyAlignment="1">
      <alignment horizontal="left" vertical="center" wrapText="1"/>
    </xf>
    <xf numFmtId="0" fontId="21" fillId="4" borderId="39" xfId="0" applyFont="1" applyFill="1" applyBorder="1"/>
    <xf numFmtId="0" fontId="21" fillId="0" borderId="36" xfId="0" applyFont="1" applyBorder="1"/>
    <xf numFmtId="0" fontId="20" fillId="4" borderId="1" xfId="13" applyFont="1" applyFill="1" applyBorder="1" applyAlignment="1">
      <alignment horizontal="center" vertical="center" wrapText="1"/>
    </xf>
    <xf numFmtId="0" fontId="21" fillId="4" borderId="1" xfId="13" applyFont="1" applyFill="1" applyBorder="1" applyAlignment="1">
      <alignment horizontal="center" vertical="center" wrapText="1"/>
    </xf>
    <xf numFmtId="0" fontId="21" fillId="4" borderId="1" xfId="2" applyFont="1" applyFill="1" applyBorder="1" applyAlignment="1">
      <alignment horizontal="center" vertical="center" wrapText="1"/>
    </xf>
    <xf numFmtId="0" fontId="21" fillId="4" borderId="1" xfId="3" applyFont="1" applyFill="1" applyBorder="1" applyAlignment="1">
      <alignment horizontal="left" vertical="center" wrapText="1"/>
    </xf>
    <xf numFmtId="0" fontId="21" fillId="4" borderId="45" xfId="3" applyFont="1" applyFill="1" applyBorder="1" applyAlignment="1">
      <alignment horizontal="left" vertical="center" wrapText="1"/>
    </xf>
    <xf numFmtId="0" fontId="21" fillId="4" borderId="1" xfId="3" applyFont="1" applyFill="1" applyBorder="1" applyAlignment="1">
      <alignment horizontal="center" vertical="center" wrapText="1"/>
    </xf>
    <xf numFmtId="0" fontId="21" fillId="4" borderId="15" xfId="3" applyFont="1" applyFill="1" applyBorder="1" applyAlignment="1">
      <alignment horizontal="left" vertical="center" wrapText="1"/>
    </xf>
    <xf numFmtId="0" fontId="18" fillId="0" borderId="20" xfId="3" applyFont="1" applyBorder="1" applyAlignment="1" applyProtection="1">
      <alignment horizontal="left" vertical="center" wrapText="1"/>
      <protection locked="0"/>
    </xf>
    <xf numFmtId="0" fontId="18" fillId="0" borderId="26" xfId="3" applyFont="1" applyBorder="1" applyAlignment="1" applyProtection="1">
      <alignment horizontal="left" vertical="center" wrapText="1"/>
      <protection locked="0"/>
    </xf>
    <xf numFmtId="0" fontId="21" fillId="4" borderId="2" xfId="2" applyFont="1" applyFill="1" applyBorder="1" applyAlignment="1">
      <alignment horizontal="center" vertical="center"/>
    </xf>
    <xf numFmtId="0" fontId="20" fillId="4" borderId="2" xfId="2" applyFont="1" applyFill="1" applyBorder="1" applyAlignment="1">
      <alignment horizontal="center" vertical="center"/>
    </xf>
    <xf numFmtId="0" fontId="21" fillId="4" borderId="2" xfId="0" applyFont="1" applyFill="1" applyBorder="1" applyAlignment="1">
      <alignment vertical="center" wrapText="1"/>
    </xf>
    <xf numFmtId="0" fontId="21" fillId="4" borderId="2" xfId="2" applyFont="1" applyFill="1" applyBorder="1" applyAlignment="1">
      <alignment horizontal="center" vertical="center" wrapText="1"/>
    </xf>
    <xf numFmtId="0" fontId="21" fillId="4" borderId="2" xfId="2" applyFont="1" applyFill="1" applyBorder="1" applyAlignment="1">
      <alignment horizontal="left" vertical="center" wrapText="1"/>
    </xf>
    <xf numFmtId="0" fontId="21" fillId="4" borderId="2" xfId="0" applyFont="1" applyFill="1" applyBorder="1" applyAlignment="1">
      <alignment horizontal="center" vertical="center" wrapText="1"/>
    </xf>
    <xf numFmtId="0" fontId="21" fillId="4" borderId="16" xfId="2" applyFont="1" applyFill="1" applyBorder="1" applyAlignment="1">
      <alignment horizontal="center" vertical="center" wrapText="1"/>
    </xf>
    <xf numFmtId="0" fontId="21" fillId="4" borderId="16" xfId="3" applyFont="1" applyFill="1" applyBorder="1" applyAlignment="1">
      <alignment horizontal="left" vertical="center" wrapText="1"/>
    </xf>
    <xf numFmtId="0" fontId="21" fillId="4" borderId="0" xfId="0" applyFont="1" applyFill="1"/>
    <xf numFmtId="0" fontId="21" fillId="0" borderId="0" xfId="0" applyFont="1"/>
    <xf numFmtId="0" fontId="21" fillId="0" borderId="34" xfId="0" applyFont="1" applyBorder="1"/>
    <xf numFmtId="164" fontId="18" fillId="0" borderId="0" xfId="0" applyNumberFormat="1" applyFont="1" applyAlignment="1" applyProtection="1">
      <alignment horizontal="center" vertical="center"/>
      <protection locked="0"/>
    </xf>
    <xf numFmtId="9" fontId="18" fillId="0" borderId="0" xfId="10" applyFont="1" applyAlignment="1" applyProtection="1">
      <alignment horizontal="center" vertical="center"/>
      <protection locked="0"/>
    </xf>
    <xf numFmtId="0" fontId="18" fillId="0" borderId="2" xfId="0" applyFont="1" applyBorder="1" applyAlignment="1">
      <alignment horizontal="left" vertical="center" wrapText="1"/>
    </xf>
    <xf numFmtId="0" fontId="20" fillId="4" borderId="45" xfId="13" applyFont="1" applyFill="1" applyBorder="1" applyAlignment="1">
      <alignment horizontal="center" vertical="center" wrapText="1"/>
    </xf>
    <xf numFmtId="0" fontId="21" fillId="4" borderId="45" xfId="0" applyFont="1" applyFill="1" applyBorder="1" applyAlignment="1">
      <alignment horizontal="left" vertical="center" wrapText="1"/>
    </xf>
    <xf numFmtId="0" fontId="21" fillId="4" borderId="45" xfId="0" applyFont="1" applyFill="1" applyBorder="1" applyAlignment="1">
      <alignment horizontal="center" vertical="center" wrapText="1"/>
    </xf>
    <xf numFmtId="0" fontId="18" fillId="0" borderId="45" xfId="13" applyFont="1" applyBorder="1" applyAlignment="1" applyProtection="1">
      <alignment horizontal="center" vertical="center" wrapText="1"/>
      <protection locked="0"/>
    </xf>
    <xf numFmtId="0" fontId="21" fillId="4" borderId="45" xfId="0" applyFont="1" applyFill="1" applyBorder="1" applyAlignment="1" applyProtection="1">
      <alignment horizontal="center" vertical="center" wrapText="1"/>
      <protection locked="0"/>
    </xf>
    <xf numFmtId="0" fontId="21" fillId="4" borderId="45" xfId="2" applyFont="1" applyFill="1" applyBorder="1" applyAlignment="1" applyProtection="1">
      <alignment horizontal="center" vertical="center" wrapText="1"/>
      <protection locked="0"/>
    </xf>
    <xf numFmtId="0" fontId="21" fillId="4" borderId="45" xfId="3" applyFont="1" applyFill="1" applyBorder="1" applyAlignment="1" applyProtection="1">
      <alignment vertical="center" wrapText="1"/>
      <protection locked="0"/>
    </xf>
    <xf numFmtId="0" fontId="18" fillId="0" borderId="43" xfId="0" applyFont="1" applyBorder="1" applyAlignment="1" applyProtection="1">
      <alignment horizontal="left" vertical="center" wrapText="1"/>
      <protection locked="0"/>
    </xf>
    <xf numFmtId="0" fontId="18" fillId="4" borderId="2" xfId="2" applyFont="1" applyFill="1" applyBorder="1" applyAlignment="1" applyProtection="1">
      <alignment horizontal="center" vertical="center" wrapText="1"/>
      <protection locked="0"/>
    </xf>
    <xf numFmtId="0" fontId="18" fillId="4" borderId="43" xfId="0" applyFont="1" applyFill="1" applyBorder="1" applyAlignment="1" applyProtection="1">
      <alignment horizontal="left" vertical="center" wrapText="1"/>
      <protection locked="0"/>
    </xf>
    <xf numFmtId="0" fontId="18" fillId="0" borderId="2" xfId="2" applyFont="1" applyBorder="1" applyAlignment="1" applyProtection="1">
      <alignment horizontal="center" vertical="center" wrapText="1"/>
      <protection locked="0"/>
    </xf>
    <xf numFmtId="0" fontId="18" fillId="0" borderId="2" xfId="3" applyFont="1" applyBorder="1" applyAlignment="1" applyProtection="1">
      <alignment horizontal="left" vertical="center" wrapText="1"/>
      <protection locked="0"/>
    </xf>
    <xf numFmtId="0" fontId="18" fillId="0" borderId="45" xfId="0" applyFont="1" applyBorder="1" applyAlignment="1" applyProtection="1">
      <alignment horizontal="center" vertical="center" wrapText="1"/>
      <protection locked="0"/>
    </xf>
    <xf numFmtId="0" fontId="21" fillId="4" borderId="45" xfId="3" applyFont="1" applyFill="1" applyBorder="1" applyAlignment="1" applyProtection="1">
      <alignment horizontal="left" vertical="center" wrapText="1"/>
      <protection locked="0"/>
    </xf>
    <xf numFmtId="0" fontId="18" fillId="4" borderId="45" xfId="13" applyFont="1" applyFill="1" applyBorder="1" applyAlignment="1" applyProtection="1">
      <alignment horizontal="center" vertical="center" wrapText="1"/>
      <protection locked="0"/>
    </xf>
    <xf numFmtId="0" fontId="18" fillId="0" borderId="16" xfId="2" applyFont="1" applyBorder="1" applyAlignment="1">
      <alignment horizontal="left" vertical="center" wrapText="1"/>
    </xf>
    <xf numFmtId="0" fontId="21" fillId="6" borderId="45" xfId="3" applyFont="1" applyFill="1" applyBorder="1" applyAlignment="1" applyProtection="1">
      <alignment horizontal="left" vertical="center" wrapText="1"/>
      <protection locked="0"/>
    </xf>
    <xf numFmtId="0" fontId="23" fillId="0" borderId="28" xfId="3" applyFont="1" applyBorder="1" applyAlignment="1" applyProtection="1">
      <alignment horizontal="left" vertical="center" wrapText="1"/>
      <protection locked="0"/>
    </xf>
    <xf numFmtId="0" fontId="17" fillId="0" borderId="43" xfId="13" applyFont="1" applyBorder="1" applyAlignment="1" applyProtection="1">
      <alignment horizontal="center" vertical="center" wrapText="1"/>
      <protection locked="0"/>
    </xf>
    <xf numFmtId="0" fontId="18" fillId="0" borderId="43" xfId="13" applyFont="1" applyBorder="1" applyAlignment="1" applyProtection="1">
      <alignment horizontal="center" vertical="center" wrapText="1"/>
      <protection locked="0"/>
    </xf>
    <xf numFmtId="0" fontId="18" fillId="4" borderId="1" xfId="2" applyFont="1" applyFill="1" applyBorder="1" applyAlignment="1" applyProtection="1">
      <alignment horizontal="center" vertical="center" wrapText="1"/>
      <protection locked="0"/>
    </xf>
    <xf numFmtId="0" fontId="18" fillId="0" borderId="43" xfId="2" applyFont="1" applyBorder="1" applyAlignment="1" applyProtection="1">
      <alignment horizontal="center" vertical="center" wrapText="1"/>
      <protection locked="0"/>
    </xf>
    <xf numFmtId="0" fontId="17" fillId="0" borderId="1" xfId="13" applyFont="1" applyBorder="1" applyAlignment="1" applyProtection="1">
      <alignment horizontal="center" vertical="center" wrapText="1"/>
      <protection locked="0"/>
    </xf>
    <xf numFmtId="0" fontId="18" fillId="0" borderId="1" xfId="13" applyFont="1" applyBorder="1" applyAlignment="1" applyProtection="1">
      <alignment horizontal="center" vertical="center" wrapText="1"/>
      <protection locked="0"/>
    </xf>
    <xf numFmtId="0" fontId="18" fillId="0" borderId="1" xfId="0" applyFont="1" applyBorder="1" applyAlignment="1" applyProtection="1">
      <alignment horizontal="left" vertical="center" wrapText="1"/>
      <protection locked="0"/>
    </xf>
    <xf numFmtId="0" fontId="18" fillId="0" borderId="1" xfId="2" applyFont="1" applyBorder="1" applyAlignment="1" applyProtection="1">
      <alignment horizontal="left" vertical="center" wrapText="1"/>
      <protection locked="0"/>
    </xf>
    <xf numFmtId="0" fontId="18" fillId="0" borderId="1" xfId="2" applyFont="1" applyBorder="1" applyAlignment="1" applyProtection="1">
      <alignment horizontal="center" vertical="center" wrapText="1"/>
      <protection locked="0"/>
    </xf>
    <xf numFmtId="0" fontId="21" fillId="4" borderId="2" xfId="3" applyFont="1" applyFill="1" applyBorder="1" applyAlignment="1">
      <alignment horizontal="left" vertical="center" wrapText="1"/>
    </xf>
    <xf numFmtId="0" fontId="18" fillId="4" borderId="16" xfId="0" applyFont="1" applyFill="1" applyBorder="1" applyAlignment="1" applyProtection="1">
      <alignment horizontal="left" vertical="center" wrapText="1"/>
      <protection locked="0"/>
    </xf>
    <xf numFmtId="0" fontId="26" fillId="0" borderId="36" xfId="3" applyFont="1" applyBorder="1" applyAlignment="1" applyProtection="1">
      <alignment horizontal="left" vertical="center" wrapText="1"/>
      <protection locked="0"/>
    </xf>
    <xf numFmtId="0" fontId="21" fillId="4" borderId="2" xfId="3" applyFont="1" applyFill="1" applyBorder="1" applyAlignment="1" applyProtection="1">
      <alignment horizontal="center" vertical="center" wrapText="1"/>
      <protection locked="0"/>
    </xf>
    <xf numFmtId="0" fontId="21" fillId="4" borderId="2" xfId="2" applyFont="1" applyFill="1" applyBorder="1" applyAlignment="1" applyProtection="1">
      <alignment horizontal="center" vertical="center" wrapText="1"/>
      <protection locked="0"/>
    </xf>
    <xf numFmtId="0" fontId="21" fillId="4" borderId="16" xfId="3" applyFont="1" applyFill="1" applyBorder="1" applyAlignment="1" applyProtection="1">
      <alignment horizontal="left" vertical="center" wrapText="1"/>
      <protection locked="0"/>
    </xf>
    <xf numFmtId="0" fontId="17" fillId="4" borderId="2" xfId="13" applyFont="1" applyFill="1" applyBorder="1" applyAlignment="1" applyProtection="1">
      <alignment horizontal="center" vertical="center" wrapText="1"/>
      <protection locked="0"/>
    </xf>
    <xf numFmtId="0" fontId="18" fillId="4" borderId="2" xfId="13" applyFont="1" applyFill="1" applyBorder="1" applyAlignment="1" applyProtection="1">
      <alignment horizontal="center" vertical="center" wrapText="1"/>
      <protection locked="0"/>
    </xf>
    <xf numFmtId="0" fontId="21" fillId="0" borderId="35" xfId="3" applyFont="1" applyBorder="1" applyAlignment="1" applyProtection="1">
      <alignment vertical="center" wrapText="1"/>
      <protection locked="0"/>
    </xf>
    <xf numFmtId="0" fontId="21" fillId="4" borderId="35" xfId="3" applyFont="1" applyFill="1" applyBorder="1" applyAlignment="1" applyProtection="1">
      <alignment vertical="center" wrapText="1"/>
      <protection locked="0"/>
    </xf>
    <xf numFmtId="0" fontId="21" fillId="4" borderId="2" xfId="0" applyFont="1" applyFill="1" applyBorder="1" applyAlignment="1" applyProtection="1">
      <alignment horizontal="center" vertical="center" wrapText="1"/>
      <protection locked="0"/>
    </xf>
    <xf numFmtId="0" fontId="20" fillId="4" borderId="43" xfId="13" applyFont="1" applyFill="1" applyBorder="1" applyAlignment="1" applyProtection="1">
      <alignment horizontal="center" vertical="center" wrapText="1"/>
      <protection locked="0"/>
    </xf>
    <xf numFmtId="0" fontId="21" fillId="4" borderId="0" xfId="3" applyFont="1" applyFill="1" applyAlignment="1" applyProtection="1">
      <alignment vertical="center" wrapText="1"/>
      <protection locked="0"/>
    </xf>
    <xf numFmtId="0" fontId="21" fillId="4" borderId="49" xfId="3" applyFont="1" applyFill="1" applyBorder="1" applyAlignment="1" applyProtection="1">
      <alignment vertical="center" wrapText="1"/>
      <protection locked="0"/>
    </xf>
    <xf numFmtId="0" fontId="21" fillId="4" borderId="43" xfId="0" applyFont="1" applyFill="1" applyBorder="1" applyAlignment="1" applyProtection="1">
      <alignment horizontal="center" vertical="center" wrapText="1"/>
      <protection locked="0"/>
    </xf>
    <xf numFmtId="0" fontId="21" fillId="4" borderId="43" xfId="2" applyFont="1" applyFill="1" applyBorder="1" applyAlignment="1" applyProtection="1">
      <alignment horizontal="center" vertical="center" wrapText="1"/>
      <protection locked="0"/>
    </xf>
    <xf numFmtId="0" fontId="21" fillId="4" borderId="18" xfId="3" applyFont="1" applyFill="1" applyBorder="1" applyAlignment="1">
      <alignment horizontal="left" vertical="center" wrapText="1"/>
    </xf>
    <xf numFmtId="0" fontId="18" fillId="0" borderId="10" xfId="0" applyFont="1" applyBorder="1" applyAlignment="1">
      <alignment horizontal="center" vertical="center" wrapText="1"/>
    </xf>
    <xf numFmtId="0" fontId="18" fillId="0" borderId="10" xfId="2" applyFont="1" applyBorder="1" applyAlignment="1">
      <alignment horizontal="left" vertical="center" wrapText="1"/>
    </xf>
    <xf numFmtId="0" fontId="18" fillId="4" borderId="17" xfId="2" applyFont="1" applyFill="1" applyBorder="1" applyAlignment="1" applyProtection="1">
      <alignment horizontal="left" vertical="center" wrapText="1"/>
      <protection locked="0"/>
    </xf>
    <xf numFmtId="0" fontId="26" fillId="0" borderId="28" xfId="3" applyFont="1" applyBorder="1" applyAlignment="1" applyProtection="1">
      <alignment horizontal="left" vertical="center" wrapText="1"/>
      <protection locked="0"/>
    </xf>
    <xf numFmtId="0" fontId="21" fillId="0" borderId="2" xfId="2" applyFont="1" applyBorder="1" applyAlignment="1">
      <alignment horizontal="center" vertical="center" wrapText="1"/>
    </xf>
    <xf numFmtId="0" fontId="18" fillId="0" borderId="2" xfId="3" applyFont="1" applyBorder="1" applyAlignment="1">
      <alignment vertical="center" wrapText="1"/>
    </xf>
    <xf numFmtId="0" fontId="21" fillId="0" borderId="2" xfId="3" applyFont="1" applyBorder="1" applyAlignment="1">
      <alignment horizontal="center" vertical="center" wrapText="1"/>
    </xf>
    <xf numFmtId="0" fontId="21" fillId="0" borderId="2" xfId="0" applyFont="1" applyBorder="1" applyAlignment="1">
      <alignment horizontal="center" vertical="center" wrapText="1"/>
    </xf>
    <xf numFmtId="0" fontId="21" fillId="0" borderId="16" xfId="2" applyFont="1" applyBorder="1" applyAlignment="1">
      <alignment horizontal="center" vertical="center" wrapText="1"/>
    </xf>
    <xf numFmtId="0" fontId="21" fillId="0" borderId="16" xfId="3" applyFont="1" applyBorder="1" applyAlignment="1">
      <alignment horizontal="left" vertical="center" wrapText="1"/>
    </xf>
    <xf numFmtId="0" fontId="18" fillId="0" borderId="35" xfId="3" applyFont="1" applyBorder="1" applyAlignment="1">
      <alignment vertical="center" wrapText="1"/>
    </xf>
    <xf numFmtId="0" fontId="21" fillId="0" borderId="45" xfId="2" applyFont="1" applyBorder="1" applyAlignment="1" applyProtection="1">
      <alignment horizontal="center" vertical="center" wrapText="1"/>
      <protection locked="0"/>
    </xf>
    <xf numFmtId="0" fontId="21" fillId="0" borderId="2" xfId="3" applyFont="1" applyBorder="1" applyAlignment="1" applyProtection="1">
      <alignment horizontal="center" vertical="center" wrapText="1"/>
      <protection locked="0"/>
    </xf>
    <xf numFmtId="0" fontId="21" fillId="0" borderId="2" xfId="2" applyFont="1" applyBorder="1" applyAlignment="1" applyProtection="1">
      <alignment horizontal="center" vertical="center" wrapText="1"/>
      <protection locked="0"/>
    </xf>
    <xf numFmtId="0" fontId="21" fillId="0" borderId="16" xfId="3" applyFont="1" applyBorder="1" applyAlignment="1" applyProtection="1">
      <alignment horizontal="left" vertical="center" wrapText="1"/>
      <protection locked="0"/>
    </xf>
    <xf numFmtId="0" fontId="21" fillId="0" borderId="49" xfId="3" applyFont="1" applyBorder="1" applyAlignment="1" applyProtection="1">
      <alignment vertical="center" wrapText="1"/>
      <protection locked="0"/>
    </xf>
    <xf numFmtId="0" fontId="21" fillId="0" borderId="43" xfId="0" applyFont="1" applyBorder="1" applyAlignment="1" applyProtection="1">
      <alignment horizontal="center" vertical="center" wrapText="1"/>
      <protection locked="0"/>
    </xf>
    <xf numFmtId="0" fontId="21" fillId="0" borderId="43" xfId="2" applyFont="1" applyBorder="1" applyAlignment="1" applyProtection="1">
      <alignment horizontal="center" vertical="center" wrapText="1"/>
      <protection locked="0"/>
    </xf>
    <xf numFmtId="0" fontId="21" fillId="0" borderId="18" xfId="3" applyFont="1" applyBorder="1" applyAlignment="1" applyProtection="1">
      <alignment horizontal="left" vertical="center" wrapText="1"/>
      <protection locked="0"/>
    </xf>
    <xf numFmtId="0" fontId="20" fillId="0" borderId="45" xfId="13" applyFont="1" applyBorder="1" applyAlignment="1" applyProtection="1">
      <alignment horizontal="center" vertical="center" wrapText="1"/>
      <protection locked="0"/>
    </xf>
    <xf numFmtId="0" fontId="21" fillId="0" borderId="45" xfId="3" applyFont="1" applyBorder="1" applyAlignment="1" applyProtection="1">
      <alignment vertical="center" wrapText="1"/>
      <protection locked="0"/>
    </xf>
    <xf numFmtId="0" fontId="21" fillId="0" borderId="45" xfId="0" applyFont="1" applyBorder="1" applyAlignment="1" applyProtection="1">
      <alignment horizontal="center" vertical="center" wrapText="1"/>
      <protection locked="0"/>
    </xf>
    <xf numFmtId="0" fontId="21" fillId="0" borderId="45" xfId="3" applyFont="1" applyBorder="1" applyAlignment="1">
      <alignment horizontal="left" vertical="center" wrapText="1"/>
    </xf>
    <xf numFmtId="0" fontId="23" fillId="0" borderId="28" xfId="3" applyFont="1" applyBorder="1" applyAlignment="1" applyProtection="1">
      <alignment horizontal="center" vertical="center" wrapText="1"/>
      <protection locked="0"/>
    </xf>
    <xf numFmtId="0" fontId="18" fillId="0" borderId="10" xfId="3" applyFont="1" applyBorder="1" applyAlignment="1">
      <alignment vertical="center" wrapText="1"/>
    </xf>
    <xf numFmtId="0" fontId="21" fillId="0" borderId="10" xfId="2" applyFont="1" applyBorder="1" applyAlignment="1">
      <alignment horizontal="center" vertical="center" wrapText="1"/>
    </xf>
    <xf numFmtId="0" fontId="21" fillId="0" borderId="45" xfId="3" applyFont="1" applyBorder="1" applyAlignment="1" applyProtection="1">
      <alignment horizontal="center" vertical="center" wrapText="1"/>
      <protection locked="0"/>
    </xf>
    <xf numFmtId="0" fontId="18" fillId="0" borderId="14" xfId="0" applyFont="1" applyBorder="1" applyAlignment="1" applyProtection="1">
      <alignment horizontal="left" vertical="center" wrapText="1"/>
      <protection locked="0"/>
    </xf>
    <xf numFmtId="0" fontId="18" fillId="0" borderId="45" xfId="3" applyFont="1" applyBorder="1" applyAlignment="1">
      <alignment vertical="center" wrapText="1"/>
    </xf>
    <xf numFmtId="0" fontId="18" fillId="0" borderId="14" xfId="2" applyFont="1" applyBorder="1" applyAlignment="1">
      <alignment horizontal="left" vertical="center" wrapText="1"/>
    </xf>
    <xf numFmtId="0" fontId="18" fillId="4" borderId="14" xfId="2" applyFont="1" applyFill="1" applyBorder="1" applyAlignment="1" applyProtection="1">
      <alignment horizontal="left" vertical="center" wrapText="1"/>
      <protection locked="0"/>
    </xf>
    <xf numFmtId="0" fontId="21" fillId="4" borderId="2" xfId="3" applyFont="1" applyFill="1" applyBorder="1" applyAlignment="1">
      <alignment horizontal="center" vertical="center" wrapText="1"/>
    </xf>
    <xf numFmtId="0" fontId="21" fillId="4" borderId="16" xfId="2" applyFont="1" applyFill="1" applyBorder="1" applyAlignment="1">
      <alignment horizontal="left" vertical="center" wrapText="1"/>
    </xf>
    <xf numFmtId="0" fontId="18" fillId="4" borderId="1" xfId="2" applyFont="1" applyFill="1" applyBorder="1" applyAlignment="1" applyProtection="1">
      <alignment horizontal="left" vertical="center" wrapText="1"/>
      <protection locked="0"/>
    </xf>
    <xf numFmtId="0" fontId="18" fillId="0" borderId="15" xfId="3" applyFont="1" applyBorder="1" applyAlignment="1" applyProtection="1">
      <alignment horizontal="left" vertical="center" wrapText="1"/>
      <protection locked="0"/>
    </xf>
    <xf numFmtId="0" fontId="17" fillId="0" borderId="2" xfId="0" applyFont="1" applyBorder="1" applyAlignment="1">
      <alignment horizontal="center" vertical="center" wrapText="1"/>
    </xf>
    <xf numFmtId="0" fontId="21" fillId="4" borderId="2" xfId="3" applyFont="1" applyFill="1" applyBorder="1" applyAlignment="1">
      <alignment vertical="center" wrapText="1"/>
    </xf>
    <xf numFmtId="0" fontId="17" fillId="0" borderId="28" xfId="3" applyFont="1" applyBorder="1" applyAlignment="1" applyProtection="1">
      <alignment horizontal="center" vertical="center" wrapText="1"/>
      <protection locked="0"/>
    </xf>
    <xf numFmtId="0" fontId="20" fillId="0" borderId="45" xfId="2" applyFont="1" applyBorder="1" applyAlignment="1">
      <alignment horizontal="center" vertical="center" wrapText="1"/>
    </xf>
    <xf numFmtId="0" fontId="21" fillId="4" borderId="45" xfId="3" applyFont="1" applyFill="1" applyBorder="1" applyAlignment="1">
      <alignment vertical="center" wrapText="1"/>
    </xf>
    <xf numFmtId="0" fontId="21" fillId="4" borderId="14" xfId="2" applyFont="1" applyFill="1" applyBorder="1" applyAlignment="1">
      <alignment horizontal="center" vertical="center" wrapText="1"/>
    </xf>
    <xf numFmtId="0" fontId="21" fillId="4" borderId="14" xfId="2" applyFont="1" applyFill="1" applyBorder="1" applyAlignment="1">
      <alignment horizontal="left" vertical="center" wrapText="1"/>
    </xf>
    <xf numFmtId="0" fontId="17" fillId="0" borderId="36" xfId="3" applyFont="1" applyBorder="1" applyAlignment="1" applyProtection="1">
      <alignment horizontal="center" vertical="center" wrapText="1"/>
      <protection locked="0"/>
    </xf>
    <xf numFmtId="164" fontId="18" fillId="0" borderId="0" xfId="0" applyNumberFormat="1" applyFont="1" applyAlignment="1">
      <alignment horizontal="center" vertical="center"/>
    </xf>
    <xf numFmtId="0" fontId="17" fillId="0" borderId="45" xfId="2" applyFont="1" applyBorder="1" applyAlignment="1">
      <alignment horizontal="center" vertical="center" wrapText="1"/>
    </xf>
    <xf numFmtId="0" fontId="23" fillId="0" borderId="36" xfId="3" applyFont="1" applyBorder="1" applyAlignment="1" applyProtection="1">
      <alignment vertical="center" wrapText="1"/>
      <protection locked="0"/>
    </xf>
    <xf numFmtId="0" fontId="21" fillId="4" borderId="45" xfId="2" applyFont="1" applyFill="1" applyBorder="1" applyAlignment="1">
      <alignment horizontal="left" vertical="center" wrapText="1"/>
    </xf>
    <xf numFmtId="0" fontId="21" fillId="4" borderId="37" xfId="2" applyFont="1" applyFill="1" applyBorder="1" applyAlignment="1" applyProtection="1">
      <alignment horizontal="left" vertical="center" wrapText="1"/>
      <protection locked="0"/>
    </xf>
    <xf numFmtId="0" fontId="18" fillId="0" borderId="45" xfId="0" applyFont="1" applyBorder="1" applyAlignment="1">
      <alignment horizontal="center" vertical="center" wrapText="1"/>
    </xf>
    <xf numFmtId="0" fontId="18" fillId="0" borderId="45" xfId="2" applyFont="1" applyBorder="1" applyAlignment="1">
      <alignment horizontal="left" vertical="center" wrapText="1"/>
    </xf>
    <xf numFmtId="0" fontId="18" fillId="0" borderId="45" xfId="3" applyFont="1" applyBorder="1" applyAlignment="1" applyProtection="1">
      <alignment vertical="center" wrapText="1"/>
      <protection locked="0"/>
    </xf>
    <xf numFmtId="0" fontId="18" fillId="4" borderId="45" xfId="2" applyFont="1" applyFill="1" applyBorder="1" applyAlignment="1" applyProtection="1">
      <alignment horizontal="left" vertical="center" wrapText="1"/>
      <protection locked="0"/>
    </xf>
    <xf numFmtId="0" fontId="17" fillId="4" borderId="45" xfId="13" applyFont="1" applyFill="1" applyBorder="1" applyAlignment="1">
      <alignment horizontal="center" vertical="center" wrapText="1"/>
    </xf>
    <xf numFmtId="0" fontId="18" fillId="6" borderId="45" xfId="3" applyFont="1" applyFill="1" applyBorder="1" applyAlignment="1">
      <alignment horizontal="left" vertical="center" wrapText="1"/>
    </xf>
    <xf numFmtId="0" fontId="18" fillId="0" borderId="9" xfId="3" applyFont="1" applyBorder="1" applyAlignment="1" applyProtection="1">
      <alignment horizontal="center" vertical="center" wrapText="1"/>
      <protection locked="0"/>
    </xf>
    <xf numFmtId="0" fontId="18" fillId="4" borderId="45" xfId="3" applyFont="1" applyFill="1" applyBorder="1" applyAlignment="1">
      <alignment horizontal="left" vertical="center" wrapText="1"/>
    </xf>
    <xf numFmtId="0" fontId="18" fillId="4" borderId="45" xfId="3" applyFont="1" applyFill="1" applyBorder="1" applyAlignment="1" applyProtection="1">
      <alignment horizontal="left" vertical="center" wrapText="1"/>
      <protection locked="0"/>
    </xf>
    <xf numFmtId="0" fontId="18" fillId="4" borderId="45" xfId="0" applyFont="1" applyFill="1" applyBorder="1" applyAlignment="1">
      <alignment horizontal="center" vertical="center" wrapText="1"/>
    </xf>
    <xf numFmtId="0" fontId="18" fillId="0" borderId="43" xfId="3" applyFont="1" applyBorder="1" applyAlignment="1" applyProtection="1">
      <alignment horizontal="left" vertical="center" wrapText="1"/>
      <protection locked="0"/>
    </xf>
    <xf numFmtId="0" fontId="18" fillId="0" borderId="50" xfId="3" applyFont="1" applyBorder="1" applyAlignment="1" applyProtection="1">
      <alignment horizontal="left" vertical="center" wrapText="1"/>
      <protection locked="0"/>
    </xf>
    <xf numFmtId="0" fontId="18" fillId="4" borderId="2" xfId="3" applyFont="1" applyFill="1" applyBorder="1" applyAlignment="1" applyProtection="1">
      <alignment horizontal="left" vertical="center" wrapText="1"/>
      <protection locked="0"/>
    </xf>
    <xf numFmtId="0" fontId="21" fillId="4" borderId="45" xfId="3" applyFont="1" applyFill="1" applyBorder="1" applyAlignment="1">
      <alignment horizontal="center" vertical="center"/>
    </xf>
    <xf numFmtId="0" fontId="17" fillId="0" borderId="1" xfId="13"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3" applyFont="1" applyBorder="1" applyAlignment="1">
      <alignment horizontal="left" vertical="center" wrapText="1"/>
    </xf>
    <xf numFmtId="0" fontId="18" fillId="0" borderId="1" xfId="2" applyFont="1" applyBorder="1" applyAlignment="1">
      <alignment horizontal="center" vertical="center" wrapText="1"/>
    </xf>
    <xf numFmtId="0" fontId="18" fillId="0" borderId="1" xfId="3" applyFont="1" applyBorder="1" applyAlignment="1">
      <alignment horizontal="center" vertical="center" wrapText="1"/>
    </xf>
    <xf numFmtId="0" fontId="18" fillId="0" borderId="1" xfId="2" applyFont="1" applyBorder="1" applyAlignment="1">
      <alignment horizontal="left" vertical="center" wrapText="1"/>
    </xf>
    <xf numFmtId="0" fontId="18" fillId="4" borderId="1" xfId="0" applyFont="1" applyFill="1" applyBorder="1" applyAlignment="1" applyProtection="1">
      <alignment horizontal="left" vertical="center" wrapText="1"/>
      <protection locked="0"/>
    </xf>
    <xf numFmtId="0" fontId="20" fillId="0" borderId="2" xfId="0" applyFont="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vertical="center" wrapText="1"/>
    </xf>
    <xf numFmtId="0" fontId="21" fillId="0" borderId="35" xfId="0" applyFont="1" applyBorder="1" applyAlignment="1">
      <alignment vertical="center" wrapText="1"/>
    </xf>
    <xf numFmtId="0" fontId="18" fillId="4" borderId="2" xfId="0" applyFont="1" applyFill="1" applyBorder="1" applyAlignment="1" applyProtection="1">
      <alignment horizontal="left" vertical="center" wrapText="1"/>
      <protection locked="0"/>
    </xf>
    <xf numFmtId="0" fontId="18" fillId="4" borderId="45" xfId="0" applyFont="1" applyFill="1" applyBorder="1" applyAlignment="1" applyProtection="1">
      <alignment horizontal="left" vertical="center" wrapText="1"/>
      <protection locked="0"/>
    </xf>
    <xf numFmtId="0" fontId="18" fillId="4" borderId="2" xfId="0" applyFont="1" applyFill="1" applyBorder="1" applyAlignment="1" applyProtection="1">
      <alignment horizontal="center" vertical="center" wrapText="1"/>
      <protection locked="0"/>
    </xf>
    <xf numFmtId="0" fontId="21" fillId="4" borderId="45" xfId="2" applyFont="1" applyFill="1" applyBorder="1" applyAlignment="1" applyProtection="1">
      <alignment horizontal="left" vertical="center" wrapText="1"/>
      <protection locked="0"/>
    </xf>
    <xf numFmtId="0" fontId="26" fillId="0" borderId="9" xfId="3" applyFont="1" applyBorder="1" applyAlignment="1" applyProtection="1">
      <alignment horizontal="left" vertical="center" wrapText="1"/>
      <protection locked="0"/>
    </xf>
    <xf numFmtId="0" fontId="21" fillId="4" borderId="1" xfId="0" applyFont="1" applyFill="1" applyBorder="1" applyAlignment="1">
      <alignment horizontal="center" vertical="center" wrapText="1"/>
    </xf>
    <xf numFmtId="0" fontId="18" fillId="6" borderId="1" xfId="3" applyFont="1" applyFill="1" applyBorder="1" applyAlignment="1">
      <alignment horizontal="left" vertical="center" wrapText="1"/>
    </xf>
    <xf numFmtId="0" fontId="18" fillId="4" borderId="1" xfId="3" applyFont="1" applyFill="1" applyBorder="1" applyAlignment="1" applyProtection="1">
      <alignment horizontal="left" vertical="center" wrapText="1"/>
      <protection locked="0"/>
    </xf>
    <xf numFmtId="0" fontId="18" fillId="0" borderId="1" xfId="3" applyFont="1" applyBorder="1" applyAlignment="1" applyProtection="1">
      <alignment horizontal="left" vertical="center" wrapText="1"/>
      <protection locked="0"/>
    </xf>
    <xf numFmtId="0" fontId="18" fillId="0" borderId="35" xfId="0" applyFont="1" applyBorder="1" applyAlignment="1">
      <alignment horizontal="center" vertical="center" wrapText="1"/>
    </xf>
    <xf numFmtId="0" fontId="17" fillId="0" borderId="45" xfId="0" applyFont="1" applyBorder="1" applyAlignment="1">
      <alignment horizontal="center" vertical="center"/>
    </xf>
    <xf numFmtId="0" fontId="18" fillId="0" borderId="45" xfId="0" applyFont="1" applyBorder="1" applyAlignment="1">
      <alignment horizontal="center" vertical="center"/>
    </xf>
    <xf numFmtId="0" fontId="21" fillId="4" borderId="45" xfId="0" applyFont="1" applyFill="1" applyBorder="1" applyAlignment="1">
      <alignment horizontal="center" vertical="center"/>
    </xf>
    <xf numFmtId="0" fontId="18" fillId="0" borderId="45" xfId="0" applyFont="1" applyBorder="1" applyAlignment="1">
      <alignment vertical="center"/>
    </xf>
    <xf numFmtId="0" fontId="18" fillId="4" borderId="45" xfId="0" applyFont="1" applyFill="1" applyBorder="1" applyAlignment="1" applyProtection="1">
      <alignment vertical="center"/>
      <protection locked="0"/>
    </xf>
    <xf numFmtId="0" fontId="18" fillId="4" borderId="45" xfId="0" applyFont="1" applyFill="1" applyBorder="1" applyAlignment="1" applyProtection="1">
      <alignment horizontal="center" vertical="center" wrapText="1"/>
      <protection locked="0"/>
    </xf>
    <xf numFmtId="0" fontId="21" fillId="4" borderId="1" xfId="3" applyFont="1" applyFill="1" applyBorder="1" applyAlignment="1" applyProtection="1">
      <alignment horizontal="left" vertical="center" wrapText="1"/>
      <protection locked="0"/>
    </xf>
    <xf numFmtId="0" fontId="21" fillId="4" borderId="1" xfId="2" applyFont="1" applyFill="1" applyBorder="1" applyAlignment="1" applyProtection="1">
      <alignment horizontal="center" vertical="center" wrapText="1"/>
      <protection locked="0"/>
    </xf>
    <xf numFmtId="0" fontId="18" fillId="0" borderId="2" xfId="0" applyFont="1" applyBorder="1" applyAlignment="1" applyProtection="1">
      <alignment horizontal="left" vertical="center" wrapText="1"/>
      <protection locked="0"/>
    </xf>
    <xf numFmtId="0" fontId="24" fillId="0" borderId="11" xfId="3" applyFont="1" applyBorder="1" applyAlignment="1" applyProtection="1">
      <alignment horizontal="left" vertical="center" wrapText="1"/>
      <protection locked="0"/>
    </xf>
    <xf numFmtId="0" fontId="18" fillId="0" borderId="45" xfId="6" applyFont="1" applyBorder="1" applyAlignment="1">
      <alignment vertical="center" wrapText="1"/>
    </xf>
    <xf numFmtId="0" fontId="18" fillId="0" borderId="1" xfId="3" applyFont="1" applyBorder="1" applyAlignment="1">
      <alignment vertical="center" wrapText="1"/>
    </xf>
    <xf numFmtId="0" fontId="18" fillId="4" borderId="1" xfId="2" applyFont="1" applyFill="1" applyBorder="1" applyAlignment="1">
      <alignment horizontal="center" vertical="center" wrapText="1"/>
    </xf>
    <xf numFmtId="0" fontId="18" fillId="0" borderId="49" xfId="3" applyFont="1" applyBorder="1" applyAlignment="1">
      <alignment vertical="center" wrapText="1"/>
    </xf>
    <xf numFmtId="0" fontId="20" fillId="4" borderId="45" xfId="13" applyFont="1" applyFill="1" applyBorder="1" applyAlignment="1" applyProtection="1">
      <alignment horizontal="center" vertical="center" wrapText="1"/>
      <protection locked="0"/>
    </xf>
    <xf numFmtId="0" fontId="24" fillId="5" borderId="9" xfId="3" applyFont="1" applyFill="1" applyBorder="1" applyAlignment="1" applyProtection="1">
      <alignment horizontal="left" vertical="center" wrapText="1"/>
      <protection locked="0"/>
    </xf>
    <xf numFmtId="0" fontId="17" fillId="0" borderId="45" xfId="0" applyFont="1" applyBorder="1" applyAlignment="1" applyProtection="1">
      <alignment horizontal="center" vertical="center" wrapText="1"/>
      <protection locked="0"/>
    </xf>
    <xf numFmtId="0" fontId="18" fillId="0" borderId="9" xfId="3" applyFont="1" applyBorder="1" applyAlignment="1" applyProtection="1">
      <alignment vertical="center" wrapText="1"/>
      <protection locked="0"/>
    </xf>
    <xf numFmtId="0" fontId="21" fillId="4" borderId="45" xfId="3" applyFont="1" applyFill="1" applyBorder="1" applyAlignment="1" applyProtection="1">
      <alignment horizontal="center" vertical="center" wrapText="1"/>
      <protection locked="0"/>
    </xf>
    <xf numFmtId="0" fontId="18" fillId="0" borderId="1" xfId="0" applyFont="1" applyBorder="1" applyAlignment="1" applyProtection="1">
      <alignment horizontal="center" vertical="center" wrapText="1"/>
      <protection locked="0"/>
    </xf>
    <xf numFmtId="0" fontId="18" fillId="0" borderId="20" xfId="3" applyFont="1" applyBorder="1" applyAlignment="1" applyProtection="1">
      <alignment horizontal="center" vertical="center" wrapText="1"/>
      <protection locked="0"/>
    </xf>
    <xf numFmtId="0" fontId="18" fillId="10" borderId="45" xfId="0" applyFont="1" applyFill="1" applyBorder="1" applyAlignment="1" applyProtection="1">
      <alignment horizontal="left" vertical="center" wrapText="1"/>
      <protection locked="0"/>
    </xf>
    <xf numFmtId="0" fontId="21" fillId="4" borderId="1" xfId="0" applyFont="1" applyFill="1" applyBorder="1" applyAlignment="1" applyProtection="1">
      <alignment horizontal="center" vertical="center" wrapText="1"/>
      <protection locked="0"/>
    </xf>
    <xf numFmtId="0" fontId="20" fillId="4" borderId="43" xfId="0" applyFont="1" applyFill="1" applyBorder="1" applyAlignment="1" applyProtection="1">
      <alignment horizontal="center" vertical="center" wrapText="1"/>
      <protection locked="0"/>
    </xf>
    <xf numFmtId="0" fontId="21" fillId="4" borderId="53" xfId="3" applyFont="1" applyFill="1" applyBorder="1" applyAlignment="1" applyProtection="1">
      <alignment horizontal="left" vertical="center" wrapText="1"/>
      <protection locked="0"/>
    </xf>
    <xf numFmtId="0" fontId="21" fillId="4" borderId="43" xfId="3" applyFont="1" applyFill="1" applyBorder="1" applyAlignment="1" applyProtection="1">
      <alignment horizontal="left" vertical="center" wrapText="1"/>
      <protection locked="0"/>
    </xf>
    <xf numFmtId="0" fontId="21" fillId="4" borderId="15" xfId="3" applyFont="1" applyFill="1" applyBorder="1" applyAlignment="1" applyProtection="1">
      <alignment horizontal="left" vertical="center" wrapText="1"/>
      <protection locked="0"/>
    </xf>
    <xf numFmtId="0" fontId="18" fillId="4" borderId="43" xfId="3" applyFont="1" applyFill="1" applyBorder="1" applyAlignment="1" applyProtection="1">
      <alignment horizontal="left" vertical="center" wrapText="1"/>
      <protection locked="0"/>
    </xf>
    <xf numFmtId="0" fontId="17" fillId="0" borderId="45" xfId="0" applyFont="1" applyBorder="1" applyAlignment="1">
      <alignment horizontal="center" vertical="center" wrapText="1"/>
    </xf>
    <xf numFmtId="49" fontId="18" fillId="0" borderId="45" xfId="0" applyNumberFormat="1" applyFont="1" applyBorder="1" applyAlignment="1">
      <alignment horizontal="left" vertical="center" wrapText="1"/>
    </xf>
    <xf numFmtId="49" fontId="18" fillId="4" borderId="30" xfId="0" applyNumberFormat="1" applyFont="1" applyFill="1" applyBorder="1" applyAlignment="1">
      <alignment horizontal="left" vertical="center" wrapText="1"/>
    </xf>
    <xf numFmtId="0" fontId="27" fillId="4" borderId="45" xfId="3" applyFont="1" applyFill="1" applyBorder="1" applyAlignment="1" applyProtection="1">
      <alignment horizontal="left" vertical="center" wrapText="1"/>
      <protection locked="0"/>
    </xf>
    <xf numFmtId="0" fontId="27" fillId="4" borderId="9" xfId="3" applyFont="1" applyFill="1" applyBorder="1" applyAlignment="1" applyProtection="1">
      <alignment horizontal="left" vertical="center" wrapText="1"/>
      <protection locked="0"/>
    </xf>
    <xf numFmtId="0" fontId="27" fillId="4" borderId="45" xfId="0" applyFont="1" applyFill="1" applyBorder="1" applyAlignment="1" applyProtection="1">
      <alignment horizontal="left" vertical="center" wrapText="1"/>
      <protection locked="0"/>
    </xf>
    <xf numFmtId="0" fontId="18" fillId="4" borderId="1" xfId="3" applyFont="1" applyFill="1" applyBorder="1" applyAlignment="1">
      <alignment horizontal="center" vertical="center" wrapText="1"/>
    </xf>
    <xf numFmtId="0" fontId="18" fillId="4" borderId="1" xfId="3" applyFont="1" applyFill="1" applyBorder="1" applyAlignment="1" applyProtection="1">
      <alignment horizontal="center" vertical="center" wrapText="1"/>
      <protection locked="0"/>
    </xf>
    <xf numFmtId="0" fontId="17" fillId="0" borderId="3" xfId="13" applyFont="1" applyBorder="1" applyAlignment="1">
      <alignment horizontal="center" vertical="center" wrapText="1"/>
    </xf>
    <xf numFmtId="0" fontId="18" fillId="0" borderId="3" xfId="0" applyFont="1" applyBorder="1" applyAlignment="1">
      <alignment horizontal="center" vertical="center" wrapText="1"/>
    </xf>
    <xf numFmtId="0" fontId="18" fillId="0" borderId="3" xfId="3" applyFont="1" applyBorder="1" applyAlignment="1">
      <alignment horizontal="left" vertical="center" wrapText="1"/>
    </xf>
    <xf numFmtId="0" fontId="18" fillId="4" borderId="3" xfId="2" applyFont="1" applyFill="1" applyBorder="1" applyAlignment="1">
      <alignment horizontal="center" vertical="center" wrapText="1"/>
    </xf>
    <xf numFmtId="0" fontId="18" fillId="0" borderId="3" xfId="2" applyFont="1" applyBorder="1" applyAlignment="1">
      <alignment horizontal="center" vertical="center" wrapText="1"/>
    </xf>
    <xf numFmtId="0" fontId="18" fillId="0" borderId="3" xfId="2" applyFont="1" applyBorder="1" applyAlignment="1">
      <alignment horizontal="left" vertical="center" wrapText="1"/>
    </xf>
    <xf numFmtId="0" fontId="18" fillId="4" borderId="3" xfId="2" applyFont="1" applyFill="1" applyBorder="1" applyAlignment="1" applyProtection="1">
      <alignment horizontal="center" vertical="center" wrapText="1"/>
      <protection locked="0"/>
    </xf>
    <xf numFmtId="0" fontId="18" fillId="0" borderId="3" xfId="3" applyFont="1" applyBorder="1" applyAlignment="1" applyProtection="1">
      <alignment horizontal="left" vertical="center" wrapText="1"/>
      <protection locked="0"/>
    </xf>
    <xf numFmtId="0" fontId="18" fillId="0" borderId="12" xfId="3" applyFont="1" applyBorder="1" applyAlignment="1" applyProtection="1">
      <alignment horizontal="left" vertical="center" wrapText="1"/>
      <protection locked="0"/>
    </xf>
    <xf numFmtId="0" fontId="17" fillId="0" borderId="33" xfId="4" applyFont="1" applyBorder="1" applyAlignment="1">
      <alignment horizontal="center" vertical="center" wrapText="1"/>
    </xf>
    <xf numFmtId="0" fontId="18" fillId="0" borderId="33" xfId="0" applyFont="1" applyBorder="1" applyAlignment="1">
      <alignment horizontal="center" vertical="center" wrapText="1"/>
    </xf>
    <xf numFmtId="0" fontId="18" fillId="0" borderId="33" xfId="15" applyFont="1" applyBorder="1" applyAlignment="1">
      <alignment horizontal="left" vertical="center" wrapText="1"/>
    </xf>
    <xf numFmtId="0" fontId="18" fillId="4" borderId="33" xfId="2" applyFont="1" applyFill="1" applyBorder="1" applyAlignment="1">
      <alignment horizontal="center" vertical="center" wrapText="1"/>
    </xf>
    <xf numFmtId="0" fontId="18" fillId="0" borderId="33" xfId="2" applyFont="1" applyBorder="1" applyAlignment="1">
      <alignment horizontal="center" vertical="center" wrapText="1"/>
    </xf>
    <xf numFmtId="0" fontId="18" fillId="0" borderId="33" xfId="2" applyFont="1" applyBorder="1" applyAlignment="1">
      <alignment horizontal="left" vertical="center" wrapText="1"/>
    </xf>
    <xf numFmtId="0" fontId="18" fillId="4" borderId="33" xfId="2" applyFont="1" applyFill="1" applyBorder="1" applyAlignment="1" applyProtection="1">
      <alignment horizontal="center" vertical="center" wrapText="1"/>
      <protection locked="0"/>
    </xf>
    <xf numFmtId="0" fontId="18" fillId="0" borderId="33" xfId="3" applyFont="1" applyBorder="1" applyAlignment="1" applyProtection="1">
      <alignment horizontal="left" vertical="center" wrapText="1"/>
      <protection locked="0"/>
    </xf>
    <xf numFmtId="0" fontId="18" fillId="0" borderId="47" xfId="3" applyFont="1" applyBorder="1" applyAlignment="1" applyProtection="1">
      <alignment horizontal="left" vertical="center" wrapText="1"/>
      <protection locked="0"/>
    </xf>
    <xf numFmtId="0" fontId="18" fillId="0" borderId="45" xfId="15" applyFont="1" applyBorder="1" applyAlignment="1">
      <alignment horizontal="left" vertical="center" wrapText="1"/>
    </xf>
    <xf numFmtId="0" fontId="18" fillId="4" borderId="45" xfId="2" applyFont="1" applyFill="1" applyBorder="1" applyAlignment="1" applyProtection="1">
      <alignment horizontal="center" vertical="center" wrapText="1"/>
      <protection locked="0"/>
    </xf>
    <xf numFmtId="0" fontId="17" fillId="0" borderId="10" xfId="0" applyFont="1" applyBorder="1" applyAlignment="1">
      <alignment horizontal="center" vertical="center" wrapText="1"/>
    </xf>
    <xf numFmtId="0" fontId="18" fillId="0" borderId="10" xfId="15" applyFont="1" applyBorder="1" applyAlignment="1">
      <alignment horizontal="left" vertical="center" wrapText="1"/>
    </xf>
    <xf numFmtId="0" fontId="18" fillId="4" borderId="13" xfId="2" applyFont="1" applyFill="1" applyBorder="1" applyAlignment="1">
      <alignment horizontal="center" vertical="center" wrapText="1"/>
    </xf>
    <xf numFmtId="0" fontId="18" fillId="0" borderId="13" xfId="2" applyFont="1" applyBorder="1" applyAlignment="1">
      <alignment horizontal="center" vertical="center" wrapText="1"/>
    </xf>
    <xf numFmtId="0" fontId="18" fillId="0" borderId="13" xfId="2" applyFont="1" applyBorder="1" applyAlignment="1">
      <alignment horizontal="left" vertical="center" wrapText="1"/>
    </xf>
    <xf numFmtId="0" fontId="18" fillId="4" borderId="13" xfId="2" applyFont="1" applyFill="1" applyBorder="1" applyAlignment="1" applyProtection="1">
      <alignment horizontal="center" vertical="center" wrapText="1"/>
      <protection locked="0"/>
    </xf>
    <xf numFmtId="0" fontId="18" fillId="0" borderId="13" xfId="3" applyFont="1" applyBorder="1" applyAlignment="1" applyProtection="1">
      <alignment horizontal="left" vertical="center" wrapText="1"/>
      <protection locked="0"/>
    </xf>
    <xf numFmtId="0" fontId="18" fillId="0" borderId="40" xfId="3" applyFont="1" applyBorder="1" applyAlignment="1" applyProtection="1">
      <alignment horizontal="left" vertical="center" wrapText="1"/>
      <protection locked="0"/>
    </xf>
    <xf numFmtId="0" fontId="18" fillId="0" borderId="6" xfId="2" applyFont="1" applyBorder="1" applyAlignment="1" applyProtection="1">
      <alignment horizontal="center" vertical="center"/>
      <protection locked="0"/>
    </xf>
    <xf numFmtId="0" fontId="18" fillId="0" borderId="7" xfId="2" applyFont="1" applyBorder="1" applyAlignment="1" applyProtection="1">
      <alignment horizontal="center" vertical="center"/>
      <protection locked="0"/>
    </xf>
    <xf numFmtId="0" fontId="18" fillId="0" borderId="45" xfId="2" applyFont="1" applyBorder="1" applyAlignment="1" applyProtection="1">
      <alignment horizontal="center" vertical="center"/>
      <protection locked="0"/>
    </xf>
    <xf numFmtId="0" fontId="17" fillId="0" borderId="52" xfId="2" applyFont="1" applyBorder="1" applyAlignment="1">
      <alignment horizontal="center" vertical="center"/>
    </xf>
    <xf numFmtId="0" fontId="18" fillId="0" borderId="8" xfId="2" applyFont="1" applyBorder="1" applyAlignment="1" applyProtection="1">
      <alignment horizontal="center" vertical="center"/>
      <protection locked="0"/>
    </xf>
    <xf numFmtId="0" fontId="18" fillId="0" borderId="32" xfId="2" applyFont="1" applyBorder="1" applyAlignment="1" applyProtection="1">
      <alignment horizontal="center" vertical="center"/>
      <protection locked="0"/>
    </xf>
    <xf numFmtId="0" fontId="18" fillId="0" borderId="5" xfId="2" applyFont="1" applyBorder="1" applyAlignment="1" applyProtection="1">
      <alignment horizontal="center" vertical="center"/>
      <protection locked="0"/>
    </xf>
    <xf numFmtId="0" fontId="18" fillId="0" borderId="6" xfId="2" applyFont="1" applyBorder="1" applyAlignment="1" applyProtection="1">
      <alignment horizontal="center" vertical="center" wrapText="1"/>
      <protection locked="0"/>
    </xf>
    <xf numFmtId="0" fontId="18" fillId="0" borderId="4" xfId="2" applyFont="1" applyBorder="1" applyAlignment="1" applyProtection="1">
      <alignment horizontal="center" vertical="center"/>
      <protection locked="0"/>
    </xf>
    <xf numFmtId="0" fontId="18" fillId="0" borderId="38" xfId="2" applyFont="1" applyBorder="1" applyAlignment="1" applyProtection="1">
      <alignment horizontal="center" vertical="center"/>
      <protection locked="0"/>
    </xf>
    <xf numFmtId="0" fontId="2" fillId="0" borderId="55" xfId="9" applyBorder="1"/>
    <xf numFmtId="0" fontId="2" fillId="0" borderId="56" xfId="9" applyBorder="1"/>
    <xf numFmtId="0" fontId="2" fillId="0" borderId="56" xfId="9" applyBorder="1" applyAlignment="1">
      <alignment horizontal="left" vertical="center"/>
    </xf>
    <xf numFmtId="0" fontId="2" fillId="0" borderId="57" xfId="9" applyBorder="1"/>
    <xf numFmtId="0" fontId="2" fillId="0" borderId="58" xfId="9" applyBorder="1"/>
    <xf numFmtId="0" fontId="29" fillId="0" borderId="4" xfId="9" applyFont="1" applyBorder="1" applyAlignment="1">
      <alignment horizontal="center"/>
    </xf>
    <xf numFmtId="0" fontId="29" fillId="0" borderId="3" xfId="9" applyFont="1" applyBorder="1" applyAlignment="1">
      <alignment horizontal="center"/>
    </xf>
    <xf numFmtId="0" fontId="29" fillId="0" borderId="59" xfId="9" applyFont="1" applyBorder="1" applyAlignment="1">
      <alignment horizontal="left" vertical="center"/>
    </xf>
    <xf numFmtId="0" fontId="29" fillId="0" borderId="25" xfId="9" applyFont="1" applyBorder="1" applyAlignment="1">
      <alignment horizontal="center"/>
    </xf>
    <xf numFmtId="0" fontId="2" fillId="0" borderId="60" xfId="9" applyBorder="1"/>
    <xf numFmtId="0" fontId="30" fillId="0" borderId="32" xfId="9" applyFont="1" applyBorder="1" applyAlignment="1">
      <alignment vertical="center"/>
    </xf>
    <xf numFmtId="0" fontId="2" fillId="5" borderId="33" xfId="9" applyFill="1" applyBorder="1" applyAlignment="1" applyProtection="1">
      <alignment horizontal="center" vertical="center"/>
      <protection locked="0"/>
    </xf>
    <xf numFmtId="0" fontId="30" fillId="0" borderId="61" xfId="9" applyFont="1" applyBorder="1" applyAlignment="1">
      <alignment horizontal="left" vertical="center" wrapText="1"/>
    </xf>
    <xf numFmtId="0" fontId="30" fillId="0" borderId="62" xfId="9" applyFont="1" applyBorder="1" applyAlignment="1">
      <alignment horizontal="center" vertical="center" wrapText="1"/>
    </xf>
    <xf numFmtId="0" fontId="30" fillId="0" borderId="7" xfId="9" applyFont="1" applyBorder="1" applyAlignment="1">
      <alignment vertical="center"/>
    </xf>
    <xf numFmtId="0" fontId="2" fillId="5" borderId="45" xfId="9" applyFill="1" applyBorder="1" applyAlignment="1" applyProtection="1">
      <alignment horizontal="center" vertical="center"/>
      <protection locked="0"/>
    </xf>
    <xf numFmtId="0" fontId="30" fillId="0" borderId="64" xfId="9" applyFont="1" applyBorder="1" applyAlignment="1">
      <alignment horizontal="left" vertical="center" wrapText="1"/>
    </xf>
    <xf numFmtId="0" fontId="30" fillId="0" borderId="31" xfId="9" applyFont="1" applyBorder="1" applyAlignment="1">
      <alignment horizontal="center" vertical="center" wrapText="1"/>
    </xf>
    <xf numFmtId="0" fontId="31" fillId="0" borderId="64" xfId="9" applyFont="1" applyBorder="1" applyAlignment="1">
      <alignment horizontal="left" vertical="center" wrapText="1"/>
    </xf>
    <xf numFmtId="0" fontId="31" fillId="0" borderId="31" xfId="9" applyFont="1" applyBorder="1" applyAlignment="1">
      <alignment horizontal="center" vertical="center" wrapText="1"/>
    </xf>
    <xf numFmtId="0" fontId="32" fillId="0" borderId="7" xfId="9" applyFont="1" applyBorder="1" applyAlignment="1">
      <alignment vertical="center"/>
    </xf>
    <xf numFmtId="0" fontId="31" fillId="0" borderId="64" xfId="11" applyFont="1" applyBorder="1" applyAlignment="1">
      <alignment vertical="center" wrapText="1"/>
    </xf>
    <xf numFmtId="0" fontId="32" fillId="0" borderId="38" xfId="9" applyFont="1" applyBorder="1" applyAlignment="1">
      <alignment vertical="center"/>
    </xf>
    <xf numFmtId="2" fontId="2" fillId="5" borderId="13" xfId="9" applyNumberFormat="1" applyFill="1" applyBorder="1" applyAlignment="1" applyProtection="1">
      <alignment horizontal="center" vertical="center"/>
      <protection locked="0"/>
    </xf>
    <xf numFmtId="0" fontId="31" fillId="0" borderId="65" xfId="11" applyFont="1" applyBorder="1" applyAlignment="1">
      <alignment vertical="center" wrapText="1"/>
    </xf>
    <xf numFmtId="2" fontId="31" fillId="0" borderId="66" xfId="9" applyNumberFormat="1" applyFont="1" applyBorder="1" applyAlignment="1">
      <alignment horizontal="center" vertical="center" wrapText="1"/>
    </xf>
    <xf numFmtId="0" fontId="30" fillId="0" borderId="6" xfId="9" applyFont="1" applyBorder="1" applyAlignment="1">
      <alignment vertical="center"/>
    </xf>
    <xf numFmtId="0" fontId="2" fillId="5" borderId="2" xfId="9" applyFill="1" applyBorder="1" applyAlignment="1" applyProtection="1">
      <alignment horizontal="center" vertical="center"/>
      <protection locked="0"/>
    </xf>
    <xf numFmtId="0" fontId="30" fillId="0" borderId="67" xfId="9" applyFont="1" applyBorder="1" applyAlignment="1">
      <alignment horizontal="left" vertical="center" wrapText="1"/>
    </xf>
    <xf numFmtId="0" fontId="30" fillId="0" borderId="68" xfId="9" applyFont="1" applyBorder="1" applyAlignment="1">
      <alignment horizontal="center" vertical="center" wrapText="1"/>
    </xf>
    <xf numFmtId="0" fontId="30" fillId="0" borderId="7" xfId="11" applyFont="1" applyBorder="1" applyAlignment="1">
      <alignment horizontal="left" vertical="center"/>
    </xf>
    <xf numFmtId="2" fontId="2" fillId="5" borderId="45" xfId="11" applyNumberFormat="1" applyFill="1" applyBorder="1" applyAlignment="1" applyProtection="1">
      <alignment horizontal="center" vertical="center"/>
      <protection locked="0"/>
    </xf>
    <xf numFmtId="0" fontId="31" fillId="0" borderId="64" xfId="9" applyFont="1" applyBorder="1" applyAlignment="1">
      <alignment vertical="center" wrapText="1"/>
    </xf>
    <xf numFmtId="4" fontId="31" fillId="0" borderId="31" xfId="11" applyNumberFormat="1" applyFont="1" applyBorder="1" applyAlignment="1">
      <alignment horizontal="center" vertical="center" wrapText="1"/>
    </xf>
    <xf numFmtId="4" fontId="2" fillId="5" borderId="45" xfId="9" applyNumberFormat="1" applyFill="1" applyBorder="1" applyAlignment="1" applyProtection="1">
      <alignment horizontal="center" vertical="center"/>
      <protection locked="0"/>
    </xf>
    <xf numFmtId="4" fontId="31" fillId="0" borderId="31" xfId="9" applyNumberFormat="1" applyFont="1" applyBorder="1" applyAlignment="1">
      <alignment horizontal="center" vertical="center" wrapText="1"/>
    </xf>
    <xf numFmtId="0" fontId="31" fillId="4" borderId="0" xfId="9" applyFont="1" applyFill="1" applyAlignment="1">
      <alignment wrapText="1"/>
    </xf>
    <xf numFmtId="0" fontId="2" fillId="0" borderId="69" xfId="9" applyBorder="1"/>
    <xf numFmtId="0" fontId="32" fillId="0" borderId="8" xfId="9" applyFont="1" applyBorder="1" applyAlignment="1">
      <alignment vertical="center"/>
    </xf>
    <xf numFmtId="0" fontId="2" fillId="5" borderId="10" xfId="9" applyFill="1" applyBorder="1" applyAlignment="1" applyProtection="1">
      <alignment horizontal="center" vertical="center"/>
      <protection locked="0"/>
    </xf>
    <xf numFmtId="0" fontId="31" fillId="0" borderId="70" xfId="9" applyFont="1" applyBorder="1" applyAlignment="1">
      <alignment horizontal="left" vertical="center" wrapText="1"/>
    </xf>
    <xf numFmtId="0" fontId="31" fillId="0" borderId="71" xfId="9" applyFont="1" applyBorder="1" applyAlignment="1">
      <alignment horizontal="center" vertical="center" wrapText="1"/>
    </xf>
    <xf numFmtId="0" fontId="2" fillId="0" borderId="21" xfId="9" applyBorder="1" applyAlignment="1">
      <alignment wrapText="1"/>
    </xf>
    <xf numFmtId="0" fontId="30" fillId="0" borderId="38" xfId="9" applyFont="1" applyBorder="1" applyAlignment="1">
      <alignment vertical="center"/>
    </xf>
    <xf numFmtId="0" fontId="2" fillId="0" borderId="13" xfId="9" applyBorder="1" applyAlignment="1">
      <alignment horizontal="center" vertical="center"/>
    </xf>
    <xf numFmtId="0" fontId="31" fillId="0" borderId="65" xfId="9" applyFont="1" applyBorder="1" applyAlignment="1">
      <alignment horizontal="left" vertical="center" wrapText="1"/>
    </xf>
    <xf numFmtId="0" fontId="31" fillId="0" borderId="66" xfId="9" applyFont="1" applyBorder="1" applyAlignment="1">
      <alignment horizontal="center" vertical="center" wrapText="1"/>
    </xf>
    <xf numFmtId="0" fontId="32" fillId="0" borderId="6" xfId="9" applyFont="1" applyBorder="1" applyAlignment="1">
      <alignment horizontal="left" vertical="center" wrapText="1"/>
    </xf>
    <xf numFmtId="165" fontId="2" fillId="5" borderId="2" xfId="9" applyNumberFormat="1" applyFill="1" applyBorder="1" applyAlignment="1" applyProtection="1">
      <alignment horizontal="center" vertical="center"/>
      <protection locked="0"/>
    </xf>
    <xf numFmtId="0" fontId="33" fillId="0" borderId="2" xfId="9" applyFont="1" applyBorder="1" applyAlignment="1">
      <alignment horizontal="left" vertical="center" wrapText="1"/>
    </xf>
    <xf numFmtId="9" fontId="31" fillId="0" borderId="34" xfId="10" applyFont="1" applyBorder="1" applyAlignment="1">
      <alignment horizontal="center" vertical="center" wrapText="1"/>
    </xf>
    <xf numFmtId="0" fontId="32" fillId="0" borderId="7" xfId="9" applyFont="1" applyBorder="1" applyAlignment="1">
      <alignment horizontal="left" vertical="center" wrapText="1"/>
    </xf>
    <xf numFmtId="165" fontId="2" fillId="5" borderId="45" xfId="9" applyNumberFormat="1" applyFill="1" applyBorder="1" applyAlignment="1" applyProtection="1">
      <alignment horizontal="center" vertical="center"/>
      <protection locked="0"/>
    </xf>
    <xf numFmtId="0" fontId="33" fillId="0" borderId="45" xfId="9" applyFont="1" applyBorder="1" applyAlignment="1">
      <alignment horizontal="left" vertical="center" wrapText="1"/>
    </xf>
    <xf numFmtId="9" fontId="31" fillId="0" borderId="72" xfId="10" applyFont="1" applyBorder="1" applyAlignment="1">
      <alignment horizontal="center" vertical="center" wrapText="1"/>
    </xf>
    <xf numFmtId="0" fontId="32" fillId="0" borderId="8" xfId="9" applyFont="1" applyBorder="1" applyAlignment="1">
      <alignment horizontal="left" vertical="center" wrapText="1"/>
    </xf>
    <xf numFmtId="165" fontId="2" fillId="5" borderId="10" xfId="9" applyNumberFormat="1" applyFill="1" applyBorder="1" applyAlignment="1" applyProtection="1">
      <alignment horizontal="center" vertical="center"/>
      <protection locked="0"/>
    </xf>
    <xf numFmtId="0" fontId="33" fillId="0" borderId="10" xfId="9" applyFont="1" applyBorder="1" applyAlignment="1">
      <alignment horizontal="left" vertical="center" wrapText="1"/>
    </xf>
    <xf numFmtId="9" fontId="31" fillId="0" borderId="71" xfId="10" applyFont="1" applyBorder="1" applyAlignment="1">
      <alignment horizontal="center" vertical="center" wrapText="1"/>
    </xf>
    <xf numFmtId="0" fontId="2" fillId="0" borderId="69" xfId="9" applyBorder="1" applyAlignment="1">
      <alignment horizontal="left" vertical="center"/>
    </xf>
    <xf numFmtId="0" fontId="2" fillId="0" borderId="55" xfId="9" applyBorder="1" applyAlignment="1">
      <alignment horizontal="left" vertical="center"/>
    </xf>
    <xf numFmtId="0" fontId="0" fillId="0" borderId="55" xfId="0" applyBorder="1"/>
    <xf numFmtId="0" fontId="0" fillId="0" borderId="57" xfId="0" applyBorder="1"/>
    <xf numFmtId="0" fontId="35" fillId="0" borderId="45" xfId="0" applyFont="1" applyBorder="1" applyAlignment="1">
      <alignment horizontal="center" vertical="center" wrapText="1"/>
    </xf>
    <xf numFmtId="0" fontId="35" fillId="0" borderId="45" xfId="0" applyFont="1" applyBorder="1" applyAlignment="1">
      <alignment horizontal="center" vertical="center"/>
    </xf>
    <xf numFmtId="0" fontId="36" fillId="15" borderId="45" xfId="16" applyFont="1" applyFill="1" applyBorder="1" applyAlignment="1" applyProtection="1">
      <alignment horizontal="center" vertical="center"/>
      <protection locked="0"/>
    </xf>
    <xf numFmtId="0" fontId="34" fillId="0" borderId="45" xfId="0" applyFont="1" applyBorder="1"/>
    <xf numFmtId="0" fontId="34" fillId="0" borderId="45" xfId="0" applyFont="1" applyBorder="1" applyAlignment="1">
      <alignment horizontal="center"/>
    </xf>
    <xf numFmtId="0" fontId="35" fillId="0" borderId="45" xfId="0" applyFont="1" applyBorder="1"/>
    <xf numFmtId="0" fontId="34" fillId="0" borderId="69" xfId="0" applyFont="1" applyBorder="1" applyAlignment="1">
      <alignment horizontal="center" vertical="center"/>
    </xf>
    <xf numFmtId="0" fontId="34" fillId="0" borderId="69" xfId="0" applyFont="1" applyBorder="1"/>
    <xf numFmtId="0" fontId="0" fillId="0" borderId="69" xfId="0" applyBorder="1"/>
    <xf numFmtId="0" fontId="34" fillId="0" borderId="55" xfId="0" applyFont="1" applyBorder="1" applyAlignment="1">
      <alignment horizontal="center" vertical="center"/>
    </xf>
    <xf numFmtId="0" fontId="34" fillId="0" borderId="55" xfId="0" applyFont="1" applyBorder="1"/>
    <xf numFmtId="0" fontId="34" fillId="0" borderId="56" xfId="0" applyFont="1" applyBorder="1" applyAlignment="1">
      <alignment horizontal="center" vertical="center"/>
    </xf>
    <xf numFmtId="0" fontId="34" fillId="0" borderId="56" xfId="0" applyFont="1" applyBorder="1"/>
    <xf numFmtId="0" fontId="0" fillId="0" borderId="56" xfId="0" applyBorder="1"/>
    <xf numFmtId="0" fontId="36" fillId="0" borderId="45" xfId="16" applyFont="1" applyFill="1" applyBorder="1" applyAlignment="1" applyProtection="1">
      <alignment horizontal="center" vertical="center"/>
    </xf>
    <xf numFmtId="0" fontId="18" fillId="0" borderId="45" xfId="0" applyFont="1" applyBorder="1" applyAlignment="1">
      <alignment vertical="center" wrapText="1"/>
    </xf>
    <xf numFmtId="0" fontId="17" fillId="0" borderId="45" xfId="2" applyFont="1" applyBorder="1" applyAlignment="1" applyProtection="1">
      <alignment horizontal="center" vertical="center" wrapText="1"/>
      <protection locked="0"/>
    </xf>
    <xf numFmtId="0" fontId="18" fillId="0" borderId="18" xfId="3" applyFont="1" applyBorder="1" applyAlignment="1" applyProtection="1">
      <alignment horizontal="center" vertical="center" wrapText="1"/>
      <protection locked="0"/>
    </xf>
    <xf numFmtId="0" fontId="18" fillId="0" borderId="18" xfId="3" applyFont="1" applyBorder="1" applyAlignment="1" applyProtection="1">
      <alignment horizontal="left" vertical="center" wrapText="1"/>
      <protection locked="0"/>
    </xf>
    <xf numFmtId="0" fontId="18" fillId="0" borderId="45" xfId="2" applyFont="1" applyBorder="1" applyAlignment="1" applyProtection="1">
      <alignment horizontal="left" vertical="center" wrapText="1"/>
      <protection locked="0"/>
    </xf>
    <xf numFmtId="0" fontId="18" fillId="0" borderId="45" xfId="0" applyFont="1" applyBorder="1" applyAlignment="1" applyProtection="1">
      <alignment horizontal="center" vertical="center"/>
      <protection locked="0"/>
    </xf>
    <xf numFmtId="0" fontId="18" fillId="0" borderId="14" xfId="2" applyFont="1" applyBorder="1" applyAlignment="1">
      <alignment horizontal="center" vertical="center" wrapText="1"/>
    </xf>
    <xf numFmtId="0" fontId="18" fillId="0" borderId="43" xfId="3" applyFont="1" applyBorder="1" applyAlignment="1">
      <alignment horizontal="left" vertical="center" wrapText="1"/>
    </xf>
    <xf numFmtId="0" fontId="18" fillId="0" borderId="43" xfId="0" applyFont="1" applyBorder="1" applyAlignment="1" applyProtection="1">
      <alignment horizontal="center" vertical="center" wrapText="1"/>
      <protection locked="0"/>
    </xf>
    <xf numFmtId="0" fontId="18" fillId="0" borderId="43" xfId="0" applyFont="1" applyBorder="1" applyAlignment="1">
      <alignment horizontal="center" vertical="center" wrapText="1"/>
    </xf>
    <xf numFmtId="0" fontId="17" fillId="0" borderId="2" xfId="0" applyFont="1" applyBorder="1" applyAlignment="1" applyProtection="1">
      <alignment horizontal="center" vertical="center" wrapText="1"/>
      <protection locked="0"/>
    </xf>
    <xf numFmtId="0" fontId="18" fillId="0" borderId="18" xfId="2" applyFont="1" applyBorder="1" applyAlignment="1">
      <alignment horizontal="center" vertical="center"/>
    </xf>
    <xf numFmtId="0" fontId="18" fillId="0" borderId="10" xfId="0" applyFont="1" applyBorder="1" applyAlignment="1" applyProtection="1">
      <alignment horizontal="center" vertical="center" wrapText="1"/>
      <protection locked="0"/>
    </xf>
    <xf numFmtId="0" fontId="21" fillId="0" borderId="10" xfId="0" applyFont="1" applyBorder="1" applyAlignment="1">
      <alignment horizontal="center" vertical="center" wrapText="1"/>
    </xf>
    <xf numFmtId="0" fontId="21" fillId="0" borderId="17" xfId="2" applyFont="1" applyBorder="1" applyAlignment="1">
      <alignment horizontal="center" vertical="center" wrapText="1"/>
    </xf>
    <xf numFmtId="0" fontId="21" fillId="0" borderId="17" xfId="3" applyFont="1" applyBorder="1" applyAlignment="1">
      <alignment horizontal="left" vertical="center" wrapText="1"/>
    </xf>
    <xf numFmtId="0" fontId="18" fillId="0" borderId="17" xfId="0" applyFont="1" applyBorder="1" applyAlignment="1" applyProtection="1">
      <alignment horizontal="left" vertical="center" wrapText="1"/>
      <protection locked="0"/>
    </xf>
    <xf numFmtId="0" fontId="42" fillId="6" borderId="45" xfId="3" applyFont="1" applyFill="1" applyBorder="1" applyAlignment="1" applyProtection="1">
      <alignment vertical="center" wrapText="1"/>
      <protection locked="0"/>
    </xf>
    <xf numFmtId="0" fontId="42" fillId="16" borderId="45" xfId="3" applyFont="1" applyFill="1" applyBorder="1" applyAlignment="1" applyProtection="1">
      <alignment vertical="center" wrapText="1"/>
      <protection locked="0"/>
    </xf>
    <xf numFmtId="0" fontId="22" fillId="0" borderId="16" xfId="2" applyFont="1" applyBorder="1" applyAlignment="1" applyProtection="1">
      <alignment horizontal="left" vertical="center" wrapText="1"/>
      <protection locked="0"/>
    </xf>
    <xf numFmtId="0" fontId="18" fillId="0" borderId="16" xfId="2" applyFont="1" applyBorder="1" applyAlignment="1" applyProtection="1">
      <alignment horizontal="left" vertical="center" wrapText="1"/>
      <protection locked="0"/>
    </xf>
    <xf numFmtId="0" fontId="46" fillId="17" borderId="16" xfId="0" applyFont="1" applyFill="1" applyBorder="1" applyAlignment="1" applyProtection="1">
      <alignment horizontal="left" vertical="center" wrapText="1"/>
      <protection locked="0"/>
    </xf>
    <xf numFmtId="0" fontId="42" fillId="16" borderId="45" xfId="3" applyFont="1" applyFill="1" applyBorder="1" applyAlignment="1" applyProtection="1">
      <alignment horizontal="left" vertical="center" wrapText="1"/>
      <protection locked="0"/>
    </xf>
    <xf numFmtId="0" fontId="18" fillId="0" borderId="10" xfId="3" applyFont="1" applyBorder="1" applyAlignment="1" applyProtection="1">
      <alignment horizontal="left" vertical="center" wrapText="1"/>
      <protection locked="0"/>
    </xf>
    <xf numFmtId="0" fontId="18" fillId="0" borderId="10" xfId="2" applyFont="1" applyBorder="1" applyAlignment="1" applyProtection="1">
      <alignment horizontal="center" vertical="center" wrapText="1"/>
      <protection locked="0"/>
    </xf>
    <xf numFmtId="0" fontId="47" fillId="16" borderId="16" xfId="3" applyFont="1" applyFill="1" applyBorder="1" applyAlignment="1" applyProtection="1">
      <alignment horizontal="left" vertical="center" wrapText="1"/>
      <protection locked="0"/>
    </xf>
    <xf numFmtId="0" fontId="21" fillId="4" borderId="49" xfId="0" applyFont="1" applyFill="1" applyBorder="1" applyAlignment="1" applyProtection="1">
      <alignment horizontal="center" vertical="center" wrapText="1"/>
      <protection locked="0"/>
    </xf>
    <xf numFmtId="0" fontId="18" fillId="6" borderId="45" xfId="2" applyFont="1" applyFill="1" applyBorder="1" applyAlignment="1">
      <alignment horizontal="center" vertical="center" wrapText="1"/>
    </xf>
    <xf numFmtId="0" fontId="21" fillId="6" borderId="1" xfId="3" applyFont="1" applyFill="1" applyBorder="1" applyAlignment="1">
      <alignment horizontal="left" vertical="center" wrapText="1"/>
    </xf>
    <xf numFmtId="0" fontId="21" fillId="6" borderId="1" xfId="2" applyFont="1" applyFill="1" applyBorder="1" applyAlignment="1">
      <alignment horizontal="center" vertical="center" wrapText="1"/>
    </xf>
    <xf numFmtId="0" fontId="50" fillId="6" borderId="10" xfId="0" applyFont="1" applyFill="1" applyBorder="1" applyAlignment="1" applyProtection="1">
      <alignment horizontal="left" vertical="center" wrapText="1"/>
      <protection locked="0"/>
    </xf>
    <xf numFmtId="0" fontId="21" fillId="6" borderId="10" xfId="2" applyFont="1" applyFill="1" applyBorder="1" applyAlignment="1">
      <alignment horizontal="center" vertical="center" wrapText="1"/>
    </xf>
    <xf numFmtId="0" fontId="21" fillId="6" borderId="45" xfId="0" applyFont="1" applyFill="1" applyBorder="1" applyAlignment="1" applyProtection="1">
      <alignment horizontal="left" vertical="center" wrapText="1"/>
      <protection locked="0"/>
    </xf>
    <xf numFmtId="0" fontId="21" fillId="6" borderId="45" xfId="2" applyFont="1" applyFill="1" applyBorder="1" applyAlignment="1">
      <alignment horizontal="center" vertical="center" wrapText="1"/>
    </xf>
    <xf numFmtId="0" fontId="21" fillId="6" borderId="45" xfId="2" applyFont="1" applyFill="1" applyBorder="1" applyAlignment="1" applyProtection="1">
      <alignment horizontal="center" vertical="center" wrapText="1"/>
      <protection locked="0"/>
    </xf>
    <xf numFmtId="0" fontId="21" fillId="6" borderId="2" xfId="3" applyFont="1" applyFill="1" applyBorder="1" applyAlignment="1">
      <alignment horizontal="left" vertical="center" wrapText="1"/>
    </xf>
    <xf numFmtId="0" fontId="21" fillId="6" borderId="2" xfId="2" applyFont="1" applyFill="1" applyBorder="1" applyAlignment="1">
      <alignment horizontal="center" vertical="center" wrapText="1"/>
    </xf>
    <xf numFmtId="0" fontId="21" fillId="6" borderId="45" xfId="3" applyFont="1" applyFill="1" applyBorder="1" applyAlignment="1">
      <alignment horizontal="left" vertical="center" wrapText="1"/>
    </xf>
    <xf numFmtId="0" fontId="21" fillId="6" borderId="35" xfId="3" applyFont="1" applyFill="1" applyBorder="1" applyAlignment="1">
      <alignment vertical="center" wrapText="1"/>
    </xf>
    <xf numFmtId="0" fontId="18" fillId="6" borderId="35" xfId="3" applyFont="1" applyFill="1" applyBorder="1" applyAlignment="1">
      <alignment vertical="center" wrapText="1"/>
    </xf>
    <xf numFmtId="0" fontId="18" fillId="6" borderId="2" xfId="2" applyFont="1" applyFill="1" applyBorder="1" applyAlignment="1">
      <alignment horizontal="center" vertical="center" wrapText="1"/>
    </xf>
    <xf numFmtId="0" fontId="21" fillId="6" borderId="2" xfId="3" applyFont="1" applyFill="1" applyBorder="1" applyAlignment="1">
      <alignment vertical="center" wrapText="1"/>
    </xf>
    <xf numFmtId="0" fontId="18" fillId="6" borderId="2" xfId="3" applyFont="1" applyFill="1" applyBorder="1" applyAlignment="1">
      <alignment vertical="center" wrapText="1"/>
    </xf>
    <xf numFmtId="0" fontId="21" fillId="6" borderId="51" xfId="3" applyFont="1" applyFill="1" applyBorder="1" applyAlignment="1">
      <alignment vertical="center" wrapText="1"/>
    </xf>
    <xf numFmtId="0" fontId="18" fillId="6" borderId="51" xfId="3" applyFont="1" applyFill="1" applyBorder="1" applyAlignment="1">
      <alignment vertical="center" wrapText="1"/>
    </xf>
    <xf numFmtId="0" fontId="18" fillId="6" borderId="2" xfId="3" applyFont="1" applyFill="1" applyBorder="1" applyAlignment="1">
      <alignment vertical="top" wrapText="1"/>
    </xf>
    <xf numFmtId="0" fontId="18" fillId="0" borderId="15" xfId="3" applyFont="1" applyBorder="1" applyAlignment="1">
      <alignment horizontal="left" vertical="center" wrapText="1"/>
    </xf>
    <xf numFmtId="0" fontId="18" fillId="0" borderId="18" xfId="3" applyFont="1" applyBorder="1" applyAlignment="1">
      <alignment horizontal="left" vertical="center" wrapText="1"/>
    </xf>
    <xf numFmtId="0" fontId="18" fillId="0" borderId="16" xfId="3" applyFont="1" applyBorder="1" applyAlignment="1" applyProtection="1">
      <alignment horizontal="left" vertical="center" wrapText="1"/>
      <protection locked="0"/>
    </xf>
    <xf numFmtId="0" fontId="18" fillId="0" borderId="17" xfId="2" applyFont="1" applyBorder="1" applyAlignment="1">
      <alignment horizontal="left" vertical="center" wrapText="1"/>
    </xf>
    <xf numFmtId="0" fontId="25" fillId="4" borderId="16" xfId="2" applyFont="1" applyFill="1" applyBorder="1" applyAlignment="1">
      <alignment horizontal="left" vertical="center" wrapText="1"/>
    </xf>
    <xf numFmtId="0" fontId="21" fillId="6" borderId="45" xfId="3" applyFont="1" applyFill="1" applyBorder="1" applyAlignment="1">
      <alignment vertical="center" wrapText="1"/>
    </xf>
    <xf numFmtId="0" fontId="25" fillId="0" borderId="45" xfId="3" applyFont="1" applyBorder="1" applyAlignment="1">
      <alignment horizontal="left" vertical="center" wrapText="1"/>
    </xf>
    <xf numFmtId="0" fontId="50" fillId="6" borderId="2" xfId="0" applyFont="1" applyFill="1" applyBorder="1" applyAlignment="1">
      <alignment horizontal="left" vertical="center" wrapText="1"/>
    </xf>
    <xf numFmtId="0" fontId="18" fillId="6" borderId="2" xfId="0" applyFont="1" applyFill="1" applyBorder="1" applyAlignment="1">
      <alignment horizontal="left" vertical="center" wrapText="1"/>
    </xf>
    <xf numFmtId="0" fontId="21" fillId="6" borderId="33" xfId="0" applyFont="1" applyFill="1" applyBorder="1" applyAlignment="1">
      <alignment vertical="top" wrapText="1"/>
    </xf>
    <xf numFmtId="0" fontId="18" fillId="6" borderId="10" xfId="2" applyFont="1" applyFill="1" applyBorder="1" applyAlignment="1" applyProtection="1">
      <alignment horizontal="center" vertical="center" wrapText="1"/>
      <protection locked="0"/>
    </xf>
    <xf numFmtId="0" fontId="18" fillId="6" borderId="10" xfId="2" applyFont="1" applyFill="1" applyBorder="1" applyAlignment="1">
      <alignment horizontal="center" vertical="center" wrapText="1"/>
    </xf>
    <xf numFmtId="0" fontId="42" fillId="0" borderId="17" xfId="3" applyFont="1" applyBorder="1" applyAlignment="1" applyProtection="1">
      <alignment horizontal="center" vertical="center" wrapText="1"/>
      <protection locked="0"/>
    </xf>
    <xf numFmtId="0" fontId="18" fillId="6" borderId="2" xfId="3" applyFont="1" applyFill="1" applyBorder="1" applyAlignment="1">
      <alignment horizontal="left" vertical="center" wrapText="1"/>
    </xf>
    <xf numFmtId="0" fontId="21" fillId="6" borderId="45" xfId="3" applyFont="1" applyFill="1" applyBorder="1" applyAlignment="1">
      <alignment horizontal="left" vertical="top" wrapText="1"/>
    </xf>
    <xf numFmtId="0" fontId="42" fillId="0" borderId="16" xfId="0" applyFont="1" applyBorder="1" applyAlignment="1">
      <alignment horizontal="left" vertical="center" wrapText="1"/>
    </xf>
    <xf numFmtId="0" fontId="18" fillId="0" borderId="16" xfId="0" applyFont="1" applyBorder="1" applyAlignment="1">
      <alignment horizontal="left" vertical="center" wrapText="1"/>
    </xf>
    <xf numFmtId="0" fontId="50" fillId="6" borderId="45" xfId="3" applyFont="1" applyFill="1" applyBorder="1" applyAlignment="1" applyProtection="1">
      <alignment horizontal="left" vertical="center" wrapText="1"/>
      <protection locked="0"/>
    </xf>
    <xf numFmtId="0" fontId="50" fillId="6" borderId="45" xfId="2" applyFont="1" applyFill="1" applyBorder="1" applyAlignment="1" applyProtection="1">
      <alignment horizontal="center" vertical="center" wrapText="1"/>
      <protection locked="0"/>
    </xf>
    <xf numFmtId="0" fontId="18" fillId="0" borderId="31" xfId="3" applyFont="1" applyBorder="1" applyAlignment="1" applyProtection="1">
      <alignment horizontal="left" vertical="center" wrapText="1"/>
      <protection locked="0"/>
    </xf>
    <xf numFmtId="0" fontId="18" fillId="0" borderId="16" xfId="3" applyFont="1" applyBorder="1" applyAlignment="1" applyProtection="1">
      <alignment horizontal="center" vertical="center" wrapText="1"/>
      <protection locked="0"/>
    </xf>
    <xf numFmtId="0" fontId="42" fillId="0" borderId="14" xfId="3" applyFont="1" applyBorder="1" applyAlignment="1">
      <alignment horizontal="left" vertical="center" wrapText="1"/>
    </xf>
    <xf numFmtId="0" fontId="42" fillId="16" borderId="14" xfId="3" applyFont="1" applyFill="1" applyBorder="1" applyAlignment="1" applyProtection="1">
      <alignment horizontal="left" vertical="center" wrapText="1"/>
      <protection locked="0"/>
    </xf>
    <xf numFmtId="0" fontId="42" fillId="0" borderId="16" xfId="3" applyFont="1" applyBorder="1" applyAlignment="1">
      <alignment horizontal="left" vertical="center" wrapText="1"/>
    </xf>
    <xf numFmtId="0" fontId="42" fillId="0" borderId="16" xfId="3" applyFont="1" applyBorder="1" applyAlignment="1" applyProtection="1">
      <alignment horizontal="left" vertical="center" wrapText="1"/>
      <protection locked="0"/>
    </xf>
    <xf numFmtId="0" fontId="52" fillId="0" borderId="16" xfId="0" applyFont="1" applyBorder="1" applyAlignment="1">
      <alignment horizontal="left" vertical="center" wrapText="1"/>
    </xf>
    <xf numFmtId="0" fontId="52" fillId="0" borderId="45" xfId="3" applyFont="1" applyBorder="1" applyAlignment="1">
      <alignment horizontal="left" vertical="center" wrapText="1"/>
    </xf>
    <xf numFmtId="0" fontId="42" fillId="0" borderId="45" xfId="3" applyFont="1" applyBorder="1" applyAlignment="1" applyProtection="1">
      <alignment vertical="center" wrapText="1"/>
      <protection locked="0"/>
    </xf>
    <xf numFmtId="0" fontId="46" fillId="16" borderId="14" xfId="0" applyFont="1" applyFill="1" applyBorder="1" applyAlignment="1" applyProtection="1">
      <alignment horizontal="left" vertical="center" wrapText="1"/>
      <protection locked="0"/>
    </xf>
    <xf numFmtId="0" fontId="42" fillId="16" borderId="16" xfId="0" applyFont="1" applyFill="1" applyBorder="1" applyAlignment="1" applyProtection="1">
      <alignment horizontal="left" vertical="center" wrapText="1"/>
      <protection locked="0"/>
    </xf>
    <xf numFmtId="0" fontId="42" fillId="17" borderId="16" xfId="0" applyFont="1" applyFill="1" applyBorder="1" applyAlignment="1" applyProtection="1">
      <alignment horizontal="left" vertical="center" wrapText="1"/>
      <protection locked="0"/>
    </xf>
    <xf numFmtId="0" fontId="42" fillId="0" borderId="14" xfId="2" applyFont="1" applyBorder="1" applyAlignment="1">
      <alignment horizontal="left" vertical="center" wrapText="1"/>
    </xf>
    <xf numFmtId="0" fontId="46" fillId="18" borderId="14" xfId="0" applyFont="1" applyFill="1" applyBorder="1" applyAlignment="1" applyProtection="1">
      <alignment horizontal="left" vertical="center" wrapText="1"/>
      <protection locked="0"/>
    </xf>
    <xf numFmtId="0" fontId="42" fillId="16" borderId="16" xfId="3" applyFont="1" applyFill="1" applyBorder="1" applyAlignment="1" applyProtection="1">
      <alignment horizontal="left" vertical="center" wrapText="1"/>
      <protection locked="0"/>
    </xf>
    <xf numFmtId="0" fontId="44" fillId="16" borderId="14" xfId="3" applyFont="1" applyFill="1" applyBorder="1" applyAlignment="1" applyProtection="1">
      <alignment horizontal="left" vertical="center" wrapText="1"/>
      <protection locked="0"/>
    </xf>
    <xf numFmtId="0" fontId="46" fillId="17" borderId="14" xfId="0" applyFont="1" applyFill="1" applyBorder="1" applyAlignment="1" applyProtection="1">
      <alignment horizontal="left" vertical="center" wrapText="1"/>
      <protection locked="0"/>
    </xf>
    <xf numFmtId="0" fontId="42" fillId="16" borderId="18" xfId="3" applyFont="1" applyFill="1" applyBorder="1" applyAlignment="1" applyProtection="1">
      <alignment horizontal="left" vertical="center" wrapText="1"/>
      <protection locked="0"/>
    </xf>
    <xf numFmtId="0" fontId="46" fillId="13" borderId="16" xfId="0" applyFont="1" applyFill="1" applyBorder="1" applyAlignment="1" applyProtection="1">
      <alignment horizontal="left" vertical="center" wrapText="1"/>
      <protection locked="0"/>
    </xf>
    <xf numFmtId="0" fontId="55" fillId="0" borderId="73" xfId="0" applyFont="1" applyBorder="1" applyAlignment="1">
      <alignment horizontal="left" vertical="center" wrapText="1"/>
    </xf>
    <xf numFmtId="0" fontId="42" fillId="0" borderId="14" xfId="3" applyFont="1" applyBorder="1" applyAlignment="1" applyProtection="1">
      <alignment horizontal="left" vertical="center" wrapText="1"/>
      <protection locked="0"/>
    </xf>
    <xf numFmtId="0" fontId="42" fillId="0" borderId="45" xfId="3" applyFont="1" applyBorder="1" applyAlignment="1">
      <alignment horizontal="left" vertical="center" wrapText="1"/>
    </xf>
    <xf numFmtId="0" fontId="42" fillId="0" borderId="14" xfId="0" applyFont="1" applyBorder="1" applyAlignment="1">
      <alignment vertical="center"/>
    </xf>
    <xf numFmtId="0" fontId="42" fillId="0" borderId="74" xfId="3" applyFont="1" applyBorder="1" applyAlignment="1">
      <alignment horizontal="left" vertical="center" wrapText="1"/>
    </xf>
    <xf numFmtId="0" fontId="42" fillId="0" borderId="15" xfId="0" applyFont="1" applyBorder="1" applyAlignment="1">
      <alignment horizontal="left" vertical="center" wrapText="1"/>
    </xf>
    <xf numFmtId="0" fontId="42" fillId="0" borderId="15" xfId="3" applyFont="1" applyBorder="1" applyAlignment="1">
      <alignment horizontal="left" vertical="center" wrapText="1"/>
    </xf>
    <xf numFmtId="0" fontId="42" fillId="0" borderId="14" xfId="0" applyFont="1" applyBorder="1" applyAlignment="1">
      <alignment horizontal="left" vertical="center" wrapText="1"/>
    </xf>
    <xf numFmtId="0" fontId="47" fillId="16" borderId="1" xfId="3" applyFont="1" applyFill="1" applyBorder="1" applyAlignment="1" applyProtection="1">
      <alignment vertical="center" wrapText="1"/>
      <protection locked="0"/>
    </xf>
    <xf numFmtId="0" fontId="42" fillId="16" borderId="15" xfId="3" applyFont="1" applyFill="1" applyBorder="1" applyAlignment="1" applyProtection="1">
      <alignment horizontal="left" vertical="center" wrapText="1"/>
      <protection locked="0"/>
    </xf>
    <xf numFmtId="0" fontId="47" fillId="16" borderId="45" xfId="3" applyFont="1" applyFill="1" applyBorder="1" applyAlignment="1" applyProtection="1">
      <alignment vertical="center" wrapText="1"/>
      <protection locked="0"/>
    </xf>
    <xf numFmtId="0" fontId="42" fillId="0" borderId="18" xfId="3" applyFont="1" applyBorder="1" applyAlignment="1">
      <alignment horizontal="left" vertical="center" wrapText="1"/>
    </xf>
    <xf numFmtId="0" fontId="42" fillId="6" borderId="14" xfId="3" applyFont="1" applyFill="1" applyBorder="1" applyAlignment="1" applyProtection="1">
      <alignment horizontal="left" vertical="center" wrapText="1"/>
      <protection locked="0"/>
    </xf>
    <xf numFmtId="0" fontId="42" fillId="0" borderId="14" xfId="3" applyFont="1" applyBorder="1" applyAlignment="1">
      <alignment horizontal="center" vertical="center" wrapText="1"/>
    </xf>
    <xf numFmtId="0" fontId="42" fillId="0" borderId="2" xfId="2" applyFont="1" applyBorder="1" applyAlignment="1">
      <alignment horizontal="left" vertical="center" wrapText="1"/>
    </xf>
    <xf numFmtId="0" fontId="42" fillId="0" borderId="16" xfId="2" applyFont="1" applyBorder="1" applyAlignment="1">
      <alignment horizontal="left" vertical="center" wrapText="1"/>
    </xf>
    <xf numFmtId="0" fontId="46" fillId="0" borderId="16" xfId="3" applyFont="1" applyBorder="1" applyAlignment="1">
      <alignment horizontal="left" vertical="center" wrapText="1"/>
    </xf>
    <xf numFmtId="0" fontId="42" fillId="0" borderId="18" xfId="0" applyFont="1" applyBorder="1" applyAlignment="1">
      <alignment horizontal="left" vertical="center" wrapText="1"/>
    </xf>
    <xf numFmtId="0" fontId="42" fillId="6" borderId="9" xfId="3" applyFont="1" applyFill="1" applyBorder="1" applyAlignment="1" applyProtection="1">
      <alignment horizontal="left" vertical="center" wrapText="1"/>
      <protection locked="0"/>
    </xf>
    <xf numFmtId="0" fontId="42" fillId="6" borderId="16" xfId="0" applyFont="1" applyFill="1" applyBorder="1" applyAlignment="1">
      <alignment horizontal="left" vertical="center" wrapText="1"/>
    </xf>
    <xf numFmtId="0" fontId="46" fillId="6" borderId="14" xfId="0" applyFont="1" applyFill="1" applyBorder="1" applyAlignment="1" applyProtection="1">
      <alignment horizontal="left" vertical="center" wrapText="1"/>
      <protection locked="0"/>
    </xf>
    <xf numFmtId="0" fontId="42" fillId="6" borderId="16" xfId="0" applyFont="1" applyFill="1" applyBorder="1" applyAlignment="1" applyProtection="1">
      <alignment horizontal="left" vertical="center" wrapText="1"/>
      <protection locked="0"/>
    </xf>
    <xf numFmtId="0" fontId="42" fillId="13" borderId="16" xfId="0" applyFont="1" applyFill="1" applyBorder="1" applyAlignment="1" applyProtection="1">
      <alignment horizontal="left" vertical="center" wrapText="1"/>
      <protection locked="0"/>
    </xf>
    <xf numFmtId="0" fontId="46" fillId="13" borderId="14" xfId="0" applyFont="1" applyFill="1" applyBorder="1" applyAlignment="1" applyProtection="1">
      <alignment horizontal="left" vertical="center" wrapText="1"/>
      <protection locked="0"/>
    </xf>
    <xf numFmtId="0" fontId="42" fillId="6" borderId="16" xfId="3" applyFont="1" applyFill="1" applyBorder="1" applyAlignment="1" applyProtection="1">
      <alignment horizontal="left" vertical="center" wrapText="1"/>
      <protection locked="0"/>
    </xf>
    <xf numFmtId="0" fontId="44" fillId="6" borderId="14" xfId="3" applyFont="1" applyFill="1" applyBorder="1" applyAlignment="1" applyProtection="1">
      <alignment horizontal="left" vertical="center" wrapText="1"/>
      <protection locked="0"/>
    </xf>
    <xf numFmtId="0" fontId="42" fillId="6" borderId="14" xfId="2" applyFont="1" applyFill="1" applyBorder="1" applyAlignment="1">
      <alignment horizontal="left" vertical="center" wrapText="1"/>
    </xf>
    <xf numFmtId="0" fontId="42" fillId="0" borderId="35" xfId="2" applyFont="1" applyBorder="1" applyAlignment="1">
      <alignment horizontal="left" vertical="center" wrapText="1"/>
    </xf>
    <xf numFmtId="0" fontId="2" fillId="0" borderId="35" xfId="2" applyFont="1" applyBorder="1" applyAlignment="1">
      <alignment horizontal="left" vertical="center" wrapText="1"/>
    </xf>
    <xf numFmtId="0" fontId="21" fillId="0" borderId="45" xfId="0" applyFont="1" applyBorder="1" applyAlignment="1">
      <alignment horizontal="center" vertical="center" wrapText="1"/>
    </xf>
    <xf numFmtId="0" fontId="21" fillId="0" borderId="14" xfId="2" applyFont="1" applyBorder="1" applyAlignment="1">
      <alignment horizontal="center" vertical="center" wrapText="1"/>
    </xf>
    <xf numFmtId="0" fontId="21" fillId="0" borderId="37" xfId="2" applyFont="1" applyBorder="1" applyAlignment="1" applyProtection="1">
      <alignment horizontal="left" vertical="center" wrapText="1"/>
      <protection locked="0"/>
    </xf>
    <xf numFmtId="0" fontId="58" fillId="13" borderId="16" xfId="0" applyFont="1" applyFill="1" applyBorder="1" applyAlignment="1" applyProtection="1">
      <alignment horizontal="left" vertical="center" wrapText="1"/>
      <protection locked="0"/>
    </xf>
    <xf numFmtId="0" fontId="55" fillId="6" borderId="73" xfId="0" applyFont="1" applyFill="1" applyBorder="1" applyAlignment="1">
      <alignment horizontal="left" vertical="center" wrapText="1"/>
    </xf>
    <xf numFmtId="0" fontId="42" fillId="6" borderId="14" xfId="3" applyFont="1" applyFill="1" applyBorder="1" applyAlignment="1">
      <alignment horizontal="left" vertical="center" wrapText="1"/>
    </xf>
    <xf numFmtId="0" fontId="42" fillId="6" borderId="45" xfId="3" applyFont="1" applyFill="1" applyBorder="1" applyAlignment="1">
      <alignment horizontal="left" vertical="center" wrapText="1"/>
    </xf>
    <xf numFmtId="0" fontId="42" fillId="6" borderId="45" xfId="3" applyFont="1" applyFill="1" applyBorder="1" applyAlignment="1" applyProtection="1">
      <alignment horizontal="left" vertical="center" wrapText="1"/>
      <protection locked="0"/>
    </xf>
    <xf numFmtId="0" fontId="59" fillId="13" borderId="16" xfId="0" applyFont="1" applyFill="1" applyBorder="1" applyAlignment="1" applyProtection="1">
      <alignment horizontal="center" vertical="center" wrapText="1"/>
      <protection locked="0"/>
    </xf>
    <xf numFmtId="0" fontId="59" fillId="6" borderId="16" xfId="3" applyFont="1" applyFill="1" applyBorder="1" applyAlignment="1" applyProtection="1">
      <alignment horizontal="left" vertical="center" wrapText="1"/>
      <protection locked="0"/>
    </xf>
    <xf numFmtId="0" fontId="42" fillId="0" borderId="14" xfId="0" applyFont="1" applyBorder="1" applyAlignment="1" applyProtection="1">
      <alignment horizontal="left" vertical="center" wrapText="1"/>
      <protection locked="0"/>
    </xf>
    <xf numFmtId="0" fontId="42" fillId="6" borderId="14" xfId="0" applyFont="1" applyFill="1" applyBorder="1" applyAlignment="1">
      <alignment horizontal="left" vertical="center" wrapText="1"/>
    </xf>
    <xf numFmtId="0" fontId="42" fillId="6" borderId="18" xfId="3" applyFont="1" applyFill="1" applyBorder="1" applyAlignment="1">
      <alignment horizontal="left" vertical="center" wrapText="1"/>
    </xf>
    <xf numFmtId="0" fontId="42" fillId="0" borderId="45" xfId="3" applyFont="1" applyBorder="1" applyAlignment="1" applyProtection="1">
      <alignment horizontal="left" vertical="center" wrapText="1"/>
      <protection locked="0"/>
    </xf>
    <xf numFmtId="0" fontId="18" fillId="0" borderId="14" xfId="3" applyFont="1" applyBorder="1" applyAlignment="1" applyProtection="1">
      <alignment vertical="center" wrapText="1"/>
      <protection locked="0"/>
    </xf>
    <xf numFmtId="0" fontId="17" fillId="0" borderId="9" xfId="3" applyFont="1" applyBorder="1" applyAlignment="1" applyProtection="1">
      <alignment horizontal="left" vertical="center" wrapText="1"/>
      <protection locked="0"/>
    </xf>
    <xf numFmtId="0" fontId="18" fillId="6" borderId="1" xfId="2" applyFont="1" applyFill="1" applyBorder="1" applyAlignment="1">
      <alignment horizontal="center" vertical="center" wrapText="1"/>
    </xf>
    <xf numFmtId="0" fontId="25" fillId="0" borderId="14" xfId="3" applyFont="1" applyBorder="1" applyAlignment="1">
      <alignment horizontal="left" vertical="center" wrapText="1"/>
    </xf>
    <xf numFmtId="0" fontId="25" fillId="0" borderId="16" xfId="3" applyFont="1" applyBorder="1" applyAlignment="1">
      <alignment horizontal="left" vertical="center" wrapText="1"/>
    </xf>
    <xf numFmtId="0" fontId="21" fillId="4" borderId="45" xfId="0" applyFont="1" applyFill="1" applyBorder="1"/>
    <xf numFmtId="0" fontId="21" fillId="0" borderId="45" xfId="3" applyFont="1" applyBorder="1" applyAlignment="1" applyProtection="1">
      <alignment horizontal="left" vertical="center" wrapText="1"/>
      <protection locked="0"/>
    </xf>
    <xf numFmtId="0" fontId="60" fillId="0" borderId="45" xfId="3" applyFont="1" applyBorder="1" applyAlignment="1">
      <alignment horizontal="left" vertical="center" wrapText="1"/>
    </xf>
    <xf numFmtId="0" fontId="18" fillId="0" borderId="0" xfId="0" applyFont="1" applyAlignment="1" applyProtection="1">
      <alignment horizontal="center" vertical="center"/>
      <protection locked="0"/>
    </xf>
    <xf numFmtId="0" fontId="17" fillId="4" borderId="46" xfId="2" applyFont="1" applyFill="1" applyBorder="1" applyAlignment="1">
      <alignment horizontal="center" vertical="center" wrapText="1"/>
    </xf>
    <xf numFmtId="0" fontId="17" fillId="4" borderId="3" xfId="2" applyFont="1" applyFill="1" applyBorder="1" applyAlignment="1">
      <alignment horizontal="center" vertical="center" wrapText="1"/>
    </xf>
    <xf numFmtId="0" fontId="17" fillId="4" borderId="25" xfId="2" applyFont="1" applyFill="1" applyBorder="1" applyAlignment="1">
      <alignment horizontal="center" vertical="center" wrapText="1"/>
    </xf>
    <xf numFmtId="9" fontId="18" fillId="0" borderId="0" xfId="10" applyFont="1" applyAlignment="1">
      <alignment horizontal="center" vertical="center"/>
    </xf>
    <xf numFmtId="0" fontId="52" fillId="0" borderId="16" xfId="3" applyFont="1" applyBorder="1" applyAlignment="1">
      <alignment horizontal="left" vertical="center" wrapText="1"/>
    </xf>
    <xf numFmtId="0" fontId="27" fillId="4" borderId="16" xfId="3" applyFont="1" applyFill="1" applyBorder="1" applyAlignment="1" applyProtection="1">
      <alignment horizontal="left" vertical="center" wrapText="1"/>
      <protection locked="0"/>
    </xf>
    <xf numFmtId="0" fontId="27" fillId="0" borderId="9" xfId="3" applyFont="1" applyBorder="1" applyAlignment="1" applyProtection="1">
      <alignment horizontal="left" vertical="center" wrapText="1"/>
      <protection locked="0"/>
    </xf>
    <xf numFmtId="0" fontId="27" fillId="0" borderId="28" xfId="3" applyFont="1" applyBorder="1" applyAlignment="1" applyProtection="1">
      <alignment horizontal="left" vertical="center" wrapText="1"/>
      <protection locked="0"/>
    </xf>
    <xf numFmtId="164" fontId="27" fillId="0" borderId="0" xfId="0" applyNumberFormat="1" applyFont="1" applyAlignment="1">
      <alignment horizontal="center" vertical="center"/>
    </xf>
    <xf numFmtId="9" fontId="27" fillId="0" borderId="0" xfId="10" applyFont="1" applyAlignment="1">
      <alignment horizontal="center" vertical="center"/>
    </xf>
    <xf numFmtId="0" fontId="27" fillId="4" borderId="14" xfId="3" applyFont="1" applyFill="1" applyBorder="1" applyAlignment="1" applyProtection="1">
      <alignment horizontal="left" vertical="center" wrapText="1"/>
      <protection locked="0"/>
    </xf>
    <xf numFmtId="49" fontId="18" fillId="6" borderId="30" xfId="0" applyNumberFormat="1" applyFont="1" applyFill="1" applyBorder="1" applyAlignment="1">
      <alignment vertical="center" wrapText="1"/>
    </xf>
    <xf numFmtId="0" fontId="18" fillId="0" borderId="16" xfId="0" applyFont="1" applyBorder="1" applyAlignment="1" applyProtection="1">
      <alignment horizontal="left" vertical="center" wrapText="1"/>
      <protection locked="0"/>
    </xf>
    <xf numFmtId="0" fontId="52" fillId="4" borderId="45" xfId="3" applyFont="1" applyFill="1" applyBorder="1" applyAlignment="1">
      <alignment horizontal="left" vertical="center" wrapText="1"/>
    </xf>
    <xf numFmtId="0" fontId="1" fillId="0" borderId="75" xfId="2" applyFont="1" applyBorder="1" applyAlignment="1">
      <alignment horizontal="left" vertical="center" wrapText="1"/>
    </xf>
    <xf numFmtId="0" fontId="1" fillId="0" borderId="35" xfId="2" applyFont="1" applyBorder="1" applyAlignment="1">
      <alignment horizontal="left" vertical="center" wrapText="1"/>
    </xf>
    <xf numFmtId="164" fontId="18" fillId="0" borderId="0" xfId="0" applyNumberFormat="1" applyFont="1" applyAlignment="1">
      <alignment horizontal="center" vertical="center" wrapText="1"/>
    </xf>
    <xf numFmtId="0" fontId="52" fillId="4" borderId="16" xfId="3" applyFont="1" applyFill="1" applyBorder="1" applyAlignment="1">
      <alignment horizontal="left" vertical="center" wrapText="1"/>
    </xf>
    <xf numFmtId="164" fontId="27" fillId="0" borderId="0" xfId="0" applyNumberFormat="1" applyFont="1" applyAlignment="1">
      <alignment horizontal="center" vertical="center" wrapText="1"/>
    </xf>
    <xf numFmtId="164" fontId="18" fillId="0" borderId="0" xfId="0" applyNumberFormat="1" applyFont="1" applyAlignment="1">
      <alignment horizontal="right" vertical="center"/>
    </xf>
    <xf numFmtId="0" fontId="18" fillId="19" borderId="14" xfId="3" applyFont="1" applyFill="1" applyBorder="1" applyAlignment="1">
      <alignment horizontal="left" vertical="center" wrapText="1"/>
    </xf>
    <xf numFmtId="0" fontId="52" fillId="4" borderId="18" xfId="3" applyFont="1" applyFill="1" applyBorder="1" applyAlignment="1">
      <alignment horizontal="left" vertical="center" wrapText="1"/>
    </xf>
    <xf numFmtId="0" fontId="27" fillId="4" borderId="1" xfId="3" applyFont="1" applyFill="1" applyBorder="1" applyAlignment="1" applyProtection="1">
      <alignment horizontal="left" vertical="center" wrapText="1"/>
      <protection locked="0"/>
    </xf>
    <xf numFmtId="0" fontId="27" fillId="4" borderId="1" xfId="0" applyFont="1" applyFill="1" applyBorder="1" applyAlignment="1" applyProtection="1">
      <alignment horizontal="left" vertical="center" wrapText="1"/>
      <protection locked="0"/>
    </xf>
    <xf numFmtId="0" fontId="27" fillId="4" borderId="20" xfId="3" applyFont="1" applyFill="1" applyBorder="1" applyAlignment="1" applyProtection="1">
      <alignment horizontal="left" vertical="center" wrapText="1"/>
      <protection locked="0"/>
    </xf>
    <xf numFmtId="0" fontId="26" fillId="6" borderId="45" xfId="0" applyFont="1" applyFill="1" applyBorder="1" applyAlignment="1">
      <alignment horizontal="center" vertical="center" wrapText="1"/>
    </xf>
    <xf numFmtId="49" fontId="26" fillId="6" borderId="45" xfId="0" applyNumberFormat="1" applyFont="1" applyFill="1" applyBorder="1" applyAlignment="1">
      <alignment horizontal="left" vertical="center" wrapText="1"/>
    </xf>
    <xf numFmtId="0" fontId="26" fillId="6" borderId="45" xfId="2" applyFont="1" applyFill="1" applyBorder="1" applyAlignment="1">
      <alignment horizontal="center" vertical="center" wrapText="1"/>
    </xf>
    <xf numFmtId="0" fontId="26" fillId="6" borderId="45" xfId="2" applyFont="1" applyFill="1" applyBorder="1" applyAlignment="1">
      <alignment horizontal="left" vertical="center" wrapText="1"/>
    </xf>
    <xf numFmtId="0" fontId="26" fillId="6" borderId="45" xfId="3" applyFont="1" applyFill="1" applyBorder="1" applyAlignment="1">
      <alignment horizontal="left" vertical="center" wrapText="1"/>
    </xf>
    <xf numFmtId="0" fontId="18" fillId="6" borderId="45" xfId="3" applyFont="1" applyFill="1" applyBorder="1" applyAlignment="1" applyProtection="1">
      <alignment vertical="center" wrapText="1"/>
      <protection locked="0"/>
    </xf>
    <xf numFmtId="0" fontId="18" fillId="6" borderId="45" xfId="2" applyFont="1" applyFill="1" applyBorder="1" applyAlignment="1" applyProtection="1">
      <alignment horizontal="center" vertical="center" wrapText="1"/>
      <protection locked="0"/>
    </xf>
    <xf numFmtId="0" fontId="16" fillId="2" borderId="23" xfId="13" applyFont="1" applyFill="1" applyBorder="1" applyAlignment="1">
      <alignment horizontal="center" vertical="center" wrapText="1"/>
    </xf>
    <xf numFmtId="0" fontId="17" fillId="0" borderId="24" xfId="0" applyFont="1" applyBorder="1" applyProtection="1">
      <protection locked="0"/>
    </xf>
    <xf numFmtId="0" fontId="18" fillId="0" borderId="24" xfId="0" applyFont="1" applyBorder="1" applyAlignment="1" applyProtection="1">
      <alignment horizontal="center"/>
      <protection locked="0"/>
    </xf>
    <xf numFmtId="0" fontId="18" fillId="0" borderId="24" xfId="0" applyFont="1" applyBorder="1" applyAlignment="1" applyProtection="1">
      <alignment wrapText="1"/>
      <protection locked="0"/>
    </xf>
    <xf numFmtId="0" fontId="18" fillId="0" borderId="24" xfId="0" applyFont="1" applyBorder="1" applyProtection="1">
      <protection locked="0"/>
    </xf>
    <xf numFmtId="0" fontId="18" fillId="0" borderId="25" xfId="0" applyFont="1" applyBorder="1" applyProtection="1">
      <protection locked="0"/>
    </xf>
    <xf numFmtId="0" fontId="19" fillId="8" borderId="21" xfId="13" applyFont="1" applyFill="1" applyBorder="1" applyAlignment="1">
      <alignment horizontal="center" vertical="center" wrapText="1"/>
    </xf>
    <xf numFmtId="0" fontId="19" fillId="8" borderId="24" xfId="0" applyFont="1" applyFill="1" applyBorder="1"/>
    <xf numFmtId="0" fontId="19" fillId="8" borderId="25" xfId="0" applyFont="1" applyFill="1" applyBorder="1"/>
    <xf numFmtId="0" fontId="17" fillId="3" borderId="48" xfId="2" applyFont="1" applyFill="1" applyBorder="1" applyAlignment="1">
      <alignment horizontal="center" vertical="center" wrapText="1"/>
    </xf>
    <xf numFmtId="0" fontId="17" fillId="3" borderId="22" xfId="2" applyFont="1" applyFill="1" applyBorder="1" applyAlignment="1">
      <alignment horizontal="center" vertical="center" wrapText="1"/>
    </xf>
    <xf numFmtId="0" fontId="17" fillId="12" borderId="21" xfId="2" applyFont="1" applyFill="1" applyBorder="1" applyAlignment="1">
      <alignment horizontal="center" vertical="center"/>
    </xf>
    <xf numFmtId="0" fontId="20" fillId="12" borderId="24" xfId="0" applyFont="1" applyFill="1" applyBorder="1"/>
    <xf numFmtId="0" fontId="20" fillId="9" borderId="24" xfId="0" applyFont="1" applyFill="1" applyBorder="1"/>
    <xf numFmtId="0" fontId="20" fillId="12" borderId="25" xfId="0" applyFont="1" applyFill="1" applyBorder="1"/>
    <xf numFmtId="0" fontId="23" fillId="0" borderId="26" xfId="3" applyFont="1" applyBorder="1" applyAlignment="1" applyProtection="1">
      <alignment horizontal="center" vertical="center" wrapText="1"/>
      <protection locked="0"/>
    </xf>
    <xf numFmtId="0" fontId="23" fillId="0" borderId="36" xfId="3" applyFont="1" applyBorder="1" applyAlignment="1" applyProtection="1">
      <alignment horizontal="center" vertical="center" wrapText="1"/>
      <protection locked="0"/>
    </xf>
    <xf numFmtId="0" fontId="17" fillId="12" borderId="4" xfId="2" applyFont="1" applyFill="1" applyBorder="1" applyAlignment="1">
      <alignment horizontal="center" vertical="center"/>
    </xf>
    <xf numFmtId="0" fontId="20" fillId="12" borderId="3" xfId="0" applyFont="1" applyFill="1" applyBorder="1"/>
    <xf numFmtId="0" fontId="20" fillId="9" borderId="3" xfId="0" applyFont="1" applyFill="1" applyBorder="1"/>
    <xf numFmtId="0" fontId="20" fillId="12" borderId="12" xfId="0" applyFont="1" applyFill="1" applyBorder="1"/>
    <xf numFmtId="0" fontId="20" fillId="11" borderId="3" xfId="0" applyFont="1" applyFill="1" applyBorder="1"/>
    <xf numFmtId="0" fontId="17" fillId="12" borderId="4" xfId="2" applyFont="1" applyFill="1" applyBorder="1" applyAlignment="1" applyProtection="1">
      <alignment horizontal="center" vertical="center"/>
      <protection locked="0"/>
    </xf>
    <xf numFmtId="0" fontId="2" fillId="0" borderId="48" xfId="9" applyBorder="1" applyAlignment="1">
      <alignment horizontal="center" vertical="top" textRotation="90" wrapText="1"/>
    </xf>
    <xf numFmtId="0" fontId="2" fillId="0" borderId="63" xfId="9" applyBorder="1" applyAlignment="1">
      <alignment horizontal="center" vertical="top" textRotation="90" wrapText="1"/>
    </xf>
    <xf numFmtId="0" fontId="2" fillId="0" borderId="22" xfId="9" applyBorder="1" applyAlignment="1">
      <alignment horizontal="center" vertical="top" textRotation="90" wrapText="1"/>
    </xf>
    <xf numFmtId="0" fontId="2" fillId="0" borderId="48" xfId="9" applyBorder="1" applyAlignment="1">
      <alignment horizontal="center" vertical="top" textRotation="90"/>
    </xf>
    <xf numFmtId="0" fontId="2" fillId="0" borderId="63" xfId="9" applyBorder="1" applyAlignment="1">
      <alignment horizontal="center" vertical="top" textRotation="90"/>
    </xf>
    <xf numFmtId="0" fontId="2" fillId="0" borderId="22" xfId="9" applyBorder="1" applyAlignment="1">
      <alignment horizontal="center" vertical="top" textRotation="90"/>
    </xf>
  </cellXfs>
  <cellStyles count="17">
    <cellStyle name="Check Cell" xfId="16" builtinId="23"/>
    <cellStyle name="Normal" xfId="0" builtinId="0"/>
    <cellStyle name="Normal 2" xfId="1" xr:uid="{00000000-0005-0000-0000-000002000000}"/>
    <cellStyle name="Normal 2 2" xfId="4" xr:uid="{00000000-0005-0000-0000-000003000000}"/>
    <cellStyle name="Normal 2 2 2" xfId="8" xr:uid="{00000000-0005-0000-0000-000004000000}"/>
    <cellStyle name="Normal 2 2 3" xfId="13" xr:uid="{00000000-0005-0000-0000-000005000000}"/>
    <cellStyle name="Normal 2 2 3 2" xfId="14" xr:uid="{00000000-0005-0000-0000-000006000000}"/>
    <cellStyle name="Normal 2 3" xfId="7" xr:uid="{00000000-0005-0000-0000-000007000000}"/>
    <cellStyle name="Normal 2 4" xfId="12" xr:uid="{00000000-0005-0000-0000-000008000000}"/>
    <cellStyle name="Normal 3" xfId="3" xr:uid="{00000000-0005-0000-0000-000009000000}"/>
    <cellStyle name="Normal 3 2" xfId="6" xr:uid="{00000000-0005-0000-0000-00000A000000}"/>
    <cellStyle name="Normal 3 2 2" xfId="15" xr:uid="{00000000-0005-0000-0000-00000B000000}"/>
    <cellStyle name="Normal 4" xfId="5" xr:uid="{00000000-0005-0000-0000-00000C000000}"/>
    <cellStyle name="Normal 4 2" xfId="9" xr:uid="{00000000-0005-0000-0000-00000D000000}"/>
    <cellStyle name="Normal 4 2 2" xfId="11" xr:uid="{00000000-0005-0000-0000-00000E000000}"/>
    <cellStyle name="Normal 5" xfId="2" xr:uid="{00000000-0005-0000-0000-00000F000000}"/>
    <cellStyle name="Percent" xfId="10" builtinId="5"/>
  </cellStyles>
  <dxfs count="642">
    <dxf>
      <font>
        <color rgb="FF9C0006"/>
      </font>
      <fill>
        <patternFill>
          <bgColor rgb="FFFFC7CE"/>
        </patternFill>
      </fill>
    </dxf>
    <dxf>
      <font>
        <color rgb="FF9C0006"/>
      </font>
      <fill>
        <patternFill>
          <bgColor rgb="FFFFC7CE"/>
        </patternFill>
      </fill>
    </dxf>
    <dxf>
      <fill>
        <patternFill>
          <bgColor theme="2" tint="-0.24994659260841701"/>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9" tint="0.39994506668294322"/>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2DBDA"/>
        </patternFill>
      </fill>
    </dxf>
    <dxf>
      <fill>
        <patternFill>
          <bgColor theme="9" tint="0.39994506668294322"/>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rgb="FFBA005D"/>
        </patternFill>
      </fill>
    </dxf>
    <dxf>
      <fill>
        <patternFill patternType="solid">
          <fgColor indexed="64"/>
          <bgColor rgb="FF9E004F"/>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7D48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2DBDA"/>
        </patternFill>
      </fill>
    </dxf>
    <dxf>
      <fill>
        <patternFill>
          <bgColor theme="7" tint="0.59996337778862885"/>
        </patternFill>
      </fill>
    </dxf>
    <dxf>
      <fill>
        <patternFill patternType="solid">
          <fgColor indexed="64"/>
          <bgColor rgb="FFBA005D"/>
        </patternFill>
      </fill>
    </dxf>
    <dxf>
      <fill>
        <patternFill>
          <bgColor rgb="FFFFD44B"/>
        </patternFill>
      </fill>
    </dxf>
    <dxf>
      <fill>
        <patternFill>
          <bgColor rgb="FFFFBB57"/>
        </patternFill>
      </fill>
    </dxf>
    <dxf>
      <fill>
        <patternFill>
          <bgColor rgb="FFEEB400"/>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DDE8C6"/>
        </patternFill>
      </fill>
    </dxf>
    <dxf>
      <fill>
        <patternFill patternType="solid">
          <fgColor indexed="64"/>
          <bgColor theme="6" tint="0.79998168889431442"/>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E3E0CF"/>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99BCE7"/>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patternType="solid">
          <fgColor indexed="64"/>
          <bgColor rgb="FF9E004F"/>
        </patternFill>
      </fill>
    </dxf>
    <dxf>
      <fill>
        <patternFill>
          <bgColor rgb="FFE3E0CF"/>
        </patternFill>
      </fill>
    </dxf>
    <dxf>
      <fill>
        <patternFill>
          <bgColor theme="2" tint="-0.24994659260841701"/>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patternType="solid">
          <fgColor indexed="64"/>
          <bgColor rgb="FFBA005D"/>
        </patternFill>
      </fill>
    </dxf>
    <dxf>
      <fill>
        <patternFill>
          <bgColor rgb="FFF2DBDA"/>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rgb="FFE7D48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rgb="FFE3E0CF"/>
        </patternFill>
      </fill>
    </dxf>
    <dxf>
      <fill>
        <patternFill>
          <bgColor rgb="FFFF9900"/>
        </patternFill>
      </fill>
    </dxf>
    <dxf>
      <fill>
        <patternFill>
          <bgColor rgb="FFFFBB57"/>
        </patternFill>
      </fill>
    </dxf>
    <dxf>
      <fill>
        <patternFill>
          <bgColor rgb="FFEEB400"/>
        </patternFill>
      </fill>
    </dxf>
    <dxf>
      <fill>
        <patternFill>
          <bgColor rgb="FFFFD44B"/>
        </patternFill>
      </fill>
    </dxf>
    <dxf>
      <fill>
        <patternFill>
          <bgColor rgb="FFEEB400"/>
        </patternFill>
      </fill>
    </dxf>
    <dxf>
      <fill>
        <patternFill patternType="solid">
          <fgColor indexed="64"/>
          <bgColor rgb="FFE7D480"/>
        </patternFill>
      </fill>
    </dxf>
    <dxf>
      <fill>
        <patternFill>
          <bgColor rgb="FFFF9900"/>
        </patternFill>
      </fill>
    </dxf>
    <dxf>
      <fill>
        <patternFill>
          <bgColor theme="9" tint="0.59996337778862885"/>
        </patternFill>
      </fill>
    </dxf>
    <dxf>
      <fill>
        <patternFill>
          <bgColor theme="9" tint="0.39994506668294322"/>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rgb="FFE4E300"/>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patternType="solid">
          <fgColor indexed="64"/>
          <bgColor theme="6" tint="0.59999389629810485"/>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theme="7" tint="0.39994506668294322"/>
        </patternFill>
      </fill>
    </dxf>
    <dxf>
      <fill>
        <patternFill>
          <bgColor rgb="FFEEB400"/>
        </patternFill>
      </fill>
    </dxf>
    <dxf>
      <fill>
        <patternFill>
          <bgColor rgb="FFEEB400"/>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D44B"/>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E1AAA9"/>
        </patternFill>
      </fill>
    </dxf>
    <dxf>
      <fill>
        <patternFill patternType="solid">
          <fgColor indexed="64"/>
          <bgColor theme="6" tint="0.59999389629810485"/>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99BCE7"/>
        </patternFill>
      </fill>
    </dxf>
    <dxf>
      <fill>
        <patternFill>
          <bgColor rgb="FFFF9900"/>
        </patternFill>
      </fill>
    </dxf>
    <dxf>
      <fill>
        <patternFill patternType="solid">
          <fgColor indexed="64"/>
          <bgColor rgb="FFDCC97A"/>
        </patternFill>
      </fill>
    </dxf>
    <dxf>
      <fill>
        <patternFill>
          <bgColor theme="7" tint="0.39994506668294322"/>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4685D2"/>
        </patternFill>
      </fill>
    </dxf>
    <dxf>
      <fill>
        <patternFill>
          <bgColor theme="7" tint="0.59996337778862885"/>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patternType="solid">
          <fgColor indexed="64"/>
          <bgColor theme="6" tint="0.59999389629810485"/>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FF9900"/>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patternType="solid">
          <fgColor indexed="64"/>
          <bgColor rgb="FFBA005D"/>
        </patternFill>
      </fill>
    </dxf>
    <dxf>
      <fill>
        <patternFill patternType="solid">
          <fgColor indexed="64"/>
          <bgColor theme="6" tint="0.7999816888943144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bgColor theme="7" tint="0.3999450666829432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4685D2"/>
        </patternFill>
      </fill>
    </dxf>
    <dxf>
      <fill>
        <patternFill>
          <bgColor rgb="FF99BCE7"/>
        </patternFill>
      </fill>
    </dxf>
    <dxf>
      <fill>
        <patternFill patternType="solid">
          <fgColor indexed="64"/>
          <bgColor theme="6" tint="0.7999816888943144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patternType="solid">
          <fgColor indexed="64"/>
          <bgColor theme="4" tint="0.79998168889431442"/>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theme="9" tint="0.59996337778862885"/>
        </patternFill>
      </fill>
    </dxf>
    <dxf>
      <fill>
        <patternFill>
          <bgColor rgb="FFEEB400"/>
        </patternFill>
      </fill>
    </dxf>
    <dxf>
      <fill>
        <patternFill>
          <bgColor rgb="FFFFD44B"/>
        </patternFill>
      </fill>
    </dxf>
    <dxf>
      <fill>
        <patternFill>
          <bgColor rgb="FFEEB400"/>
        </patternFill>
      </fill>
    </dxf>
    <dxf>
      <fill>
        <patternFill patternType="solid">
          <fgColor indexed="64"/>
          <bgColor theme="6" tint="0.59999389629810485"/>
        </patternFill>
      </fill>
    </dxf>
    <dxf>
      <fill>
        <patternFill>
          <bgColor rgb="FF99BCE7"/>
        </patternFill>
      </fill>
    </dxf>
    <dxf>
      <fill>
        <patternFill>
          <bgColor rgb="FFE3E0CF"/>
        </patternFill>
      </fill>
    </dxf>
    <dxf>
      <fill>
        <patternFill>
          <bgColor rgb="FFFF9900"/>
        </patternFill>
      </fill>
    </dxf>
    <dxf>
      <fill>
        <patternFill>
          <bgColor rgb="FF4685D2"/>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theme="4" tint="0.7999816888943144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bgColor rgb="FFDDE8C6"/>
        </patternFill>
      </fill>
    </dxf>
    <dxf>
      <fill>
        <patternFill patternType="solid">
          <fgColor indexed="64"/>
          <bgColor rgb="FFE7D480"/>
        </patternFill>
      </fill>
    </dxf>
    <dxf>
      <fill>
        <patternFill>
          <bgColor rgb="FFF2DBDA"/>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BA005D"/>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patternType="solid">
          <fgColor indexed="64"/>
          <bgColor rgb="FF9E004F"/>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9" tint="0.59996337778862885"/>
        </patternFill>
      </fill>
    </dxf>
    <dxf>
      <fill>
        <patternFill>
          <bgColor rgb="FFFFD44B"/>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bgColor theme="6" tint="0.39994506668294322"/>
        </patternFill>
      </fill>
    </dxf>
    <dxf>
      <fill>
        <patternFill>
          <bgColor rgb="FFEEB400"/>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patternType="solid">
          <fgColor indexed="64"/>
          <bgColor theme="4" tint="0.59999389629810485"/>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4685D2"/>
        </patternFill>
      </fill>
    </dxf>
    <dxf>
      <fill>
        <patternFill patternType="solid">
          <fgColor indexed="64"/>
          <bgColor rgb="FFDCC97A"/>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rgb="FFE1AAA9"/>
        </patternFill>
      </fill>
    </dxf>
    <dxf>
      <fill>
        <patternFill>
          <bgColor theme="9" tint="0.59996337778862885"/>
        </patternFill>
      </fill>
    </dxf>
    <dxf>
      <fill>
        <patternFill>
          <bgColor rgb="FFEEB400"/>
        </patternFill>
      </fill>
    </dxf>
    <dxf>
      <fill>
        <patternFill>
          <bgColor theme="9" tint="0.39994506668294322"/>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2" tint="-0.24994659260841701"/>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theme="9" tint="0.59996337778862885"/>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rgb="FFFF0000"/>
        </patternFill>
      </fill>
    </dxf>
    <dxf>
      <fill>
        <patternFill patternType="solid">
          <fgColor indexed="64"/>
          <bgColor theme="0" tint="-4.9989318521683403E-2"/>
        </patternFill>
      </fill>
    </dxf>
    <dxf>
      <fill>
        <patternFill>
          <bgColor rgb="FF4685D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1052748" cy="463209"/>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1052748" cy="463209"/>
        </a:xfrm>
        <a:prstGeom prst="rect">
          <a:avLst/>
        </a:prstGeom>
        <a:noFill/>
        <a:ln>
          <a:noFill/>
          <a:prstDash val="soli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obileaccord-my.sharepoint.com/Users/kafembe/Downloads/household_questionnaire_geopoll_EN_template_20220420_ISO3%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New Durations"/>
      <sheetName val="Crop list"/>
      <sheetName val="Additional information"/>
    </sheetNames>
    <sheetDataSet>
      <sheetData sheetId="0" refreshError="1"/>
      <sheetData sheetId="1" refreshError="1"/>
      <sheetData sheetId="2" refreshError="1"/>
      <sheetData sheetId="3" refreshError="1">
        <row r="17">
          <cell r="D17">
            <v>0.91</v>
          </cell>
        </row>
      </sheetData>
    </sheetDataSet>
  </externalBook>
</externalLink>
</file>

<file path=xl/persons/person.xml><?xml version="1.0" encoding="utf-8"?>
<personList xmlns="http://schemas.microsoft.com/office/spreadsheetml/2018/threadedcomments" xmlns:x="http://schemas.openxmlformats.org/spreadsheetml/2006/main">
  <person displayName="Sango, Dowsen (FAOSFS)" id="{7337DAA7-D15F-914E-9AC5-1FE1D8C207F6}" userId="S::dowsen.sango@fao.org::2527da0b-032b-4102-823f-4dc2ec7bd3a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66" dT="2022-11-02T06:30:29.01" personId="{7337DAA7-D15F-914E-9AC5-1FE1D8C207F6}" id="{DE0ED6B7-AC3E-2540-AFBE-024CC17F5D56}">
    <text>8) Ketenga nekutengesa zvirimwa zvamusingarimi imi [zviri pamutemo kana zviziripamutemo] - they key word is that they are not the producers of the products they are trading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AE201"/>
  <sheetViews>
    <sheetView tabSelected="1" zoomScale="60" zoomScaleNormal="60" workbookViewId="0">
      <pane xSplit="4" ySplit="3" topLeftCell="E4" activePane="bottomRight" state="frozen"/>
      <selection pane="topRight" activeCell="E1" sqref="E1"/>
      <selection pane="bottomLeft" activeCell="A4" sqref="A4"/>
      <selection pane="bottomRight" activeCell="B7" sqref="B7"/>
    </sheetView>
  </sheetViews>
  <sheetFormatPr defaultColWidth="8.7109375" defaultRowHeight="21" outlineLevelCol="1"/>
  <cols>
    <col min="1" max="1" width="7.5703125" style="5" bestFit="1" customWidth="1"/>
    <col min="2" max="2" width="28" style="37" customWidth="1"/>
    <col min="3" max="3" width="27.5703125" style="38" customWidth="1"/>
    <col min="4" max="4" width="91.5703125" style="35" customWidth="1"/>
    <col min="5" max="5" width="9.140625" style="39" customWidth="1"/>
    <col min="6" max="6" width="91.5703125" style="40" customWidth="1"/>
    <col min="7" max="7" width="9.140625" style="39" customWidth="1"/>
    <col min="8" max="8" width="91.5703125" style="40" customWidth="1"/>
    <col min="9" max="9" width="9.140625" style="39" customWidth="1"/>
    <col min="10" max="10" width="18.140625" style="5" customWidth="1"/>
    <col min="11" max="11" width="14" style="5" bestFit="1" customWidth="1"/>
    <col min="12" max="12" width="85.42578125" style="5" customWidth="1"/>
    <col min="13" max="13" width="33.42578125" style="5" customWidth="1"/>
    <col min="14" max="14" width="37" style="5" bestFit="1" customWidth="1"/>
    <col min="15" max="16" width="50.5703125" style="5" customWidth="1"/>
    <col min="17" max="17" width="42.42578125" style="39" customWidth="1"/>
    <col min="18" max="18" width="53.42578125" style="39" customWidth="1"/>
    <col min="19" max="19" width="29.42578125" style="5" customWidth="1"/>
    <col min="20" max="20" width="40.7109375" style="5" customWidth="1"/>
    <col min="21" max="21" width="27.42578125" style="41" customWidth="1"/>
    <col min="22" max="22" width="49.28515625" style="42" customWidth="1"/>
    <col min="23" max="23" width="31.140625" style="41" customWidth="1"/>
    <col min="24" max="24" width="8.7109375" style="31" customWidth="1"/>
    <col min="25" max="25" width="8.7109375" style="5" customWidth="1"/>
    <col min="26" max="26" width="20.7109375" style="7" hidden="1" customWidth="1"/>
    <col min="27" max="27" width="8.7109375" style="5" customWidth="1" outlineLevel="1"/>
    <col min="28" max="29" width="8.7109375" style="5" customWidth="1"/>
    <col min="30" max="30" width="26.28515625" style="8" hidden="1" customWidth="1"/>
    <col min="31" max="32" width="8.7109375" style="5" customWidth="1"/>
    <col min="33" max="16384" width="8.7109375" style="5"/>
  </cols>
  <sheetData>
    <row r="1" spans="1:30" ht="21.75" thickBot="1">
      <c r="A1" s="613" t="s">
        <v>0</v>
      </c>
      <c r="B1" s="614"/>
      <c r="C1" s="615"/>
      <c r="D1" s="616"/>
      <c r="E1" s="617"/>
      <c r="F1" s="617"/>
      <c r="G1" s="617"/>
      <c r="H1" s="617"/>
      <c r="I1" s="617"/>
      <c r="J1" s="617"/>
      <c r="K1" s="617"/>
      <c r="L1" s="617"/>
      <c r="M1" s="617"/>
      <c r="N1" s="617"/>
      <c r="O1" s="617"/>
      <c r="P1" s="617"/>
      <c r="Q1" s="617"/>
      <c r="R1" s="617"/>
      <c r="S1" s="617"/>
      <c r="T1" s="618"/>
      <c r="U1" s="580"/>
      <c r="V1" s="164"/>
      <c r="W1" s="580"/>
      <c r="X1" s="4"/>
      <c r="Z1" s="4"/>
      <c r="AD1" s="6" t="s">
        <v>1</v>
      </c>
    </row>
    <row r="2" spans="1:30" ht="21.75" thickBot="1">
      <c r="A2" s="619" t="s">
        <v>1437</v>
      </c>
      <c r="B2" s="620"/>
      <c r="C2" s="620"/>
      <c r="D2" s="620"/>
      <c r="E2" s="620"/>
      <c r="F2" s="620"/>
      <c r="G2" s="620"/>
      <c r="H2" s="620"/>
      <c r="I2" s="620"/>
      <c r="J2" s="620"/>
      <c r="K2" s="620"/>
      <c r="L2" s="620"/>
      <c r="M2" s="620"/>
      <c r="N2" s="620"/>
      <c r="O2" s="620"/>
      <c r="P2" s="620"/>
      <c r="Q2" s="620"/>
      <c r="R2" s="620"/>
      <c r="S2" s="621"/>
      <c r="T2" s="622" t="s">
        <v>2</v>
      </c>
      <c r="U2" s="580"/>
      <c r="V2" s="164"/>
      <c r="W2" s="580"/>
      <c r="X2" s="4"/>
    </row>
    <row r="3" spans="1:30" s="10" customFormat="1" ht="21.75" thickBot="1">
      <c r="A3" s="360" t="s">
        <v>3</v>
      </c>
      <c r="B3" s="57" t="s">
        <v>4</v>
      </c>
      <c r="C3" s="57" t="s">
        <v>5</v>
      </c>
      <c r="D3" s="57" t="s">
        <v>6</v>
      </c>
      <c r="E3" s="57" t="s">
        <v>7</v>
      </c>
      <c r="F3" s="57" t="s">
        <v>8</v>
      </c>
      <c r="G3" s="57" t="s">
        <v>7</v>
      </c>
      <c r="H3" s="57" t="s">
        <v>9</v>
      </c>
      <c r="I3" s="57" t="s">
        <v>7</v>
      </c>
      <c r="J3" s="57" t="s">
        <v>10</v>
      </c>
      <c r="K3" s="57" t="s">
        <v>11</v>
      </c>
      <c r="L3" s="57" t="s">
        <v>12</v>
      </c>
      <c r="M3" s="57" t="s">
        <v>13</v>
      </c>
      <c r="N3" s="58" t="s">
        <v>14</v>
      </c>
      <c r="O3" s="58" t="s">
        <v>15</v>
      </c>
      <c r="P3" s="58" t="s">
        <v>1331</v>
      </c>
      <c r="Q3" s="58" t="s">
        <v>16</v>
      </c>
      <c r="R3" s="58" t="s">
        <v>17</v>
      </c>
      <c r="S3" s="59" t="s">
        <v>18</v>
      </c>
      <c r="T3" s="623"/>
      <c r="U3" s="581" t="s">
        <v>19</v>
      </c>
      <c r="V3" s="582" t="s">
        <v>20</v>
      </c>
      <c r="W3" s="583" t="s">
        <v>21</v>
      </c>
      <c r="X3" s="9"/>
      <c r="Z3" s="11" t="s">
        <v>22</v>
      </c>
      <c r="AD3" s="12"/>
    </row>
    <row r="4" spans="1:30" ht="21.75" thickBot="1">
      <c r="A4" s="624" t="s">
        <v>23</v>
      </c>
      <c r="B4" s="625"/>
      <c r="C4" s="626"/>
      <c r="D4" s="625"/>
      <c r="E4" s="625"/>
      <c r="F4" s="626"/>
      <c r="G4" s="626"/>
      <c r="H4" s="626"/>
      <c r="I4" s="626"/>
      <c r="J4" s="625"/>
      <c r="K4" s="626"/>
      <c r="L4" s="625"/>
      <c r="M4" s="625"/>
      <c r="N4" s="625"/>
      <c r="O4" s="625"/>
      <c r="P4" s="625"/>
      <c r="Q4" s="625"/>
      <c r="R4" s="625"/>
      <c r="S4" s="625"/>
      <c r="T4" s="627"/>
      <c r="U4" s="580"/>
      <c r="V4" s="164"/>
      <c r="W4" s="163"/>
      <c r="X4" s="4"/>
      <c r="Z4" s="7" t="s">
        <v>24</v>
      </c>
    </row>
    <row r="5" spans="1:30">
      <c r="A5" s="357" t="s">
        <v>25</v>
      </c>
      <c r="B5" s="60" t="s">
        <v>26</v>
      </c>
      <c r="C5" s="61"/>
      <c r="D5" s="62" t="s">
        <v>26</v>
      </c>
      <c r="E5" s="63">
        <f t="shared" ref="E5:I20" si="0">LEN(D5)</f>
        <v>5</v>
      </c>
      <c r="F5" s="62" t="s">
        <v>26</v>
      </c>
      <c r="G5" s="63">
        <f t="shared" si="0"/>
        <v>5</v>
      </c>
      <c r="H5" s="62" t="s">
        <v>26</v>
      </c>
      <c r="I5" s="63">
        <f t="shared" si="0"/>
        <v>5</v>
      </c>
      <c r="J5" s="64" t="s">
        <v>27</v>
      </c>
      <c r="K5" s="64" t="s">
        <v>25</v>
      </c>
      <c r="L5" s="64" t="s">
        <v>25</v>
      </c>
      <c r="M5" s="64" t="s">
        <v>28</v>
      </c>
      <c r="N5" s="65" t="s">
        <v>25</v>
      </c>
      <c r="O5" s="66" t="s">
        <v>29</v>
      </c>
      <c r="P5" s="66"/>
      <c r="Q5" s="67" t="s">
        <v>25</v>
      </c>
      <c r="R5" s="68"/>
      <c r="S5" s="69" t="s">
        <v>30</v>
      </c>
      <c r="T5" s="70"/>
      <c r="U5" s="163">
        <v>0</v>
      </c>
      <c r="V5" s="164"/>
      <c r="W5" s="163">
        <f t="shared" ref="W5:W20" si="1">U5*V5</f>
        <v>0</v>
      </c>
      <c r="X5" s="4"/>
      <c r="Z5" s="7" t="s">
        <v>24</v>
      </c>
    </row>
    <row r="6" spans="1:30">
      <c r="A6" s="357" t="s">
        <v>25</v>
      </c>
      <c r="B6" s="71" t="s">
        <v>31</v>
      </c>
      <c r="C6" s="71" t="s">
        <v>31</v>
      </c>
      <c r="D6" s="72" t="s">
        <v>32</v>
      </c>
      <c r="E6" s="64">
        <f t="shared" si="0"/>
        <v>48</v>
      </c>
      <c r="F6" s="72" t="s">
        <v>33</v>
      </c>
      <c r="G6" s="64">
        <f t="shared" si="0"/>
        <v>41</v>
      </c>
      <c r="H6" s="72" t="s">
        <v>34</v>
      </c>
      <c r="I6" s="64">
        <f t="shared" si="0"/>
        <v>34</v>
      </c>
      <c r="J6" s="64" t="s">
        <v>27</v>
      </c>
      <c r="K6" s="64" t="s">
        <v>25</v>
      </c>
      <c r="L6" s="64" t="s">
        <v>25</v>
      </c>
      <c r="M6" s="64" t="s">
        <v>28</v>
      </c>
      <c r="N6" s="65" t="s">
        <v>25</v>
      </c>
      <c r="O6" s="66" t="s">
        <v>37</v>
      </c>
      <c r="P6" s="66"/>
      <c r="Q6" s="67" t="s">
        <v>25</v>
      </c>
      <c r="R6" s="68"/>
      <c r="S6" s="69" t="s">
        <v>30</v>
      </c>
      <c r="T6" s="73"/>
      <c r="U6" s="163">
        <v>0</v>
      </c>
      <c r="V6" s="164"/>
      <c r="W6" s="163">
        <f t="shared" si="1"/>
        <v>0</v>
      </c>
      <c r="X6" s="4"/>
      <c r="Z6" s="7" t="s">
        <v>35</v>
      </c>
      <c r="AD6" s="8" t="s">
        <v>36</v>
      </c>
    </row>
    <row r="7" spans="1:30" ht="150">
      <c r="A7" s="358" t="s">
        <v>25</v>
      </c>
      <c r="B7" s="74" t="s">
        <v>38</v>
      </c>
      <c r="C7" s="71" t="s">
        <v>38</v>
      </c>
      <c r="D7" s="72" t="s">
        <v>39</v>
      </c>
      <c r="E7" s="75">
        <f t="shared" si="0"/>
        <v>146</v>
      </c>
      <c r="F7" s="72" t="s">
        <v>40</v>
      </c>
      <c r="G7" s="75">
        <f t="shared" si="0"/>
        <v>169</v>
      </c>
      <c r="H7" s="76" t="s">
        <v>41</v>
      </c>
      <c r="I7" s="75">
        <f t="shared" si="0"/>
        <v>188</v>
      </c>
      <c r="J7" s="77" t="s">
        <v>42</v>
      </c>
      <c r="K7" s="78" t="s">
        <v>25</v>
      </c>
      <c r="L7" s="78" t="s">
        <v>25</v>
      </c>
      <c r="M7" s="78" t="s">
        <v>43</v>
      </c>
      <c r="N7" s="65" t="s">
        <v>25</v>
      </c>
      <c r="O7" s="79" t="s">
        <v>44</v>
      </c>
      <c r="P7" s="79"/>
      <c r="Q7" s="80" t="s">
        <v>25</v>
      </c>
      <c r="R7" s="81"/>
      <c r="S7" s="82" t="s">
        <v>30</v>
      </c>
      <c r="T7" s="83"/>
      <c r="U7" s="163">
        <v>0</v>
      </c>
      <c r="V7" s="164"/>
      <c r="W7" s="163">
        <f t="shared" si="1"/>
        <v>0</v>
      </c>
      <c r="X7" s="4"/>
      <c r="Z7" s="7" t="s">
        <v>24</v>
      </c>
    </row>
    <row r="8" spans="1:30" ht="37.5">
      <c r="A8" s="358" t="s">
        <v>25</v>
      </c>
      <c r="B8" s="74" t="s">
        <v>45</v>
      </c>
      <c r="C8" s="71" t="s">
        <v>46</v>
      </c>
      <c r="D8" s="84" t="s">
        <v>47</v>
      </c>
      <c r="E8" s="75">
        <f t="shared" si="0"/>
        <v>29</v>
      </c>
      <c r="F8" s="84" t="s">
        <v>48</v>
      </c>
      <c r="G8" s="75">
        <f t="shared" si="0"/>
        <v>37</v>
      </c>
      <c r="H8" s="84" t="s">
        <v>49</v>
      </c>
      <c r="I8" s="75">
        <f t="shared" si="0"/>
        <v>43</v>
      </c>
      <c r="J8" s="77" t="s">
        <v>25</v>
      </c>
      <c r="K8" s="77" t="s">
        <v>25</v>
      </c>
      <c r="L8" s="77" t="s">
        <v>25</v>
      </c>
      <c r="M8" s="77" t="s">
        <v>25</v>
      </c>
      <c r="N8" s="65" t="s">
        <v>25</v>
      </c>
      <c r="O8" s="85" t="s">
        <v>50</v>
      </c>
      <c r="P8" s="85"/>
      <c r="Q8" s="86" t="s">
        <v>25</v>
      </c>
      <c r="R8" s="87"/>
      <c r="S8" s="88" t="s">
        <v>51</v>
      </c>
      <c r="T8" s="89"/>
      <c r="U8" s="163">
        <v>0</v>
      </c>
      <c r="V8" s="164"/>
      <c r="W8" s="163">
        <f t="shared" si="1"/>
        <v>0</v>
      </c>
      <c r="X8" s="4"/>
      <c r="Z8" s="7" t="s">
        <v>24</v>
      </c>
    </row>
    <row r="9" spans="1:30">
      <c r="A9" s="358" t="s">
        <v>25</v>
      </c>
      <c r="B9" s="74" t="s">
        <v>52</v>
      </c>
      <c r="C9" s="71" t="s">
        <v>53</v>
      </c>
      <c r="D9" s="84" t="s">
        <v>54</v>
      </c>
      <c r="E9" s="75">
        <f t="shared" si="0"/>
        <v>31</v>
      </c>
      <c r="F9" s="84" t="s">
        <v>55</v>
      </c>
      <c r="G9" s="75">
        <f t="shared" si="0"/>
        <v>34</v>
      </c>
      <c r="H9" s="84" t="s">
        <v>56</v>
      </c>
      <c r="I9" s="75">
        <f t="shared" si="0"/>
        <v>46</v>
      </c>
      <c r="J9" s="77" t="s">
        <v>25</v>
      </c>
      <c r="K9" s="77" t="s">
        <v>25</v>
      </c>
      <c r="L9" s="77" t="s">
        <v>25</v>
      </c>
      <c r="M9" s="77" t="s">
        <v>25</v>
      </c>
      <c r="N9" s="65" t="s">
        <v>25</v>
      </c>
      <c r="O9" s="85" t="s">
        <v>57</v>
      </c>
      <c r="P9" s="85"/>
      <c r="Q9" s="86" t="s">
        <v>25</v>
      </c>
      <c r="R9" s="87"/>
      <c r="S9" s="88" t="s">
        <v>58</v>
      </c>
      <c r="T9" s="89"/>
      <c r="U9" s="163">
        <v>0</v>
      </c>
      <c r="V9" s="164"/>
      <c r="W9" s="163">
        <f t="shared" si="1"/>
        <v>0</v>
      </c>
      <c r="X9" s="4"/>
      <c r="Z9" s="7" t="s">
        <v>24</v>
      </c>
    </row>
    <row r="10" spans="1:30">
      <c r="A10" s="358" t="s">
        <v>25</v>
      </c>
      <c r="B10" s="74" t="s">
        <v>59</v>
      </c>
      <c r="C10" s="71" t="s">
        <v>60</v>
      </c>
      <c r="D10" s="84" t="s">
        <v>61</v>
      </c>
      <c r="E10" s="75">
        <f t="shared" si="0"/>
        <v>34</v>
      </c>
      <c r="F10" s="84" t="s">
        <v>62</v>
      </c>
      <c r="G10" s="75">
        <f t="shared" si="0"/>
        <v>40</v>
      </c>
      <c r="H10" s="84" t="s">
        <v>63</v>
      </c>
      <c r="I10" s="75">
        <f t="shared" si="0"/>
        <v>60</v>
      </c>
      <c r="J10" s="77" t="s">
        <v>25</v>
      </c>
      <c r="K10" s="77" t="s">
        <v>25</v>
      </c>
      <c r="L10" s="77" t="s">
        <v>25</v>
      </c>
      <c r="M10" s="77" t="s">
        <v>25</v>
      </c>
      <c r="N10" s="65" t="s">
        <v>25</v>
      </c>
      <c r="O10" s="85" t="s">
        <v>64</v>
      </c>
      <c r="P10" s="85"/>
      <c r="Q10" s="86" t="s">
        <v>25</v>
      </c>
      <c r="R10" s="87"/>
      <c r="S10" s="88" t="s">
        <v>65</v>
      </c>
      <c r="T10" s="89"/>
      <c r="U10" s="163">
        <v>0</v>
      </c>
      <c r="V10" s="164"/>
      <c r="W10" s="163">
        <f t="shared" si="1"/>
        <v>0</v>
      </c>
      <c r="X10" s="4"/>
      <c r="Z10" s="7" t="s">
        <v>24</v>
      </c>
    </row>
    <row r="11" spans="1:30">
      <c r="A11" s="358" t="s">
        <v>25</v>
      </c>
      <c r="B11" s="74" t="s">
        <v>66</v>
      </c>
      <c r="C11" s="71" t="s">
        <v>67</v>
      </c>
      <c r="D11" s="84" t="s">
        <v>68</v>
      </c>
      <c r="E11" s="75">
        <f t="shared" si="0"/>
        <v>41</v>
      </c>
      <c r="F11" s="84" t="s">
        <v>69</v>
      </c>
      <c r="G11" s="75">
        <f t="shared" si="0"/>
        <v>45</v>
      </c>
      <c r="H11" s="84" t="s">
        <v>70</v>
      </c>
      <c r="I11" s="75">
        <f t="shared" si="0"/>
        <v>41</v>
      </c>
      <c r="J11" s="77" t="s">
        <v>25</v>
      </c>
      <c r="K11" s="77" t="s">
        <v>25</v>
      </c>
      <c r="L11" s="77" t="s">
        <v>25</v>
      </c>
      <c r="M11" s="77" t="s">
        <v>25</v>
      </c>
      <c r="N11" s="65" t="s">
        <v>25</v>
      </c>
      <c r="O11" s="85" t="s">
        <v>71</v>
      </c>
      <c r="P11" s="85"/>
      <c r="Q11" s="86" t="s">
        <v>25</v>
      </c>
      <c r="R11" s="87"/>
      <c r="S11" s="88" t="s">
        <v>72</v>
      </c>
      <c r="T11" s="89"/>
      <c r="U11" s="163">
        <v>0</v>
      </c>
      <c r="V11" s="164"/>
      <c r="W11" s="163">
        <f t="shared" si="1"/>
        <v>0</v>
      </c>
      <c r="X11" s="4"/>
      <c r="Z11" s="7" t="s">
        <v>24</v>
      </c>
    </row>
    <row r="12" spans="1:30" ht="142.5" customHeight="1">
      <c r="A12" s="358">
        <v>1</v>
      </c>
      <c r="B12" s="74" t="s">
        <v>73</v>
      </c>
      <c r="C12" s="71" t="s">
        <v>73</v>
      </c>
      <c r="D12" s="90" t="s">
        <v>74</v>
      </c>
      <c r="E12" s="75">
        <f t="shared" si="0"/>
        <v>123</v>
      </c>
      <c r="F12" s="90" t="s">
        <v>1630</v>
      </c>
      <c r="G12" s="75">
        <f t="shared" si="0"/>
        <v>139</v>
      </c>
      <c r="H12" s="90" t="s">
        <v>1631</v>
      </c>
      <c r="I12" s="75">
        <f t="shared" si="0"/>
        <v>167</v>
      </c>
      <c r="J12" s="77" t="s">
        <v>42</v>
      </c>
      <c r="K12" s="78" t="s">
        <v>25</v>
      </c>
      <c r="L12" s="78" t="s">
        <v>25</v>
      </c>
      <c r="M12" s="78" t="s">
        <v>43</v>
      </c>
      <c r="N12" s="65" t="s">
        <v>25</v>
      </c>
      <c r="O12" s="79" t="s">
        <v>75</v>
      </c>
      <c r="P12" s="575"/>
      <c r="Q12" s="91" t="s">
        <v>76</v>
      </c>
      <c r="R12" s="92"/>
      <c r="S12" s="82" t="s">
        <v>30</v>
      </c>
      <c r="T12" s="93" t="s">
        <v>77</v>
      </c>
      <c r="U12" s="163">
        <v>3.062232494354248</v>
      </c>
      <c r="V12" s="164"/>
      <c r="W12" s="163">
        <f t="shared" si="1"/>
        <v>0</v>
      </c>
      <c r="X12" s="4"/>
      <c r="Z12" s="7" t="s">
        <v>24</v>
      </c>
      <c r="AD12" s="13"/>
    </row>
    <row r="13" spans="1:30" ht="409.5">
      <c r="A13" s="358">
        <f>A12+1</f>
        <v>2</v>
      </c>
      <c r="B13" s="74" t="s">
        <v>78</v>
      </c>
      <c r="C13" s="71" t="s">
        <v>78</v>
      </c>
      <c r="D13" s="94" t="s">
        <v>1311</v>
      </c>
      <c r="E13" s="95">
        <f>LEN(D13)</f>
        <v>1098</v>
      </c>
      <c r="F13" s="96" t="s">
        <v>1433</v>
      </c>
      <c r="G13" s="95">
        <f>LEN(F13)</f>
        <v>1180</v>
      </c>
      <c r="H13" s="96" t="s">
        <v>1434</v>
      </c>
      <c r="I13" s="95">
        <f>LEN(H13)</f>
        <v>1108</v>
      </c>
      <c r="J13" s="97" t="s">
        <v>42</v>
      </c>
      <c r="K13" s="78" t="s">
        <v>25</v>
      </c>
      <c r="L13" s="78" t="s">
        <v>25</v>
      </c>
      <c r="M13" s="78" t="s">
        <v>43</v>
      </c>
      <c r="N13" s="65" t="s">
        <v>25</v>
      </c>
      <c r="O13" s="79" t="s">
        <v>79</v>
      </c>
      <c r="P13" s="79"/>
      <c r="Q13" s="91" t="s">
        <v>80</v>
      </c>
      <c r="R13" s="92"/>
      <c r="S13" s="82" t="s">
        <v>30</v>
      </c>
      <c r="T13" s="93" t="s">
        <v>1255</v>
      </c>
      <c r="U13" s="163">
        <v>50.822540283203118</v>
      </c>
      <c r="V13" s="164"/>
      <c r="W13" s="163">
        <f t="shared" si="1"/>
        <v>0</v>
      </c>
      <c r="X13" s="4"/>
      <c r="Z13" s="7" t="s">
        <v>24</v>
      </c>
    </row>
    <row r="14" spans="1:30" s="14" customFormat="1" ht="131.25">
      <c r="A14" s="358">
        <f>A13+1</f>
        <v>3</v>
      </c>
      <c r="B14" s="74" t="s">
        <v>81</v>
      </c>
      <c r="C14" s="71" t="s">
        <v>82</v>
      </c>
      <c r="D14" s="72" t="s">
        <v>83</v>
      </c>
      <c r="E14" s="75">
        <f t="shared" si="0"/>
        <v>131</v>
      </c>
      <c r="F14" s="72" t="s">
        <v>1628</v>
      </c>
      <c r="G14" s="75">
        <f t="shared" si="0"/>
        <v>172</v>
      </c>
      <c r="H14" s="72" t="s">
        <v>1629</v>
      </c>
      <c r="I14" s="75">
        <f t="shared" si="0"/>
        <v>154</v>
      </c>
      <c r="J14" s="77" t="s">
        <v>84</v>
      </c>
      <c r="K14" s="78" t="s">
        <v>25</v>
      </c>
      <c r="L14" s="78" t="s">
        <v>25</v>
      </c>
      <c r="M14" s="78" t="s">
        <v>43</v>
      </c>
      <c r="N14" s="65" t="s">
        <v>25</v>
      </c>
      <c r="O14" s="79" t="s">
        <v>85</v>
      </c>
      <c r="P14" s="79"/>
      <c r="Q14" s="512" t="s">
        <v>1440</v>
      </c>
      <c r="R14" s="541" t="s">
        <v>1441</v>
      </c>
      <c r="S14" s="82" t="s">
        <v>30</v>
      </c>
      <c r="T14" s="83"/>
      <c r="U14" s="163">
        <v>3.4964737892150879</v>
      </c>
      <c r="V14" s="164">
        <v>1</v>
      </c>
      <c r="W14" s="163">
        <f t="shared" si="1"/>
        <v>3.4964737892150879</v>
      </c>
      <c r="X14" s="4"/>
      <c r="Z14" s="7" t="s">
        <v>24</v>
      </c>
      <c r="AA14" s="5"/>
      <c r="AD14" s="15"/>
    </row>
    <row r="15" spans="1:30" s="14" customFormat="1" ht="150">
      <c r="A15" s="358">
        <f>A14+1</f>
        <v>4</v>
      </c>
      <c r="B15" s="99" t="s">
        <v>86</v>
      </c>
      <c r="C15" s="100" t="s">
        <v>86</v>
      </c>
      <c r="D15" s="101" t="s">
        <v>87</v>
      </c>
      <c r="E15" s="102">
        <f t="shared" si="0"/>
        <v>172</v>
      </c>
      <c r="F15" s="101" t="s">
        <v>1626</v>
      </c>
      <c r="G15" s="102">
        <f t="shared" si="0"/>
        <v>193</v>
      </c>
      <c r="H15" s="101" t="s">
        <v>1632</v>
      </c>
      <c r="I15" s="102">
        <f t="shared" si="0"/>
        <v>191</v>
      </c>
      <c r="J15" s="103" t="s">
        <v>42</v>
      </c>
      <c r="K15" s="102" t="s">
        <v>25</v>
      </c>
      <c r="L15" s="102" t="s">
        <v>25</v>
      </c>
      <c r="M15" s="102" t="s">
        <v>43</v>
      </c>
      <c r="N15" s="104" t="s">
        <v>25</v>
      </c>
      <c r="O15" s="105" t="s">
        <v>88</v>
      </c>
      <c r="P15" s="105"/>
      <c r="Q15" s="530" t="s">
        <v>1371</v>
      </c>
      <c r="R15" s="105"/>
      <c r="S15" s="82"/>
      <c r="T15" s="83"/>
      <c r="U15" s="163"/>
      <c r="V15" s="164"/>
      <c r="W15" s="163"/>
      <c r="X15" s="4"/>
      <c r="Z15" s="7"/>
      <c r="AA15" s="5"/>
      <c r="AD15" s="15"/>
    </row>
    <row r="16" spans="1:30" s="14" customFormat="1" ht="131.25">
      <c r="A16" s="358" t="s">
        <v>25</v>
      </c>
      <c r="B16" s="74" t="s">
        <v>89</v>
      </c>
      <c r="C16" s="71" t="s">
        <v>89</v>
      </c>
      <c r="D16" s="76" t="s">
        <v>90</v>
      </c>
      <c r="E16" s="75">
        <f t="shared" si="0"/>
        <v>153</v>
      </c>
      <c r="F16" s="76" t="s">
        <v>1627</v>
      </c>
      <c r="G16" s="75">
        <f t="shared" si="0"/>
        <v>170</v>
      </c>
      <c r="H16" s="76" t="s">
        <v>1287</v>
      </c>
      <c r="I16" s="75">
        <f t="shared" si="0"/>
        <v>149</v>
      </c>
      <c r="J16" s="77" t="s">
        <v>91</v>
      </c>
      <c r="K16" s="78" t="s">
        <v>25</v>
      </c>
      <c r="L16" s="78" t="s">
        <v>25</v>
      </c>
      <c r="M16" s="78" t="s">
        <v>92</v>
      </c>
      <c r="N16" s="65" t="s">
        <v>25</v>
      </c>
      <c r="O16" s="79" t="s">
        <v>93</v>
      </c>
      <c r="P16" s="79"/>
      <c r="Q16" s="512" t="s">
        <v>1372</v>
      </c>
      <c r="R16" s="98"/>
      <c r="S16" s="82" t="s">
        <v>94</v>
      </c>
      <c r="T16" s="83"/>
      <c r="U16" s="163">
        <v>0</v>
      </c>
      <c r="V16" s="164">
        <v>1</v>
      </c>
      <c r="W16" s="163">
        <f t="shared" si="1"/>
        <v>0</v>
      </c>
      <c r="X16" s="4"/>
      <c r="Z16" s="16" t="s">
        <v>24</v>
      </c>
      <c r="AA16" s="5"/>
      <c r="AD16" s="15"/>
    </row>
    <row r="17" spans="1:30" s="14" customFormat="1" ht="56.25">
      <c r="A17" s="358" t="s">
        <v>25</v>
      </c>
      <c r="B17" s="74" t="s">
        <v>95</v>
      </c>
      <c r="C17" s="71" t="s">
        <v>96</v>
      </c>
      <c r="D17" s="72" t="s">
        <v>97</v>
      </c>
      <c r="E17" s="75">
        <f t="shared" si="0"/>
        <v>80</v>
      </c>
      <c r="F17" s="72" t="s">
        <v>98</v>
      </c>
      <c r="G17" s="75">
        <f t="shared" si="0"/>
        <v>107</v>
      </c>
      <c r="H17" s="76" t="s">
        <v>99</v>
      </c>
      <c r="I17" s="75">
        <f t="shared" si="0"/>
        <v>106</v>
      </c>
      <c r="J17" s="77" t="s">
        <v>27</v>
      </c>
      <c r="K17" s="78" t="s">
        <v>25</v>
      </c>
      <c r="L17" s="78" t="s">
        <v>25</v>
      </c>
      <c r="M17" s="78" t="s">
        <v>1360</v>
      </c>
      <c r="N17" s="65" t="s">
        <v>25</v>
      </c>
      <c r="O17" s="79" t="s">
        <v>101</v>
      </c>
      <c r="P17" s="79"/>
      <c r="Q17" s="512" t="s">
        <v>1373</v>
      </c>
      <c r="R17" s="98"/>
      <c r="S17" s="82" t="s">
        <v>102</v>
      </c>
      <c r="T17" s="83"/>
      <c r="U17" s="163">
        <v>0</v>
      </c>
      <c r="V17" s="164">
        <v>1</v>
      </c>
      <c r="W17" s="163">
        <f t="shared" si="1"/>
        <v>0</v>
      </c>
      <c r="X17" s="4"/>
      <c r="Z17" s="16" t="s">
        <v>24</v>
      </c>
      <c r="AA17" s="5"/>
      <c r="AD17" s="15"/>
    </row>
    <row r="18" spans="1:30" s="14" customFormat="1" ht="93.75">
      <c r="A18" s="358" t="s">
        <v>25</v>
      </c>
      <c r="B18" s="74" t="s">
        <v>103</v>
      </c>
      <c r="C18" s="71" t="s">
        <v>104</v>
      </c>
      <c r="D18" s="72" t="s">
        <v>105</v>
      </c>
      <c r="E18" s="75">
        <f t="shared" si="0"/>
        <v>176</v>
      </c>
      <c r="F18" s="72" t="s">
        <v>106</v>
      </c>
      <c r="G18" s="75">
        <f t="shared" si="0"/>
        <v>225</v>
      </c>
      <c r="H18" s="76" t="s">
        <v>107</v>
      </c>
      <c r="I18" s="75">
        <f t="shared" si="0"/>
        <v>193</v>
      </c>
      <c r="J18" s="77" t="s">
        <v>27</v>
      </c>
      <c r="K18" s="78" t="s">
        <v>25</v>
      </c>
      <c r="L18" s="78" t="s">
        <v>25</v>
      </c>
      <c r="M18" s="78" t="s">
        <v>28</v>
      </c>
      <c r="N18" s="65" t="s">
        <v>25</v>
      </c>
      <c r="O18" s="79" t="s">
        <v>108</v>
      </c>
      <c r="P18" s="79"/>
      <c r="Q18" s="542" t="s">
        <v>25</v>
      </c>
      <c r="R18" s="81"/>
      <c r="S18" s="82" t="s">
        <v>102</v>
      </c>
      <c r="T18" s="83"/>
      <c r="U18" s="163">
        <v>0</v>
      </c>
      <c r="V18" s="164">
        <v>1</v>
      </c>
      <c r="W18" s="163">
        <f t="shared" si="1"/>
        <v>0</v>
      </c>
      <c r="X18" s="4"/>
      <c r="Z18" s="16" t="s">
        <v>24</v>
      </c>
      <c r="AA18" s="5"/>
      <c r="AD18" s="15"/>
    </row>
    <row r="19" spans="1:30" s="14" customFormat="1" ht="56.25">
      <c r="A19" s="358" t="s">
        <v>25</v>
      </c>
      <c r="B19" s="74" t="s">
        <v>109</v>
      </c>
      <c r="C19" s="71" t="s">
        <v>25</v>
      </c>
      <c r="D19" s="72" t="s">
        <v>110</v>
      </c>
      <c r="E19" s="75">
        <f>LEN(D19)</f>
        <v>146</v>
      </c>
      <c r="F19" s="72" t="s">
        <v>111</v>
      </c>
      <c r="G19" s="75">
        <f>LEN(F19)</f>
        <v>198</v>
      </c>
      <c r="H19" s="76" t="s">
        <v>112</v>
      </c>
      <c r="I19" s="75">
        <f>LEN(H19)</f>
        <v>198</v>
      </c>
      <c r="J19" s="77" t="s">
        <v>25</v>
      </c>
      <c r="K19" s="78" t="s">
        <v>25</v>
      </c>
      <c r="L19" s="78" t="s">
        <v>25</v>
      </c>
      <c r="M19" s="78" t="s">
        <v>25</v>
      </c>
      <c r="N19" s="65" t="s">
        <v>25</v>
      </c>
      <c r="O19" s="79" t="s">
        <v>113</v>
      </c>
      <c r="P19" s="79"/>
      <c r="Q19" s="542" t="s">
        <v>25</v>
      </c>
      <c r="R19" s="81"/>
      <c r="S19" s="82" t="s">
        <v>25</v>
      </c>
      <c r="T19" s="83"/>
      <c r="U19" s="163">
        <v>0</v>
      </c>
      <c r="V19" s="164">
        <v>1</v>
      </c>
      <c r="W19" s="163">
        <f t="shared" si="1"/>
        <v>0</v>
      </c>
      <c r="X19" s="4"/>
      <c r="Z19" s="16" t="s">
        <v>24</v>
      </c>
      <c r="AA19" s="5"/>
      <c r="AD19" s="15"/>
    </row>
    <row r="20" spans="1:30" s="14" customFormat="1" ht="21.75" thickBot="1">
      <c r="A20" s="361" t="s">
        <v>25</v>
      </c>
      <c r="B20" s="106" t="s">
        <v>114</v>
      </c>
      <c r="C20" s="107" t="s">
        <v>25</v>
      </c>
      <c r="D20" s="108" t="s">
        <v>115</v>
      </c>
      <c r="E20" s="109">
        <f t="shared" si="0"/>
        <v>65</v>
      </c>
      <c r="F20" s="108" t="s">
        <v>116</v>
      </c>
      <c r="G20" s="109">
        <f t="shared" si="0"/>
        <v>67</v>
      </c>
      <c r="H20" s="76" t="s">
        <v>117</v>
      </c>
      <c r="I20" s="109">
        <f t="shared" si="0"/>
        <v>61</v>
      </c>
      <c r="J20" s="110" t="s">
        <v>25</v>
      </c>
      <c r="K20" s="111" t="s">
        <v>25</v>
      </c>
      <c r="L20" s="111" t="s">
        <v>25</v>
      </c>
      <c r="M20" s="111" t="s">
        <v>25</v>
      </c>
      <c r="N20" s="65" t="s">
        <v>25</v>
      </c>
      <c r="O20" s="112" t="s">
        <v>118</v>
      </c>
      <c r="P20" s="491"/>
      <c r="Q20" s="542" t="s">
        <v>25</v>
      </c>
      <c r="R20" s="113"/>
      <c r="S20" s="114" t="s">
        <v>119</v>
      </c>
      <c r="T20" s="115"/>
      <c r="U20" s="163">
        <v>0</v>
      </c>
      <c r="V20" s="164">
        <v>1</v>
      </c>
      <c r="W20" s="163">
        <f t="shared" si="1"/>
        <v>0</v>
      </c>
      <c r="X20" s="4"/>
      <c r="Z20" s="16" t="s">
        <v>24</v>
      </c>
      <c r="AA20" s="5"/>
      <c r="AD20" s="15"/>
    </row>
    <row r="21" spans="1:30" s="14" customFormat="1" ht="21.75" thickBot="1">
      <c r="A21" s="624" t="s">
        <v>120</v>
      </c>
      <c r="B21" s="625"/>
      <c r="C21" s="626"/>
      <c r="D21" s="625"/>
      <c r="E21" s="625"/>
      <c r="F21" s="626"/>
      <c r="G21" s="626"/>
      <c r="H21" s="626"/>
      <c r="I21" s="626"/>
      <c r="J21" s="625"/>
      <c r="K21" s="626"/>
      <c r="L21" s="625"/>
      <c r="M21" s="625"/>
      <c r="N21" s="625"/>
      <c r="O21" s="625"/>
      <c r="P21" s="625"/>
      <c r="Q21" s="625"/>
      <c r="R21" s="625"/>
      <c r="S21" s="625"/>
      <c r="T21" s="627"/>
      <c r="U21" s="163"/>
      <c r="V21" s="164"/>
      <c r="W21" s="164"/>
      <c r="X21" s="4"/>
      <c r="Z21" s="16"/>
      <c r="AA21" s="5"/>
      <c r="AD21" s="15"/>
    </row>
    <row r="22" spans="1:30" s="14" customFormat="1" ht="75">
      <c r="A22" s="362">
        <f>A15+1</f>
        <v>5</v>
      </c>
      <c r="B22" s="116" t="s">
        <v>121</v>
      </c>
      <c r="C22" s="117" t="s">
        <v>121</v>
      </c>
      <c r="D22" s="118" t="s">
        <v>122</v>
      </c>
      <c r="E22" s="119">
        <f>LEN(D22)</f>
        <v>96</v>
      </c>
      <c r="F22" s="118" t="s">
        <v>123</v>
      </c>
      <c r="G22" s="119">
        <f>LEN(F22)</f>
        <v>116</v>
      </c>
      <c r="H22" s="118" t="s">
        <v>124</v>
      </c>
      <c r="I22" s="119">
        <f>LEN(H22)</f>
        <v>82</v>
      </c>
      <c r="J22" s="120" t="s">
        <v>27</v>
      </c>
      <c r="K22" s="121" t="s">
        <v>25</v>
      </c>
      <c r="L22" s="121" t="s">
        <v>25</v>
      </c>
      <c r="M22" s="121" t="s">
        <v>28</v>
      </c>
      <c r="N22" s="122" t="s">
        <v>25</v>
      </c>
      <c r="O22" s="123" t="s">
        <v>125</v>
      </c>
      <c r="P22" s="123"/>
      <c r="Q22" s="543" t="s">
        <v>1374</v>
      </c>
      <c r="R22" s="124"/>
      <c r="S22" s="125" t="s">
        <v>126</v>
      </c>
      <c r="T22" s="126"/>
      <c r="U22" s="253">
        <v>10</v>
      </c>
      <c r="V22" s="584">
        <f>1</f>
        <v>1</v>
      </c>
      <c r="W22" s="253">
        <f t="shared" ref="W22:W45" si="2">U22*V22</f>
        <v>10</v>
      </c>
      <c r="X22" s="4"/>
      <c r="Z22" s="16" t="s">
        <v>35</v>
      </c>
      <c r="AA22" s="5"/>
      <c r="AD22" s="15" t="s">
        <v>127</v>
      </c>
    </row>
    <row r="23" spans="1:30" s="14" customFormat="1" ht="75">
      <c r="A23" s="358">
        <f>A22+1</f>
        <v>6</v>
      </c>
      <c r="B23" s="116" t="s">
        <v>128</v>
      </c>
      <c r="C23" s="117" t="s">
        <v>128</v>
      </c>
      <c r="D23" s="118" t="s">
        <v>129</v>
      </c>
      <c r="E23" s="119">
        <f>LEN(D23)</f>
        <v>95</v>
      </c>
      <c r="F23" s="118" t="s">
        <v>130</v>
      </c>
      <c r="G23" s="119">
        <f>LEN(F23)</f>
        <v>112</v>
      </c>
      <c r="H23" s="118" t="s">
        <v>131</v>
      </c>
      <c r="I23" s="119">
        <f>LEN(H23)</f>
        <v>102</v>
      </c>
      <c r="J23" s="120" t="s">
        <v>27</v>
      </c>
      <c r="K23" s="121" t="s">
        <v>25</v>
      </c>
      <c r="L23" s="121" t="s">
        <v>25</v>
      </c>
      <c r="M23" s="121" t="s">
        <v>28</v>
      </c>
      <c r="N23" s="122" t="s">
        <v>25</v>
      </c>
      <c r="O23" s="123" t="s">
        <v>132</v>
      </c>
      <c r="P23" s="123"/>
      <c r="Q23" s="544" t="s">
        <v>1375</v>
      </c>
      <c r="R23" s="124"/>
      <c r="S23" s="125" t="s">
        <v>126</v>
      </c>
      <c r="T23" s="126"/>
      <c r="U23" s="253">
        <v>10</v>
      </c>
      <c r="V23" s="584">
        <f>1</f>
        <v>1</v>
      </c>
      <c r="W23" s="253">
        <f t="shared" si="2"/>
        <v>10</v>
      </c>
      <c r="X23" s="4"/>
      <c r="Z23" s="16" t="s">
        <v>35</v>
      </c>
      <c r="AA23" s="5"/>
      <c r="AD23" s="15" t="s">
        <v>127</v>
      </c>
    </row>
    <row r="24" spans="1:30" s="14" customFormat="1" ht="112.5">
      <c r="A24" s="358">
        <f>A23+1</f>
        <v>7</v>
      </c>
      <c r="B24" s="127" t="s">
        <v>133</v>
      </c>
      <c r="C24" s="128" t="s">
        <v>133</v>
      </c>
      <c r="D24" s="62" t="s">
        <v>134</v>
      </c>
      <c r="E24" s="129">
        <f>LEN(D24)</f>
        <v>176</v>
      </c>
      <c r="F24" s="62" t="s">
        <v>135</v>
      </c>
      <c r="G24" s="129">
        <f>LEN(F24)</f>
        <v>229</v>
      </c>
      <c r="H24" s="62" t="s">
        <v>136</v>
      </c>
      <c r="I24" s="129">
        <f>LEN(H24)</f>
        <v>188</v>
      </c>
      <c r="J24" s="117" t="s">
        <v>137</v>
      </c>
      <c r="K24" s="117" t="s">
        <v>25</v>
      </c>
      <c r="L24" s="117" t="s">
        <v>25</v>
      </c>
      <c r="M24" s="117" t="s">
        <v>28</v>
      </c>
      <c r="N24" s="122" t="s">
        <v>25</v>
      </c>
      <c r="O24" s="66" t="s">
        <v>138</v>
      </c>
      <c r="P24" s="66"/>
      <c r="Q24" s="545" t="s">
        <v>1376</v>
      </c>
      <c r="R24" s="130"/>
      <c r="S24" s="125" t="s">
        <v>126</v>
      </c>
      <c r="T24" s="126"/>
      <c r="U24" s="253">
        <v>13.753072738647459</v>
      </c>
      <c r="V24" s="584">
        <f>1</f>
        <v>1</v>
      </c>
      <c r="W24" s="253">
        <f t="shared" si="2"/>
        <v>13.753072738647459</v>
      </c>
      <c r="X24" s="4"/>
      <c r="Z24" s="7" t="s">
        <v>35</v>
      </c>
      <c r="AA24" s="5"/>
      <c r="AD24" s="15"/>
    </row>
    <row r="25" spans="1:30" s="14" customFormat="1" ht="168.75">
      <c r="A25" s="357">
        <f>A24+1</f>
        <v>8</v>
      </c>
      <c r="B25" s="74" t="s">
        <v>139</v>
      </c>
      <c r="C25" s="71" t="s">
        <v>139</v>
      </c>
      <c r="D25" s="263" t="s">
        <v>1312</v>
      </c>
      <c r="E25" s="472">
        <f>LEN(D25)</f>
        <v>168</v>
      </c>
      <c r="F25" s="263" t="s">
        <v>1615</v>
      </c>
      <c r="G25" s="472">
        <f>LEN(F25)</f>
        <v>176</v>
      </c>
      <c r="H25" s="263" t="s">
        <v>1614</v>
      </c>
      <c r="I25" s="75">
        <f>LEN(H25)</f>
        <v>167</v>
      </c>
      <c r="J25" s="77" t="s">
        <v>42</v>
      </c>
      <c r="K25" s="78" t="s">
        <v>25</v>
      </c>
      <c r="L25" s="78" t="s">
        <v>25</v>
      </c>
      <c r="M25" s="78" t="s">
        <v>43</v>
      </c>
      <c r="N25" s="122" t="s">
        <v>25</v>
      </c>
      <c r="O25" s="79" t="s">
        <v>140</v>
      </c>
      <c r="P25" s="66"/>
      <c r="Q25" s="514" t="s">
        <v>1377</v>
      </c>
      <c r="R25" s="132"/>
      <c r="S25" s="82" t="s">
        <v>141</v>
      </c>
      <c r="T25" s="83"/>
      <c r="U25" s="253">
        <v>2.1173560619354248</v>
      </c>
      <c r="V25" s="584">
        <f>1</f>
        <v>1</v>
      </c>
      <c r="W25" s="253">
        <f t="shared" si="2"/>
        <v>2.1173560619354248</v>
      </c>
      <c r="X25" s="4"/>
      <c r="Z25" s="7" t="s">
        <v>35</v>
      </c>
      <c r="AA25" s="5"/>
      <c r="AD25" s="15"/>
    </row>
    <row r="26" spans="1:30" s="18" customFormat="1" ht="168.75">
      <c r="A26" s="357">
        <f t="shared" ref="A26:A44" si="3">A25+1</f>
        <v>9</v>
      </c>
      <c r="B26" s="74" t="s">
        <v>142</v>
      </c>
      <c r="C26" s="133" t="s">
        <v>142</v>
      </c>
      <c r="D26" s="134" t="s">
        <v>143</v>
      </c>
      <c r="E26" s="135">
        <f t="shared" ref="E26:I33" si="4">LEN(D26)</f>
        <v>135</v>
      </c>
      <c r="F26" s="134" t="s">
        <v>144</v>
      </c>
      <c r="G26" s="135">
        <f t="shared" si="4"/>
        <v>163</v>
      </c>
      <c r="H26" s="134" t="s">
        <v>145</v>
      </c>
      <c r="I26" s="135">
        <f t="shared" si="4"/>
        <v>139</v>
      </c>
      <c r="J26" s="77" t="s">
        <v>42</v>
      </c>
      <c r="K26" s="78" t="s">
        <v>25</v>
      </c>
      <c r="L26" s="78" t="s">
        <v>25</v>
      </c>
      <c r="M26" s="78" t="s">
        <v>43</v>
      </c>
      <c r="N26" s="122" t="s">
        <v>25</v>
      </c>
      <c r="O26" s="72" t="s">
        <v>146</v>
      </c>
      <c r="P26" s="66"/>
      <c r="Q26" s="585" t="s">
        <v>1442</v>
      </c>
      <c r="R26" s="586"/>
      <c r="S26" s="587" t="s">
        <v>141</v>
      </c>
      <c r="T26" s="588"/>
      <c r="U26" s="589">
        <v>10</v>
      </c>
      <c r="V26" s="590">
        <f>1</f>
        <v>1</v>
      </c>
      <c r="W26" s="589">
        <f t="shared" si="2"/>
        <v>10</v>
      </c>
      <c r="X26" s="17"/>
      <c r="Z26" s="19" t="s">
        <v>147</v>
      </c>
      <c r="AA26" s="20"/>
      <c r="AD26" s="21" t="s">
        <v>127</v>
      </c>
    </row>
    <row r="27" spans="1:30" s="18" customFormat="1" ht="75">
      <c r="A27" s="357">
        <f t="shared" si="3"/>
        <v>10</v>
      </c>
      <c r="B27" s="74" t="s">
        <v>148</v>
      </c>
      <c r="C27" s="133" t="s">
        <v>149</v>
      </c>
      <c r="D27" s="134" t="s">
        <v>150</v>
      </c>
      <c r="E27" s="135">
        <f t="shared" si="4"/>
        <v>91</v>
      </c>
      <c r="F27" s="134" t="s">
        <v>151</v>
      </c>
      <c r="G27" s="135">
        <f t="shared" si="4"/>
        <v>111</v>
      </c>
      <c r="H27" s="134" t="s">
        <v>152</v>
      </c>
      <c r="I27" s="135">
        <f t="shared" si="4"/>
        <v>91</v>
      </c>
      <c r="J27" s="77" t="s">
        <v>27</v>
      </c>
      <c r="K27" s="78" t="s">
        <v>25</v>
      </c>
      <c r="L27" s="78" t="s">
        <v>25</v>
      </c>
      <c r="M27" s="78" t="s">
        <v>28</v>
      </c>
      <c r="N27" s="122" t="s">
        <v>25</v>
      </c>
      <c r="O27" s="72" t="s">
        <v>153</v>
      </c>
      <c r="P27" s="72"/>
      <c r="Q27" s="517" t="s">
        <v>154</v>
      </c>
      <c r="R27" s="591"/>
      <c r="S27" s="587" t="s">
        <v>155</v>
      </c>
      <c r="T27" s="588"/>
      <c r="U27" s="589">
        <v>10</v>
      </c>
      <c r="V27" s="590">
        <f>1</f>
        <v>1</v>
      </c>
      <c r="W27" s="589">
        <f t="shared" si="2"/>
        <v>10</v>
      </c>
      <c r="X27" s="17"/>
      <c r="Z27" s="19" t="s">
        <v>147</v>
      </c>
      <c r="AA27" s="20"/>
      <c r="AD27" s="21" t="s">
        <v>127</v>
      </c>
    </row>
    <row r="28" spans="1:30" s="23" customFormat="1" ht="225">
      <c r="A28" s="357">
        <f t="shared" si="3"/>
        <v>11</v>
      </c>
      <c r="B28" s="74" t="s">
        <v>156</v>
      </c>
      <c r="C28" s="133" t="s">
        <v>156</v>
      </c>
      <c r="D28" s="592" t="s">
        <v>1443</v>
      </c>
      <c r="E28" s="472">
        <f t="shared" si="4"/>
        <v>320</v>
      </c>
      <c r="F28" s="592" t="s">
        <v>157</v>
      </c>
      <c r="G28" s="472">
        <f t="shared" si="4"/>
        <v>268</v>
      </c>
      <c r="H28" s="592" t="s">
        <v>1613</v>
      </c>
      <c r="I28" s="78">
        <f t="shared" si="4"/>
        <v>226</v>
      </c>
      <c r="J28" s="77" t="s">
        <v>42</v>
      </c>
      <c r="K28" s="78" t="s">
        <v>25</v>
      </c>
      <c r="L28" s="78" t="s">
        <v>25</v>
      </c>
      <c r="M28" s="78" t="s">
        <v>43</v>
      </c>
      <c r="N28" s="122" t="s">
        <v>25</v>
      </c>
      <c r="O28" s="72" t="s">
        <v>158</v>
      </c>
      <c r="P28" s="66"/>
      <c r="Q28" s="516" t="s">
        <v>1378</v>
      </c>
      <c r="R28" s="593"/>
      <c r="S28" s="82" t="s">
        <v>141</v>
      </c>
      <c r="T28" s="83"/>
      <c r="U28" s="253">
        <v>10</v>
      </c>
      <c r="V28" s="584">
        <f>1</f>
        <v>1</v>
      </c>
      <c r="W28" s="253">
        <f t="shared" si="2"/>
        <v>10</v>
      </c>
      <c r="X28" s="22"/>
      <c r="Z28" s="24" t="s">
        <v>147</v>
      </c>
      <c r="AA28" s="25"/>
      <c r="AD28" s="26" t="s">
        <v>127</v>
      </c>
    </row>
    <row r="29" spans="1:30" s="23" customFormat="1" ht="75">
      <c r="A29" s="357">
        <f t="shared" si="3"/>
        <v>12</v>
      </c>
      <c r="B29" s="74" t="s">
        <v>159</v>
      </c>
      <c r="C29" s="133" t="s">
        <v>159</v>
      </c>
      <c r="D29" s="136" t="s">
        <v>160</v>
      </c>
      <c r="E29" s="78">
        <f t="shared" si="4"/>
        <v>101</v>
      </c>
      <c r="F29" s="136" t="s">
        <v>161</v>
      </c>
      <c r="G29" s="78">
        <f t="shared" si="4"/>
        <v>110</v>
      </c>
      <c r="H29" s="136" t="s">
        <v>162</v>
      </c>
      <c r="I29" s="78">
        <f t="shared" si="4"/>
        <v>92</v>
      </c>
      <c r="J29" s="77" t="s">
        <v>27</v>
      </c>
      <c r="K29" s="78" t="s">
        <v>25</v>
      </c>
      <c r="L29" s="78" t="s">
        <v>25</v>
      </c>
      <c r="M29" s="78" t="s">
        <v>28</v>
      </c>
      <c r="N29" s="122" t="s">
        <v>25</v>
      </c>
      <c r="O29" s="72" t="s">
        <v>163</v>
      </c>
      <c r="P29" s="72"/>
      <c r="Q29" s="594" t="s">
        <v>164</v>
      </c>
      <c r="R29" s="105"/>
      <c r="S29" s="82" t="s">
        <v>165</v>
      </c>
      <c r="T29" s="83"/>
      <c r="U29" s="253">
        <v>10</v>
      </c>
      <c r="V29" s="584">
        <f>1</f>
        <v>1</v>
      </c>
      <c r="W29" s="253">
        <f t="shared" si="2"/>
        <v>10</v>
      </c>
      <c r="X29" s="22"/>
      <c r="Z29" s="24" t="s">
        <v>147</v>
      </c>
      <c r="AA29" s="25"/>
      <c r="AD29" s="26" t="s">
        <v>127</v>
      </c>
    </row>
    <row r="30" spans="1:30" s="23" customFormat="1" ht="94.5">
      <c r="A30" s="357">
        <f t="shared" si="3"/>
        <v>13</v>
      </c>
      <c r="B30" s="74" t="s">
        <v>166</v>
      </c>
      <c r="C30" s="133" t="s">
        <v>166</v>
      </c>
      <c r="D30" s="136" t="s">
        <v>167</v>
      </c>
      <c r="E30" s="78">
        <f t="shared" si="4"/>
        <v>89</v>
      </c>
      <c r="F30" s="136" t="s">
        <v>168</v>
      </c>
      <c r="G30" s="78">
        <f t="shared" si="4"/>
        <v>107</v>
      </c>
      <c r="H30" s="136" t="s">
        <v>169</v>
      </c>
      <c r="I30" s="78">
        <f t="shared" si="4"/>
        <v>93</v>
      </c>
      <c r="J30" s="77" t="s">
        <v>27</v>
      </c>
      <c r="K30" s="78" t="s">
        <v>25</v>
      </c>
      <c r="L30" s="78" t="s">
        <v>170</v>
      </c>
      <c r="M30" s="78" t="s">
        <v>28</v>
      </c>
      <c r="N30" s="122" t="s">
        <v>25</v>
      </c>
      <c r="O30" s="72" t="s">
        <v>171</v>
      </c>
      <c r="P30" s="72"/>
      <c r="Q30" s="517" t="s">
        <v>1379</v>
      </c>
      <c r="R30" s="493"/>
      <c r="S30" s="82" t="s">
        <v>172</v>
      </c>
      <c r="T30" s="83"/>
      <c r="U30" s="253">
        <v>10</v>
      </c>
      <c r="V30" s="584">
        <f>1</f>
        <v>1</v>
      </c>
      <c r="W30" s="253">
        <f t="shared" si="2"/>
        <v>10</v>
      </c>
      <c r="X30" s="22"/>
      <c r="Z30" s="24" t="s">
        <v>147</v>
      </c>
      <c r="AA30" s="25"/>
      <c r="AD30" s="26"/>
    </row>
    <row r="31" spans="1:30" s="23" customFormat="1" ht="225">
      <c r="A31" s="357">
        <f t="shared" si="3"/>
        <v>14</v>
      </c>
      <c r="B31" s="74" t="s">
        <v>173</v>
      </c>
      <c r="C31" s="133" t="s">
        <v>173</v>
      </c>
      <c r="D31" s="592" t="s">
        <v>1444</v>
      </c>
      <c r="E31" s="472">
        <f t="shared" si="4"/>
        <v>319</v>
      </c>
      <c r="F31" s="592" t="s">
        <v>157</v>
      </c>
      <c r="G31" s="472">
        <f t="shared" si="4"/>
        <v>268</v>
      </c>
      <c r="H31" s="592" t="s">
        <v>1613</v>
      </c>
      <c r="I31" s="78">
        <f t="shared" si="4"/>
        <v>226</v>
      </c>
      <c r="J31" s="77" t="s">
        <v>42</v>
      </c>
      <c r="K31" s="78" t="s">
        <v>25</v>
      </c>
      <c r="L31" s="78" t="s">
        <v>25</v>
      </c>
      <c r="M31" s="78" t="s">
        <v>43</v>
      </c>
      <c r="N31" s="122" t="s">
        <v>25</v>
      </c>
      <c r="O31" s="72" t="s">
        <v>174</v>
      </c>
      <c r="P31" s="66"/>
      <c r="Q31" s="516" t="s">
        <v>175</v>
      </c>
      <c r="R31" s="593"/>
      <c r="S31" s="82" t="s">
        <v>165</v>
      </c>
      <c r="T31" s="83"/>
      <c r="U31" s="253">
        <v>10</v>
      </c>
      <c r="V31" s="584">
        <f>1</f>
        <v>1</v>
      </c>
      <c r="W31" s="253">
        <f t="shared" si="2"/>
        <v>10</v>
      </c>
      <c r="X31" s="22"/>
      <c r="Z31" s="24" t="s">
        <v>147</v>
      </c>
      <c r="AA31" s="25"/>
      <c r="AD31" s="26" t="s">
        <v>127</v>
      </c>
    </row>
    <row r="32" spans="1:30" s="23" customFormat="1" ht="75">
      <c r="A32" s="357">
        <f t="shared" si="3"/>
        <v>15</v>
      </c>
      <c r="B32" s="74" t="s">
        <v>176</v>
      </c>
      <c r="C32" s="133" t="s">
        <v>176</v>
      </c>
      <c r="D32" s="136" t="s">
        <v>160</v>
      </c>
      <c r="E32" s="78">
        <f t="shared" si="4"/>
        <v>101</v>
      </c>
      <c r="F32" s="136" t="s">
        <v>161</v>
      </c>
      <c r="G32" s="78">
        <f t="shared" si="4"/>
        <v>110</v>
      </c>
      <c r="H32" s="136" t="s">
        <v>162</v>
      </c>
      <c r="I32" s="78">
        <f t="shared" si="4"/>
        <v>92</v>
      </c>
      <c r="J32" s="77" t="s">
        <v>27</v>
      </c>
      <c r="K32" s="78" t="s">
        <v>25</v>
      </c>
      <c r="L32" s="78" t="s">
        <v>25</v>
      </c>
      <c r="M32" s="78" t="s">
        <v>28</v>
      </c>
      <c r="N32" s="122" t="s">
        <v>25</v>
      </c>
      <c r="O32" s="72" t="s">
        <v>177</v>
      </c>
      <c r="P32" s="72"/>
      <c r="Q32" s="594" t="s">
        <v>178</v>
      </c>
      <c r="R32" s="105"/>
      <c r="S32" s="82" t="s">
        <v>179</v>
      </c>
      <c r="T32" s="83"/>
      <c r="U32" s="253">
        <v>10</v>
      </c>
      <c r="V32" s="584">
        <f>1</f>
        <v>1</v>
      </c>
      <c r="W32" s="253">
        <f t="shared" si="2"/>
        <v>10</v>
      </c>
      <c r="X32" s="22"/>
      <c r="Z32" s="24" t="s">
        <v>147</v>
      </c>
      <c r="AA32" s="25"/>
      <c r="AD32" s="26" t="s">
        <v>127</v>
      </c>
    </row>
    <row r="33" spans="1:30" s="23" customFormat="1" ht="94.5">
      <c r="A33" s="357">
        <f t="shared" si="3"/>
        <v>16</v>
      </c>
      <c r="B33" s="74" t="s">
        <v>180</v>
      </c>
      <c r="C33" s="133" t="s">
        <v>181</v>
      </c>
      <c r="D33" s="136" t="s">
        <v>167</v>
      </c>
      <c r="E33" s="78">
        <f t="shared" si="4"/>
        <v>89</v>
      </c>
      <c r="F33" s="136" t="s">
        <v>168</v>
      </c>
      <c r="G33" s="78">
        <f t="shared" si="4"/>
        <v>107</v>
      </c>
      <c r="H33" s="136" t="s">
        <v>169</v>
      </c>
      <c r="I33" s="78">
        <f t="shared" si="4"/>
        <v>93</v>
      </c>
      <c r="J33" s="77" t="s">
        <v>27</v>
      </c>
      <c r="K33" s="78" t="s">
        <v>25</v>
      </c>
      <c r="L33" s="78" t="s">
        <v>182</v>
      </c>
      <c r="M33" s="78" t="s">
        <v>28</v>
      </c>
      <c r="N33" s="122" t="s">
        <v>25</v>
      </c>
      <c r="O33" s="72" t="s">
        <v>183</v>
      </c>
      <c r="P33" s="72"/>
      <c r="Q33" s="517" t="s">
        <v>1380</v>
      </c>
      <c r="R33" s="493"/>
      <c r="S33" s="82" t="s">
        <v>184</v>
      </c>
      <c r="T33" s="83"/>
      <c r="U33" s="253">
        <v>10</v>
      </c>
      <c r="V33" s="584">
        <f>1</f>
        <v>1</v>
      </c>
      <c r="W33" s="253">
        <f t="shared" si="2"/>
        <v>10</v>
      </c>
      <c r="X33" s="22"/>
      <c r="Z33" s="24" t="s">
        <v>147</v>
      </c>
      <c r="AA33" s="25"/>
      <c r="AD33" s="26"/>
    </row>
    <row r="34" spans="1:30" s="14" customFormat="1" ht="356.25">
      <c r="A34" s="357">
        <f t="shared" si="3"/>
        <v>17</v>
      </c>
      <c r="B34" s="60" t="s">
        <v>185</v>
      </c>
      <c r="C34" s="71" t="s">
        <v>185</v>
      </c>
      <c r="D34" s="62" t="s">
        <v>1439</v>
      </c>
      <c r="E34" s="64">
        <f>LEN(D34)</f>
        <v>377</v>
      </c>
      <c r="F34" s="62" t="s">
        <v>186</v>
      </c>
      <c r="G34" s="64">
        <f>LEN(F34)</f>
        <v>426</v>
      </c>
      <c r="H34" s="62" t="s">
        <v>187</v>
      </c>
      <c r="I34" s="64">
        <f>LEN(H34)</f>
        <v>371</v>
      </c>
      <c r="J34" s="137" t="s">
        <v>42</v>
      </c>
      <c r="K34" s="64" t="s">
        <v>25</v>
      </c>
      <c r="L34" s="64" t="s">
        <v>25</v>
      </c>
      <c r="M34" s="64" t="s">
        <v>188</v>
      </c>
      <c r="N34" s="122" t="s">
        <v>25</v>
      </c>
      <c r="O34" s="66" t="s">
        <v>189</v>
      </c>
      <c r="P34" s="492"/>
      <c r="Q34" s="138" t="s">
        <v>190</v>
      </c>
      <c r="R34" s="139"/>
      <c r="S34" s="82" t="s">
        <v>141</v>
      </c>
      <c r="T34" s="83"/>
      <c r="U34" s="253">
        <v>8.8000000000000007</v>
      </c>
      <c r="V34" s="584">
        <f>1</f>
        <v>1</v>
      </c>
      <c r="W34" s="253">
        <f t="shared" si="2"/>
        <v>8.8000000000000007</v>
      </c>
      <c r="X34" s="4"/>
      <c r="Z34" s="7" t="s">
        <v>35</v>
      </c>
      <c r="AA34" s="5"/>
      <c r="AD34" s="15"/>
    </row>
    <row r="35" spans="1:30" s="14" customFormat="1" ht="300">
      <c r="A35" s="357">
        <f>A34+1</f>
        <v>18</v>
      </c>
      <c r="B35" s="74" t="s">
        <v>191</v>
      </c>
      <c r="C35" s="71" t="s">
        <v>191</v>
      </c>
      <c r="D35" s="140" t="s">
        <v>192</v>
      </c>
      <c r="E35" s="75">
        <f>LEN(D35)</f>
        <v>224</v>
      </c>
      <c r="F35" s="140" t="s">
        <v>193</v>
      </c>
      <c r="G35" s="75">
        <f>LEN(F35)</f>
        <v>229</v>
      </c>
      <c r="H35" s="140" t="s">
        <v>194</v>
      </c>
      <c r="I35" s="75">
        <f>LEN(H35)</f>
        <v>219</v>
      </c>
      <c r="J35" s="77" t="s">
        <v>42</v>
      </c>
      <c r="K35" s="78" t="s">
        <v>25</v>
      </c>
      <c r="L35" s="78" t="s">
        <v>25</v>
      </c>
      <c r="M35" s="78" t="s">
        <v>195</v>
      </c>
      <c r="N35" s="122" t="s">
        <v>25</v>
      </c>
      <c r="O35" s="79" t="s">
        <v>1435</v>
      </c>
      <c r="P35" s="497"/>
      <c r="Q35" s="577"/>
      <c r="R35" s="141"/>
      <c r="S35" s="82"/>
      <c r="T35" s="142"/>
      <c r="U35" s="253"/>
      <c r="V35" s="584"/>
      <c r="W35" s="253"/>
      <c r="X35" s="4"/>
      <c r="Z35" s="7"/>
      <c r="AA35" s="5"/>
      <c r="AD35" s="15"/>
    </row>
    <row r="36" spans="1:30" s="14" customFormat="1" ht="300">
      <c r="A36" s="357">
        <f t="shared" si="3"/>
        <v>19</v>
      </c>
      <c r="B36" s="74" t="s">
        <v>197</v>
      </c>
      <c r="C36" s="71" t="s">
        <v>197</v>
      </c>
      <c r="D36" s="140" t="s">
        <v>198</v>
      </c>
      <c r="E36" s="75">
        <f t="shared" ref="E36:I42" si="5">LEN(D36)</f>
        <v>233</v>
      </c>
      <c r="F36" s="140" t="s">
        <v>199</v>
      </c>
      <c r="G36" s="75">
        <f t="shared" si="5"/>
        <v>238</v>
      </c>
      <c r="H36" s="140" t="s">
        <v>200</v>
      </c>
      <c r="I36" s="75">
        <f t="shared" si="5"/>
        <v>228</v>
      </c>
      <c r="J36" s="77" t="s">
        <v>42</v>
      </c>
      <c r="K36" s="78" t="s">
        <v>25</v>
      </c>
      <c r="L36" s="78" t="s">
        <v>25</v>
      </c>
      <c r="M36" s="78" t="s">
        <v>195</v>
      </c>
      <c r="N36" s="122" t="s">
        <v>25</v>
      </c>
      <c r="O36" s="79" t="s">
        <v>196</v>
      </c>
      <c r="P36" s="66"/>
      <c r="Q36" s="577"/>
      <c r="R36" s="141"/>
      <c r="S36" s="82"/>
      <c r="T36" s="142"/>
      <c r="U36" s="253"/>
      <c r="V36" s="584"/>
      <c r="W36" s="253"/>
      <c r="X36" s="4"/>
      <c r="Z36" s="7"/>
      <c r="AA36" s="5"/>
      <c r="AD36" s="15"/>
    </row>
    <row r="37" spans="1:30" s="14" customFormat="1" ht="318.75">
      <c r="A37" s="357">
        <f t="shared" si="3"/>
        <v>20</v>
      </c>
      <c r="B37" s="74" t="s">
        <v>201</v>
      </c>
      <c r="C37" s="71" t="s">
        <v>201</v>
      </c>
      <c r="D37" s="140" t="s">
        <v>202</v>
      </c>
      <c r="E37" s="75">
        <f t="shared" si="5"/>
        <v>242</v>
      </c>
      <c r="F37" s="140" t="s">
        <v>203</v>
      </c>
      <c r="G37" s="75">
        <f t="shared" si="5"/>
        <v>247</v>
      </c>
      <c r="H37" s="140" t="s">
        <v>204</v>
      </c>
      <c r="I37" s="75">
        <f t="shared" si="5"/>
        <v>237</v>
      </c>
      <c r="J37" s="77" t="s">
        <v>42</v>
      </c>
      <c r="K37" s="78" t="s">
        <v>25</v>
      </c>
      <c r="L37" s="78" t="s">
        <v>25</v>
      </c>
      <c r="M37" s="78" t="s">
        <v>195</v>
      </c>
      <c r="N37" s="122" t="s">
        <v>25</v>
      </c>
      <c r="O37" s="79" t="s">
        <v>205</v>
      </c>
      <c r="P37" s="66"/>
      <c r="Q37" s="577"/>
      <c r="R37" s="141"/>
      <c r="S37" s="82"/>
      <c r="T37" s="142"/>
      <c r="U37" s="253"/>
      <c r="V37" s="584"/>
      <c r="W37" s="253"/>
      <c r="X37" s="4"/>
      <c r="Z37" s="7"/>
      <c r="AA37" s="5"/>
      <c r="AD37" s="15"/>
    </row>
    <row r="38" spans="1:30" s="14" customFormat="1" ht="356.25">
      <c r="A38" s="357">
        <f t="shared" si="3"/>
        <v>21</v>
      </c>
      <c r="B38" s="74" t="s">
        <v>206</v>
      </c>
      <c r="C38" s="71" t="s">
        <v>206</v>
      </c>
      <c r="D38" s="140" t="s">
        <v>207</v>
      </c>
      <c r="E38" s="75">
        <f t="shared" si="5"/>
        <v>266</v>
      </c>
      <c r="F38" s="140" t="s">
        <v>208</v>
      </c>
      <c r="G38" s="75">
        <f t="shared" si="5"/>
        <v>271</v>
      </c>
      <c r="H38" s="140" t="s">
        <v>209</v>
      </c>
      <c r="I38" s="75">
        <f t="shared" si="5"/>
        <v>261</v>
      </c>
      <c r="J38" s="77" t="s">
        <v>42</v>
      </c>
      <c r="K38" s="78" t="s">
        <v>25</v>
      </c>
      <c r="L38" s="78" t="s">
        <v>25</v>
      </c>
      <c r="M38" s="78" t="s">
        <v>195</v>
      </c>
      <c r="N38" s="122" t="s">
        <v>25</v>
      </c>
      <c r="O38" s="79" t="s">
        <v>210</v>
      </c>
      <c r="P38" s="66"/>
      <c r="Q38" s="577"/>
      <c r="R38" s="141"/>
      <c r="S38" s="82"/>
      <c r="T38" s="142"/>
      <c r="U38" s="253"/>
      <c r="V38" s="584"/>
      <c r="W38" s="253"/>
      <c r="X38" s="4"/>
      <c r="Z38" s="7"/>
      <c r="AA38" s="5"/>
      <c r="AD38" s="15"/>
    </row>
    <row r="39" spans="1:30" s="14" customFormat="1" ht="281.25">
      <c r="A39" s="357">
        <f t="shared" si="3"/>
        <v>22</v>
      </c>
      <c r="B39" s="74" t="s">
        <v>211</v>
      </c>
      <c r="C39" s="71" t="s">
        <v>211</v>
      </c>
      <c r="D39" s="140" t="s">
        <v>212</v>
      </c>
      <c r="E39" s="75">
        <f t="shared" si="5"/>
        <v>209</v>
      </c>
      <c r="F39" s="140" t="s">
        <v>213</v>
      </c>
      <c r="G39" s="75">
        <f t="shared" si="5"/>
        <v>214</v>
      </c>
      <c r="H39" s="140" t="s">
        <v>214</v>
      </c>
      <c r="I39" s="75">
        <f t="shared" si="5"/>
        <v>204</v>
      </c>
      <c r="J39" s="77" t="s">
        <v>42</v>
      </c>
      <c r="K39" s="78" t="s">
        <v>25</v>
      </c>
      <c r="L39" s="78" t="s">
        <v>25</v>
      </c>
      <c r="M39" s="78" t="s">
        <v>195</v>
      </c>
      <c r="N39" s="122" t="s">
        <v>25</v>
      </c>
      <c r="O39" s="601" t="s">
        <v>1580</v>
      </c>
      <c r="P39" s="579" t="s">
        <v>1579</v>
      </c>
      <c r="Q39" s="577"/>
      <c r="R39" s="141"/>
      <c r="S39" s="82"/>
      <c r="T39" s="142"/>
      <c r="U39" s="253"/>
      <c r="V39" s="584"/>
      <c r="W39" s="253"/>
      <c r="X39" s="4"/>
      <c r="Z39" s="7"/>
      <c r="AA39" s="5"/>
      <c r="AD39" s="15"/>
    </row>
    <row r="40" spans="1:30" s="14" customFormat="1" ht="281.25">
      <c r="A40" s="357">
        <f t="shared" si="3"/>
        <v>23</v>
      </c>
      <c r="B40" s="74" t="s">
        <v>216</v>
      </c>
      <c r="C40" s="71" t="s">
        <v>216</v>
      </c>
      <c r="D40" s="140" t="s">
        <v>217</v>
      </c>
      <c r="E40" s="75">
        <f t="shared" si="5"/>
        <v>207</v>
      </c>
      <c r="F40" s="140" t="s">
        <v>218</v>
      </c>
      <c r="G40" s="75">
        <f t="shared" si="5"/>
        <v>212</v>
      </c>
      <c r="H40" s="140" t="s">
        <v>219</v>
      </c>
      <c r="I40" s="75">
        <f t="shared" si="5"/>
        <v>202</v>
      </c>
      <c r="J40" s="77" t="s">
        <v>42</v>
      </c>
      <c r="K40" s="78" t="s">
        <v>25</v>
      </c>
      <c r="L40" s="78" t="s">
        <v>25</v>
      </c>
      <c r="M40" s="78" t="s">
        <v>195</v>
      </c>
      <c r="N40" s="122" t="s">
        <v>25</v>
      </c>
      <c r="O40" s="79" t="s">
        <v>215</v>
      </c>
      <c r="P40" s="66"/>
      <c r="Q40" s="577"/>
      <c r="R40" s="141"/>
      <c r="S40" s="82"/>
      <c r="T40" s="142"/>
      <c r="U40" s="253"/>
      <c r="V40" s="584"/>
      <c r="W40" s="253"/>
      <c r="X40" s="4"/>
      <c r="Z40" s="7"/>
      <c r="AA40" s="5"/>
      <c r="AD40" s="15"/>
    </row>
    <row r="41" spans="1:30" s="14" customFormat="1" ht="300">
      <c r="A41" s="357">
        <f t="shared" si="3"/>
        <v>24</v>
      </c>
      <c r="B41" s="74" t="s">
        <v>220</v>
      </c>
      <c r="C41" s="71" t="s">
        <v>220</v>
      </c>
      <c r="D41" s="140" t="s">
        <v>221</v>
      </c>
      <c r="E41" s="75">
        <f t="shared" si="5"/>
        <v>232</v>
      </c>
      <c r="F41" s="140" t="s">
        <v>222</v>
      </c>
      <c r="G41" s="75">
        <f t="shared" si="5"/>
        <v>237</v>
      </c>
      <c r="H41" s="140" t="s">
        <v>223</v>
      </c>
      <c r="I41" s="75">
        <f t="shared" si="5"/>
        <v>227</v>
      </c>
      <c r="J41" s="77" t="s">
        <v>42</v>
      </c>
      <c r="K41" s="78" t="s">
        <v>25</v>
      </c>
      <c r="L41" s="78" t="s">
        <v>25</v>
      </c>
      <c r="M41" s="78" t="s">
        <v>195</v>
      </c>
      <c r="N41" s="122" t="s">
        <v>25</v>
      </c>
      <c r="O41" s="79" t="s">
        <v>1436</v>
      </c>
      <c r="P41" s="576"/>
      <c r="Q41" s="577"/>
      <c r="R41" s="141"/>
      <c r="S41" s="82"/>
      <c r="T41" s="142"/>
      <c r="U41" s="253"/>
      <c r="V41" s="584"/>
      <c r="W41" s="253"/>
      <c r="X41" s="4"/>
      <c r="Z41" s="7"/>
      <c r="AA41" s="5"/>
      <c r="AD41" s="15"/>
    </row>
    <row r="42" spans="1:30" s="14" customFormat="1" ht="375">
      <c r="A42" s="357">
        <f t="shared" si="3"/>
        <v>25</v>
      </c>
      <c r="B42" s="74" t="s">
        <v>224</v>
      </c>
      <c r="C42" s="71" t="s">
        <v>224</v>
      </c>
      <c r="D42" s="140" t="s">
        <v>225</v>
      </c>
      <c r="E42" s="75">
        <f t="shared" si="5"/>
        <v>307</v>
      </c>
      <c r="F42" s="140" t="s">
        <v>226</v>
      </c>
      <c r="G42" s="75">
        <f t="shared" si="5"/>
        <v>312</v>
      </c>
      <c r="H42" s="140" t="s">
        <v>227</v>
      </c>
      <c r="I42" s="75">
        <f t="shared" si="5"/>
        <v>302</v>
      </c>
      <c r="J42" s="77" t="s">
        <v>42</v>
      </c>
      <c r="K42" s="78" t="s">
        <v>25</v>
      </c>
      <c r="L42" s="78" t="s">
        <v>25</v>
      </c>
      <c r="M42" s="78" t="s">
        <v>195</v>
      </c>
      <c r="N42" s="122" t="s">
        <v>25</v>
      </c>
      <c r="O42" s="79" t="s">
        <v>228</v>
      </c>
      <c r="P42" s="66"/>
      <c r="Q42" s="577"/>
      <c r="R42" s="141"/>
      <c r="S42" s="82"/>
      <c r="T42" s="142"/>
      <c r="U42" s="253"/>
      <c r="V42" s="584"/>
      <c r="W42" s="253"/>
      <c r="X42" s="4"/>
      <c r="Z42" s="7"/>
      <c r="AA42" s="5"/>
      <c r="AD42" s="15"/>
    </row>
    <row r="43" spans="1:30" s="14" customFormat="1" ht="225">
      <c r="A43" s="357">
        <f t="shared" si="3"/>
        <v>26</v>
      </c>
      <c r="B43" s="74" t="s">
        <v>229</v>
      </c>
      <c r="C43" s="71" t="s">
        <v>229</v>
      </c>
      <c r="D43" s="72" t="s">
        <v>230</v>
      </c>
      <c r="E43" s="75">
        <f>LEN(D43)</f>
        <v>218</v>
      </c>
      <c r="F43" s="72" t="s">
        <v>231</v>
      </c>
      <c r="G43" s="75">
        <f>LEN(F43)</f>
        <v>267</v>
      </c>
      <c r="H43" s="72" t="s">
        <v>232</v>
      </c>
      <c r="I43" s="75">
        <f>LEN(H43)</f>
        <v>209</v>
      </c>
      <c r="J43" s="77" t="s">
        <v>42</v>
      </c>
      <c r="K43" s="78" t="s">
        <v>25</v>
      </c>
      <c r="L43" s="78" t="s">
        <v>25</v>
      </c>
      <c r="M43" s="78" t="s">
        <v>43</v>
      </c>
      <c r="N43" s="122" t="s">
        <v>25</v>
      </c>
      <c r="O43" s="79" t="s">
        <v>233</v>
      </c>
      <c r="P43" s="66"/>
      <c r="Q43" s="131" t="s">
        <v>234</v>
      </c>
      <c r="R43" s="132"/>
      <c r="S43" s="82" t="s">
        <v>141</v>
      </c>
      <c r="T43" s="83"/>
      <c r="U43" s="253">
        <v>2.284250020980835</v>
      </c>
      <c r="V43" s="584">
        <f>1</f>
        <v>1</v>
      </c>
      <c r="W43" s="253">
        <f t="shared" si="2"/>
        <v>2.284250020980835</v>
      </c>
      <c r="X43" s="4"/>
      <c r="Z43" s="16" t="s">
        <v>24</v>
      </c>
      <c r="AA43" s="5"/>
      <c r="AD43" s="15"/>
    </row>
    <row r="44" spans="1:30" s="14" customFormat="1" ht="375">
      <c r="A44" s="357">
        <f t="shared" si="3"/>
        <v>27</v>
      </c>
      <c r="B44" s="143" t="s">
        <v>235</v>
      </c>
      <c r="C44" s="144" t="s">
        <v>235</v>
      </c>
      <c r="D44" s="473" t="s">
        <v>1313</v>
      </c>
      <c r="E44" s="474">
        <f>LEN(D44)</f>
        <v>656</v>
      </c>
      <c r="F44" s="473" t="s">
        <v>1592</v>
      </c>
      <c r="G44" s="474">
        <f>LEN(F44)</f>
        <v>741</v>
      </c>
      <c r="H44" s="473" t="s">
        <v>1612</v>
      </c>
      <c r="I44" s="145">
        <f>LEN(H44)</f>
        <v>710</v>
      </c>
      <c r="J44" s="148" t="s">
        <v>42</v>
      </c>
      <c r="K44" s="145" t="s">
        <v>25</v>
      </c>
      <c r="L44" s="145" t="s">
        <v>25</v>
      </c>
      <c r="M44" s="145" t="s">
        <v>43</v>
      </c>
      <c r="N44" s="456" t="s">
        <v>25</v>
      </c>
      <c r="O44" s="149" t="s">
        <v>1291</v>
      </c>
      <c r="P44" s="209"/>
      <c r="Q44" s="546" t="s">
        <v>1445</v>
      </c>
      <c r="R44" s="547" t="s">
        <v>1446</v>
      </c>
      <c r="S44" s="150" t="s">
        <v>236</v>
      </c>
      <c r="T44" s="151"/>
      <c r="U44" s="253">
        <v>31.372377395629879</v>
      </c>
      <c r="V44" s="584">
        <f>1</f>
        <v>1</v>
      </c>
      <c r="W44" s="253">
        <f t="shared" si="2"/>
        <v>31.372377395629879</v>
      </c>
      <c r="X44" s="4"/>
      <c r="Z44" s="7" t="s">
        <v>35</v>
      </c>
      <c r="AA44" s="5"/>
      <c r="AD44" s="15"/>
    </row>
    <row r="45" spans="1:30" s="14" customFormat="1" ht="263.25" thickBot="1">
      <c r="A45" s="357">
        <f>A44+1</f>
        <v>28</v>
      </c>
      <c r="B45" s="106" t="s">
        <v>1288</v>
      </c>
      <c r="C45" s="457" t="s">
        <v>1288</v>
      </c>
      <c r="D45" s="475" t="s">
        <v>1289</v>
      </c>
      <c r="E45" s="476">
        <f t="shared" ref="E45" si="6">LEN(D45)</f>
        <v>408</v>
      </c>
      <c r="F45" s="475" t="s">
        <v>1610</v>
      </c>
      <c r="G45" s="476">
        <f t="shared" ref="G45" si="7">LEN(F45)</f>
        <v>366</v>
      </c>
      <c r="H45" s="475" t="s">
        <v>1611</v>
      </c>
      <c r="I45" s="235">
        <f t="shared" ref="I45" si="8">LEN(H45)</f>
        <v>449</v>
      </c>
      <c r="J45" s="458" t="s">
        <v>42</v>
      </c>
      <c r="K45" s="235" t="s">
        <v>25</v>
      </c>
      <c r="L45" s="235" t="s">
        <v>25</v>
      </c>
      <c r="M45" s="235" t="s">
        <v>43</v>
      </c>
      <c r="N45" s="459" t="s">
        <v>25</v>
      </c>
      <c r="O45" s="460" t="s">
        <v>1290</v>
      </c>
      <c r="P45" s="460"/>
      <c r="Q45" s="518" t="s">
        <v>1447</v>
      </c>
      <c r="R45" s="461"/>
      <c r="S45" s="114" t="s">
        <v>293</v>
      </c>
      <c r="T45" s="115"/>
      <c r="U45" s="253"/>
      <c r="V45" s="584">
        <f>1</f>
        <v>1</v>
      </c>
      <c r="W45" s="253">
        <f t="shared" si="2"/>
        <v>0</v>
      </c>
      <c r="X45" s="4"/>
      <c r="Z45" s="16" t="s">
        <v>35</v>
      </c>
      <c r="AA45" s="5"/>
      <c r="AD45" s="15" t="s">
        <v>36</v>
      </c>
    </row>
    <row r="46" spans="1:30" s="14" customFormat="1" ht="21.75" thickBot="1">
      <c r="A46" s="624" t="s">
        <v>23</v>
      </c>
      <c r="B46" s="625"/>
      <c r="C46" s="626"/>
      <c r="D46" s="625"/>
      <c r="E46" s="625"/>
      <c r="F46" s="626"/>
      <c r="G46" s="626"/>
      <c r="H46" s="626"/>
      <c r="I46" s="626"/>
      <c r="J46" s="625"/>
      <c r="K46" s="626"/>
      <c r="L46" s="625"/>
      <c r="M46" s="625"/>
      <c r="N46" s="625"/>
      <c r="O46" s="625"/>
      <c r="P46" s="625"/>
      <c r="Q46" s="625"/>
      <c r="R46" s="625"/>
      <c r="S46" s="625"/>
      <c r="T46" s="627"/>
      <c r="U46" s="163"/>
      <c r="V46" s="164"/>
      <c r="W46" s="163"/>
      <c r="X46" s="4"/>
      <c r="Z46" s="16"/>
      <c r="AA46" s="5"/>
      <c r="AD46" s="15"/>
    </row>
    <row r="47" spans="1:30" s="14" customFormat="1" ht="150">
      <c r="A47" s="117">
        <f>A44+1</f>
        <v>28</v>
      </c>
      <c r="B47" s="153" t="s">
        <v>237</v>
      </c>
      <c r="C47" s="152" t="s">
        <v>237</v>
      </c>
      <c r="D47" s="154" t="s">
        <v>238</v>
      </c>
      <c r="E47" s="155">
        <f>LEN(D47)</f>
        <v>96</v>
      </c>
      <c r="F47" s="156" t="s">
        <v>239</v>
      </c>
      <c r="G47" s="155">
        <f>LEN(F47)</f>
        <v>111</v>
      </c>
      <c r="H47" s="156" t="s">
        <v>240</v>
      </c>
      <c r="I47" s="155">
        <f>LEN(H47)</f>
        <v>94</v>
      </c>
      <c r="J47" s="157" t="s">
        <v>42</v>
      </c>
      <c r="K47" s="155" t="s">
        <v>25</v>
      </c>
      <c r="L47" s="155" t="s">
        <v>25</v>
      </c>
      <c r="M47" s="155" t="s">
        <v>43</v>
      </c>
      <c r="N47" s="158" t="s">
        <v>25</v>
      </c>
      <c r="O47" s="159" t="s">
        <v>241</v>
      </c>
      <c r="P47" s="159"/>
      <c r="Q47" s="544" t="s">
        <v>1448</v>
      </c>
      <c r="R47" s="160"/>
      <c r="S47" s="161"/>
      <c r="T47" s="162"/>
      <c r="U47" s="163"/>
      <c r="V47" s="164"/>
      <c r="W47" s="163"/>
      <c r="X47" s="4"/>
      <c r="Z47" s="16"/>
      <c r="AA47" s="5"/>
      <c r="AD47" s="15"/>
    </row>
    <row r="48" spans="1:30" s="14" customFormat="1" ht="150">
      <c r="A48" s="357">
        <f>A47+1</f>
        <v>29</v>
      </c>
      <c r="B48" s="60" t="s">
        <v>242</v>
      </c>
      <c r="C48" s="71" t="s">
        <v>242</v>
      </c>
      <c r="D48" s="165" t="s">
        <v>243</v>
      </c>
      <c r="E48" s="63">
        <f>LEN(D48)</f>
        <v>116</v>
      </c>
      <c r="F48" s="118" t="s">
        <v>244</v>
      </c>
      <c r="G48" s="63">
        <f>LEN(F48)</f>
        <v>138</v>
      </c>
      <c r="H48" s="118" t="s">
        <v>245</v>
      </c>
      <c r="I48" s="63">
        <f>LEN(H48)</f>
        <v>131</v>
      </c>
      <c r="J48" s="71" t="s">
        <v>42</v>
      </c>
      <c r="K48" s="64" t="s">
        <v>25</v>
      </c>
      <c r="L48" s="64" t="s">
        <v>25</v>
      </c>
      <c r="M48" s="64" t="s">
        <v>43</v>
      </c>
      <c r="N48" s="65" t="s">
        <v>25</v>
      </c>
      <c r="O48" s="66" t="s">
        <v>246</v>
      </c>
      <c r="P48" s="66"/>
      <c r="Q48" s="514" t="s">
        <v>1381</v>
      </c>
      <c r="R48" s="132"/>
      <c r="S48" s="69" t="s">
        <v>247</v>
      </c>
      <c r="T48" s="73"/>
      <c r="U48" s="253">
        <v>10.08573150634766</v>
      </c>
      <c r="V48" s="584">
        <f>1</f>
        <v>1</v>
      </c>
      <c r="W48" s="253">
        <f t="shared" ref="W48:W55" si="9">U48*V48</f>
        <v>10.08573150634766</v>
      </c>
      <c r="X48" s="4"/>
      <c r="Z48" s="16" t="s">
        <v>35</v>
      </c>
      <c r="AA48" s="5"/>
      <c r="AD48" s="15"/>
    </row>
    <row r="49" spans="1:30" s="14" customFormat="1" ht="206.25">
      <c r="A49" s="358">
        <f>A48+1</f>
        <v>30</v>
      </c>
      <c r="B49" s="166" t="s">
        <v>248</v>
      </c>
      <c r="C49" s="157" t="s">
        <v>248</v>
      </c>
      <c r="D49" s="167" t="s">
        <v>249</v>
      </c>
      <c r="E49" s="95">
        <f>LEN(D49)</f>
        <v>314</v>
      </c>
      <c r="F49" s="167" t="s">
        <v>250</v>
      </c>
      <c r="G49" s="95">
        <f>LEN(F49)</f>
        <v>387</v>
      </c>
      <c r="H49" s="167" t="s">
        <v>251</v>
      </c>
      <c r="I49" s="95">
        <f>LEN(H49)</f>
        <v>340</v>
      </c>
      <c r="J49" s="168" t="s">
        <v>42</v>
      </c>
      <c r="K49" s="95" t="s">
        <v>25</v>
      </c>
      <c r="L49" s="95" t="s">
        <v>25</v>
      </c>
      <c r="M49" s="95" t="s">
        <v>43</v>
      </c>
      <c r="N49" s="65" t="s">
        <v>25</v>
      </c>
      <c r="O49" s="79" t="s">
        <v>252</v>
      </c>
      <c r="P49" s="66"/>
      <c r="Q49" s="514" t="s">
        <v>1382</v>
      </c>
      <c r="R49" s="132"/>
      <c r="S49" s="82" t="s">
        <v>247</v>
      </c>
      <c r="T49" s="151"/>
      <c r="U49" s="253">
        <v>12.894034385681151</v>
      </c>
      <c r="V49" s="584">
        <f>1</f>
        <v>1</v>
      </c>
      <c r="W49" s="253">
        <f t="shared" si="9"/>
        <v>12.894034385681151</v>
      </c>
      <c r="X49" s="4"/>
      <c r="Z49" s="16" t="s">
        <v>35</v>
      </c>
      <c r="AA49" s="5"/>
      <c r="AD49" s="15" t="s">
        <v>253</v>
      </c>
    </row>
    <row r="50" spans="1:30" s="14" customFormat="1" ht="225">
      <c r="A50" s="358">
        <f>A49+1</f>
        <v>31</v>
      </c>
      <c r="B50" s="99" t="s">
        <v>254</v>
      </c>
      <c r="C50" s="169" t="s">
        <v>254</v>
      </c>
      <c r="D50" s="477" t="s">
        <v>1314</v>
      </c>
      <c r="E50" s="478">
        <f>LEN(D50)</f>
        <v>255</v>
      </c>
      <c r="F50" s="477" t="s">
        <v>255</v>
      </c>
      <c r="G50" s="478">
        <f>LEN(F50)</f>
        <v>282</v>
      </c>
      <c r="H50" s="477" t="s">
        <v>256</v>
      </c>
      <c r="I50" s="95">
        <f>LEN(H50)</f>
        <v>325</v>
      </c>
      <c r="J50" s="170" t="s">
        <v>42</v>
      </c>
      <c r="K50" s="171" t="s">
        <v>25</v>
      </c>
      <c r="L50" s="171" t="s">
        <v>25</v>
      </c>
      <c r="M50" s="171" t="s">
        <v>43</v>
      </c>
      <c r="N50" s="65" t="s">
        <v>25</v>
      </c>
      <c r="O50" s="172" t="s">
        <v>257</v>
      </c>
      <c r="P50" s="172"/>
      <c r="Q50" s="518" t="s">
        <v>1383</v>
      </c>
      <c r="R50" s="462" t="s">
        <v>1449</v>
      </c>
      <c r="S50" s="82" t="s">
        <v>247</v>
      </c>
      <c r="T50" s="142"/>
      <c r="U50" s="163">
        <v>13.76013851165771</v>
      </c>
      <c r="V50" s="164">
        <f>1</f>
        <v>1</v>
      </c>
      <c r="W50" s="163">
        <f t="shared" si="9"/>
        <v>13.76013851165771</v>
      </c>
      <c r="X50" s="4"/>
      <c r="Z50" s="16" t="s">
        <v>35</v>
      </c>
      <c r="AA50" s="5"/>
      <c r="AD50" s="27" t="s">
        <v>258</v>
      </c>
    </row>
    <row r="51" spans="1:30" s="14" customFormat="1" ht="409.5">
      <c r="A51" s="358">
        <f t="shared" ref="A51:A55" si="10">A50+1</f>
        <v>32</v>
      </c>
      <c r="B51" s="99" t="s">
        <v>259</v>
      </c>
      <c r="C51" s="100" t="s">
        <v>259</v>
      </c>
      <c r="D51" s="173" t="s">
        <v>260</v>
      </c>
      <c r="E51" s="174">
        <f t="shared" ref="E51:I55" si="11">LEN(D51)</f>
        <v>1332</v>
      </c>
      <c r="F51" s="173" t="s">
        <v>1593</v>
      </c>
      <c r="G51" s="174">
        <f t="shared" si="11"/>
        <v>1462</v>
      </c>
      <c r="H51" s="175" t="s">
        <v>261</v>
      </c>
      <c r="I51" s="174">
        <f t="shared" si="11"/>
        <v>1334</v>
      </c>
      <c r="J51" s="100" t="s">
        <v>42</v>
      </c>
      <c r="K51" s="176" t="s">
        <v>25</v>
      </c>
      <c r="L51" s="176" t="s">
        <v>25</v>
      </c>
      <c r="M51" s="176" t="s">
        <v>43</v>
      </c>
      <c r="N51" s="65" t="s">
        <v>25</v>
      </c>
      <c r="O51" s="177" t="s">
        <v>1018</v>
      </c>
      <c r="P51" s="493"/>
      <c r="Q51" s="463" t="s">
        <v>1384</v>
      </c>
      <c r="R51" s="462" t="s">
        <v>1450</v>
      </c>
      <c r="S51" s="82" t="s">
        <v>247</v>
      </c>
      <c r="T51" s="73"/>
      <c r="U51" s="163">
        <v>30.646188735961911</v>
      </c>
      <c r="V51" s="164">
        <f>1</f>
        <v>1</v>
      </c>
      <c r="W51" s="163">
        <f t="shared" si="9"/>
        <v>30.646188735961911</v>
      </c>
      <c r="X51" s="4"/>
      <c r="Z51" s="16" t="s">
        <v>24</v>
      </c>
      <c r="AA51" s="5"/>
      <c r="AD51" s="15"/>
    </row>
    <row r="52" spans="1:30" s="14" customFormat="1" ht="131.25">
      <c r="A52" s="358">
        <f t="shared" si="10"/>
        <v>33</v>
      </c>
      <c r="B52" s="99" t="s">
        <v>262</v>
      </c>
      <c r="C52" s="178" t="s">
        <v>262</v>
      </c>
      <c r="D52" s="96" t="s">
        <v>263</v>
      </c>
      <c r="E52" s="171">
        <f t="shared" si="11"/>
        <v>269</v>
      </c>
      <c r="F52" s="96" t="s">
        <v>264</v>
      </c>
      <c r="G52" s="171">
        <f t="shared" si="11"/>
        <v>170</v>
      </c>
      <c r="H52" s="96" t="s">
        <v>265</v>
      </c>
      <c r="I52" s="171">
        <f t="shared" si="11"/>
        <v>184</v>
      </c>
      <c r="J52" s="170" t="s">
        <v>137</v>
      </c>
      <c r="K52" s="171" t="s">
        <v>25</v>
      </c>
      <c r="L52" s="171" t="s">
        <v>25</v>
      </c>
      <c r="M52" s="171" t="s">
        <v>28</v>
      </c>
      <c r="N52" s="65" t="s">
        <v>25</v>
      </c>
      <c r="O52" s="179" t="s">
        <v>266</v>
      </c>
      <c r="P52" s="198"/>
      <c r="Q52" s="463" t="s">
        <v>1384</v>
      </c>
      <c r="R52" s="462" t="s">
        <v>1451</v>
      </c>
      <c r="S52" s="82" t="s">
        <v>247</v>
      </c>
      <c r="T52" s="83"/>
      <c r="U52" s="163">
        <v>15.21184825897217</v>
      </c>
      <c r="V52" s="164">
        <f>1</f>
        <v>1</v>
      </c>
      <c r="W52" s="163">
        <f t="shared" si="9"/>
        <v>15.21184825897217</v>
      </c>
      <c r="X52" s="4"/>
      <c r="Z52" s="16" t="s">
        <v>24</v>
      </c>
      <c r="AA52" s="5"/>
      <c r="AD52" s="15"/>
    </row>
    <row r="53" spans="1:30" s="14" customFormat="1" ht="356.25">
      <c r="A53" s="358">
        <f t="shared" si="10"/>
        <v>34</v>
      </c>
      <c r="B53" s="99" t="s">
        <v>267</v>
      </c>
      <c r="C53" s="180" t="s">
        <v>268</v>
      </c>
      <c r="D53" s="477" t="s">
        <v>1315</v>
      </c>
      <c r="E53" s="479">
        <f t="shared" si="11"/>
        <v>438</v>
      </c>
      <c r="F53" s="477" t="s">
        <v>269</v>
      </c>
      <c r="G53" s="479">
        <f t="shared" si="11"/>
        <v>464</v>
      </c>
      <c r="H53" s="477" t="s">
        <v>270</v>
      </c>
      <c r="I53" s="171">
        <f t="shared" si="11"/>
        <v>486</v>
      </c>
      <c r="J53" s="170" t="s">
        <v>271</v>
      </c>
      <c r="K53" s="171" t="s">
        <v>25</v>
      </c>
      <c r="L53" s="171" t="s">
        <v>25</v>
      </c>
      <c r="M53" s="171" t="s">
        <v>272</v>
      </c>
      <c r="N53" s="181" t="s">
        <v>273</v>
      </c>
      <c r="O53" s="101" t="s">
        <v>1267</v>
      </c>
      <c r="P53" s="493"/>
      <c r="Q53" s="463" t="s">
        <v>1384</v>
      </c>
      <c r="R53" s="462" t="s">
        <v>1452</v>
      </c>
      <c r="S53" s="82" t="s">
        <v>247</v>
      </c>
      <c r="T53" s="183" t="s">
        <v>274</v>
      </c>
      <c r="U53" s="163">
        <v>17</v>
      </c>
      <c r="V53" s="164">
        <f>1</f>
        <v>1</v>
      </c>
      <c r="W53" s="163">
        <f t="shared" si="9"/>
        <v>17</v>
      </c>
      <c r="X53" s="4"/>
      <c r="Z53" s="16" t="s">
        <v>24</v>
      </c>
      <c r="AA53" s="5"/>
      <c r="AD53" s="15" t="s">
        <v>127</v>
      </c>
    </row>
    <row r="54" spans="1:30" s="14" customFormat="1" ht="206.25">
      <c r="A54" s="358">
        <f>A53+1</f>
        <v>35</v>
      </c>
      <c r="B54" s="184" t="s">
        <v>275</v>
      </c>
      <c r="C54" s="185" t="s">
        <v>275</v>
      </c>
      <c r="D54" s="173" t="s">
        <v>276</v>
      </c>
      <c r="E54" s="186">
        <f t="shared" si="11"/>
        <v>180</v>
      </c>
      <c r="F54" s="173" t="s">
        <v>277</v>
      </c>
      <c r="G54" s="186">
        <f t="shared" si="11"/>
        <v>305</v>
      </c>
      <c r="H54" s="173" t="s">
        <v>278</v>
      </c>
      <c r="I54" s="186">
        <f t="shared" si="11"/>
        <v>194</v>
      </c>
      <c r="J54" s="178" t="s">
        <v>42</v>
      </c>
      <c r="K54" s="187" t="s">
        <v>25</v>
      </c>
      <c r="L54" s="187" t="s">
        <v>25</v>
      </c>
      <c r="M54" s="102" t="s">
        <v>43</v>
      </c>
      <c r="N54" s="65" t="s">
        <v>25</v>
      </c>
      <c r="O54" s="101" t="s">
        <v>279</v>
      </c>
      <c r="P54" s="493"/>
      <c r="Q54" s="463" t="s">
        <v>1384</v>
      </c>
      <c r="R54" s="462" t="s">
        <v>1453</v>
      </c>
      <c r="S54" s="150" t="s">
        <v>247</v>
      </c>
      <c r="T54" s="151"/>
      <c r="U54" s="163">
        <v>17</v>
      </c>
      <c r="V54" s="164">
        <f>1</f>
        <v>1</v>
      </c>
      <c r="W54" s="163">
        <f t="shared" si="9"/>
        <v>17</v>
      </c>
      <c r="X54" s="4"/>
      <c r="Z54" s="16" t="s">
        <v>24</v>
      </c>
      <c r="AA54" s="5"/>
      <c r="AD54" s="15"/>
    </row>
    <row r="55" spans="1:30" s="14" customFormat="1" ht="188.25" thickBot="1">
      <c r="A55" s="358">
        <f t="shared" si="10"/>
        <v>36</v>
      </c>
      <c r="B55" s="188" t="s">
        <v>280</v>
      </c>
      <c r="C55" s="189" t="s">
        <v>280</v>
      </c>
      <c r="D55" s="190" t="s">
        <v>281</v>
      </c>
      <c r="E55" s="186">
        <f t="shared" si="11"/>
        <v>132</v>
      </c>
      <c r="F55" s="191" t="s">
        <v>282</v>
      </c>
      <c r="G55" s="186">
        <f t="shared" si="11"/>
        <v>167</v>
      </c>
      <c r="H55" s="190" t="s">
        <v>283</v>
      </c>
      <c r="I55" s="186">
        <f t="shared" si="11"/>
        <v>180</v>
      </c>
      <c r="J55" s="178" t="s">
        <v>42</v>
      </c>
      <c r="K55" s="192" t="s">
        <v>25</v>
      </c>
      <c r="L55" s="192" t="s">
        <v>25</v>
      </c>
      <c r="M55" s="102" t="s">
        <v>43</v>
      </c>
      <c r="N55" s="65" t="s">
        <v>25</v>
      </c>
      <c r="O55" s="101" t="s">
        <v>284</v>
      </c>
      <c r="P55" s="493"/>
      <c r="Q55" s="463" t="s">
        <v>1384</v>
      </c>
      <c r="R55" s="462" t="s">
        <v>1454</v>
      </c>
      <c r="S55" s="150" t="s">
        <v>247</v>
      </c>
      <c r="T55" s="83"/>
      <c r="U55" s="163">
        <v>8.2288064956665039</v>
      </c>
      <c r="V55" s="164">
        <f>1</f>
        <v>1</v>
      </c>
      <c r="W55" s="163">
        <f t="shared" si="9"/>
        <v>8.2288064956665039</v>
      </c>
      <c r="X55" s="4"/>
      <c r="Z55" s="16" t="s">
        <v>24</v>
      </c>
      <c r="AA55" s="5"/>
      <c r="AD55" s="15"/>
    </row>
    <row r="56" spans="1:30" s="14" customFormat="1" ht="21.75" thickBot="1">
      <c r="A56" s="624" t="s">
        <v>285</v>
      </c>
      <c r="B56" s="625"/>
      <c r="C56" s="626"/>
      <c r="D56" s="625"/>
      <c r="E56" s="625"/>
      <c r="F56" s="626"/>
      <c r="G56" s="626"/>
      <c r="H56" s="626"/>
      <c r="I56" s="626"/>
      <c r="J56" s="625"/>
      <c r="K56" s="626"/>
      <c r="L56" s="625"/>
      <c r="M56" s="625"/>
      <c r="N56" s="625"/>
      <c r="O56" s="625"/>
      <c r="P56" s="625"/>
      <c r="Q56" s="625"/>
      <c r="R56" s="625"/>
      <c r="S56" s="625"/>
      <c r="T56" s="627"/>
      <c r="U56" s="163"/>
      <c r="V56" s="164"/>
      <c r="W56" s="163"/>
      <c r="X56" s="4"/>
      <c r="Z56" s="16"/>
      <c r="AA56" s="5"/>
      <c r="AD56" s="15"/>
    </row>
    <row r="57" spans="1:30" s="14" customFormat="1" ht="409.5">
      <c r="A57" s="357">
        <f>A55+1</f>
        <v>37</v>
      </c>
      <c r="B57" s="60" t="s">
        <v>286</v>
      </c>
      <c r="C57" s="71" t="s">
        <v>286</v>
      </c>
      <c r="D57" s="480" t="s">
        <v>1354</v>
      </c>
      <c r="E57" s="481">
        <f>LEN(D57)</f>
        <v>1217</v>
      </c>
      <c r="F57" s="480" t="s">
        <v>1594</v>
      </c>
      <c r="G57" s="481">
        <f>LEN(F57)</f>
        <v>1309</v>
      </c>
      <c r="H57" s="482" t="s">
        <v>287</v>
      </c>
      <c r="I57" s="155">
        <f>LEN(H57)</f>
        <v>1536</v>
      </c>
      <c r="J57" s="157" t="s">
        <v>42</v>
      </c>
      <c r="K57" s="155" t="s">
        <v>25</v>
      </c>
      <c r="L57" s="155" t="s">
        <v>25</v>
      </c>
      <c r="M57" s="155" t="s">
        <v>1589</v>
      </c>
      <c r="N57" s="158" t="s">
        <v>25</v>
      </c>
      <c r="O57" s="66" t="s">
        <v>288</v>
      </c>
      <c r="P57" s="66"/>
      <c r="Q57" s="506" t="s">
        <v>1455</v>
      </c>
      <c r="R57" s="548" t="s">
        <v>1456</v>
      </c>
      <c r="S57" s="69" t="s">
        <v>247</v>
      </c>
      <c r="T57" s="73"/>
      <c r="U57" s="253">
        <v>36.928733825683587</v>
      </c>
      <c r="V57" s="584">
        <f>1</f>
        <v>1</v>
      </c>
      <c r="W57" s="253">
        <f t="shared" ref="W57:W84" si="12">U57*V57</f>
        <v>36.928733825683587</v>
      </c>
      <c r="X57" s="4"/>
      <c r="Z57" s="16" t="s">
        <v>35</v>
      </c>
      <c r="AA57" s="5"/>
      <c r="AD57" s="27" t="s">
        <v>289</v>
      </c>
    </row>
    <row r="58" spans="1:30" s="14" customFormat="1" ht="168.75">
      <c r="A58" s="357">
        <f>A57+1</f>
        <v>38</v>
      </c>
      <c r="B58" s="60" t="s">
        <v>290</v>
      </c>
      <c r="C58" s="61" t="s">
        <v>290</v>
      </c>
      <c r="D58" s="483" t="s">
        <v>1317</v>
      </c>
      <c r="E58" s="481">
        <f t="shared" ref="E58:I84" si="13">LEN(D58)</f>
        <v>133</v>
      </c>
      <c r="F58" s="483" t="s">
        <v>1475</v>
      </c>
      <c r="G58" s="481">
        <f t="shared" si="13"/>
        <v>166</v>
      </c>
      <c r="H58" s="483" t="s">
        <v>291</v>
      </c>
      <c r="I58" s="155">
        <f t="shared" si="13"/>
        <v>137</v>
      </c>
      <c r="J58" s="157" t="s">
        <v>42</v>
      </c>
      <c r="K58" s="155" t="s">
        <v>25</v>
      </c>
      <c r="L58" s="155" t="s">
        <v>25</v>
      </c>
      <c r="M58" s="155" t="s">
        <v>43</v>
      </c>
      <c r="N58" s="158" t="s">
        <v>25</v>
      </c>
      <c r="O58" s="159" t="s">
        <v>292</v>
      </c>
      <c r="P58" s="159"/>
      <c r="Q58" s="506" t="s">
        <v>1457</v>
      </c>
      <c r="R58" s="548" t="s">
        <v>1458</v>
      </c>
      <c r="S58" s="69" t="s">
        <v>293</v>
      </c>
      <c r="T58" s="73"/>
      <c r="U58" s="253"/>
      <c r="V58" s="584">
        <f>1</f>
        <v>1</v>
      </c>
      <c r="W58" s="253">
        <f t="shared" si="12"/>
        <v>0</v>
      </c>
      <c r="X58" s="4"/>
      <c r="Z58" s="16" t="s">
        <v>35</v>
      </c>
      <c r="AA58" s="5"/>
      <c r="AD58" s="15" t="s">
        <v>36</v>
      </c>
    </row>
    <row r="59" spans="1:30" s="14" customFormat="1" ht="168.75">
      <c r="A59" s="357">
        <f t="shared" ref="A59:A61" si="14">A58+1</f>
        <v>39</v>
      </c>
      <c r="B59" s="60" t="s">
        <v>294</v>
      </c>
      <c r="C59" s="61" t="s">
        <v>294</v>
      </c>
      <c r="D59" s="483" t="s">
        <v>1318</v>
      </c>
      <c r="E59" s="481">
        <f t="shared" si="13"/>
        <v>159</v>
      </c>
      <c r="F59" s="483" t="s">
        <v>295</v>
      </c>
      <c r="G59" s="481">
        <f t="shared" si="13"/>
        <v>166</v>
      </c>
      <c r="H59" s="483" t="s">
        <v>296</v>
      </c>
      <c r="I59" s="155">
        <f t="shared" si="13"/>
        <v>166</v>
      </c>
      <c r="J59" s="157" t="s">
        <v>42</v>
      </c>
      <c r="K59" s="155" t="s">
        <v>25</v>
      </c>
      <c r="L59" s="155" t="s">
        <v>25</v>
      </c>
      <c r="M59" s="155" t="s">
        <v>43</v>
      </c>
      <c r="N59" s="158" t="s">
        <v>25</v>
      </c>
      <c r="O59" s="159" t="s">
        <v>292</v>
      </c>
      <c r="P59" s="159"/>
      <c r="Q59" s="506" t="s">
        <v>1459</v>
      </c>
      <c r="R59" s="548" t="s">
        <v>1460</v>
      </c>
      <c r="S59" s="69" t="s">
        <v>297</v>
      </c>
      <c r="T59" s="73"/>
      <c r="U59" s="253"/>
      <c r="V59" s="584">
        <f>1</f>
        <v>1</v>
      </c>
      <c r="W59" s="253">
        <f t="shared" si="12"/>
        <v>0</v>
      </c>
      <c r="X59" s="4"/>
      <c r="Z59" s="16" t="s">
        <v>35</v>
      </c>
      <c r="AA59" s="5"/>
      <c r="AD59" s="15" t="s">
        <v>36</v>
      </c>
    </row>
    <row r="60" spans="1:30" s="14" customFormat="1" ht="168.75">
      <c r="A60" s="357">
        <f t="shared" si="14"/>
        <v>40</v>
      </c>
      <c r="B60" s="60" t="s">
        <v>298</v>
      </c>
      <c r="C60" s="61" t="s">
        <v>298</v>
      </c>
      <c r="D60" s="484" t="s">
        <v>1319</v>
      </c>
      <c r="E60" s="485">
        <f t="shared" si="13"/>
        <v>162</v>
      </c>
      <c r="F60" s="484" t="s">
        <v>1268</v>
      </c>
      <c r="G60" s="485">
        <f t="shared" si="13"/>
        <v>210</v>
      </c>
      <c r="H60" s="484" t="s">
        <v>1269</v>
      </c>
      <c r="I60" s="155">
        <f t="shared" si="13"/>
        <v>172</v>
      </c>
      <c r="J60" s="157" t="s">
        <v>42</v>
      </c>
      <c r="K60" s="155" t="s">
        <v>25</v>
      </c>
      <c r="L60" s="155" t="s">
        <v>25</v>
      </c>
      <c r="M60" s="155" t="s">
        <v>43</v>
      </c>
      <c r="N60" s="158" t="s">
        <v>25</v>
      </c>
      <c r="O60" s="159" t="s">
        <v>292</v>
      </c>
      <c r="P60" s="159"/>
      <c r="Q60" s="506" t="s">
        <v>1461</v>
      </c>
      <c r="R60" s="548" t="s">
        <v>1462</v>
      </c>
      <c r="S60" s="69" t="s">
        <v>300</v>
      </c>
      <c r="T60" s="195"/>
      <c r="U60" s="253"/>
      <c r="V60" s="584">
        <f>1</f>
        <v>1</v>
      </c>
      <c r="W60" s="253">
        <f t="shared" si="12"/>
        <v>0</v>
      </c>
      <c r="X60" s="4"/>
      <c r="Z60" s="16" t="s">
        <v>35</v>
      </c>
      <c r="AA60" s="5"/>
      <c r="AD60" s="15" t="s">
        <v>36</v>
      </c>
    </row>
    <row r="61" spans="1:30" s="14" customFormat="1" ht="112.5">
      <c r="A61" s="357">
        <f t="shared" si="14"/>
        <v>41</v>
      </c>
      <c r="B61" s="99" t="s">
        <v>301</v>
      </c>
      <c r="C61" s="100" t="s">
        <v>301</v>
      </c>
      <c r="D61" s="182" t="s">
        <v>1362</v>
      </c>
      <c r="E61" s="481">
        <f t="shared" si="13"/>
        <v>224</v>
      </c>
      <c r="F61" s="182" t="s">
        <v>302</v>
      </c>
      <c r="G61" s="481">
        <f t="shared" si="13"/>
        <v>290</v>
      </c>
      <c r="H61" s="182" t="s">
        <v>303</v>
      </c>
      <c r="I61" s="155">
        <f t="shared" si="13"/>
        <v>283</v>
      </c>
      <c r="J61" s="171" t="s">
        <v>137</v>
      </c>
      <c r="K61" s="171" t="s">
        <v>25</v>
      </c>
      <c r="L61" s="171" t="s">
        <v>25</v>
      </c>
      <c r="M61" s="171" t="s">
        <v>28</v>
      </c>
      <c r="N61" s="158" t="s">
        <v>25</v>
      </c>
      <c r="O61" s="105" t="s">
        <v>1361</v>
      </c>
      <c r="P61" s="105"/>
      <c r="Q61" s="519" t="s">
        <v>1463</v>
      </c>
      <c r="R61" s="549" t="s">
        <v>1464</v>
      </c>
      <c r="S61" s="82" t="s">
        <v>304</v>
      </c>
      <c r="T61" s="628" t="s">
        <v>305</v>
      </c>
      <c r="U61" s="163">
        <v>40.047317504882813</v>
      </c>
      <c r="V61" s="164">
        <f>1</f>
        <v>1</v>
      </c>
      <c r="W61" s="163">
        <f t="shared" si="12"/>
        <v>40.047317504882813</v>
      </c>
      <c r="X61" s="4"/>
      <c r="Z61" s="16" t="s">
        <v>24</v>
      </c>
      <c r="AA61" s="5"/>
      <c r="AD61" s="15" t="s">
        <v>306</v>
      </c>
    </row>
    <row r="62" spans="1:30" s="14" customFormat="1" ht="150">
      <c r="A62" s="357">
        <f t="shared" ref="A62" si="15">A61+1</f>
        <v>42</v>
      </c>
      <c r="B62" s="99" t="s">
        <v>307</v>
      </c>
      <c r="C62" s="169" t="s">
        <v>307</v>
      </c>
      <c r="D62" s="101" t="s">
        <v>1320</v>
      </c>
      <c r="E62" s="64">
        <f t="shared" si="13"/>
        <v>248</v>
      </c>
      <c r="F62" s="101" t="s">
        <v>1321</v>
      </c>
      <c r="G62" s="64">
        <f t="shared" si="13"/>
        <v>260</v>
      </c>
      <c r="H62" s="101" t="s">
        <v>1322</v>
      </c>
      <c r="I62" s="64">
        <f t="shared" si="13"/>
        <v>251</v>
      </c>
      <c r="J62" s="196" t="s">
        <v>42</v>
      </c>
      <c r="K62" s="197" t="s">
        <v>25</v>
      </c>
      <c r="L62" s="197" t="s">
        <v>25</v>
      </c>
      <c r="M62" s="197" t="s">
        <v>43</v>
      </c>
      <c r="N62" s="158" t="s">
        <v>25</v>
      </c>
      <c r="O62" s="198" t="s">
        <v>308</v>
      </c>
      <c r="P62" s="198"/>
      <c r="Q62" s="520" t="s">
        <v>1465</v>
      </c>
      <c r="R62" s="550" t="s">
        <v>1466</v>
      </c>
      <c r="S62" s="82" t="s">
        <v>25</v>
      </c>
      <c r="T62" s="629"/>
      <c r="U62" s="163">
        <v>3.6870110034942631</v>
      </c>
      <c r="V62" s="164">
        <f>1</f>
        <v>1</v>
      </c>
      <c r="W62" s="163">
        <f t="shared" si="12"/>
        <v>3.6870110034942631</v>
      </c>
      <c r="X62" s="4"/>
      <c r="Z62" s="16" t="s">
        <v>24</v>
      </c>
      <c r="AA62" s="5"/>
      <c r="AD62" s="15"/>
    </row>
    <row r="63" spans="1:30" s="14" customFormat="1" ht="187.5">
      <c r="A63" s="357">
        <f>A62+1</f>
        <v>43</v>
      </c>
      <c r="B63" s="199" t="s">
        <v>309</v>
      </c>
      <c r="C63" s="200" t="s">
        <v>309</v>
      </c>
      <c r="D63" s="201" t="s">
        <v>310</v>
      </c>
      <c r="E63" s="155">
        <f t="shared" si="13"/>
        <v>185</v>
      </c>
      <c r="F63" s="202" t="s">
        <v>311</v>
      </c>
      <c r="G63" s="155">
        <f t="shared" si="13"/>
        <v>228</v>
      </c>
      <c r="H63" s="202" t="s">
        <v>312</v>
      </c>
      <c r="I63" s="155">
        <f t="shared" si="13"/>
        <v>195</v>
      </c>
      <c r="J63" s="203" t="s">
        <v>42</v>
      </c>
      <c r="K63" s="197" t="s">
        <v>25</v>
      </c>
      <c r="L63" s="197" t="s">
        <v>25</v>
      </c>
      <c r="M63" s="197" t="s">
        <v>43</v>
      </c>
      <c r="N63" s="158" t="s">
        <v>25</v>
      </c>
      <c r="O63" s="159" t="s">
        <v>313</v>
      </c>
      <c r="P63" s="159"/>
      <c r="Q63" s="521" t="s">
        <v>1467</v>
      </c>
      <c r="R63" s="551" t="s">
        <v>1468</v>
      </c>
      <c r="S63" s="69" t="s">
        <v>314</v>
      </c>
      <c r="T63" s="73"/>
      <c r="U63" s="163">
        <v>17</v>
      </c>
      <c r="V63" s="164">
        <f>1</f>
        <v>1</v>
      </c>
      <c r="W63" s="163">
        <f>U63*V63</f>
        <v>17</v>
      </c>
      <c r="X63" s="4"/>
      <c r="Z63" s="16" t="s">
        <v>24</v>
      </c>
      <c r="AA63" s="5"/>
      <c r="AD63" s="15" t="s">
        <v>36</v>
      </c>
    </row>
    <row r="64" spans="1:30" s="14" customFormat="1" ht="168.75">
      <c r="A64" s="357">
        <f>A63+1</f>
        <v>44</v>
      </c>
      <c r="B64" s="204" t="s">
        <v>315</v>
      </c>
      <c r="C64" s="204" t="s">
        <v>315</v>
      </c>
      <c r="D64" s="205" t="s">
        <v>316</v>
      </c>
      <c r="E64" s="155">
        <f t="shared" si="13"/>
        <v>218</v>
      </c>
      <c r="F64" s="206" t="s">
        <v>317</v>
      </c>
      <c r="G64" s="155">
        <f t="shared" si="13"/>
        <v>258</v>
      </c>
      <c r="H64" s="206" t="s">
        <v>318</v>
      </c>
      <c r="I64" s="155">
        <f t="shared" si="13"/>
        <v>225</v>
      </c>
      <c r="J64" s="207" t="s">
        <v>42</v>
      </c>
      <c r="K64" s="208" t="s">
        <v>25</v>
      </c>
      <c r="L64" s="208" t="s">
        <v>25</v>
      </c>
      <c r="M64" s="208" t="s">
        <v>43</v>
      </c>
      <c r="N64" s="158" t="s">
        <v>25</v>
      </c>
      <c r="O64" s="209" t="s">
        <v>319</v>
      </c>
      <c r="P64" s="209"/>
      <c r="Q64" s="513" t="s">
        <v>1469</v>
      </c>
      <c r="R64" s="541" t="s">
        <v>1470</v>
      </c>
      <c r="S64" s="69"/>
      <c r="T64" s="73"/>
      <c r="U64" s="163"/>
      <c r="V64" s="164"/>
      <c r="W64" s="163"/>
      <c r="X64" s="4"/>
      <c r="Z64" s="16"/>
      <c r="AA64" s="5"/>
      <c r="AD64" s="15"/>
    </row>
    <row r="65" spans="1:30" s="14" customFormat="1" ht="244.5" thickBot="1">
      <c r="A65" s="361">
        <f>A64+1</f>
        <v>45</v>
      </c>
      <c r="B65" s="106" t="s">
        <v>320</v>
      </c>
      <c r="C65" s="210" t="s">
        <v>320</v>
      </c>
      <c r="D65" s="234" t="s">
        <v>1270</v>
      </c>
      <c r="E65" s="111">
        <f t="shared" si="13"/>
        <v>294</v>
      </c>
      <c r="F65" s="234" t="s">
        <v>1271</v>
      </c>
      <c r="G65" s="111">
        <f t="shared" si="13"/>
        <v>420</v>
      </c>
      <c r="H65" s="234" t="s">
        <v>1272</v>
      </c>
      <c r="I65" s="109">
        <f t="shared" si="13"/>
        <v>385</v>
      </c>
      <c r="J65" s="110" t="s">
        <v>42</v>
      </c>
      <c r="K65" s="111" t="s">
        <v>25</v>
      </c>
      <c r="L65" s="111" t="s">
        <v>25</v>
      </c>
      <c r="M65" s="111" t="s">
        <v>43</v>
      </c>
      <c r="N65" s="111" t="s">
        <v>25</v>
      </c>
      <c r="O65" s="211" t="s">
        <v>321</v>
      </c>
      <c r="P65" s="494"/>
      <c r="Q65" s="522" t="s">
        <v>1471</v>
      </c>
      <c r="R65" s="212"/>
      <c r="S65" s="114" t="s">
        <v>304</v>
      </c>
      <c r="T65" s="213"/>
      <c r="U65" s="253">
        <v>27.242166519165039</v>
      </c>
      <c r="V65" s="584">
        <f>1</f>
        <v>1</v>
      </c>
      <c r="W65" s="253">
        <f t="shared" si="12"/>
        <v>27.242166519165039</v>
      </c>
      <c r="X65" s="4"/>
      <c r="Z65" s="16" t="s">
        <v>35</v>
      </c>
      <c r="AA65" s="5"/>
      <c r="AD65" s="27" t="s">
        <v>322</v>
      </c>
    </row>
    <row r="66" spans="1:30" s="14" customFormat="1" ht="409.5">
      <c r="A66" s="357">
        <f>A65+1</f>
        <v>46</v>
      </c>
      <c r="B66" s="60" t="s">
        <v>323</v>
      </c>
      <c r="C66" s="71" t="s">
        <v>323</v>
      </c>
      <c r="D66" s="486" t="s">
        <v>1327</v>
      </c>
      <c r="E66" s="481">
        <f t="shared" si="13"/>
        <v>1233</v>
      </c>
      <c r="F66" s="487" t="s">
        <v>1472</v>
      </c>
      <c r="G66" s="481">
        <f t="shared" si="13"/>
        <v>1368</v>
      </c>
      <c r="H66" s="480" t="s">
        <v>1323</v>
      </c>
      <c r="I66" s="214">
        <f t="shared" si="13"/>
        <v>1545</v>
      </c>
      <c r="J66" s="216" t="s">
        <v>42</v>
      </c>
      <c r="K66" s="214" t="s">
        <v>25</v>
      </c>
      <c r="L66" s="214" t="s">
        <v>25</v>
      </c>
      <c r="M66" s="214" t="s">
        <v>1590</v>
      </c>
      <c r="N66" s="214" t="s">
        <v>25</v>
      </c>
      <c r="O66" s="62" t="s">
        <v>1438</v>
      </c>
      <c r="P66" s="66"/>
      <c r="Q66" s="506" t="s">
        <v>1473</v>
      </c>
      <c r="R66" s="548" t="s">
        <v>1474</v>
      </c>
      <c r="S66" s="69" t="s">
        <v>304</v>
      </c>
      <c r="T66" s="73"/>
      <c r="U66" s="253">
        <v>25.308004379272461</v>
      </c>
      <c r="V66" s="584">
        <f>1</f>
        <v>1</v>
      </c>
      <c r="W66" s="253">
        <f t="shared" si="12"/>
        <v>25.308004379272461</v>
      </c>
      <c r="X66" s="4"/>
      <c r="Z66" s="16" t="s">
        <v>35</v>
      </c>
      <c r="AA66" s="5"/>
      <c r="AD66" s="27" t="s">
        <v>289</v>
      </c>
    </row>
    <row r="67" spans="1:30" s="14" customFormat="1" ht="168.75">
      <c r="A67" s="358">
        <f t="shared" ref="A67:A73" si="16">A66+1</f>
        <v>47</v>
      </c>
      <c r="B67" s="60" t="s">
        <v>324</v>
      </c>
      <c r="C67" s="61" t="s">
        <v>324</v>
      </c>
      <c r="D67" s="488" t="s">
        <v>1317</v>
      </c>
      <c r="E67" s="481">
        <f t="shared" si="13"/>
        <v>133</v>
      </c>
      <c r="F67" s="489" t="s">
        <v>1475</v>
      </c>
      <c r="G67" s="481">
        <f t="shared" si="13"/>
        <v>166</v>
      </c>
      <c r="H67" s="488" t="s">
        <v>291</v>
      </c>
      <c r="I67" s="214">
        <f t="shared" si="13"/>
        <v>137</v>
      </c>
      <c r="J67" s="217" t="s">
        <v>42</v>
      </c>
      <c r="K67" s="214" t="s">
        <v>25</v>
      </c>
      <c r="L67" s="214" t="s">
        <v>25</v>
      </c>
      <c r="M67" s="214" t="s">
        <v>43</v>
      </c>
      <c r="N67" s="218" t="s">
        <v>25</v>
      </c>
      <c r="O67" s="219" t="s">
        <v>325</v>
      </c>
      <c r="P67" s="219"/>
      <c r="Q67" s="506" t="s">
        <v>1476</v>
      </c>
      <c r="R67" s="548" t="s">
        <v>1477</v>
      </c>
      <c r="S67" s="69" t="s">
        <v>326</v>
      </c>
      <c r="T67" s="73"/>
      <c r="U67" s="253"/>
      <c r="V67" s="584">
        <f>1</f>
        <v>1</v>
      </c>
      <c r="W67" s="253">
        <f t="shared" si="12"/>
        <v>0</v>
      </c>
      <c r="X67" s="4"/>
      <c r="Z67" s="16" t="s">
        <v>35</v>
      </c>
      <c r="AA67" s="5"/>
      <c r="AD67" s="15" t="s">
        <v>36</v>
      </c>
    </row>
    <row r="68" spans="1:30" s="14" customFormat="1" ht="168.75">
      <c r="A68" s="358">
        <f t="shared" si="16"/>
        <v>48</v>
      </c>
      <c r="B68" s="60" t="s">
        <v>327</v>
      </c>
      <c r="C68" s="61" t="s">
        <v>327</v>
      </c>
      <c r="D68" s="483" t="s">
        <v>1324</v>
      </c>
      <c r="E68" s="481">
        <f t="shared" si="13"/>
        <v>159</v>
      </c>
      <c r="F68" s="484" t="s">
        <v>1478</v>
      </c>
      <c r="G68" s="481">
        <f t="shared" si="13"/>
        <v>168</v>
      </c>
      <c r="H68" s="483" t="s">
        <v>296</v>
      </c>
      <c r="I68" s="214">
        <f t="shared" si="13"/>
        <v>166</v>
      </c>
      <c r="J68" s="217" t="s">
        <v>42</v>
      </c>
      <c r="K68" s="214" t="s">
        <v>25</v>
      </c>
      <c r="L68" s="214" t="s">
        <v>25</v>
      </c>
      <c r="M68" s="214" t="s">
        <v>43</v>
      </c>
      <c r="N68" s="218" t="s">
        <v>25</v>
      </c>
      <c r="O68" s="219" t="s">
        <v>325</v>
      </c>
      <c r="P68" s="219"/>
      <c r="Q68" s="506" t="s">
        <v>1479</v>
      </c>
      <c r="R68" s="548" t="s">
        <v>1480</v>
      </c>
      <c r="S68" s="69" t="s">
        <v>328</v>
      </c>
      <c r="T68" s="73"/>
      <c r="U68" s="253"/>
      <c r="V68" s="584">
        <f>1</f>
        <v>1</v>
      </c>
      <c r="W68" s="253">
        <f t="shared" si="12"/>
        <v>0</v>
      </c>
      <c r="X68" s="4"/>
      <c r="Z68" s="16" t="s">
        <v>35</v>
      </c>
      <c r="AA68" s="5"/>
      <c r="AD68" s="15" t="s">
        <v>36</v>
      </c>
    </row>
    <row r="69" spans="1:30" s="14" customFormat="1" ht="168.75">
      <c r="A69" s="358">
        <f t="shared" si="16"/>
        <v>49</v>
      </c>
      <c r="B69" s="60" t="s">
        <v>329</v>
      </c>
      <c r="C69" s="61" t="s">
        <v>329</v>
      </c>
      <c r="D69" s="484" t="s">
        <v>1319</v>
      </c>
      <c r="E69" s="481">
        <f t="shared" si="13"/>
        <v>162</v>
      </c>
      <c r="F69" s="484" t="s">
        <v>1481</v>
      </c>
      <c r="G69" s="481">
        <f t="shared" si="13"/>
        <v>165</v>
      </c>
      <c r="H69" s="483" t="s">
        <v>299</v>
      </c>
      <c r="I69" s="214">
        <f t="shared" si="13"/>
        <v>141</v>
      </c>
      <c r="J69" s="217" t="s">
        <v>42</v>
      </c>
      <c r="K69" s="214" t="s">
        <v>25</v>
      </c>
      <c r="L69" s="214" t="s">
        <v>25</v>
      </c>
      <c r="M69" s="214" t="s">
        <v>43</v>
      </c>
      <c r="N69" s="218" t="s">
        <v>25</v>
      </c>
      <c r="O69" s="219" t="s">
        <v>330</v>
      </c>
      <c r="P69" s="219"/>
      <c r="Q69" s="506" t="s">
        <v>1482</v>
      </c>
      <c r="R69" s="548" t="s">
        <v>1483</v>
      </c>
      <c r="S69" s="69" t="s">
        <v>331</v>
      </c>
      <c r="T69" s="195"/>
      <c r="U69" s="253"/>
      <c r="V69" s="584">
        <f>1</f>
        <v>1</v>
      </c>
      <c r="W69" s="253">
        <f t="shared" si="12"/>
        <v>0</v>
      </c>
      <c r="X69" s="4"/>
      <c r="Z69" s="16" t="s">
        <v>35</v>
      </c>
      <c r="AA69" s="5"/>
      <c r="AD69" s="15" t="s">
        <v>36</v>
      </c>
    </row>
    <row r="70" spans="1:30" s="14" customFormat="1" ht="112.5">
      <c r="A70" s="358">
        <f t="shared" si="16"/>
        <v>50</v>
      </c>
      <c r="B70" s="99" t="s">
        <v>332</v>
      </c>
      <c r="C70" s="100" t="s">
        <v>332</v>
      </c>
      <c r="D70" s="182" t="s">
        <v>1363</v>
      </c>
      <c r="E70" s="481">
        <f t="shared" si="13"/>
        <v>230</v>
      </c>
      <c r="F70" s="182" t="s">
        <v>333</v>
      </c>
      <c r="G70" s="481">
        <f t="shared" si="13"/>
        <v>300</v>
      </c>
      <c r="H70" s="182" t="s">
        <v>334</v>
      </c>
      <c r="I70" s="214">
        <f t="shared" si="13"/>
        <v>287</v>
      </c>
      <c r="J70" s="221" t="s">
        <v>137</v>
      </c>
      <c r="K70" s="221" t="s">
        <v>25</v>
      </c>
      <c r="L70" s="221" t="s">
        <v>25</v>
      </c>
      <c r="M70" s="221" t="s">
        <v>28</v>
      </c>
      <c r="N70" s="218" t="s">
        <v>25</v>
      </c>
      <c r="O70" s="105" t="s">
        <v>1588</v>
      </c>
      <c r="P70" s="493"/>
      <c r="Q70" s="523" t="s">
        <v>1484</v>
      </c>
      <c r="R70" s="552" t="s">
        <v>1423</v>
      </c>
      <c r="S70" s="69"/>
      <c r="T70" s="73"/>
      <c r="U70" s="253"/>
      <c r="V70" s="584"/>
      <c r="W70" s="253"/>
      <c r="X70" s="4"/>
      <c r="Z70" s="16"/>
      <c r="AA70" s="5"/>
      <c r="AD70" s="15"/>
    </row>
    <row r="71" spans="1:30" s="14" customFormat="1" ht="150">
      <c r="A71" s="358">
        <f t="shared" si="16"/>
        <v>51</v>
      </c>
      <c r="B71" s="99" t="s">
        <v>335</v>
      </c>
      <c r="C71" s="169" t="s">
        <v>335</v>
      </c>
      <c r="D71" s="101" t="s">
        <v>1320</v>
      </c>
      <c r="E71" s="64">
        <f t="shared" si="13"/>
        <v>248</v>
      </c>
      <c r="F71" s="101" t="s">
        <v>1321</v>
      </c>
      <c r="G71" s="64">
        <f t="shared" si="13"/>
        <v>260</v>
      </c>
      <c r="H71" s="101" t="s">
        <v>1322</v>
      </c>
      <c r="I71" s="64">
        <f t="shared" si="13"/>
        <v>251</v>
      </c>
      <c r="J71" s="222" t="s">
        <v>42</v>
      </c>
      <c r="K71" s="223" t="s">
        <v>25</v>
      </c>
      <c r="L71" s="223" t="s">
        <v>25</v>
      </c>
      <c r="M71" s="223" t="s">
        <v>43</v>
      </c>
      <c r="N71" s="218" t="s">
        <v>25</v>
      </c>
      <c r="O71" s="224" t="s">
        <v>336</v>
      </c>
      <c r="P71" s="224"/>
      <c r="Q71" s="524" t="s">
        <v>1485</v>
      </c>
      <c r="R71" s="553" t="s">
        <v>1486</v>
      </c>
      <c r="S71" s="69"/>
      <c r="T71" s="73"/>
      <c r="U71" s="253"/>
      <c r="V71" s="584"/>
      <c r="W71" s="253"/>
      <c r="X71" s="4"/>
      <c r="Z71" s="16"/>
      <c r="AA71" s="5"/>
      <c r="AD71" s="15"/>
    </row>
    <row r="72" spans="1:30" s="14" customFormat="1" ht="187.5">
      <c r="A72" s="363">
        <f t="shared" si="16"/>
        <v>52</v>
      </c>
      <c r="B72" s="184" t="s">
        <v>337</v>
      </c>
      <c r="C72" s="185" t="s">
        <v>337</v>
      </c>
      <c r="D72" s="225" t="s">
        <v>338</v>
      </c>
      <c r="E72" s="214">
        <f t="shared" si="13"/>
        <v>184</v>
      </c>
      <c r="F72" s="225" t="s">
        <v>339</v>
      </c>
      <c r="G72" s="214">
        <f t="shared" si="13"/>
        <v>227</v>
      </c>
      <c r="H72" s="225" t="s">
        <v>340</v>
      </c>
      <c r="I72" s="214">
        <f t="shared" si="13"/>
        <v>193</v>
      </c>
      <c r="J72" s="226" t="s">
        <v>42</v>
      </c>
      <c r="K72" s="227" t="s">
        <v>25</v>
      </c>
      <c r="L72" s="227" t="s">
        <v>25</v>
      </c>
      <c r="M72" s="227" t="s">
        <v>43</v>
      </c>
      <c r="N72" s="218" t="s">
        <v>25</v>
      </c>
      <c r="O72" s="228" t="s">
        <v>341</v>
      </c>
      <c r="P72" s="578"/>
      <c r="Q72" s="521" t="s">
        <v>1487</v>
      </c>
      <c r="R72" s="551" t="s">
        <v>1488</v>
      </c>
      <c r="S72" s="69" t="s">
        <v>342</v>
      </c>
      <c r="T72" s="73"/>
      <c r="U72" s="163">
        <v>17</v>
      </c>
      <c r="V72" s="164">
        <f>1</f>
        <v>1</v>
      </c>
      <c r="W72" s="163">
        <f t="shared" si="12"/>
        <v>17</v>
      </c>
      <c r="X72" s="4"/>
      <c r="Z72" s="16" t="s">
        <v>24</v>
      </c>
      <c r="AA72" s="5"/>
      <c r="AD72" s="15" t="s">
        <v>36</v>
      </c>
    </row>
    <row r="73" spans="1:30" s="14" customFormat="1" ht="168.75">
      <c r="A73" s="359">
        <f t="shared" si="16"/>
        <v>53</v>
      </c>
      <c r="B73" s="229" t="s">
        <v>343</v>
      </c>
      <c r="C73" s="229" t="s">
        <v>343</v>
      </c>
      <c r="D73" s="230" t="s">
        <v>344</v>
      </c>
      <c r="E73" s="214">
        <f t="shared" si="13"/>
        <v>217</v>
      </c>
      <c r="F73" s="230" t="s">
        <v>345</v>
      </c>
      <c r="G73" s="214">
        <f t="shared" si="13"/>
        <v>257</v>
      </c>
      <c r="H73" s="230" t="s">
        <v>346</v>
      </c>
      <c r="I73" s="214">
        <f t="shared" si="13"/>
        <v>225</v>
      </c>
      <c r="J73" s="231" t="s">
        <v>42</v>
      </c>
      <c r="K73" s="221" t="s">
        <v>25</v>
      </c>
      <c r="L73" s="221" t="s">
        <v>25</v>
      </c>
      <c r="M73" s="221" t="s">
        <v>43</v>
      </c>
      <c r="N73" s="218" t="s">
        <v>25</v>
      </c>
      <c r="O73" s="232" t="s">
        <v>347</v>
      </c>
      <c r="P73" s="219"/>
      <c r="Q73" s="525" t="s">
        <v>1489</v>
      </c>
      <c r="R73" s="554" t="s">
        <v>1490</v>
      </c>
      <c r="S73" s="69"/>
      <c r="T73" s="233" t="s">
        <v>305</v>
      </c>
      <c r="U73" s="163"/>
      <c r="V73" s="164"/>
      <c r="W73" s="163"/>
      <c r="X73" s="4"/>
      <c r="Z73" s="16"/>
      <c r="AA73" s="5"/>
      <c r="AD73" s="15"/>
    </row>
    <row r="74" spans="1:30" s="14" customFormat="1" ht="244.5" thickBot="1">
      <c r="A74" s="361">
        <f>A73+1</f>
        <v>54</v>
      </c>
      <c r="B74" s="106" t="s">
        <v>348</v>
      </c>
      <c r="C74" s="210" t="s">
        <v>348</v>
      </c>
      <c r="D74" s="234" t="s">
        <v>1273</v>
      </c>
      <c r="E74" s="111">
        <f t="shared" si="13"/>
        <v>294</v>
      </c>
      <c r="F74" s="234" t="s">
        <v>349</v>
      </c>
      <c r="G74" s="111">
        <f t="shared" si="13"/>
        <v>428</v>
      </c>
      <c r="H74" s="234" t="s">
        <v>350</v>
      </c>
      <c r="I74" s="111">
        <f t="shared" si="13"/>
        <v>381</v>
      </c>
      <c r="J74" s="110" t="s">
        <v>42</v>
      </c>
      <c r="K74" s="111" t="s">
        <v>25</v>
      </c>
      <c r="L74" s="111" t="s">
        <v>25</v>
      </c>
      <c r="M74" s="111" t="s">
        <v>43</v>
      </c>
      <c r="N74" s="235" t="s">
        <v>25</v>
      </c>
      <c r="O74" s="211" t="s">
        <v>351</v>
      </c>
      <c r="P74" s="494"/>
      <c r="Q74" s="522" t="s">
        <v>1385</v>
      </c>
      <c r="R74" s="212"/>
      <c r="S74" s="114" t="s">
        <v>352</v>
      </c>
      <c r="T74" s="213"/>
      <c r="U74" s="253">
        <v>21.193256378173832</v>
      </c>
      <c r="V74" s="584">
        <f>1</f>
        <v>1</v>
      </c>
      <c r="W74" s="253">
        <f t="shared" si="12"/>
        <v>21.193256378173832</v>
      </c>
      <c r="X74" s="4"/>
      <c r="Z74" s="16" t="s">
        <v>35</v>
      </c>
      <c r="AA74" s="5"/>
      <c r="AD74" s="27" t="s">
        <v>353</v>
      </c>
    </row>
    <row r="75" spans="1:30" s="14" customFormat="1" ht="409.5">
      <c r="A75" s="357">
        <f>A74+1</f>
        <v>55</v>
      </c>
      <c r="B75" s="60" t="s">
        <v>354</v>
      </c>
      <c r="C75" s="71" t="s">
        <v>354</v>
      </c>
      <c r="D75" s="486" t="s">
        <v>1357</v>
      </c>
      <c r="E75" s="481">
        <f t="shared" si="13"/>
        <v>1239</v>
      </c>
      <c r="F75" s="487" t="s">
        <v>1491</v>
      </c>
      <c r="G75" s="481">
        <f t="shared" si="13"/>
        <v>1368</v>
      </c>
      <c r="H75" s="486" t="s">
        <v>1325</v>
      </c>
      <c r="I75" s="214">
        <f t="shared" si="13"/>
        <v>1572</v>
      </c>
      <c r="J75" s="216" t="s">
        <v>42</v>
      </c>
      <c r="K75" s="214" t="s">
        <v>25</v>
      </c>
      <c r="L75" s="214" t="s">
        <v>25</v>
      </c>
      <c r="M75" s="214" t="s">
        <v>1591</v>
      </c>
      <c r="N75" s="218" t="s">
        <v>25</v>
      </c>
      <c r="O75" s="66" t="s">
        <v>1326</v>
      </c>
      <c r="P75" s="66"/>
      <c r="Q75" s="506" t="s">
        <v>1492</v>
      </c>
      <c r="R75" s="548" t="s">
        <v>1493</v>
      </c>
      <c r="S75" s="69" t="s">
        <v>352</v>
      </c>
      <c r="T75" s="73"/>
      <c r="U75" s="253">
        <v>20.229927062988281</v>
      </c>
      <c r="V75" s="584">
        <f>1</f>
        <v>1</v>
      </c>
      <c r="W75" s="253">
        <f t="shared" si="12"/>
        <v>20.229927062988281</v>
      </c>
      <c r="X75" s="4"/>
      <c r="Z75" s="16" t="s">
        <v>35</v>
      </c>
      <c r="AA75" s="5"/>
      <c r="AD75" s="27" t="s">
        <v>289</v>
      </c>
    </row>
    <row r="76" spans="1:30" s="14" customFormat="1" ht="168.75">
      <c r="A76" s="358">
        <f t="shared" ref="A76" si="17">A74+1</f>
        <v>55</v>
      </c>
      <c r="B76" s="60" t="s">
        <v>355</v>
      </c>
      <c r="C76" s="61" t="s">
        <v>355</v>
      </c>
      <c r="D76" s="483" t="s">
        <v>1317</v>
      </c>
      <c r="E76" s="481">
        <f t="shared" si="13"/>
        <v>133</v>
      </c>
      <c r="F76" s="484" t="s">
        <v>1475</v>
      </c>
      <c r="G76" s="481">
        <f t="shared" si="13"/>
        <v>166</v>
      </c>
      <c r="H76" s="483" t="s">
        <v>291</v>
      </c>
      <c r="I76" s="214">
        <f t="shared" si="13"/>
        <v>137</v>
      </c>
      <c r="J76" s="217" t="s">
        <v>42</v>
      </c>
      <c r="K76" s="214" t="s">
        <v>25</v>
      </c>
      <c r="L76" s="214" t="s">
        <v>25</v>
      </c>
      <c r="M76" s="214" t="s">
        <v>43</v>
      </c>
      <c r="N76" s="218" t="s">
        <v>25</v>
      </c>
      <c r="O76" s="219" t="s">
        <v>356</v>
      </c>
      <c r="P76" s="219"/>
      <c r="Q76" s="506" t="s">
        <v>1494</v>
      </c>
      <c r="R76" s="548" t="s">
        <v>1495</v>
      </c>
      <c r="S76" s="69" t="s">
        <v>357</v>
      </c>
      <c r="T76" s="73"/>
      <c r="U76" s="253"/>
      <c r="V76" s="584">
        <f>1</f>
        <v>1</v>
      </c>
      <c r="W76" s="253">
        <f t="shared" si="12"/>
        <v>0</v>
      </c>
      <c r="X76" s="4"/>
      <c r="Z76" s="16" t="s">
        <v>35</v>
      </c>
      <c r="AA76" s="5"/>
      <c r="AD76" s="15" t="s">
        <v>36</v>
      </c>
    </row>
    <row r="77" spans="1:30" s="14" customFormat="1" ht="168.75">
      <c r="A77" s="358">
        <f t="shared" ref="A77:A82" si="18">A76+1</f>
        <v>56</v>
      </c>
      <c r="B77" s="60" t="s">
        <v>358</v>
      </c>
      <c r="C77" s="61" t="s">
        <v>358</v>
      </c>
      <c r="D77" s="483" t="s">
        <v>1318</v>
      </c>
      <c r="E77" s="481">
        <f t="shared" si="13"/>
        <v>159</v>
      </c>
      <c r="F77" s="484" t="s">
        <v>1478</v>
      </c>
      <c r="G77" s="481">
        <f t="shared" si="13"/>
        <v>168</v>
      </c>
      <c r="H77" s="483" t="s">
        <v>296</v>
      </c>
      <c r="I77" s="214">
        <f t="shared" si="13"/>
        <v>166</v>
      </c>
      <c r="J77" s="217" t="s">
        <v>42</v>
      </c>
      <c r="K77" s="214" t="s">
        <v>25</v>
      </c>
      <c r="L77" s="214" t="s">
        <v>25</v>
      </c>
      <c r="M77" s="214" t="s">
        <v>43</v>
      </c>
      <c r="N77" s="218" t="s">
        <v>25</v>
      </c>
      <c r="O77" s="219" t="s">
        <v>356</v>
      </c>
      <c r="P77" s="219"/>
      <c r="Q77" s="506" t="s">
        <v>1496</v>
      </c>
      <c r="R77" s="548" t="s">
        <v>1497</v>
      </c>
      <c r="S77" s="69" t="s">
        <v>359</v>
      </c>
      <c r="T77" s="73"/>
      <c r="U77" s="253"/>
      <c r="V77" s="584">
        <f>1</f>
        <v>1</v>
      </c>
      <c r="W77" s="253">
        <f t="shared" si="12"/>
        <v>0</v>
      </c>
      <c r="X77" s="4"/>
      <c r="Z77" s="16" t="s">
        <v>35</v>
      </c>
      <c r="AA77" s="5"/>
      <c r="AD77" s="15" t="s">
        <v>36</v>
      </c>
    </row>
    <row r="78" spans="1:30" s="14" customFormat="1" ht="168.75">
      <c r="A78" s="358">
        <f t="shared" si="18"/>
        <v>57</v>
      </c>
      <c r="B78" s="60" t="s">
        <v>360</v>
      </c>
      <c r="C78" s="61" t="s">
        <v>360</v>
      </c>
      <c r="D78" s="484" t="s">
        <v>1319</v>
      </c>
      <c r="E78" s="481">
        <f t="shared" si="13"/>
        <v>162</v>
      </c>
      <c r="F78" s="484" t="s">
        <v>1498</v>
      </c>
      <c r="G78" s="481">
        <f t="shared" si="13"/>
        <v>164</v>
      </c>
      <c r="H78" s="483" t="s">
        <v>299</v>
      </c>
      <c r="I78" s="214">
        <f t="shared" si="13"/>
        <v>141</v>
      </c>
      <c r="J78" s="217" t="s">
        <v>42</v>
      </c>
      <c r="K78" s="214" t="s">
        <v>25</v>
      </c>
      <c r="L78" s="214" t="s">
        <v>25</v>
      </c>
      <c r="M78" s="214" t="s">
        <v>43</v>
      </c>
      <c r="N78" s="218" t="s">
        <v>25</v>
      </c>
      <c r="O78" s="219" t="s">
        <v>356</v>
      </c>
      <c r="P78" s="219"/>
      <c r="Q78" s="506" t="s">
        <v>1499</v>
      </c>
      <c r="R78" s="548" t="s">
        <v>1500</v>
      </c>
      <c r="S78" s="69" t="s">
        <v>361</v>
      </c>
      <c r="T78" s="195"/>
      <c r="U78" s="253"/>
      <c r="V78" s="584">
        <f>1</f>
        <v>1</v>
      </c>
      <c r="W78" s="253">
        <f t="shared" si="12"/>
        <v>0</v>
      </c>
      <c r="X78" s="4"/>
      <c r="Z78" s="16" t="s">
        <v>35</v>
      </c>
      <c r="AA78" s="5"/>
      <c r="AD78" s="15" t="s">
        <v>36</v>
      </c>
    </row>
    <row r="79" spans="1:30" s="14" customFormat="1" ht="131.25">
      <c r="A79" s="358">
        <f t="shared" si="18"/>
        <v>58</v>
      </c>
      <c r="B79" s="99" t="s">
        <v>362</v>
      </c>
      <c r="C79" s="100" t="s">
        <v>362</v>
      </c>
      <c r="D79" s="182" t="s">
        <v>1365</v>
      </c>
      <c r="E79" s="481">
        <f t="shared" si="13"/>
        <v>234</v>
      </c>
      <c r="F79" s="182" t="s">
        <v>363</v>
      </c>
      <c r="G79" s="481">
        <f t="shared" si="13"/>
        <v>302</v>
      </c>
      <c r="H79" s="182" t="s">
        <v>364</v>
      </c>
      <c r="I79" s="214">
        <f t="shared" si="13"/>
        <v>275</v>
      </c>
      <c r="J79" s="236" t="s">
        <v>137</v>
      </c>
      <c r="K79" s="221" t="s">
        <v>25</v>
      </c>
      <c r="L79" s="221" t="s">
        <v>25</v>
      </c>
      <c r="M79" s="221" t="s">
        <v>28</v>
      </c>
      <c r="N79" s="218" t="s">
        <v>25</v>
      </c>
      <c r="O79" s="237" t="s">
        <v>1364</v>
      </c>
      <c r="P79" s="237"/>
      <c r="Q79" s="526" t="s">
        <v>1501</v>
      </c>
      <c r="R79" s="552" t="s">
        <v>1502</v>
      </c>
      <c r="S79" s="82" t="s">
        <v>365</v>
      </c>
      <c r="T79" s="628" t="s">
        <v>305</v>
      </c>
      <c r="U79" s="163">
        <v>29.42983245849609</v>
      </c>
      <c r="V79" s="164">
        <f>1</f>
        <v>1</v>
      </c>
      <c r="W79" s="163">
        <f t="shared" si="12"/>
        <v>29.42983245849609</v>
      </c>
      <c r="X79" s="4"/>
      <c r="Z79" s="16" t="s">
        <v>24</v>
      </c>
      <c r="AA79" s="5"/>
      <c r="AD79" s="15" t="s">
        <v>306</v>
      </c>
    </row>
    <row r="80" spans="1:30" s="14" customFormat="1" ht="150">
      <c r="A80" s="358">
        <f t="shared" si="18"/>
        <v>59</v>
      </c>
      <c r="B80" s="99" t="s">
        <v>366</v>
      </c>
      <c r="C80" s="169" t="s">
        <v>366</v>
      </c>
      <c r="D80" s="101" t="s">
        <v>1320</v>
      </c>
      <c r="E80" s="64">
        <f t="shared" si="13"/>
        <v>248</v>
      </c>
      <c r="F80" s="101" t="s">
        <v>1321</v>
      </c>
      <c r="G80" s="64">
        <f t="shared" si="13"/>
        <v>260</v>
      </c>
      <c r="H80" s="101" t="s">
        <v>1322</v>
      </c>
      <c r="I80" s="64">
        <f t="shared" si="13"/>
        <v>251</v>
      </c>
      <c r="J80" s="222" t="s">
        <v>42</v>
      </c>
      <c r="K80" s="223" t="s">
        <v>25</v>
      </c>
      <c r="L80" s="223" t="s">
        <v>25</v>
      </c>
      <c r="M80" s="223" t="s">
        <v>43</v>
      </c>
      <c r="N80" s="218" t="s">
        <v>25</v>
      </c>
      <c r="O80" s="224" t="s">
        <v>367</v>
      </c>
      <c r="P80" s="224"/>
      <c r="Q80" s="524" t="s">
        <v>1503</v>
      </c>
      <c r="R80" s="553" t="s">
        <v>1504</v>
      </c>
      <c r="S80" s="82" t="s">
        <v>25</v>
      </c>
      <c r="T80" s="629"/>
      <c r="U80" s="163">
        <v>1.555555582046509</v>
      </c>
      <c r="V80" s="164">
        <f>1</f>
        <v>1</v>
      </c>
      <c r="W80" s="163">
        <f t="shared" si="12"/>
        <v>1.555555582046509</v>
      </c>
      <c r="X80" s="4"/>
      <c r="Z80" s="16" t="s">
        <v>24</v>
      </c>
      <c r="AA80" s="5"/>
      <c r="AD80" s="15"/>
    </row>
    <row r="81" spans="1:30" s="14" customFormat="1" ht="187.5">
      <c r="A81" s="358">
        <f t="shared" si="18"/>
        <v>60</v>
      </c>
      <c r="B81" s="99" t="s">
        <v>368</v>
      </c>
      <c r="C81" s="169" t="s">
        <v>368</v>
      </c>
      <c r="D81" s="230" t="s">
        <v>369</v>
      </c>
      <c r="E81" s="214">
        <f t="shared" si="13"/>
        <v>186</v>
      </c>
      <c r="F81" s="230" t="s">
        <v>370</v>
      </c>
      <c r="G81" s="214">
        <f t="shared" si="13"/>
        <v>229</v>
      </c>
      <c r="H81" s="230" t="s">
        <v>371</v>
      </c>
      <c r="I81" s="214">
        <f t="shared" si="13"/>
        <v>195</v>
      </c>
      <c r="J81" s="231" t="s">
        <v>42</v>
      </c>
      <c r="K81" s="221" t="s">
        <v>25</v>
      </c>
      <c r="L81" s="221" t="s">
        <v>25</v>
      </c>
      <c r="M81" s="223" t="s">
        <v>43</v>
      </c>
      <c r="N81" s="218" t="s">
        <v>25</v>
      </c>
      <c r="O81" s="224" t="s">
        <v>372</v>
      </c>
      <c r="P81" s="224"/>
      <c r="Q81" s="521" t="s">
        <v>1505</v>
      </c>
      <c r="R81" s="551" t="s">
        <v>1506</v>
      </c>
      <c r="S81" s="82"/>
      <c r="T81" s="142"/>
      <c r="U81" s="163"/>
      <c r="V81" s="164"/>
      <c r="W81" s="163"/>
      <c r="X81" s="4"/>
      <c r="Z81" s="16"/>
      <c r="AA81" s="5"/>
      <c r="AD81" s="15"/>
    </row>
    <row r="82" spans="1:30" s="14" customFormat="1" ht="168.75">
      <c r="A82" s="358">
        <f t="shared" si="18"/>
        <v>61</v>
      </c>
      <c r="B82" s="229" t="s">
        <v>373</v>
      </c>
      <c r="C82" s="229" t="s">
        <v>373</v>
      </c>
      <c r="D82" s="230" t="s">
        <v>374</v>
      </c>
      <c r="E82" s="214">
        <f t="shared" si="13"/>
        <v>219</v>
      </c>
      <c r="F82" s="230" t="s">
        <v>375</v>
      </c>
      <c r="G82" s="214">
        <f t="shared" si="13"/>
        <v>259</v>
      </c>
      <c r="H82" s="230" t="s">
        <v>376</v>
      </c>
      <c r="I82" s="214">
        <f t="shared" si="13"/>
        <v>228</v>
      </c>
      <c r="J82" s="231" t="s">
        <v>42</v>
      </c>
      <c r="K82" s="221" t="s">
        <v>25</v>
      </c>
      <c r="L82" s="221" t="s">
        <v>25</v>
      </c>
      <c r="M82" s="223" t="s">
        <v>43</v>
      </c>
      <c r="N82" s="218" t="s">
        <v>25</v>
      </c>
      <c r="O82" s="224" t="s">
        <v>377</v>
      </c>
      <c r="P82" s="224"/>
      <c r="Q82" s="525" t="s">
        <v>1507</v>
      </c>
      <c r="R82" s="554" t="s">
        <v>1508</v>
      </c>
      <c r="S82" s="82"/>
      <c r="T82" s="142"/>
      <c r="U82" s="163"/>
      <c r="V82" s="164"/>
      <c r="W82" s="163"/>
      <c r="X82" s="4"/>
      <c r="Z82" s="16"/>
      <c r="AA82" s="5"/>
      <c r="AD82" s="15"/>
    </row>
    <row r="83" spans="1:30" s="14" customFormat="1" ht="243.75">
      <c r="A83" s="358">
        <f>A82+1</f>
        <v>62</v>
      </c>
      <c r="B83" s="74" t="s">
        <v>378</v>
      </c>
      <c r="C83" s="71" t="s">
        <v>378</v>
      </c>
      <c r="D83" s="445" t="s">
        <v>1274</v>
      </c>
      <c r="E83" s="214">
        <f t="shared" si="13"/>
        <v>295</v>
      </c>
      <c r="F83" s="238" t="s">
        <v>379</v>
      </c>
      <c r="G83" s="214">
        <f t="shared" si="13"/>
        <v>430</v>
      </c>
      <c r="H83" s="238" t="s">
        <v>380</v>
      </c>
      <c r="I83" s="214">
        <f t="shared" si="13"/>
        <v>383</v>
      </c>
      <c r="J83" s="77" t="s">
        <v>42</v>
      </c>
      <c r="K83" s="78" t="s">
        <v>25</v>
      </c>
      <c r="L83" s="78" t="s">
        <v>25</v>
      </c>
      <c r="M83" s="78" t="s">
        <v>43</v>
      </c>
      <c r="N83" s="218" t="s">
        <v>25</v>
      </c>
      <c r="O83" s="239" t="s">
        <v>381</v>
      </c>
      <c r="P83" s="239"/>
      <c r="Q83" s="522" t="s">
        <v>1386</v>
      </c>
      <c r="R83" s="240"/>
      <c r="S83" s="82" t="s">
        <v>365</v>
      </c>
      <c r="T83" s="213"/>
      <c r="U83" s="253">
        <v>16.348396301269531</v>
      </c>
      <c r="V83" s="584">
        <f>1</f>
        <v>1</v>
      </c>
      <c r="W83" s="253">
        <f t="shared" si="12"/>
        <v>16.348396301269531</v>
      </c>
      <c r="X83" s="4"/>
      <c r="Z83" s="16" t="s">
        <v>35</v>
      </c>
      <c r="AA83" s="5"/>
      <c r="AD83" s="27" t="s">
        <v>353</v>
      </c>
    </row>
    <row r="84" spans="1:30" s="14" customFormat="1" ht="409.5">
      <c r="A84" s="357">
        <f>A83+1</f>
        <v>63</v>
      </c>
      <c r="B84" s="61" t="s">
        <v>382</v>
      </c>
      <c r="C84" s="71" t="s">
        <v>383</v>
      </c>
      <c r="D84" s="490" t="s">
        <v>1328</v>
      </c>
      <c r="E84" s="485">
        <f t="shared" si="13"/>
        <v>1440</v>
      </c>
      <c r="F84" s="490" t="s">
        <v>1509</v>
      </c>
      <c r="G84" s="485">
        <f t="shared" si="13"/>
        <v>1779</v>
      </c>
      <c r="H84" s="490" t="s">
        <v>384</v>
      </c>
      <c r="I84" s="64">
        <f t="shared" si="13"/>
        <v>1706</v>
      </c>
      <c r="J84" s="137" t="s">
        <v>271</v>
      </c>
      <c r="K84" s="64" t="s">
        <v>25</v>
      </c>
      <c r="L84" s="64" t="s">
        <v>25</v>
      </c>
      <c r="M84" s="64" t="s">
        <v>385</v>
      </c>
      <c r="N84" s="181" t="s">
        <v>386</v>
      </c>
      <c r="O84" s="181" t="s">
        <v>1275</v>
      </c>
      <c r="P84" s="181"/>
      <c r="Q84" s="522" t="s">
        <v>1510</v>
      </c>
      <c r="R84" s="555" t="s">
        <v>1511</v>
      </c>
      <c r="S84" s="69" t="s">
        <v>247</v>
      </c>
      <c r="T84" s="73"/>
      <c r="U84" s="253">
        <v>46.247528076171882</v>
      </c>
      <c r="V84" s="584">
        <f>1</f>
        <v>1</v>
      </c>
      <c r="W84" s="253">
        <f t="shared" si="12"/>
        <v>46.247528076171882</v>
      </c>
      <c r="X84" s="4"/>
      <c r="Z84" s="16" t="s">
        <v>35</v>
      </c>
      <c r="AA84" s="5"/>
      <c r="AD84" s="27" t="s">
        <v>387</v>
      </c>
    </row>
    <row r="85" spans="1:30" s="14" customFormat="1" ht="150.75" thickBot="1">
      <c r="A85" s="357">
        <f>A84+1</f>
        <v>64</v>
      </c>
      <c r="B85" s="189" t="s">
        <v>388</v>
      </c>
      <c r="C85" s="189" t="s">
        <v>388</v>
      </c>
      <c r="D85" s="291" t="s">
        <v>389</v>
      </c>
      <c r="E85" s="192">
        <f>LEN(D85)</f>
        <v>331</v>
      </c>
      <c r="F85" s="304" t="s">
        <v>1016</v>
      </c>
      <c r="G85" s="192">
        <f>LEN(F85)</f>
        <v>392</v>
      </c>
      <c r="H85" s="304" t="s">
        <v>1017</v>
      </c>
      <c r="I85" s="192">
        <f>LEN(H85)</f>
        <v>359</v>
      </c>
      <c r="J85" s="103" t="s">
        <v>27</v>
      </c>
      <c r="K85" s="102" t="s">
        <v>25</v>
      </c>
      <c r="L85" s="102" t="s">
        <v>25</v>
      </c>
      <c r="M85" s="102" t="s">
        <v>28</v>
      </c>
      <c r="N85" s="447" t="s">
        <v>25</v>
      </c>
      <c r="O85" s="448" t="s">
        <v>390</v>
      </c>
      <c r="P85" s="448"/>
      <c r="Q85" s="527" t="s">
        <v>1387</v>
      </c>
      <c r="R85" s="547" t="s">
        <v>1512</v>
      </c>
      <c r="S85" s="244"/>
      <c r="T85" s="151"/>
      <c r="U85" s="253"/>
      <c r="V85" s="584"/>
      <c r="W85" s="253"/>
      <c r="X85" s="4"/>
      <c r="Z85" s="16"/>
      <c r="AA85" s="5"/>
      <c r="AD85" s="27"/>
    </row>
    <row r="86" spans="1:30" s="14" customFormat="1" ht="21.75" thickBot="1">
      <c r="A86" s="624" t="s">
        <v>391</v>
      </c>
      <c r="B86" s="625"/>
      <c r="C86" s="626"/>
      <c r="D86" s="625"/>
      <c r="E86" s="625"/>
      <c r="F86" s="626"/>
      <c r="G86" s="626"/>
      <c r="H86" s="626"/>
      <c r="I86" s="626"/>
      <c r="J86" s="625"/>
      <c r="K86" s="626"/>
      <c r="L86" s="625"/>
      <c r="M86" s="625"/>
      <c r="N86" s="625"/>
      <c r="O86" s="625"/>
      <c r="P86" s="625"/>
      <c r="Q86" s="625"/>
      <c r="R86" s="625"/>
      <c r="S86" s="625"/>
      <c r="T86" s="627"/>
      <c r="U86" s="163"/>
      <c r="V86" s="164"/>
      <c r="W86" s="163"/>
      <c r="X86" s="4"/>
      <c r="Z86" s="16"/>
      <c r="AA86" s="5"/>
      <c r="AD86" s="15"/>
    </row>
    <row r="87" spans="1:30" s="14" customFormat="1" ht="187.5">
      <c r="A87" s="357">
        <f>A85+1</f>
        <v>65</v>
      </c>
      <c r="B87" s="245" t="s">
        <v>392</v>
      </c>
      <c r="C87" s="71" t="s">
        <v>392</v>
      </c>
      <c r="D87" s="246" t="s">
        <v>393</v>
      </c>
      <c r="E87" s="155">
        <f>LEN(D87)</f>
        <v>228</v>
      </c>
      <c r="F87" s="215" t="s">
        <v>1595</v>
      </c>
      <c r="G87" s="155">
        <f>LEN(F87)</f>
        <v>245</v>
      </c>
      <c r="H87" s="246" t="s">
        <v>394</v>
      </c>
      <c r="I87" s="155">
        <f>LEN(H87)</f>
        <v>218</v>
      </c>
      <c r="J87" s="241" t="s">
        <v>42</v>
      </c>
      <c r="K87" s="155" t="s">
        <v>25</v>
      </c>
      <c r="L87" s="64" t="s">
        <v>1025</v>
      </c>
      <c r="M87" s="95" t="s">
        <v>43</v>
      </c>
      <c r="N87" s="158" t="s">
        <v>25</v>
      </c>
      <c r="O87" s="242" t="s">
        <v>396</v>
      </c>
      <c r="P87" s="242"/>
      <c r="Q87" s="506" t="s">
        <v>1513</v>
      </c>
      <c r="R87" s="194"/>
      <c r="S87" s="82" t="s">
        <v>397</v>
      </c>
      <c r="T87" s="247"/>
      <c r="U87" s="253">
        <v>7.5</v>
      </c>
      <c r="V87" s="164" t="e">
        <f>#REF!</f>
        <v>#REF!</v>
      </c>
      <c r="W87" s="253" t="e">
        <f t="shared" ref="W87:W92" si="19">U87*V87</f>
        <v>#REF!</v>
      </c>
      <c r="X87" s="4"/>
      <c r="Z87" s="16" t="s">
        <v>35</v>
      </c>
      <c r="AA87" s="5"/>
      <c r="AD87" s="27" t="s">
        <v>398</v>
      </c>
    </row>
    <row r="88" spans="1:30" s="14" customFormat="1" ht="112.5">
      <c r="A88" s="357">
        <f t="shared" ref="A88:A92" si="20">A87+1</f>
        <v>66</v>
      </c>
      <c r="B88" s="248" t="s">
        <v>399</v>
      </c>
      <c r="C88" s="135" t="s">
        <v>399</v>
      </c>
      <c r="D88" s="249" t="s">
        <v>400</v>
      </c>
      <c r="E88" s="155">
        <f>LEN(D88)</f>
        <v>237</v>
      </c>
      <c r="F88" s="167" t="s">
        <v>401</v>
      </c>
      <c r="G88" s="155">
        <f>LEN(F88)</f>
        <v>230</v>
      </c>
      <c r="H88" s="167" t="s">
        <v>402</v>
      </c>
      <c r="I88" s="155">
        <f>LEN(H88)</f>
        <v>232</v>
      </c>
      <c r="J88" s="168" t="s">
        <v>137</v>
      </c>
      <c r="K88" s="95" t="s">
        <v>25</v>
      </c>
      <c r="L88" s="95" t="s">
        <v>25</v>
      </c>
      <c r="M88" s="95" t="s">
        <v>28</v>
      </c>
      <c r="N88" s="250" t="s">
        <v>25</v>
      </c>
      <c r="O88" s="251" t="s">
        <v>403</v>
      </c>
      <c r="P88" s="242"/>
      <c r="Q88" s="506" t="s">
        <v>1388</v>
      </c>
      <c r="R88" s="194"/>
      <c r="S88" s="82"/>
      <c r="T88" s="252"/>
      <c r="U88" s="253"/>
      <c r="V88" s="164"/>
      <c r="W88" s="253"/>
      <c r="X88" s="4"/>
      <c r="Z88" s="16"/>
      <c r="AA88" s="5"/>
      <c r="AD88" s="27"/>
    </row>
    <row r="89" spans="1:30" s="28" customFormat="1" ht="187.5">
      <c r="A89" s="357">
        <f t="shared" si="20"/>
        <v>67</v>
      </c>
      <c r="B89" s="254" t="s">
        <v>404</v>
      </c>
      <c r="C89" s="78" t="s">
        <v>404</v>
      </c>
      <c r="D89" s="496" t="s">
        <v>1329</v>
      </c>
      <c r="E89" s="478">
        <f>LEN(D89)</f>
        <v>137</v>
      </c>
      <c r="F89" s="496" t="s">
        <v>1641</v>
      </c>
      <c r="G89" s="478">
        <f>LEN(F89)</f>
        <v>156</v>
      </c>
      <c r="H89" s="496" t="s">
        <v>1642</v>
      </c>
      <c r="I89" s="95">
        <f>LEN(H89)</f>
        <v>155</v>
      </c>
      <c r="J89" s="168" t="s">
        <v>42</v>
      </c>
      <c r="K89" s="95" t="s">
        <v>25</v>
      </c>
      <c r="L89" s="95" t="s">
        <v>25</v>
      </c>
      <c r="M89" s="95" t="s">
        <v>43</v>
      </c>
      <c r="N89" s="250" t="s">
        <v>25</v>
      </c>
      <c r="O89" s="251" t="s">
        <v>1330</v>
      </c>
      <c r="P89" s="495" t="s">
        <v>1581</v>
      </c>
      <c r="Q89" s="506" t="s">
        <v>405</v>
      </c>
      <c r="R89" s="194"/>
      <c r="S89" s="82" t="s">
        <v>397</v>
      </c>
      <c r="T89" s="255"/>
      <c r="U89" s="253">
        <v>0</v>
      </c>
      <c r="V89" s="164" t="e">
        <f>#REF!</f>
        <v>#REF!</v>
      </c>
      <c r="W89" s="253" t="e">
        <f t="shared" si="19"/>
        <v>#REF!</v>
      </c>
      <c r="X89" s="4"/>
      <c r="Z89" s="16" t="s">
        <v>35</v>
      </c>
      <c r="AA89" s="5"/>
      <c r="AD89" s="27" t="s">
        <v>36</v>
      </c>
    </row>
    <row r="90" spans="1:30" s="14" customFormat="1" ht="409.5">
      <c r="A90" s="357">
        <f t="shared" si="20"/>
        <v>68</v>
      </c>
      <c r="B90" s="60" t="s">
        <v>406</v>
      </c>
      <c r="C90" s="71" t="s">
        <v>406</v>
      </c>
      <c r="D90" s="487" t="s">
        <v>1332</v>
      </c>
      <c r="E90" s="485">
        <f>LEN(D90)</f>
        <v>1482</v>
      </c>
      <c r="F90" s="487" t="s">
        <v>1514</v>
      </c>
      <c r="G90" s="485">
        <f>LEN(F90)</f>
        <v>1708</v>
      </c>
      <c r="H90" s="487" t="s">
        <v>407</v>
      </c>
      <c r="I90" s="64">
        <f>LEN(H90)</f>
        <v>1789</v>
      </c>
      <c r="J90" s="241" t="s">
        <v>42</v>
      </c>
      <c r="K90" s="155" t="s">
        <v>25</v>
      </c>
      <c r="L90" s="155" t="s">
        <v>25</v>
      </c>
      <c r="M90" s="168" t="s">
        <v>1582</v>
      </c>
      <c r="N90" s="250" t="s">
        <v>1333</v>
      </c>
      <c r="O90" s="256" t="s">
        <v>408</v>
      </c>
      <c r="P90" s="256"/>
      <c r="Q90" s="556" t="s">
        <v>1515</v>
      </c>
      <c r="R90" s="257"/>
      <c r="S90" s="82" t="s">
        <v>397</v>
      </c>
      <c r="T90" s="73"/>
      <c r="U90" s="253">
        <v>27.057552337646481</v>
      </c>
      <c r="V90" s="164" t="e">
        <f>#REF!</f>
        <v>#REF!</v>
      </c>
      <c r="W90" s="253" t="e">
        <f t="shared" si="19"/>
        <v>#REF!</v>
      </c>
      <c r="X90" s="4"/>
      <c r="Z90" s="16" t="s">
        <v>35</v>
      </c>
      <c r="AA90" s="5"/>
      <c r="AD90" s="15" t="s">
        <v>409</v>
      </c>
    </row>
    <row r="91" spans="1:30" s="14" customFormat="1" ht="206.25">
      <c r="A91" s="357">
        <f t="shared" si="20"/>
        <v>69</v>
      </c>
      <c r="B91" s="60" t="s">
        <v>410</v>
      </c>
      <c r="C91" s="71"/>
      <c r="D91" s="215" t="s">
        <v>411</v>
      </c>
      <c r="E91" s="64">
        <f>LEN(D91)</f>
        <v>184</v>
      </c>
      <c r="F91" s="215" t="s">
        <v>412</v>
      </c>
      <c r="G91" s="64">
        <f>LEN(F91)</f>
        <v>214</v>
      </c>
      <c r="H91" s="215" t="s">
        <v>413</v>
      </c>
      <c r="I91" s="64">
        <f>LEN(H91)</f>
        <v>188</v>
      </c>
      <c r="J91" s="137" t="s">
        <v>42</v>
      </c>
      <c r="K91" s="64" t="s">
        <v>25</v>
      </c>
      <c r="L91" s="64" t="s">
        <v>25</v>
      </c>
      <c r="M91" s="258" t="s">
        <v>43</v>
      </c>
      <c r="N91" s="250" t="s">
        <v>25</v>
      </c>
      <c r="O91" s="259" t="s">
        <v>414</v>
      </c>
      <c r="P91" s="259"/>
      <c r="Q91" s="557" t="s">
        <v>1389</v>
      </c>
      <c r="R91" s="257"/>
      <c r="S91" s="82" t="s">
        <v>415</v>
      </c>
      <c r="T91" s="73"/>
      <c r="U91" s="253">
        <v>0</v>
      </c>
      <c r="V91" s="164" t="e">
        <f>#REF!</f>
        <v>#REF!</v>
      </c>
      <c r="W91" s="253" t="e">
        <f t="shared" si="19"/>
        <v>#REF!</v>
      </c>
      <c r="X91" s="4"/>
      <c r="Z91" s="16" t="s">
        <v>35</v>
      </c>
      <c r="AA91" s="5"/>
      <c r="AD91" s="15"/>
    </row>
    <row r="92" spans="1:30" s="14" customFormat="1" ht="262.5">
      <c r="A92" s="357">
        <f t="shared" si="20"/>
        <v>70</v>
      </c>
      <c r="B92" s="248" t="s">
        <v>416</v>
      </c>
      <c r="C92" s="135" t="s">
        <v>416</v>
      </c>
      <c r="D92" s="238" t="s">
        <v>417</v>
      </c>
      <c r="E92" s="78">
        <f t="shared" ref="E92:I92" si="21">LEN(D92)</f>
        <v>331</v>
      </c>
      <c r="F92" s="238" t="s">
        <v>418</v>
      </c>
      <c r="G92" s="78">
        <f t="shared" si="21"/>
        <v>403</v>
      </c>
      <c r="H92" s="238" t="s">
        <v>419</v>
      </c>
      <c r="I92" s="78">
        <f t="shared" si="21"/>
        <v>409</v>
      </c>
      <c r="J92" s="558" t="s">
        <v>91</v>
      </c>
      <c r="K92" s="135" t="s">
        <v>25</v>
      </c>
      <c r="L92" s="135" t="s">
        <v>25</v>
      </c>
      <c r="M92" s="135" t="s">
        <v>92</v>
      </c>
      <c r="N92" s="559" t="s">
        <v>25</v>
      </c>
      <c r="O92" s="259" t="s">
        <v>1366</v>
      </c>
      <c r="P92" s="259"/>
      <c r="Q92" s="595" t="s">
        <v>1516</v>
      </c>
      <c r="R92" s="596" t="s">
        <v>1517</v>
      </c>
      <c r="S92" s="560" t="s">
        <v>420</v>
      </c>
      <c r="T92" s="83"/>
      <c r="U92" s="253">
        <v>15.95429515838623</v>
      </c>
      <c r="V92" s="164">
        <f>'[1]Additional information'!$D$17</f>
        <v>0.91</v>
      </c>
      <c r="W92" s="253">
        <f t="shared" si="19"/>
        <v>14.51840859413147</v>
      </c>
      <c r="X92" s="4"/>
      <c r="Z92" s="16"/>
      <c r="AA92" s="5"/>
      <c r="AD92" s="15"/>
    </row>
    <row r="93" spans="1:30" s="14" customFormat="1" ht="300">
      <c r="A93" s="357">
        <f>A92+1</f>
        <v>71</v>
      </c>
      <c r="B93" s="446" t="s">
        <v>421</v>
      </c>
      <c r="C93" s="102" t="s">
        <v>422</v>
      </c>
      <c r="D93" s="260" t="s">
        <v>423</v>
      </c>
      <c r="E93" s="78">
        <f t="shared" ref="E93:I93" si="22">LEN(D93)</f>
        <v>328</v>
      </c>
      <c r="F93" s="260" t="s">
        <v>424</v>
      </c>
      <c r="G93" s="78">
        <f t="shared" si="22"/>
        <v>446</v>
      </c>
      <c r="H93" s="260" t="s">
        <v>425</v>
      </c>
      <c r="I93" s="78">
        <f t="shared" si="22"/>
        <v>421</v>
      </c>
      <c r="J93" s="178" t="s">
        <v>426</v>
      </c>
      <c r="K93" s="102" t="s">
        <v>25</v>
      </c>
      <c r="L93" s="102" t="s">
        <v>25</v>
      </c>
      <c r="M93" s="102" t="s">
        <v>427</v>
      </c>
      <c r="N93" s="239" t="s">
        <v>428</v>
      </c>
      <c r="O93" s="449" t="s">
        <v>1367</v>
      </c>
      <c r="P93" s="465"/>
      <c r="Q93" s="528" t="s">
        <v>1518</v>
      </c>
      <c r="R93" s="528" t="s">
        <v>1519</v>
      </c>
      <c r="S93" s="105"/>
      <c r="T93" s="510"/>
      <c r="U93" s="253"/>
      <c r="V93" s="164"/>
      <c r="W93" s="253"/>
      <c r="X93" s="4"/>
      <c r="Z93" s="16"/>
      <c r="AA93" s="5"/>
      <c r="AD93" s="15"/>
    </row>
    <row r="94" spans="1:30" s="14" customFormat="1" ht="206.25">
      <c r="A94" s="357">
        <f>A93+1</f>
        <v>72</v>
      </c>
      <c r="B94" s="446" t="s">
        <v>1520</v>
      </c>
      <c r="C94" s="102" t="s">
        <v>1520</v>
      </c>
      <c r="D94" s="611" t="s">
        <v>1521</v>
      </c>
      <c r="E94" s="612">
        <f>LEN(D94)</f>
        <v>171</v>
      </c>
      <c r="F94" s="611" t="s">
        <v>1633</v>
      </c>
      <c r="G94" s="472"/>
      <c r="H94" s="611" t="s">
        <v>1644</v>
      </c>
      <c r="I94" s="78"/>
      <c r="J94" s="100" t="s">
        <v>42</v>
      </c>
      <c r="K94" s="176" t="s">
        <v>25</v>
      </c>
      <c r="L94" s="176" t="s">
        <v>25</v>
      </c>
      <c r="M94" s="71" t="s">
        <v>43</v>
      </c>
      <c r="N94" s="102" t="s">
        <v>25</v>
      </c>
      <c r="O94" s="465" t="s">
        <v>1522</v>
      </c>
      <c r="P94" s="464"/>
      <c r="Q94" s="466" t="s">
        <v>1523</v>
      </c>
      <c r="R94" s="561" t="s">
        <v>1524</v>
      </c>
      <c r="S94" s="105"/>
      <c r="T94" s="510"/>
      <c r="U94" s="253"/>
      <c r="V94" s="164"/>
      <c r="W94" s="253"/>
      <c r="X94" s="4"/>
      <c r="Z94" s="16"/>
      <c r="AA94" s="5"/>
      <c r="AD94" s="15"/>
    </row>
    <row r="95" spans="1:30" s="14" customFormat="1" ht="300">
      <c r="A95" s="357">
        <f>A94+1</f>
        <v>73</v>
      </c>
      <c r="B95" s="446" t="s">
        <v>1525</v>
      </c>
      <c r="C95" s="102" t="s">
        <v>1526</v>
      </c>
      <c r="D95" s="611" t="s">
        <v>1643</v>
      </c>
      <c r="E95" s="612">
        <f>LEN(D95)</f>
        <v>330</v>
      </c>
      <c r="F95" s="611" t="s">
        <v>1647</v>
      </c>
      <c r="G95" s="472"/>
      <c r="H95" s="611" t="s">
        <v>1640</v>
      </c>
      <c r="I95" s="78"/>
      <c r="J95" s="100" t="s">
        <v>426</v>
      </c>
      <c r="K95" s="176" t="s">
        <v>25</v>
      </c>
      <c r="L95" s="176" t="s">
        <v>25</v>
      </c>
      <c r="M95" s="176" t="s">
        <v>1527</v>
      </c>
      <c r="N95" s="511" t="s">
        <v>1293</v>
      </c>
      <c r="O95" s="465" t="s">
        <v>1292</v>
      </c>
      <c r="P95" s="464"/>
      <c r="Q95" s="466" t="s">
        <v>1528</v>
      </c>
      <c r="R95" s="561" t="s">
        <v>1529</v>
      </c>
      <c r="S95" s="105"/>
      <c r="T95" s="510"/>
      <c r="U95" s="253"/>
      <c r="V95" s="164"/>
      <c r="W95" s="253"/>
      <c r="X95" s="4"/>
      <c r="Z95" s="16"/>
      <c r="AA95" s="5"/>
      <c r="AD95" s="15"/>
    </row>
    <row r="96" spans="1:30" s="14" customFormat="1" ht="225">
      <c r="A96" s="357">
        <f>A95+1</f>
        <v>74</v>
      </c>
      <c r="B96" s="446" t="s">
        <v>1530</v>
      </c>
      <c r="C96" s="102" t="s">
        <v>1530</v>
      </c>
      <c r="D96" s="611" t="s">
        <v>1531</v>
      </c>
      <c r="E96" s="612">
        <f>LEN(D96)</f>
        <v>177</v>
      </c>
      <c r="F96" s="611" t="s">
        <v>1634</v>
      </c>
      <c r="G96" s="472"/>
      <c r="H96" s="611" t="s">
        <v>1645</v>
      </c>
      <c r="I96" s="78"/>
      <c r="J96" s="100" t="s">
        <v>42</v>
      </c>
      <c r="K96" s="176" t="s">
        <v>25</v>
      </c>
      <c r="L96" s="176" t="s">
        <v>25</v>
      </c>
      <c r="M96" s="71" t="s">
        <v>43</v>
      </c>
      <c r="N96" s="102" t="s">
        <v>25</v>
      </c>
      <c r="O96" s="465" t="s">
        <v>1532</v>
      </c>
      <c r="P96" s="465"/>
      <c r="Q96" s="466" t="s">
        <v>1533</v>
      </c>
      <c r="R96" s="561" t="s">
        <v>1534</v>
      </c>
      <c r="S96" s="105"/>
      <c r="T96" s="510"/>
      <c r="U96" s="253"/>
      <c r="V96" s="164"/>
      <c r="W96" s="253"/>
      <c r="X96" s="4"/>
      <c r="Z96" s="16"/>
      <c r="AA96" s="5"/>
      <c r="AD96" s="15"/>
    </row>
    <row r="97" spans="1:31" s="14" customFormat="1" ht="225">
      <c r="A97" s="357">
        <f>A96+1</f>
        <v>75</v>
      </c>
      <c r="B97" s="262" t="s">
        <v>429</v>
      </c>
      <c r="C97" s="133" t="s">
        <v>429</v>
      </c>
      <c r="D97" s="249" t="s">
        <v>430</v>
      </c>
      <c r="E97" s="95">
        <f t="shared" ref="E97:I100" si="23">LEN(D97)</f>
        <v>263</v>
      </c>
      <c r="F97" s="249" t="s">
        <v>431</v>
      </c>
      <c r="G97" s="95">
        <f t="shared" si="23"/>
        <v>348</v>
      </c>
      <c r="H97" s="249" t="s">
        <v>432</v>
      </c>
      <c r="I97" s="95">
        <f t="shared" si="23"/>
        <v>326</v>
      </c>
      <c r="J97" s="97" t="s">
        <v>42</v>
      </c>
      <c r="K97" s="95" t="s">
        <v>25</v>
      </c>
      <c r="L97" s="95" t="s">
        <v>25</v>
      </c>
      <c r="M97" s="95" t="s">
        <v>43</v>
      </c>
      <c r="N97" s="250" t="s">
        <v>25</v>
      </c>
      <c r="O97" s="256" t="s">
        <v>433</v>
      </c>
      <c r="P97" s="256"/>
      <c r="Q97" s="522" t="s">
        <v>1390</v>
      </c>
      <c r="R97" s="261"/>
      <c r="S97" s="101" t="s">
        <v>434</v>
      </c>
      <c r="T97" s="82"/>
      <c r="U97" s="253">
        <v>25.436874389648441</v>
      </c>
      <c r="V97" s="164" t="e">
        <f>#REF!</f>
        <v>#REF!</v>
      </c>
      <c r="W97" s="253" t="e">
        <f t="shared" ref="W97:W100" si="24">U97*V97</f>
        <v>#REF!</v>
      </c>
      <c r="X97" s="4"/>
      <c r="Z97" s="16" t="s">
        <v>35</v>
      </c>
      <c r="AA97" s="5"/>
      <c r="AD97" s="27" t="s">
        <v>435</v>
      </c>
    </row>
    <row r="98" spans="1:31" s="14" customFormat="1" ht="225">
      <c r="A98" s="358">
        <f t="shared" ref="A98:A100" si="25">A97+1</f>
        <v>76</v>
      </c>
      <c r="B98" s="254" t="s">
        <v>436</v>
      </c>
      <c r="C98" s="78" t="s">
        <v>436</v>
      </c>
      <c r="D98" s="249" t="s">
        <v>437</v>
      </c>
      <c r="E98" s="95">
        <f t="shared" si="23"/>
        <v>258</v>
      </c>
      <c r="F98" s="238" t="s">
        <v>1535</v>
      </c>
      <c r="G98" s="95">
        <f t="shared" si="23"/>
        <v>349</v>
      </c>
      <c r="H98" s="249" t="s">
        <v>438</v>
      </c>
      <c r="I98" s="95">
        <f t="shared" si="23"/>
        <v>308</v>
      </c>
      <c r="J98" s="97" t="s">
        <v>42</v>
      </c>
      <c r="K98" s="95" t="s">
        <v>25</v>
      </c>
      <c r="L98" s="95" t="s">
        <v>25</v>
      </c>
      <c r="M98" s="95" t="s">
        <v>43</v>
      </c>
      <c r="N98" s="250" t="s">
        <v>25</v>
      </c>
      <c r="O98" s="72" t="s">
        <v>1334</v>
      </c>
      <c r="P98" s="497" t="s">
        <v>1583</v>
      </c>
      <c r="Q98" s="529" t="s">
        <v>1391</v>
      </c>
      <c r="R98" s="562" t="s">
        <v>1536</v>
      </c>
      <c r="S98" s="101" t="s">
        <v>434</v>
      </c>
      <c r="T98" s="264"/>
      <c r="U98" s="253">
        <v>19.364946365356449</v>
      </c>
      <c r="V98" s="164" t="e">
        <f>#REF!</f>
        <v>#REF!</v>
      </c>
      <c r="W98" s="253" t="e">
        <f t="shared" si="24"/>
        <v>#REF!</v>
      </c>
      <c r="X98" s="4"/>
      <c r="Z98" s="16" t="s">
        <v>35</v>
      </c>
      <c r="AA98" s="5"/>
      <c r="AD98" s="27" t="s">
        <v>439</v>
      </c>
    </row>
    <row r="99" spans="1:31" s="14" customFormat="1" ht="187.5">
      <c r="A99" s="358">
        <f t="shared" si="25"/>
        <v>77</v>
      </c>
      <c r="B99" s="254" t="s">
        <v>440</v>
      </c>
      <c r="C99" s="258" t="s">
        <v>440</v>
      </c>
      <c r="D99" s="147" t="s">
        <v>441</v>
      </c>
      <c r="E99" s="95">
        <f t="shared" si="23"/>
        <v>168</v>
      </c>
      <c r="F99" s="147" t="s">
        <v>442</v>
      </c>
      <c r="G99" s="95">
        <f t="shared" si="23"/>
        <v>174</v>
      </c>
      <c r="H99" s="147" t="s">
        <v>443</v>
      </c>
      <c r="I99" s="95">
        <f t="shared" si="23"/>
        <v>171</v>
      </c>
      <c r="J99" s="97" t="s">
        <v>42</v>
      </c>
      <c r="K99" s="95" t="s">
        <v>25</v>
      </c>
      <c r="L99" s="95" t="s">
        <v>25</v>
      </c>
      <c r="M99" s="95" t="s">
        <v>43</v>
      </c>
      <c r="N99" s="250" t="s">
        <v>25</v>
      </c>
      <c r="O99" s="72" t="s">
        <v>1368</v>
      </c>
      <c r="P99" s="72"/>
      <c r="Q99" s="512" t="s">
        <v>1392</v>
      </c>
      <c r="R99" s="563" t="s">
        <v>1537</v>
      </c>
      <c r="S99" s="101" t="s">
        <v>397</v>
      </c>
      <c r="T99" s="82"/>
      <c r="U99" s="253">
        <v>13.458864212036129</v>
      </c>
      <c r="V99" s="164" t="e">
        <f>#REF!</f>
        <v>#REF!</v>
      </c>
      <c r="W99" s="253" t="e">
        <f t="shared" si="24"/>
        <v>#REF!</v>
      </c>
      <c r="X99" s="4"/>
      <c r="Z99" s="16" t="s">
        <v>35</v>
      </c>
      <c r="AA99" s="5"/>
      <c r="AD99" s="15"/>
    </row>
    <row r="100" spans="1:31" s="14" customFormat="1" ht="409.5">
      <c r="A100" s="358">
        <f t="shared" si="25"/>
        <v>78</v>
      </c>
      <c r="B100" s="262" t="s">
        <v>444</v>
      </c>
      <c r="C100" s="267" t="s">
        <v>445</v>
      </c>
      <c r="D100" s="147" t="s">
        <v>446</v>
      </c>
      <c r="E100" s="95">
        <f t="shared" si="23"/>
        <v>781</v>
      </c>
      <c r="F100" s="72" t="s">
        <v>447</v>
      </c>
      <c r="G100" s="95">
        <f t="shared" si="23"/>
        <v>899</v>
      </c>
      <c r="H100" s="147" t="s">
        <v>448</v>
      </c>
      <c r="I100" s="95">
        <f t="shared" si="23"/>
        <v>1379</v>
      </c>
      <c r="J100" s="168" t="s">
        <v>426</v>
      </c>
      <c r="K100" s="95" t="s">
        <v>25</v>
      </c>
      <c r="L100" s="95" t="s">
        <v>25</v>
      </c>
      <c r="M100" s="95" t="s">
        <v>449</v>
      </c>
      <c r="N100" s="251" t="s">
        <v>450</v>
      </c>
      <c r="O100" s="72" t="s">
        <v>1276</v>
      </c>
      <c r="P100" s="72"/>
      <c r="Q100" s="531" t="s">
        <v>1393</v>
      </c>
      <c r="R100" s="564" t="s">
        <v>1538</v>
      </c>
      <c r="S100" s="101" t="s">
        <v>451</v>
      </c>
      <c r="T100" s="82"/>
      <c r="U100" s="253">
        <v>37.523288726806641</v>
      </c>
      <c r="V100" s="164" t="e">
        <f>#REF!</f>
        <v>#REF!</v>
      </c>
      <c r="W100" s="253" t="e">
        <f t="shared" si="24"/>
        <v>#REF!</v>
      </c>
      <c r="X100" s="4"/>
      <c r="Z100" s="16" t="s">
        <v>35</v>
      </c>
      <c r="AA100" s="5"/>
      <c r="AD100" s="27" t="s">
        <v>452</v>
      </c>
    </row>
    <row r="101" spans="1:31" s="14" customFormat="1" ht="409.5">
      <c r="A101" s="359">
        <f>A100+1</f>
        <v>79</v>
      </c>
      <c r="B101" s="99" t="s">
        <v>453</v>
      </c>
      <c r="C101" s="169" t="s">
        <v>453</v>
      </c>
      <c r="D101" s="101" t="s">
        <v>454</v>
      </c>
      <c r="E101" s="102">
        <f>LEN(D101)</f>
        <v>297</v>
      </c>
      <c r="F101" s="72" t="s">
        <v>1019</v>
      </c>
      <c r="G101" s="102">
        <f>LEN(F101)</f>
        <v>398</v>
      </c>
      <c r="H101" s="72" t="s">
        <v>1020</v>
      </c>
      <c r="I101" s="102">
        <f>LEN(H101)</f>
        <v>345</v>
      </c>
      <c r="J101" s="178" t="s">
        <v>42</v>
      </c>
      <c r="K101" s="102" t="s">
        <v>25</v>
      </c>
      <c r="L101" s="178" t="s">
        <v>1353</v>
      </c>
      <c r="M101" s="102" t="s">
        <v>43</v>
      </c>
      <c r="N101" s="451" t="s">
        <v>25</v>
      </c>
      <c r="O101" s="101" t="s">
        <v>455</v>
      </c>
      <c r="P101" s="101"/>
      <c r="Q101" s="467" t="s">
        <v>1539</v>
      </c>
      <c r="R101" s="565" t="s">
        <v>1540</v>
      </c>
      <c r="S101" s="101"/>
      <c r="T101" s="82"/>
      <c r="U101" s="253"/>
      <c r="V101" s="164"/>
      <c r="W101" s="253"/>
      <c r="X101" s="4"/>
      <c r="Z101" s="16"/>
      <c r="AA101" s="5"/>
      <c r="AD101" s="27"/>
    </row>
    <row r="102" spans="1:31" s="14" customFormat="1" ht="188.25" thickBot="1">
      <c r="A102" s="359">
        <f>A101+1</f>
        <v>80</v>
      </c>
      <c r="B102" s="184" t="s">
        <v>456</v>
      </c>
      <c r="C102" s="185" t="s">
        <v>457</v>
      </c>
      <c r="D102" s="173" t="s">
        <v>458</v>
      </c>
      <c r="E102" s="187">
        <f>LEN(D102)</f>
        <v>233</v>
      </c>
      <c r="F102" s="452" t="s">
        <v>1021</v>
      </c>
      <c r="G102" s="187">
        <f>LEN(F102)</f>
        <v>303</v>
      </c>
      <c r="H102" s="452" t="s">
        <v>1022</v>
      </c>
      <c r="I102" s="187">
        <f>LEN(H102)</f>
        <v>243</v>
      </c>
      <c r="J102" s="453" t="s">
        <v>271</v>
      </c>
      <c r="K102" s="187" t="s">
        <v>25</v>
      </c>
      <c r="L102" s="450" t="s">
        <v>25</v>
      </c>
      <c r="M102" s="187" t="s">
        <v>459</v>
      </c>
      <c r="N102" s="451" t="s">
        <v>25</v>
      </c>
      <c r="O102" s="448" t="s">
        <v>460</v>
      </c>
      <c r="P102" s="448"/>
      <c r="Q102" s="470" t="s">
        <v>1394</v>
      </c>
      <c r="R102" s="470"/>
      <c r="S102" s="268"/>
      <c r="T102" s="269"/>
      <c r="U102" s="253"/>
      <c r="V102" s="164"/>
      <c r="W102" s="253"/>
      <c r="X102" s="4"/>
      <c r="Z102" s="16"/>
      <c r="AA102" s="5"/>
      <c r="AD102" s="27"/>
    </row>
    <row r="103" spans="1:31" s="14" customFormat="1" ht="21.75" thickBot="1">
      <c r="A103" s="630" t="s">
        <v>461</v>
      </c>
      <c r="B103" s="631"/>
      <c r="C103" s="634"/>
      <c r="D103" s="631"/>
      <c r="E103" s="631"/>
      <c r="F103" s="634"/>
      <c r="G103" s="634"/>
      <c r="H103" s="634"/>
      <c r="I103" s="634"/>
      <c r="J103" s="631"/>
      <c r="K103" s="634"/>
      <c r="L103" s="631"/>
      <c r="M103" s="631"/>
      <c r="N103" s="631"/>
      <c r="O103" s="631"/>
      <c r="P103" s="631"/>
      <c r="Q103" s="631"/>
      <c r="R103" s="631"/>
      <c r="S103" s="631"/>
      <c r="T103" s="633"/>
      <c r="U103" s="163"/>
      <c r="V103" s="164"/>
      <c r="W103" s="163"/>
      <c r="X103" s="4"/>
      <c r="Z103" s="16"/>
      <c r="AA103" s="5"/>
      <c r="AD103" s="15"/>
    </row>
    <row r="104" spans="1:31" s="14" customFormat="1" ht="409.5">
      <c r="A104" s="357">
        <f>A102+1</f>
        <v>81</v>
      </c>
      <c r="B104" s="60" t="s">
        <v>462</v>
      </c>
      <c r="C104" s="61" t="s">
        <v>462</v>
      </c>
      <c r="D104" s="498" t="s">
        <v>1335</v>
      </c>
      <c r="E104" s="481">
        <f>LEN(D104)</f>
        <v>1468</v>
      </c>
      <c r="F104" s="499" t="s">
        <v>463</v>
      </c>
      <c r="G104" s="481">
        <f>LEN(F104)</f>
        <v>1724</v>
      </c>
      <c r="H104" s="500" t="s">
        <v>464</v>
      </c>
      <c r="I104" s="155">
        <f>LEN(H104)</f>
        <v>1781</v>
      </c>
      <c r="J104" s="241" t="s">
        <v>42</v>
      </c>
      <c r="K104" s="155" t="s">
        <v>25</v>
      </c>
      <c r="L104" s="157" t="s">
        <v>465</v>
      </c>
      <c r="M104" s="155" t="s">
        <v>1584</v>
      </c>
      <c r="N104" s="155" t="s">
        <v>1333</v>
      </c>
      <c r="O104" s="62" t="s">
        <v>1277</v>
      </c>
      <c r="P104" s="62"/>
      <c r="Q104" s="512" t="s">
        <v>1395</v>
      </c>
      <c r="R104" s="270"/>
      <c r="S104" s="177" t="s">
        <v>466</v>
      </c>
      <c r="T104" s="69"/>
      <c r="U104" s="253">
        <v>27.1</v>
      </c>
      <c r="V104" s="164" t="e">
        <f>#REF!</f>
        <v>#REF!</v>
      </c>
      <c r="W104" s="253" t="e">
        <f t="shared" ref="W104:W107" si="26">U104*V104</f>
        <v>#REF!</v>
      </c>
      <c r="X104" s="4"/>
      <c r="Z104" s="16" t="s">
        <v>35</v>
      </c>
      <c r="AA104" s="5"/>
      <c r="AD104" s="27" t="s">
        <v>127</v>
      </c>
      <c r="AE104" s="29"/>
    </row>
    <row r="105" spans="1:31" s="14" customFormat="1" ht="168.75">
      <c r="A105" s="358">
        <f>A104+1</f>
        <v>82</v>
      </c>
      <c r="B105" s="254" t="s">
        <v>467</v>
      </c>
      <c r="C105" s="258" t="s">
        <v>467</v>
      </c>
      <c r="D105" s="263" t="s">
        <v>1336</v>
      </c>
      <c r="E105" s="472">
        <f>LEN(D105)</f>
        <v>167</v>
      </c>
      <c r="F105" s="263" t="s">
        <v>468</v>
      </c>
      <c r="G105" s="472">
        <f>LEN(F105)</f>
        <v>202</v>
      </c>
      <c r="H105" s="263" t="s">
        <v>469</v>
      </c>
      <c r="I105" s="75">
        <f>LEN(H105)</f>
        <v>169</v>
      </c>
      <c r="J105" s="77" t="s">
        <v>42</v>
      </c>
      <c r="K105" s="78" t="s">
        <v>25</v>
      </c>
      <c r="L105" s="258" t="s">
        <v>25</v>
      </c>
      <c r="M105" s="78" t="s">
        <v>43</v>
      </c>
      <c r="N105" s="155" t="s">
        <v>25</v>
      </c>
      <c r="O105" s="72" t="s">
        <v>470</v>
      </c>
      <c r="P105" s="72"/>
      <c r="Q105" s="514" t="s">
        <v>1396</v>
      </c>
      <c r="R105" s="266"/>
      <c r="S105" s="101" t="s">
        <v>471</v>
      </c>
      <c r="T105" s="82"/>
      <c r="U105" s="253">
        <v>12.68148708343506</v>
      </c>
      <c r="V105" s="164" t="e">
        <f>#REF!</f>
        <v>#REF!</v>
      </c>
      <c r="W105" s="253" t="e">
        <f t="shared" si="26"/>
        <v>#REF!</v>
      </c>
      <c r="X105" s="4"/>
      <c r="Z105" s="16" t="s">
        <v>35</v>
      </c>
      <c r="AA105" s="5"/>
      <c r="AD105" s="15" t="s">
        <v>472</v>
      </c>
    </row>
    <row r="106" spans="1:31" s="14" customFormat="1" ht="409.5">
      <c r="A106" s="358">
        <f>A105+1</f>
        <v>83</v>
      </c>
      <c r="B106" s="74" t="s">
        <v>473</v>
      </c>
      <c r="C106" s="71" t="s">
        <v>474</v>
      </c>
      <c r="D106" s="482" t="s">
        <v>1337</v>
      </c>
      <c r="E106" s="478">
        <f>LEN(D106)</f>
        <v>683</v>
      </c>
      <c r="F106" s="482" t="s">
        <v>475</v>
      </c>
      <c r="G106" s="478">
        <f>LEN(F106)</f>
        <v>817</v>
      </c>
      <c r="H106" s="482" t="s">
        <v>476</v>
      </c>
      <c r="I106" s="95">
        <f>LEN(H106)</f>
        <v>963</v>
      </c>
      <c r="J106" s="168" t="s">
        <v>426</v>
      </c>
      <c r="K106" s="95" t="s">
        <v>25</v>
      </c>
      <c r="L106" s="271" t="s">
        <v>25</v>
      </c>
      <c r="M106" s="95" t="s">
        <v>427</v>
      </c>
      <c r="N106" s="156" t="s">
        <v>477</v>
      </c>
      <c r="O106" s="147" t="s">
        <v>478</v>
      </c>
      <c r="P106" s="147"/>
      <c r="Q106" s="512" t="s">
        <v>1541</v>
      </c>
      <c r="R106" s="266"/>
      <c r="S106" s="101" t="s">
        <v>479</v>
      </c>
      <c r="T106" s="82"/>
      <c r="U106" s="253">
        <v>22.61360931396484</v>
      </c>
      <c r="V106" s="164" t="e">
        <f>#REF!</f>
        <v>#REF!</v>
      </c>
      <c r="W106" s="253" t="e">
        <f t="shared" si="26"/>
        <v>#REF!</v>
      </c>
      <c r="X106" s="4"/>
      <c r="Z106" s="16" t="s">
        <v>35</v>
      </c>
      <c r="AA106" s="5"/>
      <c r="AD106" s="27" t="s">
        <v>480</v>
      </c>
    </row>
    <row r="107" spans="1:31" s="14" customFormat="1" ht="244.5" thickBot="1">
      <c r="A107" s="363">
        <f>A106+1</f>
        <v>84</v>
      </c>
      <c r="B107" s="272" t="s">
        <v>481</v>
      </c>
      <c r="C107" s="273" t="s">
        <v>481</v>
      </c>
      <c r="D107" s="274" t="s">
        <v>1338</v>
      </c>
      <c r="E107" s="275">
        <f>LEN(D107)</f>
        <v>340</v>
      </c>
      <c r="F107" s="274" t="s">
        <v>482</v>
      </c>
      <c r="G107" s="275">
        <f>LEN(F107)</f>
        <v>417</v>
      </c>
      <c r="H107" s="274" t="s">
        <v>483</v>
      </c>
      <c r="I107" s="275">
        <f>LEN(H107)</f>
        <v>368</v>
      </c>
      <c r="J107" s="276" t="s">
        <v>42</v>
      </c>
      <c r="K107" s="275" t="s">
        <v>25</v>
      </c>
      <c r="L107" s="275" t="s">
        <v>25</v>
      </c>
      <c r="M107" s="275" t="s">
        <v>43</v>
      </c>
      <c r="N107" s="155" t="s">
        <v>25</v>
      </c>
      <c r="O107" s="277" t="s">
        <v>484</v>
      </c>
      <c r="P107" s="277"/>
      <c r="Q107" s="506" t="s">
        <v>1397</v>
      </c>
      <c r="R107" s="278"/>
      <c r="S107" s="190" t="s">
        <v>471</v>
      </c>
      <c r="T107" s="150"/>
      <c r="U107" s="253">
        <v>21.701908111572269</v>
      </c>
      <c r="V107" s="164" t="e">
        <f>#REF!</f>
        <v>#REF!</v>
      </c>
      <c r="W107" s="253" t="e">
        <f t="shared" si="26"/>
        <v>#REF!</v>
      </c>
      <c r="X107" s="4"/>
      <c r="Z107" s="16" t="s">
        <v>35</v>
      </c>
      <c r="AA107" s="5"/>
      <c r="AD107" s="13" t="s">
        <v>485</v>
      </c>
    </row>
    <row r="108" spans="1:31" s="14" customFormat="1" ht="21.75" thickBot="1">
      <c r="A108" s="630" t="s">
        <v>486</v>
      </c>
      <c r="B108" s="631"/>
      <c r="C108" s="632"/>
      <c r="D108" s="631"/>
      <c r="E108" s="631"/>
      <c r="F108" s="632"/>
      <c r="G108" s="632"/>
      <c r="H108" s="632"/>
      <c r="I108" s="632"/>
      <c r="J108" s="631"/>
      <c r="K108" s="632"/>
      <c r="L108" s="631"/>
      <c r="M108" s="631"/>
      <c r="N108" s="631"/>
      <c r="O108" s="631"/>
      <c r="P108" s="631"/>
      <c r="Q108" s="631"/>
      <c r="R108" s="631"/>
      <c r="S108" s="631"/>
      <c r="T108" s="633"/>
      <c r="U108" s="163"/>
      <c r="V108" s="164"/>
      <c r="W108" s="163"/>
      <c r="X108" s="4"/>
      <c r="Z108" s="16"/>
      <c r="AA108" s="5"/>
      <c r="AD108" s="15"/>
    </row>
    <row r="109" spans="1:31" s="14" customFormat="1" ht="168.75">
      <c r="A109" s="357">
        <f>A107+1</f>
        <v>85</v>
      </c>
      <c r="B109" s="279" t="s">
        <v>487</v>
      </c>
      <c r="C109" s="280" t="s">
        <v>487</v>
      </c>
      <c r="D109" s="281" t="s">
        <v>488</v>
      </c>
      <c r="E109" s="63">
        <f t="shared" ref="E109:I119" si="27">LEN(D109)</f>
        <v>173</v>
      </c>
      <c r="F109" s="215" t="s">
        <v>489</v>
      </c>
      <c r="G109" s="63">
        <f t="shared" si="27"/>
        <v>140</v>
      </c>
      <c r="H109" s="282" t="s">
        <v>490</v>
      </c>
      <c r="I109" s="63">
        <f t="shared" si="27"/>
        <v>142</v>
      </c>
      <c r="J109" s="64" t="s">
        <v>42</v>
      </c>
      <c r="K109" s="64" t="s">
        <v>25</v>
      </c>
      <c r="L109" s="64" t="s">
        <v>491</v>
      </c>
      <c r="M109" s="64" t="s">
        <v>43</v>
      </c>
      <c r="N109" s="64" t="s">
        <v>25</v>
      </c>
      <c r="O109" s="62" t="s">
        <v>492</v>
      </c>
      <c r="P109" s="62"/>
      <c r="Q109" s="506" t="s">
        <v>1424</v>
      </c>
      <c r="R109" s="283"/>
      <c r="S109" s="177" t="s">
        <v>493</v>
      </c>
      <c r="T109" s="69"/>
      <c r="U109" s="253">
        <v>7.5</v>
      </c>
      <c r="V109" s="584" t="e">
        <f>#REF!</f>
        <v>#REF!</v>
      </c>
      <c r="W109" s="253" t="e">
        <f t="shared" ref="W109:W119" si="28">U109*V109</f>
        <v>#REF!</v>
      </c>
      <c r="X109" s="4"/>
      <c r="Z109" s="16" t="s">
        <v>35</v>
      </c>
      <c r="AA109" s="5"/>
      <c r="AD109" s="15" t="s">
        <v>127</v>
      </c>
    </row>
    <row r="110" spans="1:31" s="14" customFormat="1" ht="409.5">
      <c r="A110" s="358">
        <f>A109+1</f>
        <v>86</v>
      </c>
      <c r="B110" s="74" t="s">
        <v>494</v>
      </c>
      <c r="C110" s="258" t="s">
        <v>494</v>
      </c>
      <c r="D110" s="263" t="s">
        <v>1339</v>
      </c>
      <c r="E110" s="472">
        <f t="shared" si="27"/>
        <v>579</v>
      </c>
      <c r="F110" s="263" t="s">
        <v>495</v>
      </c>
      <c r="G110" s="472">
        <f t="shared" si="27"/>
        <v>777</v>
      </c>
      <c r="H110" s="263" t="s">
        <v>496</v>
      </c>
      <c r="I110" s="75">
        <f t="shared" si="27"/>
        <v>537</v>
      </c>
      <c r="J110" s="78" t="s">
        <v>42</v>
      </c>
      <c r="K110" s="78" t="s">
        <v>25</v>
      </c>
      <c r="L110" s="78" t="s">
        <v>25</v>
      </c>
      <c r="M110" s="258" t="s">
        <v>1585</v>
      </c>
      <c r="N110" s="258" t="s">
        <v>25</v>
      </c>
      <c r="O110" s="72" t="s">
        <v>1278</v>
      </c>
      <c r="P110" s="72"/>
      <c r="Q110" s="506" t="s">
        <v>1398</v>
      </c>
      <c r="R110" s="284"/>
      <c r="S110" s="101" t="s">
        <v>493</v>
      </c>
      <c r="T110" s="82"/>
      <c r="U110" s="253">
        <v>20.2944221496582</v>
      </c>
      <c r="V110" s="584" t="e">
        <f>#REF!</f>
        <v>#REF!</v>
      </c>
      <c r="W110" s="253" t="e">
        <f t="shared" si="28"/>
        <v>#REF!</v>
      </c>
      <c r="X110" s="4"/>
      <c r="Z110" s="16" t="s">
        <v>35</v>
      </c>
      <c r="AA110" s="5"/>
      <c r="AD110" s="15" t="s">
        <v>497</v>
      </c>
    </row>
    <row r="111" spans="1:31" s="14" customFormat="1" ht="187.5">
      <c r="A111" s="358">
        <f>A110+1</f>
        <v>87</v>
      </c>
      <c r="B111" s="74" t="s">
        <v>498</v>
      </c>
      <c r="C111" s="258" t="s">
        <v>498</v>
      </c>
      <c r="D111" s="72" t="s">
        <v>499</v>
      </c>
      <c r="E111" s="75">
        <f t="shared" si="27"/>
        <v>152</v>
      </c>
      <c r="F111" s="72" t="s">
        <v>1542</v>
      </c>
      <c r="G111" s="75">
        <f t="shared" si="27"/>
        <v>177</v>
      </c>
      <c r="H111" s="72" t="s">
        <v>500</v>
      </c>
      <c r="I111" s="75">
        <f t="shared" si="27"/>
        <v>159</v>
      </c>
      <c r="J111" s="77" t="s">
        <v>137</v>
      </c>
      <c r="K111" s="78" t="s">
        <v>25</v>
      </c>
      <c r="L111" s="78" t="s">
        <v>25</v>
      </c>
      <c r="M111" s="78" t="s">
        <v>28</v>
      </c>
      <c r="N111" s="258" t="s">
        <v>25</v>
      </c>
      <c r="O111" s="72" t="s">
        <v>501</v>
      </c>
      <c r="P111" s="72"/>
      <c r="Q111" s="512" t="s">
        <v>1399</v>
      </c>
      <c r="R111" s="515"/>
      <c r="S111" s="101" t="s">
        <v>502</v>
      </c>
      <c r="T111" s="82"/>
      <c r="U111" s="253">
        <v>18.539077758789059</v>
      </c>
      <c r="V111" s="584" t="e">
        <f>#REF!</f>
        <v>#REF!</v>
      </c>
      <c r="W111" s="253" t="e">
        <f t="shared" si="28"/>
        <v>#REF!</v>
      </c>
      <c r="X111" s="4"/>
      <c r="Z111" s="16" t="s">
        <v>35</v>
      </c>
      <c r="AA111" s="5"/>
      <c r="AD111" s="15"/>
    </row>
    <row r="112" spans="1:31" s="14" customFormat="1" ht="187.5">
      <c r="A112" s="358">
        <f>A111+1</f>
        <v>88</v>
      </c>
      <c r="B112" s="74" t="s">
        <v>503</v>
      </c>
      <c r="C112" s="258" t="s">
        <v>503</v>
      </c>
      <c r="D112" s="238" t="s">
        <v>504</v>
      </c>
      <c r="E112" s="75">
        <f t="shared" si="27"/>
        <v>128</v>
      </c>
      <c r="F112" s="238" t="s">
        <v>505</v>
      </c>
      <c r="G112" s="75">
        <f t="shared" si="27"/>
        <v>143</v>
      </c>
      <c r="H112" s="72" t="s">
        <v>506</v>
      </c>
      <c r="I112" s="75">
        <f t="shared" si="27"/>
        <v>125</v>
      </c>
      <c r="J112" s="77" t="s">
        <v>137</v>
      </c>
      <c r="K112" s="78" t="s">
        <v>25</v>
      </c>
      <c r="L112" s="78" t="s">
        <v>25</v>
      </c>
      <c r="M112" s="78" t="s">
        <v>28</v>
      </c>
      <c r="N112" s="258" t="s">
        <v>25</v>
      </c>
      <c r="O112" s="72" t="s">
        <v>507</v>
      </c>
      <c r="P112" s="72"/>
      <c r="Q112" s="512" t="s">
        <v>1425</v>
      </c>
      <c r="R112" s="515"/>
      <c r="S112" s="101" t="s">
        <v>502</v>
      </c>
      <c r="T112" s="82"/>
      <c r="U112" s="253">
        <v>8.9158916473388672</v>
      </c>
      <c r="V112" s="584" t="e">
        <f>#REF!</f>
        <v>#REF!</v>
      </c>
      <c r="W112" s="253" t="e">
        <f t="shared" si="28"/>
        <v>#REF!</v>
      </c>
      <c r="X112" s="4"/>
      <c r="Z112" s="16" t="s">
        <v>35</v>
      </c>
      <c r="AA112" s="5"/>
      <c r="AD112" s="15"/>
    </row>
    <row r="113" spans="1:30" s="14" customFormat="1" ht="409.5">
      <c r="A113" s="358">
        <f t="shared" ref="A113:A120" si="29">A112+1</f>
        <v>89</v>
      </c>
      <c r="B113" s="74" t="s">
        <v>508</v>
      </c>
      <c r="C113" s="71" t="s">
        <v>509</v>
      </c>
      <c r="D113" s="147" t="s">
        <v>510</v>
      </c>
      <c r="E113" s="95">
        <f t="shared" si="27"/>
        <v>783</v>
      </c>
      <c r="F113" s="147" t="s">
        <v>511</v>
      </c>
      <c r="G113" s="95">
        <f t="shared" si="27"/>
        <v>966</v>
      </c>
      <c r="H113" s="147" t="s">
        <v>512</v>
      </c>
      <c r="I113" s="95">
        <f t="shared" si="27"/>
        <v>958</v>
      </c>
      <c r="J113" s="168" t="s">
        <v>426</v>
      </c>
      <c r="K113" s="95" t="s">
        <v>25</v>
      </c>
      <c r="L113" s="95" t="s">
        <v>25</v>
      </c>
      <c r="M113" s="95" t="s">
        <v>513</v>
      </c>
      <c r="N113" s="256" t="s">
        <v>514</v>
      </c>
      <c r="O113" s="147" t="s">
        <v>515</v>
      </c>
      <c r="P113" s="147"/>
      <c r="Q113" s="506" t="s">
        <v>1543</v>
      </c>
      <c r="R113" s="548" t="s">
        <v>1544</v>
      </c>
      <c r="S113" s="101" t="s">
        <v>502</v>
      </c>
      <c r="T113" s="82"/>
      <c r="U113" s="253">
        <v>25.81001091003418</v>
      </c>
      <c r="V113" s="584" t="e">
        <f>#REF!</f>
        <v>#REF!</v>
      </c>
      <c r="W113" s="253" t="e">
        <f t="shared" si="28"/>
        <v>#REF!</v>
      </c>
      <c r="X113" s="4"/>
      <c r="Z113" s="16" t="s">
        <v>35</v>
      </c>
      <c r="AA113" s="5"/>
      <c r="AD113" s="27" t="s">
        <v>516</v>
      </c>
    </row>
    <row r="114" spans="1:30" s="14" customFormat="1" ht="262.5">
      <c r="A114" s="358">
        <f t="shared" si="29"/>
        <v>90</v>
      </c>
      <c r="B114" s="99" t="s">
        <v>517</v>
      </c>
      <c r="C114" s="285" t="s">
        <v>518</v>
      </c>
      <c r="D114" s="101" t="s">
        <v>1279</v>
      </c>
      <c r="E114" s="102">
        <f t="shared" si="27"/>
        <v>285</v>
      </c>
      <c r="F114" s="101" t="s">
        <v>1280</v>
      </c>
      <c r="G114" s="102">
        <f t="shared" si="27"/>
        <v>357</v>
      </c>
      <c r="H114" s="101" t="s">
        <v>1281</v>
      </c>
      <c r="I114" s="171">
        <f t="shared" si="27"/>
        <v>346</v>
      </c>
      <c r="J114" s="170" t="s">
        <v>426</v>
      </c>
      <c r="K114" s="171" t="s">
        <v>25</v>
      </c>
      <c r="L114" s="171" t="s">
        <v>25</v>
      </c>
      <c r="M114" s="171" t="s">
        <v>519</v>
      </c>
      <c r="N114" s="286" t="s">
        <v>520</v>
      </c>
      <c r="O114" s="101" t="s">
        <v>1304</v>
      </c>
      <c r="P114" s="101"/>
      <c r="Q114" s="467" t="s">
        <v>1545</v>
      </c>
      <c r="R114" s="566" t="s">
        <v>1426</v>
      </c>
      <c r="S114" s="101" t="s">
        <v>502</v>
      </c>
      <c r="T114" s="287"/>
      <c r="U114" s="163">
        <v>19.55319786071777</v>
      </c>
      <c r="V114" s="584" t="e">
        <f>#REF!</f>
        <v>#REF!</v>
      </c>
      <c r="W114" s="163" t="e">
        <f t="shared" si="28"/>
        <v>#REF!</v>
      </c>
      <c r="X114" s="4"/>
      <c r="Z114" s="16" t="s">
        <v>24</v>
      </c>
      <c r="AA114" s="5"/>
      <c r="AD114" s="15"/>
    </row>
    <row r="115" spans="1:30" s="14" customFormat="1" ht="206.25">
      <c r="A115" s="358">
        <f t="shared" si="29"/>
        <v>91</v>
      </c>
      <c r="B115" s="99" t="s">
        <v>1546</v>
      </c>
      <c r="C115" s="169" t="s">
        <v>1294</v>
      </c>
      <c r="D115" s="508" t="s">
        <v>1547</v>
      </c>
      <c r="E115" s="509">
        <f>LEN(D115)</f>
        <v>151</v>
      </c>
      <c r="F115" s="508" t="s">
        <v>1616</v>
      </c>
      <c r="G115" s="509"/>
      <c r="H115" s="508" t="s">
        <v>1617</v>
      </c>
      <c r="I115" s="102"/>
      <c r="J115" s="100" t="s">
        <v>42</v>
      </c>
      <c r="K115" s="102" t="s">
        <v>25</v>
      </c>
      <c r="L115" s="102" t="s">
        <v>25</v>
      </c>
      <c r="M115" s="71" t="s">
        <v>43</v>
      </c>
      <c r="N115" s="511" t="s">
        <v>25</v>
      </c>
      <c r="O115" s="572" t="s">
        <v>1299</v>
      </c>
      <c r="P115" s="572"/>
      <c r="Q115" s="571" t="s">
        <v>1548</v>
      </c>
      <c r="R115" s="571" t="s">
        <v>1301</v>
      </c>
      <c r="S115" s="101"/>
      <c r="T115" s="573"/>
      <c r="U115" s="163"/>
      <c r="V115" s="584"/>
      <c r="W115" s="163"/>
      <c r="X115" s="4"/>
      <c r="Z115" s="16"/>
      <c r="AA115" s="5"/>
      <c r="AD115" s="15"/>
    </row>
    <row r="116" spans="1:30" s="14" customFormat="1" ht="206.25">
      <c r="A116" s="358">
        <f t="shared" si="29"/>
        <v>92</v>
      </c>
      <c r="B116" s="99" t="s">
        <v>1549</v>
      </c>
      <c r="C116" s="169" t="s">
        <v>1295</v>
      </c>
      <c r="D116" s="508" t="s">
        <v>1296</v>
      </c>
      <c r="E116" s="509">
        <f t="shared" ref="E116:E117" si="30">LEN(D116)</f>
        <v>152</v>
      </c>
      <c r="F116" s="508" t="s">
        <v>1618</v>
      </c>
      <c r="G116" s="509"/>
      <c r="H116" s="508" t="s">
        <v>1620</v>
      </c>
      <c r="I116" s="102"/>
      <c r="J116" s="100" t="s">
        <v>42</v>
      </c>
      <c r="K116" s="102" t="s">
        <v>25</v>
      </c>
      <c r="L116" s="102" t="s">
        <v>25</v>
      </c>
      <c r="M116" s="71" t="s">
        <v>43</v>
      </c>
      <c r="N116" s="511" t="s">
        <v>25</v>
      </c>
      <c r="O116" s="572" t="s">
        <v>1300</v>
      </c>
      <c r="P116" s="572"/>
      <c r="Q116" s="571" t="s">
        <v>1302</v>
      </c>
      <c r="R116" s="571" t="s">
        <v>1302</v>
      </c>
      <c r="S116" s="101"/>
      <c r="T116" s="573"/>
      <c r="U116" s="163"/>
      <c r="V116" s="584"/>
      <c r="W116" s="163"/>
      <c r="X116" s="4"/>
      <c r="Z116" s="16"/>
      <c r="AA116" s="5"/>
      <c r="AD116" s="15"/>
    </row>
    <row r="117" spans="1:30" s="14" customFormat="1" ht="225">
      <c r="A117" s="358">
        <f t="shared" si="29"/>
        <v>93</v>
      </c>
      <c r="B117" s="99" t="s">
        <v>1550</v>
      </c>
      <c r="C117" s="169" t="s">
        <v>1297</v>
      </c>
      <c r="D117" s="508" t="s">
        <v>1298</v>
      </c>
      <c r="E117" s="509">
        <f t="shared" si="30"/>
        <v>186</v>
      </c>
      <c r="F117" s="508" t="s">
        <v>1619</v>
      </c>
      <c r="G117" s="509"/>
      <c r="H117" s="508" t="s">
        <v>1646</v>
      </c>
      <c r="I117" s="102"/>
      <c r="J117" s="100" t="s">
        <v>42</v>
      </c>
      <c r="K117" s="102" t="s">
        <v>25</v>
      </c>
      <c r="L117" s="102" t="s">
        <v>25</v>
      </c>
      <c r="M117" s="71" t="s">
        <v>43</v>
      </c>
      <c r="N117" s="511" t="s">
        <v>25</v>
      </c>
      <c r="O117" s="572" t="s">
        <v>1648</v>
      </c>
      <c r="P117" s="572"/>
      <c r="Q117" s="571" t="s">
        <v>1303</v>
      </c>
      <c r="R117" s="571" t="s">
        <v>1303</v>
      </c>
      <c r="S117" s="101"/>
      <c r="T117" s="573"/>
      <c r="U117" s="163"/>
      <c r="V117" s="584"/>
      <c r="W117" s="163"/>
      <c r="X117" s="4"/>
      <c r="Z117" s="16"/>
      <c r="AA117" s="5"/>
      <c r="AD117" s="15"/>
    </row>
    <row r="118" spans="1:30" s="14" customFormat="1" ht="168.75">
      <c r="A118" s="358">
        <f t="shared" si="29"/>
        <v>94</v>
      </c>
      <c r="B118" s="74" t="s">
        <v>521</v>
      </c>
      <c r="C118" s="258" t="s">
        <v>521</v>
      </c>
      <c r="D118" s="147" t="s">
        <v>522</v>
      </c>
      <c r="E118" s="95">
        <f t="shared" si="27"/>
        <v>167</v>
      </c>
      <c r="F118" s="147" t="s">
        <v>523</v>
      </c>
      <c r="G118" s="95">
        <f t="shared" si="27"/>
        <v>185</v>
      </c>
      <c r="H118" s="147" t="s">
        <v>524</v>
      </c>
      <c r="I118" s="95">
        <f t="shared" si="27"/>
        <v>164</v>
      </c>
      <c r="J118" s="97" t="s">
        <v>42</v>
      </c>
      <c r="K118" s="95" t="s">
        <v>25</v>
      </c>
      <c r="L118" s="95" t="s">
        <v>25</v>
      </c>
      <c r="M118" s="95" t="s">
        <v>43</v>
      </c>
      <c r="N118" s="171" t="s">
        <v>25</v>
      </c>
      <c r="O118" s="147" t="s">
        <v>1309</v>
      </c>
      <c r="P118" s="147"/>
      <c r="Q118" s="512" t="s">
        <v>1551</v>
      </c>
      <c r="R118" s="563" t="s">
        <v>1552</v>
      </c>
      <c r="S118" s="101" t="s">
        <v>493</v>
      </c>
      <c r="T118" s="82"/>
      <c r="U118" s="253">
        <v>13.613316535949711</v>
      </c>
      <c r="V118" s="584" t="e">
        <f>#REF!</f>
        <v>#REF!</v>
      </c>
      <c r="W118" s="253" t="e">
        <f t="shared" si="28"/>
        <v>#REF!</v>
      </c>
      <c r="X118" s="4"/>
      <c r="Z118" s="16" t="s">
        <v>35</v>
      </c>
      <c r="AA118" s="5"/>
      <c r="AD118" s="15"/>
    </row>
    <row r="119" spans="1:30" s="14" customFormat="1" ht="409.5">
      <c r="A119" s="363">
        <f t="shared" si="29"/>
        <v>95</v>
      </c>
      <c r="B119" s="272" t="s">
        <v>525</v>
      </c>
      <c r="C119" s="454" t="s">
        <v>526</v>
      </c>
      <c r="D119" s="289" t="s">
        <v>1340</v>
      </c>
      <c r="E119" s="574">
        <f t="shared" si="27"/>
        <v>659</v>
      </c>
      <c r="F119" s="289" t="s">
        <v>1553</v>
      </c>
      <c r="G119" s="574">
        <f t="shared" si="27"/>
        <v>766</v>
      </c>
      <c r="H119" s="289" t="s">
        <v>527</v>
      </c>
      <c r="I119" s="275">
        <f t="shared" si="27"/>
        <v>773</v>
      </c>
      <c r="J119" s="273" t="s">
        <v>426</v>
      </c>
      <c r="K119" s="275" t="s">
        <v>25</v>
      </c>
      <c r="L119" s="275" t="s">
        <v>25</v>
      </c>
      <c r="M119" s="275" t="s">
        <v>528</v>
      </c>
      <c r="N119" s="191" t="s">
        <v>529</v>
      </c>
      <c r="O119" s="274" t="s">
        <v>1308</v>
      </c>
      <c r="P119" s="274"/>
      <c r="Q119" s="531" t="s">
        <v>1554</v>
      </c>
      <c r="R119" s="564" t="s">
        <v>1555</v>
      </c>
      <c r="S119" s="291" t="s">
        <v>530</v>
      </c>
      <c r="T119" s="150"/>
      <c r="U119" s="253">
        <v>27.754648208618161</v>
      </c>
      <c r="V119" s="584" t="e">
        <f>#REF!</f>
        <v>#REF!</v>
      </c>
      <c r="W119" s="253" t="e">
        <f t="shared" si="28"/>
        <v>#REF!</v>
      </c>
      <c r="X119" s="4"/>
      <c r="Z119" s="16" t="s">
        <v>35</v>
      </c>
      <c r="AA119" s="5"/>
      <c r="AD119" s="15" t="s">
        <v>531</v>
      </c>
    </row>
    <row r="120" spans="1:30" s="14" customFormat="1" ht="75.75" thickBot="1">
      <c r="A120" s="363">
        <f t="shared" si="29"/>
        <v>96</v>
      </c>
      <c r="B120" s="188" t="s">
        <v>1305</v>
      </c>
      <c r="C120" s="169" t="s">
        <v>1305</v>
      </c>
      <c r="D120" s="475" t="s">
        <v>1556</v>
      </c>
      <c r="E120" s="501">
        <f>LEN(D120)</f>
        <v>156</v>
      </c>
      <c r="F120" s="475" t="s">
        <v>1621</v>
      </c>
      <c r="G120" s="502"/>
      <c r="H120" s="475" t="s">
        <v>1622</v>
      </c>
      <c r="I120" s="111"/>
      <c r="J120" s="457" t="s">
        <v>137</v>
      </c>
      <c r="K120" s="469" t="s">
        <v>25</v>
      </c>
      <c r="L120" s="469" t="s">
        <v>25</v>
      </c>
      <c r="M120" s="469" t="s">
        <v>100</v>
      </c>
      <c r="N120" s="503" t="s">
        <v>25</v>
      </c>
      <c r="O120" s="108" t="s">
        <v>1306</v>
      </c>
      <c r="P120" s="108"/>
      <c r="Q120" s="470" t="s">
        <v>1307</v>
      </c>
      <c r="R120" s="567" t="s">
        <v>1427</v>
      </c>
      <c r="S120" s="468"/>
      <c r="T120" s="114"/>
      <c r="U120" s="253"/>
      <c r="V120" s="584"/>
      <c r="W120" s="253"/>
      <c r="X120" s="4"/>
      <c r="Z120" s="16"/>
      <c r="AA120" s="5"/>
      <c r="AD120" s="15"/>
    </row>
    <row r="121" spans="1:30" s="14" customFormat="1" ht="21.75" thickBot="1">
      <c r="A121" s="630" t="s">
        <v>532</v>
      </c>
      <c r="B121" s="631"/>
      <c r="C121" s="632"/>
      <c r="D121" s="631"/>
      <c r="E121" s="631"/>
      <c r="F121" s="632"/>
      <c r="G121" s="632"/>
      <c r="H121" s="632"/>
      <c r="I121" s="632"/>
      <c r="J121" s="631"/>
      <c r="K121" s="632"/>
      <c r="L121" s="631"/>
      <c r="M121" s="631"/>
      <c r="N121" s="631"/>
      <c r="O121" s="631"/>
      <c r="P121" s="631"/>
      <c r="Q121" s="631"/>
      <c r="R121" s="631"/>
      <c r="S121" s="631"/>
      <c r="T121" s="633"/>
      <c r="U121" s="163"/>
      <c r="V121" s="584"/>
      <c r="W121" s="163"/>
      <c r="X121" s="4"/>
      <c r="Z121" s="16"/>
      <c r="AA121" s="5"/>
      <c r="AD121" s="15"/>
    </row>
    <row r="122" spans="1:30" s="14" customFormat="1" ht="409.5">
      <c r="A122" s="357">
        <f>A120+1</f>
        <v>97</v>
      </c>
      <c r="B122" s="60" t="s">
        <v>533</v>
      </c>
      <c r="C122" s="71" t="s">
        <v>533</v>
      </c>
      <c r="D122" s="487" t="s">
        <v>1341</v>
      </c>
      <c r="E122" s="485">
        <f>LEN(D122)</f>
        <v>504</v>
      </c>
      <c r="F122" s="487" t="s">
        <v>534</v>
      </c>
      <c r="G122" s="485">
        <f>LEN(F122)</f>
        <v>690</v>
      </c>
      <c r="H122" s="263" t="s">
        <v>535</v>
      </c>
      <c r="I122" s="63">
        <f>LEN(H122)</f>
        <v>651</v>
      </c>
      <c r="J122" s="137" t="s">
        <v>42</v>
      </c>
      <c r="K122" s="64" t="s">
        <v>25</v>
      </c>
      <c r="L122" s="64" t="s">
        <v>1316</v>
      </c>
      <c r="M122" s="71" t="s">
        <v>1586</v>
      </c>
      <c r="N122" s="71" t="s">
        <v>25</v>
      </c>
      <c r="O122" s="62" t="s">
        <v>1282</v>
      </c>
      <c r="P122" s="62"/>
      <c r="Q122" s="514" t="s">
        <v>1557</v>
      </c>
      <c r="R122" s="270"/>
      <c r="S122" s="177" t="s">
        <v>536</v>
      </c>
      <c r="T122" s="69"/>
      <c r="U122" s="253">
        <v>13.99939060211182</v>
      </c>
      <c r="V122" s="584" t="e">
        <f>#REF!</f>
        <v>#REF!</v>
      </c>
      <c r="W122" s="253" t="e">
        <f t="shared" ref="W122:W125" si="31">U122*V122</f>
        <v>#REF!</v>
      </c>
      <c r="X122" s="4"/>
      <c r="Z122" s="16" t="s">
        <v>35</v>
      </c>
      <c r="AA122" s="5"/>
      <c r="AD122" s="15" t="s">
        <v>537</v>
      </c>
    </row>
    <row r="123" spans="1:30" s="14" customFormat="1" ht="168.75">
      <c r="A123" s="358">
        <f>A122+1</f>
        <v>98</v>
      </c>
      <c r="B123" s="254" t="s">
        <v>538</v>
      </c>
      <c r="C123" s="258" t="s">
        <v>538</v>
      </c>
      <c r="D123" s="263" t="s">
        <v>1342</v>
      </c>
      <c r="E123" s="472">
        <f>LEN(D123)</f>
        <v>166</v>
      </c>
      <c r="F123" s="263" t="s">
        <v>539</v>
      </c>
      <c r="G123" s="472">
        <f>LEN(F123)</f>
        <v>180</v>
      </c>
      <c r="H123" s="263" t="s">
        <v>540</v>
      </c>
      <c r="I123" s="75">
        <f>LEN(H123)</f>
        <v>173</v>
      </c>
      <c r="J123" s="77" t="s">
        <v>42</v>
      </c>
      <c r="K123" s="78" t="s">
        <v>25</v>
      </c>
      <c r="L123" s="78" t="s">
        <v>25</v>
      </c>
      <c r="M123" s="78" t="s">
        <v>43</v>
      </c>
      <c r="N123" s="78" t="s">
        <v>25</v>
      </c>
      <c r="O123" s="72" t="s">
        <v>541</v>
      </c>
      <c r="P123" s="72"/>
      <c r="Q123" s="512" t="s">
        <v>1400</v>
      </c>
      <c r="R123" s="266"/>
      <c r="S123" s="101" t="s">
        <v>542</v>
      </c>
      <c r="T123" s="82"/>
      <c r="U123" s="253">
        <v>10.25279426574707</v>
      </c>
      <c r="V123" s="584" t="e">
        <f>#REF!</f>
        <v>#REF!</v>
      </c>
      <c r="W123" s="253" t="e">
        <f t="shared" si="31"/>
        <v>#REF!</v>
      </c>
      <c r="X123" s="4"/>
      <c r="Z123" s="16" t="s">
        <v>35</v>
      </c>
      <c r="AA123" s="5"/>
      <c r="AD123" s="15"/>
    </row>
    <row r="124" spans="1:30" s="14" customFormat="1" ht="409.5">
      <c r="A124" s="358">
        <f>A123+1</f>
        <v>99</v>
      </c>
      <c r="B124" s="74" t="s">
        <v>543</v>
      </c>
      <c r="C124" s="71" t="s">
        <v>544</v>
      </c>
      <c r="D124" s="265" t="s">
        <v>1343</v>
      </c>
      <c r="E124" s="95">
        <f>LEN(D124)</f>
        <v>751</v>
      </c>
      <c r="F124" s="147" t="s">
        <v>545</v>
      </c>
      <c r="G124" s="95">
        <f>LEN(F124)</f>
        <v>937</v>
      </c>
      <c r="H124" s="147" t="s">
        <v>546</v>
      </c>
      <c r="I124" s="95">
        <f>LEN(H124)</f>
        <v>911</v>
      </c>
      <c r="J124" s="168" t="s">
        <v>426</v>
      </c>
      <c r="K124" s="95" t="s">
        <v>25</v>
      </c>
      <c r="L124" s="95" t="s">
        <v>25</v>
      </c>
      <c r="M124" s="95" t="s">
        <v>547</v>
      </c>
      <c r="N124" s="259" t="s">
        <v>548</v>
      </c>
      <c r="O124" s="147" t="s">
        <v>549</v>
      </c>
      <c r="P124" s="147"/>
      <c r="Q124" s="512" t="s">
        <v>1558</v>
      </c>
      <c r="R124" s="266"/>
      <c r="S124" s="101" t="s">
        <v>550</v>
      </c>
      <c r="T124" s="82"/>
      <c r="U124" s="253">
        <v>24.194343566894531</v>
      </c>
      <c r="V124" s="584" t="e">
        <f>#REF!</f>
        <v>#REF!</v>
      </c>
      <c r="W124" s="253" t="e">
        <f t="shared" si="31"/>
        <v>#REF!</v>
      </c>
      <c r="X124" s="4"/>
      <c r="Z124" s="16" t="s">
        <v>35</v>
      </c>
      <c r="AA124" s="5"/>
      <c r="AD124" s="13" t="s">
        <v>480</v>
      </c>
    </row>
    <row r="125" spans="1:30" s="14" customFormat="1" ht="244.5" thickBot="1">
      <c r="A125" s="363">
        <f>A124+1</f>
        <v>100</v>
      </c>
      <c r="B125" s="272" t="s">
        <v>551</v>
      </c>
      <c r="C125" s="273" t="s">
        <v>551</v>
      </c>
      <c r="D125" s="274" t="s">
        <v>552</v>
      </c>
      <c r="E125" s="275">
        <f>LEN(D125)</f>
        <v>338</v>
      </c>
      <c r="F125" s="274" t="s">
        <v>553</v>
      </c>
      <c r="G125" s="275">
        <f>LEN(F125)</f>
        <v>418</v>
      </c>
      <c r="H125" s="238" t="s">
        <v>554</v>
      </c>
      <c r="I125" s="275">
        <f>LEN(H125)</f>
        <v>380</v>
      </c>
      <c r="J125" s="276" t="s">
        <v>42</v>
      </c>
      <c r="K125" s="275" t="s">
        <v>25</v>
      </c>
      <c r="L125" s="275" t="s">
        <v>25</v>
      </c>
      <c r="M125" s="275" t="s">
        <v>43</v>
      </c>
      <c r="N125" s="275" t="s">
        <v>25</v>
      </c>
      <c r="O125" s="277" t="s">
        <v>555</v>
      </c>
      <c r="P125" s="277"/>
      <c r="Q125" s="522" t="s">
        <v>1401</v>
      </c>
      <c r="R125" s="243"/>
      <c r="S125" s="291" t="s">
        <v>542</v>
      </c>
      <c r="T125" s="150"/>
      <c r="U125" s="253">
        <v>19.321737289428711</v>
      </c>
      <c r="V125" s="584" t="e">
        <f>#REF!</f>
        <v>#REF!</v>
      </c>
      <c r="W125" s="253" t="e">
        <f t="shared" si="31"/>
        <v>#REF!</v>
      </c>
      <c r="X125" s="4"/>
      <c r="Z125" s="16" t="s">
        <v>35</v>
      </c>
      <c r="AA125" s="5"/>
      <c r="AD125" s="13" t="s">
        <v>556</v>
      </c>
    </row>
    <row r="126" spans="1:30" s="14" customFormat="1" ht="21.75" thickBot="1">
      <c r="A126" s="630" t="s">
        <v>557</v>
      </c>
      <c r="B126" s="631"/>
      <c r="C126" s="632"/>
      <c r="D126" s="631"/>
      <c r="E126" s="631"/>
      <c r="F126" s="632"/>
      <c r="G126" s="632"/>
      <c r="H126" s="632"/>
      <c r="I126" s="632"/>
      <c r="J126" s="631"/>
      <c r="K126" s="632"/>
      <c r="L126" s="631"/>
      <c r="M126" s="631"/>
      <c r="N126" s="631"/>
      <c r="O126" s="631"/>
      <c r="P126" s="631"/>
      <c r="Q126" s="631"/>
      <c r="R126" s="631"/>
      <c r="S126" s="631"/>
      <c r="T126" s="633"/>
      <c r="U126" s="163"/>
      <c r="V126" s="164"/>
      <c r="W126" s="163"/>
      <c r="X126" s="4"/>
      <c r="Z126" s="16"/>
      <c r="AA126" s="5"/>
      <c r="AD126" s="15"/>
    </row>
    <row r="127" spans="1:30" s="14" customFormat="1" ht="206.25">
      <c r="A127" s="357">
        <f>A125+1</f>
        <v>101</v>
      </c>
      <c r="B127" s="60" t="s">
        <v>558</v>
      </c>
      <c r="C127" s="71" t="s">
        <v>558</v>
      </c>
      <c r="D127" s="504" t="s">
        <v>1344</v>
      </c>
      <c r="E127" s="485">
        <f t="shared" ref="E127:I132" si="32">LEN(D127)</f>
        <v>218</v>
      </c>
      <c r="F127" s="504" t="s">
        <v>559</v>
      </c>
      <c r="G127" s="485">
        <f t="shared" si="32"/>
        <v>223</v>
      </c>
      <c r="H127" s="504" t="s">
        <v>560</v>
      </c>
      <c r="I127" s="64">
        <f t="shared" si="32"/>
        <v>227</v>
      </c>
      <c r="J127" s="64" t="s">
        <v>42</v>
      </c>
      <c r="K127" s="64" t="s">
        <v>25</v>
      </c>
      <c r="L127" s="64" t="s">
        <v>1355</v>
      </c>
      <c r="M127" s="64" t="s">
        <v>43</v>
      </c>
      <c r="N127" s="64" t="s">
        <v>25</v>
      </c>
      <c r="O127" s="62" t="s">
        <v>561</v>
      </c>
      <c r="P127" s="62"/>
      <c r="Q127" s="507" t="s">
        <v>1559</v>
      </c>
      <c r="R127" s="283"/>
      <c r="S127" s="177" t="s">
        <v>562</v>
      </c>
      <c r="T127" s="69"/>
      <c r="U127" s="253">
        <v>7.5</v>
      </c>
      <c r="V127" s="584" t="e">
        <f>#REF!</f>
        <v>#REF!</v>
      </c>
      <c r="W127" s="253" t="e">
        <f t="shared" ref="W127:W132" si="33">U127*V127</f>
        <v>#REF!</v>
      </c>
      <c r="X127" s="4"/>
      <c r="Z127" s="16" t="s">
        <v>35</v>
      </c>
      <c r="AA127" s="5"/>
      <c r="AD127" s="15" t="s">
        <v>127</v>
      </c>
    </row>
    <row r="128" spans="1:30" s="14" customFormat="1" ht="225">
      <c r="A128" s="358">
        <f>A127+1</f>
        <v>102</v>
      </c>
      <c r="B128" s="74" t="s">
        <v>563</v>
      </c>
      <c r="C128" s="292" t="s">
        <v>564</v>
      </c>
      <c r="D128" s="147" t="s">
        <v>565</v>
      </c>
      <c r="E128" s="95">
        <f t="shared" si="32"/>
        <v>278</v>
      </c>
      <c r="F128" s="147" t="s">
        <v>566</v>
      </c>
      <c r="G128" s="95">
        <f t="shared" si="32"/>
        <v>341</v>
      </c>
      <c r="H128" s="147" t="s">
        <v>567</v>
      </c>
      <c r="I128" s="95">
        <f t="shared" si="32"/>
        <v>348</v>
      </c>
      <c r="J128" s="168" t="s">
        <v>271</v>
      </c>
      <c r="K128" s="95" t="s">
        <v>25</v>
      </c>
      <c r="L128" s="95" t="s">
        <v>25</v>
      </c>
      <c r="M128" s="95" t="s">
        <v>568</v>
      </c>
      <c r="N128" s="256" t="s">
        <v>569</v>
      </c>
      <c r="O128" s="147" t="s">
        <v>570</v>
      </c>
      <c r="P128" s="147"/>
      <c r="Q128" s="514" t="s">
        <v>1402</v>
      </c>
      <c r="R128" s="266"/>
      <c r="S128" s="101" t="s">
        <v>562</v>
      </c>
      <c r="T128" s="82"/>
      <c r="U128" s="253">
        <v>19.090116500854489</v>
      </c>
      <c r="V128" s="584" t="e">
        <f>#REF!</f>
        <v>#REF!</v>
      </c>
      <c r="W128" s="253" t="e">
        <f t="shared" si="33"/>
        <v>#REF!</v>
      </c>
      <c r="X128" s="4"/>
      <c r="Z128" s="16" t="s">
        <v>35</v>
      </c>
      <c r="AA128" s="5"/>
      <c r="AD128" s="27" t="s">
        <v>571</v>
      </c>
    </row>
    <row r="129" spans="1:30" ht="243.75">
      <c r="A129" s="358">
        <f>A128+1</f>
        <v>103</v>
      </c>
      <c r="B129" s="293" t="s">
        <v>572</v>
      </c>
      <c r="C129" s="294" t="s">
        <v>572</v>
      </c>
      <c r="D129" s="482" t="s">
        <v>1345</v>
      </c>
      <c r="E129" s="478">
        <f t="shared" si="32"/>
        <v>290</v>
      </c>
      <c r="F129" s="482" t="s">
        <v>573</v>
      </c>
      <c r="G129" s="478">
        <f t="shared" si="32"/>
        <v>433</v>
      </c>
      <c r="H129" s="482" t="s">
        <v>574</v>
      </c>
      <c r="I129" s="95">
        <f t="shared" si="32"/>
        <v>393</v>
      </c>
      <c r="J129" s="295" t="s">
        <v>42</v>
      </c>
      <c r="K129" s="295" t="s">
        <v>25</v>
      </c>
      <c r="L129" s="295" t="s">
        <v>25</v>
      </c>
      <c r="M129" s="295" t="s">
        <v>43</v>
      </c>
      <c r="N129" s="95" t="s">
        <v>25</v>
      </c>
      <c r="O129" s="296" t="s">
        <v>575</v>
      </c>
      <c r="P129" s="296"/>
      <c r="Q129" s="532" t="s">
        <v>1403</v>
      </c>
      <c r="R129" s="297"/>
      <c r="S129" s="101" t="s">
        <v>562</v>
      </c>
      <c r="T129" s="82"/>
      <c r="U129" s="253">
        <v>17.656976699829102</v>
      </c>
      <c r="V129" s="584" t="e">
        <f>#REF!</f>
        <v>#REF!</v>
      </c>
      <c r="W129" s="253" t="e">
        <f t="shared" si="33"/>
        <v>#REF!</v>
      </c>
      <c r="X129" s="4"/>
      <c r="Z129" s="16" t="s">
        <v>35</v>
      </c>
      <c r="AD129" s="27" t="s">
        <v>576</v>
      </c>
    </row>
    <row r="130" spans="1:30" s="14" customFormat="1" ht="187.5">
      <c r="A130" s="358">
        <f>A129+1</f>
        <v>104</v>
      </c>
      <c r="B130" s="74" t="s">
        <v>577</v>
      </c>
      <c r="C130" s="258" t="s">
        <v>577</v>
      </c>
      <c r="D130" s="263" t="s">
        <v>1346</v>
      </c>
      <c r="E130" s="472">
        <f t="shared" si="32"/>
        <v>174</v>
      </c>
      <c r="F130" s="263" t="s">
        <v>578</v>
      </c>
      <c r="G130" s="472">
        <f t="shared" si="32"/>
        <v>200</v>
      </c>
      <c r="H130" s="263" t="s">
        <v>579</v>
      </c>
      <c r="I130" s="78">
        <f t="shared" si="32"/>
        <v>186</v>
      </c>
      <c r="J130" s="97" t="s">
        <v>42</v>
      </c>
      <c r="K130" s="95" t="s">
        <v>25</v>
      </c>
      <c r="L130" s="95" t="s">
        <v>25</v>
      </c>
      <c r="M130" s="95" t="s">
        <v>43</v>
      </c>
      <c r="N130" s="95" t="s">
        <v>25</v>
      </c>
      <c r="O130" s="147" t="s">
        <v>1369</v>
      </c>
      <c r="P130" s="147"/>
      <c r="Q130" s="512" t="s">
        <v>1404</v>
      </c>
      <c r="R130" s="563" t="s">
        <v>1560</v>
      </c>
      <c r="S130" s="101" t="s">
        <v>562</v>
      </c>
      <c r="T130" s="82"/>
      <c r="U130" s="253">
        <v>8.7647056579589844</v>
      </c>
      <c r="V130" s="584" t="e">
        <f>#REF!</f>
        <v>#REF!</v>
      </c>
      <c r="W130" s="253" t="e">
        <f t="shared" si="33"/>
        <v>#REF!</v>
      </c>
      <c r="X130" s="4"/>
      <c r="Z130" s="16" t="s">
        <v>35</v>
      </c>
      <c r="AA130" s="5"/>
      <c r="AD130" s="15"/>
    </row>
    <row r="131" spans="1:30" s="14" customFormat="1" ht="409.5">
      <c r="A131" s="358">
        <f>A130+1</f>
        <v>105</v>
      </c>
      <c r="B131" s="74" t="s">
        <v>580</v>
      </c>
      <c r="C131" s="71" t="s">
        <v>581</v>
      </c>
      <c r="D131" s="263" t="s">
        <v>1347</v>
      </c>
      <c r="E131" s="472">
        <f t="shared" si="32"/>
        <v>764</v>
      </c>
      <c r="F131" s="263" t="s">
        <v>582</v>
      </c>
      <c r="G131" s="472">
        <f t="shared" si="32"/>
        <v>959</v>
      </c>
      <c r="H131" s="263" t="s">
        <v>1283</v>
      </c>
      <c r="I131" s="78">
        <f t="shared" si="32"/>
        <v>891</v>
      </c>
      <c r="J131" s="258" t="s">
        <v>426</v>
      </c>
      <c r="K131" s="95" t="s">
        <v>25</v>
      </c>
      <c r="L131" s="95" t="s">
        <v>25</v>
      </c>
      <c r="M131" s="95" t="s">
        <v>547</v>
      </c>
      <c r="N131" s="256" t="s">
        <v>583</v>
      </c>
      <c r="O131" s="147" t="s">
        <v>584</v>
      </c>
      <c r="P131" s="147"/>
      <c r="Q131" s="512" t="s">
        <v>1561</v>
      </c>
      <c r="R131" s="563" t="s">
        <v>1562</v>
      </c>
      <c r="S131" s="101" t="s">
        <v>585</v>
      </c>
      <c r="T131" s="82"/>
      <c r="U131" s="253">
        <v>27.9538459777832</v>
      </c>
      <c r="V131" s="584" t="e">
        <f>#REF!</f>
        <v>#REF!</v>
      </c>
      <c r="W131" s="253" t="e">
        <f t="shared" si="33"/>
        <v>#REF!</v>
      </c>
      <c r="X131" s="4"/>
      <c r="Z131" s="16" t="s">
        <v>35</v>
      </c>
      <c r="AA131" s="5"/>
      <c r="AD131" s="15"/>
    </row>
    <row r="132" spans="1:30" s="14" customFormat="1" ht="282" thickBot="1">
      <c r="A132" s="363">
        <f>A131+1</f>
        <v>106</v>
      </c>
      <c r="B132" s="188" t="s">
        <v>586</v>
      </c>
      <c r="C132" s="298" t="s">
        <v>587</v>
      </c>
      <c r="D132" s="299" t="s">
        <v>588</v>
      </c>
      <c r="E132" s="300">
        <f t="shared" si="32"/>
        <v>332</v>
      </c>
      <c r="F132" s="299" t="s">
        <v>589</v>
      </c>
      <c r="G132" s="300">
        <f t="shared" si="32"/>
        <v>457</v>
      </c>
      <c r="H132" s="299" t="s">
        <v>590</v>
      </c>
      <c r="I132" s="300">
        <f t="shared" si="32"/>
        <v>408</v>
      </c>
      <c r="J132" s="288" t="s">
        <v>591</v>
      </c>
      <c r="K132" s="300" t="s">
        <v>25</v>
      </c>
      <c r="L132" s="300" t="s">
        <v>395</v>
      </c>
      <c r="M132" s="300" t="s">
        <v>427</v>
      </c>
      <c r="N132" s="256" t="s">
        <v>592</v>
      </c>
      <c r="O132" s="299" t="s">
        <v>593</v>
      </c>
      <c r="P132" s="299"/>
      <c r="Q132" s="513" t="s">
        <v>1563</v>
      </c>
      <c r="R132" s="513"/>
      <c r="S132" s="291" t="s">
        <v>594</v>
      </c>
      <c r="T132" s="150"/>
      <c r="U132" s="163">
        <v>21.25</v>
      </c>
      <c r="V132" s="584" t="e">
        <f>#REF!</f>
        <v>#REF!</v>
      </c>
      <c r="W132" s="163" t="e">
        <f t="shared" si="33"/>
        <v>#REF!</v>
      </c>
      <c r="X132" s="4"/>
      <c r="Z132" s="16" t="s">
        <v>24</v>
      </c>
      <c r="AA132" s="5"/>
      <c r="AD132" s="15"/>
    </row>
    <row r="133" spans="1:30" s="14" customFormat="1" ht="21.75" thickBot="1">
      <c r="A133" s="630" t="s">
        <v>595</v>
      </c>
      <c r="B133" s="631"/>
      <c r="C133" s="632"/>
      <c r="D133" s="631"/>
      <c r="E133" s="631"/>
      <c r="F133" s="632"/>
      <c r="G133" s="632"/>
      <c r="H133" s="632"/>
      <c r="I133" s="632"/>
      <c r="J133" s="631"/>
      <c r="K133" s="632"/>
      <c r="L133" s="631"/>
      <c r="M133" s="631"/>
      <c r="N133" s="631"/>
      <c r="O133" s="631"/>
      <c r="P133" s="631"/>
      <c r="Q133" s="631"/>
      <c r="R133" s="631"/>
      <c r="S133" s="631"/>
      <c r="T133" s="633"/>
      <c r="U133" s="163"/>
      <c r="V133" s="584"/>
      <c r="W133" s="163"/>
      <c r="X133" s="4"/>
      <c r="Z133" s="16"/>
      <c r="AA133" s="5"/>
      <c r="AD133" s="15"/>
    </row>
    <row r="134" spans="1:30" s="14" customFormat="1" ht="243.75">
      <c r="A134" s="357">
        <f>A132+1</f>
        <v>107</v>
      </c>
      <c r="B134" s="60" t="s">
        <v>596</v>
      </c>
      <c r="C134" s="71" t="s">
        <v>596</v>
      </c>
      <c r="D134" s="486" t="s">
        <v>1348</v>
      </c>
      <c r="E134" s="481">
        <f>LEN(D134)</f>
        <v>307</v>
      </c>
      <c r="F134" s="486" t="s">
        <v>597</v>
      </c>
      <c r="G134" s="481">
        <f>LEN(F134)</f>
        <v>363</v>
      </c>
      <c r="H134" s="496" t="s">
        <v>598</v>
      </c>
      <c r="I134" s="155">
        <f>LEN(H134)</f>
        <v>376</v>
      </c>
      <c r="J134" s="137" t="s">
        <v>91</v>
      </c>
      <c r="K134" s="64" t="s">
        <v>25</v>
      </c>
      <c r="L134" s="64" t="s">
        <v>1356</v>
      </c>
      <c r="M134" s="64" t="s">
        <v>1587</v>
      </c>
      <c r="N134" s="64" t="s">
        <v>25</v>
      </c>
      <c r="O134" s="118" t="s">
        <v>1284</v>
      </c>
      <c r="P134" s="118"/>
      <c r="Q134" s="533" t="s">
        <v>1564</v>
      </c>
      <c r="R134" s="270"/>
      <c r="S134" s="301" t="s">
        <v>599</v>
      </c>
      <c r="T134" s="69"/>
      <c r="U134" s="253">
        <v>14.38495540618896</v>
      </c>
      <c r="V134" s="584" t="e">
        <f>#REF!</f>
        <v>#REF!</v>
      </c>
      <c r="W134" s="253" t="e">
        <f t="shared" ref="W134:W137" si="34">U134*V134</f>
        <v>#REF!</v>
      </c>
      <c r="X134" s="4"/>
      <c r="Z134" s="16" t="s">
        <v>35</v>
      </c>
      <c r="AA134" s="5"/>
      <c r="AD134" s="15"/>
    </row>
    <row r="135" spans="1:30" s="14" customFormat="1" ht="168.75">
      <c r="A135" s="358">
        <f>A134+1</f>
        <v>108</v>
      </c>
      <c r="B135" s="254" t="s">
        <v>600</v>
      </c>
      <c r="C135" s="78" t="s">
        <v>600</v>
      </c>
      <c r="D135" s="147" t="s">
        <v>601</v>
      </c>
      <c r="E135" s="95">
        <f>LEN(D135)</f>
        <v>179</v>
      </c>
      <c r="F135" s="147" t="s">
        <v>602</v>
      </c>
      <c r="G135" s="95">
        <f>LEN(F135)</f>
        <v>214</v>
      </c>
      <c r="H135" s="147" t="s">
        <v>603</v>
      </c>
      <c r="I135" s="95">
        <f>LEN(H135)</f>
        <v>183</v>
      </c>
      <c r="J135" s="77" t="s">
        <v>42</v>
      </c>
      <c r="K135" s="78" t="s">
        <v>25</v>
      </c>
      <c r="L135" s="78" t="s">
        <v>25</v>
      </c>
      <c r="M135" s="78" t="s">
        <v>43</v>
      </c>
      <c r="N135" s="78" t="s">
        <v>25</v>
      </c>
      <c r="O135" s="72" t="s">
        <v>1285</v>
      </c>
      <c r="P135" s="72"/>
      <c r="Q135" s="534" t="s">
        <v>1405</v>
      </c>
      <c r="R135" s="284"/>
      <c r="S135" s="94" t="s">
        <v>599</v>
      </c>
      <c r="T135" s="82"/>
      <c r="U135" s="253">
        <v>9.4380531311035156</v>
      </c>
      <c r="V135" s="584" t="e">
        <f>#REF!</f>
        <v>#REF!</v>
      </c>
      <c r="W135" s="253" t="e">
        <f t="shared" si="34"/>
        <v>#REF!</v>
      </c>
      <c r="X135" s="4"/>
      <c r="Z135" s="16" t="s">
        <v>35</v>
      </c>
      <c r="AA135" s="5"/>
      <c r="AD135" s="15"/>
    </row>
    <row r="136" spans="1:30" s="14" customFormat="1" ht="409.5">
      <c r="A136" s="358">
        <f>A135+1</f>
        <v>109</v>
      </c>
      <c r="B136" s="74" t="s">
        <v>604</v>
      </c>
      <c r="C136" s="71" t="s">
        <v>605</v>
      </c>
      <c r="D136" s="482" t="s">
        <v>1349</v>
      </c>
      <c r="E136" s="478">
        <f>LEN(D136)</f>
        <v>666</v>
      </c>
      <c r="F136" s="482" t="s">
        <v>606</v>
      </c>
      <c r="G136" s="478">
        <f>LEN(F136)</f>
        <v>825</v>
      </c>
      <c r="H136" s="482" t="s">
        <v>607</v>
      </c>
      <c r="I136" s="95">
        <f>LEN(H136)</f>
        <v>818</v>
      </c>
      <c r="J136" s="258" t="s">
        <v>426</v>
      </c>
      <c r="K136" s="78" t="s">
        <v>25</v>
      </c>
      <c r="L136" s="78" t="s">
        <v>25</v>
      </c>
      <c r="M136" s="78" t="s">
        <v>427</v>
      </c>
      <c r="N136" s="259" t="s">
        <v>608</v>
      </c>
      <c r="O136" s="72" t="s">
        <v>609</v>
      </c>
      <c r="P136" s="72"/>
      <c r="Q136" s="535" t="s">
        <v>1565</v>
      </c>
      <c r="R136" s="266"/>
      <c r="S136" s="101" t="s">
        <v>610</v>
      </c>
      <c r="T136" s="82"/>
      <c r="U136" s="253">
        <v>27.76699066162109</v>
      </c>
      <c r="V136" s="584" t="e">
        <f>#REF!</f>
        <v>#REF!</v>
      </c>
      <c r="W136" s="253" t="e">
        <f t="shared" si="34"/>
        <v>#REF!</v>
      </c>
      <c r="X136" s="4"/>
      <c r="Z136" s="16" t="s">
        <v>35</v>
      </c>
      <c r="AA136" s="5"/>
      <c r="AD136" s="15" t="s">
        <v>611</v>
      </c>
    </row>
    <row r="137" spans="1:30" s="14" customFormat="1" ht="263.25" thickBot="1">
      <c r="A137" s="363">
        <f>A136+1</f>
        <v>110</v>
      </c>
      <c r="B137" s="272" t="s">
        <v>612</v>
      </c>
      <c r="C137" s="273" t="s">
        <v>612</v>
      </c>
      <c r="D137" s="146" t="s">
        <v>613</v>
      </c>
      <c r="E137" s="145">
        <f>LEN(D137)</f>
        <v>354</v>
      </c>
      <c r="F137" s="146" t="s">
        <v>614</v>
      </c>
      <c r="G137" s="145">
        <f>LEN(F137)</f>
        <v>464</v>
      </c>
      <c r="H137" s="147" t="s">
        <v>615</v>
      </c>
      <c r="I137" s="145">
        <f>LEN(H137)</f>
        <v>395</v>
      </c>
      <c r="J137" s="148" t="s">
        <v>42</v>
      </c>
      <c r="K137" s="145" t="s">
        <v>25</v>
      </c>
      <c r="L137" s="145" t="s">
        <v>25</v>
      </c>
      <c r="M137" s="145" t="s">
        <v>43</v>
      </c>
      <c r="N137" s="95" t="s">
        <v>25</v>
      </c>
      <c r="O137" s="274" t="s">
        <v>616</v>
      </c>
      <c r="P137" s="274"/>
      <c r="Q137" s="535" t="s">
        <v>1406</v>
      </c>
      <c r="R137" s="290"/>
      <c r="S137" s="190" t="s">
        <v>599</v>
      </c>
      <c r="T137" s="150"/>
      <c r="U137" s="253">
        <v>13.705752372741699</v>
      </c>
      <c r="V137" s="584" t="e">
        <f>#REF!</f>
        <v>#REF!</v>
      </c>
      <c r="W137" s="253" t="e">
        <f t="shared" si="34"/>
        <v>#REF!</v>
      </c>
      <c r="X137" s="4"/>
      <c r="Z137" s="16" t="s">
        <v>35</v>
      </c>
      <c r="AA137" s="5"/>
      <c r="AD137" s="27" t="s">
        <v>576</v>
      </c>
    </row>
    <row r="138" spans="1:30" s="14" customFormat="1" ht="21.75" thickBot="1">
      <c r="A138" s="635" t="s">
        <v>617</v>
      </c>
      <c r="B138" s="631"/>
      <c r="C138" s="632"/>
      <c r="D138" s="631"/>
      <c r="E138" s="631"/>
      <c r="F138" s="632"/>
      <c r="G138" s="632"/>
      <c r="H138" s="632"/>
      <c r="I138" s="632"/>
      <c r="J138" s="631"/>
      <c r="K138" s="632"/>
      <c r="L138" s="631"/>
      <c r="M138" s="631"/>
      <c r="N138" s="631"/>
      <c r="O138" s="631"/>
      <c r="P138" s="631"/>
      <c r="Q138" s="631"/>
      <c r="R138" s="631"/>
      <c r="S138" s="631"/>
      <c r="T138" s="633"/>
      <c r="U138" s="163"/>
      <c r="V138" s="164"/>
      <c r="W138" s="163"/>
      <c r="X138" s="4"/>
      <c r="Z138" s="16"/>
      <c r="AA138" s="5"/>
      <c r="AD138" s="15"/>
    </row>
    <row r="139" spans="1:30" s="14" customFormat="1" ht="150">
      <c r="A139" s="357">
        <f>A137+1</f>
        <v>111</v>
      </c>
      <c r="B139" s="60" t="s">
        <v>618</v>
      </c>
      <c r="C139" s="71" t="s">
        <v>618</v>
      </c>
      <c r="D139" s="62" t="s">
        <v>619</v>
      </c>
      <c r="E139" s="63">
        <f t="shared" ref="E139:I179" si="35">LEN(D139)</f>
        <v>306</v>
      </c>
      <c r="F139" s="62" t="s">
        <v>620</v>
      </c>
      <c r="G139" s="63">
        <f t="shared" si="35"/>
        <v>398</v>
      </c>
      <c r="H139" s="62" t="s">
        <v>621</v>
      </c>
      <c r="I139" s="63">
        <f t="shared" si="35"/>
        <v>272</v>
      </c>
      <c r="J139" s="137" t="s">
        <v>42</v>
      </c>
      <c r="K139" s="64" t="s">
        <v>25</v>
      </c>
      <c r="L139" s="64" t="s">
        <v>25</v>
      </c>
      <c r="M139" s="64" t="s">
        <v>43</v>
      </c>
      <c r="N139" s="64" t="s">
        <v>25</v>
      </c>
      <c r="O139" s="62" t="s">
        <v>622</v>
      </c>
      <c r="P139" s="62"/>
      <c r="Q139" s="514" t="s">
        <v>1407</v>
      </c>
      <c r="R139" s="515"/>
      <c r="S139" s="177" t="s">
        <v>247</v>
      </c>
      <c r="T139" s="302" t="s">
        <v>623</v>
      </c>
      <c r="U139" s="253">
        <v>12.77690315246582</v>
      </c>
      <c r="V139" s="584">
        <v>1</v>
      </c>
      <c r="W139" s="253">
        <f t="shared" ref="W139:W179" si="36">U139*V139</f>
        <v>12.77690315246582</v>
      </c>
      <c r="X139" s="4"/>
      <c r="Z139" s="16" t="s">
        <v>35</v>
      </c>
      <c r="AA139" s="5"/>
      <c r="AD139" s="15"/>
    </row>
    <row r="140" spans="1:30" s="14" customFormat="1" ht="187.5">
      <c r="A140" s="358">
        <f t="shared" ref="A140:A170" si="37">A139+1</f>
        <v>112</v>
      </c>
      <c r="B140" s="74" t="s">
        <v>624</v>
      </c>
      <c r="C140" s="258" t="s">
        <v>624</v>
      </c>
      <c r="D140" s="238" t="s">
        <v>625</v>
      </c>
      <c r="E140" s="75">
        <f t="shared" si="35"/>
        <v>236</v>
      </c>
      <c r="F140" s="238" t="s">
        <v>626</v>
      </c>
      <c r="G140" s="75">
        <f t="shared" si="35"/>
        <v>258</v>
      </c>
      <c r="H140" s="238" t="s">
        <v>627</v>
      </c>
      <c r="I140" s="75">
        <f t="shared" si="35"/>
        <v>251</v>
      </c>
      <c r="J140" s="77" t="s">
        <v>42</v>
      </c>
      <c r="K140" s="78" t="s">
        <v>25</v>
      </c>
      <c r="L140" s="78" t="s">
        <v>25</v>
      </c>
      <c r="M140" s="78" t="s">
        <v>43</v>
      </c>
      <c r="N140" s="78" t="s">
        <v>25</v>
      </c>
      <c r="O140" s="72" t="s">
        <v>628</v>
      </c>
      <c r="P140" s="72"/>
      <c r="Q140" s="536" t="s">
        <v>1408</v>
      </c>
      <c r="R140" s="568"/>
      <c r="S140" s="101" t="s">
        <v>247</v>
      </c>
      <c r="T140" s="82"/>
      <c r="U140" s="253">
        <v>21.398605346679691</v>
      </c>
      <c r="V140" s="584">
        <v>1</v>
      </c>
      <c r="W140" s="253">
        <f t="shared" si="36"/>
        <v>21.398605346679691</v>
      </c>
      <c r="X140" s="4"/>
      <c r="Z140" s="16" t="s">
        <v>35</v>
      </c>
      <c r="AA140" s="5"/>
      <c r="AD140" s="15"/>
    </row>
    <row r="141" spans="1:30" s="14" customFormat="1" ht="187.5">
      <c r="A141" s="358">
        <f t="shared" si="37"/>
        <v>113</v>
      </c>
      <c r="B141" s="74" t="s">
        <v>629</v>
      </c>
      <c r="C141" s="258" t="s">
        <v>629</v>
      </c>
      <c r="D141" s="238" t="s">
        <v>630</v>
      </c>
      <c r="E141" s="75">
        <f t="shared" si="35"/>
        <v>234</v>
      </c>
      <c r="F141" s="238" t="s">
        <v>631</v>
      </c>
      <c r="G141" s="75">
        <f t="shared" si="35"/>
        <v>252</v>
      </c>
      <c r="H141" s="238" t="s">
        <v>632</v>
      </c>
      <c r="I141" s="75">
        <f t="shared" si="35"/>
        <v>246</v>
      </c>
      <c r="J141" s="77" t="s">
        <v>42</v>
      </c>
      <c r="K141" s="78" t="s">
        <v>25</v>
      </c>
      <c r="L141" s="78" t="s">
        <v>25</v>
      </c>
      <c r="M141" s="78" t="s">
        <v>43</v>
      </c>
      <c r="N141" s="78" t="s">
        <v>25</v>
      </c>
      <c r="O141" s="72" t="s">
        <v>633</v>
      </c>
      <c r="P141" s="72"/>
      <c r="Q141" s="536" t="s">
        <v>1409</v>
      </c>
      <c r="R141" s="568"/>
      <c r="S141" s="101" t="s">
        <v>247</v>
      </c>
      <c r="T141" s="82"/>
      <c r="U141" s="253">
        <v>14.980740547180179</v>
      </c>
      <c r="V141" s="584">
        <v>1</v>
      </c>
      <c r="W141" s="253">
        <f t="shared" si="36"/>
        <v>14.980740547180179</v>
      </c>
      <c r="X141" s="4"/>
      <c r="Z141" s="16" t="s">
        <v>35</v>
      </c>
      <c r="AA141" s="5"/>
      <c r="AD141" s="15"/>
    </row>
    <row r="142" spans="1:30" s="14" customFormat="1" ht="187.5">
      <c r="A142" s="358">
        <f t="shared" si="37"/>
        <v>114</v>
      </c>
      <c r="B142" s="74" t="s">
        <v>634</v>
      </c>
      <c r="C142" s="258" t="s">
        <v>634</v>
      </c>
      <c r="D142" s="238" t="s">
        <v>635</v>
      </c>
      <c r="E142" s="75">
        <f t="shared" si="35"/>
        <v>217</v>
      </c>
      <c r="F142" s="238" t="s">
        <v>636</v>
      </c>
      <c r="G142" s="75">
        <f t="shared" si="35"/>
        <v>250</v>
      </c>
      <c r="H142" s="238" t="s">
        <v>637</v>
      </c>
      <c r="I142" s="75">
        <f t="shared" si="35"/>
        <v>244</v>
      </c>
      <c r="J142" s="77" t="s">
        <v>42</v>
      </c>
      <c r="K142" s="78" t="s">
        <v>25</v>
      </c>
      <c r="L142" s="78" t="s">
        <v>25</v>
      </c>
      <c r="M142" s="78" t="s">
        <v>43</v>
      </c>
      <c r="N142" s="78" t="s">
        <v>25</v>
      </c>
      <c r="O142" s="72" t="s">
        <v>638</v>
      </c>
      <c r="P142" s="72"/>
      <c r="Q142" s="536" t="s">
        <v>1428</v>
      </c>
      <c r="R142" s="568"/>
      <c r="S142" s="101" t="s">
        <v>247</v>
      </c>
      <c r="T142" s="82"/>
      <c r="U142" s="253">
        <v>13.72302150726318</v>
      </c>
      <c r="V142" s="584">
        <v>1</v>
      </c>
      <c r="W142" s="253">
        <f t="shared" si="36"/>
        <v>13.72302150726318</v>
      </c>
      <c r="X142" s="4"/>
      <c r="Z142" s="16" t="s">
        <v>35</v>
      </c>
      <c r="AA142" s="5"/>
      <c r="AD142" s="15"/>
    </row>
    <row r="143" spans="1:30" s="14" customFormat="1" ht="187.5">
      <c r="A143" s="358">
        <f t="shared" si="37"/>
        <v>115</v>
      </c>
      <c r="B143" s="74" t="s">
        <v>639</v>
      </c>
      <c r="C143" s="258" t="s">
        <v>639</v>
      </c>
      <c r="D143" s="238" t="s">
        <v>640</v>
      </c>
      <c r="E143" s="75">
        <f t="shared" si="35"/>
        <v>218</v>
      </c>
      <c r="F143" s="238" t="s">
        <v>641</v>
      </c>
      <c r="G143" s="75">
        <f t="shared" si="35"/>
        <v>251</v>
      </c>
      <c r="H143" s="238" t="s">
        <v>642</v>
      </c>
      <c r="I143" s="75">
        <f t="shared" si="35"/>
        <v>239</v>
      </c>
      <c r="J143" s="77" t="s">
        <v>42</v>
      </c>
      <c r="K143" s="78" t="s">
        <v>25</v>
      </c>
      <c r="L143" s="78" t="s">
        <v>25</v>
      </c>
      <c r="M143" s="78" t="s">
        <v>43</v>
      </c>
      <c r="N143" s="78" t="s">
        <v>25</v>
      </c>
      <c r="O143" s="72" t="s">
        <v>643</v>
      </c>
      <c r="P143" s="72"/>
      <c r="Q143" s="512" t="s">
        <v>1410</v>
      </c>
      <c r="R143" s="530"/>
      <c r="S143" s="101" t="s">
        <v>247</v>
      </c>
      <c r="T143" s="82"/>
      <c r="U143" s="253">
        <v>13.06220054626465</v>
      </c>
      <c r="V143" s="584">
        <v>1</v>
      </c>
      <c r="W143" s="253">
        <f t="shared" si="36"/>
        <v>13.06220054626465</v>
      </c>
      <c r="X143" s="4"/>
      <c r="Z143" s="16" t="s">
        <v>35</v>
      </c>
      <c r="AA143" s="5"/>
      <c r="AD143" s="15"/>
    </row>
    <row r="144" spans="1:30" s="14" customFormat="1" ht="187.5">
      <c r="A144" s="358">
        <f t="shared" si="37"/>
        <v>116</v>
      </c>
      <c r="B144" s="74" t="s">
        <v>644</v>
      </c>
      <c r="C144" s="258" t="s">
        <v>644</v>
      </c>
      <c r="D144" s="238" t="s">
        <v>645</v>
      </c>
      <c r="E144" s="75">
        <f t="shared" si="35"/>
        <v>224</v>
      </c>
      <c r="F144" s="238" t="s">
        <v>646</v>
      </c>
      <c r="G144" s="75">
        <f t="shared" si="35"/>
        <v>277</v>
      </c>
      <c r="H144" s="238" t="s">
        <v>647</v>
      </c>
      <c r="I144" s="75">
        <f t="shared" si="35"/>
        <v>270</v>
      </c>
      <c r="J144" s="77" t="s">
        <v>42</v>
      </c>
      <c r="K144" s="78" t="s">
        <v>25</v>
      </c>
      <c r="L144" s="78" t="s">
        <v>25</v>
      </c>
      <c r="M144" s="78" t="s">
        <v>43</v>
      </c>
      <c r="N144" s="78" t="s">
        <v>25</v>
      </c>
      <c r="O144" s="72" t="s">
        <v>648</v>
      </c>
      <c r="P144" s="72"/>
      <c r="Q144" s="512" t="s">
        <v>1411</v>
      </c>
      <c r="R144" s="530"/>
      <c r="S144" s="101" t="s">
        <v>247</v>
      </c>
      <c r="T144" s="82"/>
      <c r="U144" s="253">
        <v>13.09532356262207</v>
      </c>
      <c r="V144" s="584">
        <v>1</v>
      </c>
      <c r="W144" s="253">
        <f t="shared" si="36"/>
        <v>13.09532356262207</v>
      </c>
      <c r="X144" s="4"/>
      <c r="Z144" s="16" t="s">
        <v>35</v>
      </c>
      <c r="AA144" s="5"/>
      <c r="AD144" s="15"/>
    </row>
    <row r="145" spans="1:30" s="14" customFormat="1" ht="187.5">
      <c r="A145" s="358">
        <f t="shared" si="37"/>
        <v>117</v>
      </c>
      <c r="B145" s="74" t="s">
        <v>649</v>
      </c>
      <c r="C145" s="133" t="s">
        <v>649</v>
      </c>
      <c r="D145" s="238" t="s">
        <v>650</v>
      </c>
      <c r="E145" s="75">
        <f t="shared" si="35"/>
        <v>182</v>
      </c>
      <c r="F145" s="238" t="s">
        <v>651</v>
      </c>
      <c r="G145" s="75">
        <f t="shared" si="35"/>
        <v>251</v>
      </c>
      <c r="H145" s="238" t="s">
        <v>652</v>
      </c>
      <c r="I145" s="75">
        <f t="shared" si="35"/>
        <v>209</v>
      </c>
      <c r="J145" s="77" t="s">
        <v>42</v>
      </c>
      <c r="K145" s="78" t="s">
        <v>25</v>
      </c>
      <c r="L145" s="78" t="s">
        <v>25</v>
      </c>
      <c r="M145" s="78" t="s">
        <v>43</v>
      </c>
      <c r="N145" s="78" t="s">
        <v>25</v>
      </c>
      <c r="O145" s="72" t="s">
        <v>653</v>
      </c>
      <c r="P145" s="72"/>
      <c r="Q145" s="536" t="s">
        <v>1412</v>
      </c>
      <c r="R145" s="568"/>
      <c r="S145" s="101" t="s">
        <v>247</v>
      </c>
      <c r="T145" s="82"/>
      <c r="U145" s="253">
        <v>16.10101918465228</v>
      </c>
      <c r="V145" s="584">
        <v>1</v>
      </c>
      <c r="W145" s="253">
        <f t="shared" si="36"/>
        <v>16.10101918465228</v>
      </c>
      <c r="X145" s="4"/>
      <c r="Z145" s="16" t="s">
        <v>35</v>
      </c>
      <c r="AA145" s="5"/>
      <c r="AD145" s="15" t="s">
        <v>654</v>
      </c>
    </row>
    <row r="146" spans="1:30" s="30" customFormat="1" ht="187.5">
      <c r="A146" s="358">
        <f t="shared" si="37"/>
        <v>118</v>
      </c>
      <c r="B146" s="74" t="s">
        <v>655</v>
      </c>
      <c r="C146" s="133" t="s">
        <v>655</v>
      </c>
      <c r="D146" s="303" t="s">
        <v>656</v>
      </c>
      <c r="E146" s="75">
        <f t="shared" si="35"/>
        <v>214</v>
      </c>
      <c r="F146" s="303" t="s">
        <v>657</v>
      </c>
      <c r="G146" s="75">
        <f t="shared" si="35"/>
        <v>278</v>
      </c>
      <c r="H146" s="303" t="s">
        <v>658</v>
      </c>
      <c r="I146" s="75">
        <f t="shared" si="35"/>
        <v>299</v>
      </c>
      <c r="J146" s="77" t="s">
        <v>42</v>
      </c>
      <c r="K146" s="78" t="s">
        <v>25</v>
      </c>
      <c r="L146" s="78" t="s">
        <v>25</v>
      </c>
      <c r="M146" s="78" t="s">
        <v>43</v>
      </c>
      <c r="N146" s="78" t="s">
        <v>25</v>
      </c>
      <c r="O146" s="72" t="s">
        <v>659</v>
      </c>
      <c r="P146" s="72"/>
      <c r="Q146" s="512" t="s">
        <v>1413</v>
      </c>
      <c r="R146" s="530"/>
      <c r="S146" s="101" t="s">
        <v>660</v>
      </c>
      <c r="T146" s="82"/>
      <c r="U146" s="253">
        <v>11.76504325866699</v>
      </c>
      <c r="V146" s="584">
        <v>1</v>
      </c>
      <c r="W146" s="253">
        <f t="shared" si="36"/>
        <v>11.76504325866699</v>
      </c>
      <c r="X146" s="4"/>
      <c r="Z146" s="16" t="s">
        <v>35</v>
      </c>
      <c r="AA146" s="5"/>
      <c r="AD146" s="15" t="s">
        <v>661</v>
      </c>
    </row>
    <row r="147" spans="1:30" s="14" customFormat="1" ht="168.75">
      <c r="A147" s="358">
        <f t="shared" si="37"/>
        <v>119</v>
      </c>
      <c r="B147" s="74" t="s">
        <v>662</v>
      </c>
      <c r="C147" s="258" t="s">
        <v>662</v>
      </c>
      <c r="D147" s="238" t="s">
        <v>663</v>
      </c>
      <c r="E147" s="75">
        <f t="shared" si="35"/>
        <v>184</v>
      </c>
      <c r="F147" s="238" t="s">
        <v>664</v>
      </c>
      <c r="G147" s="75">
        <f t="shared" si="35"/>
        <v>208</v>
      </c>
      <c r="H147" s="220" t="s">
        <v>665</v>
      </c>
      <c r="I147" s="75">
        <f t="shared" si="35"/>
        <v>189</v>
      </c>
      <c r="J147" s="77" t="s">
        <v>42</v>
      </c>
      <c r="K147" s="78" t="s">
        <v>25</v>
      </c>
      <c r="L147" s="78" t="s">
        <v>25</v>
      </c>
      <c r="M147" s="78" t="s">
        <v>43</v>
      </c>
      <c r="N147" s="78" t="s">
        <v>25</v>
      </c>
      <c r="O147" s="72" t="s">
        <v>666</v>
      </c>
      <c r="P147" s="72"/>
      <c r="Q147" s="536" t="s">
        <v>1414</v>
      </c>
      <c r="R147" s="568"/>
      <c r="S147" s="101" t="s">
        <v>247</v>
      </c>
      <c r="T147" s="82"/>
      <c r="U147" s="253">
        <v>12.432478904724119</v>
      </c>
      <c r="V147" s="584">
        <v>1</v>
      </c>
      <c r="W147" s="253">
        <f t="shared" si="36"/>
        <v>12.432478904724119</v>
      </c>
      <c r="X147" s="4"/>
      <c r="Z147" s="16" t="s">
        <v>35</v>
      </c>
      <c r="AA147" s="5"/>
      <c r="AD147" s="15" t="s">
        <v>654</v>
      </c>
    </row>
    <row r="148" spans="1:30" s="14" customFormat="1" ht="187.5">
      <c r="A148" s="358">
        <f t="shared" si="37"/>
        <v>120</v>
      </c>
      <c r="B148" s="74" t="s">
        <v>667</v>
      </c>
      <c r="C148" s="133" t="s">
        <v>667</v>
      </c>
      <c r="D148" s="303" t="s">
        <v>656</v>
      </c>
      <c r="E148" s="75">
        <f t="shared" si="35"/>
        <v>214</v>
      </c>
      <c r="F148" s="303" t="s">
        <v>657</v>
      </c>
      <c r="G148" s="75">
        <f t="shared" si="35"/>
        <v>278</v>
      </c>
      <c r="H148" s="303" t="s">
        <v>658</v>
      </c>
      <c r="I148" s="75">
        <f t="shared" si="35"/>
        <v>299</v>
      </c>
      <c r="J148" s="77" t="s">
        <v>42</v>
      </c>
      <c r="K148" s="78" t="s">
        <v>25</v>
      </c>
      <c r="L148" s="78" t="s">
        <v>25</v>
      </c>
      <c r="M148" s="78" t="s">
        <v>43</v>
      </c>
      <c r="N148" s="78" t="s">
        <v>25</v>
      </c>
      <c r="O148" s="72" t="s">
        <v>668</v>
      </c>
      <c r="P148" s="72"/>
      <c r="Q148" s="512" t="s">
        <v>1429</v>
      </c>
      <c r="R148" s="530"/>
      <c r="S148" s="101" t="s">
        <v>669</v>
      </c>
      <c r="T148" s="82"/>
      <c r="U148" s="253">
        <v>8.9801836013793945</v>
      </c>
      <c r="V148" s="584">
        <v>1</v>
      </c>
      <c r="W148" s="253">
        <f t="shared" si="36"/>
        <v>8.9801836013793945</v>
      </c>
      <c r="X148" s="4"/>
      <c r="Z148" s="16" t="s">
        <v>35</v>
      </c>
      <c r="AA148" s="5"/>
      <c r="AD148" s="15" t="s">
        <v>661</v>
      </c>
    </row>
    <row r="149" spans="1:30" s="14" customFormat="1" ht="187.5">
      <c r="A149" s="358">
        <f t="shared" si="37"/>
        <v>121</v>
      </c>
      <c r="B149" s="272" t="s">
        <v>670</v>
      </c>
      <c r="C149" s="273" t="s">
        <v>670</v>
      </c>
      <c r="D149" s="304" t="s">
        <v>671</v>
      </c>
      <c r="E149" s="305">
        <f t="shared" si="35"/>
        <v>212</v>
      </c>
      <c r="F149" s="277" t="s">
        <v>672</v>
      </c>
      <c r="G149" s="305">
        <f t="shared" si="35"/>
        <v>240</v>
      </c>
      <c r="H149" s="306" t="s">
        <v>673</v>
      </c>
      <c r="I149" s="305">
        <f t="shared" si="35"/>
        <v>209</v>
      </c>
      <c r="J149" s="276" t="s">
        <v>42</v>
      </c>
      <c r="K149" s="275" t="s">
        <v>25</v>
      </c>
      <c r="L149" s="275" t="s">
        <v>25</v>
      </c>
      <c r="M149" s="275" t="s">
        <v>43</v>
      </c>
      <c r="N149" s="275" t="s">
        <v>25</v>
      </c>
      <c r="O149" s="146" t="s">
        <v>674</v>
      </c>
      <c r="P149" s="146"/>
      <c r="Q149" s="536" t="s">
        <v>1415</v>
      </c>
      <c r="R149" s="569" t="s">
        <v>1566</v>
      </c>
      <c r="S149" s="101" t="s">
        <v>247</v>
      </c>
      <c r="T149" s="82"/>
      <c r="U149" s="253">
        <v>11.089328765869141</v>
      </c>
      <c r="V149" s="584">
        <v>1</v>
      </c>
      <c r="W149" s="253">
        <f t="shared" si="36"/>
        <v>11.089328765869141</v>
      </c>
      <c r="X149" s="4"/>
      <c r="Z149" s="16" t="s">
        <v>35</v>
      </c>
      <c r="AA149" s="5"/>
      <c r="AD149" s="15" t="s">
        <v>654</v>
      </c>
    </row>
    <row r="150" spans="1:30" s="14" customFormat="1" ht="187.5">
      <c r="A150" s="358">
        <f t="shared" si="37"/>
        <v>122</v>
      </c>
      <c r="B150" s="74" t="s">
        <v>675</v>
      </c>
      <c r="C150" s="133" t="s">
        <v>675</v>
      </c>
      <c r="D150" s="303" t="s">
        <v>656</v>
      </c>
      <c r="E150" s="75">
        <f t="shared" si="35"/>
        <v>214</v>
      </c>
      <c r="F150" s="303" t="s">
        <v>657</v>
      </c>
      <c r="G150" s="75">
        <f t="shared" si="35"/>
        <v>278</v>
      </c>
      <c r="H150" s="303" t="s">
        <v>658</v>
      </c>
      <c r="I150" s="75">
        <f t="shared" si="35"/>
        <v>299</v>
      </c>
      <c r="J150" s="77" t="s">
        <v>42</v>
      </c>
      <c r="K150" s="78" t="s">
        <v>25</v>
      </c>
      <c r="L150" s="78" t="s">
        <v>25</v>
      </c>
      <c r="M150" s="78" t="s">
        <v>43</v>
      </c>
      <c r="N150" s="78" t="s">
        <v>25</v>
      </c>
      <c r="O150" s="147" t="s">
        <v>676</v>
      </c>
      <c r="P150" s="147"/>
      <c r="Q150" s="536" t="s">
        <v>1416</v>
      </c>
      <c r="R150" s="569" t="s">
        <v>1567</v>
      </c>
      <c r="S150" s="101" t="s">
        <v>677</v>
      </c>
      <c r="T150" s="82"/>
      <c r="U150" s="253">
        <v>8.0683355331420898</v>
      </c>
      <c r="V150" s="584">
        <v>1</v>
      </c>
      <c r="W150" s="253">
        <f t="shared" si="36"/>
        <v>8.0683355331420898</v>
      </c>
      <c r="X150" s="4"/>
      <c r="Z150" s="16" t="s">
        <v>35</v>
      </c>
      <c r="AA150" s="5"/>
      <c r="AD150" s="15" t="s">
        <v>661</v>
      </c>
    </row>
    <row r="151" spans="1:30" s="14" customFormat="1" ht="243.75">
      <c r="A151" s="358">
        <f t="shared" si="37"/>
        <v>123</v>
      </c>
      <c r="B151" s="307" t="s">
        <v>678</v>
      </c>
      <c r="C151" s="170" t="s">
        <v>678</v>
      </c>
      <c r="D151" s="172" t="s">
        <v>679</v>
      </c>
      <c r="E151" s="75">
        <f t="shared" si="35"/>
        <v>113</v>
      </c>
      <c r="F151" s="172" t="s">
        <v>680</v>
      </c>
      <c r="G151" s="75">
        <f t="shared" si="35"/>
        <v>170</v>
      </c>
      <c r="H151" s="172" t="s">
        <v>681</v>
      </c>
      <c r="I151" s="75">
        <f t="shared" si="35"/>
        <v>139</v>
      </c>
      <c r="J151" s="103" t="s">
        <v>42</v>
      </c>
      <c r="K151" s="102" t="s">
        <v>25</v>
      </c>
      <c r="L151" s="102" t="s">
        <v>25</v>
      </c>
      <c r="M151" s="102" t="s">
        <v>43</v>
      </c>
      <c r="N151" s="78" t="s">
        <v>25</v>
      </c>
      <c r="O151" s="101" t="s">
        <v>682</v>
      </c>
      <c r="P151" s="101"/>
      <c r="Q151" s="537"/>
      <c r="R151" s="554" t="s">
        <v>1430</v>
      </c>
      <c r="S151" s="101" t="s">
        <v>247</v>
      </c>
      <c r="T151" s="308" t="s">
        <v>683</v>
      </c>
      <c r="U151" s="163">
        <v>5.7112536430358887</v>
      </c>
      <c r="V151" s="164">
        <v>1</v>
      </c>
      <c r="W151" s="163">
        <f t="shared" si="36"/>
        <v>5.7112536430358887</v>
      </c>
      <c r="X151" s="4"/>
      <c r="Z151" s="16" t="s">
        <v>24</v>
      </c>
      <c r="AA151" s="5"/>
      <c r="AD151" s="15"/>
    </row>
    <row r="152" spans="1:30" s="14" customFormat="1" ht="243.75">
      <c r="A152" s="358">
        <f t="shared" si="37"/>
        <v>124</v>
      </c>
      <c r="B152" s="309" t="s">
        <v>684</v>
      </c>
      <c r="C152" s="178" t="s">
        <v>685</v>
      </c>
      <c r="D152" s="101" t="s">
        <v>686</v>
      </c>
      <c r="E152" s="75">
        <f t="shared" si="35"/>
        <v>406</v>
      </c>
      <c r="F152" s="101" t="s">
        <v>687</v>
      </c>
      <c r="G152" s="75">
        <f t="shared" si="35"/>
        <v>475</v>
      </c>
      <c r="H152" s="101" t="s">
        <v>688</v>
      </c>
      <c r="I152" s="75">
        <f t="shared" si="35"/>
        <v>411</v>
      </c>
      <c r="J152" s="103" t="s">
        <v>42</v>
      </c>
      <c r="K152" s="102" t="s">
        <v>25</v>
      </c>
      <c r="L152" s="102" t="s">
        <v>25</v>
      </c>
      <c r="M152" s="102" t="s">
        <v>43</v>
      </c>
      <c r="N152" s="78" t="s">
        <v>25</v>
      </c>
      <c r="O152" s="101" t="s">
        <v>689</v>
      </c>
      <c r="P152" s="101"/>
      <c r="Q152" s="538"/>
      <c r="R152" s="554" t="s">
        <v>1431</v>
      </c>
      <c r="S152" s="101" t="s">
        <v>247</v>
      </c>
      <c r="T152" s="82"/>
      <c r="U152" s="163">
        <v>19.851530075073239</v>
      </c>
      <c r="V152" s="164">
        <v>1</v>
      </c>
      <c r="W152" s="163">
        <f t="shared" si="36"/>
        <v>19.851530075073239</v>
      </c>
      <c r="X152" s="4"/>
      <c r="Z152" s="16" t="s">
        <v>24</v>
      </c>
      <c r="AA152" s="5"/>
      <c r="AD152" s="15"/>
    </row>
    <row r="153" spans="1:30" s="14" customFormat="1" ht="243.75">
      <c r="A153" s="358">
        <f t="shared" si="37"/>
        <v>125</v>
      </c>
      <c r="B153" s="309" t="s">
        <v>690</v>
      </c>
      <c r="C153" s="178" t="s">
        <v>690</v>
      </c>
      <c r="D153" s="101" t="s">
        <v>691</v>
      </c>
      <c r="E153" s="75">
        <f t="shared" si="35"/>
        <v>378</v>
      </c>
      <c r="F153" s="101" t="s">
        <v>692</v>
      </c>
      <c r="G153" s="75">
        <f t="shared" si="35"/>
        <v>440</v>
      </c>
      <c r="H153" s="101" t="s">
        <v>693</v>
      </c>
      <c r="I153" s="75">
        <f t="shared" si="35"/>
        <v>412</v>
      </c>
      <c r="J153" s="103" t="s">
        <v>42</v>
      </c>
      <c r="K153" s="102" t="s">
        <v>25</v>
      </c>
      <c r="L153" s="102" t="s">
        <v>25</v>
      </c>
      <c r="M153" s="102" t="s">
        <v>43</v>
      </c>
      <c r="N153" s="78" t="s">
        <v>25</v>
      </c>
      <c r="O153" s="101" t="s">
        <v>694</v>
      </c>
      <c r="P153" s="101"/>
      <c r="Q153" s="538"/>
      <c r="R153" s="554" t="s">
        <v>1431</v>
      </c>
      <c r="S153" s="101" t="s">
        <v>247</v>
      </c>
      <c r="T153" s="82"/>
      <c r="U153" s="163">
        <v>13.39993858337402</v>
      </c>
      <c r="V153" s="164">
        <v>1</v>
      </c>
      <c r="W153" s="163">
        <f t="shared" si="36"/>
        <v>13.39993858337402</v>
      </c>
      <c r="X153" s="4"/>
      <c r="Z153" s="16" t="s">
        <v>24</v>
      </c>
      <c r="AA153" s="5"/>
      <c r="AD153" s="15"/>
    </row>
    <row r="154" spans="1:30" s="14" customFormat="1" ht="243.75">
      <c r="A154" s="358">
        <f t="shared" si="37"/>
        <v>126</v>
      </c>
      <c r="B154" s="309" t="s">
        <v>695</v>
      </c>
      <c r="C154" s="178" t="s">
        <v>695</v>
      </c>
      <c r="D154" s="101" t="s">
        <v>696</v>
      </c>
      <c r="E154" s="75">
        <f t="shared" si="35"/>
        <v>371</v>
      </c>
      <c r="F154" s="101" t="s">
        <v>697</v>
      </c>
      <c r="G154" s="75">
        <f t="shared" si="35"/>
        <v>428</v>
      </c>
      <c r="H154" s="101" t="s">
        <v>698</v>
      </c>
      <c r="I154" s="75">
        <f t="shared" si="35"/>
        <v>393</v>
      </c>
      <c r="J154" s="103" t="s">
        <v>42</v>
      </c>
      <c r="K154" s="102" t="s">
        <v>25</v>
      </c>
      <c r="L154" s="102" t="s">
        <v>25</v>
      </c>
      <c r="M154" s="102" t="s">
        <v>43</v>
      </c>
      <c r="N154" s="78" t="s">
        <v>25</v>
      </c>
      <c r="O154" s="101" t="s">
        <v>699</v>
      </c>
      <c r="P154" s="101"/>
      <c r="Q154" s="538"/>
      <c r="R154" s="554" t="s">
        <v>1431</v>
      </c>
      <c r="S154" s="101" t="s">
        <v>247</v>
      </c>
      <c r="T154" s="82"/>
      <c r="U154" s="163">
        <v>12.4080867767334</v>
      </c>
      <c r="V154" s="164">
        <v>1</v>
      </c>
      <c r="W154" s="163">
        <f t="shared" si="36"/>
        <v>12.4080867767334</v>
      </c>
      <c r="X154" s="4"/>
      <c r="Z154" s="16" t="s">
        <v>24</v>
      </c>
      <c r="AA154" s="5"/>
      <c r="AD154" s="15"/>
    </row>
    <row r="155" spans="1:30" s="14" customFormat="1" ht="225">
      <c r="A155" s="358">
        <f t="shared" si="37"/>
        <v>127</v>
      </c>
      <c r="B155" s="309" t="s">
        <v>700</v>
      </c>
      <c r="C155" s="178" t="s">
        <v>700</v>
      </c>
      <c r="D155" s="101" t="s">
        <v>701</v>
      </c>
      <c r="E155" s="75">
        <f t="shared" si="35"/>
        <v>345</v>
      </c>
      <c r="F155" s="101" t="s">
        <v>702</v>
      </c>
      <c r="G155" s="75">
        <f t="shared" si="35"/>
        <v>389</v>
      </c>
      <c r="H155" s="101" t="s">
        <v>703</v>
      </c>
      <c r="I155" s="75">
        <f t="shared" si="35"/>
        <v>367</v>
      </c>
      <c r="J155" s="103" t="s">
        <v>42</v>
      </c>
      <c r="K155" s="102" t="s">
        <v>25</v>
      </c>
      <c r="L155" s="102" t="s">
        <v>25</v>
      </c>
      <c r="M155" s="102" t="s">
        <v>43</v>
      </c>
      <c r="N155" s="78" t="s">
        <v>25</v>
      </c>
      <c r="O155" s="101" t="s">
        <v>704</v>
      </c>
      <c r="P155" s="101"/>
      <c r="Q155" s="538"/>
      <c r="R155" s="554" t="s">
        <v>1431</v>
      </c>
      <c r="S155" s="101" t="s">
        <v>247</v>
      </c>
      <c r="T155" s="82"/>
      <c r="U155" s="163">
        <v>9.2894678115844727</v>
      </c>
      <c r="V155" s="164">
        <v>1</v>
      </c>
      <c r="W155" s="163">
        <f t="shared" si="36"/>
        <v>9.2894678115844727</v>
      </c>
      <c r="X155" s="4"/>
      <c r="Z155" s="16" t="s">
        <v>24</v>
      </c>
      <c r="AA155" s="5"/>
      <c r="AD155" s="15"/>
    </row>
    <row r="156" spans="1:30" s="14" customFormat="1" ht="243.75">
      <c r="A156" s="358">
        <f t="shared" si="37"/>
        <v>128</v>
      </c>
      <c r="B156" s="309" t="s">
        <v>705</v>
      </c>
      <c r="C156" s="178" t="s">
        <v>705</v>
      </c>
      <c r="D156" s="101" t="s">
        <v>706</v>
      </c>
      <c r="E156" s="75">
        <f t="shared" si="35"/>
        <v>425</v>
      </c>
      <c r="F156" s="101" t="s">
        <v>707</v>
      </c>
      <c r="G156" s="75">
        <f t="shared" si="35"/>
        <v>480</v>
      </c>
      <c r="H156" s="101" t="s">
        <v>708</v>
      </c>
      <c r="I156" s="75">
        <f t="shared" si="35"/>
        <v>450</v>
      </c>
      <c r="J156" s="103" t="s">
        <v>42</v>
      </c>
      <c r="K156" s="102" t="s">
        <v>25</v>
      </c>
      <c r="L156" s="102" t="s">
        <v>25</v>
      </c>
      <c r="M156" s="102" t="s">
        <v>43</v>
      </c>
      <c r="N156" s="78" t="s">
        <v>25</v>
      </c>
      <c r="O156" s="101" t="s">
        <v>709</v>
      </c>
      <c r="P156" s="101"/>
      <c r="Q156" s="538"/>
      <c r="R156" s="554" t="s">
        <v>1431</v>
      </c>
      <c r="S156" s="101" t="s">
        <v>247</v>
      </c>
      <c r="T156" s="82"/>
      <c r="U156" s="163">
        <v>14.41095890410959</v>
      </c>
      <c r="V156" s="164">
        <v>1</v>
      </c>
      <c r="W156" s="163">
        <f t="shared" si="36"/>
        <v>14.41095890410959</v>
      </c>
      <c r="X156" s="4"/>
      <c r="Z156" s="16" t="s">
        <v>24</v>
      </c>
      <c r="AA156" s="5"/>
      <c r="AD156" s="15"/>
    </row>
    <row r="157" spans="1:30" s="14" customFormat="1" ht="243.75">
      <c r="A157" s="358">
        <f t="shared" si="37"/>
        <v>129</v>
      </c>
      <c r="B157" s="309" t="s">
        <v>710</v>
      </c>
      <c r="C157" s="178" t="s">
        <v>710</v>
      </c>
      <c r="D157" s="101" t="s">
        <v>711</v>
      </c>
      <c r="E157" s="78">
        <f t="shared" si="35"/>
        <v>360</v>
      </c>
      <c r="F157" s="101" t="s">
        <v>712</v>
      </c>
      <c r="G157" s="78">
        <f t="shared" si="35"/>
        <v>413</v>
      </c>
      <c r="H157" s="101" t="s">
        <v>713</v>
      </c>
      <c r="I157" s="78">
        <f t="shared" si="35"/>
        <v>365</v>
      </c>
      <c r="J157" s="103" t="s">
        <v>42</v>
      </c>
      <c r="K157" s="102" t="s">
        <v>25</v>
      </c>
      <c r="L157" s="102" t="s">
        <v>25</v>
      </c>
      <c r="M157" s="102" t="s">
        <v>43</v>
      </c>
      <c r="N157" s="78" t="s">
        <v>25</v>
      </c>
      <c r="O157" s="101" t="s">
        <v>1310</v>
      </c>
      <c r="P157" s="101"/>
      <c r="Q157" s="467"/>
      <c r="R157" s="554" t="s">
        <v>1431</v>
      </c>
      <c r="S157" s="101" t="s">
        <v>247</v>
      </c>
      <c r="T157" s="82"/>
      <c r="U157" s="163">
        <v>15.40838527679443</v>
      </c>
      <c r="V157" s="164">
        <v>1</v>
      </c>
      <c r="W157" s="163">
        <f t="shared" si="36"/>
        <v>15.40838527679443</v>
      </c>
      <c r="X157" s="4"/>
      <c r="Z157" s="16" t="s">
        <v>24</v>
      </c>
      <c r="AA157" s="5"/>
      <c r="AD157" s="15"/>
    </row>
    <row r="158" spans="1:30" s="14" customFormat="1" ht="243.75">
      <c r="A158" s="358">
        <f>A157+1</f>
        <v>130</v>
      </c>
      <c r="B158" s="455" t="s">
        <v>716</v>
      </c>
      <c r="C158" s="100" t="s">
        <v>714</v>
      </c>
      <c r="D158" s="508" t="s">
        <v>1358</v>
      </c>
      <c r="E158" s="509">
        <f t="shared" si="35"/>
        <v>421</v>
      </c>
      <c r="F158" s="508" t="s">
        <v>1623</v>
      </c>
      <c r="G158" s="509">
        <f t="shared" si="35"/>
        <v>424</v>
      </c>
      <c r="H158" s="508" t="s">
        <v>1596</v>
      </c>
      <c r="I158" s="102">
        <f t="shared" si="35"/>
        <v>619</v>
      </c>
      <c r="J158" s="103" t="s">
        <v>42</v>
      </c>
      <c r="K158" s="102" t="s">
        <v>25</v>
      </c>
      <c r="L158" s="102" t="s">
        <v>25</v>
      </c>
      <c r="M158" s="102" t="s">
        <v>43</v>
      </c>
      <c r="N158" s="78" t="s">
        <v>25</v>
      </c>
      <c r="O158" s="101" t="s">
        <v>715</v>
      </c>
      <c r="P158" s="101"/>
      <c r="Q158" s="539"/>
      <c r="R158" s="554" t="s">
        <v>1431</v>
      </c>
      <c r="S158" s="101"/>
      <c r="T158" s="82"/>
      <c r="U158" s="163"/>
      <c r="V158" s="164"/>
      <c r="W158" s="163"/>
      <c r="X158" s="4"/>
      <c r="Z158" s="16"/>
      <c r="AA158" s="5"/>
      <c r="AD158" s="15"/>
    </row>
    <row r="159" spans="1:30" s="14" customFormat="1" ht="225">
      <c r="A159" s="358">
        <f>A158+1</f>
        <v>131</v>
      </c>
      <c r="B159" s="309" t="s">
        <v>717</v>
      </c>
      <c r="C159" s="178" t="s">
        <v>717</v>
      </c>
      <c r="D159" s="101" t="s">
        <v>718</v>
      </c>
      <c r="E159" s="75">
        <f t="shared" si="35"/>
        <v>334</v>
      </c>
      <c r="F159" s="101" t="s">
        <v>719</v>
      </c>
      <c r="G159" s="75">
        <f t="shared" si="35"/>
        <v>382</v>
      </c>
      <c r="H159" s="101" t="s">
        <v>720</v>
      </c>
      <c r="I159" s="75">
        <f t="shared" si="35"/>
        <v>356</v>
      </c>
      <c r="J159" s="103" t="s">
        <v>42</v>
      </c>
      <c r="K159" s="102" t="s">
        <v>25</v>
      </c>
      <c r="L159" s="102" t="s">
        <v>25</v>
      </c>
      <c r="M159" s="102" t="s">
        <v>43</v>
      </c>
      <c r="N159" s="78" t="s">
        <v>25</v>
      </c>
      <c r="O159" s="101" t="s">
        <v>721</v>
      </c>
      <c r="P159" s="101"/>
      <c r="Q159" s="539"/>
      <c r="R159" s="554" t="s">
        <v>1431</v>
      </c>
      <c r="S159" s="101" t="s">
        <v>247</v>
      </c>
      <c r="T159" s="82"/>
      <c r="U159" s="163">
        <v>9.716710090637207</v>
      </c>
      <c r="V159" s="164">
        <v>1</v>
      </c>
      <c r="W159" s="163">
        <f t="shared" si="36"/>
        <v>9.716710090637207</v>
      </c>
      <c r="X159" s="4"/>
      <c r="Z159" s="16" t="s">
        <v>24</v>
      </c>
      <c r="AA159" s="5"/>
      <c r="AD159" s="15"/>
    </row>
    <row r="160" spans="1:30" s="14" customFormat="1" ht="262.5">
      <c r="A160" s="358">
        <f t="shared" si="37"/>
        <v>132</v>
      </c>
      <c r="B160" s="309" t="s">
        <v>722</v>
      </c>
      <c r="C160" s="178" t="s">
        <v>722</v>
      </c>
      <c r="D160" s="101" t="s">
        <v>723</v>
      </c>
      <c r="E160" s="78">
        <f t="shared" si="35"/>
        <v>401</v>
      </c>
      <c r="F160" s="101" t="s">
        <v>724</v>
      </c>
      <c r="G160" s="78">
        <f t="shared" si="35"/>
        <v>436</v>
      </c>
      <c r="H160" s="101" t="s">
        <v>725</v>
      </c>
      <c r="I160" s="78">
        <f t="shared" si="35"/>
        <v>476</v>
      </c>
      <c r="J160" s="103" t="s">
        <v>42</v>
      </c>
      <c r="K160" s="102" t="s">
        <v>25</v>
      </c>
      <c r="L160" s="102" t="s">
        <v>25</v>
      </c>
      <c r="M160" s="102" t="s">
        <v>43</v>
      </c>
      <c r="N160" s="78" t="s">
        <v>25</v>
      </c>
      <c r="O160" s="101" t="s">
        <v>1286</v>
      </c>
      <c r="P160" s="101"/>
      <c r="Q160" s="539"/>
      <c r="R160" s="554" t="s">
        <v>1431</v>
      </c>
      <c r="S160" s="101" t="s">
        <v>247</v>
      </c>
      <c r="T160" s="82"/>
      <c r="U160" s="163">
        <v>10.953365325927731</v>
      </c>
      <c r="V160" s="164">
        <v>1</v>
      </c>
      <c r="W160" s="163">
        <f t="shared" si="36"/>
        <v>10.953365325927731</v>
      </c>
      <c r="X160" s="4"/>
      <c r="Z160" s="16" t="s">
        <v>24</v>
      </c>
      <c r="AA160" s="5"/>
      <c r="AD160" s="15"/>
    </row>
    <row r="161" spans="1:30" s="14" customFormat="1" ht="243.75">
      <c r="A161" s="358">
        <f>A160+1</f>
        <v>133</v>
      </c>
      <c r="B161" s="455" t="s">
        <v>726</v>
      </c>
      <c r="C161" s="100" t="s">
        <v>726</v>
      </c>
      <c r="D161" s="101" t="s">
        <v>727</v>
      </c>
      <c r="E161" s="102">
        <f t="shared" si="35"/>
        <v>360</v>
      </c>
      <c r="F161" s="101" t="s">
        <v>1023</v>
      </c>
      <c r="G161" s="102">
        <f t="shared" si="35"/>
        <v>410</v>
      </c>
      <c r="H161" s="101" t="s">
        <v>1024</v>
      </c>
      <c r="I161" s="102">
        <f t="shared" si="35"/>
        <v>405</v>
      </c>
      <c r="J161" s="103" t="s">
        <v>42</v>
      </c>
      <c r="K161" s="102" t="s">
        <v>25</v>
      </c>
      <c r="L161" s="102" t="s">
        <v>25</v>
      </c>
      <c r="M161" s="102" t="s">
        <v>43</v>
      </c>
      <c r="N161" s="78" t="s">
        <v>25</v>
      </c>
      <c r="O161" s="101" t="s">
        <v>728</v>
      </c>
      <c r="P161" s="101"/>
      <c r="Q161" s="539"/>
      <c r="R161" s="554" t="s">
        <v>1431</v>
      </c>
      <c r="S161" s="101"/>
      <c r="T161" s="82"/>
      <c r="U161" s="163"/>
      <c r="V161" s="164"/>
      <c r="W161" s="163"/>
      <c r="X161" s="4"/>
      <c r="Z161" s="16"/>
      <c r="AA161" s="5"/>
      <c r="AD161" s="15"/>
    </row>
    <row r="162" spans="1:30" s="14" customFormat="1" ht="409.5">
      <c r="A162" s="357">
        <f>A161+1</f>
        <v>134</v>
      </c>
      <c r="B162" s="60" t="s">
        <v>730</v>
      </c>
      <c r="C162" s="71" t="s">
        <v>731</v>
      </c>
      <c r="D162" s="486" t="s">
        <v>1350</v>
      </c>
      <c r="E162" s="485">
        <f t="shared" si="35"/>
        <v>1364</v>
      </c>
      <c r="F162" s="487" t="s">
        <v>1568</v>
      </c>
      <c r="G162" s="485">
        <f t="shared" si="35"/>
        <v>1729</v>
      </c>
      <c r="H162" s="486" t="s">
        <v>732</v>
      </c>
      <c r="I162" s="63">
        <f t="shared" si="35"/>
        <v>1741</v>
      </c>
      <c r="J162" s="137" t="s">
        <v>271</v>
      </c>
      <c r="K162" s="64" t="s">
        <v>25</v>
      </c>
      <c r="L162" s="64" t="s">
        <v>25</v>
      </c>
      <c r="M162" s="64" t="s">
        <v>733</v>
      </c>
      <c r="N162" s="118" t="s">
        <v>734</v>
      </c>
      <c r="O162" s="62" t="s">
        <v>735</v>
      </c>
      <c r="P162" s="62"/>
      <c r="Q162" s="512" t="s">
        <v>1417</v>
      </c>
      <c r="R162" s="530"/>
      <c r="S162" s="101" t="s">
        <v>247</v>
      </c>
      <c r="T162" s="310"/>
      <c r="U162" s="253">
        <v>72.295135498046875</v>
      </c>
      <c r="V162" s="584">
        <v>1</v>
      </c>
      <c r="W162" s="253">
        <f t="shared" si="36"/>
        <v>72.295135498046875</v>
      </c>
      <c r="X162" s="4"/>
      <c r="Z162" s="16" t="s">
        <v>35</v>
      </c>
      <c r="AA162" s="5"/>
      <c r="AD162" s="15"/>
    </row>
    <row r="163" spans="1:30" s="14" customFormat="1" ht="187.5">
      <c r="A163" s="358">
        <f t="shared" si="37"/>
        <v>135</v>
      </c>
      <c r="B163" s="74" t="s">
        <v>736</v>
      </c>
      <c r="C163" s="133" t="s">
        <v>736</v>
      </c>
      <c r="D163" s="72" t="s">
        <v>737</v>
      </c>
      <c r="E163" s="75">
        <f t="shared" si="35"/>
        <v>327</v>
      </c>
      <c r="F163" s="72" t="s">
        <v>738</v>
      </c>
      <c r="G163" s="75">
        <f t="shared" si="35"/>
        <v>440</v>
      </c>
      <c r="H163" s="72" t="s">
        <v>739</v>
      </c>
      <c r="I163" s="75">
        <f t="shared" si="35"/>
        <v>390</v>
      </c>
      <c r="J163" s="77" t="s">
        <v>42</v>
      </c>
      <c r="K163" s="78" t="s">
        <v>25</v>
      </c>
      <c r="L163" s="78" t="s">
        <v>25</v>
      </c>
      <c r="M163" s="78" t="s">
        <v>43</v>
      </c>
      <c r="N163" s="78" t="s">
        <v>25</v>
      </c>
      <c r="O163" s="72" t="s">
        <v>740</v>
      </c>
      <c r="P163" s="72"/>
      <c r="Q163" s="540" t="s">
        <v>1569</v>
      </c>
      <c r="R163" s="570" t="s">
        <v>1432</v>
      </c>
      <c r="S163" s="101" t="s">
        <v>25</v>
      </c>
      <c r="T163" s="310"/>
      <c r="U163" s="253">
        <v>3.7052218914031978</v>
      </c>
      <c r="V163" s="584">
        <v>1</v>
      </c>
      <c r="W163" s="253">
        <f t="shared" si="36"/>
        <v>3.7052218914031978</v>
      </c>
      <c r="X163" s="4"/>
      <c r="Z163" s="16" t="s">
        <v>35</v>
      </c>
      <c r="AA163" s="5"/>
      <c r="AD163" s="15"/>
    </row>
    <row r="164" spans="1:30" s="14" customFormat="1" ht="131.25">
      <c r="A164" s="358">
        <f t="shared" si="37"/>
        <v>136</v>
      </c>
      <c r="B164" s="99" t="s">
        <v>741</v>
      </c>
      <c r="C164" s="169" t="s">
        <v>741</v>
      </c>
      <c r="D164" s="230" t="s">
        <v>742</v>
      </c>
      <c r="E164" s="75">
        <f t="shared" si="35"/>
        <v>177</v>
      </c>
      <c r="F164" s="230" t="s">
        <v>743</v>
      </c>
      <c r="G164" s="75">
        <f t="shared" si="35"/>
        <v>254</v>
      </c>
      <c r="H164" s="230" t="s">
        <v>744</v>
      </c>
      <c r="I164" s="75">
        <f t="shared" si="35"/>
        <v>230</v>
      </c>
      <c r="J164" s="103" t="s">
        <v>42</v>
      </c>
      <c r="K164" s="102" t="s">
        <v>25</v>
      </c>
      <c r="L164" s="102" t="s">
        <v>25</v>
      </c>
      <c r="M164" s="102" t="s">
        <v>43</v>
      </c>
      <c r="N164" s="78" t="s">
        <v>25</v>
      </c>
      <c r="O164" s="101" t="s">
        <v>745</v>
      </c>
      <c r="P164" s="101"/>
      <c r="Q164" s="513" t="s">
        <v>746</v>
      </c>
      <c r="R164" s="513"/>
      <c r="S164" s="101" t="s">
        <v>247</v>
      </c>
      <c r="T164" s="264"/>
      <c r="U164" s="163"/>
      <c r="V164" s="164">
        <v>1</v>
      </c>
      <c r="W164" s="163">
        <f t="shared" si="36"/>
        <v>0</v>
      </c>
      <c r="X164" s="4"/>
      <c r="Z164" s="16" t="s">
        <v>24</v>
      </c>
      <c r="AA164" s="5"/>
      <c r="AD164" s="15" t="s">
        <v>127</v>
      </c>
    </row>
    <row r="165" spans="1:30" s="14" customFormat="1" ht="168.75">
      <c r="A165" s="358">
        <f t="shared" si="37"/>
        <v>137</v>
      </c>
      <c r="B165" s="99" t="s">
        <v>747</v>
      </c>
      <c r="C165" s="169" t="s">
        <v>747</v>
      </c>
      <c r="D165" s="172" t="s">
        <v>748</v>
      </c>
      <c r="E165" s="95">
        <f t="shared" si="35"/>
        <v>292</v>
      </c>
      <c r="F165" s="172" t="s">
        <v>749</v>
      </c>
      <c r="G165" s="95">
        <f t="shared" si="35"/>
        <v>350</v>
      </c>
      <c r="H165" s="172" t="s">
        <v>750</v>
      </c>
      <c r="I165" s="95">
        <f t="shared" si="35"/>
        <v>304</v>
      </c>
      <c r="J165" s="311" t="s">
        <v>137</v>
      </c>
      <c r="K165" s="171" t="s">
        <v>25</v>
      </c>
      <c r="L165" s="171" t="s">
        <v>25</v>
      </c>
      <c r="M165" s="171" t="s">
        <v>28</v>
      </c>
      <c r="N165" s="78" t="s">
        <v>25</v>
      </c>
      <c r="O165" s="179" t="s">
        <v>751</v>
      </c>
      <c r="P165" s="179"/>
      <c r="Q165" s="513" t="s">
        <v>752</v>
      </c>
      <c r="R165" s="513"/>
      <c r="S165" s="101" t="s">
        <v>247</v>
      </c>
      <c r="T165" s="264"/>
      <c r="U165" s="163">
        <v>17</v>
      </c>
      <c r="V165" s="164">
        <v>1</v>
      </c>
      <c r="W165" s="163">
        <f t="shared" si="36"/>
        <v>17</v>
      </c>
      <c r="X165" s="4"/>
      <c r="Z165" s="16" t="s">
        <v>24</v>
      </c>
      <c r="AA165" s="5"/>
      <c r="AD165" s="15" t="s">
        <v>127</v>
      </c>
    </row>
    <row r="166" spans="1:30" s="14" customFormat="1" ht="150">
      <c r="A166" s="358">
        <f t="shared" si="37"/>
        <v>138</v>
      </c>
      <c r="B166" s="99" t="s">
        <v>753</v>
      </c>
      <c r="C166" s="169" t="s">
        <v>753</v>
      </c>
      <c r="D166" s="172" t="s">
        <v>754</v>
      </c>
      <c r="E166" s="95">
        <f t="shared" si="35"/>
        <v>268</v>
      </c>
      <c r="F166" s="172" t="s">
        <v>755</v>
      </c>
      <c r="G166" s="95">
        <f t="shared" si="35"/>
        <v>324</v>
      </c>
      <c r="H166" s="172" t="s">
        <v>756</v>
      </c>
      <c r="I166" s="95">
        <f t="shared" si="35"/>
        <v>305</v>
      </c>
      <c r="J166" s="311" t="s">
        <v>137</v>
      </c>
      <c r="K166" s="171" t="s">
        <v>25</v>
      </c>
      <c r="L166" s="171" t="s">
        <v>25</v>
      </c>
      <c r="M166" s="171" t="s">
        <v>28</v>
      </c>
      <c r="N166" s="78" t="s">
        <v>25</v>
      </c>
      <c r="O166" s="179" t="s">
        <v>757</v>
      </c>
      <c r="P166" s="179"/>
      <c r="Q166" s="513" t="s">
        <v>1418</v>
      </c>
      <c r="R166" s="513"/>
      <c r="S166" s="101" t="s">
        <v>247</v>
      </c>
      <c r="T166" s="264"/>
      <c r="U166" s="163">
        <v>17</v>
      </c>
      <c r="V166" s="164">
        <v>1</v>
      </c>
      <c r="W166" s="163">
        <f t="shared" si="36"/>
        <v>17</v>
      </c>
      <c r="X166" s="4"/>
      <c r="Z166" s="16" t="s">
        <v>24</v>
      </c>
      <c r="AA166" s="5"/>
      <c r="AD166" s="15" t="s">
        <v>127</v>
      </c>
    </row>
    <row r="167" spans="1:30" s="14" customFormat="1" ht="150">
      <c r="A167" s="358">
        <f t="shared" si="37"/>
        <v>139</v>
      </c>
      <c r="B167" s="99" t="s">
        <v>758</v>
      </c>
      <c r="C167" s="169" t="s">
        <v>758</v>
      </c>
      <c r="D167" s="172" t="s">
        <v>759</v>
      </c>
      <c r="E167" s="95">
        <f t="shared" si="35"/>
        <v>245</v>
      </c>
      <c r="F167" s="172" t="s">
        <v>760</v>
      </c>
      <c r="G167" s="95">
        <f t="shared" si="35"/>
        <v>293</v>
      </c>
      <c r="H167" s="172" t="s">
        <v>761</v>
      </c>
      <c r="I167" s="95">
        <f t="shared" si="35"/>
        <v>270</v>
      </c>
      <c r="J167" s="311" t="s">
        <v>137</v>
      </c>
      <c r="K167" s="171" t="s">
        <v>25</v>
      </c>
      <c r="L167" s="171" t="s">
        <v>25</v>
      </c>
      <c r="M167" s="171" t="s">
        <v>28</v>
      </c>
      <c r="N167" s="78" t="s">
        <v>25</v>
      </c>
      <c r="O167" s="179" t="s">
        <v>762</v>
      </c>
      <c r="P167" s="179"/>
      <c r="Q167" s="513" t="s">
        <v>763</v>
      </c>
      <c r="R167" s="513"/>
      <c r="S167" s="101" t="s">
        <v>247</v>
      </c>
      <c r="T167" s="264"/>
      <c r="U167" s="163">
        <v>17</v>
      </c>
      <c r="V167" s="164">
        <v>1</v>
      </c>
      <c r="W167" s="163">
        <f t="shared" si="36"/>
        <v>17</v>
      </c>
      <c r="X167" s="4"/>
      <c r="Z167" s="16" t="s">
        <v>24</v>
      </c>
      <c r="AA167" s="5"/>
      <c r="AD167" s="15" t="s">
        <v>127</v>
      </c>
    </row>
    <row r="168" spans="1:30" s="14" customFormat="1" ht="150">
      <c r="A168" s="358">
        <f t="shared" si="37"/>
        <v>140</v>
      </c>
      <c r="B168" s="99" t="s">
        <v>764</v>
      </c>
      <c r="C168" s="169" t="s">
        <v>764</v>
      </c>
      <c r="D168" s="260" t="s">
        <v>765</v>
      </c>
      <c r="E168" s="78">
        <f t="shared" si="35"/>
        <v>236</v>
      </c>
      <c r="F168" s="260" t="s">
        <v>766</v>
      </c>
      <c r="G168" s="78">
        <f t="shared" si="35"/>
        <v>283</v>
      </c>
      <c r="H168" s="260" t="s">
        <v>767</v>
      </c>
      <c r="I168" s="78">
        <f t="shared" si="35"/>
        <v>255</v>
      </c>
      <c r="J168" s="311" t="s">
        <v>137</v>
      </c>
      <c r="K168" s="171" t="s">
        <v>25</v>
      </c>
      <c r="L168" s="171" t="s">
        <v>25</v>
      </c>
      <c r="M168" s="171" t="s">
        <v>28</v>
      </c>
      <c r="N168" s="78" t="s">
        <v>25</v>
      </c>
      <c r="O168" s="179" t="s">
        <v>768</v>
      </c>
      <c r="P168" s="179"/>
      <c r="Q168" s="513" t="s">
        <v>769</v>
      </c>
      <c r="R168" s="513"/>
      <c r="S168" s="101" t="s">
        <v>247</v>
      </c>
      <c r="T168" s="264"/>
      <c r="U168" s="163">
        <v>17</v>
      </c>
      <c r="V168" s="164">
        <v>1</v>
      </c>
      <c r="W168" s="163">
        <f t="shared" si="36"/>
        <v>17</v>
      </c>
      <c r="X168" s="4"/>
      <c r="Z168" s="16" t="s">
        <v>24</v>
      </c>
      <c r="AA168" s="5"/>
      <c r="AD168" s="15" t="s">
        <v>127</v>
      </c>
    </row>
    <row r="169" spans="1:30" s="14" customFormat="1" ht="168.75">
      <c r="A169" s="358">
        <f t="shared" si="37"/>
        <v>141</v>
      </c>
      <c r="B169" s="99" t="s">
        <v>770</v>
      </c>
      <c r="C169" s="169" t="s">
        <v>770</v>
      </c>
      <c r="D169" s="172" t="s">
        <v>771</v>
      </c>
      <c r="E169" s="95">
        <f t="shared" si="35"/>
        <v>274</v>
      </c>
      <c r="F169" s="172" t="s">
        <v>772</v>
      </c>
      <c r="G169" s="95">
        <f t="shared" si="35"/>
        <v>365</v>
      </c>
      <c r="H169" s="172" t="s">
        <v>773</v>
      </c>
      <c r="I169" s="95">
        <f t="shared" si="35"/>
        <v>325</v>
      </c>
      <c r="J169" s="311" t="s">
        <v>137</v>
      </c>
      <c r="K169" s="171" t="s">
        <v>25</v>
      </c>
      <c r="L169" s="171" t="s">
        <v>25</v>
      </c>
      <c r="M169" s="171" t="s">
        <v>28</v>
      </c>
      <c r="N169" s="78" t="s">
        <v>25</v>
      </c>
      <c r="O169" s="179" t="s">
        <v>774</v>
      </c>
      <c r="P169" s="179"/>
      <c r="Q169" s="513" t="s">
        <v>775</v>
      </c>
      <c r="R169" s="513"/>
      <c r="S169" s="101" t="s">
        <v>247</v>
      </c>
      <c r="T169" s="264"/>
      <c r="U169" s="163">
        <v>17</v>
      </c>
      <c r="V169" s="164">
        <v>1</v>
      </c>
      <c r="W169" s="163">
        <f t="shared" si="36"/>
        <v>17</v>
      </c>
      <c r="X169" s="4"/>
      <c r="Z169" s="16" t="s">
        <v>24</v>
      </c>
      <c r="AA169" s="5"/>
      <c r="AD169" s="15" t="s">
        <v>127</v>
      </c>
    </row>
    <row r="170" spans="1:30" s="14" customFormat="1" ht="187.5">
      <c r="A170" s="358">
        <f t="shared" si="37"/>
        <v>142</v>
      </c>
      <c r="B170" s="99" t="s">
        <v>776</v>
      </c>
      <c r="C170" s="169" t="s">
        <v>776</v>
      </c>
      <c r="D170" s="172" t="s">
        <v>777</v>
      </c>
      <c r="E170" s="95">
        <f t="shared" si="35"/>
        <v>308</v>
      </c>
      <c r="F170" s="172" t="s">
        <v>778</v>
      </c>
      <c r="G170" s="95">
        <f t="shared" si="35"/>
        <v>357</v>
      </c>
      <c r="H170" s="172" t="s">
        <v>779</v>
      </c>
      <c r="I170" s="95">
        <f t="shared" si="35"/>
        <v>332</v>
      </c>
      <c r="J170" s="311" t="s">
        <v>137</v>
      </c>
      <c r="K170" s="171" t="s">
        <v>25</v>
      </c>
      <c r="L170" s="171" t="s">
        <v>25</v>
      </c>
      <c r="M170" s="171" t="s">
        <v>28</v>
      </c>
      <c r="N170" s="78" t="s">
        <v>25</v>
      </c>
      <c r="O170" s="179" t="s">
        <v>780</v>
      </c>
      <c r="P170" s="179"/>
      <c r="Q170" s="513" t="s">
        <v>781</v>
      </c>
      <c r="R170" s="513"/>
      <c r="S170" s="101" t="s">
        <v>247</v>
      </c>
      <c r="T170" s="264"/>
      <c r="U170" s="163">
        <v>17</v>
      </c>
      <c r="V170" s="164">
        <v>1</v>
      </c>
      <c r="W170" s="163">
        <f t="shared" si="36"/>
        <v>17</v>
      </c>
      <c r="X170" s="4"/>
      <c r="Z170" s="16" t="s">
        <v>24</v>
      </c>
      <c r="AA170" s="5"/>
      <c r="AD170" s="15" t="s">
        <v>127</v>
      </c>
    </row>
    <row r="171" spans="1:30" s="14" customFormat="1" ht="150">
      <c r="A171" s="358">
        <f t="shared" ref="A171:A174" si="38">A170+1</f>
        <v>143</v>
      </c>
      <c r="B171" s="99" t="s">
        <v>782</v>
      </c>
      <c r="C171" s="169" t="s">
        <v>782</v>
      </c>
      <c r="D171" s="172" t="s">
        <v>1351</v>
      </c>
      <c r="E171" s="95">
        <f t="shared" si="35"/>
        <v>293</v>
      </c>
      <c r="F171" s="172" t="s">
        <v>783</v>
      </c>
      <c r="G171" s="95">
        <f t="shared" si="35"/>
        <v>337</v>
      </c>
      <c r="H171" s="172" t="s">
        <v>784</v>
      </c>
      <c r="I171" s="95">
        <f t="shared" si="35"/>
        <v>334</v>
      </c>
      <c r="J171" s="311" t="s">
        <v>137</v>
      </c>
      <c r="K171" s="171" t="s">
        <v>25</v>
      </c>
      <c r="L171" s="171" t="s">
        <v>25</v>
      </c>
      <c r="M171" s="171" t="s">
        <v>28</v>
      </c>
      <c r="N171" s="78" t="s">
        <v>25</v>
      </c>
      <c r="O171" s="179" t="s">
        <v>785</v>
      </c>
      <c r="P171" s="179"/>
      <c r="Q171" s="513" t="s">
        <v>786</v>
      </c>
      <c r="R171" s="513"/>
      <c r="S171" s="101" t="s">
        <v>247</v>
      </c>
      <c r="T171" s="264"/>
      <c r="U171" s="163">
        <v>17</v>
      </c>
      <c r="V171" s="164">
        <v>1</v>
      </c>
      <c r="W171" s="163">
        <f t="shared" si="36"/>
        <v>17</v>
      </c>
      <c r="X171" s="4"/>
      <c r="Z171" s="16" t="s">
        <v>24</v>
      </c>
      <c r="AA171" s="5"/>
      <c r="AD171" s="15" t="s">
        <v>127</v>
      </c>
    </row>
    <row r="172" spans="1:30" s="14" customFormat="1" ht="150">
      <c r="A172" s="358">
        <f t="shared" si="38"/>
        <v>144</v>
      </c>
      <c r="B172" s="99" t="s">
        <v>787</v>
      </c>
      <c r="C172" s="169" t="s">
        <v>787</v>
      </c>
      <c r="D172" s="172" t="s">
        <v>788</v>
      </c>
      <c r="E172" s="95">
        <f t="shared" si="35"/>
        <v>263</v>
      </c>
      <c r="F172" s="260" t="s">
        <v>1570</v>
      </c>
      <c r="G172" s="95">
        <f t="shared" si="35"/>
        <v>289</v>
      </c>
      <c r="H172" s="172" t="s">
        <v>789</v>
      </c>
      <c r="I172" s="95">
        <f t="shared" si="35"/>
        <v>289</v>
      </c>
      <c r="J172" s="311" t="s">
        <v>137</v>
      </c>
      <c r="K172" s="171" t="s">
        <v>25</v>
      </c>
      <c r="L172" s="171" t="s">
        <v>25</v>
      </c>
      <c r="M172" s="171" t="s">
        <v>28</v>
      </c>
      <c r="N172" s="78" t="s">
        <v>25</v>
      </c>
      <c r="O172" s="179" t="s">
        <v>790</v>
      </c>
      <c r="P172" s="179"/>
      <c r="Q172" s="513" t="s">
        <v>791</v>
      </c>
      <c r="R172" s="513"/>
      <c r="S172" s="101" t="s">
        <v>247</v>
      </c>
      <c r="T172" s="264"/>
      <c r="U172" s="163">
        <v>17</v>
      </c>
      <c r="V172" s="164">
        <v>1</v>
      </c>
      <c r="W172" s="163">
        <f t="shared" si="36"/>
        <v>17</v>
      </c>
      <c r="X172" s="4"/>
      <c r="Z172" s="16" t="s">
        <v>24</v>
      </c>
      <c r="AA172" s="5"/>
      <c r="AD172" s="15" t="s">
        <v>127</v>
      </c>
    </row>
    <row r="173" spans="1:30" s="14" customFormat="1" ht="168.75">
      <c r="A173" s="358">
        <f t="shared" si="38"/>
        <v>145</v>
      </c>
      <c r="B173" s="99" t="s">
        <v>792</v>
      </c>
      <c r="C173" s="169" t="s">
        <v>792</v>
      </c>
      <c r="D173" s="172" t="s">
        <v>793</v>
      </c>
      <c r="E173" s="95">
        <f t="shared" si="35"/>
        <v>318</v>
      </c>
      <c r="F173" s="172" t="s">
        <v>794</v>
      </c>
      <c r="G173" s="95">
        <f t="shared" si="35"/>
        <v>372</v>
      </c>
      <c r="H173" s="172" t="s">
        <v>795</v>
      </c>
      <c r="I173" s="95">
        <f t="shared" si="35"/>
        <v>374</v>
      </c>
      <c r="J173" s="311" t="s">
        <v>137</v>
      </c>
      <c r="K173" s="171" t="s">
        <v>25</v>
      </c>
      <c r="L173" s="171" t="s">
        <v>25</v>
      </c>
      <c r="M173" s="171" t="s">
        <v>28</v>
      </c>
      <c r="N173" s="78" t="s">
        <v>25</v>
      </c>
      <c r="O173" s="179" t="s">
        <v>796</v>
      </c>
      <c r="P173" s="179"/>
      <c r="Q173" s="513" t="s">
        <v>1419</v>
      </c>
      <c r="R173" s="513"/>
      <c r="S173" s="101" t="s">
        <v>247</v>
      </c>
      <c r="T173" s="264"/>
      <c r="U173" s="163">
        <v>17</v>
      </c>
      <c r="V173" s="164">
        <v>1</v>
      </c>
      <c r="W173" s="163">
        <f t="shared" si="36"/>
        <v>17</v>
      </c>
      <c r="X173" s="4"/>
      <c r="Z173" s="16" t="s">
        <v>24</v>
      </c>
      <c r="AA173" s="5"/>
      <c r="AD173" s="15"/>
    </row>
    <row r="174" spans="1:30" s="14" customFormat="1" ht="93.75">
      <c r="A174" s="358">
        <f t="shared" si="38"/>
        <v>146</v>
      </c>
      <c r="B174" s="99" t="s">
        <v>797</v>
      </c>
      <c r="C174" s="169" t="s">
        <v>797</v>
      </c>
      <c r="D174" s="230" t="s">
        <v>798</v>
      </c>
      <c r="E174" s="95">
        <f t="shared" si="35"/>
        <v>204</v>
      </c>
      <c r="F174" s="230" t="s">
        <v>799</v>
      </c>
      <c r="G174" s="95">
        <f t="shared" si="35"/>
        <v>211</v>
      </c>
      <c r="H174" s="230" t="s">
        <v>800</v>
      </c>
      <c r="I174" s="95">
        <f t="shared" si="35"/>
        <v>225</v>
      </c>
      <c r="J174" s="103" t="s">
        <v>42</v>
      </c>
      <c r="K174" s="102" t="s">
        <v>25</v>
      </c>
      <c r="L174" s="102" t="s">
        <v>25</v>
      </c>
      <c r="M174" s="102" t="s">
        <v>43</v>
      </c>
      <c r="N174" s="78" t="s">
        <v>25</v>
      </c>
      <c r="O174" s="101" t="s">
        <v>801</v>
      </c>
      <c r="P174" s="101"/>
      <c r="Q174" s="513" t="s">
        <v>802</v>
      </c>
      <c r="R174" s="513"/>
      <c r="S174" s="101" t="s">
        <v>247</v>
      </c>
      <c r="T174" s="264"/>
      <c r="U174" s="163"/>
      <c r="V174" s="164">
        <v>1</v>
      </c>
      <c r="W174" s="163">
        <f t="shared" si="36"/>
        <v>0</v>
      </c>
      <c r="X174" s="4"/>
      <c r="Z174" s="16" t="s">
        <v>24</v>
      </c>
      <c r="AA174" s="5"/>
      <c r="AD174" s="15" t="s">
        <v>127</v>
      </c>
    </row>
    <row r="175" spans="1:30" s="14" customFormat="1" ht="112.5">
      <c r="A175" s="358">
        <f>A174+1</f>
        <v>147</v>
      </c>
      <c r="B175" s="99" t="s">
        <v>803</v>
      </c>
      <c r="C175" s="169" t="s">
        <v>803</v>
      </c>
      <c r="D175" s="230" t="s">
        <v>804</v>
      </c>
      <c r="E175" s="95">
        <f t="shared" si="35"/>
        <v>169</v>
      </c>
      <c r="F175" s="230" t="s">
        <v>805</v>
      </c>
      <c r="G175" s="95">
        <f t="shared" si="35"/>
        <v>235</v>
      </c>
      <c r="H175" s="230" t="s">
        <v>806</v>
      </c>
      <c r="I175" s="95">
        <f t="shared" si="35"/>
        <v>201</v>
      </c>
      <c r="J175" s="178" t="s">
        <v>137</v>
      </c>
      <c r="K175" s="102" t="s">
        <v>25</v>
      </c>
      <c r="L175" s="102" t="s">
        <v>25</v>
      </c>
      <c r="M175" s="102" t="s">
        <v>28</v>
      </c>
      <c r="N175" s="78" t="s">
        <v>25</v>
      </c>
      <c r="O175" s="101" t="s">
        <v>807</v>
      </c>
      <c r="P175" s="101"/>
      <c r="Q175" s="513" t="s">
        <v>808</v>
      </c>
      <c r="R175" s="513"/>
      <c r="S175" s="101" t="s">
        <v>247</v>
      </c>
      <c r="T175" s="264"/>
      <c r="U175" s="163">
        <v>17</v>
      </c>
      <c r="V175" s="164">
        <v>1</v>
      </c>
      <c r="W175" s="163">
        <f t="shared" si="36"/>
        <v>17</v>
      </c>
      <c r="X175" s="4"/>
      <c r="Z175" s="16" t="s">
        <v>24</v>
      </c>
      <c r="AA175" s="5"/>
      <c r="AD175" s="15" t="s">
        <v>127</v>
      </c>
    </row>
    <row r="176" spans="1:30" s="14" customFormat="1" ht="112.5">
      <c r="A176" s="358">
        <f>A175+1</f>
        <v>148</v>
      </c>
      <c r="B176" s="99" t="s">
        <v>809</v>
      </c>
      <c r="C176" s="169" t="s">
        <v>809</v>
      </c>
      <c r="D176" s="230" t="s">
        <v>810</v>
      </c>
      <c r="E176" s="155">
        <f t="shared" si="35"/>
        <v>192</v>
      </c>
      <c r="F176" s="230" t="s">
        <v>811</v>
      </c>
      <c r="G176" s="155">
        <f t="shared" si="35"/>
        <v>238</v>
      </c>
      <c r="H176" s="230" t="s">
        <v>812</v>
      </c>
      <c r="I176" s="155">
        <f t="shared" si="35"/>
        <v>236</v>
      </c>
      <c r="J176" s="178" t="s">
        <v>137</v>
      </c>
      <c r="K176" s="102" t="s">
        <v>25</v>
      </c>
      <c r="L176" s="102" t="s">
        <v>25</v>
      </c>
      <c r="M176" s="102" t="s">
        <v>28</v>
      </c>
      <c r="N176" s="78" t="s">
        <v>25</v>
      </c>
      <c r="O176" s="101" t="s">
        <v>813</v>
      </c>
      <c r="P176" s="101"/>
      <c r="Q176" s="513" t="s">
        <v>814</v>
      </c>
      <c r="R176" s="513"/>
      <c r="S176" s="101" t="s">
        <v>247</v>
      </c>
      <c r="T176" s="264"/>
      <c r="U176" s="163">
        <v>17</v>
      </c>
      <c r="V176" s="164">
        <v>1</v>
      </c>
      <c r="W176" s="163">
        <f t="shared" si="36"/>
        <v>17</v>
      </c>
      <c r="X176" s="4"/>
      <c r="Z176" s="16" t="s">
        <v>24</v>
      </c>
      <c r="AA176" s="5"/>
      <c r="AD176" s="15" t="s">
        <v>127</v>
      </c>
    </row>
    <row r="177" spans="1:30" s="14" customFormat="1" ht="93.75">
      <c r="A177" s="358">
        <f>A176+1</f>
        <v>149</v>
      </c>
      <c r="B177" s="99" t="s">
        <v>815</v>
      </c>
      <c r="C177" s="169" t="s">
        <v>815</v>
      </c>
      <c r="D177" s="230" t="s">
        <v>816</v>
      </c>
      <c r="E177" s="155">
        <f t="shared" si="35"/>
        <v>178</v>
      </c>
      <c r="F177" s="230" t="s">
        <v>817</v>
      </c>
      <c r="G177" s="155">
        <f t="shared" si="35"/>
        <v>212</v>
      </c>
      <c r="H177" s="230" t="s">
        <v>818</v>
      </c>
      <c r="I177" s="155">
        <f t="shared" si="35"/>
        <v>205</v>
      </c>
      <c r="J177" s="178" t="s">
        <v>137</v>
      </c>
      <c r="K177" s="102" t="s">
        <v>25</v>
      </c>
      <c r="L177" s="102" t="s">
        <v>25</v>
      </c>
      <c r="M177" s="102" t="s">
        <v>28</v>
      </c>
      <c r="N177" s="78" t="s">
        <v>25</v>
      </c>
      <c r="O177" s="101" t="s">
        <v>819</v>
      </c>
      <c r="P177" s="101"/>
      <c r="Q177" s="513" t="s">
        <v>820</v>
      </c>
      <c r="R177" s="513"/>
      <c r="S177" s="101" t="s">
        <v>247</v>
      </c>
      <c r="T177" s="264"/>
      <c r="U177" s="163">
        <v>17</v>
      </c>
      <c r="V177" s="164">
        <v>1</v>
      </c>
      <c r="W177" s="163">
        <f t="shared" si="36"/>
        <v>17</v>
      </c>
      <c r="X177" s="4"/>
      <c r="Z177" s="16" t="s">
        <v>24</v>
      </c>
      <c r="AA177" s="5"/>
      <c r="AD177" s="15" t="s">
        <v>127</v>
      </c>
    </row>
    <row r="178" spans="1:30" s="14" customFormat="1" ht="93.75">
      <c r="A178" s="358">
        <f>A177+1</f>
        <v>150</v>
      </c>
      <c r="B178" s="99" t="s">
        <v>821</v>
      </c>
      <c r="C178" s="169" t="s">
        <v>821</v>
      </c>
      <c r="D178" s="260" t="s">
        <v>822</v>
      </c>
      <c r="E178" s="64">
        <f t="shared" si="35"/>
        <v>169</v>
      </c>
      <c r="F178" s="260" t="s">
        <v>823</v>
      </c>
      <c r="G178" s="64">
        <f t="shared" si="35"/>
        <v>216</v>
      </c>
      <c r="H178" s="260" t="s">
        <v>824</v>
      </c>
      <c r="I178" s="64">
        <f t="shared" si="35"/>
        <v>204</v>
      </c>
      <c r="J178" s="178" t="s">
        <v>137</v>
      </c>
      <c r="K178" s="102" t="s">
        <v>25</v>
      </c>
      <c r="L178" s="102" t="s">
        <v>25</v>
      </c>
      <c r="M178" s="102" t="s">
        <v>28</v>
      </c>
      <c r="N178" s="78" t="s">
        <v>25</v>
      </c>
      <c r="O178" s="101" t="s">
        <v>825</v>
      </c>
      <c r="P178" s="101"/>
      <c r="Q178" s="513" t="s">
        <v>1420</v>
      </c>
      <c r="R178" s="513"/>
      <c r="S178" s="101" t="s">
        <v>247</v>
      </c>
      <c r="T178" s="264"/>
      <c r="U178" s="163">
        <v>17</v>
      </c>
      <c r="V178" s="164">
        <v>1</v>
      </c>
      <c r="W178" s="163">
        <f t="shared" si="36"/>
        <v>17</v>
      </c>
      <c r="X178" s="4"/>
      <c r="Z178" s="16" t="s">
        <v>24</v>
      </c>
      <c r="AA178" s="5"/>
      <c r="AD178" s="15" t="s">
        <v>127</v>
      </c>
    </row>
    <row r="179" spans="1:30" s="14" customFormat="1" ht="113.25" thickBot="1">
      <c r="A179" s="363">
        <f>A178+1</f>
        <v>151</v>
      </c>
      <c r="B179" s="188" t="s">
        <v>826</v>
      </c>
      <c r="C179" s="189" t="s">
        <v>827</v>
      </c>
      <c r="D179" s="291" t="s">
        <v>828</v>
      </c>
      <c r="E179" s="64">
        <f t="shared" si="35"/>
        <v>190</v>
      </c>
      <c r="F179" s="291" t="s">
        <v>829</v>
      </c>
      <c r="G179" s="64">
        <f t="shared" si="35"/>
        <v>222</v>
      </c>
      <c r="H179" s="291" t="s">
        <v>830</v>
      </c>
      <c r="I179" s="64">
        <f t="shared" si="35"/>
        <v>203</v>
      </c>
      <c r="J179" s="312" t="s">
        <v>137</v>
      </c>
      <c r="K179" s="192" t="s">
        <v>25</v>
      </c>
      <c r="L179" s="192" t="s">
        <v>25</v>
      </c>
      <c r="M179" s="192" t="s">
        <v>28</v>
      </c>
      <c r="N179" s="78" t="s">
        <v>25</v>
      </c>
      <c r="O179" s="291" t="s">
        <v>831</v>
      </c>
      <c r="P179" s="291"/>
      <c r="Q179" s="527" t="s">
        <v>1571</v>
      </c>
      <c r="R179" s="527"/>
      <c r="S179" s="291" t="s">
        <v>247</v>
      </c>
      <c r="T179" s="313"/>
      <c r="U179" s="163">
        <v>17</v>
      </c>
      <c r="V179" s="164">
        <v>1</v>
      </c>
      <c r="W179" s="163">
        <f t="shared" si="36"/>
        <v>17</v>
      </c>
      <c r="X179" s="4"/>
      <c r="Z179" s="16" t="s">
        <v>24</v>
      </c>
      <c r="AA179" s="5"/>
      <c r="AD179" s="15" t="s">
        <v>127</v>
      </c>
    </row>
    <row r="180" spans="1:30" s="14" customFormat="1" ht="21.75" thickBot="1">
      <c r="A180" s="630" t="s">
        <v>832</v>
      </c>
      <c r="B180" s="631"/>
      <c r="C180" s="632"/>
      <c r="D180" s="631"/>
      <c r="E180" s="631"/>
      <c r="F180" s="632"/>
      <c r="G180" s="632"/>
      <c r="H180" s="632"/>
      <c r="I180" s="632"/>
      <c r="J180" s="631"/>
      <c r="K180" s="632"/>
      <c r="L180" s="631"/>
      <c r="M180" s="631"/>
      <c r="N180" s="631"/>
      <c r="O180" s="631"/>
      <c r="P180" s="631"/>
      <c r="Q180" s="631"/>
      <c r="R180" s="631"/>
      <c r="S180" s="631"/>
      <c r="T180" s="633"/>
      <c r="U180" s="163"/>
      <c r="V180" s="164"/>
      <c r="W180" s="163"/>
      <c r="X180" s="4"/>
      <c r="Z180" s="16"/>
      <c r="AA180" s="5"/>
      <c r="AD180" s="15"/>
    </row>
    <row r="181" spans="1:30" s="33" customFormat="1" ht="187.5">
      <c r="A181" s="364">
        <f>A179+1</f>
        <v>152</v>
      </c>
      <c r="B181" s="60" t="s">
        <v>833</v>
      </c>
      <c r="C181" s="71" t="s">
        <v>833</v>
      </c>
      <c r="D181" s="193" t="s">
        <v>834</v>
      </c>
      <c r="E181" s="155">
        <f t="shared" ref="E181:I185" si="39">LEN(D181)</f>
        <v>222</v>
      </c>
      <c r="F181" s="193" t="s">
        <v>835</v>
      </c>
      <c r="G181" s="155">
        <f t="shared" si="39"/>
        <v>245</v>
      </c>
      <c r="H181" s="193" t="s">
        <v>836</v>
      </c>
      <c r="I181" s="155">
        <f t="shared" si="39"/>
        <v>248</v>
      </c>
      <c r="J181" s="241" t="s">
        <v>42</v>
      </c>
      <c r="K181" s="155" t="s">
        <v>25</v>
      </c>
      <c r="L181" s="71" t="s">
        <v>1359</v>
      </c>
      <c r="M181" s="155" t="s">
        <v>43</v>
      </c>
      <c r="N181" s="155" t="s">
        <v>25</v>
      </c>
      <c r="O181" s="193" t="s">
        <v>837</v>
      </c>
      <c r="P181" s="159"/>
      <c r="Q181" s="514" t="s">
        <v>1572</v>
      </c>
      <c r="R181" s="270"/>
      <c r="S181" s="177" t="s">
        <v>247</v>
      </c>
      <c r="T181" s="69"/>
      <c r="U181" s="597">
        <v>19.828245162963871</v>
      </c>
      <c r="V181" s="584">
        <v>1</v>
      </c>
      <c r="W181" s="253">
        <f t="shared" ref="W181:W184" si="40">U181*V181</f>
        <v>19.828245162963871</v>
      </c>
      <c r="X181" s="32"/>
      <c r="Z181" s="34" t="s">
        <v>35</v>
      </c>
      <c r="AA181" s="35"/>
      <c r="AD181" s="27"/>
    </row>
    <row r="182" spans="1:30" s="14" customFormat="1" ht="409.5">
      <c r="A182" s="358">
        <f>A181+1</f>
        <v>153</v>
      </c>
      <c r="B182" s="74" t="s">
        <v>838</v>
      </c>
      <c r="C182" s="71" t="s">
        <v>839</v>
      </c>
      <c r="D182" s="482" t="s">
        <v>1352</v>
      </c>
      <c r="E182" s="478">
        <f t="shared" si="39"/>
        <v>1198</v>
      </c>
      <c r="F182" s="505" t="s">
        <v>840</v>
      </c>
      <c r="G182" s="478">
        <f t="shared" si="39"/>
        <v>1466</v>
      </c>
      <c r="H182" s="505" t="s">
        <v>841</v>
      </c>
      <c r="I182" s="95">
        <f t="shared" si="39"/>
        <v>1505</v>
      </c>
      <c r="J182" s="168" t="s">
        <v>591</v>
      </c>
      <c r="K182" s="95" t="s">
        <v>25</v>
      </c>
      <c r="L182" s="157" t="s">
        <v>25</v>
      </c>
      <c r="M182" s="95" t="s">
        <v>842</v>
      </c>
      <c r="N182" s="256" t="s">
        <v>843</v>
      </c>
      <c r="O182" s="147" t="s">
        <v>844</v>
      </c>
      <c r="P182" s="147"/>
      <c r="Q182" s="506" t="s">
        <v>1573</v>
      </c>
      <c r="R182" s="314"/>
      <c r="S182" s="101" t="s">
        <v>845</v>
      </c>
      <c r="T182" s="82"/>
      <c r="U182" s="253">
        <v>49.529693603515618</v>
      </c>
      <c r="V182" s="584">
        <v>1</v>
      </c>
      <c r="W182" s="253">
        <f t="shared" si="40"/>
        <v>49.529693603515618</v>
      </c>
      <c r="X182" s="4"/>
      <c r="Z182" s="16" t="s">
        <v>35</v>
      </c>
      <c r="AA182" s="5"/>
      <c r="AD182" s="15" t="s">
        <v>846</v>
      </c>
    </row>
    <row r="183" spans="1:30" s="14" customFormat="1" ht="409.5">
      <c r="A183" s="358">
        <f t="shared" ref="A183:A185" si="41">A182+1</f>
        <v>154</v>
      </c>
      <c r="B183" s="99" t="s">
        <v>847</v>
      </c>
      <c r="C183" s="258" t="s">
        <v>848</v>
      </c>
      <c r="D183" s="179" t="s">
        <v>849</v>
      </c>
      <c r="E183" s="95">
        <f t="shared" si="39"/>
        <v>498</v>
      </c>
      <c r="F183" s="179" t="s">
        <v>850</v>
      </c>
      <c r="G183" s="95">
        <f t="shared" si="39"/>
        <v>612</v>
      </c>
      <c r="H183" s="179" t="s">
        <v>851</v>
      </c>
      <c r="I183" s="95">
        <f t="shared" si="39"/>
        <v>576</v>
      </c>
      <c r="J183" s="170" t="s">
        <v>591</v>
      </c>
      <c r="K183" s="171" t="s">
        <v>25</v>
      </c>
      <c r="L183" s="157" t="s">
        <v>25</v>
      </c>
      <c r="M183" s="171" t="s">
        <v>852</v>
      </c>
      <c r="N183" s="286" t="s">
        <v>853</v>
      </c>
      <c r="O183" s="179" t="s">
        <v>854</v>
      </c>
      <c r="P183" s="179"/>
      <c r="Q183" s="535" t="s">
        <v>1574</v>
      </c>
      <c r="R183" s="535"/>
      <c r="S183" s="101" t="s">
        <v>247</v>
      </c>
      <c r="T183" s="82"/>
      <c r="U183" s="163">
        <v>22.029750823974609</v>
      </c>
      <c r="V183" s="164">
        <v>1</v>
      </c>
      <c r="W183" s="163">
        <f t="shared" si="40"/>
        <v>22.029750823974609</v>
      </c>
      <c r="X183" s="4"/>
      <c r="Z183" s="16" t="s">
        <v>24</v>
      </c>
      <c r="AA183" s="5"/>
      <c r="AD183" s="15"/>
    </row>
    <row r="184" spans="1:30" s="14" customFormat="1" ht="281.25">
      <c r="A184" s="358">
        <f t="shared" si="41"/>
        <v>155</v>
      </c>
      <c r="B184" s="309" t="s">
        <v>855</v>
      </c>
      <c r="C184" s="312" t="s">
        <v>855</v>
      </c>
      <c r="D184" s="179" t="s">
        <v>856</v>
      </c>
      <c r="E184" s="95">
        <f t="shared" si="39"/>
        <v>460</v>
      </c>
      <c r="F184" s="179" t="s">
        <v>857</v>
      </c>
      <c r="G184" s="95">
        <f t="shared" si="39"/>
        <v>476</v>
      </c>
      <c r="H184" s="179" t="s">
        <v>858</v>
      </c>
      <c r="I184" s="95">
        <f t="shared" si="39"/>
        <v>478</v>
      </c>
      <c r="J184" s="315" t="s">
        <v>42</v>
      </c>
      <c r="K184" s="300" t="s">
        <v>25</v>
      </c>
      <c r="L184" s="157" t="s">
        <v>25</v>
      </c>
      <c r="M184" s="300" t="s">
        <v>43</v>
      </c>
      <c r="N184" s="171" t="s">
        <v>25</v>
      </c>
      <c r="O184" s="299" t="s">
        <v>859</v>
      </c>
      <c r="P184" s="299"/>
      <c r="Q184" s="536" t="s">
        <v>1421</v>
      </c>
      <c r="R184" s="569" t="s">
        <v>1575</v>
      </c>
      <c r="S184" s="291" t="s">
        <v>247</v>
      </c>
      <c r="T184" s="150"/>
      <c r="U184" s="163">
        <v>17</v>
      </c>
      <c r="V184" s="164">
        <v>1</v>
      </c>
      <c r="W184" s="163">
        <f t="shared" si="40"/>
        <v>17</v>
      </c>
      <c r="X184" s="4"/>
      <c r="Z184" s="16" t="s">
        <v>24</v>
      </c>
      <c r="AA184" s="5"/>
      <c r="AD184" s="15" t="s">
        <v>860</v>
      </c>
    </row>
    <row r="185" spans="1:30" s="14" customFormat="1" ht="207" thickBot="1">
      <c r="A185" s="363">
        <f t="shared" si="41"/>
        <v>156</v>
      </c>
      <c r="B185" s="316" t="s">
        <v>861</v>
      </c>
      <c r="C185" s="471" t="s">
        <v>862</v>
      </c>
      <c r="D185" s="317" t="s">
        <v>863</v>
      </c>
      <c r="E185" s="95">
        <f t="shared" si="39"/>
        <v>188</v>
      </c>
      <c r="F185" s="318" t="s">
        <v>864</v>
      </c>
      <c r="G185" s="95">
        <f t="shared" si="39"/>
        <v>205</v>
      </c>
      <c r="H185" s="318" t="s">
        <v>865</v>
      </c>
      <c r="I185" s="95">
        <f t="shared" si="39"/>
        <v>195</v>
      </c>
      <c r="J185" s="315" t="s">
        <v>271</v>
      </c>
      <c r="K185" s="300" t="s">
        <v>25</v>
      </c>
      <c r="L185" s="300" t="s">
        <v>25</v>
      </c>
      <c r="M185" s="300" t="s">
        <v>866</v>
      </c>
      <c r="N185" s="286" t="s">
        <v>867</v>
      </c>
      <c r="O185" s="319" t="s">
        <v>868</v>
      </c>
      <c r="P185" s="319"/>
      <c r="Q185" s="513" t="s">
        <v>1422</v>
      </c>
      <c r="R185" s="320"/>
      <c r="S185" s="268"/>
      <c r="T185" s="269"/>
      <c r="U185" s="163"/>
      <c r="V185" s="164"/>
      <c r="W185" s="163"/>
      <c r="X185" s="4"/>
      <c r="Z185" s="16"/>
      <c r="AA185" s="5"/>
      <c r="AD185" s="15"/>
    </row>
    <row r="186" spans="1:30" s="14" customFormat="1" ht="21.75" thickBot="1">
      <c r="A186" s="630" t="s">
        <v>869</v>
      </c>
      <c r="B186" s="631"/>
      <c r="C186" s="632"/>
      <c r="D186" s="631"/>
      <c r="E186" s="631"/>
      <c r="F186" s="632"/>
      <c r="G186" s="632"/>
      <c r="H186" s="632"/>
      <c r="I186" s="632"/>
      <c r="J186" s="631"/>
      <c r="K186" s="632"/>
      <c r="L186" s="631"/>
      <c r="M186" s="631"/>
      <c r="N186" s="631"/>
      <c r="O186" s="631"/>
      <c r="P186" s="631"/>
      <c r="Q186" s="631"/>
      <c r="R186" s="631"/>
      <c r="S186" s="631"/>
      <c r="T186" s="633"/>
      <c r="U186" s="163"/>
      <c r="V186" s="164"/>
      <c r="W186" s="163"/>
      <c r="X186" s="4"/>
      <c r="Z186" s="16"/>
      <c r="AA186" s="5"/>
      <c r="AD186" s="15"/>
    </row>
    <row r="187" spans="1:30" s="14" customFormat="1" ht="150">
      <c r="A187" s="357">
        <f>A185+1</f>
        <v>157</v>
      </c>
      <c r="B187" s="60" t="s">
        <v>870</v>
      </c>
      <c r="C187" s="71" t="s">
        <v>870</v>
      </c>
      <c r="D187" s="62" t="s">
        <v>871</v>
      </c>
      <c r="E187" s="63">
        <f t="shared" ref="E187:I194" si="42">LEN(D187)</f>
        <v>162</v>
      </c>
      <c r="F187" s="62" t="s">
        <v>872</v>
      </c>
      <c r="G187" s="63">
        <f t="shared" si="42"/>
        <v>233</v>
      </c>
      <c r="H187" s="72" t="s">
        <v>873</v>
      </c>
      <c r="I187" s="63">
        <f t="shared" si="42"/>
        <v>191</v>
      </c>
      <c r="J187" s="64" t="s">
        <v>42</v>
      </c>
      <c r="K187" s="64" t="s">
        <v>25</v>
      </c>
      <c r="L187" s="64" t="s">
        <v>25</v>
      </c>
      <c r="M187" s="64" t="s">
        <v>43</v>
      </c>
      <c r="N187" s="64" t="s">
        <v>25</v>
      </c>
      <c r="O187" s="62" t="s">
        <v>1370</v>
      </c>
      <c r="P187" s="62"/>
      <c r="Q187" s="514" t="s">
        <v>1576</v>
      </c>
      <c r="R187" s="270"/>
      <c r="S187" s="177" t="s">
        <v>247</v>
      </c>
      <c r="T187" s="69"/>
      <c r="U187" s="253">
        <v>36.783046722412109</v>
      </c>
      <c r="V187" s="584">
        <v>1</v>
      </c>
      <c r="W187" s="253">
        <f t="shared" ref="W187:W189" si="43">U187*V187</f>
        <v>36.783046722412109</v>
      </c>
      <c r="X187" s="4"/>
      <c r="Z187" s="16" t="s">
        <v>35</v>
      </c>
      <c r="AA187" s="5"/>
      <c r="AD187" s="15"/>
    </row>
    <row r="188" spans="1:30" s="20" customFormat="1" ht="225">
      <c r="A188" s="358">
        <f>A187+1</f>
        <v>158</v>
      </c>
      <c r="B188" s="321" t="s">
        <v>874</v>
      </c>
      <c r="C188" s="258" t="s">
        <v>875</v>
      </c>
      <c r="D188" s="322" t="s">
        <v>876</v>
      </c>
      <c r="E188" s="75">
        <f t="shared" si="42"/>
        <v>166</v>
      </c>
      <c r="F188" s="322" t="s">
        <v>877</v>
      </c>
      <c r="G188" s="75">
        <f t="shared" si="42"/>
        <v>206</v>
      </c>
      <c r="H188" s="323" t="s">
        <v>878</v>
      </c>
      <c r="I188" s="75">
        <f t="shared" si="42"/>
        <v>213</v>
      </c>
      <c r="J188" s="78" t="s">
        <v>271</v>
      </c>
      <c r="K188" s="78" t="s">
        <v>25</v>
      </c>
      <c r="L188" s="78" t="s">
        <v>25</v>
      </c>
      <c r="M188" s="78" t="s">
        <v>733</v>
      </c>
      <c r="N188" s="259" t="s">
        <v>879</v>
      </c>
      <c r="O188" s="72" t="s">
        <v>880</v>
      </c>
      <c r="P188" s="72"/>
      <c r="Q188" s="598" t="s">
        <v>1577</v>
      </c>
      <c r="R188" s="324"/>
      <c r="S188" s="326" t="s">
        <v>247</v>
      </c>
      <c r="T188" s="325"/>
      <c r="U188" s="599">
        <v>10</v>
      </c>
      <c r="V188" s="590">
        <v>1</v>
      </c>
      <c r="W188" s="589">
        <f t="shared" si="43"/>
        <v>10</v>
      </c>
      <c r="X188" s="17"/>
      <c r="Z188" s="19" t="s">
        <v>147</v>
      </c>
      <c r="AD188" s="36" t="s">
        <v>127</v>
      </c>
    </row>
    <row r="189" spans="1:30" s="20" customFormat="1" ht="131.25">
      <c r="A189" s="358">
        <f t="shared" ref="A189:A192" si="44">A188+1</f>
        <v>159</v>
      </c>
      <c r="B189" s="321" t="s">
        <v>881</v>
      </c>
      <c r="C189" s="258" t="s">
        <v>882</v>
      </c>
      <c r="D189" s="322" t="s">
        <v>883</v>
      </c>
      <c r="E189" s="75">
        <f t="shared" si="42"/>
        <v>130</v>
      </c>
      <c r="F189" s="322" t="s">
        <v>884</v>
      </c>
      <c r="G189" s="75">
        <f t="shared" si="42"/>
        <v>163</v>
      </c>
      <c r="H189" s="323" t="s">
        <v>885</v>
      </c>
      <c r="I189" s="75">
        <f t="shared" si="42"/>
        <v>147</v>
      </c>
      <c r="J189" s="78" t="s">
        <v>271</v>
      </c>
      <c r="K189" s="78" t="s">
        <v>25</v>
      </c>
      <c r="L189" s="78" t="s">
        <v>25</v>
      </c>
      <c r="M189" s="78" t="s">
        <v>733</v>
      </c>
      <c r="N189" s="259" t="s">
        <v>886</v>
      </c>
      <c r="O189" s="263" t="s">
        <v>1605</v>
      </c>
      <c r="P189" s="72"/>
      <c r="Q189" s="598" t="s">
        <v>1578</v>
      </c>
      <c r="R189" s="324"/>
      <c r="S189" s="326" t="s">
        <v>247</v>
      </c>
      <c r="T189" s="325"/>
      <c r="U189" s="599">
        <v>10</v>
      </c>
      <c r="V189" s="590">
        <v>1</v>
      </c>
      <c r="W189" s="589">
        <f t="shared" si="43"/>
        <v>10</v>
      </c>
      <c r="X189" s="17"/>
      <c r="Z189" s="19" t="s">
        <v>147</v>
      </c>
      <c r="AD189" s="36" t="s">
        <v>127</v>
      </c>
    </row>
    <row r="190" spans="1:30" s="20" customFormat="1" ht="131.25">
      <c r="A190" s="358">
        <f t="shared" si="44"/>
        <v>160</v>
      </c>
      <c r="B190" s="606" t="s">
        <v>1597</v>
      </c>
      <c r="C190" s="606"/>
      <c r="D190" s="607" t="s">
        <v>1598</v>
      </c>
      <c r="E190" s="608">
        <f>LEN(D190)</f>
        <v>129</v>
      </c>
      <c r="F190" s="607" t="s">
        <v>1624</v>
      </c>
      <c r="G190" s="608">
        <f>LEN(F190)</f>
        <v>126</v>
      </c>
      <c r="H190" s="607" t="s">
        <v>1625</v>
      </c>
      <c r="I190" s="608">
        <f>LEN(H190)</f>
        <v>132</v>
      </c>
      <c r="J190" s="608" t="s">
        <v>42</v>
      </c>
      <c r="K190" s="608" t="s">
        <v>25</v>
      </c>
      <c r="L190" s="608" t="s">
        <v>25</v>
      </c>
      <c r="M190" s="608" t="s">
        <v>43</v>
      </c>
      <c r="N190" s="609" t="s">
        <v>25</v>
      </c>
      <c r="O190" s="610" t="s">
        <v>1599</v>
      </c>
      <c r="P190" s="274"/>
      <c r="Q190" s="602"/>
      <c r="R190" s="603"/>
      <c r="S190" s="604"/>
      <c r="T190" s="605"/>
      <c r="U190" s="599"/>
      <c r="V190" s="590"/>
      <c r="W190" s="589"/>
      <c r="X190" s="17"/>
      <c r="Z190" s="19"/>
      <c r="AD190" s="36"/>
    </row>
    <row r="191" spans="1:30" s="20" customFormat="1" ht="56.25">
      <c r="A191" s="358">
        <f t="shared" si="44"/>
        <v>161</v>
      </c>
      <c r="B191" s="606" t="s">
        <v>1600</v>
      </c>
      <c r="C191" s="606"/>
      <c r="D191" s="607" t="s">
        <v>1601</v>
      </c>
      <c r="E191" s="608">
        <f t="shared" ref="E191:G197" si="45">LEN(D191)</f>
        <v>79</v>
      </c>
      <c r="F191" s="607" t="s">
        <v>1606</v>
      </c>
      <c r="G191" s="608">
        <f t="shared" si="45"/>
        <v>72</v>
      </c>
      <c r="H191" s="607" t="s">
        <v>1608</v>
      </c>
      <c r="I191" s="608">
        <f t="shared" ref="I191:I192" si="46">LEN(H191)</f>
        <v>62</v>
      </c>
      <c r="J191" s="608" t="s">
        <v>137</v>
      </c>
      <c r="K191" s="608" t="s">
        <v>25</v>
      </c>
      <c r="L191" s="608" t="s">
        <v>25</v>
      </c>
      <c r="M191" s="608" t="s">
        <v>28</v>
      </c>
      <c r="N191" s="609" t="s">
        <v>25</v>
      </c>
      <c r="O191" s="610" t="s">
        <v>1639</v>
      </c>
      <c r="P191" s="274"/>
      <c r="Q191" s="602"/>
      <c r="R191" s="603"/>
      <c r="S191" s="604"/>
      <c r="T191" s="605"/>
      <c r="U191" s="599"/>
      <c r="V191" s="590"/>
      <c r="W191" s="589"/>
      <c r="X191" s="17"/>
      <c r="Z191" s="19"/>
      <c r="AD191" s="36"/>
    </row>
    <row r="192" spans="1:30" s="20" customFormat="1" ht="56.25">
      <c r="A192" s="358">
        <f t="shared" si="44"/>
        <v>162</v>
      </c>
      <c r="B192" s="606" t="s">
        <v>1602</v>
      </c>
      <c r="C192" s="606"/>
      <c r="D192" s="607" t="s">
        <v>1603</v>
      </c>
      <c r="E192" s="608">
        <f t="shared" si="45"/>
        <v>71</v>
      </c>
      <c r="F192" s="607" t="s">
        <v>1607</v>
      </c>
      <c r="G192" s="608">
        <f t="shared" si="45"/>
        <v>69</v>
      </c>
      <c r="H192" s="607" t="s">
        <v>1609</v>
      </c>
      <c r="I192" s="608">
        <f t="shared" si="46"/>
        <v>56</v>
      </c>
      <c r="J192" s="608" t="s">
        <v>27</v>
      </c>
      <c r="K192" s="608" t="s">
        <v>25</v>
      </c>
      <c r="L192" s="608" t="s">
        <v>25</v>
      </c>
      <c r="M192" s="608" t="s">
        <v>28</v>
      </c>
      <c r="N192" s="609" t="s">
        <v>25</v>
      </c>
      <c r="O192" s="610" t="s">
        <v>1604</v>
      </c>
      <c r="P192" s="274"/>
      <c r="Q192" s="602"/>
      <c r="R192" s="603"/>
      <c r="S192" s="604"/>
      <c r="T192" s="605"/>
      <c r="U192" s="599"/>
      <c r="V192" s="590"/>
      <c r="W192" s="589"/>
      <c r="X192" s="17"/>
      <c r="Z192" s="19"/>
      <c r="AD192" s="36"/>
    </row>
    <row r="193" spans="1:30" s="33" customFormat="1" ht="132" thickBot="1">
      <c r="A193" s="363" t="s">
        <v>25</v>
      </c>
      <c r="B193" s="272" t="s">
        <v>887</v>
      </c>
      <c r="C193" s="273" t="s">
        <v>887</v>
      </c>
      <c r="D193" s="274" t="s">
        <v>888</v>
      </c>
      <c r="E193" s="305">
        <f t="shared" si="42"/>
        <v>126</v>
      </c>
      <c r="F193" s="274" t="s">
        <v>1635</v>
      </c>
      <c r="G193" s="305">
        <f t="shared" si="45"/>
        <v>142</v>
      </c>
      <c r="H193" s="274" t="s">
        <v>1636</v>
      </c>
      <c r="I193" s="305">
        <f t="shared" si="42"/>
        <v>126</v>
      </c>
      <c r="J193" s="275" t="s">
        <v>42</v>
      </c>
      <c r="K193" s="275" t="s">
        <v>25</v>
      </c>
      <c r="L193" s="275" t="s">
        <v>25</v>
      </c>
      <c r="M193" s="275" t="s">
        <v>43</v>
      </c>
      <c r="N193" s="275" t="s">
        <v>25</v>
      </c>
      <c r="O193" s="274" t="s">
        <v>889</v>
      </c>
      <c r="P193" s="274"/>
      <c r="Q193" s="327"/>
      <c r="R193" s="328"/>
      <c r="S193" s="291" t="s">
        <v>247</v>
      </c>
      <c r="T193" s="313"/>
      <c r="U193" s="253">
        <v>3</v>
      </c>
      <c r="V193" s="584">
        <v>1</v>
      </c>
      <c r="W193" s="253">
        <f>U193*V193</f>
        <v>3</v>
      </c>
      <c r="X193" s="4"/>
      <c r="Z193" s="16" t="s">
        <v>35</v>
      </c>
      <c r="AA193" s="5"/>
      <c r="AD193" s="27"/>
    </row>
    <row r="194" spans="1:30" s="14" customFormat="1" ht="75.75" thickBot="1">
      <c r="A194" s="365" t="s">
        <v>25</v>
      </c>
      <c r="B194" s="329" t="s">
        <v>890</v>
      </c>
      <c r="C194" s="330" t="s">
        <v>890</v>
      </c>
      <c r="D194" s="331" t="s">
        <v>891</v>
      </c>
      <c r="E194" s="332">
        <f t="shared" si="42"/>
        <v>141</v>
      </c>
      <c r="F194" s="331" t="s">
        <v>1637</v>
      </c>
      <c r="G194" s="332">
        <f t="shared" si="45"/>
        <v>120</v>
      </c>
      <c r="H194" s="331" t="s">
        <v>1638</v>
      </c>
      <c r="I194" s="332">
        <f t="shared" si="42"/>
        <v>129</v>
      </c>
      <c r="J194" s="333" t="s">
        <v>25</v>
      </c>
      <c r="K194" s="333" t="s">
        <v>25</v>
      </c>
      <c r="L194" s="333" t="s">
        <v>25</v>
      </c>
      <c r="M194" s="333" t="s">
        <v>25</v>
      </c>
      <c r="N194" s="333" t="s">
        <v>25</v>
      </c>
      <c r="O194" s="334" t="s">
        <v>25</v>
      </c>
      <c r="P194" s="334"/>
      <c r="Q194" s="332"/>
      <c r="R194" s="335"/>
      <c r="S194" s="336" t="s">
        <v>247</v>
      </c>
      <c r="T194" s="337"/>
      <c r="U194" s="600"/>
      <c r="V194" s="584">
        <v>1</v>
      </c>
      <c r="W194" s="253">
        <f>U194*V194</f>
        <v>0</v>
      </c>
      <c r="X194" s="5"/>
      <c r="Z194" s="16" t="s">
        <v>24</v>
      </c>
      <c r="AA194" s="5"/>
      <c r="AD194" s="15"/>
    </row>
    <row r="195" spans="1:30" s="14" customFormat="1" ht="75">
      <c r="A195" s="362" t="s">
        <v>25</v>
      </c>
      <c r="B195" s="338" t="s">
        <v>892</v>
      </c>
      <c r="C195" s="339" t="s">
        <v>25</v>
      </c>
      <c r="D195" s="340" t="s">
        <v>893</v>
      </c>
      <c r="E195" s="341">
        <f t="shared" ref="E195:I197" si="47">LEN(D195)</f>
        <v>13</v>
      </c>
      <c r="F195" s="340" t="s">
        <v>893</v>
      </c>
      <c r="G195" s="341">
        <f t="shared" si="45"/>
        <v>13</v>
      </c>
      <c r="H195" s="340" t="s">
        <v>893</v>
      </c>
      <c r="I195" s="341">
        <f t="shared" si="47"/>
        <v>13</v>
      </c>
      <c r="J195" s="342" t="s">
        <v>25</v>
      </c>
      <c r="K195" s="342" t="s">
        <v>25</v>
      </c>
      <c r="L195" s="342" t="s">
        <v>25</v>
      </c>
      <c r="M195" s="342" t="s">
        <v>25</v>
      </c>
      <c r="N195" s="342" t="s">
        <v>25</v>
      </c>
      <c r="O195" s="343" t="s">
        <v>25</v>
      </c>
      <c r="P195" s="343"/>
      <c r="Q195" s="341"/>
      <c r="R195" s="344"/>
      <c r="S195" s="345" t="s">
        <v>247</v>
      </c>
      <c r="T195" s="346"/>
      <c r="U195" s="600"/>
      <c r="V195" s="584">
        <v>1</v>
      </c>
      <c r="W195" s="253">
        <f>U195*V195</f>
        <v>0</v>
      </c>
      <c r="X195" s="5"/>
      <c r="Z195" s="16" t="s">
        <v>24</v>
      </c>
      <c r="AA195" s="5"/>
      <c r="AD195" s="15"/>
    </row>
    <row r="196" spans="1:30" s="14" customFormat="1" ht="75">
      <c r="A196" s="358" t="s">
        <v>25</v>
      </c>
      <c r="B196" s="321" t="s">
        <v>894</v>
      </c>
      <c r="C196" s="258" t="s">
        <v>25</v>
      </c>
      <c r="D196" s="347" t="s">
        <v>895</v>
      </c>
      <c r="E196" s="75">
        <f t="shared" si="47"/>
        <v>12</v>
      </c>
      <c r="F196" s="347" t="s">
        <v>895</v>
      </c>
      <c r="G196" s="75">
        <f t="shared" si="45"/>
        <v>12</v>
      </c>
      <c r="H196" s="347" t="s">
        <v>895</v>
      </c>
      <c r="I196" s="75">
        <f t="shared" si="47"/>
        <v>12</v>
      </c>
      <c r="J196" s="78" t="s">
        <v>25</v>
      </c>
      <c r="K196" s="78" t="s">
        <v>25</v>
      </c>
      <c r="L196" s="78" t="s">
        <v>25</v>
      </c>
      <c r="M196" s="78" t="s">
        <v>25</v>
      </c>
      <c r="N196" s="78" t="s">
        <v>25</v>
      </c>
      <c r="O196" s="259" t="s">
        <v>25</v>
      </c>
      <c r="P196" s="259"/>
      <c r="Q196" s="75"/>
      <c r="R196" s="348"/>
      <c r="S196" s="101" t="s">
        <v>247</v>
      </c>
      <c r="T196" s="82"/>
      <c r="U196" s="600"/>
      <c r="V196" s="584">
        <v>1</v>
      </c>
      <c r="W196" s="253">
        <f>U196*V196</f>
        <v>0</v>
      </c>
      <c r="X196" s="5"/>
      <c r="Z196" s="16" t="s">
        <v>24</v>
      </c>
      <c r="AA196" s="5"/>
      <c r="AD196" s="15"/>
    </row>
    <row r="197" spans="1:30" s="14" customFormat="1" ht="75.75" thickBot="1">
      <c r="A197" s="366" t="s">
        <v>25</v>
      </c>
      <c r="B197" s="349" t="s">
        <v>896</v>
      </c>
      <c r="C197" s="107" t="s">
        <v>25</v>
      </c>
      <c r="D197" s="350" t="s">
        <v>897</v>
      </c>
      <c r="E197" s="351">
        <f t="shared" si="47"/>
        <v>12</v>
      </c>
      <c r="F197" s="350" t="s">
        <v>897</v>
      </c>
      <c r="G197" s="351">
        <f t="shared" si="45"/>
        <v>12</v>
      </c>
      <c r="H197" s="350" t="s">
        <v>897</v>
      </c>
      <c r="I197" s="351">
        <f t="shared" si="47"/>
        <v>12</v>
      </c>
      <c r="J197" s="352" t="s">
        <v>25</v>
      </c>
      <c r="K197" s="352" t="s">
        <v>25</v>
      </c>
      <c r="L197" s="352" t="s">
        <v>25</v>
      </c>
      <c r="M197" s="352" t="s">
        <v>25</v>
      </c>
      <c r="N197" s="352" t="s">
        <v>25</v>
      </c>
      <c r="O197" s="353" t="s">
        <v>25</v>
      </c>
      <c r="P197" s="353"/>
      <c r="Q197" s="351"/>
      <c r="R197" s="354"/>
      <c r="S197" s="355" t="s">
        <v>247</v>
      </c>
      <c r="T197" s="356"/>
      <c r="U197" s="600"/>
      <c r="V197" s="584">
        <v>1</v>
      </c>
      <c r="W197" s="253">
        <f>U197*V197</f>
        <v>0</v>
      </c>
      <c r="X197" s="5"/>
      <c r="Z197" s="16" t="s">
        <v>24</v>
      </c>
      <c r="AA197" s="5"/>
      <c r="AD197" s="15"/>
    </row>
    <row r="198" spans="1:30" ht="21.75" thickBot="1"/>
    <row r="199" spans="1:30" ht="21.75" thickBot="1">
      <c r="D199" s="43" t="s">
        <v>898</v>
      </c>
      <c r="E199" s="44"/>
      <c r="F199" s="45"/>
      <c r="G199" s="44"/>
      <c r="H199" s="45"/>
      <c r="I199" s="44"/>
      <c r="J199" s="3"/>
      <c r="K199" s="3"/>
      <c r="L199" s="3"/>
      <c r="M199" s="3"/>
      <c r="N199" s="3"/>
      <c r="O199" s="3"/>
      <c r="P199" s="3"/>
      <c r="Q199" s="44"/>
      <c r="R199" s="44"/>
      <c r="S199" s="3"/>
      <c r="T199" s="3"/>
      <c r="U199" s="46"/>
      <c r="V199" s="47"/>
      <c r="W199" s="48" t="e">
        <f>(SUM(W5:W195))/60</f>
        <v>#REF!</v>
      </c>
    </row>
    <row r="200" spans="1:30" ht="21.75" thickBot="1">
      <c r="D200" s="49" t="s">
        <v>899</v>
      </c>
      <c r="E200" s="50"/>
      <c r="F200" s="51"/>
      <c r="G200" s="50"/>
      <c r="H200" s="51"/>
      <c r="I200" s="50"/>
      <c r="J200" s="52"/>
      <c r="K200" s="52"/>
      <c r="L200" s="52"/>
      <c r="M200" s="52"/>
      <c r="N200" s="52"/>
      <c r="O200" s="52"/>
      <c r="P200" s="52"/>
      <c r="Q200" s="50"/>
      <c r="R200" s="50"/>
      <c r="S200" s="52"/>
      <c r="T200" s="52"/>
      <c r="U200" s="53"/>
      <c r="V200" s="54"/>
      <c r="W200" s="55" t="e">
        <f>(SUM(W6:W125)+SUM(W139:W195))/60</f>
        <v>#REF!</v>
      </c>
    </row>
    <row r="201" spans="1:30" ht="21.75" thickBot="1">
      <c r="D201" s="43" t="s">
        <v>900</v>
      </c>
      <c r="E201" s="44"/>
      <c r="F201" s="45"/>
      <c r="G201" s="44"/>
      <c r="H201" s="45"/>
      <c r="I201" s="44"/>
      <c r="J201" s="3"/>
      <c r="K201" s="3"/>
      <c r="L201" s="3"/>
      <c r="M201" s="3"/>
      <c r="N201" s="3"/>
      <c r="O201" s="3"/>
      <c r="P201" s="3"/>
      <c r="Q201" s="44"/>
      <c r="R201" s="44"/>
      <c r="S201" s="3"/>
      <c r="T201" s="3"/>
      <c r="U201" s="46"/>
      <c r="V201" s="47"/>
      <c r="W201" s="56" t="e">
        <f>(SUM(W6:W25)+SUM(W34:W125)+SUM(W138:W187)+SUM(W193:W195))/60</f>
        <v>#REF!</v>
      </c>
    </row>
  </sheetData>
  <sheetProtection formatCells="0" formatColumns="0" formatRows="0" insertColumns="0" insertRows="0" insertHyperlinks="0" deleteColumns="0" deleteRows="0" sort="0" autoFilter="0" pivotTables="0"/>
  <mergeCells count="18">
    <mergeCell ref="A180:T180"/>
    <mergeCell ref="A186:T186"/>
    <mergeCell ref="A86:T86"/>
    <mergeCell ref="A103:T103"/>
    <mergeCell ref="A108:T108"/>
    <mergeCell ref="A121:T121"/>
    <mergeCell ref="A126:T126"/>
    <mergeCell ref="A138:T138"/>
    <mergeCell ref="A46:T46"/>
    <mergeCell ref="A56:T56"/>
    <mergeCell ref="T61:T62"/>
    <mergeCell ref="T79:T80"/>
    <mergeCell ref="A133:T133"/>
    <mergeCell ref="A1:T1"/>
    <mergeCell ref="A2:S2"/>
    <mergeCell ref="T2:T3"/>
    <mergeCell ref="A4:T4"/>
    <mergeCell ref="A21:T21"/>
  </mergeCells>
  <phoneticPr fontId="5" type="noConversion"/>
  <conditionalFormatting sqref="B14 B16:B19">
    <cfRule type="duplicateValues" dxfId="641" priority="1382"/>
  </conditionalFormatting>
  <conditionalFormatting sqref="B15">
    <cfRule type="duplicateValues" dxfId="640" priority="394"/>
    <cfRule type="duplicateValues" dxfId="639" priority="393"/>
  </conditionalFormatting>
  <conditionalFormatting sqref="B20">
    <cfRule type="duplicateValues" dxfId="638" priority="1381"/>
  </conditionalFormatting>
  <conditionalFormatting sqref="B27">
    <cfRule type="duplicateValues" dxfId="637" priority="1239"/>
  </conditionalFormatting>
  <conditionalFormatting sqref="B33">
    <cfRule type="duplicateValues" dxfId="636" priority="1508"/>
  </conditionalFormatting>
  <conditionalFormatting sqref="B45">
    <cfRule type="duplicateValues" dxfId="635" priority="209"/>
  </conditionalFormatting>
  <conditionalFormatting sqref="B50">
    <cfRule type="duplicateValues" dxfId="634" priority="411"/>
  </conditionalFormatting>
  <conditionalFormatting sqref="B53">
    <cfRule type="duplicateValues" dxfId="633" priority="1709"/>
  </conditionalFormatting>
  <conditionalFormatting sqref="B58:B60">
    <cfRule type="duplicateValues" dxfId="632" priority="408"/>
  </conditionalFormatting>
  <conditionalFormatting sqref="B62">
    <cfRule type="duplicateValues" dxfId="631" priority="1543"/>
  </conditionalFormatting>
  <conditionalFormatting sqref="B64">
    <cfRule type="duplicateValues" dxfId="630" priority="424"/>
  </conditionalFormatting>
  <conditionalFormatting sqref="B67:B69">
    <cfRule type="duplicateValues" dxfId="629" priority="406"/>
  </conditionalFormatting>
  <conditionalFormatting sqref="B70">
    <cfRule type="duplicateValues" dxfId="628" priority="1346"/>
  </conditionalFormatting>
  <conditionalFormatting sqref="B71">
    <cfRule type="duplicateValues" dxfId="627" priority="1548"/>
  </conditionalFormatting>
  <conditionalFormatting sqref="B72">
    <cfRule type="duplicateValues" dxfId="626" priority="1545"/>
  </conditionalFormatting>
  <conditionalFormatting sqref="B73">
    <cfRule type="duplicateValues" dxfId="625" priority="422"/>
  </conditionalFormatting>
  <conditionalFormatting sqref="B76:B78">
    <cfRule type="duplicateValues" dxfId="624" priority="404"/>
  </conditionalFormatting>
  <conditionalFormatting sqref="B80">
    <cfRule type="duplicateValues" dxfId="623" priority="1553"/>
  </conditionalFormatting>
  <conditionalFormatting sqref="B81">
    <cfRule type="duplicateValues" dxfId="622" priority="1704"/>
  </conditionalFormatting>
  <conditionalFormatting sqref="B82">
    <cfRule type="duplicateValues" dxfId="621" priority="420"/>
  </conditionalFormatting>
  <conditionalFormatting sqref="B85">
    <cfRule type="duplicateValues" dxfId="620" priority="217"/>
  </conditionalFormatting>
  <conditionalFormatting sqref="B97:B98">
    <cfRule type="duplicateValues" dxfId="619" priority="1632"/>
  </conditionalFormatting>
  <conditionalFormatting sqref="B99">
    <cfRule type="duplicateValues" dxfId="618" priority="403"/>
  </conditionalFormatting>
  <conditionalFormatting sqref="B100">
    <cfRule type="duplicateValues" dxfId="617" priority="1385"/>
  </conditionalFormatting>
  <conditionalFormatting sqref="B101">
    <cfRule type="duplicateValues" dxfId="616" priority="213"/>
  </conditionalFormatting>
  <conditionalFormatting sqref="B102">
    <cfRule type="duplicateValues" dxfId="615" priority="214"/>
  </conditionalFormatting>
  <conditionalFormatting sqref="B104">
    <cfRule type="duplicateValues" dxfId="614" priority="1593"/>
  </conditionalFormatting>
  <conditionalFormatting sqref="B105">
    <cfRule type="duplicateValues" dxfId="613" priority="402"/>
  </conditionalFormatting>
  <conditionalFormatting sqref="B114">
    <cfRule type="duplicateValues" dxfId="612" priority="1386"/>
  </conditionalFormatting>
  <conditionalFormatting sqref="B115:B117">
    <cfRule type="duplicateValues" dxfId="611" priority="208"/>
  </conditionalFormatting>
  <conditionalFormatting sqref="B118">
    <cfRule type="duplicateValues" dxfId="610" priority="401"/>
  </conditionalFormatting>
  <conditionalFormatting sqref="B119">
    <cfRule type="duplicateValues" dxfId="609" priority="1708"/>
    <cfRule type="duplicateValues" dxfId="608" priority="1707"/>
  </conditionalFormatting>
  <conditionalFormatting sqref="B120">
    <cfRule type="duplicateValues" dxfId="607" priority="204"/>
  </conditionalFormatting>
  <conditionalFormatting sqref="B123">
    <cfRule type="duplicateValues" dxfId="606" priority="400"/>
  </conditionalFormatting>
  <conditionalFormatting sqref="B124">
    <cfRule type="duplicateValues" dxfId="605" priority="1594"/>
  </conditionalFormatting>
  <conditionalFormatting sqref="B127">
    <cfRule type="duplicateValues" dxfId="604" priority="1341"/>
  </conditionalFormatting>
  <conditionalFormatting sqref="B128">
    <cfRule type="duplicateValues" dxfId="603" priority="1595"/>
  </conditionalFormatting>
  <conditionalFormatting sqref="B130">
    <cfRule type="duplicateValues" dxfId="602" priority="397"/>
  </conditionalFormatting>
  <conditionalFormatting sqref="B135">
    <cfRule type="duplicateValues" dxfId="601" priority="399"/>
  </conditionalFormatting>
  <conditionalFormatting sqref="B136">
    <cfRule type="duplicateValues" dxfId="600" priority="398"/>
  </conditionalFormatting>
  <conditionalFormatting sqref="B137">
    <cfRule type="duplicateValues" dxfId="599" priority="1596"/>
  </conditionalFormatting>
  <conditionalFormatting sqref="B139">
    <cfRule type="duplicateValues" dxfId="598" priority="396"/>
  </conditionalFormatting>
  <conditionalFormatting sqref="B145">
    <cfRule type="duplicateValues" dxfId="597" priority="1366"/>
  </conditionalFormatting>
  <conditionalFormatting sqref="B146">
    <cfRule type="duplicateValues" dxfId="596" priority="1364"/>
  </conditionalFormatting>
  <conditionalFormatting sqref="B148">
    <cfRule type="duplicateValues" dxfId="595" priority="1362"/>
  </conditionalFormatting>
  <conditionalFormatting sqref="B150">
    <cfRule type="duplicateValues" dxfId="594" priority="1360"/>
  </conditionalFormatting>
  <conditionalFormatting sqref="B151">
    <cfRule type="duplicateValues" dxfId="593" priority="414"/>
  </conditionalFormatting>
  <conditionalFormatting sqref="B163">
    <cfRule type="duplicateValues" dxfId="592" priority="1358"/>
  </conditionalFormatting>
  <conditionalFormatting sqref="B164:B172 B174:B176">
    <cfRule type="duplicateValues" dxfId="591" priority="1391"/>
  </conditionalFormatting>
  <conditionalFormatting sqref="B173">
    <cfRule type="duplicateValues" dxfId="590" priority="1246"/>
  </conditionalFormatting>
  <conditionalFormatting sqref="B177">
    <cfRule type="duplicateValues" dxfId="589" priority="1244"/>
  </conditionalFormatting>
  <conditionalFormatting sqref="B178 C164:C172 C174:C176">
    <cfRule type="duplicateValues" dxfId="588" priority="1387"/>
  </conditionalFormatting>
  <conditionalFormatting sqref="B179">
    <cfRule type="duplicateValues" dxfId="587" priority="1245"/>
  </conditionalFormatting>
  <conditionalFormatting sqref="B181">
    <cfRule type="duplicateValues" dxfId="586" priority="395"/>
  </conditionalFormatting>
  <conditionalFormatting sqref="B195:B197">
    <cfRule type="duplicateValues" dxfId="585" priority="865"/>
  </conditionalFormatting>
  <conditionalFormatting sqref="B201">
    <cfRule type="duplicateValues" dxfId="584" priority="1156"/>
  </conditionalFormatting>
  <conditionalFormatting sqref="B202:B1048576 B187 B147 B134 B106:B107 B2:B3 B122 B74:B75 B110:B113 B119 B125 B129 B140:B144 B149 B51:B52 B5 B24:B26 B57 B63 B162 B54:B55 B79 B83:B84 B90:B91 B7:B14 B28:B32 B48:B49 B34:B44 B193:B194 B198:B200 B182:B183 B65:B66 B61 B131:B132 B16:B20">
    <cfRule type="duplicateValues" dxfId="583" priority="1388"/>
  </conditionalFormatting>
  <conditionalFormatting sqref="C26">
    <cfRule type="duplicateValues" dxfId="582" priority="1240"/>
  </conditionalFormatting>
  <conditionalFormatting sqref="C27">
    <cfRule type="duplicateValues" dxfId="581" priority="1238"/>
  </conditionalFormatting>
  <conditionalFormatting sqref="C28:C29 C31:C32">
    <cfRule type="duplicateValues" dxfId="580" priority="1237"/>
  </conditionalFormatting>
  <conditionalFormatting sqref="C30">
    <cfRule type="duplicateValues" dxfId="579" priority="1201"/>
  </conditionalFormatting>
  <conditionalFormatting sqref="C33">
    <cfRule type="duplicateValues" dxfId="578" priority="1538"/>
  </conditionalFormatting>
  <conditionalFormatting sqref="C44">
    <cfRule type="duplicateValues" dxfId="577" priority="1539"/>
  </conditionalFormatting>
  <conditionalFormatting sqref="C50">
    <cfRule type="duplicateValues" dxfId="576" priority="410"/>
  </conditionalFormatting>
  <conditionalFormatting sqref="C53">
    <cfRule type="duplicateValues" dxfId="575" priority="413"/>
  </conditionalFormatting>
  <conditionalFormatting sqref="C54">
    <cfRule type="duplicateValues" dxfId="574" priority="1356"/>
  </conditionalFormatting>
  <conditionalFormatting sqref="C55">
    <cfRule type="duplicateValues" dxfId="573" priority="1355"/>
  </conditionalFormatting>
  <conditionalFormatting sqref="C58:C60">
    <cfRule type="duplicateValues" dxfId="572" priority="409"/>
  </conditionalFormatting>
  <conditionalFormatting sqref="C62">
    <cfRule type="duplicateValues" dxfId="571" priority="1544"/>
  </conditionalFormatting>
  <conditionalFormatting sqref="C63:C64">
    <cfRule type="duplicateValues" dxfId="570" priority="1668"/>
  </conditionalFormatting>
  <conditionalFormatting sqref="C67:C69">
    <cfRule type="duplicateValues" dxfId="569" priority="407"/>
  </conditionalFormatting>
  <conditionalFormatting sqref="C71">
    <cfRule type="duplicateValues" dxfId="568" priority="1549"/>
  </conditionalFormatting>
  <conditionalFormatting sqref="C72">
    <cfRule type="duplicateValues" dxfId="567" priority="1547"/>
  </conditionalFormatting>
  <conditionalFormatting sqref="C73">
    <cfRule type="duplicateValues" dxfId="566" priority="423"/>
  </conditionalFormatting>
  <conditionalFormatting sqref="C76:C78">
    <cfRule type="duplicateValues" dxfId="565" priority="405"/>
  </conditionalFormatting>
  <conditionalFormatting sqref="C80">
    <cfRule type="duplicateValues" dxfId="564" priority="1554"/>
  </conditionalFormatting>
  <conditionalFormatting sqref="C81">
    <cfRule type="duplicateValues" dxfId="563" priority="1706"/>
  </conditionalFormatting>
  <conditionalFormatting sqref="C82">
    <cfRule type="duplicateValues" dxfId="562" priority="421"/>
  </conditionalFormatting>
  <conditionalFormatting sqref="C85">
    <cfRule type="duplicateValues" dxfId="561" priority="218"/>
  </conditionalFormatting>
  <conditionalFormatting sqref="C97:C98">
    <cfRule type="duplicateValues" dxfId="560" priority="1557"/>
  </conditionalFormatting>
  <conditionalFormatting sqref="C101">
    <cfRule type="duplicateValues" dxfId="559" priority="215"/>
  </conditionalFormatting>
  <conditionalFormatting sqref="C102">
    <cfRule type="duplicateValues" dxfId="558" priority="216"/>
  </conditionalFormatting>
  <conditionalFormatting sqref="C104">
    <cfRule type="duplicateValues" dxfId="557" priority="1433"/>
  </conditionalFormatting>
  <conditionalFormatting sqref="C115">
    <cfRule type="duplicateValues" dxfId="556" priority="207"/>
  </conditionalFormatting>
  <conditionalFormatting sqref="C116:C117">
    <cfRule type="duplicateValues" dxfId="555" priority="206"/>
  </conditionalFormatting>
  <conditionalFormatting sqref="C120">
    <cfRule type="duplicateValues" dxfId="554" priority="205"/>
  </conditionalFormatting>
  <conditionalFormatting sqref="C135">
    <cfRule type="duplicateValues" dxfId="553" priority="1367"/>
  </conditionalFormatting>
  <conditionalFormatting sqref="C145">
    <cfRule type="duplicateValues" dxfId="552" priority="1365"/>
  </conditionalFormatting>
  <conditionalFormatting sqref="C146">
    <cfRule type="duplicateValues" dxfId="551" priority="1363"/>
  </conditionalFormatting>
  <conditionalFormatting sqref="C148">
    <cfRule type="duplicateValues" dxfId="550" priority="1361"/>
  </conditionalFormatting>
  <conditionalFormatting sqref="C150">
    <cfRule type="duplicateValues" dxfId="549" priority="1359"/>
  </conditionalFormatting>
  <conditionalFormatting sqref="C163">
    <cfRule type="duplicateValues" dxfId="548" priority="1357"/>
  </conditionalFormatting>
  <conditionalFormatting sqref="C173">
    <cfRule type="duplicateValues" dxfId="547" priority="1247"/>
  </conditionalFormatting>
  <conditionalFormatting sqref="C177">
    <cfRule type="duplicateValues" dxfId="546" priority="1241"/>
  </conditionalFormatting>
  <conditionalFormatting sqref="C178">
    <cfRule type="duplicateValues" dxfId="545" priority="1243"/>
  </conditionalFormatting>
  <conditionalFormatting sqref="C179">
    <cfRule type="duplicateValues" dxfId="544" priority="1242"/>
  </conditionalFormatting>
  <conditionalFormatting sqref="D26:D33">
    <cfRule type="expression" dxfId="543" priority="338" stopIfTrue="1">
      <formula>$A26="image"</formula>
    </cfRule>
    <cfRule type="expression" dxfId="542" priority="337" stopIfTrue="1">
      <formula>$A26="image"</formula>
    </cfRule>
    <cfRule type="expression" dxfId="541" priority="336" stopIfTrue="1">
      <formula>OR($A26="audio", $A26="video")</formula>
    </cfRule>
    <cfRule type="expression" dxfId="540" priority="335" stopIfTrue="1">
      <formula>OR($A26="audio", $A26="video")</formula>
    </cfRule>
    <cfRule type="expression" dxfId="539" priority="352" stopIfTrue="1">
      <formula>$A26="decimal"</formula>
    </cfRule>
    <cfRule type="expression" dxfId="538" priority="351" stopIfTrue="1">
      <formula>OR(AND(LEFT($A26, 16)="select_multiple ", LEN($A26)&gt;16, NOT(ISNUMBER(SEARCH(" ", $A26, 17)))), AND(LEFT($A26, 11)="select_one ", LEN($A26)&gt;11, NOT(ISNUMBER(SEARCH(" ", $A26, 12)))))</formula>
    </cfRule>
    <cfRule type="expression" dxfId="537" priority="350" stopIfTrue="1">
      <formula>OR(AND(LEFT($A26, 16)="select_multiple ", LEN($A26)&gt;16, NOT(ISNUMBER(SEARCH(" ", $A26, 17)))), AND(LEFT($A26, 11)="select_one ", LEN($A26)&gt;11, NOT(ISNUMBER(SEARCH(" ", $A26, 12)))))</formula>
    </cfRule>
    <cfRule type="expression" dxfId="536" priority="353" stopIfTrue="1">
      <formula>$A26="decimal"</formula>
    </cfRule>
    <cfRule type="expression" dxfId="535" priority="349" stopIfTrue="1">
      <formula>OR($A26="username", $A26="phonenumber", $A26="start", $A26="end", $A26="deviceid", $A26="subscriberid", $A26="simserial")</formula>
    </cfRule>
    <cfRule type="expression" dxfId="534" priority="348" stopIfTrue="1">
      <formula>OR($A26="audio audit", $A26="text audit")</formula>
    </cfRule>
    <cfRule type="expression" dxfId="533" priority="346" stopIfTrue="1">
      <formula>$A26="geopoint"</formula>
    </cfRule>
    <cfRule type="expression" dxfId="532" priority="345" stopIfTrue="1">
      <formula>$A26="barcode"</formula>
    </cfRule>
    <cfRule type="expression" dxfId="531" priority="344" stopIfTrue="1">
      <formula>$A26="barcode"</formula>
    </cfRule>
    <cfRule type="expression" dxfId="530" priority="343" stopIfTrue="1">
      <formula>$A26="note"</formula>
    </cfRule>
    <cfRule type="expression" dxfId="529" priority="342" stopIfTrue="1">
      <formula>$A26="note"</formula>
    </cfRule>
    <cfRule type="expression" dxfId="528" priority="341" stopIfTrue="1">
      <formula>OR($A26="calculate", $A26="calculate_here")</formula>
    </cfRule>
    <cfRule type="expression" dxfId="527" priority="340" stopIfTrue="1">
      <formula>OR($A26="date", $A26="datetime")</formula>
    </cfRule>
    <cfRule type="expression" dxfId="526" priority="339" stopIfTrue="1">
      <formula>OR($A26="date", $A26="datetime")</formula>
    </cfRule>
    <cfRule type="expression" dxfId="525" priority="356" stopIfTrue="1">
      <formula>$A26="text"</formula>
    </cfRule>
    <cfRule type="expression" dxfId="524" priority="354" stopIfTrue="1">
      <formula>$A26="integer"</formula>
    </cfRule>
    <cfRule type="expression" dxfId="523" priority="355" stopIfTrue="1">
      <formula>$A26="integer"</formula>
    </cfRule>
    <cfRule type="expression" dxfId="522" priority="347" stopIfTrue="1">
      <formula>$A26="geopoint"</formula>
    </cfRule>
    <cfRule type="expression" dxfId="521" priority="357" stopIfTrue="1">
      <formula>$A26="text"</formula>
    </cfRule>
    <cfRule type="expression" dxfId="520" priority="358" stopIfTrue="1">
      <formula>$A26="end repeat"</formula>
    </cfRule>
    <cfRule type="expression" dxfId="519" priority="359" stopIfTrue="1">
      <formula>$A26="begin repeat"</formula>
    </cfRule>
    <cfRule type="expression" dxfId="518" priority="360" stopIfTrue="1">
      <formula>$A26="begin repeat"</formula>
    </cfRule>
    <cfRule type="expression" dxfId="517" priority="361" stopIfTrue="1">
      <formula>$A26="end group"</formula>
    </cfRule>
    <cfRule type="expression" dxfId="516" priority="362" stopIfTrue="1">
      <formula>$A26="begin group"</formula>
    </cfRule>
    <cfRule type="expression" dxfId="515" priority="363" stopIfTrue="1">
      <formula>$A26="begin group"</formula>
    </cfRule>
  </conditionalFormatting>
  <conditionalFormatting sqref="D48">
    <cfRule type="cellIs" dxfId="514" priority="1352" operator="notEqual">
      <formula>$D$48</formula>
    </cfRule>
  </conditionalFormatting>
  <conditionalFormatting sqref="D188:D192">
    <cfRule type="expression" dxfId="513" priority="117" stopIfTrue="1">
      <formula>OR($A188="audio", $A188="video")</formula>
    </cfRule>
    <cfRule type="expression" dxfId="512" priority="118" stopIfTrue="1">
      <formula>OR($A188="audio", $A188="video")</formula>
    </cfRule>
    <cfRule type="expression" dxfId="511" priority="119" stopIfTrue="1">
      <formula>$A188="image"</formula>
    </cfRule>
    <cfRule type="expression" dxfId="510" priority="121" stopIfTrue="1">
      <formula>OR($A188="date", $A188="datetime")</formula>
    </cfRule>
    <cfRule type="expression" dxfId="509" priority="122" stopIfTrue="1">
      <formula>OR($A188="date", $A188="datetime")</formula>
    </cfRule>
    <cfRule type="expression" dxfId="508" priority="123" stopIfTrue="1">
      <formula>OR($A188="calculate", $A188="calculate_here")</formula>
    </cfRule>
    <cfRule type="expression" dxfId="507" priority="124" stopIfTrue="1">
      <formula>$A188="note"</formula>
    </cfRule>
    <cfRule type="expression" dxfId="506" priority="125" stopIfTrue="1">
      <formula>$A188="note"</formula>
    </cfRule>
    <cfRule type="expression" dxfId="505" priority="126" stopIfTrue="1">
      <formula>$A188="barcode"</formula>
    </cfRule>
    <cfRule type="expression" dxfId="504" priority="127" stopIfTrue="1">
      <formula>$A188="barcode"</formula>
    </cfRule>
    <cfRule type="expression" dxfId="503" priority="128" stopIfTrue="1">
      <formula>$A188="geopoint"</formula>
    </cfRule>
    <cfRule type="expression" dxfId="502" priority="129" stopIfTrue="1">
      <formula>$A188="geopoint"</formula>
    </cfRule>
    <cfRule type="expression" dxfId="501" priority="130" stopIfTrue="1">
      <formula>OR($A188="audio audit", $A188="text audit")</formula>
    </cfRule>
    <cfRule type="expression" dxfId="500" priority="131" stopIfTrue="1">
      <formula>OR($A188="username", $A188="phonenumber", $A188="start", $A188="end", $A188="deviceid", $A188="subscriberid", $A188="simserial")</formula>
    </cfRule>
    <cfRule type="expression" dxfId="499" priority="144" stopIfTrue="1">
      <formula>$A188="begin group"</formula>
    </cfRule>
    <cfRule type="expression" dxfId="498" priority="143" stopIfTrue="1">
      <formula>$A188="end group"</formula>
    </cfRule>
    <cfRule type="expression" dxfId="497" priority="142" stopIfTrue="1">
      <formula>$A188="begin repeat"</formula>
    </cfRule>
    <cfRule type="expression" dxfId="496" priority="141" stopIfTrue="1">
      <formula>$A188="begin repeat"</formula>
    </cfRule>
    <cfRule type="expression" dxfId="495" priority="139" stopIfTrue="1">
      <formula>$A188="text"</formula>
    </cfRule>
    <cfRule type="expression" dxfId="494" priority="145" stopIfTrue="1">
      <formula>$A188="begin group"</formula>
    </cfRule>
    <cfRule type="expression" dxfId="493" priority="138" stopIfTrue="1">
      <formula>$A188="text"</formula>
    </cfRule>
    <cfRule type="expression" dxfId="492" priority="120" stopIfTrue="1">
      <formula>$A188="image"</formula>
    </cfRule>
    <cfRule type="expression" dxfId="491" priority="137" stopIfTrue="1">
      <formula>$A188="integer"</formula>
    </cfRule>
    <cfRule type="expression" dxfId="490" priority="136" stopIfTrue="1">
      <formula>$A188="integer"</formula>
    </cfRule>
    <cfRule type="expression" dxfId="489" priority="135" stopIfTrue="1">
      <formula>$A188="decimal"</formula>
    </cfRule>
    <cfRule type="expression" dxfId="488" priority="134" stopIfTrue="1">
      <formula>$A188="decimal"</formula>
    </cfRule>
    <cfRule type="expression" dxfId="487" priority="133" stopIfTrue="1">
      <formula>OR(AND(LEFT($A188, 16)="select_multiple ", LEN($A188)&gt;16, NOT(ISNUMBER(SEARCH(" ", $A188, 17)))), AND(LEFT($A188, 11)="select_one ", LEN($A188)&gt;11, NOT(ISNUMBER(SEARCH(" ", $A188, 12)))))</formula>
    </cfRule>
    <cfRule type="expression" dxfId="486" priority="132" stopIfTrue="1">
      <formula>OR(AND(LEFT($A188, 16)="select_multiple ", LEN($A188)&gt;16, NOT(ISNUMBER(SEARCH(" ", $A188, 17)))), AND(LEFT($A188, 11)="select_one ", LEN($A188)&gt;11, NOT(ISNUMBER(SEARCH(" ", $A188, 12)))))</formula>
    </cfRule>
    <cfRule type="expression" dxfId="485" priority="140" stopIfTrue="1">
      <formula>$A188="end repeat"</formula>
    </cfRule>
  </conditionalFormatting>
  <conditionalFormatting sqref="F26:F27">
    <cfRule type="expression" dxfId="484" priority="1121" stopIfTrue="1">
      <formula>#REF!="end repeat"</formula>
    </cfRule>
    <cfRule type="expression" dxfId="483" priority="1120" stopIfTrue="1">
      <formula>#REF!="text"</formula>
    </cfRule>
    <cfRule type="expression" dxfId="482" priority="1119" stopIfTrue="1">
      <formula>#REF!="text"</formula>
    </cfRule>
    <cfRule type="expression" dxfId="481" priority="1118" stopIfTrue="1">
      <formula>#REF!="integer"</formula>
    </cfRule>
    <cfRule type="expression" dxfId="480" priority="1117" stopIfTrue="1">
      <formula>#REF!="integer"</formula>
    </cfRule>
    <cfRule type="expression" dxfId="479" priority="1115" stopIfTrue="1">
      <formula>#REF!="decimal"</formula>
    </cfRule>
    <cfRule type="expression" dxfId="478" priority="1114" stopIfTrue="1">
      <formula>OR(AND(LEFT(#REF!, 16)="select_multiple ", LEN(#REF!)&gt;16, NOT(ISNUMBER(SEARCH(" ",#REF!, 17)))), AND(LEFT(#REF!, 11)="select_one ", LEN(#REF!)&gt;11, NOT(ISNUMBER(SEARCH(" ",#REF!, 12)))))</formula>
    </cfRule>
    <cfRule type="expression" dxfId="477" priority="1113" stopIfTrue="1">
      <formula>OR(AND(LEFT(#REF!, 16)="select_multiple ", LEN(#REF!)&gt;16, NOT(ISNUMBER(SEARCH(" ",#REF!, 17)))), AND(LEFT(#REF!, 11)="select_one ", LEN(#REF!)&gt;11, NOT(ISNUMBER(SEARCH(" ",#REF!, 12)))))</formula>
    </cfRule>
    <cfRule type="expression" dxfId="476" priority="1112" stopIfTrue="1">
      <formula>OR(#REF!="username",#REF!= "phonenumber",#REF!= "start",#REF!= "end",#REF!= "deviceid",#REF!= "subscriberid",#REF!= "simserial")</formula>
    </cfRule>
    <cfRule type="expression" dxfId="475" priority="1111" stopIfTrue="1">
      <formula>OR(#REF!="audio audit",#REF!= "text audit")</formula>
    </cfRule>
    <cfRule type="expression" dxfId="474" priority="1110" stopIfTrue="1">
      <formula>#REF!="geopoint"</formula>
    </cfRule>
    <cfRule type="expression" dxfId="473" priority="1109" stopIfTrue="1">
      <formula>#REF!="geopoint"</formula>
    </cfRule>
    <cfRule type="expression" dxfId="472" priority="1108" stopIfTrue="1">
      <formula>#REF!="barcode"</formula>
    </cfRule>
    <cfRule type="expression" dxfId="471" priority="1107" stopIfTrue="1">
      <formula>#REF!="barcode"</formula>
    </cfRule>
    <cfRule type="expression" dxfId="470" priority="1105" stopIfTrue="1">
      <formula>#REF!="note"</formula>
    </cfRule>
    <cfRule type="expression" dxfId="469" priority="1104" stopIfTrue="1">
      <formula>OR(#REF!="calculate",#REF!= "calculate_here")</formula>
    </cfRule>
    <cfRule type="expression" dxfId="468" priority="1103" stopIfTrue="1">
      <formula>OR(#REF!="date",#REF!= "datetime")</formula>
    </cfRule>
    <cfRule type="expression" dxfId="467" priority="1102" stopIfTrue="1">
      <formula>OR(#REF!="date",#REF!= "datetime")</formula>
    </cfRule>
    <cfRule type="expression" dxfId="466" priority="1101" stopIfTrue="1">
      <formula>#REF!="image"</formula>
    </cfRule>
    <cfRule type="expression" dxfId="465" priority="1100" stopIfTrue="1">
      <formula>#REF!="image"</formula>
    </cfRule>
    <cfRule type="expression" dxfId="464" priority="1099" stopIfTrue="1">
      <formula>OR(#REF!="audio",#REF!= "video")</formula>
    </cfRule>
    <cfRule type="expression" dxfId="463" priority="1098" stopIfTrue="1">
      <formula>OR(#REF!="audio",#REF!= "video")</formula>
    </cfRule>
    <cfRule type="expression" dxfId="462" priority="1106" stopIfTrue="1">
      <formula>#REF!="note"</formula>
    </cfRule>
    <cfRule type="expression" dxfId="461" priority="1116" stopIfTrue="1">
      <formula>#REF!="decimal"</formula>
    </cfRule>
    <cfRule type="expression" dxfId="460" priority="1126" stopIfTrue="1">
      <formula>#REF!="begin group"</formula>
    </cfRule>
    <cfRule type="expression" dxfId="459" priority="1125" stopIfTrue="1">
      <formula>#REF!="begin group"</formula>
    </cfRule>
    <cfRule type="expression" dxfId="458" priority="1124" stopIfTrue="1">
      <formula>#REF!="end group"</formula>
    </cfRule>
    <cfRule type="expression" dxfId="457" priority="1123" stopIfTrue="1">
      <formula>#REF!="begin repeat"</formula>
    </cfRule>
    <cfRule type="expression" dxfId="456" priority="1122" stopIfTrue="1">
      <formula>#REF!="begin repeat"</formula>
    </cfRule>
  </conditionalFormatting>
  <conditionalFormatting sqref="F28">
    <cfRule type="expression" dxfId="455" priority="326" stopIfTrue="1">
      <formula>$A28="integer"</formula>
    </cfRule>
    <cfRule type="expression" dxfId="454" priority="332" stopIfTrue="1">
      <formula>$A28="end group"</formula>
    </cfRule>
    <cfRule type="expression" dxfId="453" priority="306" stopIfTrue="1">
      <formula>OR($A28="audio", $A28="video")</formula>
    </cfRule>
    <cfRule type="expression" dxfId="452" priority="307" stopIfTrue="1">
      <formula>OR($A28="audio", $A28="video")</formula>
    </cfRule>
    <cfRule type="expression" dxfId="451" priority="308" stopIfTrue="1">
      <formula>$A28="image"</formula>
    </cfRule>
    <cfRule type="expression" dxfId="450" priority="331" stopIfTrue="1">
      <formula>$A28="begin repeat"</formula>
    </cfRule>
    <cfRule type="expression" dxfId="449" priority="330" stopIfTrue="1">
      <formula>$A28="begin repeat"</formula>
    </cfRule>
    <cfRule type="expression" dxfId="448" priority="329" stopIfTrue="1">
      <formula>$A28="end repeat"</formula>
    </cfRule>
    <cfRule type="expression" dxfId="447" priority="328" stopIfTrue="1">
      <formula>$A28="text"</formula>
    </cfRule>
    <cfRule type="expression" dxfId="446" priority="334" stopIfTrue="1">
      <formula>$A28="begin group"</formula>
    </cfRule>
    <cfRule type="expression" dxfId="445" priority="316" stopIfTrue="1">
      <formula>$A28="barcode"</formula>
    </cfRule>
    <cfRule type="expression" dxfId="444" priority="325" stopIfTrue="1">
      <formula>$A28="integer"</formula>
    </cfRule>
    <cfRule type="expression" dxfId="443" priority="324" stopIfTrue="1">
      <formula>$A28="decimal"</formula>
    </cfRule>
    <cfRule type="expression" dxfId="442" priority="323" stopIfTrue="1">
      <formula>$A28="decimal"</formula>
    </cfRule>
    <cfRule type="expression" dxfId="441" priority="322" stopIfTrue="1">
      <formula>OR(AND(LEFT($A28, 16)="select_multiple ", LEN($A28)&gt;16, NOT(ISNUMBER(SEARCH(" ", $A28, 17)))), AND(LEFT($A28, 11)="select_one ", LEN($A28)&gt;11, NOT(ISNUMBER(SEARCH(" ", $A28, 12)))))</formula>
    </cfRule>
    <cfRule type="expression" dxfId="440" priority="321" stopIfTrue="1">
      <formula>OR(AND(LEFT($A28, 16)="select_multiple ", LEN($A28)&gt;16, NOT(ISNUMBER(SEARCH(" ", $A28, 17)))), AND(LEFT($A28, 11)="select_one ", LEN($A28)&gt;11, NOT(ISNUMBER(SEARCH(" ", $A28, 12)))))</formula>
    </cfRule>
    <cfRule type="expression" dxfId="439" priority="320" stopIfTrue="1">
      <formula>OR($A28="username", $A28="phonenumber", $A28="start", $A28="end", $A28="deviceid", $A28="subscriberid", $A28="simserial")</formula>
    </cfRule>
    <cfRule type="expression" dxfId="438" priority="319" stopIfTrue="1">
      <formula>OR($A28="audio audit", $A28="text audit")</formula>
    </cfRule>
    <cfRule type="expression" dxfId="437" priority="318" stopIfTrue="1">
      <formula>$A28="geopoint"</formula>
    </cfRule>
    <cfRule type="expression" dxfId="436" priority="317" stopIfTrue="1">
      <formula>$A28="geopoint"</formula>
    </cfRule>
    <cfRule type="expression" dxfId="435" priority="333" stopIfTrue="1">
      <formula>$A28="begin group"</formula>
    </cfRule>
    <cfRule type="expression" dxfId="434" priority="327" stopIfTrue="1">
      <formula>$A28="text"</formula>
    </cfRule>
    <cfRule type="expression" dxfId="433" priority="315" stopIfTrue="1">
      <formula>$A28="barcode"</formula>
    </cfRule>
    <cfRule type="expression" dxfId="432" priority="314" stopIfTrue="1">
      <formula>$A28="note"</formula>
    </cfRule>
    <cfRule type="expression" dxfId="431" priority="313" stopIfTrue="1">
      <formula>$A28="note"</formula>
    </cfRule>
    <cfRule type="expression" dxfId="430" priority="312" stopIfTrue="1">
      <formula>OR($A28="calculate", $A28="calculate_here")</formula>
    </cfRule>
    <cfRule type="expression" dxfId="429" priority="311" stopIfTrue="1">
      <formula>OR($A28="date", $A28="datetime")</formula>
    </cfRule>
    <cfRule type="expression" dxfId="428" priority="310" stopIfTrue="1">
      <formula>OR($A28="date", $A28="datetime")</formula>
    </cfRule>
    <cfRule type="expression" dxfId="427" priority="309" stopIfTrue="1">
      <formula>$A28="image"</formula>
    </cfRule>
  </conditionalFormatting>
  <conditionalFormatting sqref="F29:F30">
    <cfRule type="expression" dxfId="426" priority="1084" stopIfTrue="1">
      <formula>OR(AND(LEFT(#REF!, 16)="select_multiple ", LEN(#REF!)&gt;16, NOT(ISNUMBER(SEARCH(" ",#REF!, 17)))), AND(LEFT(#REF!, 11)="select_one ", LEN(#REF!)&gt;11, NOT(ISNUMBER(SEARCH(" ",#REF!, 12)))))</formula>
    </cfRule>
    <cfRule type="expression" dxfId="425" priority="1085" stopIfTrue="1">
      <formula>OR(AND(LEFT(#REF!, 16)="select_multiple ", LEN(#REF!)&gt;16, NOT(ISNUMBER(SEARCH(" ",#REF!, 17)))), AND(LEFT(#REF!, 11)="select_one ", LEN(#REF!)&gt;11, NOT(ISNUMBER(SEARCH(" ",#REF!, 12)))))</formula>
    </cfRule>
    <cfRule type="expression" dxfId="424" priority="1086" stopIfTrue="1">
      <formula>#REF!="decimal"</formula>
    </cfRule>
    <cfRule type="expression" dxfId="423" priority="1088" stopIfTrue="1">
      <formula>#REF!="integer"</formula>
    </cfRule>
    <cfRule type="expression" dxfId="422" priority="1089" stopIfTrue="1">
      <formula>#REF!="integer"</formula>
    </cfRule>
    <cfRule type="expression" dxfId="421" priority="1090" stopIfTrue="1">
      <formula>#REF!="text"</formula>
    </cfRule>
    <cfRule type="expression" dxfId="420" priority="1091" stopIfTrue="1">
      <formula>#REF!="text"</formula>
    </cfRule>
    <cfRule type="expression" dxfId="419" priority="1092" stopIfTrue="1">
      <formula>#REF!="end repeat"</formula>
    </cfRule>
    <cfRule type="expression" dxfId="418" priority="1093" stopIfTrue="1">
      <formula>#REF!="begin repeat"</formula>
    </cfRule>
    <cfRule type="expression" dxfId="417" priority="1070" stopIfTrue="1">
      <formula>OR(#REF!="audio",#REF!= "video")</formula>
    </cfRule>
    <cfRule type="expression" dxfId="416" priority="1094" stopIfTrue="1">
      <formula>#REF!="begin repeat"</formula>
    </cfRule>
    <cfRule type="expression" dxfId="415" priority="1095" stopIfTrue="1">
      <formula>#REF!="end group"</formula>
    </cfRule>
    <cfRule type="expression" dxfId="414" priority="1096" stopIfTrue="1">
      <formula>#REF!="begin group"</formula>
    </cfRule>
    <cfRule type="expression" dxfId="413" priority="1097" stopIfTrue="1">
      <formula>#REF!="begin group"</formula>
    </cfRule>
    <cfRule type="expression" dxfId="412" priority="1087" stopIfTrue="1">
      <formula>#REF!="decimal"</formula>
    </cfRule>
    <cfRule type="expression" dxfId="411" priority="1069" stopIfTrue="1">
      <formula>OR(#REF!="audio",#REF!= "video")</formula>
    </cfRule>
    <cfRule type="expression" dxfId="410" priority="1071" stopIfTrue="1">
      <formula>#REF!="image"</formula>
    </cfRule>
    <cfRule type="expression" dxfId="409" priority="1072" stopIfTrue="1">
      <formula>#REF!="image"</formula>
    </cfRule>
    <cfRule type="expression" dxfId="408" priority="1073" stopIfTrue="1">
      <formula>OR(#REF!="date",#REF!= "datetime")</formula>
    </cfRule>
    <cfRule type="expression" dxfId="407" priority="1074" stopIfTrue="1">
      <formula>OR(#REF!="date",#REF!= "datetime")</formula>
    </cfRule>
    <cfRule type="expression" dxfId="406" priority="1075" stopIfTrue="1">
      <formula>OR(#REF!="calculate",#REF!= "calculate_here")</formula>
    </cfRule>
    <cfRule type="expression" dxfId="405" priority="1076" stopIfTrue="1">
      <formula>#REF!="note"</formula>
    </cfRule>
    <cfRule type="expression" dxfId="404" priority="1077" stopIfTrue="1">
      <formula>#REF!="note"</formula>
    </cfRule>
    <cfRule type="expression" dxfId="403" priority="1078" stopIfTrue="1">
      <formula>#REF!="barcode"</formula>
    </cfRule>
    <cfRule type="expression" dxfId="402" priority="1079" stopIfTrue="1">
      <formula>#REF!="barcode"</formula>
    </cfRule>
    <cfRule type="expression" dxfId="401" priority="1080" stopIfTrue="1">
      <formula>#REF!="geopoint"</formula>
    </cfRule>
    <cfRule type="expression" dxfId="400" priority="1081" stopIfTrue="1">
      <formula>#REF!="geopoint"</formula>
    </cfRule>
    <cfRule type="expression" dxfId="399" priority="1082" stopIfTrue="1">
      <formula>OR(#REF!="audio audit",#REF!= "text audit")</formula>
    </cfRule>
    <cfRule type="expression" dxfId="398" priority="1083" stopIfTrue="1">
      <formula>OR(#REF!="username",#REF!= "phonenumber",#REF!= "start",#REF!= "end",#REF!= "deviceid",#REF!= "subscriberid",#REF!= "simserial")</formula>
    </cfRule>
  </conditionalFormatting>
  <conditionalFormatting sqref="F31">
    <cfRule type="expression" dxfId="397" priority="280" stopIfTrue="1">
      <formula>$A31="image"</formula>
    </cfRule>
    <cfRule type="expression" dxfId="396" priority="281" stopIfTrue="1">
      <formula>OR($A31="date", $A31="datetime")</formula>
    </cfRule>
    <cfRule type="expression" dxfId="395" priority="282" stopIfTrue="1">
      <formula>OR($A31="date", $A31="datetime")</formula>
    </cfRule>
    <cfRule type="expression" dxfId="394" priority="283" stopIfTrue="1">
      <formula>OR($A31="calculate", $A31="calculate_here")</formula>
    </cfRule>
    <cfRule type="expression" dxfId="393" priority="285" stopIfTrue="1">
      <formula>$A31="note"</formula>
    </cfRule>
    <cfRule type="expression" dxfId="392" priority="279" stopIfTrue="1">
      <formula>$A31="image"</formula>
    </cfRule>
    <cfRule type="expression" dxfId="391" priority="284" stopIfTrue="1">
      <formula>$A31="note"</formula>
    </cfRule>
    <cfRule type="expression" dxfId="390" priority="286" stopIfTrue="1">
      <formula>$A31="barcode"</formula>
    </cfRule>
    <cfRule type="expression" dxfId="389" priority="287" stopIfTrue="1">
      <formula>$A31="barcode"</formula>
    </cfRule>
    <cfRule type="expression" dxfId="388" priority="289" stopIfTrue="1">
      <formula>$A31="geopoint"</formula>
    </cfRule>
    <cfRule type="expression" dxfId="387" priority="290" stopIfTrue="1">
      <formula>OR($A31="audio audit", $A31="text audit")</formula>
    </cfRule>
    <cfRule type="expression" dxfId="386" priority="291" stopIfTrue="1">
      <formula>OR($A31="username", $A31="phonenumber", $A31="start", $A31="end", $A31="deviceid", $A31="subscriberid", $A31="simserial")</formula>
    </cfRule>
    <cfRule type="expression" dxfId="385" priority="292" stopIfTrue="1">
      <formula>OR(AND(LEFT($A31, 16)="select_multiple ", LEN($A31)&gt;16, NOT(ISNUMBER(SEARCH(" ", $A31, 17)))), AND(LEFT($A31, 11)="select_one ", LEN($A31)&gt;11, NOT(ISNUMBER(SEARCH(" ", $A31, 12)))))</formula>
    </cfRule>
    <cfRule type="expression" dxfId="384" priority="296" stopIfTrue="1">
      <formula>$A31="integer"</formula>
    </cfRule>
    <cfRule type="expression" dxfId="383" priority="277" stopIfTrue="1">
      <formula>OR($A31="audio", $A31="video")</formula>
    </cfRule>
    <cfRule type="expression" dxfId="382" priority="278" stopIfTrue="1">
      <formula>OR($A31="audio", $A31="video")</formula>
    </cfRule>
    <cfRule type="expression" dxfId="381" priority="295" stopIfTrue="1">
      <formula>$A31="decimal"</formula>
    </cfRule>
    <cfRule type="expression" dxfId="380" priority="302" stopIfTrue="1">
      <formula>$A31="begin repeat"</formula>
    </cfRule>
    <cfRule type="expression" dxfId="379" priority="288" stopIfTrue="1">
      <formula>$A31="geopoint"</formula>
    </cfRule>
    <cfRule type="expression" dxfId="378" priority="294" stopIfTrue="1">
      <formula>$A31="decimal"</formula>
    </cfRule>
    <cfRule type="expression" dxfId="377" priority="293" stopIfTrue="1">
      <formula>OR(AND(LEFT($A31, 16)="select_multiple ", LEN($A31)&gt;16, NOT(ISNUMBER(SEARCH(" ", $A31, 17)))), AND(LEFT($A31, 11)="select_one ", LEN($A31)&gt;11, NOT(ISNUMBER(SEARCH(" ", $A31, 12)))))</formula>
    </cfRule>
    <cfRule type="expression" dxfId="376" priority="303" stopIfTrue="1">
      <formula>$A31="end group"</formula>
    </cfRule>
    <cfRule type="expression" dxfId="375" priority="304" stopIfTrue="1">
      <formula>$A31="begin group"</formula>
    </cfRule>
    <cfRule type="expression" dxfId="374" priority="305" stopIfTrue="1">
      <formula>$A31="begin group"</formula>
    </cfRule>
    <cfRule type="expression" dxfId="373" priority="298" stopIfTrue="1">
      <formula>$A31="text"</formula>
    </cfRule>
    <cfRule type="expression" dxfId="372" priority="297" stopIfTrue="1">
      <formula>$A31="integer"</formula>
    </cfRule>
    <cfRule type="expression" dxfId="371" priority="299" stopIfTrue="1">
      <formula>$A31="text"</formula>
    </cfRule>
    <cfRule type="expression" dxfId="370" priority="300" stopIfTrue="1">
      <formula>$A31="end repeat"</formula>
    </cfRule>
    <cfRule type="expression" dxfId="369" priority="301" stopIfTrue="1">
      <formula>$A31="begin repeat"</formula>
    </cfRule>
  </conditionalFormatting>
  <conditionalFormatting sqref="F32:F33">
    <cfRule type="expression" dxfId="368" priority="1030" stopIfTrue="1">
      <formula>#REF!="integer"</formula>
    </cfRule>
    <cfRule type="expression" dxfId="367" priority="1015" stopIfTrue="1">
      <formula>OR(#REF!="date",#REF!= "datetime")</formula>
    </cfRule>
    <cfRule type="expression" dxfId="366" priority="1014" stopIfTrue="1">
      <formula>#REF!="image"</formula>
    </cfRule>
    <cfRule type="expression" dxfId="365" priority="1013" stopIfTrue="1">
      <formula>#REF!="image"</formula>
    </cfRule>
    <cfRule type="expression" dxfId="364" priority="1012" stopIfTrue="1">
      <formula>OR(#REF!="audio",#REF!= "video")</formula>
    </cfRule>
    <cfRule type="expression" dxfId="363" priority="1011" stopIfTrue="1">
      <formula>OR(#REF!="audio",#REF!= "video")</formula>
    </cfRule>
    <cfRule type="expression" dxfId="362" priority="1017" stopIfTrue="1">
      <formula>OR(#REF!="calculate",#REF!= "calculate_here")</formula>
    </cfRule>
    <cfRule type="expression" dxfId="361" priority="1018" stopIfTrue="1">
      <formula>#REF!="note"</formula>
    </cfRule>
    <cfRule type="expression" dxfId="360" priority="1019" stopIfTrue="1">
      <formula>#REF!="note"</formula>
    </cfRule>
    <cfRule type="expression" dxfId="359" priority="1020" stopIfTrue="1">
      <formula>#REF!="barcode"</formula>
    </cfRule>
    <cfRule type="expression" dxfId="358" priority="1021" stopIfTrue="1">
      <formula>#REF!="barcode"</formula>
    </cfRule>
    <cfRule type="expression" dxfId="357" priority="1022" stopIfTrue="1">
      <formula>#REF!="geopoint"</formula>
    </cfRule>
    <cfRule type="expression" dxfId="356" priority="1023" stopIfTrue="1">
      <formula>#REF!="geopoint"</formula>
    </cfRule>
    <cfRule type="expression" dxfId="355" priority="1024" stopIfTrue="1">
      <formula>OR(#REF!="audio audit",#REF!= "text audit")</formula>
    </cfRule>
    <cfRule type="expression" dxfId="354" priority="1025" stopIfTrue="1">
      <formula>OR(#REF!="username",#REF!= "phonenumber",#REF!= "start",#REF!= "end",#REF!= "deviceid",#REF!= "subscriberid",#REF!= "simserial")</formula>
    </cfRule>
    <cfRule type="expression" dxfId="353" priority="1027" stopIfTrue="1">
      <formula>OR(AND(LEFT(#REF!, 16)="select_multiple ", LEN(#REF!)&gt;16, NOT(ISNUMBER(SEARCH(" ",#REF!, 17)))), AND(LEFT(#REF!, 11)="select_one ", LEN(#REF!)&gt;11, NOT(ISNUMBER(SEARCH(" ",#REF!, 12)))))</formula>
    </cfRule>
    <cfRule type="expression" dxfId="352" priority="1026" stopIfTrue="1">
      <formula>OR(AND(LEFT(#REF!, 16)="select_multiple ", LEN(#REF!)&gt;16, NOT(ISNUMBER(SEARCH(" ",#REF!, 17)))), AND(LEFT(#REF!, 11)="select_one ", LEN(#REF!)&gt;11, NOT(ISNUMBER(SEARCH(" ",#REF!, 12)))))</formula>
    </cfRule>
    <cfRule type="expression" dxfId="351" priority="1028" stopIfTrue="1">
      <formula>#REF!="decimal"</formula>
    </cfRule>
    <cfRule type="expression" dxfId="350" priority="1029" stopIfTrue="1">
      <formula>#REF!="decimal"</formula>
    </cfRule>
    <cfRule type="expression" dxfId="349" priority="1031" stopIfTrue="1">
      <formula>#REF!="integer"</formula>
    </cfRule>
    <cfRule type="expression" dxfId="348" priority="1032" stopIfTrue="1">
      <formula>#REF!="text"</formula>
    </cfRule>
    <cfRule type="expression" dxfId="347" priority="1033" stopIfTrue="1">
      <formula>#REF!="text"</formula>
    </cfRule>
    <cfRule type="expression" dxfId="346" priority="1034" stopIfTrue="1">
      <formula>#REF!="end repeat"</formula>
    </cfRule>
    <cfRule type="expression" dxfId="345" priority="1035" stopIfTrue="1">
      <formula>#REF!="begin repeat"</formula>
    </cfRule>
    <cfRule type="expression" dxfId="344" priority="1036" stopIfTrue="1">
      <formula>#REF!="begin repeat"</formula>
    </cfRule>
    <cfRule type="expression" dxfId="343" priority="1037" stopIfTrue="1">
      <formula>#REF!="end group"</formula>
    </cfRule>
    <cfRule type="expression" dxfId="342" priority="1038" stopIfTrue="1">
      <formula>#REF!="begin group"</formula>
    </cfRule>
    <cfRule type="expression" dxfId="341" priority="1039" stopIfTrue="1">
      <formula>#REF!="begin group"</formula>
    </cfRule>
    <cfRule type="expression" dxfId="340" priority="1016" stopIfTrue="1">
      <formula>OR(#REF!="date",#REF!= "datetime")</formula>
    </cfRule>
  </conditionalFormatting>
  <conditionalFormatting sqref="F188:F189 F191:F192">
    <cfRule type="expression" dxfId="339" priority="176" stopIfTrue="1">
      <formula>OR(#REF!="audio",#REF!= "video")</formula>
    </cfRule>
    <cfRule type="expression" dxfId="338" priority="177" stopIfTrue="1">
      <formula>#REF!="image"</formula>
    </cfRule>
    <cfRule type="expression" dxfId="337" priority="178" stopIfTrue="1">
      <formula>#REF!="image"</formula>
    </cfRule>
    <cfRule type="expression" dxfId="336" priority="179" stopIfTrue="1">
      <formula>OR(#REF!="date",#REF!= "datetime")</formula>
    </cfRule>
    <cfRule type="expression" dxfId="335" priority="180" stopIfTrue="1">
      <formula>OR(#REF!="date",#REF!= "datetime")</formula>
    </cfRule>
    <cfRule type="expression" dxfId="334" priority="181" stopIfTrue="1">
      <formula>OR(#REF!="calculate",#REF!= "calculate_here")</formula>
    </cfRule>
    <cfRule type="expression" dxfId="333" priority="183" stopIfTrue="1">
      <formula>#REF!="note"</formula>
    </cfRule>
    <cfRule type="expression" dxfId="332" priority="184" stopIfTrue="1">
      <formula>#REF!="barcode"</formula>
    </cfRule>
    <cfRule type="expression" dxfId="331" priority="182" stopIfTrue="1">
      <formula>#REF!="note"</formula>
    </cfRule>
    <cfRule type="expression" dxfId="330" priority="175" stopIfTrue="1">
      <formula>OR(#REF!="audio",#REF!= "video")</formula>
    </cfRule>
    <cfRule type="expression" dxfId="329" priority="188" stopIfTrue="1">
      <formula>OR(#REF!="audio audit",#REF!= "text audit")</formula>
    </cfRule>
    <cfRule type="expression" dxfId="328" priority="187" stopIfTrue="1">
      <formula>#REF!="geopoint"</formula>
    </cfRule>
    <cfRule type="expression" dxfId="327" priority="186" stopIfTrue="1">
      <formula>#REF!="geopoint"</formula>
    </cfRule>
    <cfRule type="expression" dxfId="326" priority="185" stopIfTrue="1">
      <formula>#REF!="barcode"</formula>
    </cfRule>
  </conditionalFormatting>
  <conditionalFormatting sqref="F188:F189">
    <cfRule type="expression" dxfId="325" priority="880" stopIfTrue="1">
      <formula>OR(#REF!="username",#REF!= "phonenumber",#REF!= "start",#REF!= "end",#REF!= "deviceid",#REF!= "subscriberid",#REF!= "simserial")</formula>
    </cfRule>
    <cfRule type="expression" dxfId="324" priority="882" stopIfTrue="1">
      <formula>OR(AND(LEFT(#REF!, 16)="select_multiple ", LEN(#REF!)&gt;16, NOT(ISNUMBER(SEARCH(" ",#REF!, 17)))), AND(LEFT(#REF!, 11)="select_one ", LEN(#REF!)&gt;11, NOT(ISNUMBER(SEARCH(" ",#REF!, 12)))))</formula>
    </cfRule>
    <cfRule type="expression" dxfId="323" priority="883" stopIfTrue="1">
      <formula>#REF!="decimal"</formula>
    </cfRule>
    <cfRule type="expression" dxfId="322" priority="884" stopIfTrue="1">
      <formula>#REF!="decimal"</formula>
    </cfRule>
    <cfRule type="expression" dxfId="321" priority="885" stopIfTrue="1">
      <formula>#REF!="integer"</formula>
    </cfRule>
    <cfRule type="expression" dxfId="320" priority="886" stopIfTrue="1">
      <formula>#REF!="integer"</formula>
    </cfRule>
    <cfRule type="expression" dxfId="319" priority="887" stopIfTrue="1">
      <formula>#REF!="text"</formula>
    </cfRule>
    <cfRule type="expression" dxfId="318" priority="888" stopIfTrue="1">
      <formula>#REF!="text"</formula>
    </cfRule>
    <cfRule type="expression" dxfId="317" priority="889" stopIfTrue="1">
      <formula>#REF!="end repeat"</formula>
    </cfRule>
    <cfRule type="expression" dxfId="316" priority="890" stopIfTrue="1">
      <formula>#REF!="begin repeat"</formula>
    </cfRule>
    <cfRule type="expression" dxfId="315" priority="891" stopIfTrue="1">
      <formula>#REF!="begin repeat"</formula>
    </cfRule>
    <cfRule type="expression" dxfId="314" priority="892" stopIfTrue="1">
      <formula>#REF!="end group"</formula>
    </cfRule>
    <cfRule type="expression" dxfId="313" priority="893" stopIfTrue="1">
      <formula>#REF!="begin group"</formula>
    </cfRule>
    <cfRule type="expression" dxfId="312" priority="894" stopIfTrue="1">
      <formula>#REF!="begin group"</formula>
    </cfRule>
    <cfRule type="expression" dxfId="311" priority="881" stopIfTrue="1">
      <formula>OR(AND(LEFT(#REF!, 16)="select_multiple ", LEN(#REF!)&gt;16, NOT(ISNUMBER(SEARCH(" ",#REF!, 17)))), AND(LEFT(#REF!, 11)="select_one ", LEN(#REF!)&gt;11, NOT(ISNUMBER(SEARCH(" ",#REF!, 12)))))</formula>
    </cfRule>
  </conditionalFormatting>
  <conditionalFormatting sqref="F190">
    <cfRule type="expression" dxfId="310" priority="1" stopIfTrue="1">
      <formula>OR($A190="audio", $A190="video")</formula>
    </cfRule>
    <cfRule type="expression" dxfId="309" priority="23" stopIfTrue="1">
      <formula>$A190="text"</formula>
    </cfRule>
    <cfRule type="expression" dxfId="308" priority="22" stopIfTrue="1">
      <formula>$A190="text"</formula>
    </cfRule>
    <cfRule type="expression" dxfId="307" priority="21" stopIfTrue="1">
      <formula>$A190="integer"</formula>
    </cfRule>
    <cfRule type="expression" dxfId="306" priority="20" stopIfTrue="1">
      <formula>$A190="integer"</formula>
    </cfRule>
    <cfRule type="expression" dxfId="305" priority="19" stopIfTrue="1">
      <formula>$A190="decimal"</formula>
    </cfRule>
    <cfRule type="expression" dxfId="304" priority="18" stopIfTrue="1">
      <formula>$A190="decimal"</formula>
    </cfRule>
    <cfRule type="expression" dxfId="303" priority="24" stopIfTrue="1">
      <formula>$A190="end repeat"</formula>
    </cfRule>
    <cfRule type="expression" dxfId="302" priority="16" stopIfTrue="1">
      <formula>OR(AND(LEFT($A190, 16)="select_multiple ", LEN($A190)&gt;16, NOT(ISNUMBER(SEARCH(" ", $A190, 17)))), AND(LEFT($A190, 11)="select_one ", LEN($A190)&gt;11, NOT(ISNUMBER(SEARCH(" ", $A190, 12)))))</formula>
    </cfRule>
    <cfRule type="expression" dxfId="301" priority="15" stopIfTrue="1">
      <formula>OR($A190="username", $A190="phonenumber", $A190="start", $A190="end", $A190="deviceid", $A190="subscriberid", $A190="simserial")</formula>
    </cfRule>
    <cfRule type="expression" dxfId="300" priority="14" stopIfTrue="1">
      <formula>OR($A190="audio audit", $A190="text audit")</formula>
    </cfRule>
    <cfRule type="expression" dxfId="299" priority="13" stopIfTrue="1">
      <formula>$A190="geopoint"</formula>
    </cfRule>
    <cfRule type="expression" dxfId="298" priority="12" stopIfTrue="1">
      <formula>$A190="geopoint"</formula>
    </cfRule>
    <cfRule type="expression" dxfId="297" priority="11" stopIfTrue="1">
      <formula>$A190="barcode"</formula>
    </cfRule>
    <cfRule type="expression" dxfId="296" priority="10" stopIfTrue="1">
      <formula>$A190="barcode"</formula>
    </cfRule>
    <cfRule type="expression" dxfId="295" priority="9" stopIfTrue="1">
      <formula>$A190="note"</formula>
    </cfRule>
    <cfRule type="expression" dxfId="294" priority="8" stopIfTrue="1">
      <formula>$A190="note"</formula>
    </cfRule>
    <cfRule type="expression" dxfId="293" priority="7" stopIfTrue="1">
      <formula>OR($A190="calculate", $A190="calculate_here")</formula>
    </cfRule>
    <cfRule type="expression" dxfId="292" priority="6" stopIfTrue="1">
      <formula>OR($A190="date", $A190="datetime")</formula>
    </cfRule>
    <cfRule type="expression" dxfId="291" priority="5" stopIfTrue="1">
      <formula>OR($A190="date", $A190="datetime")</formula>
    </cfRule>
    <cfRule type="expression" dxfId="290" priority="4" stopIfTrue="1">
      <formula>$A190="image"</formula>
    </cfRule>
    <cfRule type="expression" dxfId="289" priority="3" stopIfTrue="1">
      <formula>$A190="image"</formula>
    </cfRule>
    <cfRule type="expression" dxfId="288" priority="2" stopIfTrue="1">
      <formula>OR($A190="audio", $A190="video")</formula>
    </cfRule>
    <cfRule type="expression" dxfId="287" priority="29" stopIfTrue="1">
      <formula>$A190="begin group"</formula>
    </cfRule>
    <cfRule type="expression" dxfId="286" priority="28" stopIfTrue="1">
      <formula>$A190="begin group"</formula>
    </cfRule>
    <cfRule type="expression" dxfId="285" priority="27" stopIfTrue="1">
      <formula>$A190="end group"</formula>
    </cfRule>
    <cfRule type="expression" dxfId="284" priority="26" stopIfTrue="1">
      <formula>$A190="begin repeat"</formula>
    </cfRule>
    <cfRule type="expression" dxfId="283" priority="25" stopIfTrue="1">
      <formula>$A190="begin repeat"</formula>
    </cfRule>
    <cfRule type="expression" dxfId="282" priority="17" stopIfTrue="1">
      <formula>OR(AND(LEFT($A190, 16)="select_multiple ", LEN($A190)&gt;16, NOT(ISNUMBER(SEARCH(" ", $A190, 17)))), AND(LEFT($A190, 11)="select_one ", LEN($A190)&gt;11, NOT(ISNUMBER(SEARCH(" ", $A190, 12)))))</formula>
    </cfRule>
  </conditionalFormatting>
  <conditionalFormatting sqref="F191:F192">
    <cfRule type="expression" dxfId="281" priority="199" stopIfTrue="1">
      <formula>#REF!="begin repeat"</formula>
    </cfRule>
    <cfRule type="expression" dxfId="280" priority="200" stopIfTrue="1">
      <formula>#REF!="begin repeat"</formula>
    </cfRule>
    <cfRule type="expression" dxfId="279" priority="201" stopIfTrue="1">
      <formula>#REF!="end group"</formula>
    </cfRule>
    <cfRule type="expression" dxfId="278" priority="202" stopIfTrue="1">
      <formula>#REF!="begin group"</formula>
    </cfRule>
    <cfRule type="expression" dxfId="277" priority="203" stopIfTrue="1">
      <formula>#REF!="begin group"</formula>
    </cfRule>
    <cfRule type="expression" dxfId="276" priority="190" stopIfTrue="1">
      <formula>OR(AND(LEFT(#REF!, 16)="select_multiple ", LEN(#REF!)&gt;16, NOT(ISNUMBER(SEARCH(" ",#REF!, 17)))), AND(LEFT(#REF!, 11)="select_one ", LEN(#REF!)&gt;11, NOT(ISNUMBER(SEARCH(" ",#REF!, 12)))))</formula>
    </cfRule>
    <cfRule type="expression" dxfId="275" priority="189" stopIfTrue="1">
      <formula>OR(#REF!="username",#REF!= "phonenumber",#REF!= "start",#REF!= "end",#REF!= "deviceid",#REF!= "subscriberid",#REF!= "simserial")</formula>
    </cfRule>
    <cfRule type="expression" dxfId="274" priority="191" stopIfTrue="1">
      <formula>OR(AND(LEFT(#REF!, 16)="select_multiple ", LEN(#REF!)&gt;16, NOT(ISNUMBER(SEARCH(" ",#REF!, 17)))), AND(LEFT(#REF!, 11)="select_one ", LEN(#REF!)&gt;11, NOT(ISNUMBER(SEARCH(" ",#REF!, 12)))))</formula>
    </cfRule>
    <cfRule type="expression" dxfId="273" priority="192" stopIfTrue="1">
      <formula>#REF!="decimal"</formula>
    </cfRule>
    <cfRule type="expression" dxfId="272" priority="193" stopIfTrue="1">
      <formula>#REF!="decimal"</formula>
    </cfRule>
    <cfRule type="expression" dxfId="271" priority="194" stopIfTrue="1">
      <formula>#REF!="integer"</formula>
    </cfRule>
    <cfRule type="expression" dxfId="270" priority="195" stopIfTrue="1">
      <formula>#REF!="integer"</formula>
    </cfRule>
    <cfRule type="expression" dxfId="269" priority="196" stopIfTrue="1">
      <formula>#REF!="text"</formula>
    </cfRule>
    <cfRule type="expression" dxfId="268" priority="197" stopIfTrue="1">
      <formula>#REF!="text"</formula>
    </cfRule>
    <cfRule type="expression" dxfId="267" priority="198" stopIfTrue="1">
      <formula>#REF!="end repeat"</formula>
    </cfRule>
  </conditionalFormatting>
  <conditionalFormatting sqref="H8">
    <cfRule type="duplicateValues" dxfId="266" priority="864"/>
  </conditionalFormatting>
  <conditionalFormatting sqref="H9">
    <cfRule type="duplicateValues" dxfId="265" priority="863"/>
  </conditionalFormatting>
  <conditionalFormatting sqref="H10">
    <cfRule type="duplicateValues" dxfId="264" priority="862"/>
  </conditionalFormatting>
  <conditionalFormatting sqref="H11">
    <cfRule type="duplicateValues" dxfId="263" priority="861"/>
  </conditionalFormatting>
  <conditionalFormatting sqref="H26">
    <cfRule type="expression" dxfId="262" priority="847" stopIfTrue="1">
      <formula>OR(AND(LEFT(#REF!, 16)="select_multiple ", LEN(#REF!)&gt;16, NOT(ISNUMBER(SEARCH(" ",#REF!, 17)))), AND(LEFT(#REF!, 11)="select_one ", LEN(#REF!)&gt;11, NOT(ISNUMBER(SEARCH(" ",#REF!, 12)))))</formula>
    </cfRule>
    <cfRule type="expression" dxfId="261" priority="846" stopIfTrue="1">
      <formula>OR(#REF!="username",#REF!= "phonenumber",#REF!= "start",#REF!= "end",#REF!= "deviceid",#REF!= "subscriberid",#REF!= "simserial")</formula>
    </cfRule>
    <cfRule type="expression" dxfId="260" priority="845" stopIfTrue="1">
      <formula>OR(#REF!="audio audit",#REF!= "text audit")</formula>
    </cfRule>
    <cfRule type="expression" dxfId="259" priority="844" stopIfTrue="1">
      <formula>#REF!="geopoint"</formula>
    </cfRule>
    <cfRule type="expression" dxfId="258" priority="843" stopIfTrue="1">
      <formula>#REF!="geopoint"</formula>
    </cfRule>
    <cfRule type="expression" dxfId="257" priority="842" stopIfTrue="1">
      <formula>#REF!="barcode"</formula>
    </cfRule>
    <cfRule type="expression" dxfId="256" priority="841" stopIfTrue="1">
      <formula>#REF!="barcode"</formula>
    </cfRule>
    <cfRule type="expression" dxfId="255" priority="836" stopIfTrue="1">
      <formula>OR(#REF!="date",#REF!= "datetime")</formula>
    </cfRule>
    <cfRule type="expression" dxfId="254" priority="850" stopIfTrue="1">
      <formula>#REF!="decimal"</formula>
    </cfRule>
    <cfRule type="expression" dxfId="253" priority="832" stopIfTrue="1">
      <formula>OR(#REF!="audio",#REF!= "video")</formula>
    </cfRule>
    <cfRule type="expression" dxfId="252" priority="833" stopIfTrue="1">
      <formula>OR(#REF!="audio",#REF!= "video")</formula>
    </cfRule>
    <cfRule type="expression" dxfId="251" priority="834" stopIfTrue="1">
      <formula>#REF!="image"</formula>
    </cfRule>
    <cfRule type="expression" dxfId="250" priority="837" stopIfTrue="1">
      <formula>OR(#REF!="date",#REF!= "datetime")</formula>
    </cfRule>
    <cfRule type="expression" dxfId="249" priority="840" stopIfTrue="1">
      <formula>#REF!="note"</formula>
    </cfRule>
    <cfRule type="expression" dxfId="248" priority="855" stopIfTrue="1">
      <formula>#REF!="end repeat"</formula>
    </cfRule>
    <cfRule type="expression" dxfId="247" priority="849" stopIfTrue="1">
      <formula>#REF!="decimal"</formula>
    </cfRule>
    <cfRule type="expression" dxfId="246" priority="851" stopIfTrue="1">
      <formula>#REF!="integer"</formula>
    </cfRule>
    <cfRule type="expression" dxfId="245" priority="852" stopIfTrue="1">
      <formula>#REF!="integer"</formula>
    </cfRule>
    <cfRule type="expression" dxfId="244" priority="853" stopIfTrue="1">
      <formula>#REF!="text"</formula>
    </cfRule>
    <cfRule type="expression" dxfId="243" priority="854" stopIfTrue="1">
      <formula>#REF!="text"</formula>
    </cfRule>
    <cfRule type="expression" dxfId="242" priority="856" stopIfTrue="1">
      <formula>#REF!="begin repeat"</formula>
    </cfRule>
    <cfRule type="expression" dxfId="241" priority="857" stopIfTrue="1">
      <formula>#REF!="begin repeat"</formula>
    </cfRule>
    <cfRule type="expression" dxfId="240" priority="858" stopIfTrue="1">
      <formula>#REF!="end group"</formula>
    </cfRule>
    <cfRule type="expression" dxfId="239" priority="859" stopIfTrue="1">
      <formula>#REF!="begin group"</formula>
    </cfRule>
    <cfRule type="expression" dxfId="238" priority="860" stopIfTrue="1">
      <formula>#REF!="begin group"</formula>
    </cfRule>
    <cfRule type="expression" dxfId="237" priority="839" stopIfTrue="1">
      <formula>#REF!="note"</formula>
    </cfRule>
    <cfRule type="expression" dxfId="236" priority="838" stopIfTrue="1">
      <formula>OR(#REF!="calculate",#REF!= "calculate_here")</formula>
    </cfRule>
    <cfRule type="expression" dxfId="235" priority="848" stopIfTrue="1">
      <formula>OR(AND(LEFT(#REF!, 16)="select_multiple ", LEN(#REF!)&gt;16, NOT(ISNUMBER(SEARCH(" ",#REF!, 17)))), AND(LEFT(#REF!, 11)="select_one ", LEN(#REF!)&gt;11, NOT(ISNUMBER(SEARCH(" ",#REF!, 12)))))</formula>
    </cfRule>
    <cfRule type="expression" dxfId="234" priority="835" stopIfTrue="1">
      <formula>#REF!="image"</formula>
    </cfRule>
  </conditionalFormatting>
  <conditionalFormatting sqref="H27">
    <cfRule type="expression" dxfId="233" priority="823" stopIfTrue="1">
      <formula>#REF!="integer"</formula>
    </cfRule>
    <cfRule type="expression" dxfId="232" priority="824" stopIfTrue="1">
      <formula>#REF!="text"</formula>
    </cfRule>
    <cfRule type="expression" dxfId="231" priority="825" stopIfTrue="1">
      <formula>#REF!="text"</formula>
    </cfRule>
    <cfRule type="expression" dxfId="230" priority="826" stopIfTrue="1">
      <formula>#REF!="end repeat"</formula>
    </cfRule>
    <cfRule type="expression" dxfId="229" priority="827" stopIfTrue="1">
      <formula>#REF!="begin repeat"</formula>
    </cfRule>
    <cfRule type="expression" dxfId="228" priority="828" stopIfTrue="1">
      <formula>#REF!="begin repeat"</formula>
    </cfRule>
    <cfRule type="expression" dxfId="227" priority="830" stopIfTrue="1">
      <formula>#REF!="begin group"</formula>
    </cfRule>
    <cfRule type="expression" dxfId="226" priority="803" stopIfTrue="1">
      <formula>OR(#REF!="audio",#REF!= "video")</formula>
    </cfRule>
    <cfRule type="expression" dxfId="225" priority="804" stopIfTrue="1">
      <formula>OR(#REF!="audio",#REF!= "video")</formula>
    </cfRule>
    <cfRule type="expression" dxfId="224" priority="805" stopIfTrue="1">
      <formula>#REF!="image"</formula>
    </cfRule>
    <cfRule type="expression" dxfId="223" priority="806" stopIfTrue="1">
      <formula>#REF!="image"</formula>
    </cfRule>
    <cfRule type="expression" dxfId="222" priority="807" stopIfTrue="1">
      <formula>OR(#REF!="date",#REF!= "datetime")</formula>
    </cfRule>
    <cfRule type="expression" dxfId="221" priority="831" stopIfTrue="1">
      <formula>#REF!="begin group"</formula>
    </cfRule>
    <cfRule type="expression" dxfId="220" priority="829" stopIfTrue="1">
      <formula>#REF!="end group"</formula>
    </cfRule>
    <cfRule type="expression" dxfId="219" priority="808" stopIfTrue="1">
      <formula>OR(#REF!="date",#REF!= "datetime")</formula>
    </cfRule>
    <cfRule type="expression" dxfId="218" priority="810" stopIfTrue="1">
      <formula>#REF!="note"</formula>
    </cfRule>
    <cfRule type="expression" dxfId="217" priority="811" stopIfTrue="1">
      <formula>#REF!="note"</formula>
    </cfRule>
    <cfRule type="expression" dxfId="216" priority="812" stopIfTrue="1">
      <formula>#REF!="barcode"</formula>
    </cfRule>
    <cfRule type="expression" dxfId="215" priority="813" stopIfTrue="1">
      <formula>#REF!="barcode"</formula>
    </cfRule>
    <cfRule type="expression" dxfId="214" priority="819" stopIfTrue="1">
      <formula>OR(AND(LEFT(#REF!, 16)="select_multiple ", LEN(#REF!)&gt;16, NOT(ISNUMBER(SEARCH(" ",#REF!, 17)))), AND(LEFT(#REF!, 11)="select_one ", LEN(#REF!)&gt;11, NOT(ISNUMBER(SEARCH(" ",#REF!, 12)))))</formula>
    </cfRule>
    <cfRule type="expression" dxfId="213" priority="814" stopIfTrue="1">
      <formula>#REF!="geopoint"</formula>
    </cfRule>
    <cfRule type="expression" dxfId="212" priority="815" stopIfTrue="1">
      <formula>#REF!="geopoint"</formula>
    </cfRule>
    <cfRule type="expression" dxfId="211" priority="816" stopIfTrue="1">
      <formula>OR(#REF!="audio audit",#REF!= "text audit")</formula>
    </cfRule>
    <cfRule type="expression" dxfId="210" priority="817" stopIfTrue="1">
      <formula>OR(#REF!="username",#REF!= "phonenumber",#REF!= "start",#REF!= "end",#REF!= "deviceid",#REF!= "subscriberid",#REF!= "simserial")</formula>
    </cfRule>
    <cfRule type="expression" dxfId="209" priority="818" stopIfTrue="1">
      <formula>OR(AND(LEFT(#REF!, 16)="select_multiple ", LEN(#REF!)&gt;16, NOT(ISNUMBER(SEARCH(" ",#REF!, 17)))), AND(LEFT(#REF!, 11)="select_one ", LEN(#REF!)&gt;11, NOT(ISNUMBER(SEARCH(" ",#REF!, 12)))))</formula>
    </cfRule>
    <cfRule type="expression" dxfId="208" priority="809" stopIfTrue="1">
      <formula>OR(#REF!="calculate",#REF!= "calculate_here")</formula>
    </cfRule>
    <cfRule type="expression" dxfId="207" priority="820" stopIfTrue="1">
      <formula>#REF!="decimal"</formula>
    </cfRule>
    <cfRule type="expression" dxfId="206" priority="821" stopIfTrue="1">
      <formula>#REF!="decimal"</formula>
    </cfRule>
    <cfRule type="expression" dxfId="205" priority="822" stopIfTrue="1">
      <formula>#REF!="integer"</formula>
    </cfRule>
  </conditionalFormatting>
  <conditionalFormatting sqref="H28">
    <cfRule type="expression" dxfId="204" priority="270" stopIfTrue="1">
      <formula>$A28="text"</formula>
    </cfRule>
    <cfRule type="expression" dxfId="203" priority="269" stopIfTrue="1">
      <formula>$A28="text"</formula>
    </cfRule>
    <cfRule type="expression" dxfId="202" priority="273" stopIfTrue="1">
      <formula>$A28="begin repeat"</formula>
    </cfRule>
    <cfRule type="expression" dxfId="201" priority="255" stopIfTrue="1">
      <formula>$A28="note"</formula>
    </cfRule>
    <cfRule type="expression" dxfId="200" priority="276" stopIfTrue="1">
      <formula>$A28="begin group"</formula>
    </cfRule>
    <cfRule type="expression" dxfId="199" priority="275" stopIfTrue="1">
      <formula>$A28="begin group"</formula>
    </cfRule>
    <cfRule type="expression" dxfId="198" priority="274" stopIfTrue="1">
      <formula>$A28="end group"</formula>
    </cfRule>
    <cfRule type="expression" dxfId="197" priority="272" stopIfTrue="1">
      <formula>$A28="begin repeat"</formula>
    </cfRule>
    <cfRule type="expression" dxfId="196" priority="271" stopIfTrue="1">
      <formula>$A28="end repeat"</formula>
    </cfRule>
    <cfRule type="expression" dxfId="195" priority="259" stopIfTrue="1">
      <formula>$A28="geopoint"</formula>
    </cfRule>
    <cfRule type="expression" dxfId="194" priority="268" stopIfTrue="1">
      <formula>$A28="integer"</formula>
    </cfRule>
    <cfRule type="expression" dxfId="193" priority="267" stopIfTrue="1">
      <formula>$A28="integer"</formula>
    </cfRule>
    <cfRule type="expression" dxfId="192" priority="266" stopIfTrue="1">
      <formula>$A28="decimal"</formula>
    </cfRule>
    <cfRule type="expression" dxfId="191" priority="265" stopIfTrue="1">
      <formula>$A28="decimal"</formula>
    </cfRule>
    <cfRule type="expression" dxfId="190" priority="264" stopIfTrue="1">
      <formula>OR(AND(LEFT($A28, 16)="select_multiple ", LEN($A28)&gt;16, NOT(ISNUMBER(SEARCH(" ", $A28, 17)))), AND(LEFT($A28, 11)="select_one ", LEN($A28)&gt;11, NOT(ISNUMBER(SEARCH(" ", $A28, 12)))))</formula>
    </cfRule>
    <cfRule type="expression" dxfId="189" priority="263" stopIfTrue="1">
      <formula>OR(AND(LEFT($A28, 16)="select_multiple ", LEN($A28)&gt;16, NOT(ISNUMBER(SEARCH(" ", $A28, 17)))), AND(LEFT($A28, 11)="select_one ", LEN($A28)&gt;11, NOT(ISNUMBER(SEARCH(" ", $A28, 12)))))</formula>
    </cfRule>
    <cfRule type="expression" dxfId="188" priority="262" stopIfTrue="1">
      <formula>OR($A28="username", $A28="phonenumber", $A28="start", $A28="end", $A28="deviceid", $A28="subscriberid", $A28="simserial")</formula>
    </cfRule>
    <cfRule type="expression" dxfId="187" priority="261" stopIfTrue="1">
      <formula>OR($A28="audio audit", $A28="text audit")</formula>
    </cfRule>
    <cfRule type="expression" dxfId="186" priority="260" stopIfTrue="1">
      <formula>$A28="geopoint"</formula>
    </cfRule>
    <cfRule type="expression" dxfId="185" priority="258" stopIfTrue="1">
      <formula>$A28="barcode"</formula>
    </cfRule>
    <cfRule type="expression" dxfId="184" priority="257" stopIfTrue="1">
      <formula>$A28="barcode"</formula>
    </cfRule>
    <cfRule type="expression" dxfId="183" priority="256" stopIfTrue="1">
      <formula>$A28="note"</formula>
    </cfRule>
    <cfRule type="expression" dxfId="182" priority="254" stopIfTrue="1">
      <formula>OR($A28="calculate", $A28="calculate_here")</formula>
    </cfRule>
    <cfRule type="expression" dxfId="181" priority="253" stopIfTrue="1">
      <formula>OR($A28="date", $A28="datetime")</formula>
    </cfRule>
    <cfRule type="expression" dxfId="180" priority="252" stopIfTrue="1">
      <formula>OR($A28="date", $A28="datetime")</formula>
    </cfRule>
    <cfRule type="expression" dxfId="179" priority="251" stopIfTrue="1">
      <formula>$A28="image"</formula>
    </cfRule>
    <cfRule type="expression" dxfId="178" priority="250" stopIfTrue="1">
      <formula>$A28="image"</formula>
    </cfRule>
    <cfRule type="expression" dxfId="177" priority="249" stopIfTrue="1">
      <formula>OR($A28="audio", $A28="video")</formula>
    </cfRule>
    <cfRule type="expression" dxfId="176" priority="248" stopIfTrue="1">
      <formula>OR($A28="audio", $A28="video")</formula>
    </cfRule>
  </conditionalFormatting>
  <conditionalFormatting sqref="H29:H30">
    <cfRule type="expression" dxfId="175" priority="733" stopIfTrue="1">
      <formula>#REF!="decimal"</formula>
    </cfRule>
    <cfRule type="expression" dxfId="174" priority="734" stopIfTrue="1">
      <formula>#REF!="decimal"</formula>
    </cfRule>
    <cfRule type="expression" dxfId="173" priority="735" stopIfTrue="1">
      <formula>#REF!="integer"</formula>
    </cfRule>
    <cfRule type="expression" dxfId="172" priority="736" stopIfTrue="1">
      <formula>#REF!="integer"</formula>
    </cfRule>
    <cfRule type="expression" dxfId="171" priority="737" stopIfTrue="1">
      <formula>#REF!="text"</formula>
    </cfRule>
    <cfRule type="expression" dxfId="170" priority="738" stopIfTrue="1">
      <formula>#REF!="text"</formula>
    </cfRule>
    <cfRule type="expression" dxfId="169" priority="739" stopIfTrue="1">
      <formula>#REF!="end repeat"</formula>
    </cfRule>
    <cfRule type="expression" dxfId="168" priority="740" stopIfTrue="1">
      <formula>#REF!="begin repeat"</formula>
    </cfRule>
    <cfRule type="expression" dxfId="167" priority="741" stopIfTrue="1">
      <formula>#REF!="begin repeat"</formula>
    </cfRule>
    <cfRule type="expression" dxfId="166" priority="742" stopIfTrue="1">
      <formula>#REF!="end group"</formula>
    </cfRule>
    <cfRule type="expression" dxfId="165" priority="743" stopIfTrue="1">
      <formula>#REF!="begin group"</formula>
    </cfRule>
    <cfRule type="expression" dxfId="164" priority="744" stopIfTrue="1">
      <formula>#REF!="begin group"</formula>
    </cfRule>
    <cfRule type="expression" dxfId="163" priority="723" stopIfTrue="1">
      <formula>#REF!="note"</formula>
    </cfRule>
    <cfRule type="expression" dxfId="162" priority="716" stopIfTrue="1">
      <formula>OR(#REF!="audio",#REF!= "video")</formula>
    </cfRule>
    <cfRule type="expression" dxfId="161" priority="717" stopIfTrue="1">
      <formula>OR(#REF!="audio",#REF!= "video")</formula>
    </cfRule>
    <cfRule type="expression" dxfId="160" priority="718" stopIfTrue="1">
      <formula>#REF!="image"</formula>
    </cfRule>
    <cfRule type="expression" dxfId="159" priority="719" stopIfTrue="1">
      <formula>#REF!="image"</formula>
    </cfRule>
    <cfRule type="expression" dxfId="158" priority="720" stopIfTrue="1">
      <formula>OR(#REF!="date",#REF!= "datetime")</formula>
    </cfRule>
    <cfRule type="expression" dxfId="157" priority="721" stopIfTrue="1">
      <formula>OR(#REF!="date",#REF!= "datetime")</formula>
    </cfRule>
    <cfRule type="expression" dxfId="156" priority="722" stopIfTrue="1">
      <formula>OR(#REF!="calculate",#REF!= "calculate_here")</formula>
    </cfRule>
    <cfRule type="expression" dxfId="155" priority="724" stopIfTrue="1">
      <formula>#REF!="note"</formula>
    </cfRule>
    <cfRule type="expression" dxfId="154" priority="725" stopIfTrue="1">
      <formula>#REF!="barcode"</formula>
    </cfRule>
    <cfRule type="expression" dxfId="153" priority="726" stopIfTrue="1">
      <formula>#REF!="barcode"</formula>
    </cfRule>
    <cfRule type="expression" dxfId="152" priority="727" stopIfTrue="1">
      <formula>#REF!="geopoint"</formula>
    </cfRule>
    <cfRule type="expression" dxfId="151" priority="728" stopIfTrue="1">
      <formula>#REF!="geopoint"</formula>
    </cfRule>
    <cfRule type="expression" dxfId="150" priority="729" stopIfTrue="1">
      <formula>OR(#REF!="audio audit",#REF!= "text audit")</formula>
    </cfRule>
    <cfRule type="expression" dxfId="149" priority="730" stopIfTrue="1">
      <formula>OR(#REF!="username",#REF!= "phonenumber",#REF!= "start",#REF!= "end",#REF!= "deviceid",#REF!= "subscriberid",#REF!= "simserial")</formula>
    </cfRule>
    <cfRule type="expression" dxfId="148" priority="731" stopIfTrue="1">
      <formula>OR(AND(LEFT(#REF!, 16)="select_multiple ", LEN(#REF!)&gt;16, NOT(ISNUMBER(SEARCH(" ",#REF!, 17)))), AND(LEFT(#REF!, 11)="select_one ", LEN(#REF!)&gt;11, NOT(ISNUMBER(SEARCH(" ",#REF!, 12)))))</formula>
    </cfRule>
    <cfRule type="expression" dxfId="147" priority="732" stopIfTrue="1">
      <formula>OR(AND(LEFT(#REF!, 16)="select_multiple ", LEN(#REF!)&gt;16, NOT(ISNUMBER(SEARCH(" ",#REF!, 17)))), AND(LEFT(#REF!, 11)="select_one ", LEN(#REF!)&gt;11, NOT(ISNUMBER(SEARCH(" ",#REF!, 12)))))</formula>
    </cfRule>
  </conditionalFormatting>
  <conditionalFormatting sqref="H31">
    <cfRule type="expression" dxfId="146" priority="221" stopIfTrue="1">
      <formula>$A31="image"</formula>
    </cfRule>
    <cfRule type="expression" dxfId="145" priority="219" stopIfTrue="1">
      <formula>OR($A31="audio", $A31="video")</formula>
    </cfRule>
    <cfRule type="expression" dxfId="144" priority="239" stopIfTrue="1">
      <formula>$A31="integer"</formula>
    </cfRule>
    <cfRule type="expression" dxfId="143" priority="238" stopIfTrue="1">
      <formula>$A31="integer"</formula>
    </cfRule>
    <cfRule type="expression" dxfId="142" priority="237" stopIfTrue="1">
      <formula>$A31="decimal"</formula>
    </cfRule>
    <cfRule type="expression" dxfId="141" priority="236" stopIfTrue="1">
      <formula>$A31="decimal"</formula>
    </cfRule>
    <cfRule type="expression" dxfId="140" priority="235" stopIfTrue="1">
      <formula>OR(AND(LEFT($A31, 16)="select_multiple ", LEN($A31)&gt;16, NOT(ISNUMBER(SEARCH(" ", $A31, 17)))), AND(LEFT($A31, 11)="select_one ", LEN($A31)&gt;11, NOT(ISNUMBER(SEARCH(" ", $A31, 12)))))</formula>
    </cfRule>
    <cfRule type="expression" dxfId="139" priority="234" stopIfTrue="1">
      <formula>OR(AND(LEFT($A31, 16)="select_multiple ", LEN($A31)&gt;16, NOT(ISNUMBER(SEARCH(" ", $A31, 17)))), AND(LEFT($A31, 11)="select_one ", LEN($A31)&gt;11, NOT(ISNUMBER(SEARCH(" ", $A31, 12)))))</formula>
    </cfRule>
    <cfRule type="expression" dxfId="138" priority="233" stopIfTrue="1">
      <formula>OR($A31="username", $A31="phonenumber", $A31="start", $A31="end", $A31="deviceid", $A31="subscriberid", $A31="simserial")</formula>
    </cfRule>
    <cfRule type="expression" dxfId="137" priority="232" stopIfTrue="1">
      <formula>OR($A31="audio audit", $A31="text audit")</formula>
    </cfRule>
    <cfRule type="expression" dxfId="136" priority="229" stopIfTrue="1">
      <formula>$A31="barcode"</formula>
    </cfRule>
    <cfRule type="expression" dxfId="135" priority="231" stopIfTrue="1">
      <formula>$A31="geopoint"</formula>
    </cfRule>
    <cfRule type="expression" dxfId="134" priority="230" stopIfTrue="1">
      <formula>$A31="geopoint"</formula>
    </cfRule>
    <cfRule type="expression" dxfId="133" priority="220" stopIfTrue="1">
      <formula>OR($A31="audio", $A31="video")</formula>
    </cfRule>
    <cfRule type="expression" dxfId="132" priority="228" stopIfTrue="1">
      <formula>$A31="barcode"</formula>
    </cfRule>
    <cfRule type="expression" dxfId="131" priority="227" stopIfTrue="1">
      <formula>$A31="note"</formula>
    </cfRule>
    <cfRule type="expression" dxfId="130" priority="226" stopIfTrue="1">
      <formula>$A31="note"</formula>
    </cfRule>
    <cfRule type="expression" dxfId="129" priority="225" stopIfTrue="1">
      <formula>OR($A31="calculate", $A31="calculate_here")</formula>
    </cfRule>
    <cfRule type="expression" dxfId="128" priority="224" stopIfTrue="1">
      <formula>OR($A31="date", $A31="datetime")</formula>
    </cfRule>
    <cfRule type="expression" dxfId="127" priority="223" stopIfTrue="1">
      <formula>OR($A31="date", $A31="datetime")</formula>
    </cfRule>
    <cfRule type="expression" dxfId="126" priority="222" stopIfTrue="1">
      <formula>$A31="image"</formula>
    </cfRule>
    <cfRule type="expression" dxfId="125" priority="247" stopIfTrue="1">
      <formula>$A31="begin group"</formula>
    </cfRule>
    <cfRule type="expression" dxfId="124" priority="246" stopIfTrue="1">
      <formula>$A31="begin group"</formula>
    </cfRule>
    <cfRule type="expression" dxfId="123" priority="245" stopIfTrue="1">
      <formula>$A31="end group"</formula>
    </cfRule>
    <cfRule type="expression" dxfId="122" priority="244" stopIfTrue="1">
      <formula>$A31="begin repeat"</formula>
    </cfRule>
    <cfRule type="expression" dxfId="121" priority="243" stopIfTrue="1">
      <formula>$A31="begin repeat"</formula>
    </cfRule>
    <cfRule type="expression" dxfId="120" priority="242" stopIfTrue="1">
      <formula>$A31="end repeat"</formula>
    </cfRule>
    <cfRule type="expression" dxfId="119" priority="241" stopIfTrue="1">
      <formula>$A31="text"</formula>
    </cfRule>
    <cfRule type="expression" dxfId="118" priority="240" stopIfTrue="1">
      <formula>$A31="text"</formula>
    </cfRule>
  </conditionalFormatting>
  <conditionalFormatting sqref="H32:H33">
    <cfRule type="expression" dxfId="117" priority="652" stopIfTrue="1">
      <formula>#REF!="end repeat"</formula>
    </cfRule>
    <cfRule type="expression" dxfId="116" priority="653" stopIfTrue="1">
      <formula>#REF!="begin repeat"</formula>
    </cfRule>
    <cfRule type="expression" dxfId="115" priority="654" stopIfTrue="1">
      <formula>#REF!="begin repeat"</formula>
    </cfRule>
    <cfRule type="expression" dxfId="114" priority="655" stopIfTrue="1">
      <formula>#REF!="end group"</formula>
    </cfRule>
    <cfRule type="expression" dxfId="113" priority="656" stopIfTrue="1">
      <formula>#REF!="begin group"</formula>
    </cfRule>
    <cfRule type="expression" dxfId="112" priority="657" stopIfTrue="1">
      <formula>#REF!="begin group"</formula>
    </cfRule>
    <cfRule type="expression" dxfId="111" priority="647" stopIfTrue="1">
      <formula>#REF!="decimal"</formula>
    </cfRule>
    <cfRule type="expression" dxfId="110" priority="646" stopIfTrue="1">
      <formula>#REF!="decimal"</formula>
    </cfRule>
    <cfRule type="expression" dxfId="109" priority="648" stopIfTrue="1">
      <formula>#REF!="integer"</formula>
    </cfRule>
    <cfRule type="expression" dxfId="108" priority="649" stopIfTrue="1">
      <formula>#REF!="integer"</formula>
    </cfRule>
    <cfRule type="expression" dxfId="107" priority="650" stopIfTrue="1">
      <formula>#REF!="text"</formula>
    </cfRule>
    <cfRule type="expression" dxfId="106" priority="651" stopIfTrue="1">
      <formula>#REF!="text"</formula>
    </cfRule>
    <cfRule type="expression" dxfId="105" priority="629" stopIfTrue="1">
      <formula>OR(#REF!="audio",#REF!= "video")</formula>
    </cfRule>
    <cfRule type="expression" dxfId="104" priority="630" stopIfTrue="1">
      <formula>OR(#REF!="audio",#REF!= "video")</formula>
    </cfRule>
    <cfRule type="expression" dxfId="103" priority="631" stopIfTrue="1">
      <formula>#REF!="image"</formula>
    </cfRule>
    <cfRule type="expression" dxfId="102" priority="632" stopIfTrue="1">
      <formula>#REF!="image"</formula>
    </cfRule>
    <cfRule type="expression" dxfId="101" priority="633" stopIfTrue="1">
      <formula>OR(#REF!="date",#REF!= "datetime")</formula>
    </cfRule>
    <cfRule type="expression" dxfId="100" priority="634" stopIfTrue="1">
      <formula>OR(#REF!="date",#REF!= "datetime")</formula>
    </cfRule>
    <cfRule type="expression" dxfId="99" priority="635" stopIfTrue="1">
      <formula>OR(#REF!="calculate",#REF!= "calculate_here")</formula>
    </cfRule>
    <cfRule type="expression" dxfId="98" priority="636" stopIfTrue="1">
      <formula>#REF!="note"</formula>
    </cfRule>
    <cfRule type="expression" dxfId="97" priority="637" stopIfTrue="1">
      <formula>#REF!="note"</formula>
    </cfRule>
    <cfRule type="expression" dxfId="96" priority="638" stopIfTrue="1">
      <formula>#REF!="barcode"</formula>
    </cfRule>
    <cfRule type="expression" dxfId="95" priority="639" stopIfTrue="1">
      <formula>#REF!="barcode"</formula>
    </cfRule>
    <cfRule type="expression" dxfId="94" priority="640" stopIfTrue="1">
      <formula>#REF!="geopoint"</formula>
    </cfRule>
    <cfRule type="expression" dxfId="93" priority="641" stopIfTrue="1">
      <formula>#REF!="geopoint"</formula>
    </cfRule>
    <cfRule type="expression" dxfId="92" priority="642" stopIfTrue="1">
      <formula>OR(#REF!="audio audit",#REF!= "text audit")</formula>
    </cfRule>
    <cfRule type="expression" dxfId="91" priority="643" stopIfTrue="1">
      <formula>OR(#REF!="username",#REF!= "phonenumber",#REF!= "start",#REF!= "end",#REF!= "deviceid",#REF!= "subscriberid",#REF!= "simserial")</formula>
    </cfRule>
    <cfRule type="expression" dxfId="90" priority="644" stopIfTrue="1">
      <formula>OR(AND(LEFT(#REF!, 16)="select_multiple ", LEN(#REF!)&gt;16, NOT(ISNUMBER(SEARCH(" ",#REF!, 17)))), AND(LEFT(#REF!, 11)="select_one ", LEN(#REF!)&gt;11, NOT(ISNUMBER(SEARCH(" ",#REF!, 12)))))</formula>
    </cfRule>
    <cfRule type="expression" dxfId="89" priority="645" stopIfTrue="1">
      <formula>OR(AND(LEFT(#REF!, 16)="select_multiple ", LEN(#REF!)&gt;16, NOT(ISNUMBER(SEARCH(" ",#REF!, 17)))), AND(LEFT(#REF!, 11)="select_one ", LEN(#REF!)&gt;11, NOT(ISNUMBER(SEARCH(" ",#REF!, 12)))))</formula>
    </cfRule>
  </conditionalFormatting>
  <conditionalFormatting sqref="H188:H189">
    <cfRule type="expression" dxfId="88" priority="168" stopIfTrue="1">
      <formula>$A188="geopoint"</formula>
    </cfRule>
    <cfRule type="expression" dxfId="87" priority="158" stopIfTrue="1">
      <formula>$A188="text"</formula>
    </cfRule>
    <cfRule type="expression" dxfId="86" priority="159" stopIfTrue="1">
      <formula>$A188="end repeat"</formula>
    </cfRule>
    <cfRule type="expression" dxfId="85" priority="160" stopIfTrue="1">
      <formula>$A188="begin repeat"</formula>
    </cfRule>
    <cfRule type="expression" dxfId="84" priority="161" stopIfTrue="1">
      <formula>$A188="end group"</formula>
    </cfRule>
    <cfRule type="expression" dxfId="83" priority="169" stopIfTrue="1">
      <formula>OR(AND(LEFT($A188, 16)="select_multiple ", LEN($A188)&gt;16, NOT(ISNUMBER(SEARCH(" ", $A188, 17)))), AND(LEFT($A188, 11)="select_one ", LEN($A188)&gt;11, NOT(ISNUMBER(SEARCH(" ", $A188, 12)))))</formula>
    </cfRule>
    <cfRule type="expression" dxfId="82" priority="167" stopIfTrue="1">
      <formula>$A188="barcode"</formula>
    </cfRule>
    <cfRule type="expression" dxfId="81" priority="170" stopIfTrue="1">
      <formula>$A188="decimal"</formula>
    </cfRule>
    <cfRule type="expression" dxfId="80" priority="171" stopIfTrue="1">
      <formula>$A188="integer"</formula>
    </cfRule>
    <cfRule type="expression" dxfId="79" priority="172" stopIfTrue="1">
      <formula>$A188="text"</formula>
    </cfRule>
    <cfRule type="expression" dxfId="78" priority="162" stopIfTrue="1">
      <formula>$A188="begin group"</formula>
    </cfRule>
    <cfRule type="expression" dxfId="77" priority="173" stopIfTrue="1">
      <formula>$A188="begin repeat"</formula>
    </cfRule>
    <cfRule type="expression" dxfId="76" priority="174" stopIfTrue="1">
      <formula>$A188="begin group"</formula>
    </cfRule>
    <cfRule type="expression" dxfId="75" priority="163" stopIfTrue="1">
      <formula>OR($A188="audio", $A188="video")</formula>
    </cfRule>
    <cfRule type="expression" dxfId="74" priority="165" stopIfTrue="1">
      <formula>OR($A188="date", $A188="datetime")</formula>
    </cfRule>
    <cfRule type="expression" dxfId="73" priority="164" stopIfTrue="1">
      <formula>$A188="image"</formula>
    </cfRule>
    <cfRule type="expression" dxfId="72" priority="146" stopIfTrue="1">
      <formula>OR($A188="audio", $A188="video")</formula>
    </cfRule>
    <cfRule type="expression" dxfId="71" priority="147" stopIfTrue="1">
      <formula>$A188="image"</formula>
    </cfRule>
    <cfRule type="expression" dxfId="70" priority="148" stopIfTrue="1">
      <formula>OR($A188="date", $A188="datetime")</formula>
    </cfRule>
    <cfRule type="expression" dxfId="69" priority="149" stopIfTrue="1">
      <formula>OR($A188="calculate", $A188="calculate_here")</formula>
    </cfRule>
    <cfRule type="expression" dxfId="68" priority="150" stopIfTrue="1">
      <formula>$A188="note"</formula>
    </cfRule>
    <cfRule type="expression" dxfId="67" priority="151" stopIfTrue="1">
      <formula>$A188="barcode"</formula>
    </cfRule>
    <cfRule type="expression" dxfId="66" priority="152" stopIfTrue="1">
      <formula>$A188="geopoint"</formula>
    </cfRule>
    <cfRule type="expression" dxfId="65" priority="166" stopIfTrue="1">
      <formula>$A188="note"</formula>
    </cfRule>
    <cfRule type="expression" dxfId="64" priority="153" stopIfTrue="1">
      <formula>OR($A188="audio audit", $A188="text audit")</formula>
    </cfRule>
    <cfRule type="expression" dxfId="63" priority="154" stopIfTrue="1">
      <formula>OR($A188="username", $A188="phonenumber", $A188="start", $A188="end", $A188="deviceid", $A188="subscriberid", $A188="simserial")</formula>
    </cfRule>
    <cfRule type="expression" dxfId="62" priority="155" stopIfTrue="1">
      <formula>OR(AND(LEFT($A188, 16)="select_multiple ", LEN($A188)&gt;16, NOT(ISNUMBER(SEARCH(" ", $A188, 17)))), AND(LEFT($A188, 11)="select_one ", LEN($A188)&gt;11, NOT(ISNUMBER(SEARCH(" ", $A188, 12)))))</formula>
    </cfRule>
    <cfRule type="expression" dxfId="61" priority="156" stopIfTrue="1">
      <formula>$A188="decimal"</formula>
    </cfRule>
    <cfRule type="expression" dxfId="60" priority="157" stopIfTrue="1">
      <formula>$A188="integer"</formula>
    </cfRule>
  </conditionalFormatting>
  <conditionalFormatting sqref="H190">
    <cfRule type="expression" dxfId="59" priority="89" stopIfTrue="1">
      <formula>OR(#REF!="audio",#REF!= "video")</formula>
    </cfRule>
    <cfRule type="expression" dxfId="58" priority="88" stopIfTrue="1">
      <formula>OR(#REF!="audio",#REF!= "video")</formula>
    </cfRule>
    <cfRule type="expression" dxfId="57" priority="101" stopIfTrue="1">
      <formula>OR(#REF!="audio audit",#REF!= "text audit")</formula>
    </cfRule>
    <cfRule type="expression" dxfId="56" priority="100" stopIfTrue="1">
      <formula>#REF!="geopoint"</formula>
    </cfRule>
    <cfRule type="expression" dxfId="55" priority="99" stopIfTrue="1">
      <formula>#REF!="geopoint"</formula>
    </cfRule>
    <cfRule type="expression" dxfId="54" priority="98" stopIfTrue="1">
      <formula>#REF!="barcode"</formula>
    </cfRule>
    <cfRule type="expression" dxfId="53" priority="97" stopIfTrue="1">
      <formula>#REF!="barcode"</formula>
    </cfRule>
    <cfRule type="expression" dxfId="52" priority="96" stopIfTrue="1">
      <formula>#REF!="note"</formula>
    </cfRule>
    <cfRule type="expression" dxfId="51" priority="95" stopIfTrue="1">
      <formula>#REF!="note"</formula>
    </cfRule>
    <cfRule type="expression" dxfId="50" priority="94" stopIfTrue="1">
      <formula>OR(#REF!="calculate",#REF!= "calculate_here")</formula>
    </cfRule>
    <cfRule type="expression" dxfId="49" priority="93" stopIfTrue="1">
      <formula>OR(#REF!="date",#REF!= "datetime")</formula>
    </cfRule>
    <cfRule type="expression" dxfId="48" priority="92" stopIfTrue="1">
      <formula>OR(#REF!="date",#REF!= "datetime")</formula>
    </cfRule>
    <cfRule type="expression" dxfId="47" priority="91" stopIfTrue="1">
      <formula>#REF!="image"</formula>
    </cfRule>
    <cfRule type="expression" dxfId="46" priority="110" stopIfTrue="1">
      <formula>#REF!="text"</formula>
    </cfRule>
    <cfRule type="expression" dxfId="45" priority="90" stopIfTrue="1">
      <formula>#REF!="image"</formula>
    </cfRule>
    <cfRule type="expression" dxfId="44" priority="116" stopIfTrue="1">
      <formula>#REF!="begin group"</formula>
    </cfRule>
    <cfRule type="expression" dxfId="43" priority="115" stopIfTrue="1">
      <formula>#REF!="begin group"</formula>
    </cfRule>
    <cfRule type="expression" dxfId="42" priority="114" stopIfTrue="1">
      <formula>#REF!="end group"</formula>
    </cfRule>
    <cfRule type="expression" dxfId="41" priority="113" stopIfTrue="1">
      <formula>#REF!="begin repeat"</formula>
    </cfRule>
    <cfRule type="expression" dxfId="40" priority="112" stopIfTrue="1">
      <formula>#REF!="begin repeat"</formula>
    </cfRule>
    <cfRule type="expression" dxfId="39" priority="111" stopIfTrue="1">
      <formula>#REF!="end repeat"</formula>
    </cfRule>
    <cfRule type="expression" dxfId="38" priority="109" stopIfTrue="1">
      <formula>#REF!="text"</formula>
    </cfRule>
    <cfRule type="expression" dxfId="37" priority="108" stopIfTrue="1">
      <formula>#REF!="integer"</formula>
    </cfRule>
    <cfRule type="expression" dxfId="36" priority="107" stopIfTrue="1">
      <formula>#REF!="integer"</formula>
    </cfRule>
    <cfRule type="expression" dxfId="35" priority="106" stopIfTrue="1">
      <formula>#REF!="decimal"</formula>
    </cfRule>
    <cfRule type="expression" dxfId="34" priority="105" stopIfTrue="1">
      <formula>#REF!="decimal"</formula>
    </cfRule>
    <cfRule type="expression" dxfId="33" priority="104" stopIfTrue="1">
      <formula>OR(AND(LEFT(#REF!, 16)="select_multiple ", LEN(#REF!)&gt;16, NOT(ISNUMBER(SEARCH(" ",#REF!, 17)))), AND(LEFT(#REF!, 11)="select_one ", LEN(#REF!)&gt;11, NOT(ISNUMBER(SEARCH(" ",#REF!, 12)))))</formula>
    </cfRule>
    <cfRule type="expression" dxfId="32" priority="103" stopIfTrue="1">
      <formula>OR(AND(LEFT(#REF!, 16)="select_multiple ", LEN(#REF!)&gt;16, NOT(ISNUMBER(SEARCH(" ",#REF!, 17)))), AND(LEFT(#REF!, 11)="select_one ", LEN(#REF!)&gt;11, NOT(ISNUMBER(SEARCH(" ",#REF!, 12)))))</formula>
    </cfRule>
    <cfRule type="expression" dxfId="31" priority="102" stopIfTrue="1">
      <formula>OR(#REF!="username",#REF!= "phonenumber",#REF!= "start",#REF!= "end",#REF!= "deviceid",#REF!= "subscriberid",#REF!= "simserial")</formula>
    </cfRule>
  </conditionalFormatting>
  <conditionalFormatting sqref="H191:H192">
    <cfRule type="expression" dxfId="30" priority="58" stopIfTrue="1">
      <formula>#REF!="begin group"</formula>
    </cfRule>
    <cfRule type="expression" dxfId="29" priority="57" stopIfTrue="1">
      <formula>#REF!="begin group"</formula>
    </cfRule>
    <cfRule type="expression" dxfId="28" priority="56" stopIfTrue="1">
      <formula>#REF!="end group"</formula>
    </cfRule>
    <cfRule type="expression" dxfId="27" priority="55" stopIfTrue="1">
      <formula>#REF!="begin repeat"</formula>
    </cfRule>
    <cfRule type="expression" dxfId="26" priority="54" stopIfTrue="1">
      <formula>#REF!="begin repeat"</formula>
    </cfRule>
    <cfRule type="expression" dxfId="25" priority="53" stopIfTrue="1">
      <formula>#REF!="end repeat"</formula>
    </cfRule>
    <cfRule type="expression" dxfId="24" priority="51" stopIfTrue="1">
      <formula>#REF!="text"</formula>
    </cfRule>
    <cfRule type="expression" dxfId="23" priority="50" stopIfTrue="1">
      <formula>#REF!="integer"</formula>
    </cfRule>
    <cfRule type="expression" dxfId="22" priority="49" stopIfTrue="1">
      <formula>#REF!="integer"</formula>
    </cfRule>
    <cfRule type="expression" dxfId="21" priority="48" stopIfTrue="1">
      <formula>#REF!="decimal"</formula>
    </cfRule>
    <cfRule type="expression" dxfId="20" priority="47" stopIfTrue="1">
      <formula>#REF!="decimal"</formula>
    </cfRule>
    <cfRule type="expression" dxfId="19" priority="38" stopIfTrue="1">
      <formula>#REF!="note"</formula>
    </cfRule>
    <cfRule type="expression" dxfId="18" priority="39" stopIfTrue="1">
      <formula>#REF!="barcode"</formula>
    </cfRule>
    <cfRule type="expression" dxfId="17" priority="40" stopIfTrue="1">
      <formula>#REF!="barcode"</formula>
    </cfRule>
    <cfRule type="expression" dxfId="16" priority="41" stopIfTrue="1">
      <formula>#REF!="geopoint"</formula>
    </cfRule>
    <cfRule type="expression" dxfId="15" priority="52" stopIfTrue="1">
      <formula>#REF!="text"</formula>
    </cfRule>
    <cfRule type="expression" dxfId="14" priority="43" stopIfTrue="1">
      <formula>OR(#REF!="audio audit",#REF!= "text audit")</formula>
    </cfRule>
    <cfRule type="expression" dxfId="13" priority="44" stopIfTrue="1">
      <formula>OR(#REF!="username",#REF!= "phonenumber",#REF!= "start",#REF!= "end",#REF!= "deviceid",#REF!= "subscriberid",#REF!= "simserial")</formula>
    </cfRule>
    <cfRule type="expression" dxfId="12" priority="45" stopIfTrue="1">
      <formula>OR(AND(LEFT(#REF!, 16)="select_multiple ", LEN(#REF!)&gt;16, NOT(ISNUMBER(SEARCH(" ",#REF!, 17)))), AND(LEFT(#REF!, 11)="select_one ", LEN(#REF!)&gt;11, NOT(ISNUMBER(SEARCH(" ",#REF!, 12)))))</formula>
    </cfRule>
    <cfRule type="expression" dxfId="11" priority="46" stopIfTrue="1">
      <formula>OR(AND(LEFT(#REF!, 16)="select_multiple ", LEN(#REF!)&gt;16, NOT(ISNUMBER(SEARCH(" ",#REF!, 17)))), AND(LEFT(#REF!, 11)="select_one ", LEN(#REF!)&gt;11, NOT(ISNUMBER(SEARCH(" ",#REF!, 12)))))</formula>
    </cfRule>
    <cfRule type="expression" dxfId="10" priority="30" stopIfTrue="1">
      <formula>OR(#REF!="audio",#REF!= "video")</formula>
    </cfRule>
    <cfRule type="expression" dxfId="9" priority="31" stopIfTrue="1">
      <formula>OR(#REF!="audio",#REF!= "video")</formula>
    </cfRule>
    <cfRule type="expression" dxfId="8" priority="32" stopIfTrue="1">
      <formula>#REF!="image"</formula>
    </cfRule>
    <cfRule type="expression" dxfId="7" priority="33" stopIfTrue="1">
      <formula>#REF!="image"</formula>
    </cfRule>
    <cfRule type="expression" dxfId="6" priority="34" stopIfTrue="1">
      <formula>OR(#REF!="date",#REF!= "datetime")</formula>
    </cfRule>
    <cfRule type="expression" dxfId="5" priority="35" stopIfTrue="1">
      <formula>OR(#REF!="date",#REF!= "datetime")</formula>
    </cfRule>
    <cfRule type="expression" dxfId="4" priority="36" stopIfTrue="1">
      <formula>OR(#REF!="calculate",#REF!= "calculate_here")</formula>
    </cfRule>
    <cfRule type="expression" dxfId="3" priority="37" stopIfTrue="1">
      <formula>#REF!="note"</formula>
    </cfRule>
    <cfRule type="expression" dxfId="2" priority="42" stopIfTrue="1">
      <formula>#REF!="geopoint"</formula>
    </cfRule>
  </conditionalFormatting>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91DC-4213-4974-8D2C-04C33F0DCA54}">
  <dimension ref="B2:F94"/>
  <sheetViews>
    <sheetView workbookViewId="0">
      <selection activeCell="C1" sqref="C1:F1048576"/>
    </sheetView>
  </sheetViews>
  <sheetFormatPr defaultColWidth="10.7109375" defaultRowHeight="15"/>
  <cols>
    <col min="1" max="2" width="10.7109375" style="428"/>
    <col min="3" max="3" width="15.140625" style="439" customWidth="1"/>
    <col min="4" max="4" width="10.7109375" style="440" hidden="1" customWidth="1"/>
    <col min="5" max="5" width="10.7109375" style="440"/>
    <col min="6" max="6" width="41.7109375" style="428" customWidth="1"/>
    <col min="7" max="16384" width="10.7109375" style="428"/>
  </cols>
  <sheetData>
    <row r="2" spans="2:6">
      <c r="C2" s="441"/>
      <c r="D2" s="442"/>
      <c r="E2" s="442"/>
      <c r="F2" s="443"/>
    </row>
    <row r="3" spans="2:6" ht="30">
      <c r="B3" s="429"/>
      <c r="C3" s="430" t="s">
        <v>1070</v>
      </c>
      <c r="D3" s="431" t="s">
        <v>1071</v>
      </c>
      <c r="E3" s="431" t="s">
        <v>1072</v>
      </c>
      <c r="F3" s="431" t="s">
        <v>1073</v>
      </c>
    </row>
    <row r="4" spans="2:6" ht="15.75">
      <c r="B4" s="429"/>
      <c r="C4" s="432"/>
      <c r="D4" s="433" cm="1">
        <f t="array" ref="D4:D93">_xlfn.SEQUENCE(90,1,1,1)</f>
        <v>1</v>
      </c>
      <c r="E4" s="434" t="s">
        <v>1074</v>
      </c>
      <c r="F4" s="433" t="s">
        <v>1075</v>
      </c>
    </row>
    <row r="5" spans="2:6" ht="15.75">
      <c r="B5" s="429"/>
      <c r="C5" s="432"/>
      <c r="D5" s="433">
        <v>2</v>
      </c>
      <c r="E5" s="434" t="s">
        <v>1076</v>
      </c>
      <c r="F5" s="433" t="s">
        <v>1077</v>
      </c>
    </row>
    <row r="6" spans="2:6" ht="15.75">
      <c r="B6" s="429"/>
      <c r="C6" s="432" t="s">
        <v>1078</v>
      </c>
      <c r="D6" s="433">
        <v>3</v>
      </c>
      <c r="E6" s="434" t="s">
        <v>1079</v>
      </c>
      <c r="F6" s="433" t="s">
        <v>1080</v>
      </c>
    </row>
    <row r="7" spans="2:6" ht="15.75">
      <c r="B7" s="429"/>
      <c r="C7" s="432" t="s">
        <v>1078</v>
      </c>
      <c r="D7" s="433">
        <v>4</v>
      </c>
      <c r="E7" s="434" t="s">
        <v>1081</v>
      </c>
      <c r="F7" s="433" t="s">
        <v>1082</v>
      </c>
    </row>
    <row r="8" spans="2:6" ht="15.75">
      <c r="B8" s="429"/>
      <c r="C8" s="432" t="s">
        <v>1078</v>
      </c>
      <c r="D8" s="433">
        <v>5</v>
      </c>
      <c r="E8" s="434" t="s">
        <v>1083</v>
      </c>
      <c r="F8" s="433" t="s">
        <v>1084</v>
      </c>
    </row>
    <row r="9" spans="2:6" ht="15.75">
      <c r="B9" s="429"/>
      <c r="C9" s="432"/>
      <c r="D9" s="433">
        <v>6</v>
      </c>
      <c r="E9" s="434" t="s">
        <v>1085</v>
      </c>
      <c r="F9" s="433" t="s">
        <v>1086</v>
      </c>
    </row>
    <row r="10" spans="2:6" ht="15.75">
      <c r="B10" s="429"/>
      <c r="C10" s="444"/>
      <c r="D10" s="433">
        <v>7</v>
      </c>
      <c r="E10" s="434" t="s">
        <v>1087</v>
      </c>
      <c r="F10" s="435" t="s">
        <v>1088</v>
      </c>
    </row>
    <row r="11" spans="2:6" ht="15.75">
      <c r="B11" s="429"/>
      <c r="C11" s="432"/>
      <c r="D11" s="433">
        <v>8</v>
      </c>
      <c r="E11" s="434" t="s">
        <v>1089</v>
      </c>
      <c r="F11" s="433" t="s">
        <v>1090</v>
      </c>
    </row>
    <row r="12" spans="2:6" ht="15.75">
      <c r="B12" s="429"/>
      <c r="C12" s="432"/>
      <c r="D12" s="433">
        <v>9</v>
      </c>
      <c r="E12" s="434" t="s">
        <v>1091</v>
      </c>
      <c r="F12" s="433" t="s">
        <v>1092</v>
      </c>
    </row>
    <row r="13" spans="2:6" ht="15.75">
      <c r="B13" s="429"/>
      <c r="C13" s="432" t="s">
        <v>1078</v>
      </c>
      <c r="D13" s="433">
        <v>10</v>
      </c>
      <c r="E13" s="434" t="s">
        <v>1093</v>
      </c>
      <c r="F13" s="433" t="s">
        <v>1094</v>
      </c>
    </row>
    <row r="14" spans="2:6" ht="15.75">
      <c r="B14" s="429"/>
      <c r="C14" s="432"/>
      <c r="D14" s="433">
        <v>11</v>
      </c>
      <c r="E14" s="434" t="s">
        <v>1095</v>
      </c>
      <c r="F14" s="433" t="s">
        <v>1096</v>
      </c>
    </row>
    <row r="15" spans="2:6" ht="15.75">
      <c r="B15" s="429"/>
      <c r="C15" s="432"/>
      <c r="D15" s="433">
        <v>12</v>
      </c>
      <c r="E15" s="434" t="s">
        <v>1097</v>
      </c>
      <c r="F15" s="433" t="s">
        <v>1098</v>
      </c>
    </row>
    <row r="16" spans="2:6" ht="15.75">
      <c r="B16" s="429"/>
      <c r="C16" s="432"/>
      <c r="D16" s="433">
        <v>13</v>
      </c>
      <c r="E16" s="434" t="s">
        <v>1099</v>
      </c>
      <c r="F16" s="433" t="s">
        <v>1100</v>
      </c>
    </row>
    <row r="17" spans="2:6" ht="15.75">
      <c r="B17" s="429"/>
      <c r="C17" s="444"/>
      <c r="D17" s="433">
        <v>14</v>
      </c>
      <c r="E17" s="434" t="s">
        <v>1101</v>
      </c>
      <c r="F17" s="435" t="s">
        <v>1102</v>
      </c>
    </row>
    <row r="18" spans="2:6" ht="15.75">
      <c r="B18" s="429"/>
      <c r="C18" s="432" t="s">
        <v>1078</v>
      </c>
      <c r="D18" s="433">
        <v>15</v>
      </c>
      <c r="E18" s="434" t="s">
        <v>1103</v>
      </c>
      <c r="F18" s="433" t="s">
        <v>1104</v>
      </c>
    </row>
    <row r="19" spans="2:6" ht="15.75">
      <c r="B19" s="429"/>
      <c r="C19" s="432"/>
      <c r="D19" s="433">
        <v>16</v>
      </c>
      <c r="E19" s="434" t="s">
        <v>1105</v>
      </c>
      <c r="F19" s="433" t="s">
        <v>1106</v>
      </c>
    </row>
    <row r="20" spans="2:6" ht="15.75">
      <c r="B20" s="429"/>
      <c r="C20" s="432"/>
      <c r="D20" s="433">
        <v>17</v>
      </c>
      <c r="E20" s="434" t="s">
        <v>1107</v>
      </c>
      <c r="F20" s="433" t="s">
        <v>1108</v>
      </c>
    </row>
    <row r="21" spans="2:6" ht="15.75">
      <c r="B21" s="429"/>
      <c r="C21" s="432" t="s">
        <v>1078</v>
      </c>
      <c r="D21" s="433">
        <v>18</v>
      </c>
      <c r="E21" s="434" t="s">
        <v>1109</v>
      </c>
      <c r="F21" s="433" t="s">
        <v>1110</v>
      </c>
    </row>
    <row r="22" spans="2:6" ht="15.75">
      <c r="B22" s="429"/>
      <c r="C22" s="432"/>
      <c r="D22" s="433">
        <v>19</v>
      </c>
      <c r="E22" s="434" t="s">
        <v>1111</v>
      </c>
      <c r="F22" s="433" t="s">
        <v>1112</v>
      </c>
    </row>
    <row r="23" spans="2:6" ht="15.75">
      <c r="B23" s="429"/>
      <c r="C23" s="432"/>
      <c r="D23" s="433">
        <v>20</v>
      </c>
      <c r="E23" s="434" t="s">
        <v>1113</v>
      </c>
      <c r="F23" s="433" t="s">
        <v>1114</v>
      </c>
    </row>
    <row r="24" spans="2:6" ht="15.75">
      <c r="B24" s="429"/>
      <c r="C24" s="432"/>
      <c r="D24" s="433">
        <v>21</v>
      </c>
      <c r="E24" s="434" t="s">
        <v>1115</v>
      </c>
      <c r="F24" s="433" t="s">
        <v>1116</v>
      </c>
    </row>
    <row r="25" spans="2:6" ht="15.75">
      <c r="B25" s="429"/>
      <c r="C25" s="444"/>
      <c r="D25" s="433">
        <v>22</v>
      </c>
      <c r="E25" s="434" t="s">
        <v>1117</v>
      </c>
      <c r="F25" s="435" t="s">
        <v>1118</v>
      </c>
    </row>
    <row r="26" spans="2:6" ht="15.75">
      <c r="B26" s="429"/>
      <c r="C26" s="432"/>
      <c r="D26" s="433">
        <v>23</v>
      </c>
      <c r="E26" s="434" t="s">
        <v>1119</v>
      </c>
      <c r="F26" s="433" t="s">
        <v>1120</v>
      </c>
    </row>
    <row r="27" spans="2:6" ht="15.75">
      <c r="B27" s="429"/>
      <c r="C27" s="432"/>
      <c r="D27" s="433">
        <v>24</v>
      </c>
      <c r="E27" s="434" t="s">
        <v>1121</v>
      </c>
      <c r="F27" s="433" t="s">
        <v>1122</v>
      </c>
    </row>
    <row r="28" spans="2:6" ht="15.75">
      <c r="B28" s="429"/>
      <c r="C28" s="432"/>
      <c r="D28" s="433">
        <v>25</v>
      </c>
      <c r="E28" s="434" t="s">
        <v>1123</v>
      </c>
      <c r="F28" s="433" t="s">
        <v>1124</v>
      </c>
    </row>
    <row r="29" spans="2:6" ht="15.75">
      <c r="B29" s="429"/>
      <c r="C29" s="432"/>
      <c r="D29" s="433">
        <v>26</v>
      </c>
      <c r="E29" s="434" t="s">
        <v>1125</v>
      </c>
      <c r="F29" s="433" t="s">
        <v>1126</v>
      </c>
    </row>
    <row r="30" spans="2:6" ht="15.75">
      <c r="B30" s="429"/>
      <c r="C30" s="432"/>
      <c r="D30" s="433">
        <v>27</v>
      </c>
      <c r="E30" s="434" t="s">
        <v>1127</v>
      </c>
      <c r="F30" s="433" t="s">
        <v>1128</v>
      </c>
    </row>
    <row r="31" spans="2:6" ht="15.75">
      <c r="B31" s="429"/>
      <c r="C31" s="432"/>
      <c r="D31" s="433">
        <v>28</v>
      </c>
      <c r="E31" s="434" t="s">
        <v>1129</v>
      </c>
      <c r="F31" s="433" t="s">
        <v>1130</v>
      </c>
    </row>
    <row r="32" spans="2:6" ht="15.75">
      <c r="B32" s="429"/>
      <c r="C32" s="432"/>
      <c r="D32" s="433">
        <v>29</v>
      </c>
      <c r="E32" s="434" t="s">
        <v>1131</v>
      </c>
      <c r="F32" s="433" t="s">
        <v>1132</v>
      </c>
    </row>
    <row r="33" spans="2:6" ht="15.75">
      <c r="B33" s="429"/>
      <c r="C33" s="432"/>
      <c r="D33" s="433">
        <v>30</v>
      </c>
      <c r="E33" s="434" t="s">
        <v>1133</v>
      </c>
      <c r="F33" s="433" t="s">
        <v>1134</v>
      </c>
    </row>
    <row r="34" spans="2:6" ht="15.75">
      <c r="B34" s="429"/>
      <c r="C34" s="432"/>
      <c r="D34" s="433">
        <v>31</v>
      </c>
      <c r="E34" s="434" t="s">
        <v>1135</v>
      </c>
      <c r="F34" s="433" t="s">
        <v>1136</v>
      </c>
    </row>
    <row r="35" spans="2:6" ht="15.75">
      <c r="B35" s="429"/>
      <c r="C35" s="444"/>
      <c r="D35" s="433">
        <v>32</v>
      </c>
      <c r="E35" s="434" t="s">
        <v>1137</v>
      </c>
      <c r="F35" s="435" t="s">
        <v>1138</v>
      </c>
    </row>
    <row r="36" spans="2:6" ht="15.75">
      <c r="B36" s="429"/>
      <c r="C36" s="432" t="s">
        <v>1078</v>
      </c>
      <c r="D36" s="433">
        <v>33</v>
      </c>
      <c r="E36" s="434" t="s">
        <v>1139</v>
      </c>
      <c r="F36" s="433" t="s">
        <v>1140</v>
      </c>
    </row>
    <row r="37" spans="2:6" ht="15.75">
      <c r="B37" s="429"/>
      <c r="C37" s="432"/>
      <c r="D37" s="433">
        <v>34</v>
      </c>
      <c r="E37" s="434" t="s">
        <v>1141</v>
      </c>
      <c r="F37" s="433" t="s">
        <v>1142</v>
      </c>
    </row>
    <row r="38" spans="2:6" ht="15.75">
      <c r="B38" s="429"/>
      <c r="C38" s="432"/>
      <c r="D38" s="433">
        <v>35</v>
      </c>
      <c r="E38" s="434" t="s">
        <v>1143</v>
      </c>
      <c r="F38" s="433" t="s">
        <v>1144</v>
      </c>
    </row>
    <row r="39" spans="2:6" ht="15.75">
      <c r="B39" s="429"/>
      <c r="C39" s="432"/>
      <c r="D39" s="433">
        <v>36</v>
      </c>
      <c r="E39" s="434" t="s">
        <v>1145</v>
      </c>
      <c r="F39" s="433" t="s">
        <v>1146</v>
      </c>
    </row>
    <row r="40" spans="2:6" ht="15.75">
      <c r="B40" s="429"/>
      <c r="C40" s="432"/>
      <c r="D40" s="433">
        <v>37</v>
      </c>
      <c r="E40" s="434" t="s">
        <v>1147</v>
      </c>
      <c r="F40" s="433" t="s">
        <v>1148</v>
      </c>
    </row>
    <row r="41" spans="2:6" ht="15.75">
      <c r="B41" s="429"/>
      <c r="C41" s="432"/>
      <c r="D41" s="433">
        <v>38</v>
      </c>
      <c r="E41" s="434" t="s">
        <v>1149</v>
      </c>
      <c r="F41" s="433" t="s">
        <v>1150</v>
      </c>
    </row>
    <row r="42" spans="2:6" ht="15.75">
      <c r="B42" s="429"/>
      <c r="C42" s="432"/>
      <c r="D42" s="433">
        <v>39</v>
      </c>
      <c r="E42" s="434" t="s">
        <v>1151</v>
      </c>
      <c r="F42" s="433" t="s">
        <v>1152</v>
      </c>
    </row>
    <row r="43" spans="2:6" ht="15.75">
      <c r="B43" s="429"/>
      <c r="C43" s="432"/>
      <c r="D43" s="433">
        <v>40</v>
      </c>
      <c r="E43" s="434" t="s">
        <v>1153</v>
      </c>
      <c r="F43" s="433" t="s">
        <v>1154</v>
      </c>
    </row>
    <row r="44" spans="2:6" ht="15.75">
      <c r="B44" s="429"/>
      <c r="C44" s="432"/>
      <c r="D44" s="433">
        <v>41</v>
      </c>
      <c r="E44" s="434" t="s">
        <v>1155</v>
      </c>
      <c r="F44" s="433" t="s">
        <v>1156</v>
      </c>
    </row>
    <row r="45" spans="2:6" ht="15.75">
      <c r="B45" s="429"/>
      <c r="C45" s="432"/>
      <c r="D45" s="433">
        <v>42</v>
      </c>
      <c r="E45" s="434" t="s">
        <v>1157</v>
      </c>
      <c r="F45" s="433" t="s">
        <v>1158</v>
      </c>
    </row>
    <row r="46" spans="2:6" ht="15.75">
      <c r="B46" s="429"/>
      <c r="C46" s="432"/>
      <c r="D46" s="433">
        <v>43</v>
      </c>
      <c r="E46" s="434" t="s">
        <v>1159</v>
      </c>
      <c r="F46" s="433" t="s">
        <v>1160</v>
      </c>
    </row>
    <row r="47" spans="2:6" ht="15.75">
      <c r="B47" s="429"/>
      <c r="C47" s="444"/>
      <c r="D47" s="433">
        <v>44</v>
      </c>
      <c r="E47" s="434" t="s">
        <v>1161</v>
      </c>
      <c r="F47" s="435" t="s">
        <v>1162</v>
      </c>
    </row>
    <row r="48" spans="2:6" ht="15.75">
      <c r="B48" s="429"/>
      <c r="C48" s="432"/>
      <c r="D48" s="433">
        <v>45</v>
      </c>
      <c r="E48" s="434" t="s">
        <v>1163</v>
      </c>
      <c r="F48" s="433" t="s">
        <v>1164</v>
      </c>
    </row>
    <row r="49" spans="2:6" ht="15.75">
      <c r="B49" s="429"/>
      <c r="C49" s="432"/>
      <c r="D49" s="433">
        <v>46</v>
      </c>
      <c r="E49" s="434" t="s">
        <v>1165</v>
      </c>
      <c r="F49" s="433" t="s">
        <v>1166</v>
      </c>
    </row>
    <row r="50" spans="2:6" ht="15.75">
      <c r="B50" s="429"/>
      <c r="C50" s="432"/>
      <c r="D50" s="433">
        <v>47</v>
      </c>
      <c r="E50" s="434" t="s">
        <v>1167</v>
      </c>
      <c r="F50" s="433" t="s">
        <v>1168</v>
      </c>
    </row>
    <row r="51" spans="2:6" ht="15.75">
      <c r="B51" s="429"/>
      <c r="C51" s="432"/>
      <c r="D51" s="433">
        <v>48</v>
      </c>
      <c r="E51" s="434" t="s">
        <v>1169</v>
      </c>
      <c r="F51" s="433" t="s">
        <v>1170</v>
      </c>
    </row>
    <row r="52" spans="2:6" ht="15.75">
      <c r="B52" s="429"/>
      <c r="C52" s="444"/>
      <c r="D52" s="433">
        <v>49</v>
      </c>
      <c r="E52" s="434" t="s">
        <v>1171</v>
      </c>
      <c r="F52" s="435" t="s">
        <v>1172</v>
      </c>
    </row>
    <row r="53" spans="2:6" ht="15.75">
      <c r="B53" s="429"/>
      <c r="C53" s="432" t="s">
        <v>1078</v>
      </c>
      <c r="D53" s="433">
        <v>50</v>
      </c>
      <c r="E53" s="434" t="s">
        <v>1173</v>
      </c>
      <c r="F53" s="433" t="s">
        <v>1174</v>
      </c>
    </row>
    <row r="54" spans="2:6" ht="15.75">
      <c r="B54" s="429"/>
      <c r="C54" s="432"/>
      <c r="D54" s="433">
        <v>51</v>
      </c>
      <c r="E54" s="434" t="s">
        <v>1175</v>
      </c>
      <c r="F54" s="433" t="s">
        <v>1176</v>
      </c>
    </row>
    <row r="55" spans="2:6" ht="15.75">
      <c r="B55" s="429"/>
      <c r="C55" s="432"/>
      <c r="D55" s="433">
        <v>52</v>
      </c>
      <c r="E55" s="434" t="s">
        <v>1177</v>
      </c>
      <c r="F55" s="433" t="s">
        <v>1178</v>
      </c>
    </row>
    <row r="56" spans="2:6" ht="15.75">
      <c r="B56" s="429"/>
      <c r="C56" s="432" t="s">
        <v>1078</v>
      </c>
      <c r="D56" s="433">
        <v>53</v>
      </c>
      <c r="E56" s="434" t="s">
        <v>1179</v>
      </c>
      <c r="F56" s="433" t="s">
        <v>1180</v>
      </c>
    </row>
    <row r="57" spans="2:6" ht="15.75">
      <c r="B57" s="429"/>
      <c r="C57" s="432"/>
      <c r="D57" s="433">
        <v>54</v>
      </c>
      <c r="E57" s="434" t="s">
        <v>1181</v>
      </c>
      <c r="F57" s="433" t="s">
        <v>1182</v>
      </c>
    </row>
    <row r="58" spans="2:6" ht="15.75">
      <c r="B58" s="429"/>
      <c r="C58" s="432"/>
      <c r="D58" s="433">
        <v>55</v>
      </c>
      <c r="E58" s="434" t="s">
        <v>1183</v>
      </c>
      <c r="F58" s="433" t="s">
        <v>1184</v>
      </c>
    </row>
    <row r="59" spans="2:6" ht="15.75">
      <c r="B59" s="429"/>
      <c r="C59" s="432"/>
      <c r="D59" s="433">
        <v>56</v>
      </c>
      <c r="E59" s="434" t="s">
        <v>1185</v>
      </c>
      <c r="F59" s="433" t="s">
        <v>1186</v>
      </c>
    </row>
    <row r="60" spans="2:6" ht="15.75">
      <c r="B60" s="429"/>
      <c r="C60" s="432"/>
      <c r="D60" s="433">
        <v>57</v>
      </c>
      <c r="E60" s="434" t="s">
        <v>1187</v>
      </c>
      <c r="F60" s="433" t="s">
        <v>1188</v>
      </c>
    </row>
    <row r="61" spans="2:6" ht="15.75">
      <c r="B61" s="429"/>
      <c r="C61" s="432"/>
      <c r="D61" s="433">
        <v>58</v>
      </c>
      <c r="E61" s="434" t="s">
        <v>1189</v>
      </c>
      <c r="F61" s="433" t="s">
        <v>1190</v>
      </c>
    </row>
    <row r="62" spans="2:6" ht="15.75">
      <c r="B62" s="429"/>
      <c r="C62" s="432"/>
      <c r="D62" s="433">
        <v>59</v>
      </c>
      <c r="E62" s="434" t="s">
        <v>1191</v>
      </c>
      <c r="F62" s="433" t="s">
        <v>1192</v>
      </c>
    </row>
    <row r="63" spans="2:6" ht="15.75">
      <c r="B63" s="429"/>
      <c r="C63" s="432"/>
      <c r="D63" s="433">
        <v>60</v>
      </c>
      <c r="E63" s="434" t="s">
        <v>1193</v>
      </c>
      <c r="F63" s="433" t="s">
        <v>1194</v>
      </c>
    </row>
    <row r="64" spans="2:6" ht="15.75">
      <c r="B64" s="429"/>
      <c r="C64" s="432"/>
      <c r="D64" s="433">
        <v>61</v>
      </c>
      <c r="E64" s="434" t="s">
        <v>1195</v>
      </c>
      <c r="F64" s="433" t="s">
        <v>1196</v>
      </c>
    </row>
    <row r="65" spans="2:6" ht="15.75">
      <c r="B65" s="429"/>
      <c r="C65" s="432"/>
      <c r="D65" s="433">
        <v>62</v>
      </c>
      <c r="E65" s="434" t="s">
        <v>1197</v>
      </c>
      <c r="F65" s="433" t="s">
        <v>1198</v>
      </c>
    </row>
    <row r="66" spans="2:6" ht="15.75">
      <c r="B66" s="429"/>
      <c r="C66" s="432"/>
      <c r="D66" s="433">
        <v>63</v>
      </c>
      <c r="E66" s="434" t="s">
        <v>1199</v>
      </c>
      <c r="F66" s="433" t="s">
        <v>1200</v>
      </c>
    </row>
    <row r="67" spans="2:6" ht="15.75">
      <c r="B67" s="429"/>
      <c r="C67" s="432"/>
      <c r="D67" s="433">
        <v>64</v>
      </c>
      <c r="E67" s="434" t="s">
        <v>1201</v>
      </c>
      <c r="F67" s="433" t="s">
        <v>1202</v>
      </c>
    </row>
    <row r="68" spans="2:6" ht="15.75">
      <c r="B68" s="429"/>
      <c r="C68" s="432"/>
      <c r="D68" s="433">
        <v>65</v>
      </c>
      <c r="E68" s="434" t="s">
        <v>1203</v>
      </c>
      <c r="F68" s="433" t="s">
        <v>1204</v>
      </c>
    </row>
    <row r="69" spans="2:6" ht="15.75">
      <c r="B69" s="429"/>
      <c r="C69" s="432"/>
      <c r="D69" s="433">
        <v>66</v>
      </c>
      <c r="E69" s="434" t="s">
        <v>1205</v>
      </c>
      <c r="F69" s="433" t="s">
        <v>1206</v>
      </c>
    </row>
    <row r="70" spans="2:6" ht="15.75">
      <c r="B70" s="429"/>
      <c r="C70" s="432"/>
      <c r="D70" s="433">
        <v>67</v>
      </c>
      <c r="E70" s="434" t="s">
        <v>1207</v>
      </c>
      <c r="F70" s="433" t="s">
        <v>1208</v>
      </c>
    </row>
    <row r="71" spans="2:6" ht="15.75">
      <c r="B71" s="429"/>
      <c r="C71" s="444"/>
      <c r="D71" s="433">
        <v>68</v>
      </c>
      <c r="E71" s="434" t="s">
        <v>1209</v>
      </c>
      <c r="F71" s="435" t="s">
        <v>1210</v>
      </c>
    </row>
    <row r="72" spans="2:6" ht="15.75">
      <c r="B72" s="429"/>
      <c r="C72" s="432"/>
      <c r="D72" s="433">
        <v>69</v>
      </c>
      <c r="E72" s="434" t="s">
        <v>1211</v>
      </c>
      <c r="F72" s="433" t="s">
        <v>1212</v>
      </c>
    </row>
    <row r="73" spans="2:6" ht="15.75">
      <c r="B73" s="429"/>
      <c r="C73" s="432" t="s">
        <v>1078</v>
      </c>
      <c r="D73" s="433">
        <v>70</v>
      </c>
      <c r="E73" s="434" t="s">
        <v>1213</v>
      </c>
      <c r="F73" s="433" t="s">
        <v>1214</v>
      </c>
    </row>
    <row r="74" spans="2:6" ht="15.75">
      <c r="B74" s="429"/>
      <c r="C74" s="432"/>
      <c r="D74" s="433">
        <v>71</v>
      </c>
      <c r="E74" s="434" t="s">
        <v>1215</v>
      </c>
      <c r="F74" s="433" t="s">
        <v>1216</v>
      </c>
    </row>
    <row r="75" spans="2:6" ht="15.75">
      <c r="B75" s="429"/>
      <c r="C75" s="432"/>
      <c r="D75" s="433">
        <v>72</v>
      </c>
      <c r="E75" s="434" t="s">
        <v>1217</v>
      </c>
      <c r="F75" s="433" t="s">
        <v>1218</v>
      </c>
    </row>
    <row r="76" spans="2:6" ht="15.75">
      <c r="B76" s="429"/>
      <c r="C76" s="432"/>
      <c r="D76" s="433">
        <v>73</v>
      </c>
      <c r="E76" s="434" t="s">
        <v>1219</v>
      </c>
      <c r="F76" s="433" t="s">
        <v>1220</v>
      </c>
    </row>
    <row r="77" spans="2:6" ht="15.75">
      <c r="B77" s="429"/>
      <c r="C77" s="432"/>
      <c r="D77" s="433">
        <v>74</v>
      </c>
      <c r="E77" s="434" t="s">
        <v>1221</v>
      </c>
      <c r="F77" s="433" t="s">
        <v>1222</v>
      </c>
    </row>
    <row r="78" spans="2:6" ht="15.75">
      <c r="B78" s="429"/>
      <c r="C78" s="432"/>
      <c r="D78" s="433">
        <v>75</v>
      </c>
      <c r="E78" s="434" t="s">
        <v>1223</v>
      </c>
      <c r="F78" s="433" t="s">
        <v>1224</v>
      </c>
    </row>
    <row r="79" spans="2:6" ht="15.75">
      <c r="B79" s="429"/>
      <c r="C79" s="432"/>
      <c r="D79" s="433">
        <v>76</v>
      </c>
      <c r="E79" s="434" t="s">
        <v>1225</v>
      </c>
      <c r="F79" s="433" t="s">
        <v>1226</v>
      </c>
    </row>
    <row r="80" spans="2:6" ht="15.75">
      <c r="B80" s="429"/>
      <c r="C80" s="444"/>
      <c r="D80" s="433">
        <v>77</v>
      </c>
      <c r="E80" s="434" t="s">
        <v>1227</v>
      </c>
      <c r="F80" s="435" t="s">
        <v>1228</v>
      </c>
    </row>
    <row r="81" spans="2:6" ht="15.75">
      <c r="B81" s="429"/>
      <c r="C81" s="432"/>
      <c r="D81" s="433">
        <v>78</v>
      </c>
      <c r="E81" s="434" t="s">
        <v>1229</v>
      </c>
      <c r="F81" s="433" t="s">
        <v>1230</v>
      </c>
    </row>
    <row r="82" spans="2:6" ht="15.75">
      <c r="B82" s="429"/>
      <c r="C82" s="432"/>
      <c r="D82" s="433">
        <v>79</v>
      </c>
      <c r="E82" s="434" t="s">
        <v>1231</v>
      </c>
      <c r="F82" s="433" t="s">
        <v>1232</v>
      </c>
    </row>
    <row r="83" spans="2:6" ht="15.75">
      <c r="B83" s="429"/>
      <c r="C83" s="432"/>
      <c r="D83" s="433">
        <v>80</v>
      </c>
      <c r="E83" s="434" t="s">
        <v>1233</v>
      </c>
      <c r="F83" s="433" t="s">
        <v>1234</v>
      </c>
    </row>
    <row r="84" spans="2:6" ht="15.75">
      <c r="B84" s="429"/>
      <c r="C84" s="432"/>
      <c r="D84" s="433">
        <v>81</v>
      </c>
      <c r="E84" s="434" t="s">
        <v>1235</v>
      </c>
      <c r="F84" s="433" t="s">
        <v>1236</v>
      </c>
    </row>
    <row r="85" spans="2:6" ht="15.75">
      <c r="B85" s="429"/>
      <c r="C85" s="432"/>
      <c r="D85" s="433">
        <v>82</v>
      </c>
      <c r="E85" s="434" t="s">
        <v>1237</v>
      </c>
      <c r="F85" s="433" t="s">
        <v>1238</v>
      </c>
    </row>
    <row r="86" spans="2:6" ht="15.75">
      <c r="B86" s="429"/>
      <c r="C86" s="444"/>
      <c r="D86" s="433">
        <v>83</v>
      </c>
      <c r="E86" s="434" t="s">
        <v>1239</v>
      </c>
      <c r="F86" s="435" t="s">
        <v>1240</v>
      </c>
    </row>
    <row r="87" spans="2:6" ht="15.75">
      <c r="B87" s="429"/>
      <c r="C87" s="432"/>
      <c r="D87" s="433">
        <v>84</v>
      </c>
      <c r="E87" s="434" t="s">
        <v>1241</v>
      </c>
      <c r="F87" s="433" t="s">
        <v>1242</v>
      </c>
    </row>
    <row r="88" spans="2:6" ht="15.75">
      <c r="B88" s="429"/>
      <c r="C88" s="432"/>
      <c r="D88" s="433">
        <v>85</v>
      </c>
      <c r="E88" s="434" t="s">
        <v>1243</v>
      </c>
      <c r="F88" s="433" t="s">
        <v>1244</v>
      </c>
    </row>
    <row r="89" spans="2:6" ht="15.75">
      <c r="B89" s="429"/>
      <c r="C89" s="432"/>
      <c r="D89" s="433">
        <v>86</v>
      </c>
      <c r="E89" s="434" t="s">
        <v>1245</v>
      </c>
      <c r="F89" s="433" t="s">
        <v>1246</v>
      </c>
    </row>
    <row r="90" spans="2:6" ht="15.75">
      <c r="B90" s="429"/>
      <c r="C90" s="432"/>
      <c r="D90" s="433">
        <v>87</v>
      </c>
      <c r="E90" s="434" t="s">
        <v>1247</v>
      </c>
      <c r="F90" s="433" t="s">
        <v>1248</v>
      </c>
    </row>
    <row r="91" spans="2:6" ht="15.75">
      <c r="B91" s="429"/>
      <c r="C91" s="432"/>
      <c r="D91" s="433">
        <v>88</v>
      </c>
      <c r="E91" s="434" t="s">
        <v>1249</v>
      </c>
      <c r="F91" s="433" t="s">
        <v>1250</v>
      </c>
    </row>
    <row r="92" spans="2:6" ht="15.75">
      <c r="B92" s="429"/>
      <c r="C92" s="432"/>
      <c r="D92" s="433">
        <v>89</v>
      </c>
      <c r="E92" s="434" t="s">
        <v>1251</v>
      </c>
      <c r="F92" s="433" t="s">
        <v>1252</v>
      </c>
    </row>
    <row r="93" spans="2:6" ht="15.75">
      <c r="B93" s="429"/>
      <c r="C93" s="444"/>
      <c r="D93" s="433">
        <v>90</v>
      </c>
      <c r="E93" s="434" t="s">
        <v>1253</v>
      </c>
      <c r="F93" s="435" t="s">
        <v>1254</v>
      </c>
    </row>
    <row r="94" spans="2:6">
      <c r="C94" s="436"/>
      <c r="D94" s="437"/>
      <c r="E94" s="437"/>
      <c r="F94" s="438"/>
    </row>
  </sheetData>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AC38D673-8E01-479D-A285-447281886172}">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71EE-BA29-410E-BFE6-2FF679F1302C}">
  <dimension ref="A1:J20"/>
  <sheetViews>
    <sheetView topLeftCell="A17" workbookViewId="0">
      <selection activeCell="D19" sqref="D19"/>
    </sheetView>
  </sheetViews>
  <sheetFormatPr defaultColWidth="10.7109375" defaultRowHeight="15.75"/>
  <cols>
    <col min="1" max="1" width="10.7109375" style="367"/>
    <col min="2" max="2" width="8.7109375" style="367" customWidth="1"/>
    <col min="3" max="3" width="27.7109375" style="367" customWidth="1"/>
    <col min="4" max="4" width="28" style="367" customWidth="1"/>
    <col min="5" max="5" width="51.140625" style="427" customWidth="1"/>
    <col min="6" max="6" width="22.7109375" style="367" customWidth="1"/>
    <col min="7" max="8" width="10.7109375" style="367"/>
    <col min="9" max="9" width="44" style="367" customWidth="1"/>
    <col min="10" max="16384" width="10.7109375" style="367"/>
  </cols>
  <sheetData>
    <row r="1" spans="1:10" ht="16.5" thickBot="1">
      <c r="C1" s="368"/>
      <c r="D1" s="368"/>
      <c r="E1" s="369"/>
      <c r="F1" s="368"/>
    </row>
    <row r="2" spans="1:10" ht="16.5" thickBot="1">
      <c r="A2" s="370"/>
      <c r="B2" s="371"/>
      <c r="C2" s="372" t="s">
        <v>1026</v>
      </c>
      <c r="D2" s="373" t="s">
        <v>1027</v>
      </c>
      <c r="E2" s="374" t="s">
        <v>1028</v>
      </c>
      <c r="F2" s="375" t="s">
        <v>1029</v>
      </c>
      <c r="G2" s="376"/>
    </row>
    <row r="3" spans="1:10" ht="30">
      <c r="A3" s="370"/>
      <c r="B3" s="636" t="s">
        <v>1256</v>
      </c>
      <c r="C3" s="377" t="s">
        <v>1030</v>
      </c>
      <c r="D3" s="378" t="s">
        <v>1031</v>
      </c>
      <c r="E3" s="379" t="s">
        <v>1032</v>
      </c>
      <c r="F3" s="380" t="s">
        <v>1033</v>
      </c>
      <c r="G3" s="376"/>
    </row>
    <row r="4" spans="1:10" ht="30">
      <c r="A4" s="370"/>
      <c r="B4" s="637"/>
      <c r="C4" s="381" t="s">
        <v>1034</v>
      </c>
      <c r="D4" s="382" t="s">
        <v>1257</v>
      </c>
      <c r="E4" s="383" t="s">
        <v>1035</v>
      </c>
      <c r="F4" s="384" t="s">
        <v>1036</v>
      </c>
      <c r="G4" s="376"/>
    </row>
    <row r="5" spans="1:10" ht="75">
      <c r="A5" s="370"/>
      <c r="B5" s="637"/>
      <c r="C5" s="381" t="s">
        <v>1037</v>
      </c>
      <c r="D5" s="382" t="s">
        <v>1038</v>
      </c>
      <c r="E5" s="383" t="s">
        <v>1039</v>
      </c>
      <c r="F5" s="384" t="s">
        <v>1038</v>
      </c>
      <c r="G5" s="376"/>
    </row>
    <row r="6" spans="1:10" ht="75">
      <c r="A6" s="370"/>
      <c r="B6" s="637"/>
      <c r="C6" s="381" t="s">
        <v>1040</v>
      </c>
      <c r="D6" s="382" t="s">
        <v>1041</v>
      </c>
      <c r="E6" s="385" t="s">
        <v>1042</v>
      </c>
      <c r="F6" s="386" t="s">
        <v>1043</v>
      </c>
      <c r="G6" s="376"/>
    </row>
    <row r="7" spans="1:10" ht="105">
      <c r="A7" s="370"/>
      <c r="B7" s="637"/>
      <c r="C7" s="381" t="s">
        <v>1044</v>
      </c>
      <c r="D7" s="382" t="s">
        <v>1258</v>
      </c>
      <c r="E7" s="385" t="s">
        <v>1259</v>
      </c>
      <c r="F7" s="386" t="s">
        <v>1045</v>
      </c>
      <c r="G7" s="376"/>
    </row>
    <row r="8" spans="1:10" ht="60">
      <c r="A8" s="370"/>
      <c r="B8" s="637"/>
      <c r="C8" s="387" t="s">
        <v>1046</v>
      </c>
      <c r="D8" s="382"/>
      <c r="E8" s="388" t="s">
        <v>1260</v>
      </c>
      <c r="F8" s="386" t="s">
        <v>1047</v>
      </c>
      <c r="G8" s="376"/>
    </row>
    <row r="9" spans="1:10" ht="45.75" thickBot="1">
      <c r="A9" s="370"/>
      <c r="B9" s="638"/>
      <c r="C9" s="389" t="s">
        <v>1048</v>
      </c>
      <c r="D9" s="390"/>
      <c r="E9" s="391" t="s">
        <v>1261</v>
      </c>
      <c r="F9" s="392">
        <v>0.2</v>
      </c>
      <c r="G9" s="376"/>
    </row>
    <row r="10" spans="1:10" ht="30">
      <c r="A10" s="370"/>
      <c r="B10" s="636" t="s">
        <v>1262</v>
      </c>
      <c r="C10" s="393" t="s">
        <v>1049</v>
      </c>
      <c r="D10" s="394" t="s">
        <v>1050</v>
      </c>
      <c r="E10" s="395" t="s">
        <v>1051</v>
      </c>
      <c r="F10" s="396" t="s">
        <v>1052</v>
      </c>
      <c r="G10" s="376"/>
    </row>
    <row r="11" spans="1:10" ht="105">
      <c r="A11" s="370"/>
      <c r="B11" s="637"/>
      <c r="C11" s="397" t="s">
        <v>1053</v>
      </c>
      <c r="D11" s="398">
        <v>5</v>
      </c>
      <c r="E11" s="399" t="s">
        <v>1263</v>
      </c>
      <c r="F11" s="400">
        <v>5</v>
      </c>
      <c r="G11" s="376"/>
      <c r="I11" s="368"/>
    </row>
    <row r="12" spans="1:10" ht="165">
      <c r="A12" s="370"/>
      <c r="B12" s="637"/>
      <c r="C12" s="381" t="s">
        <v>1054</v>
      </c>
      <c r="D12" s="401">
        <v>500000</v>
      </c>
      <c r="E12" s="385" t="s">
        <v>1264</v>
      </c>
      <c r="F12" s="402">
        <v>5000000</v>
      </c>
      <c r="G12" s="376"/>
      <c r="H12" s="370"/>
      <c r="I12" s="403"/>
      <c r="J12" s="376"/>
    </row>
    <row r="13" spans="1:10" ht="120">
      <c r="A13" s="370"/>
      <c r="B13" s="637"/>
      <c r="C13" s="397" t="s">
        <v>1055</v>
      </c>
      <c r="D13" s="398">
        <v>100000</v>
      </c>
      <c r="E13" s="388" t="s">
        <v>1265</v>
      </c>
      <c r="F13" s="402">
        <v>1200000</v>
      </c>
      <c r="G13" s="376"/>
      <c r="I13" s="404"/>
    </row>
    <row r="14" spans="1:10" ht="30">
      <c r="A14" s="370"/>
      <c r="B14" s="637"/>
      <c r="C14" s="387" t="s">
        <v>1056</v>
      </c>
      <c r="D14" s="382" t="s">
        <v>1057</v>
      </c>
      <c r="E14" s="385" t="s">
        <v>1058</v>
      </c>
      <c r="F14" s="386" t="s">
        <v>1059</v>
      </c>
      <c r="G14" s="376"/>
    </row>
    <row r="15" spans="1:10" ht="30.75" thickBot="1">
      <c r="A15" s="370"/>
      <c r="B15" s="638"/>
      <c r="C15" s="405" t="s">
        <v>1060</v>
      </c>
      <c r="D15" s="406" t="s">
        <v>1061</v>
      </c>
      <c r="E15" s="407" t="s">
        <v>1062</v>
      </c>
      <c r="F15" s="408" t="s">
        <v>1063</v>
      </c>
      <c r="G15" s="376"/>
    </row>
    <row r="16" spans="1:10" ht="16.5" thickBot="1">
      <c r="A16" s="370"/>
      <c r="B16" s="409"/>
      <c r="C16" s="410"/>
      <c r="D16" s="411"/>
      <c r="E16" s="412"/>
      <c r="F16" s="413"/>
      <c r="G16" s="376"/>
    </row>
    <row r="17" spans="1:7" ht="150">
      <c r="A17" s="370"/>
      <c r="B17" s="639" t="s">
        <v>1266</v>
      </c>
      <c r="C17" s="414" t="s">
        <v>1064</v>
      </c>
      <c r="D17" s="415">
        <v>0.90400000000000003</v>
      </c>
      <c r="E17" s="416" t="s">
        <v>1065</v>
      </c>
      <c r="F17" s="417">
        <v>0.91</v>
      </c>
      <c r="G17" s="376"/>
    </row>
    <row r="18" spans="1:7" ht="150">
      <c r="A18" s="370"/>
      <c r="B18" s="640"/>
      <c r="C18" s="418" t="s">
        <v>1066</v>
      </c>
      <c r="D18" s="419">
        <v>0.45</v>
      </c>
      <c r="E18" s="420" t="s">
        <v>1067</v>
      </c>
      <c r="F18" s="421">
        <v>0.91</v>
      </c>
      <c r="G18" s="376"/>
    </row>
    <row r="19" spans="1:7" ht="135.75" thickBot="1">
      <c r="A19" s="370"/>
      <c r="B19" s="641"/>
      <c r="C19" s="422" t="s">
        <v>1068</v>
      </c>
      <c r="D19" s="423">
        <v>0.05</v>
      </c>
      <c r="E19" s="424" t="s">
        <v>1069</v>
      </c>
      <c r="F19" s="425">
        <v>0.05</v>
      </c>
      <c r="G19" s="376"/>
    </row>
    <row r="20" spans="1:7">
      <c r="B20" s="404"/>
      <c r="C20" s="404"/>
      <c r="D20" s="404"/>
      <c r="E20" s="426"/>
      <c r="F20" s="404"/>
    </row>
  </sheetData>
  <mergeCells count="3">
    <mergeCell ref="B3:B9"/>
    <mergeCell ref="B10:B15"/>
    <mergeCell ref="B17:B19"/>
  </mergeCells>
  <dataValidations count="2">
    <dataValidation type="list" allowBlank="1" showInputMessage="1" showErrorMessage="1" sqref="D5" xr:uid="{09FEA9EF-59F1-4B2F-9A86-DF22AD341B73}">
      <formula1>"last year, a normal year"</formula1>
    </dataValidation>
    <dataValidation type="list" allowBlank="1" showInputMessage="1" showErrorMessage="1" sqref="D7" xr:uid="{12BD32FF-FCA9-44D1-95F6-2BAEBD5CF6E7}">
      <formula1>"Not yet in season,Land preparation,Planting,Early growing,Growing,Maturing,Harvesting,Recently finished "</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defaultColWidth="11.42578125" defaultRowHeight="15"/>
  <sheetData>
    <row r="1" spans="1:4">
      <c r="A1" t="s">
        <v>901</v>
      </c>
      <c r="B1" t="s">
        <v>902</v>
      </c>
      <c r="C1" t="s">
        <v>903</v>
      </c>
      <c r="D1" t="s">
        <v>904</v>
      </c>
    </row>
    <row r="2" spans="1:4">
      <c r="A2" t="s">
        <v>78</v>
      </c>
      <c r="B2" s="1">
        <v>50.822540283203118</v>
      </c>
      <c r="C2" s="2">
        <v>1</v>
      </c>
      <c r="D2" s="1">
        <v>50.822540283203118</v>
      </c>
    </row>
    <row r="3" spans="1:4">
      <c r="A3" t="s">
        <v>905</v>
      </c>
      <c r="B3" s="1">
        <v>3.4964737892150879</v>
      </c>
      <c r="C3" s="2">
        <v>0.7969874100719424</v>
      </c>
      <c r="D3" s="1">
        <v>2.7866455896509641</v>
      </c>
    </row>
    <row r="4" spans="1:4">
      <c r="A4" t="s">
        <v>133</v>
      </c>
      <c r="B4" s="1">
        <v>13.753072738647459</v>
      </c>
      <c r="C4" s="2">
        <v>1</v>
      </c>
      <c r="D4" s="1">
        <v>13.753072738647459</v>
      </c>
    </row>
    <row r="5" spans="1:4">
      <c r="A5" t="s">
        <v>139</v>
      </c>
      <c r="B5" s="1">
        <v>2.1173560619354248</v>
      </c>
      <c r="C5" s="2">
        <v>1</v>
      </c>
      <c r="D5" s="1">
        <v>2.1173560619354248</v>
      </c>
    </row>
    <row r="6" spans="1:4">
      <c r="A6" t="s">
        <v>229</v>
      </c>
      <c r="B6" s="1">
        <v>2.284250020980835</v>
      </c>
      <c r="C6" s="2">
        <v>0.7969874100719424</v>
      </c>
      <c r="D6" s="1">
        <v>1.820518508178296</v>
      </c>
    </row>
    <row r="7" spans="1:4">
      <c r="A7" t="s">
        <v>235</v>
      </c>
      <c r="B7" s="1">
        <v>31.372377395629879</v>
      </c>
      <c r="C7" s="2">
        <v>1</v>
      </c>
      <c r="D7" s="1">
        <v>31.372377395629879</v>
      </c>
    </row>
    <row r="8" spans="1:4">
      <c r="A8" t="s">
        <v>906</v>
      </c>
      <c r="B8" s="1">
        <v>7.9225454330444336</v>
      </c>
      <c r="C8" s="2">
        <v>0.15190347721822539</v>
      </c>
      <c r="D8" s="1">
        <v>1.2034621996988211</v>
      </c>
    </row>
    <row r="9" spans="1:4">
      <c r="A9" t="s">
        <v>242</v>
      </c>
      <c r="B9" s="1">
        <v>10.08573150634766</v>
      </c>
      <c r="C9" s="2">
        <v>1</v>
      </c>
      <c r="D9" s="1">
        <v>10.08573150634766</v>
      </c>
    </row>
    <row r="10" spans="1:4">
      <c r="A10" t="s">
        <v>248</v>
      </c>
      <c r="B10" s="1">
        <v>12.894034385681151</v>
      </c>
      <c r="C10" s="2">
        <v>1</v>
      </c>
      <c r="D10" s="1">
        <v>12.894034385681151</v>
      </c>
    </row>
    <row r="11" spans="1:4">
      <c r="A11" t="s">
        <v>907</v>
      </c>
      <c r="B11" s="1">
        <v>15.265829086303709</v>
      </c>
      <c r="C11" s="2">
        <v>0.63796462829736211</v>
      </c>
      <c r="D11" s="1">
        <v>9.7390589786948052</v>
      </c>
    </row>
    <row r="12" spans="1:4">
      <c r="A12" t="s">
        <v>908</v>
      </c>
      <c r="B12" s="1">
        <v>15.12371826171875</v>
      </c>
      <c r="C12" s="2">
        <v>0.59180155875299756</v>
      </c>
      <c r="D12" s="1">
        <v>8.9502400414263317</v>
      </c>
    </row>
    <row r="13" spans="1:4">
      <c r="A13" t="s">
        <v>909</v>
      </c>
      <c r="B13" s="1">
        <v>12.8214111328125</v>
      </c>
      <c r="C13" s="2">
        <v>0.15190347721822539</v>
      </c>
      <c r="D13" s="1">
        <v>1.9476169339186851</v>
      </c>
    </row>
    <row r="14" spans="1:4">
      <c r="A14" t="s">
        <v>262</v>
      </c>
      <c r="B14" s="1">
        <v>15.21184825897217</v>
      </c>
      <c r="C14" s="2">
        <v>0.51611211031175064</v>
      </c>
      <c r="D14" s="1">
        <v>7.8510191066802557</v>
      </c>
    </row>
    <row r="15" spans="1:4">
      <c r="A15" t="s">
        <v>910</v>
      </c>
      <c r="B15" s="1">
        <v>19.310310363769531</v>
      </c>
      <c r="C15" s="2">
        <v>0.15190347721822539</v>
      </c>
      <c r="D15" s="1">
        <v>2.9333032904197269</v>
      </c>
    </row>
    <row r="16" spans="1:4">
      <c r="A16" t="s">
        <v>286</v>
      </c>
      <c r="B16" s="1">
        <v>36.928733825683587</v>
      </c>
      <c r="C16" s="2">
        <v>1</v>
      </c>
      <c r="D16" s="1">
        <v>36.928733825683587</v>
      </c>
    </row>
    <row r="17" spans="1:4">
      <c r="A17" t="s">
        <v>301</v>
      </c>
      <c r="B17" s="1">
        <v>40.047317504882813</v>
      </c>
      <c r="C17" s="2">
        <v>0.75547062350119909</v>
      </c>
      <c r="D17" s="1">
        <v>30.254571924964299</v>
      </c>
    </row>
    <row r="18" spans="1:4">
      <c r="A18" t="s">
        <v>307</v>
      </c>
      <c r="B18" s="1">
        <v>3.6870110034942631</v>
      </c>
      <c r="C18" s="2">
        <v>4.7886690647482022E-2</v>
      </c>
      <c r="D18" s="1">
        <v>0.17655875533819201</v>
      </c>
    </row>
    <row r="19" spans="1:4">
      <c r="A19" t="s">
        <v>320</v>
      </c>
      <c r="B19" s="1">
        <v>27.242166519165039</v>
      </c>
      <c r="C19" s="2">
        <v>0.94476918465227822</v>
      </c>
      <c r="D19" s="1">
        <v>25.73755945047315</v>
      </c>
    </row>
    <row r="20" spans="1:4">
      <c r="A20" t="s">
        <v>323</v>
      </c>
      <c r="B20" s="1">
        <v>25.308004379272461</v>
      </c>
      <c r="C20" s="2">
        <v>0.94476918465227822</v>
      </c>
      <c r="D20" s="1">
        <v>23.910222662581528</v>
      </c>
    </row>
    <row r="21" spans="1:4">
      <c r="A21" t="s">
        <v>332</v>
      </c>
      <c r="B21" s="1">
        <v>30.828470230102539</v>
      </c>
      <c r="C21" s="2">
        <v>0.33902877697841732</v>
      </c>
      <c r="D21" s="1">
        <v>10.451738558227211</v>
      </c>
    </row>
    <row r="22" spans="1:4">
      <c r="A22" t="s">
        <v>335</v>
      </c>
      <c r="B22" s="1">
        <v>2.29411768913269</v>
      </c>
      <c r="C22" s="2">
        <v>1.14658273381295E-2</v>
      </c>
      <c r="D22" s="1">
        <v>2.6303957316944071E-2</v>
      </c>
    </row>
    <row r="23" spans="1:4">
      <c r="A23" t="s">
        <v>348</v>
      </c>
      <c r="B23" s="1">
        <v>21.193256378173832</v>
      </c>
      <c r="C23" s="2">
        <v>0.43120503597122301</v>
      </c>
      <c r="D23" s="1">
        <v>9.1386388788977975</v>
      </c>
    </row>
    <row r="24" spans="1:4">
      <c r="A24" t="s">
        <v>354</v>
      </c>
      <c r="B24" s="1">
        <v>20.229927062988281</v>
      </c>
      <c r="C24" s="2">
        <v>0.43120503597122301</v>
      </c>
      <c r="D24" s="1">
        <v>8.7232464268910803</v>
      </c>
    </row>
    <row r="25" spans="1:4">
      <c r="A25" t="s">
        <v>362</v>
      </c>
      <c r="B25" s="1">
        <v>29.42983245849609</v>
      </c>
      <c r="C25" s="2">
        <v>7.6363908872901676E-2</v>
      </c>
      <c r="D25" s="1">
        <v>2.24737704400536</v>
      </c>
    </row>
    <row r="26" spans="1:4">
      <c r="A26" t="s">
        <v>366</v>
      </c>
      <c r="B26" s="1">
        <v>1.555555582046509</v>
      </c>
      <c r="C26" s="2">
        <v>2.0233812949640292E-3</v>
      </c>
      <c r="D26" s="1">
        <v>3.1474820679897879E-3</v>
      </c>
    </row>
    <row r="27" spans="1:4">
      <c r="A27" t="s">
        <v>378</v>
      </c>
      <c r="B27" s="1">
        <v>16.348396301269531</v>
      </c>
      <c r="C27" s="2">
        <v>0.1144334532374101</v>
      </c>
      <c r="D27" s="1">
        <v>1.870803443647975</v>
      </c>
    </row>
    <row r="28" spans="1:4">
      <c r="A28" t="s">
        <v>911</v>
      </c>
      <c r="B28" s="1">
        <v>39.025390625</v>
      </c>
      <c r="C28" s="2">
        <v>0.7969124700239808</v>
      </c>
      <c r="D28" s="1">
        <v>31.099820436619449</v>
      </c>
    </row>
    <row r="29" spans="1:4">
      <c r="A29" t="s">
        <v>912</v>
      </c>
      <c r="B29" s="1">
        <v>10.040084838867189</v>
      </c>
      <c r="C29" s="2">
        <v>3.5521582733812951E-2</v>
      </c>
      <c r="D29" s="1">
        <v>0.35663970425832192</v>
      </c>
    </row>
    <row r="30" spans="1:4">
      <c r="A30" t="s">
        <v>388</v>
      </c>
      <c r="B30" s="1">
        <v>26.118782043457031</v>
      </c>
      <c r="C30" s="2">
        <v>0.35708932853717018</v>
      </c>
      <c r="D30" s="1">
        <v>9.3267383421067702</v>
      </c>
    </row>
    <row r="31" spans="1:4">
      <c r="A31" t="s">
        <v>406</v>
      </c>
      <c r="B31" s="1">
        <v>27.057552337646481</v>
      </c>
      <c r="C31" s="2">
        <v>0.50651978417266186</v>
      </c>
      <c r="D31" s="1">
        <v>13.705185570305201</v>
      </c>
    </row>
    <row r="32" spans="1:4">
      <c r="A32" t="s">
        <v>913</v>
      </c>
      <c r="B32" s="1">
        <v>15.983505249023439</v>
      </c>
      <c r="C32" s="2">
        <v>0.37709832134292559</v>
      </c>
      <c r="D32" s="1">
        <v>6.0273529985825789</v>
      </c>
    </row>
    <row r="33" spans="1:4">
      <c r="A33" t="s">
        <v>914</v>
      </c>
      <c r="B33" s="1">
        <v>3.4111571311950679</v>
      </c>
      <c r="C33" s="2">
        <v>3.6270983213429253E-2</v>
      </c>
      <c r="D33" s="1">
        <v>0.1237260230439458</v>
      </c>
    </row>
    <row r="34" spans="1:4">
      <c r="A34" t="s">
        <v>915</v>
      </c>
      <c r="B34" s="1">
        <v>5.6326532363891602</v>
      </c>
      <c r="C34" s="2">
        <v>3.6720623501199038E-3</v>
      </c>
      <c r="D34" s="1">
        <v>2.068345388062566E-2</v>
      </c>
    </row>
    <row r="35" spans="1:4">
      <c r="A35" t="s">
        <v>916</v>
      </c>
      <c r="B35" s="1">
        <v>15.95429515838623</v>
      </c>
      <c r="C35" s="2">
        <v>0.25906774580335729</v>
      </c>
      <c r="D35" s="1">
        <v>4.1332432825645391</v>
      </c>
    </row>
    <row r="36" spans="1:4">
      <c r="A36" t="s">
        <v>421</v>
      </c>
      <c r="B36" s="1">
        <v>17.928909301757809</v>
      </c>
      <c r="C36" s="2">
        <v>0.14231115107913669</v>
      </c>
      <c r="D36" s="1">
        <v>2.551483720326595</v>
      </c>
    </row>
    <row r="37" spans="1:4">
      <c r="A37" t="s">
        <v>429</v>
      </c>
      <c r="B37" s="1">
        <v>25.436874389648441</v>
      </c>
      <c r="C37" s="2">
        <v>0.49385491606714632</v>
      </c>
      <c r="D37" s="1">
        <v>12.56212546671037</v>
      </c>
    </row>
    <row r="38" spans="1:4">
      <c r="A38" t="s">
        <v>436</v>
      </c>
      <c r="B38" s="1">
        <v>19.364946365356449</v>
      </c>
      <c r="C38" s="2">
        <v>0.49385491606714632</v>
      </c>
      <c r="D38" s="1">
        <v>9.5634739619078957</v>
      </c>
    </row>
    <row r="39" spans="1:4">
      <c r="A39" t="s">
        <v>917</v>
      </c>
      <c r="B39" s="1">
        <v>13.458864212036129</v>
      </c>
      <c r="C39" s="2">
        <v>0.38803956834532372</v>
      </c>
      <c r="D39" s="1">
        <v>5.222571859256826</v>
      </c>
    </row>
    <row r="40" spans="1:4">
      <c r="A40" t="s">
        <v>444</v>
      </c>
      <c r="B40" s="1">
        <v>37.523288726806641</v>
      </c>
      <c r="C40" s="2">
        <v>0.30732913669064749</v>
      </c>
      <c r="D40" s="1">
        <v>11.531999930203391</v>
      </c>
    </row>
    <row r="41" spans="1:4">
      <c r="A41" t="s">
        <v>918</v>
      </c>
      <c r="B41" s="1">
        <v>12.68148708343506</v>
      </c>
      <c r="C41" s="2">
        <v>0.2983363309352518</v>
      </c>
      <c r="D41" s="1">
        <v>3.783348327274803</v>
      </c>
    </row>
    <row r="42" spans="1:4">
      <c r="A42" t="s">
        <v>473</v>
      </c>
      <c r="B42" s="1">
        <v>22.61360931396484</v>
      </c>
      <c r="C42" s="2">
        <v>0.12335131894484409</v>
      </c>
      <c r="D42" s="1">
        <v>2.789418534980975</v>
      </c>
    </row>
    <row r="43" spans="1:4">
      <c r="A43" t="s">
        <v>481</v>
      </c>
      <c r="B43" s="1">
        <v>21.701908111572269</v>
      </c>
      <c r="C43" s="2">
        <v>0.38489208633093519</v>
      </c>
      <c r="D43" s="1">
        <v>8.3528926904252963</v>
      </c>
    </row>
    <row r="44" spans="1:4">
      <c r="A44" t="s">
        <v>919</v>
      </c>
      <c r="B44" s="1">
        <v>12.12575531005859</v>
      </c>
      <c r="C44" s="2">
        <v>6.1975419664268588E-2</v>
      </c>
      <c r="D44" s="1">
        <v>0.75149877408711463</v>
      </c>
    </row>
    <row r="45" spans="1:4">
      <c r="A45" t="s">
        <v>920</v>
      </c>
      <c r="B45" s="1">
        <v>13.560262680053709</v>
      </c>
      <c r="C45" s="2">
        <v>0.14860611510791369</v>
      </c>
      <c r="D45" s="1">
        <v>2.0151379567256069</v>
      </c>
    </row>
    <row r="46" spans="1:4">
      <c r="A46" t="s">
        <v>921</v>
      </c>
      <c r="B46" s="1">
        <v>14.065656661987299</v>
      </c>
      <c r="C46" s="2">
        <v>1.4838129496402881E-2</v>
      </c>
      <c r="D46" s="1">
        <v>0.20870803500250951</v>
      </c>
    </row>
    <row r="47" spans="1:4">
      <c r="A47" t="s">
        <v>922</v>
      </c>
      <c r="B47" s="1">
        <v>11.010929107666019</v>
      </c>
      <c r="C47" s="2">
        <v>1.371402877697842E-2</v>
      </c>
      <c r="D47" s="1">
        <v>0.15100419864380099</v>
      </c>
    </row>
    <row r="48" spans="1:4">
      <c r="A48" t="s">
        <v>923</v>
      </c>
      <c r="B48" s="1">
        <v>4.8961749076843262</v>
      </c>
      <c r="C48" s="2">
        <v>1.371402877697842E-2</v>
      </c>
      <c r="D48" s="1">
        <v>6.7146283581102487E-2</v>
      </c>
    </row>
    <row r="49" spans="1:4">
      <c r="A49" t="s">
        <v>494</v>
      </c>
      <c r="B49" s="1">
        <v>20.2944221496582</v>
      </c>
      <c r="C49" s="2">
        <v>0.40572541966426862</v>
      </c>
      <c r="D49" s="1">
        <v>8.2339629435139017</v>
      </c>
    </row>
    <row r="50" spans="1:4">
      <c r="A50" t="s">
        <v>498</v>
      </c>
      <c r="B50" s="1">
        <v>18.539077758789059</v>
      </c>
      <c r="C50" s="2">
        <v>0.40272781774580341</v>
      </c>
      <c r="D50" s="1">
        <v>7.4662023288168777</v>
      </c>
    </row>
    <row r="51" spans="1:4">
      <c r="A51" t="s">
        <v>503</v>
      </c>
      <c r="B51" s="1">
        <v>8.9158916473388672</v>
      </c>
      <c r="C51" s="2">
        <v>0.40272781774580341</v>
      </c>
      <c r="D51" s="1">
        <v>3.590677586390818</v>
      </c>
    </row>
    <row r="52" spans="1:4">
      <c r="A52" t="s">
        <v>508</v>
      </c>
      <c r="B52" s="1">
        <v>25.81001091003418</v>
      </c>
      <c r="C52" s="2">
        <v>0.40272781774580341</v>
      </c>
      <c r="D52" s="1">
        <v>10.39440936979344</v>
      </c>
    </row>
    <row r="53" spans="1:4">
      <c r="A53" t="s">
        <v>924</v>
      </c>
      <c r="B53" s="1">
        <v>19.55319786071777</v>
      </c>
      <c r="C53" s="2">
        <v>0.29301558752997597</v>
      </c>
      <c r="D53" s="1">
        <v>5.729391759248089</v>
      </c>
    </row>
    <row r="54" spans="1:4">
      <c r="A54" t="s">
        <v>925</v>
      </c>
      <c r="B54" s="1">
        <v>13.613316535949711</v>
      </c>
      <c r="C54" s="2">
        <v>0.3038818944844125</v>
      </c>
      <c r="D54" s="1">
        <v>4.1368404191603769</v>
      </c>
    </row>
    <row r="55" spans="1:4">
      <c r="A55" t="s">
        <v>525</v>
      </c>
      <c r="B55" s="1">
        <v>27.754648208618161</v>
      </c>
      <c r="C55" s="2">
        <v>0.205560551558753</v>
      </c>
      <c r="D55" s="1">
        <v>5.7052607940827054</v>
      </c>
    </row>
    <row r="56" spans="1:4">
      <c r="A56" t="s">
        <v>533</v>
      </c>
      <c r="B56" s="1">
        <v>13.99939060211182</v>
      </c>
      <c r="C56" s="2">
        <v>0.2460281774580336</v>
      </c>
      <c r="D56" s="1">
        <v>3.4442445553606928</v>
      </c>
    </row>
    <row r="57" spans="1:4">
      <c r="A57" t="s">
        <v>926</v>
      </c>
      <c r="B57" s="1">
        <v>10.25279426574707</v>
      </c>
      <c r="C57" s="2">
        <v>0.174310551558753</v>
      </c>
      <c r="D57" s="1">
        <v>1.787170223480792</v>
      </c>
    </row>
    <row r="58" spans="1:4">
      <c r="A58" t="s">
        <v>543</v>
      </c>
      <c r="B58" s="1">
        <v>24.194343566894531</v>
      </c>
      <c r="C58" s="2">
        <v>0.1033423261390887</v>
      </c>
      <c r="D58" s="1">
        <v>2.500299743611178</v>
      </c>
    </row>
    <row r="59" spans="1:4">
      <c r="A59" t="s">
        <v>551</v>
      </c>
      <c r="B59" s="1">
        <v>19.321737289428711</v>
      </c>
      <c r="C59" s="2">
        <v>0.23478717026378901</v>
      </c>
      <c r="D59" s="1">
        <v>4.5364960227653004</v>
      </c>
    </row>
    <row r="60" spans="1:4">
      <c r="A60" t="s">
        <v>927</v>
      </c>
      <c r="B60" s="1">
        <v>6.0948905944824219</v>
      </c>
      <c r="C60" s="2">
        <v>1.0266786570743411E-2</v>
      </c>
      <c r="D60" s="1">
        <v>6.2574940905582424E-2</v>
      </c>
    </row>
    <row r="61" spans="1:4">
      <c r="A61" t="s">
        <v>928</v>
      </c>
      <c r="B61" s="1">
        <v>17.534246444702148</v>
      </c>
      <c r="C61" s="2">
        <v>1.6411870503597121E-2</v>
      </c>
      <c r="D61" s="1">
        <v>0.28776978202860992</v>
      </c>
    </row>
    <row r="62" spans="1:4">
      <c r="A62" t="s">
        <v>929</v>
      </c>
      <c r="B62" s="1">
        <v>31.458333969116211</v>
      </c>
      <c r="C62" s="2">
        <v>1.798561151079137E-3</v>
      </c>
      <c r="D62" s="1">
        <v>5.657973735452556E-2</v>
      </c>
    </row>
    <row r="63" spans="1:4">
      <c r="A63" t="s">
        <v>930</v>
      </c>
      <c r="B63" s="1">
        <v>2.5</v>
      </c>
      <c r="C63" s="2">
        <v>1.4988009592326141E-4</v>
      </c>
      <c r="D63" s="1">
        <v>3.7470023980815342E-4</v>
      </c>
    </row>
    <row r="64" spans="1:4">
      <c r="A64" t="s">
        <v>931</v>
      </c>
      <c r="B64" s="1">
        <v>5.75</v>
      </c>
      <c r="C64" s="2">
        <v>2.9976019184652282E-4</v>
      </c>
      <c r="D64" s="1">
        <v>1.7236211031175059E-3</v>
      </c>
    </row>
    <row r="65" spans="1:4">
      <c r="A65" t="s">
        <v>932</v>
      </c>
      <c r="B65" s="1">
        <v>4.5</v>
      </c>
      <c r="C65" s="2">
        <v>1.4988009592326141E-4</v>
      </c>
      <c r="D65" s="1">
        <v>6.7446043165467619E-4</v>
      </c>
    </row>
    <row r="66" spans="1:4">
      <c r="A66" t="s">
        <v>933</v>
      </c>
      <c r="B66" s="1">
        <v>3</v>
      </c>
      <c r="C66" s="2">
        <v>7.494004796163069E-5</v>
      </c>
      <c r="D66" s="1">
        <v>2.248201438848921E-4</v>
      </c>
    </row>
    <row r="67" spans="1:4">
      <c r="A67" t="s">
        <v>934</v>
      </c>
      <c r="B67" s="1">
        <v>2</v>
      </c>
      <c r="C67" s="2">
        <v>7.494004796163069E-5</v>
      </c>
      <c r="D67" s="1">
        <v>1.4988009592326141E-4</v>
      </c>
    </row>
    <row r="68" spans="1:4">
      <c r="A68" t="s">
        <v>563</v>
      </c>
      <c r="B68" s="1">
        <v>19.090116500854489</v>
      </c>
      <c r="C68" s="2">
        <v>2.5779376498800959E-2</v>
      </c>
      <c r="D68" s="1">
        <v>0.49213130068150068</v>
      </c>
    </row>
    <row r="69" spans="1:4">
      <c r="A69" t="s">
        <v>572</v>
      </c>
      <c r="B69" s="1">
        <v>17.656976699829102</v>
      </c>
      <c r="C69" s="2">
        <v>2.5779376498800959E-2</v>
      </c>
      <c r="D69" s="1">
        <v>0.45518585017545038</v>
      </c>
    </row>
    <row r="70" spans="1:4">
      <c r="A70" t="s">
        <v>935</v>
      </c>
      <c r="B70" s="1">
        <v>8.7647056579589844</v>
      </c>
      <c r="C70" s="2">
        <v>2.420563549160671E-2</v>
      </c>
      <c r="D70" s="1">
        <v>0.2121552703477782</v>
      </c>
    </row>
    <row r="71" spans="1:4">
      <c r="A71" t="s">
        <v>580</v>
      </c>
      <c r="B71" s="1">
        <v>27.9538459777832</v>
      </c>
      <c r="C71" s="2">
        <v>9.7422062350119906E-3</v>
      </c>
      <c r="D71" s="1">
        <v>0.27233213257732442</v>
      </c>
    </row>
    <row r="72" spans="1:4">
      <c r="A72" t="s">
        <v>586</v>
      </c>
      <c r="B72" s="1">
        <v>21.25</v>
      </c>
      <c r="C72" s="2">
        <v>1.798561151079137E-3</v>
      </c>
      <c r="D72" s="1">
        <v>3.821942446043166E-2</v>
      </c>
    </row>
    <row r="73" spans="1:4">
      <c r="A73" t="s">
        <v>596</v>
      </c>
      <c r="B73" s="1">
        <v>14.38495540618896</v>
      </c>
      <c r="C73" s="2">
        <v>3.3872901678657072E-2</v>
      </c>
      <c r="D73" s="1">
        <v>0.48726018012570532</v>
      </c>
    </row>
    <row r="74" spans="1:4">
      <c r="A74" t="s">
        <v>936</v>
      </c>
      <c r="B74" s="1">
        <v>9.4380531311035156</v>
      </c>
      <c r="C74" s="2">
        <v>3.3872901678657072E-2</v>
      </c>
      <c r="D74" s="1">
        <v>0.31969424574781091</v>
      </c>
    </row>
    <row r="75" spans="1:4">
      <c r="A75" t="s">
        <v>600</v>
      </c>
      <c r="B75" s="1">
        <v>27.76699066162109</v>
      </c>
      <c r="C75" s="2">
        <v>7.7188249400479613E-3</v>
      </c>
      <c r="D75" s="1">
        <v>0.2143285400289997</v>
      </c>
    </row>
    <row r="76" spans="1:4">
      <c r="A76" t="s">
        <v>612</v>
      </c>
      <c r="B76" s="1">
        <v>13.705752372741699</v>
      </c>
      <c r="C76" s="2">
        <v>3.3872901678657072E-2</v>
      </c>
      <c r="D76" s="1">
        <v>0.46425360255390052</v>
      </c>
    </row>
    <row r="77" spans="1:4">
      <c r="A77" t="s">
        <v>937</v>
      </c>
      <c r="B77" s="1">
        <v>12.77690315246582</v>
      </c>
      <c r="C77" s="2">
        <v>1</v>
      </c>
      <c r="D77" s="1">
        <v>12.77690315246582</v>
      </c>
    </row>
    <row r="78" spans="1:4">
      <c r="A78" t="s">
        <v>624</v>
      </c>
      <c r="B78" s="1">
        <v>21.398605346679691</v>
      </c>
      <c r="C78" s="2">
        <v>1</v>
      </c>
      <c r="D78" s="1">
        <v>21.398605346679691</v>
      </c>
    </row>
    <row r="79" spans="1:4">
      <c r="A79" t="s">
        <v>629</v>
      </c>
      <c r="B79" s="1">
        <v>14.980740547180179</v>
      </c>
      <c r="C79" s="2">
        <v>1</v>
      </c>
      <c r="D79" s="1">
        <v>14.980740547180179</v>
      </c>
    </row>
    <row r="80" spans="1:4">
      <c r="A80" t="s">
        <v>634</v>
      </c>
      <c r="B80" s="1">
        <v>13.72302150726318</v>
      </c>
      <c r="C80" s="2">
        <v>1</v>
      </c>
      <c r="D80" s="1">
        <v>13.72302150726318</v>
      </c>
    </row>
    <row r="81" spans="1:4">
      <c r="A81" t="s">
        <v>639</v>
      </c>
      <c r="B81" s="1">
        <v>13.06220054626465</v>
      </c>
      <c r="C81" s="2">
        <v>1</v>
      </c>
      <c r="D81" s="1">
        <v>13.06220054626465</v>
      </c>
    </row>
    <row r="82" spans="1:4">
      <c r="A82" t="s">
        <v>644</v>
      </c>
      <c r="B82" s="1">
        <v>13.09532356262207</v>
      </c>
      <c r="C82" s="2">
        <v>1</v>
      </c>
      <c r="D82" s="1">
        <v>13.09532356262207</v>
      </c>
    </row>
    <row r="83" spans="1:4">
      <c r="A83" t="s">
        <v>649</v>
      </c>
      <c r="B83" s="1">
        <v>16.10101918465228</v>
      </c>
      <c r="C83" s="2">
        <v>1</v>
      </c>
      <c r="D83" s="1">
        <v>16.10101918465228</v>
      </c>
    </row>
    <row r="84" spans="1:4">
      <c r="A84" t="s">
        <v>655</v>
      </c>
      <c r="B84" s="1">
        <v>11.76504325866699</v>
      </c>
      <c r="C84" s="2">
        <v>0.32628896882494007</v>
      </c>
      <c r="D84" s="1">
        <v>3.8388038330512662</v>
      </c>
    </row>
    <row r="85" spans="1:4">
      <c r="A85" t="s">
        <v>662</v>
      </c>
      <c r="B85" s="1">
        <v>12.432478904724119</v>
      </c>
      <c r="C85" s="2">
        <v>1</v>
      </c>
      <c r="D85" s="1">
        <v>12.432478904724119</v>
      </c>
    </row>
    <row r="86" spans="1:4">
      <c r="A86" t="s">
        <v>667</v>
      </c>
      <c r="B86" s="1">
        <v>8.9801836013793945</v>
      </c>
      <c r="C86" s="2">
        <v>0.25337230215827339</v>
      </c>
      <c r="D86" s="1">
        <v>2.2753297928854721</v>
      </c>
    </row>
    <row r="87" spans="1:4">
      <c r="A87" t="s">
        <v>670</v>
      </c>
      <c r="B87" s="1">
        <v>11.089328765869141</v>
      </c>
      <c r="C87" s="2">
        <v>1</v>
      </c>
      <c r="D87" s="1">
        <v>11.089328765869141</v>
      </c>
    </row>
    <row r="88" spans="1:4">
      <c r="A88" t="s">
        <v>675</v>
      </c>
      <c r="B88" s="1">
        <v>8.0683355331420898</v>
      </c>
      <c r="C88" s="2">
        <v>0.14366007194244601</v>
      </c>
      <c r="D88" s="1">
        <v>1.159097663146986</v>
      </c>
    </row>
    <row r="89" spans="1:4">
      <c r="A89" t="s">
        <v>938</v>
      </c>
      <c r="B89" s="1">
        <v>5.7112536430358887</v>
      </c>
      <c r="C89" s="2">
        <v>0.80508093525179858</v>
      </c>
      <c r="D89" s="1">
        <v>4.5980214243955748</v>
      </c>
    </row>
    <row r="90" spans="1:4">
      <c r="A90" t="s">
        <v>684</v>
      </c>
      <c r="B90" s="1">
        <v>19.851530075073239</v>
      </c>
      <c r="C90" s="2">
        <v>0.31092625899280568</v>
      </c>
      <c r="D90" s="1">
        <v>6.1723619815256949</v>
      </c>
    </row>
    <row r="91" spans="1:4">
      <c r="A91" t="s">
        <v>939</v>
      </c>
      <c r="B91" s="1">
        <v>15.436671257019039</v>
      </c>
      <c r="C91" s="2">
        <v>0.7969874100719424</v>
      </c>
      <c r="D91" s="1">
        <v>12.302832645263599</v>
      </c>
    </row>
    <row r="92" spans="1:4">
      <c r="A92" t="s">
        <v>695</v>
      </c>
      <c r="B92" s="1">
        <v>12.4080867767334</v>
      </c>
      <c r="C92" s="2">
        <v>0.7969874100719424</v>
      </c>
      <c r="D92" s="1">
        <v>9.8890889441366667</v>
      </c>
    </row>
    <row r="93" spans="1:4">
      <c r="A93" t="s">
        <v>700</v>
      </c>
      <c r="B93" s="1">
        <v>9.2894678115844727</v>
      </c>
      <c r="C93" s="2">
        <v>0.31092625899280568</v>
      </c>
      <c r="D93" s="1">
        <v>2.8883394746900461</v>
      </c>
    </row>
    <row r="94" spans="1:4">
      <c r="A94" t="s">
        <v>940</v>
      </c>
      <c r="B94" s="1">
        <v>15.05952072143555</v>
      </c>
      <c r="C94" s="2">
        <v>0.7969874100719424</v>
      </c>
      <c r="D94" s="1">
        <v>12.00224841670167</v>
      </c>
    </row>
    <row r="95" spans="1:4">
      <c r="A95" t="s">
        <v>941</v>
      </c>
      <c r="B95" s="1">
        <v>15.543986320495611</v>
      </c>
      <c r="C95" s="2">
        <v>0.31092625899280568</v>
      </c>
      <c r="D95" s="1">
        <v>4.8330335164670464</v>
      </c>
    </row>
    <row r="96" spans="1:4">
      <c r="A96" t="s">
        <v>942</v>
      </c>
      <c r="B96" s="1">
        <v>12.996181488037109</v>
      </c>
      <c r="C96" s="2">
        <v>0.78507194244604317</v>
      </c>
      <c r="D96" s="1">
        <v>10.2029374451946</v>
      </c>
    </row>
    <row r="97" spans="1:4">
      <c r="A97" t="s">
        <v>943</v>
      </c>
      <c r="B97" s="1">
        <v>10.668112754821779</v>
      </c>
      <c r="C97" s="2">
        <v>0.31092625899280568</v>
      </c>
      <c r="D97" s="1">
        <v>3.3169963893701699</v>
      </c>
    </row>
    <row r="98" spans="1:4">
      <c r="A98" t="s">
        <v>717</v>
      </c>
      <c r="B98" s="1">
        <v>9.716710090637207</v>
      </c>
      <c r="C98" s="2">
        <v>0.43277877697841732</v>
      </c>
      <c r="D98" s="1">
        <v>4.2051859092798161</v>
      </c>
    </row>
    <row r="99" spans="1:4">
      <c r="A99" t="s">
        <v>722</v>
      </c>
      <c r="B99" s="1">
        <v>10.953365325927731</v>
      </c>
      <c r="C99" s="2">
        <v>0.63796462829736211</v>
      </c>
      <c r="D99" s="1">
        <v>6.9878596387607006</v>
      </c>
    </row>
    <row r="100" spans="1:4">
      <c r="A100" t="s">
        <v>726</v>
      </c>
      <c r="B100" s="1">
        <v>10.114131927490231</v>
      </c>
      <c r="C100" s="2">
        <v>0.23703537170263789</v>
      </c>
      <c r="D100" s="1">
        <v>2.3974070208821652</v>
      </c>
    </row>
    <row r="101" spans="1:4">
      <c r="A101" t="s">
        <v>944</v>
      </c>
      <c r="B101" s="1">
        <v>3.6575121879577641</v>
      </c>
      <c r="C101" s="2">
        <v>4.6387889688249397E-2</v>
      </c>
      <c r="D101" s="1">
        <v>0.16966427190841249</v>
      </c>
    </row>
    <row r="102" spans="1:4">
      <c r="A102" t="s">
        <v>729</v>
      </c>
      <c r="B102" s="1">
        <v>10.86770534515381</v>
      </c>
      <c r="C102" s="2">
        <v>0.79361510791366907</v>
      </c>
      <c r="D102" s="1">
        <v>8.6247751502681975</v>
      </c>
    </row>
    <row r="103" spans="1:4">
      <c r="A103" t="s">
        <v>945</v>
      </c>
      <c r="B103" s="1">
        <v>21.53330039978027</v>
      </c>
      <c r="C103" s="2">
        <v>0.15190347721822539</v>
      </c>
      <c r="D103" s="1">
        <v>3.270983206711227</v>
      </c>
    </row>
    <row r="104" spans="1:4">
      <c r="A104" t="s">
        <v>730</v>
      </c>
      <c r="B104" s="1">
        <v>72.295135498046875</v>
      </c>
      <c r="C104" s="2">
        <v>0.84097721822541971</v>
      </c>
      <c r="D104" s="1">
        <v>60.798561942377248</v>
      </c>
    </row>
    <row r="105" spans="1:4">
      <c r="A105" t="s">
        <v>736</v>
      </c>
      <c r="B105" s="1">
        <v>3.7052218914031978</v>
      </c>
      <c r="C105" s="2">
        <v>0.84097721822541971</v>
      </c>
      <c r="D105" s="1">
        <v>3.1160071991401899</v>
      </c>
    </row>
    <row r="106" spans="1:4">
      <c r="A106" t="s">
        <v>946</v>
      </c>
      <c r="B106" s="1">
        <v>2.7029058933258061</v>
      </c>
      <c r="C106" s="2">
        <v>0.14958033573141491</v>
      </c>
      <c r="D106" s="1">
        <v>0.40430157097409392</v>
      </c>
    </row>
    <row r="107" spans="1:4">
      <c r="A107" t="s">
        <v>947</v>
      </c>
      <c r="B107" s="1">
        <v>18.146602630615231</v>
      </c>
      <c r="C107" s="2">
        <v>6.2874700239808151E-2</v>
      </c>
      <c r="D107" s="1">
        <v>1.1409622007708471</v>
      </c>
    </row>
    <row r="108" spans="1:4">
      <c r="A108" t="s">
        <v>948</v>
      </c>
      <c r="B108" s="1">
        <v>14.324113845825201</v>
      </c>
      <c r="C108" s="2">
        <v>8.6705635491606717E-2</v>
      </c>
      <c r="D108" s="1">
        <v>1.2419813938563959</v>
      </c>
    </row>
    <row r="109" spans="1:4">
      <c r="A109" t="s">
        <v>949</v>
      </c>
      <c r="B109" s="1">
        <v>7.9697494506835938</v>
      </c>
      <c r="C109" s="2">
        <v>8.6705635491606717E-2</v>
      </c>
      <c r="D109" s="1">
        <v>0.6910221908304045</v>
      </c>
    </row>
    <row r="110" spans="1:4">
      <c r="A110" t="s">
        <v>950</v>
      </c>
      <c r="B110" s="1">
        <v>7.6092715263366699</v>
      </c>
      <c r="C110" s="2">
        <v>3.3947841726618702E-2</v>
      </c>
      <c r="D110" s="1">
        <v>0.25831834543094362</v>
      </c>
    </row>
    <row r="111" spans="1:4">
      <c r="A111" t="s">
        <v>951</v>
      </c>
      <c r="B111" s="1">
        <v>7.3416147232055664</v>
      </c>
      <c r="C111" s="2">
        <v>1.206534772182254E-2</v>
      </c>
      <c r="D111" s="1">
        <v>8.8579134475127108E-2</v>
      </c>
    </row>
    <row r="112" spans="1:4">
      <c r="A112" t="s">
        <v>952</v>
      </c>
      <c r="B112" s="1">
        <v>7.5166668891906738</v>
      </c>
      <c r="C112" s="2">
        <v>4.4964028776978424E-3</v>
      </c>
      <c r="D112" s="1">
        <v>3.379796263125303E-2</v>
      </c>
    </row>
    <row r="113" spans="1:4">
      <c r="A113" t="s">
        <v>953</v>
      </c>
      <c r="B113" s="1">
        <v>8.3076925277709961</v>
      </c>
      <c r="C113" s="2">
        <v>1.9484412470023979E-3</v>
      </c>
      <c r="D113" s="1">
        <v>1.618705078852262E-2</v>
      </c>
    </row>
    <row r="114" spans="1:4">
      <c r="A114" t="s">
        <v>954</v>
      </c>
      <c r="B114" s="1">
        <v>7.769230842590332</v>
      </c>
      <c r="C114" s="2">
        <v>9.7422062350119906E-4</v>
      </c>
      <c r="D114" s="1">
        <v>7.5689449155930998E-3</v>
      </c>
    </row>
    <row r="115" spans="1:4">
      <c r="A115" t="s">
        <v>955</v>
      </c>
      <c r="B115" s="1">
        <v>9.3333330154418945</v>
      </c>
      <c r="C115" s="2">
        <v>4.496402877697842E-4</v>
      </c>
      <c r="D115" s="1">
        <v>4.1966425429145211E-3</v>
      </c>
    </row>
    <row r="116" spans="1:4">
      <c r="A116" t="s">
        <v>956</v>
      </c>
      <c r="B116" s="1">
        <v>6.1999998092651367</v>
      </c>
      <c r="C116" s="2">
        <v>3.7470023980815348E-4</v>
      </c>
      <c r="D116" s="1">
        <v>2.323141415342153E-3</v>
      </c>
    </row>
    <row r="117" spans="1:4">
      <c r="A117" t="s">
        <v>957</v>
      </c>
      <c r="B117" s="1">
        <v>15.666666984558111</v>
      </c>
      <c r="C117" s="2">
        <v>2.248201438848921E-4</v>
      </c>
      <c r="D117" s="1">
        <v>3.5221823256650418E-3</v>
      </c>
    </row>
    <row r="118" spans="1:4">
      <c r="A118" t="s">
        <v>958</v>
      </c>
      <c r="B118" s="1">
        <v>19.828245162963871</v>
      </c>
      <c r="C118" s="2">
        <v>0.63092026378896882</v>
      </c>
      <c r="D118" s="1">
        <v>12.51004166868951</v>
      </c>
    </row>
    <row r="119" spans="1:4">
      <c r="A119" t="s">
        <v>838</v>
      </c>
      <c r="B119" s="1">
        <v>49.529693603515618</v>
      </c>
      <c r="C119" s="2">
        <v>0.67386091127098324</v>
      </c>
      <c r="D119" s="1">
        <v>33.376124466637627</v>
      </c>
    </row>
    <row r="120" spans="1:4">
      <c r="A120" t="s">
        <v>959</v>
      </c>
      <c r="B120" s="1">
        <v>10.34935474395752</v>
      </c>
      <c r="C120" s="2">
        <v>6.3923860911270988E-2</v>
      </c>
      <c r="D120" s="1">
        <v>0.66157071317414307</v>
      </c>
    </row>
    <row r="121" spans="1:4">
      <c r="A121" t="s">
        <v>960</v>
      </c>
      <c r="B121" s="1">
        <v>9.9121618270874023</v>
      </c>
      <c r="C121" s="2">
        <v>2.218225419664269E-2</v>
      </c>
      <c r="D121" s="1">
        <v>0.21987409328671101</v>
      </c>
    </row>
    <row r="122" spans="1:4">
      <c r="A122" t="s">
        <v>961</v>
      </c>
      <c r="B122" s="1">
        <v>12.817567825317379</v>
      </c>
      <c r="C122" s="2">
        <v>2.218225419664269E-2</v>
      </c>
      <c r="D122" s="1">
        <v>0.28432254768389881</v>
      </c>
    </row>
    <row r="123" spans="1:4">
      <c r="A123" t="s">
        <v>847</v>
      </c>
      <c r="B123" s="1">
        <v>22.029750823974609</v>
      </c>
      <c r="C123" s="2">
        <v>1</v>
      </c>
      <c r="D123" s="1">
        <v>22.029750823974609</v>
      </c>
    </row>
    <row r="124" spans="1:4">
      <c r="A124" t="s">
        <v>870</v>
      </c>
      <c r="B124" s="1">
        <v>36.783046722412109</v>
      </c>
      <c r="C124" s="2">
        <v>1</v>
      </c>
      <c r="D124" s="1">
        <v>36.783046722412109</v>
      </c>
    </row>
    <row r="125" spans="1:4">
      <c r="A125" t="s">
        <v>254</v>
      </c>
      <c r="B125" s="1">
        <v>13.76013851165771</v>
      </c>
      <c r="C125" s="2">
        <v>0.28087529976019182</v>
      </c>
      <c r="D125" s="1">
        <v>3.8648830292036198</v>
      </c>
    </row>
    <row r="126" spans="1:4">
      <c r="A126" t="s">
        <v>690</v>
      </c>
      <c r="B126" s="1">
        <v>13.39993858337402</v>
      </c>
      <c r="C126" s="2">
        <v>0.48606115107913672</v>
      </c>
      <c r="D126" s="1">
        <v>6.5131895722245137</v>
      </c>
    </row>
    <row r="127" spans="1:4">
      <c r="A127" t="s">
        <v>962</v>
      </c>
      <c r="B127" s="1">
        <v>14.62593364715576</v>
      </c>
      <c r="C127" s="2">
        <v>0.28087529976019182</v>
      </c>
      <c r="D127" s="1">
        <v>4.1080634974175503</v>
      </c>
    </row>
    <row r="128" spans="1:4">
      <c r="A128" t="s">
        <v>963</v>
      </c>
      <c r="B128" s="1">
        <v>14.752389907836911</v>
      </c>
      <c r="C128" s="2">
        <v>0.48606115107913672</v>
      </c>
      <c r="D128" s="1">
        <v>7.1705636197714497</v>
      </c>
    </row>
    <row r="129" spans="1:4">
      <c r="A129" t="s">
        <v>964</v>
      </c>
      <c r="B129" s="1">
        <v>14.082502365112299</v>
      </c>
      <c r="C129" s="2">
        <v>0.16531774580335731</v>
      </c>
      <c r="D129" s="1">
        <v>2.3280875462708139</v>
      </c>
    </row>
    <row r="130" spans="1:4">
      <c r="A130" t="s">
        <v>965</v>
      </c>
      <c r="B130" s="1">
        <v>15.481228828430179</v>
      </c>
      <c r="C130" s="2">
        <v>2.1957434052757789E-2</v>
      </c>
      <c r="D130" s="1">
        <v>0.33992806105590839</v>
      </c>
    </row>
    <row r="131" spans="1:4">
      <c r="A131" t="s">
        <v>73</v>
      </c>
      <c r="B131" s="1">
        <v>3.062232494354248</v>
      </c>
      <c r="C131" s="2">
        <v>0.68277877697841727</v>
      </c>
      <c r="D131" s="1">
        <v>2.0908273573187621</v>
      </c>
    </row>
    <row r="132" spans="1:4">
      <c r="A132" t="s">
        <v>966</v>
      </c>
      <c r="B132" s="1">
        <v>10.030631065368651</v>
      </c>
      <c r="C132" s="2">
        <v>0.15902278177458029</v>
      </c>
      <c r="D132" s="1">
        <v>1.595098854969446</v>
      </c>
    </row>
    <row r="133" spans="1:4">
      <c r="A133" t="s">
        <v>967</v>
      </c>
      <c r="B133" s="1">
        <v>11.38066482543945</v>
      </c>
      <c r="C133" s="2">
        <v>2.4805155875299759E-2</v>
      </c>
      <c r="D133" s="1">
        <v>0.28229916495956681</v>
      </c>
    </row>
    <row r="134" spans="1:4">
      <c r="A134" t="s">
        <v>259</v>
      </c>
      <c r="B134" s="1">
        <v>30.646188735961911</v>
      </c>
      <c r="C134" s="2">
        <v>0.56722122302158273</v>
      </c>
      <c r="D134" s="1">
        <v>17.383168655762571</v>
      </c>
    </row>
    <row r="135" spans="1:4">
      <c r="A135" t="s">
        <v>968</v>
      </c>
      <c r="B135" s="1">
        <v>10.112629890441889</v>
      </c>
      <c r="C135" s="2">
        <v>0.15902278177458029</v>
      </c>
      <c r="D135" s="1">
        <v>1.6081385362348399</v>
      </c>
    </row>
    <row r="136" spans="1:4">
      <c r="A136" t="s">
        <v>969</v>
      </c>
      <c r="B136" s="1">
        <v>13.900094032287599</v>
      </c>
      <c r="C136" s="2">
        <v>0.15902278177458029</v>
      </c>
      <c r="D136" s="1">
        <v>2.2104316199426171</v>
      </c>
    </row>
    <row r="137" spans="1:4">
      <c r="A137" t="s">
        <v>280</v>
      </c>
      <c r="B137" s="1">
        <v>8.2288064956665039</v>
      </c>
      <c r="C137" s="2">
        <v>0.36420863309352519</v>
      </c>
      <c r="D137" s="1">
        <v>2.997002365777818</v>
      </c>
    </row>
    <row r="138" spans="1:4">
      <c r="A138" t="s">
        <v>970</v>
      </c>
      <c r="B138" s="1">
        <v>32.266731262207031</v>
      </c>
      <c r="C138" s="2">
        <v>0.15902278177458029</v>
      </c>
      <c r="D138" s="1">
        <v>5.1311453640889786</v>
      </c>
    </row>
    <row r="139" spans="1:4">
      <c r="A139" t="s">
        <v>971</v>
      </c>
      <c r="B139" s="1">
        <v>11.01242256164551</v>
      </c>
      <c r="C139" s="2">
        <v>8.4457434052757796E-2</v>
      </c>
      <c r="D139" s="1">
        <v>0.93008095226127752</v>
      </c>
    </row>
    <row r="140" spans="1:4">
      <c r="A140" t="s">
        <v>972</v>
      </c>
      <c r="B140" s="1">
        <v>59.445335388183587</v>
      </c>
      <c r="C140" s="2">
        <v>0.15902278177458029</v>
      </c>
      <c r="D140" s="1">
        <v>9.4531625969518576</v>
      </c>
    </row>
    <row r="141" spans="1:4">
      <c r="A141" t="s">
        <v>973</v>
      </c>
      <c r="B141" s="1">
        <v>31.696512222290039</v>
      </c>
      <c r="C141" s="2">
        <v>0.15902278177458029</v>
      </c>
      <c r="D141" s="1">
        <v>5.0404675461405466</v>
      </c>
    </row>
    <row r="142" spans="1:4">
      <c r="A142" t="s">
        <v>974</v>
      </c>
      <c r="B142" s="1">
        <v>18.788320541381839</v>
      </c>
      <c r="C142" s="2">
        <v>3.0800359712230219E-2</v>
      </c>
      <c r="D142" s="1">
        <v>0.57868703106324448</v>
      </c>
    </row>
    <row r="143" spans="1:4">
      <c r="A143" t="s">
        <v>975</v>
      </c>
      <c r="B143" s="1">
        <v>14.180000305175779</v>
      </c>
      <c r="C143" s="2">
        <v>1.12410071942446E-2</v>
      </c>
      <c r="D143" s="1">
        <v>0.15939748544487159</v>
      </c>
    </row>
    <row r="144" spans="1:4">
      <c r="A144" t="s">
        <v>976</v>
      </c>
      <c r="B144" s="1">
        <v>14.373562812805179</v>
      </c>
      <c r="C144" s="2">
        <v>1.303956834532374E-2</v>
      </c>
      <c r="D144" s="1">
        <v>0.18742505466337689</v>
      </c>
    </row>
    <row r="145" spans="1:4">
      <c r="A145" t="s">
        <v>977</v>
      </c>
      <c r="B145" s="1">
        <v>13.638889312744141</v>
      </c>
      <c r="C145" s="2">
        <v>2.6978417266187052E-3</v>
      </c>
      <c r="D145" s="1">
        <v>3.6795564692655047E-2</v>
      </c>
    </row>
    <row r="146" spans="1:4">
      <c r="A146" t="s">
        <v>710</v>
      </c>
      <c r="B146" s="1">
        <v>15.40838527679443</v>
      </c>
      <c r="C146" s="2">
        <v>0.14478417266187049</v>
      </c>
      <c r="D146" s="1">
        <v>2.2308903143560279</v>
      </c>
    </row>
    <row r="147" spans="1:4">
      <c r="A147" t="s">
        <v>978</v>
      </c>
      <c r="B147" s="1">
        <v>13.428935050964361</v>
      </c>
      <c r="C147" s="2">
        <v>0.14710731414868111</v>
      </c>
      <c r="D147" s="1">
        <v>1.9754945672244479</v>
      </c>
    </row>
    <row r="148" spans="1:4">
      <c r="A148" t="s">
        <v>979</v>
      </c>
      <c r="B148" s="1">
        <v>16.118755340576168</v>
      </c>
      <c r="C148" s="2">
        <v>0.15902278177458029</v>
      </c>
      <c r="D148" s="1">
        <v>2.563249313002296</v>
      </c>
    </row>
    <row r="149" spans="1:4">
      <c r="A149" t="s">
        <v>980</v>
      </c>
      <c r="B149" s="1">
        <v>24.20000076293945</v>
      </c>
      <c r="C149" s="2">
        <v>3.3723021582733811E-3</v>
      </c>
      <c r="D149" s="1">
        <v>8.1609714803078187E-2</v>
      </c>
    </row>
    <row r="150" spans="1:4">
      <c r="A150" t="s">
        <v>981</v>
      </c>
      <c r="B150" s="1">
        <v>15.139491081237789</v>
      </c>
      <c r="C150" s="2">
        <v>0.15902278177458029</v>
      </c>
      <c r="D150" s="1">
        <v>2.407523986389883</v>
      </c>
    </row>
    <row r="151" spans="1:4">
      <c r="A151" t="s">
        <v>982</v>
      </c>
      <c r="B151" s="1">
        <v>17.901508331298832</v>
      </c>
      <c r="C151" s="2">
        <v>0.15902278177458029</v>
      </c>
      <c r="D151" s="1">
        <v>2.8467476528039661</v>
      </c>
    </row>
    <row r="152" spans="1:4">
      <c r="A152" t="s">
        <v>983</v>
      </c>
      <c r="B152" s="1">
        <v>27.199811935424801</v>
      </c>
      <c r="C152" s="2">
        <v>0.15902278177458029</v>
      </c>
      <c r="D152" s="1">
        <v>4.3253897577166844</v>
      </c>
    </row>
    <row r="153" spans="1:4">
      <c r="A153" t="s">
        <v>984</v>
      </c>
      <c r="B153" s="1">
        <v>20.648445129394531</v>
      </c>
      <c r="C153" s="2">
        <v>0.15902278177458029</v>
      </c>
      <c r="D153" s="1">
        <v>3.2835731837961029</v>
      </c>
    </row>
    <row r="154" spans="1:4">
      <c r="A154" t="s">
        <v>985</v>
      </c>
      <c r="B154" s="1">
        <v>55.302074432373047</v>
      </c>
      <c r="C154" s="2">
        <v>0.15902278177458029</v>
      </c>
      <c r="D154" s="1">
        <v>8.7942897141408576</v>
      </c>
    </row>
    <row r="155" spans="1:4">
      <c r="A155" t="s">
        <v>986</v>
      </c>
      <c r="B155" s="1">
        <v>24.500471115112301</v>
      </c>
      <c r="C155" s="2">
        <v>0.15902278177458029</v>
      </c>
      <c r="D155" s="1">
        <v>3.8961330715129132</v>
      </c>
    </row>
    <row r="156" spans="1:4">
      <c r="A156" t="s">
        <v>987</v>
      </c>
      <c r="B156" s="1">
        <v>24.92459869384766</v>
      </c>
      <c r="C156" s="2">
        <v>0.15902278177458029</v>
      </c>
      <c r="D156" s="1">
        <v>3.9635790189107261</v>
      </c>
    </row>
    <row r="157" spans="1:4">
      <c r="A157" t="s">
        <v>988</v>
      </c>
      <c r="B157" s="1">
        <v>17.525918960571289</v>
      </c>
      <c r="C157" s="2">
        <v>0.15902278177458029</v>
      </c>
      <c r="D157" s="1">
        <v>2.7870203862659082</v>
      </c>
    </row>
    <row r="158" spans="1:4">
      <c r="A158" t="s">
        <v>989</v>
      </c>
      <c r="B158" s="1">
        <v>28.03440093994141</v>
      </c>
      <c r="C158" s="2">
        <v>0.15902278177458029</v>
      </c>
      <c r="D158" s="1">
        <v>4.4581084228533916</v>
      </c>
    </row>
    <row r="159" spans="1:4">
      <c r="A159" t="s">
        <v>990</v>
      </c>
      <c r="B159" s="1">
        <v>15.688972473144529</v>
      </c>
      <c r="C159" s="2">
        <v>0.15902278177458029</v>
      </c>
      <c r="D159" s="1">
        <v>2.4949040458642608</v>
      </c>
    </row>
    <row r="160" spans="1:4">
      <c r="A160" t="s">
        <v>991</v>
      </c>
      <c r="B160" s="1">
        <v>21.188030242919918</v>
      </c>
      <c r="C160" s="2">
        <v>0.15902278177458029</v>
      </c>
      <c r="D160" s="1">
        <v>3.3693795095530632</v>
      </c>
    </row>
    <row r="161" spans="1:4">
      <c r="A161" t="s">
        <v>992</v>
      </c>
      <c r="B161" s="1">
        <v>10.56944465637207</v>
      </c>
      <c r="C161" s="2">
        <v>5.3956834532374104E-3</v>
      </c>
      <c r="D161" s="1">
        <v>5.7029377642295348E-2</v>
      </c>
    </row>
    <row r="162" spans="1:4">
      <c r="A162" t="s">
        <v>887</v>
      </c>
      <c r="B162" s="1">
        <v>17.507846832275391</v>
      </c>
      <c r="C162" s="2">
        <v>0.68277877697841727</v>
      </c>
      <c r="D162" s="1">
        <v>11.95398624766645</v>
      </c>
    </row>
    <row r="163" spans="1:4">
      <c r="A163" t="s">
        <v>82</v>
      </c>
      <c r="B163" s="1">
        <v>4.6240768432617188</v>
      </c>
      <c r="C163" s="2">
        <v>0.20293764988009591</v>
      </c>
      <c r="D163" s="1">
        <v>0.9383992874365058</v>
      </c>
    </row>
    <row r="164" spans="1:4">
      <c r="A164" t="s">
        <v>993</v>
      </c>
      <c r="B164" s="1">
        <v>10.74381732940674</v>
      </c>
      <c r="C164" s="2">
        <v>0.20301258992805751</v>
      </c>
      <c r="D164" s="1">
        <v>2.1811301817568078</v>
      </c>
    </row>
    <row r="165" spans="1:4">
      <c r="A165" t="s">
        <v>994</v>
      </c>
      <c r="B165" s="1"/>
      <c r="C165" s="2">
        <v>0</v>
      </c>
      <c r="D165" s="1">
        <v>0</v>
      </c>
    </row>
    <row r="166" spans="1:4">
      <c r="A166" t="s">
        <v>995</v>
      </c>
      <c r="B166" s="1">
        <v>56.471023559570313</v>
      </c>
      <c r="C166" s="2">
        <v>0.20301258992805751</v>
      </c>
      <c r="D166" s="1">
        <v>11.464328748716721</v>
      </c>
    </row>
    <row r="167" spans="1:4">
      <c r="A167" t="s">
        <v>996</v>
      </c>
      <c r="B167" s="1">
        <v>31</v>
      </c>
      <c r="C167" s="2">
        <v>4.0467625899280584E-3</v>
      </c>
      <c r="D167" s="1">
        <v>0.12544964028776981</v>
      </c>
    </row>
    <row r="168" spans="1:4">
      <c r="A168" t="s">
        <v>997</v>
      </c>
      <c r="B168" s="1">
        <v>30.833333969116211</v>
      </c>
      <c r="C168" s="2">
        <v>4.0467625899280584E-3</v>
      </c>
      <c r="D168" s="1">
        <v>0.1247751824289775</v>
      </c>
    </row>
    <row r="169" spans="1:4">
      <c r="A169" t="s">
        <v>440</v>
      </c>
      <c r="B169" s="1">
        <v>16.882986068725589</v>
      </c>
      <c r="C169" s="2">
        <v>0.1184802158273381</v>
      </c>
      <c r="D169" s="1">
        <v>2.0002998332325501</v>
      </c>
    </row>
    <row r="170" spans="1:4">
      <c r="A170" t="s">
        <v>467</v>
      </c>
      <c r="B170" s="1">
        <v>16.82699012756348</v>
      </c>
      <c r="C170" s="2">
        <v>8.6630695443645087E-2</v>
      </c>
      <c r="D170" s="1">
        <v>1.457733856974174</v>
      </c>
    </row>
    <row r="171" spans="1:4">
      <c r="A171" t="s">
        <v>998</v>
      </c>
      <c r="B171" s="1">
        <v>39.486873626708977</v>
      </c>
      <c r="C171" s="2">
        <v>3.139988009592326E-2</v>
      </c>
      <c r="D171" s="1">
        <v>1.2398830972415369</v>
      </c>
    </row>
    <row r="172" spans="1:4">
      <c r="A172" t="s">
        <v>521</v>
      </c>
      <c r="B172" s="1">
        <v>15.9380989074707</v>
      </c>
      <c r="C172" s="2">
        <v>0.1016936450839329</v>
      </c>
      <c r="D172" s="1">
        <v>1.620803373608944</v>
      </c>
    </row>
    <row r="173" spans="1:4">
      <c r="A173" t="s">
        <v>538</v>
      </c>
      <c r="B173" s="1">
        <v>13.330855369567869</v>
      </c>
      <c r="C173" s="2">
        <v>6.047661870503597E-2</v>
      </c>
      <c r="D173" s="1">
        <v>0.80620505719733748</v>
      </c>
    </row>
    <row r="174" spans="1:4">
      <c r="A174" t="s">
        <v>999</v>
      </c>
      <c r="B174" s="1">
        <v>16.437650680541989</v>
      </c>
      <c r="C174" s="2">
        <v>6.25E-2</v>
      </c>
      <c r="D174" s="1">
        <v>1.027353167533875</v>
      </c>
    </row>
    <row r="175" spans="1:4">
      <c r="A175" t="s">
        <v>1000</v>
      </c>
      <c r="B175" s="1">
        <v>8.6666669845581055</v>
      </c>
      <c r="C175" s="2">
        <v>6.7446043165467629E-4</v>
      </c>
      <c r="D175" s="1">
        <v>5.8453239554123919E-3</v>
      </c>
    </row>
    <row r="176" spans="1:4">
      <c r="A176" t="s">
        <v>577</v>
      </c>
      <c r="B176" s="1">
        <v>12.5238094329834</v>
      </c>
      <c r="C176" s="2">
        <v>1.573741007194245E-3</v>
      </c>
      <c r="D176" s="1">
        <v>1.9709232470972071E-2</v>
      </c>
    </row>
    <row r="177" spans="1:4">
      <c r="A177" t="s">
        <v>1001</v>
      </c>
      <c r="B177" s="1">
        <v>22.220184326171879</v>
      </c>
      <c r="C177" s="2">
        <v>8.1684652278177453E-3</v>
      </c>
      <c r="D177" s="1">
        <v>0.18150480302403579</v>
      </c>
    </row>
    <row r="178" spans="1:4">
      <c r="A178" t="s">
        <v>1002</v>
      </c>
      <c r="B178" s="1">
        <v>12.889907836914061</v>
      </c>
      <c r="C178" s="2">
        <v>8.1684652278177453E-3</v>
      </c>
      <c r="D178" s="1">
        <v>0.105290763955608</v>
      </c>
    </row>
    <row r="179" spans="1:4">
      <c r="A179" t="s">
        <v>1003</v>
      </c>
      <c r="B179" s="1">
        <v>14.84403705596924</v>
      </c>
      <c r="C179" s="2">
        <v>8.1684652278177453E-3</v>
      </c>
      <c r="D179" s="1">
        <v>0.1212530005321228</v>
      </c>
    </row>
    <row r="180" spans="1:4">
      <c r="A180" t="s">
        <v>1004</v>
      </c>
      <c r="B180" s="1">
        <v>18.513761520385739</v>
      </c>
      <c r="C180" s="2">
        <v>8.1684652278177453E-3</v>
      </c>
      <c r="D180" s="1">
        <v>0.1512290172153811</v>
      </c>
    </row>
    <row r="181" spans="1:4">
      <c r="A181" t="s">
        <v>1005</v>
      </c>
      <c r="B181" s="1">
        <v>16.880733489990231</v>
      </c>
      <c r="C181" s="2">
        <v>8.1684652278177453E-3</v>
      </c>
      <c r="D181" s="1">
        <v>0.1378896845330437</v>
      </c>
    </row>
    <row r="182" spans="1:4">
      <c r="A182" t="s">
        <v>1006</v>
      </c>
      <c r="B182" s="1">
        <v>17.431192398071289</v>
      </c>
      <c r="C182" s="2">
        <v>8.1684652278177453E-3</v>
      </c>
      <c r="D182" s="1">
        <v>0.14238608898304631</v>
      </c>
    </row>
    <row r="183" spans="1:4">
      <c r="A183" t="s">
        <v>1007</v>
      </c>
      <c r="B183" s="1">
        <v>14.110092163085939</v>
      </c>
      <c r="C183" s="2">
        <v>8.1684652278177453E-3</v>
      </c>
      <c r="D183" s="1">
        <v>0.1152577971954712</v>
      </c>
    </row>
    <row r="184" spans="1:4">
      <c r="A184" t="s">
        <v>1008</v>
      </c>
      <c r="B184" s="1">
        <v>15.256880760192869</v>
      </c>
      <c r="C184" s="2">
        <v>8.1684652278177453E-3</v>
      </c>
      <c r="D184" s="1">
        <v>0.124625299974597</v>
      </c>
    </row>
    <row r="185" spans="1:4">
      <c r="A185" t="s">
        <v>1009</v>
      </c>
      <c r="B185" s="1">
        <v>12.284403800964361</v>
      </c>
      <c r="C185" s="2">
        <v>8.1684652278177453E-3</v>
      </c>
      <c r="D185" s="1">
        <v>0.1003447252926495</v>
      </c>
    </row>
    <row r="186" spans="1:4">
      <c r="A186" t="s">
        <v>1010</v>
      </c>
      <c r="B186" s="1">
        <v>12.577981948852541</v>
      </c>
      <c r="C186" s="2">
        <v>8.1684652278177453E-3</v>
      </c>
      <c r="D186" s="1">
        <v>0.10274280818532119</v>
      </c>
    </row>
    <row r="187" spans="1:4">
      <c r="A187" t="s">
        <v>833</v>
      </c>
      <c r="B187" s="1">
        <v>16.78225135803223</v>
      </c>
      <c r="C187" s="2">
        <v>0.16381894484412471</v>
      </c>
      <c r="D187" s="1">
        <v>2.7492507095817178</v>
      </c>
    </row>
    <row r="188" spans="1:4">
      <c r="A188" t="s">
        <v>1011</v>
      </c>
      <c r="B188" s="1">
        <v>11.787801742553709</v>
      </c>
      <c r="C188" s="2">
        <v>0.20518585131894479</v>
      </c>
      <c r="D188" s="1">
        <v>2.4186901357248241</v>
      </c>
    </row>
    <row r="189" spans="1:4">
      <c r="A189" t="s">
        <v>382</v>
      </c>
      <c r="B189" s="1">
        <v>46.247528076171882</v>
      </c>
      <c r="C189" s="2">
        <v>1</v>
      </c>
      <c r="D189" s="1">
        <v>46.247528076171882</v>
      </c>
    </row>
    <row r="190" spans="1:4">
      <c r="A190" t="s">
        <v>1012</v>
      </c>
      <c r="B190" s="1">
        <v>0.1537020355463028</v>
      </c>
      <c r="C190" s="2">
        <v>1</v>
      </c>
      <c r="D190" s="1">
        <v>0.1537020355463028</v>
      </c>
    </row>
    <row r="191" spans="1:4">
      <c r="A191" t="s">
        <v>1013</v>
      </c>
      <c r="B191" s="1">
        <v>0.67963129281997681</v>
      </c>
      <c r="C191" s="2">
        <v>1</v>
      </c>
      <c r="D191" s="1">
        <v>0.67963129281997681</v>
      </c>
    </row>
    <row r="192" spans="1:4">
      <c r="A192" t="s">
        <v>1014</v>
      </c>
      <c r="B192" s="1">
        <v>2.892535924911499</v>
      </c>
      <c r="C192" s="2">
        <v>1</v>
      </c>
      <c r="D192" s="1">
        <v>2.892535924911499</v>
      </c>
    </row>
    <row r="193" spans="1:4">
      <c r="A193" t="s">
        <v>1015</v>
      </c>
      <c r="B193" s="1">
        <v>3.3438248634338379</v>
      </c>
      <c r="C193" s="2">
        <v>1</v>
      </c>
      <c r="D193" s="1">
        <v>3.3438248634338379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Crop list</vt:lpstr>
      <vt:lpstr>Additional information</vt:lpstr>
      <vt:lpstr>New Durations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Lawi Analo</cp:lastModifiedBy>
  <cp:revision/>
  <dcterms:created xsi:type="dcterms:W3CDTF">2020-12-10T15:46:11Z</dcterms:created>
  <dcterms:modified xsi:type="dcterms:W3CDTF">2023-11-14T05:29:19Z</dcterms:modified>
  <cp:category/>
  <cp:contentStatus/>
</cp:coreProperties>
</file>